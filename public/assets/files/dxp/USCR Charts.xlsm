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6.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8.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9.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0.xml" ContentType="application/vnd.openxmlformats-officedocument.drawingml.chart+xml"/>
  <Override PartName="/xl/drawings/drawing18.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https://infocorp365.sharepoint.com/sites/DTC/Shared Documents/General/DTC Data/USCR/"/>
    </mc:Choice>
  </mc:AlternateContent>
  <xr:revisionPtr revIDLastSave="1200" documentId="8_{E89BB42A-C28E-4C55-B059-74C57899D139}" xr6:coauthVersionLast="47" xr6:coauthVersionMax="47" xr10:uidLastSave="{80D42DF0-E398-4684-A7E7-AC984629E0E2}"/>
  <bookViews>
    <workbookView xWindow="-108" yWindow="-108" windowWidth="23256" windowHeight="12576" tabRatio="809" firstSheet="3" activeTab="4" xr2:uid="{00000000-000D-0000-FFFF-FFFF00000000}"/>
  </bookViews>
  <sheets>
    <sheet name="Example Table" sheetId="153" state="hidden" r:id="rId1"/>
    <sheet name="Note on Table Alignment" sheetId="154" state="hidden" r:id="rId2"/>
    <sheet name="Commands" sheetId="155" state="hidden" r:id="rId3"/>
    <sheet name="Natural Gas" sheetId="143" r:id="rId4"/>
    <sheet name="PRB_ILB_NAPP" sheetId="144" r:id="rId5"/>
    <sheet name="Correlations" sheetId="148" r:id="rId6"/>
    <sheet name="ExportArbNAPP" sheetId="156" r:id="rId7"/>
    <sheet name="ImportArb" sheetId="151" r:id="rId8"/>
    <sheet name="ExportArbILB" sheetId="152" r:id="rId9"/>
    <sheet name="ExportArbCAPP" sheetId="150" state="hidden" r:id="rId10"/>
    <sheet name="HamptonRoadsLoadings" sheetId="149" state="hidden" r:id="rId11"/>
  </sheets>
  <externalReferences>
    <externalReference r:id="rId12"/>
  </externalReferences>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sample" localSheetId="5">#REF!</definedName>
    <definedName name="sample" localSheetId="9">#REF!</definedName>
    <definedName name="sample" localSheetId="8">#REF!</definedName>
    <definedName name="sample" localSheetId="6">#REF!</definedName>
    <definedName name="sample" localSheetId="10">#REF!</definedName>
    <definedName name="sample" localSheetId="7">#REF!</definedName>
    <definedName name="sample" localSheetId="3">#REF!</definedName>
    <definedName name="sample" localSheetId="4">#REF!</definedName>
    <definedName name="sample">#REF!</definedName>
    <definedName name="sdfjsdlf" localSheetId="5">#REF!</definedName>
    <definedName name="sdfjsdlf" localSheetId="9">#REF!</definedName>
    <definedName name="sdfjsdlf" localSheetId="8">#REF!</definedName>
    <definedName name="sdfjsdlf" localSheetId="6">#REF!</definedName>
    <definedName name="sdfjsdlf" localSheetId="10">#REF!</definedName>
    <definedName name="sdfjsdlf" localSheetId="7">#REF!</definedName>
    <definedName name="sdfjsdlf" localSheetId="3">#REF!</definedName>
    <definedName name="sdfjsdlf" localSheetId="4">#REF!</definedName>
    <definedName name="sdfjsdlf">#REF!</definedName>
    <definedName name="sdlfjksldfk" localSheetId="5">#REF!</definedName>
    <definedName name="sdlfjksldfk" localSheetId="9">#REF!</definedName>
    <definedName name="sdlfjksldfk" localSheetId="8">#REF!</definedName>
    <definedName name="sdlfjksldfk" localSheetId="6">#REF!</definedName>
    <definedName name="sdlfjksldfk" localSheetId="10">#REF!</definedName>
    <definedName name="sdlfjksldfk" localSheetId="7">#REF!</definedName>
    <definedName name="sdlfjksldfk" localSheetId="3">#REF!</definedName>
    <definedName name="sdlfjksldfk" localSheetId="4">#REF!</definedName>
    <definedName name="sdlfjksldfk">#REF!</definedName>
    <definedName name="sfd" localSheetId="5">#REF!</definedName>
    <definedName name="sfd" localSheetId="9">#REF!</definedName>
    <definedName name="sfd" localSheetId="8">#REF!</definedName>
    <definedName name="sfd" localSheetId="6">#REF!</definedName>
    <definedName name="sfd" localSheetId="10">#REF!</definedName>
    <definedName name="sfd" localSheetId="7">#REF!</definedName>
    <definedName name="sfd" localSheetId="3">#REF!</definedName>
    <definedName name="sfd" localSheetId="4">#REF!</definedName>
    <definedName name="sfd">#REF!</definedName>
    <definedName name="skfhsfkjdh" localSheetId="5">#REF!</definedName>
    <definedName name="skfhsfkjdh" localSheetId="9">#REF!</definedName>
    <definedName name="skfhsfkjdh" localSheetId="8">#REF!</definedName>
    <definedName name="skfhsfkjdh" localSheetId="6">#REF!</definedName>
    <definedName name="skfhsfkjdh" localSheetId="10">#REF!</definedName>
    <definedName name="skfhsfkjdh" localSheetId="7">#REF!</definedName>
    <definedName name="skfhsfkjdh" localSheetId="3">#REF!</definedName>
    <definedName name="skfhsfkjdh" localSheetId="4">#REF!</definedName>
    <definedName name="skfhsfkjdh">#REF!</definedName>
    <definedName name="txtBoxNotes" localSheetId="5">#REF!</definedName>
    <definedName name="txtBoxNotes" localSheetId="9">#REF!</definedName>
    <definedName name="txtBoxNotes" localSheetId="8">#REF!</definedName>
    <definedName name="txtBoxNotes" localSheetId="6">#REF!</definedName>
    <definedName name="txtBoxNotes" localSheetId="10">#REF!</definedName>
    <definedName name="txtBoxNotes" localSheetId="7">#REF!</definedName>
    <definedName name="txtBoxNotes" localSheetId="3">#REF!</definedName>
    <definedName name="txtBoxNotes" localSheetId="4">#REF!</definedName>
    <definedName name="txtBoxNotes">#REF!</definedName>
    <definedName name="USHolidays">[1]Holidays!$B$2:$U$13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6" i="143" l="1"/>
  <c r="C66" i="144"/>
  <c r="C66" i="148" l="1"/>
  <c r="O5" i="152"/>
  <c r="R5" i="152" s="1"/>
  <c r="P5" i="151"/>
  <c r="Q5" i="151" s="1"/>
  <c r="O5" i="156"/>
  <c r="O6" i="156" s="1"/>
  <c r="O7" i="156" s="1"/>
  <c r="P5" i="152" l="1"/>
  <c r="O6" i="152"/>
  <c r="P6" i="152" s="1"/>
  <c r="Q5" i="152"/>
  <c r="P6" i="151"/>
  <c r="P7" i="151" s="1"/>
  <c r="R5" i="156"/>
  <c r="P5" i="156"/>
  <c r="Q5" i="156"/>
  <c r="R5" i="151"/>
  <c r="S5" i="151"/>
  <c r="T5" i="151"/>
  <c r="O8" i="156"/>
  <c r="Q7" i="156"/>
  <c r="P7" i="156"/>
  <c r="R7" i="156"/>
  <c r="Q6" i="156"/>
  <c r="R6" i="156"/>
  <c r="P6" i="156"/>
  <c r="O7" i="152" l="1"/>
  <c r="P7" i="152" s="1"/>
  <c r="Q6" i="152"/>
  <c r="R6" i="152"/>
  <c r="P8" i="151"/>
  <c r="O9" i="156"/>
  <c r="Q7" i="152" l="1"/>
  <c r="R7" i="152"/>
  <c r="O8" i="152"/>
  <c r="O9" i="152" s="1"/>
  <c r="P9" i="151"/>
  <c r="P10" i="151" s="1"/>
  <c r="O10" i="156"/>
  <c r="O10" i="152" l="1"/>
  <c r="P11" i="151"/>
  <c r="O11" i="156"/>
  <c r="O11" i="152" l="1"/>
  <c r="P12" i="151"/>
  <c r="O12" i="156"/>
  <c r="O12" i="152" l="1"/>
  <c r="P13" i="151"/>
  <c r="T12" i="151"/>
  <c r="T11" i="151" s="1"/>
  <c r="T10" i="151" s="1"/>
  <c r="T9" i="151" s="1"/>
  <c r="T8" i="151" s="1"/>
  <c r="T7" i="151" s="1"/>
  <c r="T6" i="151" s="1"/>
  <c r="S12" i="151"/>
  <c r="S11" i="151" s="1"/>
  <c r="S10" i="151" s="1"/>
  <c r="S9" i="151" s="1"/>
  <c r="S8" i="151" s="1"/>
  <c r="S7" i="151" s="1"/>
  <c r="S6" i="151" s="1"/>
  <c r="Q12" i="151"/>
  <c r="Q11" i="151" s="1"/>
  <c r="Q10" i="151" s="1"/>
  <c r="Q9" i="151" s="1"/>
  <c r="Q8" i="151" s="1"/>
  <c r="Q7" i="151" s="1"/>
  <c r="Q6" i="151" s="1"/>
  <c r="R12" i="151"/>
  <c r="R11" i="151" s="1"/>
  <c r="R10" i="151" s="1"/>
  <c r="R9" i="151" s="1"/>
  <c r="R8" i="151" s="1"/>
  <c r="R7" i="151" s="1"/>
  <c r="R6" i="151" s="1"/>
  <c r="O13" i="156"/>
  <c r="R12" i="156"/>
  <c r="R11" i="156" s="1"/>
  <c r="R10" i="156" s="1"/>
  <c r="R9" i="156" s="1"/>
  <c r="R8" i="156" s="1"/>
  <c r="Q12" i="156"/>
  <c r="Q11" i="156" s="1"/>
  <c r="Q10" i="156" s="1"/>
  <c r="Q9" i="156" s="1"/>
  <c r="Q8" i="156" s="1"/>
  <c r="P12" i="156"/>
  <c r="P11" i="156" s="1"/>
  <c r="P10" i="156" s="1"/>
  <c r="P9" i="156" s="1"/>
  <c r="P8" i="156" s="1"/>
  <c r="P12" i="152" l="1"/>
  <c r="P11" i="152" s="1"/>
  <c r="P10" i="152" s="1"/>
  <c r="P9" i="152" s="1"/>
  <c r="P8" i="152" s="1"/>
  <c r="O13" i="152"/>
  <c r="R12" i="152"/>
  <c r="R11" i="152" s="1"/>
  <c r="R10" i="152" s="1"/>
  <c r="R9" i="152" s="1"/>
  <c r="R8" i="152" s="1"/>
  <c r="Q12" i="152"/>
  <c r="Q11" i="152" s="1"/>
  <c r="Q10" i="152" s="1"/>
  <c r="Q9" i="152" s="1"/>
  <c r="Q8" i="152" s="1"/>
  <c r="P14" i="151"/>
  <c r="O14" i="156"/>
  <c r="Q13" i="156"/>
  <c r="P13" i="156"/>
  <c r="R13" i="156"/>
  <c r="O14" i="152" l="1"/>
  <c r="R13" i="152"/>
  <c r="P13" i="152"/>
  <c r="Q13" i="152"/>
  <c r="P15" i="151"/>
  <c r="O15" i="156"/>
  <c r="R14" i="156"/>
  <c r="Q14" i="156"/>
  <c r="P14" i="156"/>
  <c r="P14" i="152" l="1"/>
  <c r="O15" i="152"/>
  <c r="Q14" i="152"/>
  <c r="R14" i="152"/>
  <c r="P16" i="151"/>
  <c r="O16" i="156"/>
  <c r="O16" i="152" l="1"/>
  <c r="P17" i="151"/>
  <c r="O17" i="156"/>
  <c r="O17" i="152" l="1"/>
  <c r="P18" i="151"/>
  <c r="O18" i="156"/>
  <c r="O18" i="152" l="1"/>
  <c r="P19" i="151"/>
  <c r="O19" i="156"/>
  <c r="O19" i="152" l="1"/>
  <c r="S19" i="151"/>
  <c r="S18" i="151" s="1"/>
  <c r="S17" i="151" s="1"/>
  <c r="S16" i="151" s="1"/>
  <c r="S15" i="151" s="1"/>
  <c r="S14" i="151" s="1"/>
  <c r="S13" i="151" s="1"/>
  <c r="R19" i="151"/>
  <c r="R18" i="151" s="1"/>
  <c r="R17" i="151" s="1"/>
  <c r="R16" i="151" s="1"/>
  <c r="R15" i="151" s="1"/>
  <c r="R14" i="151" s="1"/>
  <c r="R13" i="151" s="1"/>
  <c r="Q19" i="151"/>
  <c r="Q18" i="151" s="1"/>
  <c r="Q17" i="151" s="1"/>
  <c r="Q16" i="151" s="1"/>
  <c r="Q15" i="151" s="1"/>
  <c r="Q14" i="151" s="1"/>
  <c r="Q13" i="151" s="1"/>
  <c r="P20" i="151"/>
  <c r="T19" i="151"/>
  <c r="T18" i="151" s="1"/>
  <c r="T17" i="151" s="1"/>
  <c r="T16" i="151" s="1"/>
  <c r="T15" i="151" s="1"/>
  <c r="T14" i="151" s="1"/>
  <c r="T13" i="151" s="1"/>
  <c r="Q19" i="156"/>
  <c r="Q18" i="156" s="1"/>
  <c r="Q17" i="156" s="1"/>
  <c r="Q16" i="156" s="1"/>
  <c r="Q15" i="156" s="1"/>
  <c r="O20" i="156"/>
  <c r="R19" i="156"/>
  <c r="R18" i="156" s="1"/>
  <c r="R17" i="156" s="1"/>
  <c r="R16" i="156" s="1"/>
  <c r="R15" i="156" s="1"/>
  <c r="P19" i="156"/>
  <c r="P18" i="156" s="1"/>
  <c r="P17" i="156" s="1"/>
  <c r="P16" i="156" s="1"/>
  <c r="P15" i="156" s="1"/>
  <c r="R19" i="152" l="1"/>
  <c r="R18" i="152" s="1"/>
  <c r="R17" i="152" s="1"/>
  <c r="R16" i="152" s="1"/>
  <c r="R15" i="152" s="1"/>
  <c r="Q19" i="152"/>
  <c r="Q18" i="152" s="1"/>
  <c r="Q17" i="152" s="1"/>
  <c r="Q16" i="152" s="1"/>
  <c r="Q15" i="152" s="1"/>
  <c r="P19" i="152"/>
  <c r="P18" i="152" s="1"/>
  <c r="P17" i="152" s="1"/>
  <c r="P16" i="152" s="1"/>
  <c r="P15" i="152" s="1"/>
  <c r="O20" i="152"/>
  <c r="P21" i="151"/>
  <c r="P20" i="156"/>
  <c r="O21" i="156"/>
  <c r="R20" i="156"/>
  <c r="Q20" i="156"/>
  <c r="P20" i="152" l="1"/>
  <c r="O21" i="152"/>
  <c r="Q20" i="152"/>
  <c r="R20" i="152"/>
  <c r="P22" i="151"/>
  <c r="Q21" i="156"/>
  <c r="P21" i="156"/>
  <c r="O22" i="156"/>
  <c r="R21" i="156"/>
  <c r="O22" i="152" l="1"/>
  <c r="R21" i="152"/>
  <c r="Q21" i="152"/>
  <c r="P21" i="152"/>
  <c r="P23" i="151"/>
  <c r="O23" i="156"/>
  <c r="O23" i="152" l="1"/>
  <c r="P24" i="151"/>
  <c r="O24" i="156"/>
  <c r="O24" i="152" l="1"/>
  <c r="P25" i="151"/>
  <c r="O25" i="156"/>
  <c r="O25" i="152" l="1"/>
  <c r="P26" i="151"/>
  <c r="O26" i="156"/>
  <c r="O26" i="152" l="1"/>
  <c r="P27" i="151"/>
  <c r="S26" i="151"/>
  <c r="S25" i="151" s="1"/>
  <c r="S24" i="151" s="1"/>
  <c r="S23" i="151" s="1"/>
  <c r="S22" i="151" s="1"/>
  <c r="S21" i="151" s="1"/>
  <c r="S20" i="151" s="1"/>
  <c r="T26" i="151"/>
  <c r="T25" i="151" s="1"/>
  <c r="T24" i="151" s="1"/>
  <c r="T23" i="151" s="1"/>
  <c r="T22" i="151" s="1"/>
  <c r="T21" i="151" s="1"/>
  <c r="T20" i="151" s="1"/>
  <c r="R26" i="151"/>
  <c r="R25" i="151" s="1"/>
  <c r="R24" i="151" s="1"/>
  <c r="R23" i="151" s="1"/>
  <c r="R22" i="151" s="1"/>
  <c r="R21" i="151" s="1"/>
  <c r="R20" i="151" s="1"/>
  <c r="Q26" i="151"/>
  <c r="Q25" i="151" s="1"/>
  <c r="Q24" i="151" s="1"/>
  <c r="Q23" i="151" s="1"/>
  <c r="Q22" i="151" s="1"/>
  <c r="Q21" i="151" s="1"/>
  <c r="Q20" i="151" s="1"/>
  <c r="O27" i="156"/>
  <c r="R26" i="156"/>
  <c r="R25" i="156" s="1"/>
  <c r="R24" i="156" s="1"/>
  <c r="R23" i="156" s="1"/>
  <c r="R22" i="156" s="1"/>
  <c r="Q26" i="156"/>
  <c r="Q25" i="156" s="1"/>
  <c r="Q24" i="156" s="1"/>
  <c r="Q23" i="156" s="1"/>
  <c r="Q22" i="156" s="1"/>
  <c r="P26" i="156"/>
  <c r="P25" i="156" s="1"/>
  <c r="P24" i="156" s="1"/>
  <c r="P23" i="156" s="1"/>
  <c r="P22" i="156" s="1"/>
  <c r="P26" i="152" l="1"/>
  <c r="P25" i="152" s="1"/>
  <c r="P24" i="152" s="1"/>
  <c r="P23" i="152" s="1"/>
  <c r="P22" i="152" s="1"/>
  <c r="O27" i="152"/>
  <c r="R26" i="152"/>
  <c r="R25" i="152" s="1"/>
  <c r="R24" i="152" s="1"/>
  <c r="R23" i="152" s="1"/>
  <c r="R22" i="152" s="1"/>
  <c r="Q26" i="152"/>
  <c r="Q25" i="152" s="1"/>
  <c r="Q24" i="152" s="1"/>
  <c r="Q23" i="152" s="1"/>
  <c r="Q22" i="152" s="1"/>
  <c r="P28" i="151"/>
  <c r="Q27" i="156"/>
  <c r="O28" i="156"/>
  <c r="R27" i="156"/>
  <c r="P27" i="156"/>
  <c r="R27" i="152" l="1"/>
  <c r="Q27" i="152"/>
  <c r="P27" i="152"/>
  <c r="O28" i="152"/>
  <c r="P29" i="151"/>
  <c r="P28" i="156"/>
  <c r="O29" i="156"/>
  <c r="R28" i="156"/>
  <c r="Q28" i="156"/>
  <c r="P28" i="152" l="1"/>
  <c r="O29" i="152"/>
  <c r="Q28" i="152"/>
  <c r="R28" i="152"/>
  <c r="P30" i="151"/>
  <c r="O30" i="156"/>
  <c r="O30" i="152" l="1"/>
  <c r="P31" i="151"/>
  <c r="O31" i="156"/>
  <c r="O31" i="152" l="1"/>
  <c r="P32" i="151"/>
  <c r="O32" i="156"/>
  <c r="O32" i="152" l="1"/>
  <c r="P33" i="151"/>
  <c r="O33" i="156"/>
  <c r="O33" i="152" l="1"/>
  <c r="P34" i="151"/>
  <c r="T33" i="151"/>
  <c r="T32" i="151" s="1"/>
  <c r="T31" i="151" s="1"/>
  <c r="T30" i="151" s="1"/>
  <c r="T29" i="151" s="1"/>
  <c r="T28" i="151" s="1"/>
  <c r="T27" i="151" s="1"/>
  <c r="S33" i="151"/>
  <c r="S32" i="151" s="1"/>
  <c r="S31" i="151" s="1"/>
  <c r="S30" i="151" s="1"/>
  <c r="S29" i="151" s="1"/>
  <c r="S28" i="151" s="1"/>
  <c r="S27" i="151" s="1"/>
  <c r="R33" i="151"/>
  <c r="R32" i="151" s="1"/>
  <c r="R31" i="151" s="1"/>
  <c r="R30" i="151" s="1"/>
  <c r="R29" i="151" s="1"/>
  <c r="R28" i="151" s="1"/>
  <c r="R27" i="151" s="1"/>
  <c r="Q33" i="151"/>
  <c r="Q32" i="151" s="1"/>
  <c r="Q31" i="151" s="1"/>
  <c r="Q30" i="151" s="1"/>
  <c r="Q29" i="151" s="1"/>
  <c r="Q28" i="151" s="1"/>
  <c r="Q27" i="151" s="1"/>
  <c r="Q33" i="156"/>
  <c r="Q32" i="156" s="1"/>
  <c r="Q31" i="156" s="1"/>
  <c r="Q30" i="156" s="1"/>
  <c r="Q29" i="156" s="1"/>
  <c r="O34" i="156"/>
  <c r="R33" i="156"/>
  <c r="R32" i="156" s="1"/>
  <c r="R31" i="156" s="1"/>
  <c r="R30" i="156" s="1"/>
  <c r="R29" i="156" s="1"/>
  <c r="P33" i="156"/>
  <c r="P32" i="156" s="1"/>
  <c r="P31" i="156" s="1"/>
  <c r="P30" i="156" s="1"/>
  <c r="P29" i="156" s="1"/>
  <c r="O34" i="152" l="1"/>
  <c r="R33" i="152"/>
  <c r="R32" i="152" s="1"/>
  <c r="R31" i="152" s="1"/>
  <c r="R30" i="152" s="1"/>
  <c r="R29" i="152" s="1"/>
  <c r="Q33" i="152"/>
  <c r="Q32" i="152" s="1"/>
  <c r="Q31" i="152" s="1"/>
  <c r="Q30" i="152" s="1"/>
  <c r="Q29" i="152" s="1"/>
  <c r="P33" i="152"/>
  <c r="P32" i="152" s="1"/>
  <c r="P31" i="152" s="1"/>
  <c r="P30" i="152" s="1"/>
  <c r="P29" i="152" s="1"/>
  <c r="P35" i="151"/>
  <c r="O35" i="156"/>
  <c r="R34" i="156"/>
  <c r="Q34" i="156"/>
  <c r="P34" i="156"/>
  <c r="P34" i="152" l="1"/>
  <c r="Q34" i="152"/>
  <c r="O35" i="152"/>
  <c r="R34" i="152"/>
  <c r="P36" i="151"/>
  <c r="Q35" i="156"/>
  <c r="R35" i="156"/>
  <c r="P35" i="156"/>
  <c r="O36" i="156"/>
  <c r="O36" i="152" l="1"/>
  <c r="R35" i="152"/>
  <c r="Q35" i="152"/>
  <c r="P35" i="152"/>
  <c r="P37" i="151"/>
  <c r="O37" i="156"/>
  <c r="O37" i="152" l="1"/>
  <c r="P38" i="151"/>
  <c r="O38" i="156"/>
  <c r="O38" i="152" l="1"/>
  <c r="P39" i="151"/>
  <c r="O39" i="156"/>
  <c r="O39" i="152" l="1"/>
  <c r="P40" i="151"/>
  <c r="O40" i="156"/>
  <c r="O40" i="152" l="1"/>
  <c r="R40" i="151"/>
  <c r="R39" i="151" s="1"/>
  <c r="R38" i="151" s="1"/>
  <c r="R37" i="151" s="1"/>
  <c r="R36" i="151" s="1"/>
  <c r="R35" i="151" s="1"/>
  <c r="R34" i="151" s="1"/>
  <c r="Q40" i="151"/>
  <c r="Q39" i="151" s="1"/>
  <c r="Q38" i="151" s="1"/>
  <c r="Q37" i="151" s="1"/>
  <c r="Q36" i="151" s="1"/>
  <c r="Q35" i="151" s="1"/>
  <c r="Q34" i="151" s="1"/>
  <c r="P41" i="151"/>
  <c r="S40" i="151"/>
  <c r="S39" i="151" s="1"/>
  <c r="S38" i="151" s="1"/>
  <c r="S37" i="151" s="1"/>
  <c r="S36" i="151" s="1"/>
  <c r="S35" i="151" s="1"/>
  <c r="S34" i="151" s="1"/>
  <c r="T40" i="151"/>
  <c r="T39" i="151" s="1"/>
  <c r="T38" i="151" s="1"/>
  <c r="T37" i="151" s="1"/>
  <c r="T36" i="151" s="1"/>
  <c r="T35" i="151" s="1"/>
  <c r="T34" i="151" s="1"/>
  <c r="O41" i="156"/>
  <c r="R40" i="156"/>
  <c r="R39" i="156" s="1"/>
  <c r="R38" i="156" s="1"/>
  <c r="R37" i="156" s="1"/>
  <c r="R36" i="156" s="1"/>
  <c r="Q40" i="156"/>
  <c r="Q39" i="156" s="1"/>
  <c r="Q38" i="156" s="1"/>
  <c r="Q37" i="156" s="1"/>
  <c r="Q36" i="156" s="1"/>
  <c r="P40" i="156"/>
  <c r="P39" i="156" s="1"/>
  <c r="P38" i="156" s="1"/>
  <c r="P37" i="156" s="1"/>
  <c r="P36" i="156" s="1"/>
  <c r="P40" i="152" l="1"/>
  <c r="P39" i="152" s="1"/>
  <c r="P38" i="152" s="1"/>
  <c r="P37" i="152" s="1"/>
  <c r="P36" i="152" s="1"/>
  <c r="O41" i="152"/>
  <c r="R40" i="152"/>
  <c r="R39" i="152" s="1"/>
  <c r="R38" i="152" s="1"/>
  <c r="R37" i="152" s="1"/>
  <c r="R36" i="152" s="1"/>
  <c r="Q40" i="152"/>
  <c r="Q39" i="152" s="1"/>
  <c r="Q38" i="152" s="1"/>
  <c r="Q37" i="152" s="1"/>
  <c r="Q36" i="152" s="1"/>
  <c r="P42" i="151"/>
  <c r="P41" i="156"/>
  <c r="O42" i="156"/>
  <c r="Q41" i="156"/>
  <c r="R41" i="156"/>
  <c r="R41" i="152" l="1"/>
  <c r="Q41" i="152"/>
  <c r="P41" i="152"/>
  <c r="O42" i="152"/>
  <c r="P43" i="151"/>
  <c r="Q42" i="156"/>
  <c r="P42" i="156"/>
  <c r="O43" i="156"/>
  <c r="R42" i="156"/>
  <c r="P42" i="152" l="1"/>
  <c r="O43" i="152"/>
  <c r="Q42" i="152"/>
  <c r="R42" i="152"/>
  <c r="P44" i="151"/>
  <c r="O44" i="156"/>
  <c r="O44" i="152" l="1"/>
  <c r="P45" i="151"/>
  <c r="O45" i="156"/>
  <c r="O45" i="152" l="1"/>
  <c r="P46" i="151"/>
  <c r="O46" i="156"/>
  <c r="O46" i="152" l="1"/>
  <c r="P47" i="151"/>
  <c r="O47" i="156"/>
  <c r="O47" i="152" l="1"/>
  <c r="P48" i="151"/>
  <c r="S47" i="151"/>
  <c r="S46" i="151" s="1"/>
  <c r="S45" i="151" s="1"/>
  <c r="S44" i="151" s="1"/>
  <c r="S43" i="151" s="1"/>
  <c r="S42" i="151" s="1"/>
  <c r="S41" i="151" s="1"/>
  <c r="T47" i="151"/>
  <c r="T46" i="151" s="1"/>
  <c r="T45" i="151" s="1"/>
  <c r="T44" i="151" s="1"/>
  <c r="T43" i="151" s="1"/>
  <c r="T42" i="151" s="1"/>
  <c r="T41" i="151" s="1"/>
  <c r="R47" i="151"/>
  <c r="R46" i="151" s="1"/>
  <c r="R45" i="151" s="1"/>
  <c r="R44" i="151" s="1"/>
  <c r="R43" i="151" s="1"/>
  <c r="R42" i="151" s="1"/>
  <c r="R41" i="151" s="1"/>
  <c r="Q47" i="151"/>
  <c r="Q46" i="151" s="1"/>
  <c r="Q45" i="151" s="1"/>
  <c r="Q44" i="151" s="1"/>
  <c r="Q43" i="151" s="1"/>
  <c r="Q42" i="151" s="1"/>
  <c r="Q41" i="151" s="1"/>
  <c r="P47" i="156"/>
  <c r="P46" i="156" s="1"/>
  <c r="P45" i="156" s="1"/>
  <c r="P44" i="156" s="1"/>
  <c r="P43" i="156" s="1"/>
  <c r="O48" i="156"/>
  <c r="R47" i="156"/>
  <c r="R46" i="156" s="1"/>
  <c r="R45" i="156" s="1"/>
  <c r="R44" i="156" s="1"/>
  <c r="R43" i="156" s="1"/>
  <c r="Q47" i="156"/>
  <c r="Q46" i="156" s="1"/>
  <c r="Q45" i="156" s="1"/>
  <c r="Q44" i="156" s="1"/>
  <c r="Q43" i="156" s="1"/>
  <c r="R47" i="152" l="1"/>
  <c r="R46" i="152" s="1"/>
  <c r="R45" i="152" s="1"/>
  <c r="R44" i="152" s="1"/>
  <c r="R43" i="152" s="1"/>
  <c r="Q47" i="152"/>
  <c r="Q46" i="152" s="1"/>
  <c r="Q45" i="152" s="1"/>
  <c r="Q44" i="152" s="1"/>
  <c r="Q43" i="152" s="1"/>
  <c r="P47" i="152"/>
  <c r="P46" i="152" s="1"/>
  <c r="P45" i="152" s="1"/>
  <c r="P44" i="152" s="1"/>
  <c r="P43" i="152" s="1"/>
  <c r="O48" i="152"/>
  <c r="P49" i="151"/>
  <c r="Q48" i="156"/>
  <c r="O49" i="156"/>
  <c r="R48" i="156"/>
  <c r="P48" i="156"/>
  <c r="P48" i="152" l="1"/>
  <c r="O49" i="152"/>
  <c r="R48" i="152"/>
  <c r="Q48" i="152"/>
  <c r="P50" i="151"/>
  <c r="P49" i="156"/>
  <c r="O50" i="156"/>
  <c r="R49" i="156"/>
  <c r="Q49" i="156"/>
  <c r="O50" i="152" l="1"/>
  <c r="R49" i="152"/>
  <c r="Q49" i="152"/>
  <c r="P49" i="152"/>
  <c r="P51" i="151"/>
  <c r="O51" i="156"/>
  <c r="O51" i="152" l="1"/>
  <c r="P52" i="151"/>
  <c r="O52" i="156"/>
  <c r="O52" i="152" l="1"/>
  <c r="P53" i="151"/>
  <c r="O53" i="156"/>
  <c r="O53" i="152" l="1"/>
  <c r="P54" i="151"/>
  <c r="O54" i="156"/>
  <c r="O54" i="152" l="1"/>
  <c r="T54" i="151"/>
  <c r="T53" i="151" s="1"/>
  <c r="T52" i="151" s="1"/>
  <c r="T51" i="151" s="1"/>
  <c r="T50" i="151" s="1"/>
  <c r="T49" i="151" s="1"/>
  <c r="T48" i="151" s="1"/>
  <c r="S54" i="151"/>
  <c r="S53" i="151" s="1"/>
  <c r="S52" i="151" s="1"/>
  <c r="S51" i="151" s="1"/>
  <c r="S50" i="151" s="1"/>
  <c r="S49" i="151" s="1"/>
  <c r="S48" i="151" s="1"/>
  <c r="R54" i="151"/>
  <c r="R53" i="151" s="1"/>
  <c r="R52" i="151" s="1"/>
  <c r="R51" i="151" s="1"/>
  <c r="R50" i="151" s="1"/>
  <c r="R49" i="151" s="1"/>
  <c r="R48" i="151" s="1"/>
  <c r="Q54" i="151"/>
  <c r="Q53" i="151" s="1"/>
  <c r="Q52" i="151" s="1"/>
  <c r="Q51" i="151" s="1"/>
  <c r="Q50" i="151" s="1"/>
  <c r="Q49" i="151" s="1"/>
  <c r="Q48" i="151" s="1"/>
  <c r="P55" i="151"/>
  <c r="O55" i="156"/>
  <c r="Q54" i="156"/>
  <c r="Q53" i="156" s="1"/>
  <c r="Q52" i="156" s="1"/>
  <c r="Q51" i="156" s="1"/>
  <c r="Q50" i="156" s="1"/>
  <c r="R54" i="156"/>
  <c r="R53" i="156" s="1"/>
  <c r="R52" i="156" s="1"/>
  <c r="R51" i="156" s="1"/>
  <c r="R50" i="156" s="1"/>
  <c r="P54" i="156"/>
  <c r="P53" i="156" s="1"/>
  <c r="P52" i="156" s="1"/>
  <c r="P51" i="156" s="1"/>
  <c r="P50" i="156" s="1"/>
  <c r="P54" i="152" l="1"/>
  <c r="P53" i="152" s="1"/>
  <c r="P52" i="152" s="1"/>
  <c r="P51" i="152" s="1"/>
  <c r="P50" i="152" s="1"/>
  <c r="O55" i="152"/>
  <c r="Q54" i="152"/>
  <c r="Q53" i="152" s="1"/>
  <c r="Q52" i="152" s="1"/>
  <c r="Q51" i="152" s="1"/>
  <c r="Q50" i="152" s="1"/>
  <c r="R54" i="152"/>
  <c r="R53" i="152" s="1"/>
  <c r="R52" i="152" s="1"/>
  <c r="R51" i="152" s="1"/>
  <c r="R50" i="152" s="1"/>
  <c r="P56" i="151"/>
  <c r="R55" i="156"/>
  <c r="P55" i="156"/>
  <c r="Q55" i="156"/>
  <c r="O56" i="156"/>
  <c r="O56" i="152" l="1"/>
  <c r="R55" i="152"/>
  <c r="Q55" i="152"/>
  <c r="P55" i="152"/>
  <c r="P57" i="151"/>
  <c r="O57" i="156"/>
  <c r="Q56" i="156"/>
  <c r="P56" i="156"/>
  <c r="R56" i="156"/>
  <c r="P56" i="152" l="1"/>
  <c r="O57" i="152"/>
  <c r="R56" i="152"/>
  <c r="Q56" i="152"/>
  <c r="P58" i="151"/>
  <c r="O58" i="156"/>
  <c r="O58" i="152" l="1"/>
  <c r="P59" i="151"/>
  <c r="O59" i="156"/>
  <c r="O59" i="152" l="1"/>
  <c r="P60" i="151"/>
  <c r="O60" i="156"/>
  <c r="O60" i="152" l="1"/>
  <c r="P61" i="151"/>
  <c r="O61" i="156"/>
  <c r="O61" i="152" l="1"/>
  <c r="Q61" i="151"/>
  <c r="Q60" i="151" s="1"/>
  <c r="Q59" i="151" s="1"/>
  <c r="Q58" i="151" s="1"/>
  <c r="Q57" i="151" s="1"/>
  <c r="Q56" i="151" s="1"/>
  <c r="Q55" i="151" s="1"/>
  <c r="P62" i="151"/>
  <c r="T61" i="151"/>
  <c r="T60" i="151" s="1"/>
  <c r="T59" i="151" s="1"/>
  <c r="T58" i="151" s="1"/>
  <c r="T57" i="151" s="1"/>
  <c r="T56" i="151" s="1"/>
  <c r="T55" i="151" s="1"/>
  <c r="S61" i="151"/>
  <c r="S60" i="151" s="1"/>
  <c r="S59" i="151" s="1"/>
  <c r="S58" i="151" s="1"/>
  <c r="S57" i="151" s="1"/>
  <c r="S56" i="151" s="1"/>
  <c r="S55" i="151" s="1"/>
  <c r="R61" i="151"/>
  <c r="R60" i="151" s="1"/>
  <c r="R59" i="151" s="1"/>
  <c r="R58" i="151" s="1"/>
  <c r="R57" i="151" s="1"/>
  <c r="R56" i="151" s="1"/>
  <c r="R55" i="151" s="1"/>
  <c r="R61" i="156"/>
  <c r="R60" i="156" s="1"/>
  <c r="R59" i="156" s="1"/>
  <c r="R58" i="156" s="1"/>
  <c r="R57" i="156" s="1"/>
  <c r="P61" i="156"/>
  <c r="P60" i="156" s="1"/>
  <c r="P59" i="156" s="1"/>
  <c r="P58" i="156" s="1"/>
  <c r="P57" i="156" s="1"/>
  <c r="Q61" i="156"/>
  <c r="Q60" i="156" s="1"/>
  <c r="Q59" i="156" s="1"/>
  <c r="Q58" i="156" s="1"/>
  <c r="Q57" i="156" s="1"/>
  <c r="O62" i="156"/>
  <c r="O62" i="152" l="1"/>
  <c r="R61" i="152"/>
  <c r="R60" i="152" s="1"/>
  <c r="R59" i="152" s="1"/>
  <c r="R58" i="152" s="1"/>
  <c r="R57" i="152" s="1"/>
  <c r="Q61" i="152"/>
  <c r="Q60" i="152" s="1"/>
  <c r="Q59" i="152" s="1"/>
  <c r="Q58" i="152" s="1"/>
  <c r="Q57" i="152" s="1"/>
  <c r="P61" i="152"/>
  <c r="P60" i="152" s="1"/>
  <c r="P59" i="152" s="1"/>
  <c r="P58" i="152" s="1"/>
  <c r="P57" i="152" s="1"/>
  <c r="P63" i="151"/>
  <c r="O63" i="156"/>
  <c r="Q62" i="156"/>
  <c r="R62" i="156"/>
  <c r="P62" i="156"/>
  <c r="P62" i="152" l="1"/>
  <c r="Q62" i="152"/>
  <c r="O63" i="152"/>
  <c r="R62" i="152"/>
  <c r="P64" i="151"/>
  <c r="R63" i="156"/>
  <c r="P63" i="156"/>
  <c r="Q63" i="156"/>
  <c r="O64" i="156"/>
  <c r="O64" i="152" l="1"/>
  <c r="R63" i="152"/>
  <c r="Q63" i="152"/>
  <c r="P63" i="152"/>
  <c r="P65" i="151"/>
  <c r="O65" i="156"/>
  <c r="O65" i="152" l="1"/>
  <c r="P66" i="151"/>
  <c r="O66" i="156"/>
  <c r="O66" i="152" l="1"/>
  <c r="P67" i="151"/>
  <c r="O67" i="156"/>
  <c r="O67" i="152" l="1"/>
  <c r="P68" i="151"/>
  <c r="O68" i="156"/>
  <c r="O68" i="152" l="1"/>
  <c r="R68" i="151"/>
  <c r="R67" i="151" s="1"/>
  <c r="R66" i="151" s="1"/>
  <c r="R65" i="151" s="1"/>
  <c r="R64" i="151" s="1"/>
  <c r="R63" i="151" s="1"/>
  <c r="R62" i="151" s="1"/>
  <c r="P69" i="151"/>
  <c r="T68" i="151"/>
  <c r="T67" i="151" s="1"/>
  <c r="T66" i="151" s="1"/>
  <c r="T65" i="151" s="1"/>
  <c r="T64" i="151" s="1"/>
  <c r="T63" i="151" s="1"/>
  <c r="T62" i="151" s="1"/>
  <c r="S68" i="151"/>
  <c r="S67" i="151" s="1"/>
  <c r="S66" i="151" s="1"/>
  <c r="S65" i="151" s="1"/>
  <c r="S64" i="151" s="1"/>
  <c r="S63" i="151" s="1"/>
  <c r="S62" i="151" s="1"/>
  <c r="Q68" i="151"/>
  <c r="Q67" i="151" s="1"/>
  <c r="Q66" i="151" s="1"/>
  <c r="Q65" i="151" s="1"/>
  <c r="Q64" i="151" s="1"/>
  <c r="Q63" i="151" s="1"/>
  <c r="Q62" i="151" s="1"/>
  <c r="O69" i="156"/>
  <c r="Q68" i="156"/>
  <c r="Q67" i="156" s="1"/>
  <c r="Q66" i="156" s="1"/>
  <c r="Q65" i="156" s="1"/>
  <c r="Q64" i="156" s="1"/>
  <c r="R68" i="156"/>
  <c r="R67" i="156" s="1"/>
  <c r="R66" i="156" s="1"/>
  <c r="R65" i="156" s="1"/>
  <c r="R64" i="156" s="1"/>
  <c r="P68" i="156"/>
  <c r="P67" i="156" s="1"/>
  <c r="P66" i="156" s="1"/>
  <c r="P65" i="156" s="1"/>
  <c r="P64" i="156" s="1"/>
  <c r="R68" i="152" l="1"/>
  <c r="R67" i="152" s="1"/>
  <c r="R66" i="152" s="1"/>
  <c r="R65" i="152" s="1"/>
  <c r="R64" i="152" s="1"/>
  <c r="Q68" i="152"/>
  <c r="Q67" i="152" s="1"/>
  <c r="Q66" i="152" s="1"/>
  <c r="Q65" i="152" s="1"/>
  <c r="Q64" i="152" s="1"/>
  <c r="P68" i="152"/>
  <c r="P67" i="152" s="1"/>
  <c r="P66" i="152" s="1"/>
  <c r="P65" i="152" s="1"/>
  <c r="P64" i="152" s="1"/>
  <c r="O69" i="152"/>
  <c r="P70" i="151"/>
  <c r="R69" i="156"/>
  <c r="P69" i="156"/>
  <c r="O70" i="156"/>
  <c r="Q69" i="156"/>
  <c r="P69" i="152" l="1"/>
  <c r="O70" i="152"/>
  <c r="R69" i="152"/>
  <c r="Q69" i="152"/>
  <c r="P71" i="151"/>
  <c r="O71" i="156"/>
  <c r="Q70" i="156"/>
  <c r="R70" i="156"/>
  <c r="P70" i="156"/>
  <c r="R70" i="152" l="1"/>
  <c r="O71" i="152"/>
  <c r="Q70" i="152"/>
  <c r="P70" i="152"/>
  <c r="P72" i="151"/>
  <c r="O72" i="156"/>
  <c r="O72" i="152" l="1"/>
  <c r="P73" i="151"/>
  <c r="O73" i="156"/>
  <c r="O73" i="152" l="1"/>
  <c r="P74" i="151"/>
  <c r="O74" i="156"/>
  <c r="O74" i="152" l="1"/>
  <c r="P75" i="151"/>
  <c r="O75" i="156"/>
  <c r="O75" i="152" l="1"/>
  <c r="S75" i="151"/>
  <c r="S74" i="151" s="1"/>
  <c r="S73" i="151" s="1"/>
  <c r="S72" i="151" s="1"/>
  <c r="S71" i="151" s="1"/>
  <c r="S70" i="151" s="1"/>
  <c r="S69" i="151" s="1"/>
  <c r="R75" i="151"/>
  <c r="R74" i="151" s="1"/>
  <c r="R73" i="151" s="1"/>
  <c r="R72" i="151" s="1"/>
  <c r="R71" i="151" s="1"/>
  <c r="R70" i="151" s="1"/>
  <c r="R69" i="151" s="1"/>
  <c r="Q75" i="151"/>
  <c r="Q74" i="151" s="1"/>
  <c r="Q73" i="151" s="1"/>
  <c r="Q72" i="151" s="1"/>
  <c r="Q71" i="151" s="1"/>
  <c r="Q70" i="151" s="1"/>
  <c r="Q69" i="151" s="1"/>
  <c r="P76" i="151"/>
  <c r="T75" i="151"/>
  <c r="T74" i="151" s="1"/>
  <c r="T73" i="151" s="1"/>
  <c r="T72" i="151" s="1"/>
  <c r="T71" i="151" s="1"/>
  <c r="T70" i="151" s="1"/>
  <c r="T69" i="151" s="1"/>
  <c r="R75" i="156"/>
  <c r="R74" i="156" s="1"/>
  <c r="R73" i="156" s="1"/>
  <c r="R72" i="156" s="1"/>
  <c r="R71" i="156" s="1"/>
  <c r="P75" i="156"/>
  <c r="P74" i="156" s="1"/>
  <c r="P73" i="156" s="1"/>
  <c r="P72" i="156" s="1"/>
  <c r="P71" i="156" s="1"/>
  <c r="Q75" i="156"/>
  <c r="Q74" i="156" s="1"/>
  <c r="Q73" i="156" s="1"/>
  <c r="Q72" i="156" s="1"/>
  <c r="Q71" i="156" s="1"/>
  <c r="O76" i="156"/>
  <c r="P75" i="152" l="1"/>
  <c r="P74" i="152" s="1"/>
  <c r="P73" i="152" s="1"/>
  <c r="P72" i="152" s="1"/>
  <c r="P71" i="152" s="1"/>
  <c r="O76" i="152"/>
  <c r="R75" i="152"/>
  <c r="R74" i="152" s="1"/>
  <c r="R73" i="152" s="1"/>
  <c r="R72" i="152" s="1"/>
  <c r="R71" i="152" s="1"/>
  <c r="Q75" i="152"/>
  <c r="Q74" i="152" s="1"/>
  <c r="Q73" i="152" s="1"/>
  <c r="Q72" i="152" s="1"/>
  <c r="Q71" i="152" s="1"/>
  <c r="P77" i="151"/>
  <c r="O77" i="156"/>
  <c r="Q76" i="156"/>
  <c r="R76" i="156"/>
  <c r="P76" i="156"/>
  <c r="R76" i="152" l="1"/>
  <c r="Q76" i="152"/>
  <c r="P76" i="152"/>
  <c r="O77" i="152"/>
  <c r="P78" i="151"/>
  <c r="R77" i="156"/>
  <c r="P77" i="156"/>
  <c r="Q77" i="156"/>
  <c r="O78" i="156"/>
  <c r="P77" i="152" l="1"/>
  <c r="O78" i="152"/>
  <c r="R77" i="152"/>
  <c r="Q77" i="152"/>
  <c r="P79" i="151"/>
  <c r="O79" i="156"/>
  <c r="O79" i="152" l="1"/>
  <c r="P80" i="151"/>
  <c r="O80" i="156"/>
  <c r="O80" i="152" l="1"/>
  <c r="P81" i="151"/>
  <c r="O81" i="156"/>
  <c r="O81" i="152" l="1"/>
  <c r="P82" i="151"/>
  <c r="O82" i="156"/>
  <c r="O82" i="152" l="1"/>
  <c r="Q82" i="151"/>
  <c r="Q81" i="151" s="1"/>
  <c r="Q80" i="151" s="1"/>
  <c r="Q79" i="151" s="1"/>
  <c r="Q78" i="151" s="1"/>
  <c r="Q77" i="151" s="1"/>
  <c r="Q76" i="151" s="1"/>
  <c r="T82" i="151"/>
  <c r="T81" i="151" s="1"/>
  <c r="T80" i="151" s="1"/>
  <c r="T79" i="151" s="1"/>
  <c r="T78" i="151" s="1"/>
  <c r="T77" i="151" s="1"/>
  <c r="T76" i="151" s="1"/>
  <c r="P83" i="151"/>
  <c r="S82" i="151"/>
  <c r="S81" i="151" s="1"/>
  <c r="S80" i="151" s="1"/>
  <c r="S79" i="151" s="1"/>
  <c r="S78" i="151" s="1"/>
  <c r="S77" i="151" s="1"/>
  <c r="S76" i="151" s="1"/>
  <c r="R82" i="151"/>
  <c r="R81" i="151" s="1"/>
  <c r="R80" i="151" s="1"/>
  <c r="R79" i="151" s="1"/>
  <c r="R78" i="151" s="1"/>
  <c r="R77" i="151" s="1"/>
  <c r="R76" i="151" s="1"/>
  <c r="O83" i="156"/>
  <c r="Q82" i="156"/>
  <c r="Q81" i="156" s="1"/>
  <c r="Q80" i="156" s="1"/>
  <c r="Q79" i="156" s="1"/>
  <c r="Q78" i="156" s="1"/>
  <c r="R82" i="156"/>
  <c r="R81" i="156" s="1"/>
  <c r="R80" i="156" s="1"/>
  <c r="R79" i="156" s="1"/>
  <c r="R78" i="156" s="1"/>
  <c r="P82" i="156"/>
  <c r="P81" i="156" s="1"/>
  <c r="P80" i="156" s="1"/>
  <c r="P79" i="156" s="1"/>
  <c r="P78" i="156" s="1"/>
  <c r="R82" i="152" l="1"/>
  <c r="R81" i="152" s="1"/>
  <c r="R80" i="152" s="1"/>
  <c r="R79" i="152" s="1"/>
  <c r="R78" i="152" s="1"/>
  <c r="O83" i="152"/>
  <c r="P82" i="152"/>
  <c r="P81" i="152" s="1"/>
  <c r="P80" i="152" s="1"/>
  <c r="P79" i="152" s="1"/>
  <c r="P78" i="152" s="1"/>
  <c r="Q82" i="152"/>
  <c r="Q81" i="152" s="1"/>
  <c r="Q80" i="152" s="1"/>
  <c r="Q79" i="152" s="1"/>
  <c r="Q78" i="152" s="1"/>
  <c r="P84" i="151"/>
  <c r="R83" i="156"/>
  <c r="P83" i="156"/>
  <c r="Q83" i="156"/>
  <c r="O84" i="156"/>
  <c r="P83" i="152" l="1"/>
  <c r="O84" i="152"/>
  <c r="R83" i="152"/>
  <c r="Q83" i="152"/>
  <c r="P85" i="151"/>
  <c r="O85" i="156"/>
  <c r="Q84" i="156"/>
  <c r="P84" i="156"/>
  <c r="R84" i="156"/>
  <c r="R84" i="152" l="1"/>
  <c r="Q84" i="152"/>
  <c r="P84" i="152"/>
  <c r="O85" i="152"/>
  <c r="P86" i="151"/>
  <c r="O86" i="156"/>
  <c r="O86" i="152" l="1"/>
  <c r="P87" i="151"/>
  <c r="O87" i="156"/>
  <c r="O87" i="152" l="1"/>
  <c r="P88" i="151"/>
  <c r="O88" i="156"/>
  <c r="O88" i="152" l="1"/>
  <c r="P89" i="151"/>
  <c r="O89" i="156"/>
  <c r="O89" i="152" l="1"/>
  <c r="P90" i="151"/>
  <c r="T89" i="151"/>
  <c r="T88" i="151" s="1"/>
  <c r="T87" i="151" s="1"/>
  <c r="T86" i="151" s="1"/>
  <c r="T85" i="151" s="1"/>
  <c r="T84" i="151" s="1"/>
  <c r="T83" i="151" s="1"/>
  <c r="S89" i="151"/>
  <c r="S88" i="151" s="1"/>
  <c r="S87" i="151" s="1"/>
  <c r="S86" i="151" s="1"/>
  <c r="S85" i="151" s="1"/>
  <c r="S84" i="151" s="1"/>
  <c r="S83" i="151" s="1"/>
  <c r="R89" i="151"/>
  <c r="R88" i="151" s="1"/>
  <c r="R87" i="151" s="1"/>
  <c r="R86" i="151" s="1"/>
  <c r="R85" i="151" s="1"/>
  <c r="R84" i="151" s="1"/>
  <c r="R83" i="151" s="1"/>
  <c r="Q89" i="151"/>
  <c r="Q88" i="151" s="1"/>
  <c r="Q87" i="151" s="1"/>
  <c r="Q86" i="151" s="1"/>
  <c r="Q85" i="151" s="1"/>
  <c r="Q84" i="151" s="1"/>
  <c r="Q83" i="151" s="1"/>
  <c r="R89" i="156"/>
  <c r="R88" i="156" s="1"/>
  <c r="R87" i="156" s="1"/>
  <c r="R86" i="156" s="1"/>
  <c r="R85" i="156" s="1"/>
  <c r="P89" i="156"/>
  <c r="P88" i="156" s="1"/>
  <c r="P87" i="156" s="1"/>
  <c r="P86" i="156" s="1"/>
  <c r="P85" i="156" s="1"/>
  <c r="O90" i="156"/>
  <c r="Q89" i="156"/>
  <c r="Q88" i="156" s="1"/>
  <c r="Q87" i="156" s="1"/>
  <c r="Q86" i="156" s="1"/>
  <c r="Q85" i="156" s="1"/>
  <c r="P89" i="152" l="1"/>
  <c r="P88" i="152" s="1"/>
  <c r="P87" i="152" s="1"/>
  <c r="P86" i="152" s="1"/>
  <c r="P85" i="152" s="1"/>
  <c r="O90" i="152"/>
  <c r="R89" i="152"/>
  <c r="R88" i="152" s="1"/>
  <c r="R87" i="152" s="1"/>
  <c r="R86" i="152" s="1"/>
  <c r="R85" i="152" s="1"/>
  <c r="Q89" i="152"/>
  <c r="Q88" i="152" s="1"/>
  <c r="Q87" i="152" s="1"/>
  <c r="Q86" i="152" s="1"/>
  <c r="Q85" i="152" s="1"/>
  <c r="P91" i="151"/>
  <c r="O91" i="156"/>
  <c r="Q90" i="156"/>
  <c r="R90" i="156"/>
  <c r="P90" i="156"/>
  <c r="R90" i="152" l="1"/>
  <c r="O91" i="152"/>
  <c r="Q90" i="152"/>
  <c r="P90" i="152"/>
  <c r="P92" i="151"/>
  <c r="R91" i="156"/>
  <c r="P91" i="156"/>
  <c r="Q91" i="156"/>
  <c r="O92" i="156"/>
  <c r="P91" i="152" l="1"/>
  <c r="O92" i="152"/>
  <c r="R91" i="152"/>
  <c r="Q91" i="152"/>
  <c r="P93" i="151"/>
  <c r="O93" i="156"/>
  <c r="O93" i="152" l="1"/>
  <c r="P94" i="151"/>
  <c r="O94" i="156"/>
  <c r="O94" i="152" l="1"/>
  <c r="P95" i="151"/>
  <c r="O95" i="156"/>
  <c r="O95" i="152" l="1"/>
  <c r="P96" i="151"/>
  <c r="O96" i="156"/>
  <c r="O96" i="152" l="1"/>
  <c r="S96" i="151"/>
  <c r="S95" i="151" s="1"/>
  <c r="S94" i="151" s="1"/>
  <c r="S93" i="151" s="1"/>
  <c r="S92" i="151" s="1"/>
  <c r="S91" i="151" s="1"/>
  <c r="S90" i="151" s="1"/>
  <c r="R96" i="151"/>
  <c r="R95" i="151" s="1"/>
  <c r="R94" i="151" s="1"/>
  <c r="R93" i="151" s="1"/>
  <c r="R92" i="151" s="1"/>
  <c r="R91" i="151" s="1"/>
  <c r="R90" i="151" s="1"/>
  <c r="Q96" i="151"/>
  <c r="Q95" i="151" s="1"/>
  <c r="Q94" i="151" s="1"/>
  <c r="Q93" i="151" s="1"/>
  <c r="Q92" i="151" s="1"/>
  <c r="Q91" i="151" s="1"/>
  <c r="Q90" i="151" s="1"/>
  <c r="P97" i="151"/>
  <c r="T96" i="151"/>
  <c r="T95" i="151" s="1"/>
  <c r="T94" i="151" s="1"/>
  <c r="T93" i="151" s="1"/>
  <c r="T92" i="151" s="1"/>
  <c r="T91" i="151" s="1"/>
  <c r="T90" i="151" s="1"/>
  <c r="O97" i="156"/>
  <c r="Q96" i="156"/>
  <c r="Q95" i="156" s="1"/>
  <c r="Q94" i="156" s="1"/>
  <c r="Q93" i="156" s="1"/>
  <c r="Q92" i="156" s="1"/>
  <c r="R96" i="156"/>
  <c r="R95" i="156" s="1"/>
  <c r="R94" i="156" s="1"/>
  <c r="R93" i="156" s="1"/>
  <c r="R92" i="156" s="1"/>
  <c r="P96" i="156"/>
  <c r="P95" i="156" s="1"/>
  <c r="P94" i="156" s="1"/>
  <c r="P93" i="156" s="1"/>
  <c r="P92" i="156" s="1"/>
  <c r="R96" i="152" l="1"/>
  <c r="R95" i="152" s="1"/>
  <c r="R94" i="152" s="1"/>
  <c r="R93" i="152" s="1"/>
  <c r="R92" i="152" s="1"/>
  <c r="O97" i="152"/>
  <c r="Q96" i="152"/>
  <c r="Q95" i="152" s="1"/>
  <c r="Q94" i="152" s="1"/>
  <c r="Q93" i="152" s="1"/>
  <c r="Q92" i="152" s="1"/>
  <c r="P96" i="152"/>
  <c r="P95" i="152" s="1"/>
  <c r="P94" i="152" s="1"/>
  <c r="P93" i="152" s="1"/>
  <c r="P92" i="152" s="1"/>
  <c r="P98" i="151"/>
  <c r="R97" i="156"/>
  <c r="P97" i="156"/>
  <c r="O98" i="156"/>
  <c r="Q97" i="156"/>
  <c r="P97" i="152" l="1"/>
  <c r="O98" i="152"/>
  <c r="R97" i="152"/>
  <c r="Q97" i="152"/>
  <c r="P99" i="151"/>
  <c r="O99" i="156"/>
  <c r="Q98" i="156"/>
  <c r="R98" i="156"/>
  <c r="P98" i="156"/>
  <c r="R98" i="152" l="1"/>
  <c r="O99" i="152"/>
  <c r="P98" i="152"/>
  <c r="Q98" i="152"/>
  <c r="P100" i="151"/>
  <c r="O100" i="156"/>
  <c r="O100" i="152" l="1"/>
  <c r="P101" i="151"/>
  <c r="O101" i="156"/>
  <c r="O101" i="152" l="1"/>
  <c r="P102" i="151"/>
  <c r="O102" i="156"/>
  <c r="O102" i="152" l="1"/>
  <c r="P103" i="151"/>
  <c r="O103" i="156"/>
  <c r="O103" i="152" l="1"/>
  <c r="P104" i="151"/>
  <c r="S103" i="151"/>
  <c r="S102" i="151" s="1"/>
  <c r="S101" i="151" s="1"/>
  <c r="S100" i="151" s="1"/>
  <c r="S99" i="151" s="1"/>
  <c r="S98" i="151" s="1"/>
  <c r="S97" i="151" s="1"/>
  <c r="T103" i="151"/>
  <c r="T102" i="151" s="1"/>
  <c r="T101" i="151" s="1"/>
  <c r="T100" i="151" s="1"/>
  <c r="T99" i="151" s="1"/>
  <c r="T98" i="151" s="1"/>
  <c r="T97" i="151" s="1"/>
  <c r="R103" i="151"/>
  <c r="R102" i="151" s="1"/>
  <c r="R101" i="151" s="1"/>
  <c r="R100" i="151" s="1"/>
  <c r="R99" i="151" s="1"/>
  <c r="R98" i="151" s="1"/>
  <c r="R97" i="151" s="1"/>
  <c r="Q103" i="151"/>
  <c r="Q102" i="151" s="1"/>
  <c r="Q101" i="151" s="1"/>
  <c r="Q100" i="151" s="1"/>
  <c r="Q99" i="151" s="1"/>
  <c r="Q98" i="151" s="1"/>
  <c r="Q97" i="151" s="1"/>
  <c r="R103" i="156"/>
  <c r="R102" i="156" s="1"/>
  <c r="R101" i="156" s="1"/>
  <c r="R100" i="156" s="1"/>
  <c r="R99" i="156" s="1"/>
  <c r="P103" i="156"/>
  <c r="P102" i="156" s="1"/>
  <c r="P101" i="156" s="1"/>
  <c r="P100" i="156" s="1"/>
  <c r="P99" i="156" s="1"/>
  <c r="Q103" i="156"/>
  <c r="Q102" i="156" s="1"/>
  <c r="Q101" i="156" s="1"/>
  <c r="Q100" i="156" s="1"/>
  <c r="Q99" i="156" s="1"/>
  <c r="O104" i="156"/>
  <c r="P103" i="152" l="1"/>
  <c r="P102" i="152" s="1"/>
  <c r="P101" i="152" s="1"/>
  <c r="P100" i="152" s="1"/>
  <c r="P99" i="152" s="1"/>
  <c r="Q103" i="152"/>
  <c r="Q102" i="152" s="1"/>
  <c r="Q101" i="152" s="1"/>
  <c r="Q100" i="152" s="1"/>
  <c r="Q99" i="152" s="1"/>
  <c r="R103" i="152"/>
  <c r="R102" i="152" s="1"/>
  <c r="R101" i="152" s="1"/>
  <c r="R100" i="152" s="1"/>
  <c r="R99" i="152" s="1"/>
  <c r="O104" i="152"/>
  <c r="P105" i="151"/>
  <c r="O105" i="156"/>
  <c r="Q104" i="156"/>
  <c r="R104" i="156"/>
  <c r="P104" i="156"/>
  <c r="R104" i="152" l="1"/>
  <c r="O105" i="152"/>
  <c r="Q104" i="152"/>
  <c r="P104" i="152"/>
  <c r="P106" i="151"/>
  <c r="R105" i="156"/>
  <c r="P105" i="156"/>
  <c r="O106" i="156"/>
  <c r="Q105" i="156"/>
  <c r="P105" i="152" l="1"/>
  <c r="O106" i="152"/>
  <c r="R105" i="152"/>
  <c r="Q105" i="152"/>
  <c r="P107" i="151"/>
  <c r="O107" i="156"/>
  <c r="O107" i="152" l="1"/>
  <c r="P108" i="151"/>
  <c r="O108" i="156"/>
  <c r="O108" i="152" l="1"/>
  <c r="P109" i="151"/>
  <c r="O109" i="156"/>
  <c r="O109" i="152" l="1"/>
  <c r="P110" i="151"/>
  <c r="O110" i="156"/>
  <c r="O110" i="152" l="1"/>
  <c r="P111" i="151"/>
  <c r="T110" i="151"/>
  <c r="T109" i="151" s="1"/>
  <c r="T108" i="151" s="1"/>
  <c r="T107" i="151" s="1"/>
  <c r="T106" i="151" s="1"/>
  <c r="T105" i="151" s="1"/>
  <c r="T104" i="151" s="1"/>
  <c r="S110" i="151"/>
  <c r="S109" i="151" s="1"/>
  <c r="S108" i="151" s="1"/>
  <c r="S107" i="151" s="1"/>
  <c r="S106" i="151" s="1"/>
  <c r="S105" i="151" s="1"/>
  <c r="S104" i="151" s="1"/>
  <c r="R110" i="151"/>
  <c r="R109" i="151" s="1"/>
  <c r="R108" i="151" s="1"/>
  <c r="R107" i="151" s="1"/>
  <c r="R106" i="151" s="1"/>
  <c r="R105" i="151" s="1"/>
  <c r="R104" i="151" s="1"/>
  <c r="Q110" i="151"/>
  <c r="Q109" i="151" s="1"/>
  <c r="Q108" i="151" s="1"/>
  <c r="Q107" i="151" s="1"/>
  <c r="Q106" i="151" s="1"/>
  <c r="Q105" i="151" s="1"/>
  <c r="Q104" i="151" s="1"/>
  <c r="O111" i="156"/>
  <c r="Q110" i="156"/>
  <c r="Q109" i="156" s="1"/>
  <c r="Q108" i="156" s="1"/>
  <c r="Q107" i="156" s="1"/>
  <c r="Q106" i="156" s="1"/>
  <c r="R110" i="156"/>
  <c r="R109" i="156" s="1"/>
  <c r="R108" i="156" s="1"/>
  <c r="R107" i="156" s="1"/>
  <c r="R106" i="156" s="1"/>
  <c r="P110" i="156"/>
  <c r="P109" i="156" s="1"/>
  <c r="P108" i="156" s="1"/>
  <c r="P107" i="156" s="1"/>
  <c r="P106" i="156" s="1"/>
  <c r="R110" i="152" l="1"/>
  <c r="R109" i="152" s="1"/>
  <c r="R108" i="152" s="1"/>
  <c r="R107" i="152" s="1"/>
  <c r="R106" i="152" s="1"/>
  <c r="P110" i="152"/>
  <c r="P109" i="152" s="1"/>
  <c r="P108" i="152" s="1"/>
  <c r="P107" i="152" s="1"/>
  <c r="P106" i="152" s="1"/>
  <c r="O111" i="152"/>
  <c r="Q110" i="152"/>
  <c r="Q109" i="152" s="1"/>
  <c r="Q108" i="152" s="1"/>
  <c r="Q107" i="152" s="1"/>
  <c r="Q106" i="152" s="1"/>
  <c r="P112" i="151"/>
  <c r="R111" i="156"/>
  <c r="P111" i="156"/>
  <c r="Q111" i="156"/>
  <c r="O112" i="156"/>
  <c r="P111" i="152" l="1"/>
  <c r="O112" i="152"/>
  <c r="R111" i="152"/>
  <c r="Q111" i="152"/>
  <c r="P113" i="151"/>
  <c r="O113" i="156"/>
  <c r="Q112" i="156"/>
  <c r="R112" i="156"/>
  <c r="P112" i="156"/>
  <c r="R112" i="152" l="1"/>
  <c r="P112" i="152"/>
  <c r="Q112" i="152"/>
  <c r="O113" i="152"/>
  <c r="P114" i="151"/>
  <c r="O114" i="156"/>
  <c r="O114" i="152" l="1"/>
  <c r="P115" i="151"/>
  <c r="O115" i="156"/>
  <c r="O115" i="152" l="1"/>
  <c r="P116" i="151"/>
  <c r="O116" i="156"/>
  <c r="O116" i="152" l="1"/>
  <c r="P117" i="151"/>
  <c r="O117" i="156"/>
  <c r="O117" i="152" l="1"/>
  <c r="R117" i="151"/>
  <c r="R116" i="151" s="1"/>
  <c r="R115" i="151" s="1"/>
  <c r="R114" i="151" s="1"/>
  <c r="R113" i="151" s="1"/>
  <c r="R112" i="151" s="1"/>
  <c r="R111" i="151" s="1"/>
  <c r="Q117" i="151"/>
  <c r="Q116" i="151" s="1"/>
  <c r="Q115" i="151" s="1"/>
  <c r="Q114" i="151" s="1"/>
  <c r="Q113" i="151" s="1"/>
  <c r="Q112" i="151" s="1"/>
  <c r="Q111" i="151" s="1"/>
  <c r="P118" i="151"/>
  <c r="T117" i="151"/>
  <c r="T116" i="151" s="1"/>
  <c r="T115" i="151" s="1"/>
  <c r="T114" i="151" s="1"/>
  <c r="T113" i="151" s="1"/>
  <c r="T112" i="151" s="1"/>
  <c r="T111" i="151" s="1"/>
  <c r="S117" i="151"/>
  <c r="S116" i="151" s="1"/>
  <c r="S115" i="151" s="1"/>
  <c r="S114" i="151" s="1"/>
  <c r="S113" i="151" s="1"/>
  <c r="S112" i="151" s="1"/>
  <c r="S111" i="151" s="1"/>
  <c r="R117" i="156"/>
  <c r="R116" i="156" s="1"/>
  <c r="R115" i="156" s="1"/>
  <c r="R114" i="156" s="1"/>
  <c r="R113" i="156" s="1"/>
  <c r="P117" i="156"/>
  <c r="P116" i="156" s="1"/>
  <c r="P115" i="156" s="1"/>
  <c r="P114" i="156" s="1"/>
  <c r="P113" i="156" s="1"/>
  <c r="O118" i="156"/>
  <c r="Q117" i="156"/>
  <c r="Q116" i="156" s="1"/>
  <c r="Q115" i="156" s="1"/>
  <c r="Q114" i="156" s="1"/>
  <c r="Q113" i="156" s="1"/>
  <c r="P117" i="152" l="1"/>
  <c r="P116" i="152" s="1"/>
  <c r="P115" i="152" s="1"/>
  <c r="P114" i="152" s="1"/>
  <c r="P113" i="152" s="1"/>
  <c r="O118" i="152"/>
  <c r="R117" i="152"/>
  <c r="R116" i="152" s="1"/>
  <c r="R115" i="152" s="1"/>
  <c r="R114" i="152" s="1"/>
  <c r="R113" i="152" s="1"/>
  <c r="Q117" i="152"/>
  <c r="Q116" i="152" s="1"/>
  <c r="Q115" i="152" s="1"/>
  <c r="Q114" i="152" s="1"/>
  <c r="Q113" i="152" s="1"/>
  <c r="P119" i="151"/>
  <c r="O119" i="156"/>
  <c r="Q118" i="156"/>
  <c r="R118" i="156"/>
  <c r="P118" i="156"/>
  <c r="R118" i="152" l="1"/>
  <c r="P118" i="152"/>
  <c r="O119" i="152"/>
  <c r="Q118" i="152"/>
  <c r="P120" i="151"/>
  <c r="R119" i="156"/>
  <c r="P119" i="156"/>
  <c r="Q119" i="156"/>
  <c r="O120" i="156"/>
  <c r="P119" i="152" l="1"/>
  <c r="O120" i="152"/>
  <c r="R119" i="152"/>
  <c r="Q119" i="152"/>
  <c r="P121" i="151"/>
  <c r="O121" i="156"/>
  <c r="O121" i="152" l="1"/>
  <c r="P122" i="151"/>
  <c r="O122" i="156"/>
  <c r="O122" i="152" l="1"/>
  <c r="P123" i="151"/>
  <c r="O123" i="156"/>
  <c r="O123" i="152" l="1"/>
  <c r="P124" i="151"/>
  <c r="O124" i="156"/>
  <c r="O124" i="152" l="1"/>
  <c r="P125" i="151"/>
  <c r="T124" i="151"/>
  <c r="T123" i="151" s="1"/>
  <c r="T122" i="151" s="1"/>
  <c r="T121" i="151" s="1"/>
  <c r="T120" i="151" s="1"/>
  <c r="T119" i="151" s="1"/>
  <c r="T118" i="151" s="1"/>
  <c r="S124" i="151"/>
  <c r="S123" i="151" s="1"/>
  <c r="S122" i="151" s="1"/>
  <c r="S121" i="151" s="1"/>
  <c r="S120" i="151" s="1"/>
  <c r="S119" i="151" s="1"/>
  <c r="S118" i="151" s="1"/>
  <c r="R124" i="151"/>
  <c r="R123" i="151" s="1"/>
  <c r="R122" i="151" s="1"/>
  <c r="R121" i="151" s="1"/>
  <c r="R120" i="151" s="1"/>
  <c r="R119" i="151" s="1"/>
  <c r="R118" i="151" s="1"/>
  <c r="Q124" i="151"/>
  <c r="Q123" i="151" s="1"/>
  <c r="Q122" i="151" s="1"/>
  <c r="Q121" i="151" s="1"/>
  <c r="Q120" i="151" s="1"/>
  <c r="Q119" i="151" s="1"/>
  <c r="Q118" i="151" s="1"/>
  <c r="O125" i="156"/>
  <c r="Q124" i="156"/>
  <c r="Q123" i="156" s="1"/>
  <c r="Q122" i="156" s="1"/>
  <c r="Q121" i="156" s="1"/>
  <c r="Q120" i="156" s="1"/>
  <c r="R124" i="156"/>
  <c r="R123" i="156" s="1"/>
  <c r="R122" i="156" s="1"/>
  <c r="R121" i="156" s="1"/>
  <c r="R120" i="156" s="1"/>
  <c r="P124" i="156"/>
  <c r="P123" i="156" s="1"/>
  <c r="P122" i="156" s="1"/>
  <c r="P121" i="156" s="1"/>
  <c r="P120" i="156" s="1"/>
  <c r="R124" i="152" l="1"/>
  <c r="R123" i="152" s="1"/>
  <c r="R122" i="152" s="1"/>
  <c r="R121" i="152" s="1"/>
  <c r="R120" i="152" s="1"/>
  <c r="P124" i="152"/>
  <c r="P123" i="152" s="1"/>
  <c r="P122" i="152" s="1"/>
  <c r="P121" i="152" s="1"/>
  <c r="P120" i="152" s="1"/>
  <c r="O125" i="152"/>
  <c r="Q124" i="152"/>
  <c r="Q123" i="152" s="1"/>
  <c r="Q122" i="152" s="1"/>
  <c r="Q121" i="152" s="1"/>
  <c r="Q120" i="152" s="1"/>
  <c r="P126" i="151"/>
  <c r="R125" i="156"/>
  <c r="P125" i="156"/>
  <c r="O126" i="156"/>
  <c r="Q125" i="156"/>
  <c r="P125" i="152" l="1"/>
  <c r="O126" i="152"/>
  <c r="R125" i="152"/>
  <c r="Q125" i="152"/>
  <c r="P127" i="151"/>
  <c r="O127" i="156"/>
  <c r="Q126" i="156"/>
  <c r="R126" i="156"/>
  <c r="P126" i="156"/>
  <c r="R126" i="152" l="1"/>
  <c r="P126" i="152"/>
  <c r="O127" i="152"/>
  <c r="Q126" i="152"/>
  <c r="P128" i="151"/>
  <c r="O128" i="156"/>
  <c r="O128" i="152" l="1"/>
  <c r="P129" i="151"/>
  <c r="O129" i="156"/>
  <c r="O129" i="152" l="1"/>
  <c r="P130" i="151"/>
  <c r="O130" i="156"/>
  <c r="O130" i="152" l="1"/>
  <c r="P131" i="151"/>
  <c r="O131" i="156"/>
  <c r="O131" i="152" l="1"/>
  <c r="T131" i="151"/>
  <c r="T130" i="151" s="1"/>
  <c r="T129" i="151" s="1"/>
  <c r="T128" i="151" s="1"/>
  <c r="T127" i="151" s="1"/>
  <c r="T126" i="151" s="1"/>
  <c r="T125" i="151" s="1"/>
  <c r="S131" i="151"/>
  <c r="S130" i="151" s="1"/>
  <c r="S129" i="151" s="1"/>
  <c r="S128" i="151" s="1"/>
  <c r="S127" i="151" s="1"/>
  <c r="S126" i="151" s="1"/>
  <c r="S125" i="151" s="1"/>
  <c r="R131" i="151"/>
  <c r="R130" i="151" s="1"/>
  <c r="R129" i="151" s="1"/>
  <c r="R128" i="151" s="1"/>
  <c r="R127" i="151" s="1"/>
  <c r="R126" i="151" s="1"/>
  <c r="R125" i="151" s="1"/>
  <c r="Q131" i="151"/>
  <c r="Q130" i="151" s="1"/>
  <c r="Q129" i="151" s="1"/>
  <c r="Q128" i="151" s="1"/>
  <c r="Q127" i="151" s="1"/>
  <c r="Q126" i="151" s="1"/>
  <c r="Q125" i="151" s="1"/>
  <c r="P132" i="151"/>
  <c r="R131" i="156"/>
  <c r="R130" i="156" s="1"/>
  <c r="R129" i="156" s="1"/>
  <c r="R128" i="156" s="1"/>
  <c r="R127" i="156" s="1"/>
  <c r="P131" i="156"/>
  <c r="P130" i="156" s="1"/>
  <c r="P129" i="156" s="1"/>
  <c r="P128" i="156" s="1"/>
  <c r="P127" i="156" s="1"/>
  <c r="Q131" i="156"/>
  <c r="Q130" i="156" s="1"/>
  <c r="Q129" i="156" s="1"/>
  <c r="Q128" i="156" s="1"/>
  <c r="Q127" i="156" s="1"/>
  <c r="O132" i="156"/>
  <c r="P131" i="152" l="1"/>
  <c r="P130" i="152" s="1"/>
  <c r="P129" i="152" s="1"/>
  <c r="P128" i="152" s="1"/>
  <c r="P127" i="152" s="1"/>
  <c r="O132" i="152"/>
  <c r="R131" i="152"/>
  <c r="R130" i="152" s="1"/>
  <c r="R129" i="152" s="1"/>
  <c r="R128" i="152" s="1"/>
  <c r="R127" i="152" s="1"/>
  <c r="Q131" i="152"/>
  <c r="Q130" i="152" s="1"/>
  <c r="Q129" i="152" s="1"/>
  <c r="Q128" i="152" s="1"/>
  <c r="Q127" i="152" s="1"/>
  <c r="P133" i="151"/>
  <c r="O133" i="156"/>
  <c r="Q132" i="156"/>
  <c r="R132" i="156"/>
  <c r="P132" i="156"/>
  <c r="R132" i="152" l="1"/>
  <c r="P132" i="152"/>
  <c r="O133" i="152"/>
  <c r="Q132" i="152"/>
  <c r="P134" i="151"/>
  <c r="R133" i="156"/>
  <c r="P133" i="156"/>
  <c r="O134" i="156"/>
  <c r="Q133" i="156"/>
  <c r="P133" i="152" l="1"/>
  <c r="O134" i="152"/>
  <c r="R133" i="152"/>
  <c r="Q133" i="152"/>
  <c r="P135" i="151"/>
  <c r="O135" i="156"/>
  <c r="O135" i="152" l="1"/>
  <c r="P136" i="151"/>
  <c r="O136" i="156"/>
  <c r="O136" i="152" l="1"/>
  <c r="P137" i="151"/>
  <c r="O137" i="156"/>
  <c r="O137" i="152" l="1"/>
  <c r="P138" i="151"/>
  <c r="O138" i="156"/>
  <c r="O138" i="152" l="1"/>
  <c r="Q138" i="151"/>
  <c r="Q137" i="151" s="1"/>
  <c r="Q136" i="151" s="1"/>
  <c r="Q135" i="151" s="1"/>
  <c r="Q134" i="151" s="1"/>
  <c r="Q133" i="151" s="1"/>
  <c r="Q132" i="151" s="1"/>
  <c r="P139" i="151"/>
  <c r="T138" i="151"/>
  <c r="T137" i="151" s="1"/>
  <c r="T136" i="151" s="1"/>
  <c r="T135" i="151" s="1"/>
  <c r="T134" i="151" s="1"/>
  <c r="T133" i="151" s="1"/>
  <c r="T132" i="151" s="1"/>
  <c r="S138" i="151"/>
  <c r="S137" i="151" s="1"/>
  <c r="S136" i="151" s="1"/>
  <c r="S135" i="151" s="1"/>
  <c r="S134" i="151" s="1"/>
  <c r="S133" i="151" s="1"/>
  <c r="S132" i="151" s="1"/>
  <c r="R138" i="151"/>
  <c r="R137" i="151" s="1"/>
  <c r="R136" i="151" s="1"/>
  <c r="R135" i="151" s="1"/>
  <c r="R134" i="151" s="1"/>
  <c r="R133" i="151" s="1"/>
  <c r="R132" i="151" s="1"/>
  <c r="O139" i="156"/>
  <c r="Q138" i="156"/>
  <c r="Q137" i="156" s="1"/>
  <c r="Q136" i="156" s="1"/>
  <c r="Q135" i="156" s="1"/>
  <c r="Q134" i="156" s="1"/>
  <c r="R138" i="156"/>
  <c r="R137" i="156" s="1"/>
  <c r="R136" i="156" s="1"/>
  <c r="R135" i="156" s="1"/>
  <c r="R134" i="156" s="1"/>
  <c r="P138" i="156"/>
  <c r="P137" i="156" s="1"/>
  <c r="P136" i="156" s="1"/>
  <c r="P135" i="156" s="1"/>
  <c r="P134" i="156" s="1"/>
  <c r="R138" i="152" l="1"/>
  <c r="R137" i="152" s="1"/>
  <c r="R136" i="152" s="1"/>
  <c r="R135" i="152" s="1"/>
  <c r="R134" i="152" s="1"/>
  <c r="P138" i="152"/>
  <c r="P137" i="152" s="1"/>
  <c r="P136" i="152" s="1"/>
  <c r="P135" i="152" s="1"/>
  <c r="P134" i="152" s="1"/>
  <c r="Q138" i="152"/>
  <c r="Q137" i="152" s="1"/>
  <c r="Q136" i="152" s="1"/>
  <c r="Q135" i="152" s="1"/>
  <c r="Q134" i="152" s="1"/>
  <c r="O139" i="152"/>
  <c r="P140" i="151"/>
  <c r="R139" i="156"/>
  <c r="P139" i="156"/>
  <c r="Q139" i="156"/>
  <c r="O140" i="156"/>
  <c r="P139" i="152" l="1"/>
  <c r="O140" i="152"/>
  <c r="R139" i="152"/>
  <c r="Q139" i="152"/>
  <c r="P141" i="151"/>
  <c r="O141" i="156"/>
  <c r="Q140" i="156"/>
  <c r="R140" i="156"/>
  <c r="P140" i="156"/>
  <c r="R140" i="152" l="1"/>
  <c r="P140" i="152"/>
  <c r="O141" i="152"/>
  <c r="Q140" i="152"/>
  <c r="P142" i="151"/>
  <c r="O142" i="156"/>
  <c r="O142" i="152" l="1"/>
  <c r="P143" i="151"/>
  <c r="O143" i="156"/>
  <c r="O143" i="152" l="1"/>
  <c r="P144" i="151"/>
  <c r="O144" i="156"/>
  <c r="O144" i="152" l="1"/>
  <c r="P145" i="151"/>
  <c r="O145" i="156"/>
  <c r="O145" i="152" l="1"/>
  <c r="R145" i="151"/>
  <c r="R144" i="151" s="1"/>
  <c r="R143" i="151" s="1"/>
  <c r="R142" i="151" s="1"/>
  <c r="R141" i="151" s="1"/>
  <c r="R140" i="151" s="1"/>
  <c r="R139" i="151" s="1"/>
  <c r="Q145" i="151"/>
  <c r="Q144" i="151" s="1"/>
  <c r="Q143" i="151" s="1"/>
  <c r="Q142" i="151" s="1"/>
  <c r="Q141" i="151" s="1"/>
  <c r="Q140" i="151" s="1"/>
  <c r="Q139" i="151" s="1"/>
  <c r="T145" i="151"/>
  <c r="T144" i="151" s="1"/>
  <c r="T143" i="151" s="1"/>
  <c r="T142" i="151" s="1"/>
  <c r="T141" i="151" s="1"/>
  <c r="T140" i="151" s="1"/>
  <c r="T139" i="151" s="1"/>
  <c r="S145" i="151"/>
  <c r="S144" i="151" s="1"/>
  <c r="S143" i="151" s="1"/>
  <c r="S142" i="151" s="1"/>
  <c r="S141" i="151" s="1"/>
  <c r="S140" i="151" s="1"/>
  <c r="S139" i="151" s="1"/>
  <c r="P146" i="151"/>
  <c r="R145" i="156"/>
  <c r="R144" i="156" s="1"/>
  <c r="R143" i="156" s="1"/>
  <c r="R142" i="156" s="1"/>
  <c r="R141" i="156" s="1"/>
  <c r="P145" i="156"/>
  <c r="P144" i="156" s="1"/>
  <c r="P143" i="156" s="1"/>
  <c r="P142" i="156" s="1"/>
  <c r="P141" i="156" s="1"/>
  <c r="O146" i="156"/>
  <c r="Q145" i="156"/>
  <c r="Q144" i="156" s="1"/>
  <c r="Q143" i="156" s="1"/>
  <c r="Q142" i="156" s="1"/>
  <c r="Q141" i="156" s="1"/>
  <c r="P145" i="152" l="1"/>
  <c r="P144" i="152" s="1"/>
  <c r="P143" i="152" s="1"/>
  <c r="P142" i="152" s="1"/>
  <c r="P141" i="152" s="1"/>
  <c r="O146" i="152"/>
  <c r="R145" i="152"/>
  <c r="R144" i="152" s="1"/>
  <c r="R143" i="152" s="1"/>
  <c r="R142" i="152" s="1"/>
  <c r="R141" i="152" s="1"/>
  <c r="Q145" i="152"/>
  <c r="Q144" i="152" s="1"/>
  <c r="Q143" i="152" s="1"/>
  <c r="Q142" i="152" s="1"/>
  <c r="Q141" i="152" s="1"/>
  <c r="P147" i="151"/>
  <c r="O147" i="156"/>
  <c r="Q146" i="156"/>
  <c r="R146" i="156"/>
  <c r="P146" i="156"/>
  <c r="R146" i="152" l="1"/>
  <c r="P146" i="152"/>
  <c r="O147" i="152"/>
  <c r="Q146" i="152"/>
  <c r="P148" i="151"/>
  <c r="R147" i="156"/>
  <c r="P147" i="156"/>
  <c r="Q147" i="156"/>
  <c r="O148" i="156"/>
  <c r="P147" i="152" l="1"/>
  <c r="O148" i="152"/>
  <c r="R147" i="152"/>
  <c r="Q147" i="152"/>
  <c r="P149" i="151"/>
  <c r="O149" i="156"/>
  <c r="O149" i="152" l="1"/>
  <c r="P150" i="151"/>
  <c r="O150" i="156"/>
  <c r="O150" i="152" l="1"/>
  <c r="P151" i="151"/>
  <c r="O151" i="156"/>
  <c r="O151" i="152" l="1"/>
  <c r="P152" i="151"/>
  <c r="O152" i="156"/>
  <c r="O152" i="152" l="1"/>
  <c r="Q152" i="151"/>
  <c r="Q151" i="151" s="1"/>
  <c r="Q150" i="151" s="1"/>
  <c r="Q149" i="151" s="1"/>
  <c r="Q148" i="151" s="1"/>
  <c r="Q147" i="151" s="1"/>
  <c r="Q146" i="151" s="1"/>
  <c r="P153" i="151"/>
  <c r="T152" i="151"/>
  <c r="T151" i="151" s="1"/>
  <c r="T150" i="151" s="1"/>
  <c r="T149" i="151" s="1"/>
  <c r="T148" i="151" s="1"/>
  <c r="T147" i="151" s="1"/>
  <c r="T146" i="151" s="1"/>
  <c r="S152" i="151"/>
  <c r="S151" i="151" s="1"/>
  <c r="S150" i="151" s="1"/>
  <c r="S149" i="151" s="1"/>
  <c r="S148" i="151" s="1"/>
  <c r="S147" i="151" s="1"/>
  <c r="S146" i="151" s="1"/>
  <c r="R152" i="151"/>
  <c r="R151" i="151" s="1"/>
  <c r="R150" i="151" s="1"/>
  <c r="R149" i="151" s="1"/>
  <c r="R148" i="151" s="1"/>
  <c r="R147" i="151" s="1"/>
  <c r="R146" i="151" s="1"/>
  <c r="O153" i="156"/>
  <c r="Q152" i="156"/>
  <c r="Q151" i="156" s="1"/>
  <c r="Q150" i="156" s="1"/>
  <c r="Q149" i="156" s="1"/>
  <c r="Q148" i="156" s="1"/>
  <c r="R152" i="156"/>
  <c r="R151" i="156" s="1"/>
  <c r="R150" i="156" s="1"/>
  <c r="R149" i="156" s="1"/>
  <c r="R148" i="156" s="1"/>
  <c r="P152" i="156"/>
  <c r="P151" i="156" s="1"/>
  <c r="P150" i="156" s="1"/>
  <c r="P149" i="156" s="1"/>
  <c r="P148" i="156" s="1"/>
  <c r="R152" i="152" l="1"/>
  <c r="R151" i="152" s="1"/>
  <c r="R150" i="152" s="1"/>
  <c r="R149" i="152" s="1"/>
  <c r="R148" i="152" s="1"/>
  <c r="P152" i="152"/>
  <c r="P151" i="152" s="1"/>
  <c r="P150" i="152" s="1"/>
  <c r="P149" i="152" s="1"/>
  <c r="P148" i="152" s="1"/>
  <c r="O153" i="152"/>
  <c r="Q152" i="152"/>
  <c r="Q151" i="152" s="1"/>
  <c r="Q150" i="152" s="1"/>
  <c r="Q149" i="152" s="1"/>
  <c r="Q148" i="152" s="1"/>
  <c r="P154" i="151"/>
  <c r="R153" i="156"/>
  <c r="P153" i="156"/>
  <c r="O154" i="156"/>
  <c r="Q153" i="156"/>
  <c r="P153" i="152" l="1"/>
  <c r="O154" i="152"/>
  <c r="R153" i="152"/>
  <c r="Q153" i="152"/>
  <c r="P155" i="151"/>
  <c r="O155" i="156"/>
  <c r="Q154" i="156"/>
  <c r="R154" i="156"/>
  <c r="P154" i="156"/>
  <c r="R154" i="152" l="1"/>
  <c r="P154" i="152"/>
  <c r="Q154" i="152"/>
  <c r="O155" i="152"/>
  <c r="P156" i="151"/>
  <c r="O156" i="156"/>
  <c r="O156" i="152" l="1"/>
  <c r="P157" i="151"/>
  <c r="O157" i="156"/>
  <c r="O157" i="152" l="1"/>
  <c r="P158" i="151"/>
  <c r="O158" i="156"/>
  <c r="O158" i="152" l="1"/>
  <c r="P159" i="151"/>
  <c r="O159" i="156"/>
  <c r="O159" i="152" l="1"/>
  <c r="T159" i="151"/>
  <c r="T158" i="151" s="1"/>
  <c r="T157" i="151" s="1"/>
  <c r="T156" i="151" s="1"/>
  <c r="T155" i="151" s="1"/>
  <c r="T154" i="151" s="1"/>
  <c r="T153" i="151" s="1"/>
  <c r="S159" i="151"/>
  <c r="S158" i="151" s="1"/>
  <c r="S157" i="151" s="1"/>
  <c r="S156" i="151" s="1"/>
  <c r="S155" i="151" s="1"/>
  <c r="S154" i="151" s="1"/>
  <c r="S153" i="151" s="1"/>
  <c r="P160" i="151"/>
  <c r="R159" i="151"/>
  <c r="R158" i="151" s="1"/>
  <c r="R157" i="151" s="1"/>
  <c r="R156" i="151" s="1"/>
  <c r="R155" i="151" s="1"/>
  <c r="R154" i="151" s="1"/>
  <c r="R153" i="151" s="1"/>
  <c r="Q159" i="151"/>
  <c r="Q158" i="151" s="1"/>
  <c r="Q157" i="151" s="1"/>
  <c r="Q156" i="151" s="1"/>
  <c r="Q155" i="151" s="1"/>
  <c r="Q154" i="151" s="1"/>
  <c r="Q153" i="151" s="1"/>
  <c r="R159" i="156"/>
  <c r="R158" i="156" s="1"/>
  <c r="R157" i="156" s="1"/>
  <c r="R156" i="156" s="1"/>
  <c r="R155" i="156" s="1"/>
  <c r="P159" i="156"/>
  <c r="P158" i="156" s="1"/>
  <c r="P157" i="156" s="1"/>
  <c r="P156" i="156" s="1"/>
  <c r="P155" i="156" s="1"/>
  <c r="Q159" i="156"/>
  <c r="Q158" i="156" s="1"/>
  <c r="Q157" i="156" s="1"/>
  <c r="Q156" i="156" s="1"/>
  <c r="Q155" i="156" s="1"/>
  <c r="O160" i="156"/>
  <c r="P159" i="152" l="1"/>
  <c r="P158" i="152" s="1"/>
  <c r="P157" i="152" s="1"/>
  <c r="P156" i="152" s="1"/>
  <c r="P155" i="152" s="1"/>
  <c r="O160" i="152"/>
  <c r="R159" i="152"/>
  <c r="R158" i="152" s="1"/>
  <c r="R157" i="152" s="1"/>
  <c r="R156" i="152" s="1"/>
  <c r="R155" i="152" s="1"/>
  <c r="Q159" i="152"/>
  <c r="Q158" i="152" s="1"/>
  <c r="Q157" i="152" s="1"/>
  <c r="Q156" i="152" s="1"/>
  <c r="Q155" i="152" s="1"/>
  <c r="P161" i="151"/>
  <c r="O161" i="156"/>
  <c r="Q160" i="156"/>
  <c r="R160" i="156"/>
  <c r="P160" i="156"/>
  <c r="R160" i="152" l="1"/>
  <c r="P160" i="152"/>
  <c r="O161" i="152"/>
  <c r="Q160" i="152"/>
  <c r="P162" i="151"/>
  <c r="R161" i="156"/>
  <c r="P161" i="156"/>
  <c r="O162" i="156"/>
  <c r="Q161" i="156"/>
  <c r="P161" i="152" l="1"/>
  <c r="O162" i="152"/>
  <c r="R161" i="152"/>
  <c r="Q161" i="152"/>
  <c r="P163" i="151"/>
  <c r="O163" i="156"/>
  <c r="O163" i="152" l="1"/>
  <c r="P164" i="151"/>
  <c r="O164" i="156"/>
  <c r="O164" i="152" l="1"/>
  <c r="P165" i="151"/>
  <c r="O165" i="156"/>
  <c r="O165" i="152" l="1"/>
  <c r="P166" i="151"/>
  <c r="O166" i="156"/>
  <c r="O166" i="152" l="1"/>
  <c r="Q166" i="151"/>
  <c r="Q165" i="151" s="1"/>
  <c r="Q164" i="151" s="1"/>
  <c r="Q163" i="151" s="1"/>
  <c r="Q162" i="151" s="1"/>
  <c r="Q161" i="151" s="1"/>
  <c r="Q160" i="151" s="1"/>
  <c r="P167" i="151"/>
  <c r="T166" i="151"/>
  <c r="T165" i="151" s="1"/>
  <c r="T164" i="151" s="1"/>
  <c r="T163" i="151" s="1"/>
  <c r="T162" i="151" s="1"/>
  <c r="T161" i="151" s="1"/>
  <c r="T160" i="151" s="1"/>
  <c r="S166" i="151"/>
  <c r="S165" i="151" s="1"/>
  <c r="S164" i="151" s="1"/>
  <c r="S163" i="151" s="1"/>
  <c r="S162" i="151" s="1"/>
  <c r="S161" i="151" s="1"/>
  <c r="S160" i="151" s="1"/>
  <c r="R166" i="151"/>
  <c r="R165" i="151" s="1"/>
  <c r="R164" i="151" s="1"/>
  <c r="R163" i="151" s="1"/>
  <c r="R162" i="151" s="1"/>
  <c r="R161" i="151" s="1"/>
  <c r="R160" i="151" s="1"/>
  <c r="O167" i="156"/>
  <c r="Q166" i="156"/>
  <c r="Q165" i="156" s="1"/>
  <c r="Q164" i="156" s="1"/>
  <c r="Q163" i="156" s="1"/>
  <c r="Q162" i="156" s="1"/>
  <c r="R166" i="156"/>
  <c r="R165" i="156" s="1"/>
  <c r="R164" i="156" s="1"/>
  <c r="R163" i="156" s="1"/>
  <c r="R162" i="156" s="1"/>
  <c r="P166" i="156"/>
  <c r="P165" i="156" s="1"/>
  <c r="P164" i="156" s="1"/>
  <c r="P163" i="156" s="1"/>
  <c r="P162" i="156" s="1"/>
  <c r="R166" i="152" l="1"/>
  <c r="R165" i="152" s="1"/>
  <c r="R164" i="152" s="1"/>
  <c r="R163" i="152" s="1"/>
  <c r="R162" i="152" s="1"/>
  <c r="P166" i="152"/>
  <c r="P165" i="152" s="1"/>
  <c r="P164" i="152" s="1"/>
  <c r="P163" i="152" s="1"/>
  <c r="P162" i="152" s="1"/>
  <c r="O167" i="152"/>
  <c r="Q166" i="152"/>
  <c r="Q165" i="152" s="1"/>
  <c r="Q164" i="152" s="1"/>
  <c r="Q163" i="152" s="1"/>
  <c r="Q162" i="152" s="1"/>
  <c r="P168" i="151"/>
  <c r="R167" i="156"/>
  <c r="P167" i="156"/>
  <c r="Q167" i="156"/>
  <c r="O168" i="156"/>
  <c r="P167" i="152" l="1"/>
  <c r="O168" i="152"/>
  <c r="R167" i="152"/>
  <c r="Q167" i="152"/>
  <c r="P169" i="151"/>
  <c r="O169" i="156"/>
  <c r="Q168" i="156"/>
  <c r="R168" i="156"/>
  <c r="P168" i="156"/>
  <c r="R168" i="152" l="1"/>
  <c r="P168" i="152"/>
  <c r="O169" i="152"/>
  <c r="Q168" i="152"/>
  <c r="P170" i="151"/>
  <c r="O170" i="156"/>
  <c r="O170" i="152" l="1"/>
  <c r="P171" i="151"/>
  <c r="O171" i="156"/>
  <c r="O171" i="152" l="1"/>
  <c r="P172" i="151"/>
  <c r="O172" i="156"/>
  <c r="O172" i="152" l="1"/>
  <c r="P173" i="151"/>
  <c r="O173" i="156"/>
  <c r="O173" i="152" l="1"/>
  <c r="P174" i="151"/>
  <c r="T173" i="151"/>
  <c r="T172" i="151" s="1"/>
  <c r="T171" i="151" s="1"/>
  <c r="T170" i="151" s="1"/>
  <c r="T169" i="151" s="1"/>
  <c r="T168" i="151" s="1"/>
  <c r="T167" i="151" s="1"/>
  <c r="S173" i="151"/>
  <c r="S172" i="151" s="1"/>
  <c r="S171" i="151" s="1"/>
  <c r="S170" i="151" s="1"/>
  <c r="S169" i="151" s="1"/>
  <c r="S168" i="151" s="1"/>
  <c r="S167" i="151" s="1"/>
  <c r="Q173" i="151"/>
  <c r="Q172" i="151" s="1"/>
  <c r="Q171" i="151" s="1"/>
  <c r="Q170" i="151" s="1"/>
  <c r="Q169" i="151" s="1"/>
  <c r="Q168" i="151" s="1"/>
  <c r="Q167" i="151" s="1"/>
  <c r="R173" i="151"/>
  <c r="R172" i="151" s="1"/>
  <c r="R171" i="151" s="1"/>
  <c r="R170" i="151" s="1"/>
  <c r="R169" i="151" s="1"/>
  <c r="R168" i="151" s="1"/>
  <c r="R167" i="151" s="1"/>
  <c r="R173" i="156"/>
  <c r="R172" i="156" s="1"/>
  <c r="R171" i="156" s="1"/>
  <c r="R170" i="156" s="1"/>
  <c r="R169" i="156" s="1"/>
  <c r="P173" i="156"/>
  <c r="P172" i="156" s="1"/>
  <c r="P171" i="156" s="1"/>
  <c r="P170" i="156" s="1"/>
  <c r="P169" i="156" s="1"/>
  <c r="O174" i="156"/>
  <c r="Q173" i="156"/>
  <c r="Q172" i="156" s="1"/>
  <c r="Q171" i="156" s="1"/>
  <c r="Q170" i="156" s="1"/>
  <c r="Q169" i="156" s="1"/>
  <c r="P173" i="152" l="1"/>
  <c r="P172" i="152" s="1"/>
  <c r="P171" i="152" s="1"/>
  <c r="P170" i="152" s="1"/>
  <c r="P169" i="152" s="1"/>
  <c r="O174" i="152"/>
  <c r="R173" i="152"/>
  <c r="R172" i="152" s="1"/>
  <c r="R171" i="152" s="1"/>
  <c r="R170" i="152" s="1"/>
  <c r="R169" i="152" s="1"/>
  <c r="Q173" i="152"/>
  <c r="Q172" i="152" s="1"/>
  <c r="Q171" i="152" s="1"/>
  <c r="Q170" i="152" s="1"/>
  <c r="Q169" i="152" s="1"/>
  <c r="P175" i="151"/>
  <c r="O175" i="156"/>
  <c r="Q174" i="156"/>
  <c r="R174" i="156"/>
  <c r="P174" i="156"/>
  <c r="R174" i="152" l="1"/>
  <c r="P174" i="152"/>
  <c r="O175" i="152"/>
  <c r="Q174" i="152"/>
  <c r="P176" i="151"/>
  <c r="R175" i="156"/>
  <c r="P175" i="156"/>
  <c r="Q175" i="156"/>
  <c r="O176" i="156"/>
  <c r="P175" i="152" l="1"/>
  <c r="O176" i="152"/>
  <c r="R175" i="152"/>
  <c r="Q175" i="152"/>
  <c r="P177" i="151"/>
  <c r="O177" i="156"/>
  <c r="O177" i="152" l="1"/>
  <c r="P178" i="151"/>
  <c r="O178" i="156"/>
  <c r="O178" i="152" l="1"/>
  <c r="P179" i="151"/>
  <c r="O179" i="156"/>
  <c r="O179" i="152" l="1"/>
  <c r="P180" i="151"/>
  <c r="O180" i="156"/>
  <c r="O180" i="152" l="1"/>
  <c r="S180" i="151"/>
  <c r="S179" i="151" s="1"/>
  <c r="S178" i="151" s="1"/>
  <c r="S177" i="151" s="1"/>
  <c r="S176" i="151" s="1"/>
  <c r="S175" i="151" s="1"/>
  <c r="S174" i="151" s="1"/>
  <c r="R180" i="151"/>
  <c r="R179" i="151" s="1"/>
  <c r="R178" i="151" s="1"/>
  <c r="R177" i="151" s="1"/>
  <c r="R176" i="151" s="1"/>
  <c r="R175" i="151" s="1"/>
  <c r="R174" i="151" s="1"/>
  <c r="Q180" i="151"/>
  <c r="Q179" i="151" s="1"/>
  <c r="Q178" i="151" s="1"/>
  <c r="Q177" i="151" s="1"/>
  <c r="Q176" i="151" s="1"/>
  <c r="Q175" i="151" s="1"/>
  <c r="Q174" i="151" s="1"/>
  <c r="T180" i="151"/>
  <c r="T179" i="151" s="1"/>
  <c r="T178" i="151" s="1"/>
  <c r="T177" i="151" s="1"/>
  <c r="T176" i="151" s="1"/>
  <c r="T175" i="151" s="1"/>
  <c r="T174" i="151" s="1"/>
  <c r="P181" i="151"/>
  <c r="O181" i="156"/>
  <c r="Q180" i="156"/>
  <c r="Q179" i="156" s="1"/>
  <c r="Q178" i="156" s="1"/>
  <c r="Q177" i="156" s="1"/>
  <c r="Q176" i="156" s="1"/>
  <c r="R180" i="156"/>
  <c r="R179" i="156" s="1"/>
  <c r="R178" i="156" s="1"/>
  <c r="R177" i="156" s="1"/>
  <c r="R176" i="156" s="1"/>
  <c r="P180" i="156"/>
  <c r="P179" i="156" s="1"/>
  <c r="P178" i="156" s="1"/>
  <c r="P177" i="156" s="1"/>
  <c r="P176" i="156" s="1"/>
  <c r="R180" i="152" l="1"/>
  <c r="R179" i="152" s="1"/>
  <c r="R178" i="152" s="1"/>
  <c r="R177" i="152" s="1"/>
  <c r="R176" i="152" s="1"/>
  <c r="P180" i="152"/>
  <c r="P179" i="152" s="1"/>
  <c r="P178" i="152" s="1"/>
  <c r="P177" i="152" s="1"/>
  <c r="P176" i="152" s="1"/>
  <c r="O181" i="152"/>
  <c r="Q180" i="152"/>
  <c r="Q179" i="152" s="1"/>
  <c r="Q178" i="152" s="1"/>
  <c r="Q177" i="152" s="1"/>
  <c r="Q176" i="152" s="1"/>
  <c r="P182" i="151"/>
  <c r="R181" i="156"/>
  <c r="P181" i="156"/>
  <c r="O182" i="156"/>
  <c r="Q181" i="156"/>
  <c r="P181" i="152" l="1"/>
  <c r="O182" i="152"/>
  <c r="R181" i="152"/>
  <c r="Q181" i="152"/>
  <c r="P183" i="151"/>
  <c r="O183" i="156"/>
  <c r="Q182" i="156"/>
  <c r="R182" i="156"/>
  <c r="P182" i="156"/>
  <c r="R182" i="152" l="1"/>
  <c r="P182" i="152"/>
  <c r="O183" i="152"/>
  <c r="Q182" i="152"/>
  <c r="P184" i="151"/>
  <c r="O184" i="156"/>
  <c r="O184" i="152" l="1"/>
  <c r="P185" i="151"/>
  <c r="O185" i="156"/>
  <c r="O185" i="152" l="1"/>
  <c r="P186" i="151"/>
  <c r="O186" i="156"/>
  <c r="O186" i="152" l="1"/>
  <c r="P187" i="151"/>
  <c r="O187" i="156"/>
  <c r="O187" i="152" l="1"/>
  <c r="P188" i="151"/>
  <c r="S187" i="151"/>
  <c r="S186" i="151" s="1"/>
  <c r="S185" i="151" s="1"/>
  <c r="S184" i="151" s="1"/>
  <c r="S183" i="151" s="1"/>
  <c r="S182" i="151" s="1"/>
  <c r="S181" i="151" s="1"/>
  <c r="T187" i="151"/>
  <c r="T186" i="151" s="1"/>
  <c r="T185" i="151" s="1"/>
  <c r="T184" i="151" s="1"/>
  <c r="T183" i="151" s="1"/>
  <c r="T182" i="151" s="1"/>
  <c r="T181" i="151" s="1"/>
  <c r="R187" i="151"/>
  <c r="R186" i="151" s="1"/>
  <c r="R185" i="151" s="1"/>
  <c r="R184" i="151" s="1"/>
  <c r="R183" i="151" s="1"/>
  <c r="R182" i="151" s="1"/>
  <c r="R181" i="151" s="1"/>
  <c r="Q187" i="151"/>
  <c r="Q186" i="151" s="1"/>
  <c r="Q185" i="151" s="1"/>
  <c r="Q184" i="151" s="1"/>
  <c r="Q183" i="151" s="1"/>
  <c r="Q182" i="151" s="1"/>
  <c r="Q181" i="151" s="1"/>
  <c r="R187" i="156"/>
  <c r="R186" i="156" s="1"/>
  <c r="R185" i="156" s="1"/>
  <c r="R184" i="156" s="1"/>
  <c r="R183" i="156" s="1"/>
  <c r="P187" i="156"/>
  <c r="P186" i="156" s="1"/>
  <c r="P185" i="156" s="1"/>
  <c r="P184" i="156" s="1"/>
  <c r="P183" i="156" s="1"/>
  <c r="O188" i="156"/>
  <c r="Q187" i="156"/>
  <c r="Q186" i="156" s="1"/>
  <c r="Q185" i="156" s="1"/>
  <c r="Q184" i="156" s="1"/>
  <c r="Q183" i="156" s="1"/>
  <c r="P187" i="152" l="1"/>
  <c r="P186" i="152" s="1"/>
  <c r="P185" i="152" s="1"/>
  <c r="P184" i="152" s="1"/>
  <c r="P183" i="152" s="1"/>
  <c r="O188" i="152"/>
  <c r="R187" i="152"/>
  <c r="R186" i="152" s="1"/>
  <c r="R185" i="152" s="1"/>
  <c r="R184" i="152" s="1"/>
  <c r="R183" i="152" s="1"/>
  <c r="Q187" i="152"/>
  <c r="Q186" i="152" s="1"/>
  <c r="Q185" i="152" s="1"/>
  <c r="Q184" i="152" s="1"/>
  <c r="Q183" i="152" s="1"/>
  <c r="P189" i="151"/>
  <c r="O189" i="156"/>
  <c r="Q188" i="156"/>
  <c r="P188" i="156"/>
  <c r="R188" i="156"/>
  <c r="R188" i="152" l="1"/>
  <c r="P188" i="152"/>
  <c r="O189" i="152"/>
  <c r="Q188" i="152"/>
  <c r="P190" i="151"/>
  <c r="R189" i="156"/>
  <c r="P189" i="156"/>
  <c r="O190" i="156"/>
  <c r="Q189" i="156"/>
  <c r="P189" i="152" l="1"/>
  <c r="O190" i="152"/>
  <c r="R189" i="152"/>
  <c r="Q189" i="152"/>
  <c r="P191" i="151"/>
  <c r="O191" i="156"/>
  <c r="O191" i="152" l="1"/>
  <c r="P192" i="151"/>
  <c r="O192" i="156"/>
  <c r="O192" i="152" l="1"/>
  <c r="P193" i="151"/>
  <c r="O193" i="156"/>
  <c r="O193" i="152" l="1"/>
  <c r="P194" i="151"/>
  <c r="O194" i="156"/>
  <c r="O194" i="152" l="1"/>
  <c r="P195" i="151"/>
  <c r="T194" i="151"/>
  <c r="T193" i="151" s="1"/>
  <c r="T192" i="151" s="1"/>
  <c r="T191" i="151" s="1"/>
  <c r="T190" i="151" s="1"/>
  <c r="T189" i="151" s="1"/>
  <c r="T188" i="151" s="1"/>
  <c r="S194" i="151"/>
  <c r="S193" i="151" s="1"/>
  <c r="S192" i="151" s="1"/>
  <c r="S191" i="151" s="1"/>
  <c r="S190" i="151" s="1"/>
  <c r="S189" i="151" s="1"/>
  <c r="S188" i="151" s="1"/>
  <c r="R194" i="151"/>
  <c r="R193" i="151" s="1"/>
  <c r="R192" i="151" s="1"/>
  <c r="R191" i="151" s="1"/>
  <c r="R190" i="151" s="1"/>
  <c r="R189" i="151" s="1"/>
  <c r="R188" i="151" s="1"/>
  <c r="Q194" i="151"/>
  <c r="Q193" i="151" s="1"/>
  <c r="Q192" i="151" s="1"/>
  <c r="Q191" i="151" s="1"/>
  <c r="Q190" i="151" s="1"/>
  <c r="Q189" i="151" s="1"/>
  <c r="Q188" i="151" s="1"/>
  <c r="O195" i="156"/>
  <c r="Q194" i="156"/>
  <c r="Q193" i="156" s="1"/>
  <c r="Q192" i="156" s="1"/>
  <c r="Q191" i="156" s="1"/>
  <c r="Q190" i="156" s="1"/>
  <c r="R194" i="156"/>
  <c r="R193" i="156" s="1"/>
  <c r="R192" i="156" s="1"/>
  <c r="R191" i="156" s="1"/>
  <c r="R190" i="156" s="1"/>
  <c r="P194" i="156"/>
  <c r="P193" i="156" s="1"/>
  <c r="P192" i="156" s="1"/>
  <c r="P191" i="156" s="1"/>
  <c r="P190" i="156" s="1"/>
  <c r="P194" i="152" l="1"/>
  <c r="P193" i="152" s="1"/>
  <c r="P192" i="152" s="1"/>
  <c r="P191" i="152" s="1"/>
  <c r="P190" i="152" s="1"/>
  <c r="O195" i="152"/>
  <c r="R194" i="152"/>
  <c r="R193" i="152" s="1"/>
  <c r="R192" i="152" s="1"/>
  <c r="R191" i="152" s="1"/>
  <c r="R190" i="152" s="1"/>
  <c r="Q194" i="152"/>
  <c r="Q193" i="152" s="1"/>
  <c r="Q192" i="152" s="1"/>
  <c r="Q191" i="152" s="1"/>
  <c r="Q190" i="152" s="1"/>
  <c r="P196" i="151"/>
  <c r="R195" i="156"/>
  <c r="P195" i="156"/>
  <c r="O196" i="156"/>
  <c r="Q195" i="156"/>
  <c r="R195" i="152" l="1"/>
  <c r="P195" i="152"/>
  <c r="Q195" i="152"/>
  <c r="O196" i="152"/>
  <c r="P197" i="151"/>
  <c r="O197" i="156"/>
  <c r="Q196" i="156"/>
  <c r="R196" i="156"/>
  <c r="P196" i="156"/>
  <c r="R196" i="152" l="1"/>
  <c r="P196" i="152"/>
  <c r="O197" i="152"/>
  <c r="Q196" i="152"/>
  <c r="P198" i="151"/>
  <c r="O198" i="156"/>
  <c r="O198" i="152" l="1"/>
  <c r="P199" i="151"/>
  <c r="O199" i="156"/>
  <c r="O199" i="152" l="1"/>
  <c r="P200" i="151"/>
  <c r="O200" i="156"/>
  <c r="O200" i="152" l="1"/>
  <c r="P201" i="151"/>
  <c r="O201" i="156"/>
  <c r="O201" i="152" l="1"/>
  <c r="R201" i="151"/>
  <c r="R200" i="151" s="1"/>
  <c r="R199" i="151" s="1"/>
  <c r="R198" i="151" s="1"/>
  <c r="R197" i="151" s="1"/>
  <c r="R196" i="151" s="1"/>
  <c r="R195" i="151" s="1"/>
  <c r="Q201" i="151"/>
  <c r="Q200" i="151" s="1"/>
  <c r="Q199" i="151" s="1"/>
  <c r="Q198" i="151" s="1"/>
  <c r="Q197" i="151" s="1"/>
  <c r="Q196" i="151" s="1"/>
  <c r="Q195" i="151" s="1"/>
  <c r="P202" i="151"/>
  <c r="T201" i="151"/>
  <c r="T200" i="151" s="1"/>
  <c r="T199" i="151" s="1"/>
  <c r="T198" i="151" s="1"/>
  <c r="T197" i="151" s="1"/>
  <c r="T196" i="151" s="1"/>
  <c r="T195" i="151" s="1"/>
  <c r="S201" i="151"/>
  <c r="S200" i="151" s="1"/>
  <c r="S199" i="151" s="1"/>
  <c r="S198" i="151" s="1"/>
  <c r="S197" i="151" s="1"/>
  <c r="S196" i="151" s="1"/>
  <c r="S195" i="151" s="1"/>
  <c r="R201" i="156"/>
  <c r="R200" i="156" s="1"/>
  <c r="R199" i="156" s="1"/>
  <c r="R198" i="156" s="1"/>
  <c r="R197" i="156" s="1"/>
  <c r="P201" i="156"/>
  <c r="P200" i="156" s="1"/>
  <c r="P199" i="156" s="1"/>
  <c r="P198" i="156" s="1"/>
  <c r="P197" i="156" s="1"/>
  <c r="O202" i="156"/>
  <c r="Q201" i="156"/>
  <c r="Q200" i="156" s="1"/>
  <c r="Q199" i="156" s="1"/>
  <c r="Q198" i="156" s="1"/>
  <c r="Q197" i="156" s="1"/>
  <c r="R201" i="152" l="1"/>
  <c r="R200" i="152" s="1"/>
  <c r="R199" i="152" s="1"/>
  <c r="R198" i="152" s="1"/>
  <c r="R197" i="152" s="1"/>
  <c r="P201" i="152"/>
  <c r="P200" i="152" s="1"/>
  <c r="P199" i="152" s="1"/>
  <c r="P198" i="152" s="1"/>
  <c r="P197" i="152" s="1"/>
  <c r="Q201" i="152"/>
  <c r="Q200" i="152" s="1"/>
  <c r="Q199" i="152" s="1"/>
  <c r="Q198" i="152" s="1"/>
  <c r="Q197" i="152" s="1"/>
  <c r="O202" i="152"/>
  <c r="P203" i="151"/>
  <c r="O203" i="156"/>
  <c r="Q202" i="156"/>
  <c r="R202" i="156"/>
  <c r="P202" i="156"/>
  <c r="P202" i="152" l="1"/>
  <c r="O203" i="152"/>
  <c r="R202" i="152"/>
  <c r="Q202" i="152"/>
  <c r="P204" i="151"/>
  <c r="R203" i="156"/>
  <c r="P203" i="156"/>
  <c r="O204" i="156"/>
  <c r="Q203" i="156"/>
  <c r="R203" i="152" l="1"/>
  <c r="P203" i="152"/>
  <c r="Q203" i="152"/>
  <c r="O204" i="152"/>
  <c r="P205" i="151"/>
  <c r="O205" i="156"/>
  <c r="O205" i="152" l="1"/>
  <c r="P206" i="151"/>
  <c r="O206" i="156"/>
  <c r="O206" i="152" l="1"/>
  <c r="P207" i="151"/>
  <c r="O207" i="156"/>
  <c r="O207" i="152" l="1"/>
  <c r="P208" i="151"/>
  <c r="O208" i="156"/>
  <c r="O208" i="152" l="1"/>
  <c r="P209" i="151"/>
  <c r="T208" i="151"/>
  <c r="T207" i="151" s="1"/>
  <c r="T206" i="151" s="1"/>
  <c r="T205" i="151" s="1"/>
  <c r="T204" i="151" s="1"/>
  <c r="T203" i="151" s="1"/>
  <c r="T202" i="151" s="1"/>
  <c r="R208" i="151"/>
  <c r="R207" i="151" s="1"/>
  <c r="R206" i="151" s="1"/>
  <c r="R205" i="151" s="1"/>
  <c r="R204" i="151" s="1"/>
  <c r="R203" i="151" s="1"/>
  <c r="R202" i="151" s="1"/>
  <c r="S208" i="151"/>
  <c r="S207" i="151" s="1"/>
  <c r="S206" i="151" s="1"/>
  <c r="S205" i="151" s="1"/>
  <c r="S204" i="151" s="1"/>
  <c r="S203" i="151" s="1"/>
  <c r="S202" i="151" s="1"/>
  <c r="Q208" i="151"/>
  <c r="Q207" i="151" s="1"/>
  <c r="Q206" i="151" s="1"/>
  <c r="Q205" i="151" s="1"/>
  <c r="Q204" i="151" s="1"/>
  <c r="Q203" i="151" s="1"/>
  <c r="Q202" i="151" s="1"/>
  <c r="O209" i="156"/>
  <c r="Q208" i="156"/>
  <c r="Q207" i="156" s="1"/>
  <c r="Q206" i="156" s="1"/>
  <c r="Q205" i="156" s="1"/>
  <c r="Q204" i="156" s="1"/>
  <c r="R208" i="156"/>
  <c r="R207" i="156" s="1"/>
  <c r="R206" i="156" s="1"/>
  <c r="R205" i="156" s="1"/>
  <c r="R204" i="156" s="1"/>
  <c r="P208" i="156"/>
  <c r="P207" i="156" s="1"/>
  <c r="P206" i="156" s="1"/>
  <c r="P205" i="156" s="1"/>
  <c r="P204" i="156" s="1"/>
  <c r="R208" i="152" l="1"/>
  <c r="R207" i="152" s="1"/>
  <c r="R206" i="152" s="1"/>
  <c r="R205" i="152" s="1"/>
  <c r="R204" i="152" s="1"/>
  <c r="Q208" i="152"/>
  <c r="Q207" i="152" s="1"/>
  <c r="Q206" i="152" s="1"/>
  <c r="Q205" i="152" s="1"/>
  <c r="Q204" i="152" s="1"/>
  <c r="P208" i="152"/>
  <c r="P207" i="152" s="1"/>
  <c r="P206" i="152" s="1"/>
  <c r="P205" i="152" s="1"/>
  <c r="P204" i="152" s="1"/>
  <c r="O209" i="152"/>
  <c r="P210" i="151"/>
  <c r="R209" i="156"/>
  <c r="P209" i="156"/>
  <c r="O210" i="156"/>
  <c r="Q209" i="156"/>
  <c r="R209" i="152" l="1"/>
  <c r="P209" i="152"/>
  <c r="Q209" i="152"/>
  <c r="O210" i="152"/>
  <c r="P211" i="151"/>
  <c r="O211" i="156"/>
  <c r="Q210" i="156"/>
  <c r="R210" i="156"/>
  <c r="P210" i="156"/>
  <c r="P210" i="152" l="1"/>
  <c r="O211" i="152"/>
  <c r="R210" i="152"/>
  <c r="Q210" i="152"/>
  <c r="P212" i="151"/>
  <c r="O212" i="156"/>
  <c r="O212" i="152" l="1"/>
  <c r="P213" i="151"/>
  <c r="O213" i="156"/>
  <c r="O213" i="152" l="1"/>
  <c r="P214" i="151"/>
  <c r="O214" i="156"/>
  <c r="O214" i="152" l="1"/>
  <c r="P215" i="151"/>
  <c r="O215" i="156"/>
  <c r="O215" i="152" l="1"/>
  <c r="T215" i="151"/>
  <c r="T214" i="151" s="1"/>
  <c r="T213" i="151" s="1"/>
  <c r="T212" i="151" s="1"/>
  <c r="T211" i="151" s="1"/>
  <c r="T210" i="151" s="1"/>
  <c r="T209" i="151" s="1"/>
  <c r="S215" i="151"/>
  <c r="S214" i="151" s="1"/>
  <c r="S213" i="151" s="1"/>
  <c r="S212" i="151" s="1"/>
  <c r="S211" i="151" s="1"/>
  <c r="S210" i="151" s="1"/>
  <c r="S209" i="151" s="1"/>
  <c r="R215" i="151"/>
  <c r="R214" i="151" s="1"/>
  <c r="R213" i="151" s="1"/>
  <c r="R212" i="151" s="1"/>
  <c r="R211" i="151" s="1"/>
  <c r="R210" i="151" s="1"/>
  <c r="R209" i="151" s="1"/>
  <c r="Q215" i="151"/>
  <c r="Q214" i="151" s="1"/>
  <c r="Q213" i="151" s="1"/>
  <c r="Q212" i="151" s="1"/>
  <c r="Q211" i="151" s="1"/>
  <c r="Q210" i="151" s="1"/>
  <c r="Q209" i="151" s="1"/>
  <c r="P216" i="151"/>
  <c r="R215" i="156"/>
  <c r="R214" i="156" s="1"/>
  <c r="R213" i="156" s="1"/>
  <c r="R212" i="156" s="1"/>
  <c r="R211" i="156" s="1"/>
  <c r="P215" i="156"/>
  <c r="P214" i="156" s="1"/>
  <c r="P213" i="156" s="1"/>
  <c r="P212" i="156" s="1"/>
  <c r="P211" i="156" s="1"/>
  <c r="O216" i="156"/>
  <c r="Q215" i="156"/>
  <c r="Q214" i="156" s="1"/>
  <c r="Q213" i="156" s="1"/>
  <c r="Q212" i="156" s="1"/>
  <c r="Q211" i="156" s="1"/>
  <c r="R215" i="152" l="1"/>
  <c r="R214" i="152" s="1"/>
  <c r="R213" i="152" s="1"/>
  <c r="R212" i="152" s="1"/>
  <c r="R211" i="152" s="1"/>
  <c r="P215" i="152"/>
  <c r="P214" i="152" s="1"/>
  <c r="P213" i="152" s="1"/>
  <c r="P212" i="152" s="1"/>
  <c r="P211" i="152" s="1"/>
  <c r="Q215" i="152"/>
  <c r="Q214" i="152" s="1"/>
  <c r="Q213" i="152" s="1"/>
  <c r="Q212" i="152" s="1"/>
  <c r="Q211" i="152" s="1"/>
  <c r="O216" i="152"/>
  <c r="P217" i="151"/>
  <c r="O217" i="156"/>
  <c r="Q216" i="156"/>
  <c r="R216" i="156"/>
  <c r="P216" i="156"/>
  <c r="R216" i="152" l="1"/>
  <c r="Q216" i="152"/>
  <c r="P216" i="152"/>
  <c r="O217" i="152"/>
  <c r="P218" i="151"/>
  <c r="R217" i="156"/>
  <c r="P217" i="156"/>
  <c r="O218" i="156"/>
  <c r="Q217" i="156"/>
  <c r="R217" i="152" l="1"/>
  <c r="P217" i="152"/>
  <c r="Q217" i="152"/>
  <c r="O218" i="152"/>
  <c r="P219" i="151"/>
  <c r="O219" i="156"/>
  <c r="O219" i="152" l="1"/>
  <c r="P220" i="151"/>
  <c r="O220" i="156"/>
  <c r="O220" i="152" l="1"/>
  <c r="P221" i="151"/>
  <c r="O221" i="156"/>
  <c r="O221" i="152" l="1"/>
  <c r="P222" i="151"/>
  <c r="O222" i="156"/>
  <c r="O222" i="152" l="1"/>
  <c r="Q222" i="151"/>
  <c r="Q221" i="151" s="1"/>
  <c r="Q220" i="151" s="1"/>
  <c r="Q219" i="151" s="1"/>
  <c r="Q218" i="151" s="1"/>
  <c r="Q217" i="151" s="1"/>
  <c r="Q216" i="151" s="1"/>
  <c r="T222" i="151"/>
  <c r="T221" i="151" s="1"/>
  <c r="T220" i="151" s="1"/>
  <c r="T219" i="151" s="1"/>
  <c r="T218" i="151" s="1"/>
  <c r="T217" i="151" s="1"/>
  <c r="T216" i="151" s="1"/>
  <c r="P223" i="151"/>
  <c r="S222" i="151"/>
  <c r="S221" i="151" s="1"/>
  <c r="S220" i="151" s="1"/>
  <c r="S219" i="151" s="1"/>
  <c r="S218" i="151" s="1"/>
  <c r="S217" i="151" s="1"/>
  <c r="S216" i="151" s="1"/>
  <c r="R222" i="151"/>
  <c r="R221" i="151" s="1"/>
  <c r="R220" i="151" s="1"/>
  <c r="R219" i="151" s="1"/>
  <c r="R218" i="151" s="1"/>
  <c r="R217" i="151" s="1"/>
  <c r="R216" i="151" s="1"/>
  <c r="O223" i="156"/>
  <c r="Q222" i="156"/>
  <c r="Q221" i="156" s="1"/>
  <c r="Q220" i="156" s="1"/>
  <c r="Q219" i="156" s="1"/>
  <c r="Q218" i="156" s="1"/>
  <c r="R222" i="156"/>
  <c r="R221" i="156" s="1"/>
  <c r="R220" i="156" s="1"/>
  <c r="R219" i="156" s="1"/>
  <c r="R218" i="156" s="1"/>
  <c r="P222" i="156"/>
  <c r="P221" i="156" s="1"/>
  <c r="P220" i="156" s="1"/>
  <c r="P219" i="156" s="1"/>
  <c r="P218" i="156" s="1"/>
  <c r="R222" i="152" l="1"/>
  <c r="R221" i="152" s="1"/>
  <c r="R220" i="152" s="1"/>
  <c r="R219" i="152" s="1"/>
  <c r="R218" i="152" s="1"/>
  <c r="Q222" i="152"/>
  <c r="Q221" i="152" s="1"/>
  <c r="Q220" i="152" s="1"/>
  <c r="Q219" i="152" s="1"/>
  <c r="Q218" i="152" s="1"/>
  <c r="P222" i="152"/>
  <c r="P221" i="152" s="1"/>
  <c r="P220" i="152" s="1"/>
  <c r="P219" i="152" s="1"/>
  <c r="P218" i="152" s="1"/>
  <c r="O223" i="152"/>
  <c r="P224" i="151"/>
  <c r="R223" i="156"/>
  <c r="P223" i="156"/>
  <c r="O224" i="156"/>
  <c r="Q223" i="156"/>
  <c r="R223" i="152" l="1"/>
  <c r="P223" i="152"/>
  <c r="Q223" i="152"/>
  <c r="O224" i="152"/>
  <c r="P225" i="151"/>
  <c r="O225" i="156"/>
  <c r="Q224" i="156"/>
  <c r="P224" i="156"/>
  <c r="R224" i="156"/>
  <c r="R224" i="152" l="1"/>
  <c r="Q224" i="152"/>
  <c r="P224" i="152"/>
  <c r="O225" i="152"/>
  <c r="P226" i="151"/>
  <c r="O226" i="156"/>
  <c r="O226" i="152" l="1"/>
  <c r="P227" i="151"/>
  <c r="O227" i="156"/>
  <c r="O227" i="152" l="1"/>
  <c r="P228" i="151"/>
  <c r="O228" i="156"/>
  <c r="O228" i="152" l="1"/>
  <c r="P229" i="151"/>
  <c r="O229" i="156"/>
  <c r="O229" i="152" l="1"/>
  <c r="P230" i="151"/>
  <c r="T229" i="151"/>
  <c r="T228" i="151" s="1"/>
  <c r="T227" i="151" s="1"/>
  <c r="T226" i="151" s="1"/>
  <c r="T225" i="151" s="1"/>
  <c r="T224" i="151" s="1"/>
  <c r="T223" i="151" s="1"/>
  <c r="S229" i="151"/>
  <c r="S228" i="151" s="1"/>
  <c r="S227" i="151" s="1"/>
  <c r="S226" i="151" s="1"/>
  <c r="S225" i="151" s="1"/>
  <c r="S224" i="151" s="1"/>
  <c r="S223" i="151" s="1"/>
  <c r="Q229" i="151"/>
  <c r="Q228" i="151" s="1"/>
  <c r="Q227" i="151" s="1"/>
  <c r="Q226" i="151" s="1"/>
  <c r="Q225" i="151" s="1"/>
  <c r="Q224" i="151" s="1"/>
  <c r="Q223" i="151" s="1"/>
  <c r="R229" i="151"/>
  <c r="R228" i="151" s="1"/>
  <c r="R227" i="151" s="1"/>
  <c r="R226" i="151" s="1"/>
  <c r="R225" i="151" s="1"/>
  <c r="R224" i="151" s="1"/>
  <c r="R223" i="151" s="1"/>
  <c r="R229" i="156"/>
  <c r="R228" i="156" s="1"/>
  <c r="R227" i="156" s="1"/>
  <c r="R226" i="156" s="1"/>
  <c r="R225" i="156" s="1"/>
  <c r="P229" i="156"/>
  <c r="P228" i="156" s="1"/>
  <c r="P227" i="156" s="1"/>
  <c r="P226" i="156" s="1"/>
  <c r="P225" i="156" s="1"/>
  <c r="O230" i="156"/>
  <c r="Q229" i="156"/>
  <c r="Q228" i="156" s="1"/>
  <c r="Q227" i="156" s="1"/>
  <c r="Q226" i="156" s="1"/>
  <c r="Q225" i="156" s="1"/>
  <c r="R229" i="152" l="1"/>
  <c r="R228" i="152" s="1"/>
  <c r="R227" i="152" s="1"/>
  <c r="R226" i="152" s="1"/>
  <c r="R225" i="152" s="1"/>
  <c r="P229" i="152"/>
  <c r="P228" i="152" s="1"/>
  <c r="P227" i="152" s="1"/>
  <c r="P226" i="152" s="1"/>
  <c r="P225" i="152" s="1"/>
  <c r="O230" i="152"/>
  <c r="Q229" i="152"/>
  <c r="Q228" i="152" s="1"/>
  <c r="Q227" i="152" s="1"/>
  <c r="Q226" i="152" s="1"/>
  <c r="Q225" i="152" s="1"/>
  <c r="P231" i="151"/>
  <c r="O231" i="156"/>
  <c r="Q230" i="156"/>
  <c r="R230" i="156"/>
  <c r="P230" i="156"/>
  <c r="R230" i="152" l="1"/>
  <c r="Q230" i="152"/>
  <c r="P230" i="152"/>
  <c r="O231" i="152"/>
  <c r="P232" i="151"/>
  <c r="R231" i="156"/>
  <c r="P231" i="156"/>
  <c r="O232" i="156"/>
  <c r="Q231" i="156"/>
  <c r="R231" i="152" l="1"/>
  <c r="P231" i="152"/>
  <c r="Q231" i="152"/>
  <c r="O232" i="152"/>
  <c r="P233" i="151"/>
  <c r="O233" i="156"/>
  <c r="O233" i="152" l="1"/>
  <c r="P234" i="151"/>
  <c r="O234" i="156"/>
  <c r="O234" i="152" l="1"/>
  <c r="P235" i="151"/>
  <c r="O235" i="156"/>
  <c r="O235" i="152" l="1"/>
  <c r="P236" i="151"/>
  <c r="O236" i="156"/>
  <c r="O236" i="152" l="1"/>
  <c r="S236" i="151"/>
  <c r="S235" i="151" s="1"/>
  <c r="S234" i="151" s="1"/>
  <c r="S233" i="151" s="1"/>
  <c r="S232" i="151" s="1"/>
  <c r="S231" i="151" s="1"/>
  <c r="S230" i="151" s="1"/>
  <c r="R236" i="151"/>
  <c r="R235" i="151" s="1"/>
  <c r="R234" i="151" s="1"/>
  <c r="R233" i="151" s="1"/>
  <c r="R232" i="151" s="1"/>
  <c r="R231" i="151" s="1"/>
  <c r="R230" i="151" s="1"/>
  <c r="Q236" i="151"/>
  <c r="Q235" i="151" s="1"/>
  <c r="Q234" i="151" s="1"/>
  <c r="Q233" i="151" s="1"/>
  <c r="Q232" i="151" s="1"/>
  <c r="Q231" i="151" s="1"/>
  <c r="Q230" i="151" s="1"/>
  <c r="P237" i="151"/>
  <c r="T236" i="151"/>
  <c r="T235" i="151" s="1"/>
  <c r="T234" i="151" s="1"/>
  <c r="T233" i="151" s="1"/>
  <c r="T232" i="151" s="1"/>
  <c r="T231" i="151" s="1"/>
  <c r="T230" i="151" s="1"/>
  <c r="O237" i="156"/>
  <c r="Q236" i="156"/>
  <c r="Q235" i="156" s="1"/>
  <c r="Q234" i="156" s="1"/>
  <c r="Q233" i="156" s="1"/>
  <c r="Q232" i="156" s="1"/>
  <c r="P236" i="156"/>
  <c r="P235" i="156" s="1"/>
  <c r="P234" i="156" s="1"/>
  <c r="P233" i="156" s="1"/>
  <c r="P232" i="156" s="1"/>
  <c r="R236" i="156"/>
  <c r="R235" i="156" s="1"/>
  <c r="R234" i="156" s="1"/>
  <c r="R233" i="156" s="1"/>
  <c r="R232" i="156" s="1"/>
  <c r="R236" i="152" l="1"/>
  <c r="R235" i="152" s="1"/>
  <c r="R234" i="152" s="1"/>
  <c r="R233" i="152" s="1"/>
  <c r="R232" i="152" s="1"/>
  <c r="Q236" i="152"/>
  <c r="Q235" i="152" s="1"/>
  <c r="Q234" i="152" s="1"/>
  <c r="Q233" i="152" s="1"/>
  <c r="Q232" i="152" s="1"/>
  <c r="P236" i="152"/>
  <c r="P235" i="152" s="1"/>
  <c r="P234" i="152" s="1"/>
  <c r="P233" i="152" s="1"/>
  <c r="P232" i="152" s="1"/>
  <c r="O237" i="152"/>
  <c r="P238" i="151"/>
  <c r="R237" i="156"/>
  <c r="P237" i="156"/>
  <c r="O238" i="156"/>
  <c r="Q237" i="156"/>
  <c r="R237" i="152" l="1"/>
  <c r="P237" i="152"/>
  <c r="O238" i="152"/>
  <c r="Q237" i="152"/>
  <c r="P239" i="151"/>
  <c r="O239" i="156"/>
  <c r="Q238" i="156"/>
  <c r="R238" i="156"/>
  <c r="P238" i="156"/>
  <c r="R238" i="152" l="1"/>
  <c r="Q238" i="152"/>
  <c r="P238" i="152"/>
  <c r="O239" i="152"/>
  <c r="P240" i="151"/>
  <c r="O240" i="156"/>
  <c r="O240" i="152" l="1"/>
  <c r="P241" i="151"/>
  <c r="O241" i="156"/>
  <c r="O241" i="152" l="1"/>
  <c r="P242" i="151"/>
  <c r="O242" i="156"/>
  <c r="O242" i="152" l="1"/>
  <c r="P243" i="151"/>
  <c r="O243" i="156"/>
  <c r="O243" i="152" l="1"/>
  <c r="P244" i="151"/>
  <c r="S243" i="151"/>
  <c r="S242" i="151" s="1"/>
  <c r="S241" i="151" s="1"/>
  <c r="S240" i="151" s="1"/>
  <c r="S239" i="151" s="1"/>
  <c r="S238" i="151" s="1"/>
  <c r="S237" i="151" s="1"/>
  <c r="T243" i="151"/>
  <c r="T242" i="151" s="1"/>
  <c r="T241" i="151" s="1"/>
  <c r="T240" i="151" s="1"/>
  <c r="T239" i="151" s="1"/>
  <c r="T238" i="151" s="1"/>
  <c r="T237" i="151" s="1"/>
  <c r="R243" i="151"/>
  <c r="R242" i="151" s="1"/>
  <c r="R241" i="151" s="1"/>
  <c r="R240" i="151" s="1"/>
  <c r="R239" i="151" s="1"/>
  <c r="R238" i="151" s="1"/>
  <c r="R237" i="151" s="1"/>
  <c r="Q243" i="151"/>
  <c r="Q242" i="151" s="1"/>
  <c r="Q241" i="151" s="1"/>
  <c r="Q240" i="151" s="1"/>
  <c r="Q239" i="151" s="1"/>
  <c r="Q238" i="151" s="1"/>
  <c r="Q237" i="151" s="1"/>
  <c r="R243" i="156"/>
  <c r="R242" i="156" s="1"/>
  <c r="R241" i="156" s="1"/>
  <c r="R240" i="156" s="1"/>
  <c r="R239" i="156" s="1"/>
  <c r="P243" i="156"/>
  <c r="P242" i="156" s="1"/>
  <c r="P241" i="156" s="1"/>
  <c r="P240" i="156" s="1"/>
  <c r="P239" i="156" s="1"/>
  <c r="O244" i="156"/>
  <c r="Q243" i="156"/>
  <c r="Q242" i="156" s="1"/>
  <c r="Q241" i="156" s="1"/>
  <c r="Q240" i="156" s="1"/>
  <c r="Q239" i="156" s="1"/>
  <c r="R243" i="152" l="1"/>
  <c r="R242" i="152" s="1"/>
  <c r="R241" i="152" s="1"/>
  <c r="R240" i="152" s="1"/>
  <c r="R239" i="152" s="1"/>
  <c r="P243" i="152"/>
  <c r="P242" i="152" s="1"/>
  <c r="P241" i="152" s="1"/>
  <c r="P240" i="152" s="1"/>
  <c r="P239" i="152" s="1"/>
  <c r="O244" i="152"/>
  <c r="Q243" i="152"/>
  <c r="Q242" i="152" s="1"/>
  <c r="Q241" i="152" s="1"/>
  <c r="Q240" i="152" s="1"/>
  <c r="Q239" i="152" s="1"/>
  <c r="P245" i="151"/>
  <c r="O245" i="156"/>
  <c r="Q244" i="156"/>
  <c r="P244" i="156"/>
  <c r="R244" i="156"/>
  <c r="R244" i="152" l="1"/>
  <c r="Q244" i="152"/>
  <c r="P244" i="152"/>
  <c r="O245" i="152"/>
  <c r="P246" i="151"/>
  <c r="R245" i="156"/>
  <c r="P245" i="156"/>
  <c r="O246" i="156"/>
  <c r="Q245" i="156"/>
  <c r="R245" i="152" l="1"/>
  <c r="P245" i="152"/>
  <c r="O246" i="152"/>
  <c r="Q245" i="152"/>
  <c r="P247" i="151"/>
  <c r="O247" i="156"/>
  <c r="O247" i="152" l="1"/>
  <c r="P248" i="151"/>
  <c r="O248" i="156"/>
  <c r="O248" i="152" l="1"/>
  <c r="P249" i="151"/>
  <c r="O249" i="156"/>
  <c r="O249" i="152" l="1"/>
  <c r="P250" i="151"/>
  <c r="O250" i="156"/>
  <c r="O250" i="152" l="1"/>
  <c r="R250" i="151"/>
  <c r="R249" i="151" s="1"/>
  <c r="R248" i="151" s="1"/>
  <c r="R247" i="151" s="1"/>
  <c r="R246" i="151" s="1"/>
  <c r="R245" i="151" s="1"/>
  <c r="R244" i="151" s="1"/>
  <c r="Q250" i="151"/>
  <c r="Q249" i="151" s="1"/>
  <c r="Q248" i="151" s="1"/>
  <c r="Q247" i="151" s="1"/>
  <c r="Q246" i="151" s="1"/>
  <c r="Q245" i="151" s="1"/>
  <c r="Q244" i="151" s="1"/>
  <c r="P251" i="151"/>
  <c r="S250" i="151"/>
  <c r="S249" i="151" s="1"/>
  <c r="S248" i="151" s="1"/>
  <c r="S247" i="151" s="1"/>
  <c r="S246" i="151" s="1"/>
  <c r="S245" i="151" s="1"/>
  <c r="S244" i="151" s="1"/>
  <c r="T250" i="151"/>
  <c r="T249" i="151" s="1"/>
  <c r="T248" i="151" s="1"/>
  <c r="T247" i="151" s="1"/>
  <c r="T246" i="151" s="1"/>
  <c r="T245" i="151" s="1"/>
  <c r="T244" i="151" s="1"/>
  <c r="O251" i="156"/>
  <c r="Q250" i="156"/>
  <c r="Q249" i="156" s="1"/>
  <c r="Q248" i="156" s="1"/>
  <c r="Q247" i="156" s="1"/>
  <c r="Q246" i="156" s="1"/>
  <c r="R250" i="156"/>
  <c r="R249" i="156" s="1"/>
  <c r="R248" i="156" s="1"/>
  <c r="R247" i="156" s="1"/>
  <c r="R246" i="156" s="1"/>
  <c r="P250" i="156"/>
  <c r="P249" i="156" s="1"/>
  <c r="P248" i="156" s="1"/>
  <c r="P247" i="156" s="1"/>
  <c r="P246" i="156" s="1"/>
  <c r="R250" i="152" l="1"/>
  <c r="R249" i="152" s="1"/>
  <c r="R248" i="152" s="1"/>
  <c r="R247" i="152" s="1"/>
  <c r="R246" i="152" s="1"/>
  <c r="Q250" i="152"/>
  <c r="Q249" i="152" s="1"/>
  <c r="Q248" i="152" s="1"/>
  <c r="Q247" i="152" s="1"/>
  <c r="Q246" i="152" s="1"/>
  <c r="P250" i="152"/>
  <c r="P249" i="152" s="1"/>
  <c r="P248" i="152" s="1"/>
  <c r="P247" i="152" s="1"/>
  <c r="P246" i="152" s="1"/>
  <c r="O251" i="152"/>
  <c r="P252" i="151"/>
  <c r="R251" i="156"/>
  <c r="P251" i="156"/>
  <c r="O252" i="156"/>
  <c r="Q251" i="156"/>
  <c r="R251" i="152" l="1"/>
  <c r="P251" i="152"/>
  <c r="Q251" i="152"/>
  <c r="O252" i="152"/>
  <c r="P253" i="151"/>
  <c r="O253" i="156"/>
  <c r="Q252" i="156"/>
  <c r="P252" i="156"/>
  <c r="R252" i="156"/>
  <c r="R252" i="152" l="1"/>
  <c r="Q252" i="152"/>
  <c r="P252" i="152"/>
  <c r="O253" i="152"/>
  <c r="P254" i="151"/>
  <c r="O254" i="156"/>
  <c r="O254" i="152" l="1"/>
  <c r="P255" i="151"/>
  <c r="O255" i="156"/>
  <c r="O255" i="152" l="1"/>
  <c r="P256" i="151"/>
  <c r="O256" i="156"/>
  <c r="O256" i="152" l="1"/>
  <c r="P257" i="151"/>
  <c r="O257" i="156"/>
  <c r="O257" i="152" l="1"/>
  <c r="P258" i="151"/>
  <c r="S257" i="151"/>
  <c r="S256" i="151" s="1"/>
  <c r="S255" i="151" s="1"/>
  <c r="S254" i="151" s="1"/>
  <c r="S253" i="151" s="1"/>
  <c r="S252" i="151" s="1"/>
  <c r="S251" i="151" s="1"/>
  <c r="T257" i="151"/>
  <c r="T256" i="151" s="1"/>
  <c r="T255" i="151" s="1"/>
  <c r="T254" i="151" s="1"/>
  <c r="T253" i="151" s="1"/>
  <c r="T252" i="151" s="1"/>
  <c r="T251" i="151" s="1"/>
  <c r="R257" i="151"/>
  <c r="R256" i="151" s="1"/>
  <c r="R255" i="151" s="1"/>
  <c r="R254" i="151" s="1"/>
  <c r="R253" i="151" s="1"/>
  <c r="R252" i="151" s="1"/>
  <c r="R251" i="151" s="1"/>
  <c r="Q257" i="151"/>
  <c r="Q256" i="151" s="1"/>
  <c r="Q255" i="151" s="1"/>
  <c r="Q254" i="151" s="1"/>
  <c r="Q253" i="151" s="1"/>
  <c r="Q252" i="151" s="1"/>
  <c r="Q251" i="151" s="1"/>
  <c r="R257" i="156"/>
  <c r="R256" i="156" s="1"/>
  <c r="R255" i="156" s="1"/>
  <c r="R254" i="156" s="1"/>
  <c r="R253" i="156" s="1"/>
  <c r="P257" i="156"/>
  <c r="P256" i="156" s="1"/>
  <c r="P255" i="156" s="1"/>
  <c r="P254" i="156" s="1"/>
  <c r="P253" i="156" s="1"/>
  <c r="O258" i="156"/>
  <c r="Q257" i="156"/>
  <c r="Q256" i="156" s="1"/>
  <c r="Q255" i="156" s="1"/>
  <c r="Q254" i="156" s="1"/>
  <c r="Q253" i="156" s="1"/>
  <c r="R257" i="152" l="1"/>
  <c r="R256" i="152" s="1"/>
  <c r="R255" i="152" s="1"/>
  <c r="R254" i="152" s="1"/>
  <c r="R253" i="152" s="1"/>
  <c r="P257" i="152"/>
  <c r="P256" i="152" s="1"/>
  <c r="P255" i="152" s="1"/>
  <c r="P254" i="152" s="1"/>
  <c r="P253" i="152" s="1"/>
  <c r="O258" i="152"/>
  <c r="Q257" i="152"/>
  <c r="Q256" i="152" s="1"/>
  <c r="Q255" i="152" s="1"/>
  <c r="Q254" i="152" s="1"/>
  <c r="Q253" i="152" s="1"/>
  <c r="P259" i="151"/>
  <c r="O259" i="156"/>
  <c r="Q258" i="156"/>
  <c r="R258" i="156"/>
  <c r="P258" i="156"/>
  <c r="R258" i="152" l="1"/>
  <c r="Q258" i="152"/>
  <c r="P258" i="152"/>
  <c r="O259" i="152"/>
  <c r="P260" i="151"/>
  <c r="R259" i="156"/>
  <c r="P259" i="156"/>
  <c r="O260" i="156"/>
  <c r="Q259" i="156"/>
  <c r="R259" i="152" l="1"/>
  <c r="P259" i="152"/>
  <c r="O260" i="152"/>
  <c r="Q259" i="152"/>
  <c r="P261" i="151"/>
  <c r="O261" i="156"/>
  <c r="O261" i="152" l="1"/>
  <c r="P262" i="151"/>
  <c r="O262" i="156"/>
  <c r="O262" i="152" l="1"/>
  <c r="P263" i="151"/>
  <c r="O263" i="156"/>
  <c r="O263" i="152" l="1"/>
  <c r="P264" i="151"/>
  <c r="O264" i="156"/>
  <c r="O264" i="152" l="1"/>
  <c r="T264" i="151"/>
  <c r="T263" i="151" s="1"/>
  <c r="T262" i="151" s="1"/>
  <c r="T261" i="151" s="1"/>
  <c r="T260" i="151" s="1"/>
  <c r="T259" i="151" s="1"/>
  <c r="T258" i="151" s="1"/>
  <c r="S264" i="151"/>
  <c r="S263" i="151" s="1"/>
  <c r="S262" i="151" s="1"/>
  <c r="S261" i="151" s="1"/>
  <c r="S260" i="151" s="1"/>
  <c r="S259" i="151" s="1"/>
  <c r="S258" i="151" s="1"/>
  <c r="R264" i="151"/>
  <c r="R263" i="151" s="1"/>
  <c r="R262" i="151" s="1"/>
  <c r="R261" i="151" s="1"/>
  <c r="R260" i="151" s="1"/>
  <c r="R259" i="151" s="1"/>
  <c r="R258" i="151" s="1"/>
  <c r="Q264" i="151"/>
  <c r="Q263" i="151" s="1"/>
  <c r="Q262" i="151" s="1"/>
  <c r="Q261" i="151" s="1"/>
  <c r="Q260" i="151" s="1"/>
  <c r="Q259" i="151" s="1"/>
  <c r="Q258" i="151" s="1"/>
  <c r="P265" i="151"/>
  <c r="O265" i="156"/>
  <c r="Q264" i="156"/>
  <c r="Q263" i="156" s="1"/>
  <c r="Q262" i="156" s="1"/>
  <c r="Q261" i="156" s="1"/>
  <c r="Q260" i="156" s="1"/>
  <c r="P264" i="156"/>
  <c r="P263" i="156" s="1"/>
  <c r="P262" i="156" s="1"/>
  <c r="P261" i="156" s="1"/>
  <c r="P260" i="156" s="1"/>
  <c r="R264" i="156"/>
  <c r="R263" i="156" s="1"/>
  <c r="R262" i="156" s="1"/>
  <c r="R261" i="156" s="1"/>
  <c r="R260" i="156" s="1"/>
  <c r="R264" i="152" l="1"/>
  <c r="R263" i="152" s="1"/>
  <c r="R262" i="152" s="1"/>
  <c r="R261" i="152" s="1"/>
  <c r="R260" i="152" s="1"/>
  <c r="Q264" i="152"/>
  <c r="Q263" i="152" s="1"/>
  <c r="Q262" i="152" s="1"/>
  <c r="Q261" i="152" s="1"/>
  <c r="Q260" i="152" s="1"/>
  <c r="P264" i="152"/>
  <c r="P263" i="152" s="1"/>
  <c r="P262" i="152" s="1"/>
  <c r="P261" i="152" s="1"/>
  <c r="P260" i="152" s="1"/>
  <c r="O265" i="152"/>
  <c r="P266" i="151"/>
  <c r="R265" i="156"/>
  <c r="P265" i="156"/>
  <c r="O266" i="156"/>
  <c r="Q265" i="156"/>
  <c r="R265" i="152" l="1"/>
  <c r="P265" i="152"/>
  <c r="O266" i="152"/>
  <c r="Q265" i="152"/>
  <c r="P267" i="151"/>
  <c r="O267" i="156"/>
  <c r="Q266" i="156"/>
  <c r="R266" i="156"/>
  <c r="P266" i="156"/>
  <c r="R266" i="152" l="1"/>
  <c r="Q266" i="152"/>
  <c r="P266" i="152"/>
  <c r="O267" i="152"/>
  <c r="P268" i="151"/>
  <c r="O268" i="156"/>
  <c r="O268" i="152" l="1"/>
  <c r="P269" i="151"/>
  <c r="O269" i="156"/>
  <c r="O269" i="152" l="1"/>
  <c r="P270" i="151"/>
  <c r="O270" i="156"/>
  <c r="O270" i="152" l="1"/>
  <c r="P271" i="151"/>
  <c r="O271" i="156"/>
  <c r="O271" i="152" l="1"/>
  <c r="Q271" i="151"/>
  <c r="Q270" i="151" s="1"/>
  <c r="Q269" i="151" s="1"/>
  <c r="Q268" i="151" s="1"/>
  <c r="Q267" i="151" s="1"/>
  <c r="Q266" i="151" s="1"/>
  <c r="Q265" i="151" s="1"/>
  <c r="T271" i="151"/>
  <c r="T270" i="151" s="1"/>
  <c r="T269" i="151" s="1"/>
  <c r="T268" i="151" s="1"/>
  <c r="T267" i="151" s="1"/>
  <c r="T266" i="151" s="1"/>
  <c r="T265" i="151" s="1"/>
  <c r="S271" i="151"/>
  <c r="S270" i="151" s="1"/>
  <c r="S269" i="151" s="1"/>
  <c r="S268" i="151" s="1"/>
  <c r="S267" i="151" s="1"/>
  <c r="S266" i="151" s="1"/>
  <c r="S265" i="151" s="1"/>
  <c r="R271" i="151"/>
  <c r="R270" i="151" s="1"/>
  <c r="R269" i="151" s="1"/>
  <c r="R268" i="151" s="1"/>
  <c r="R267" i="151" s="1"/>
  <c r="R266" i="151" s="1"/>
  <c r="R265" i="151" s="1"/>
  <c r="P272" i="151"/>
  <c r="R271" i="156"/>
  <c r="R270" i="156" s="1"/>
  <c r="R269" i="156" s="1"/>
  <c r="R268" i="156" s="1"/>
  <c r="R267" i="156" s="1"/>
  <c r="P271" i="156"/>
  <c r="P270" i="156" s="1"/>
  <c r="P269" i="156" s="1"/>
  <c r="P268" i="156" s="1"/>
  <c r="P267" i="156" s="1"/>
  <c r="O272" i="156"/>
  <c r="Q271" i="156"/>
  <c r="Q270" i="156" s="1"/>
  <c r="Q269" i="156" s="1"/>
  <c r="Q268" i="156" s="1"/>
  <c r="Q267" i="156" s="1"/>
  <c r="R271" i="152" l="1"/>
  <c r="R270" i="152" s="1"/>
  <c r="R269" i="152" s="1"/>
  <c r="R268" i="152" s="1"/>
  <c r="R267" i="152" s="1"/>
  <c r="P271" i="152"/>
  <c r="P270" i="152" s="1"/>
  <c r="P269" i="152" s="1"/>
  <c r="P268" i="152" s="1"/>
  <c r="P267" i="152" s="1"/>
  <c r="Q271" i="152"/>
  <c r="Q270" i="152" s="1"/>
  <c r="Q269" i="152" s="1"/>
  <c r="Q268" i="152" s="1"/>
  <c r="Q267" i="152" s="1"/>
  <c r="O272" i="152"/>
  <c r="P273" i="151"/>
  <c r="O273" i="156"/>
  <c r="Q272" i="156"/>
  <c r="P272" i="156"/>
  <c r="R272" i="156"/>
  <c r="R272" i="152" l="1"/>
  <c r="Q272" i="152"/>
  <c r="P272" i="152"/>
  <c r="O273" i="152"/>
  <c r="P274" i="151"/>
  <c r="R273" i="156"/>
  <c r="P273" i="156"/>
  <c r="O274" i="156"/>
  <c r="Q273" i="156"/>
  <c r="R273" i="152" l="1"/>
  <c r="P273" i="152"/>
  <c r="O274" i="152"/>
  <c r="Q273" i="152"/>
  <c r="P275" i="151"/>
  <c r="O275" i="156"/>
  <c r="O275" i="152" l="1"/>
  <c r="P276" i="151"/>
  <c r="O276" i="156"/>
  <c r="O276" i="152" l="1"/>
  <c r="P277" i="151"/>
  <c r="O277" i="156"/>
  <c r="O277" i="152" l="1"/>
  <c r="P278" i="151"/>
  <c r="O278" i="156"/>
  <c r="O278" i="152" l="1"/>
  <c r="P279" i="151"/>
  <c r="T278" i="151"/>
  <c r="T277" i="151" s="1"/>
  <c r="T276" i="151" s="1"/>
  <c r="T275" i="151" s="1"/>
  <c r="T274" i="151" s="1"/>
  <c r="T273" i="151" s="1"/>
  <c r="T272" i="151" s="1"/>
  <c r="S278" i="151"/>
  <c r="S277" i="151" s="1"/>
  <c r="S276" i="151" s="1"/>
  <c r="S275" i="151" s="1"/>
  <c r="S274" i="151" s="1"/>
  <c r="S273" i="151" s="1"/>
  <c r="S272" i="151" s="1"/>
  <c r="Q278" i="151"/>
  <c r="Q277" i="151" s="1"/>
  <c r="Q276" i="151" s="1"/>
  <c r="Q275" i="151" s="1"/>
  <c r="Q274" i="151" s="1"/>
  <c r="Q273" i="151" s="1"/>
  <c r="Q272" i="151" s="1"/>
  <c r="R278" i="151"/>
  <c r="R277" i="151" s="1"/>
  <c r="R276" i="151" s="1"/>
  <c r="R275" i="151" s="1"/>
  <c r="R274" i="151" s="1"/>
  <c r="R273" i="151" s="1"/>
  <c r="R272" i="151" s="1"/>
  <c r="O279" i="156"/>
  <c r="Q278" i="156"/>
  <c r="Q277" i="156" s="1"/>
  <c r="Q276" i="156" s="1"/>
  <c r="Q275" i="156" s="1"/>
  <c r="Q274" i="156" s="1"/>
  <c r="R278" i="156"/>
  <c r="R277" i="156" s="1"/>
  <c r="R276" i="156" s="1"/>
  <c r="R275" i="156" s="1"/>
  <c r="R274" i="156" s="1"/>
  <c r="P278" i="156"/>
  <c r="P277" i="156" s="1"/>
  <c r="P276" i="156" s="1"/>
  <c r="P275" i="156" s="1"/>
  <c r="P274" i="156" s="1"/>
  <c r="R278" i="152" l="1"/>
  <c r="R277" i="152" s="1"/>
  <c r="R276" i="152" s="1"/>
  <c r="R275" i="152" s="1"/>
  <c r="R274" i="152" s="1"/>
  <c r="Q278" i="152"/>
  <c r="Q277" i="152" s="1"/>
  <c r="Q276" i="152" s="1"/>
  <c r="Q275" i="152" s="1"/>
  <c r="Q274" i="152" s="1"/>
  <c r="P278" i="152"/>
  <c r="P277" i="152" s="1"/>
  <c r="P276" i="152" s="1"/>
  <c r="P275" i="152" s="1"/>
  <c r="P274" i="152" s="1"/>
  <c r="O279" i="152"/>
  <c r="P280" i="151"/>
  <c r="R279" i="156"/>
  <c r="P279" i="156"/>
  <c r="O280" i="156"/>
  <c r="Q279" i="156"/>
  <c r="R279" i="152" l="1"/>
  <c r="P279" i="152"/>
  <c r="Q279" i="152"/>
  <c r="O280" i="152"/>
  <c r="P281" i="151"/>
  <c r="O281" i="156"/>
  <c r="Q280" i="156"/>
  <c r="R280" i="156"/>
  <c r="P280" i="156"/>
  <c r="R280" i="152" l="1"/>
  <c r="Q280" i="152"/>
  <c r="P280" i="152"/>
  <c r="O281" i="152"/>
  <c r="P282" i="151"/>
  <c r="O282" i="156"/>
  <c r="O282" i="152" l="1"/>
  <c r="P283" i="151"/>
  <c r="O283" i="156"/>
  <c r="O283" i="152" l="1"/>
  <c r="P284" i="151"/>
  <c r="O284" i="156"/>
  <c r="O284" i="152" l="1"/>
  <c r="P285" i="151"/>
  <c r="O285" i="156"/>
  <c r="O285" i="152" l="1"/>
  <c r="S285" i="151"/>
  <c r="S284" i="151" s="1"/>
  <c r="S283" i="151" s="1"/>
  <c r="S282" i="151" s="1"/>
  <c r="S281" i="151" s="1"/>
  <c r="S280" i="151" s="1"/>
  <c r="S279" i="151" s="1"/>
  <c r="R285" i="151"/>
  <c r="R284" i="151" s="1"/>
  <c r="R283" i="151" s="1"/>
  <c r="R282" i="151" s="1"/>
  <c r="R281" i="151" s="1"/>
  <c r="R280" i="151" s="1"/>
  <c r="R279" i="151" s="1"/>
  <c r="Q285" i="151"/>
  <c r="Q284" i="151" s="1"/>
  <c r="Q283" i="151" s="1"/>
  <c r="Q282" i="151" s="1"/>
  <c r="Q281" i="151" s="1"/>
  <c r="Q280" i="151" s="1"/>
  <c r="Q279" i="151" s="1"/>
  <c r="P286" i="151"/>
  <c r="T285" i="151"/>
  <c r="T284" i="151" s="1"/>
  <c r="T283" i="151" s="1"/>
  <c r="T282" i="151" s="1"/>
  <c r="T281" i="151" s="1"/>
  <c r="T280" i="151" s="1"/>
  <c r="T279" i="151" s="1"/>
  <c r="R285" i="156"/>
  <c r="R284" i="156" s="1"/>
  <c r="R283" i="156" s="1"/>
  <c r="R282" i="156" s="1"/>
  <c r="R281" i="156" s="1"/>
  <c r="P285" i="156"/>
  <c r="P284" i="156" s="1"/>
  <c r="P283" i="156" s="1"/>
  <c r="P282" i="156" s="1"/>
  <c r="P281" i="156" s="1"/>
  <c r="O286" i="156"/>
  <c r="Q285" i="156"/>
  <c r="Q284" i="156" s="1"/>
  <c r="Q283" i="156" s="1"/>
  <c r="Q282" i="156" s="1"/>
  <c r="Q281" i="156" s="1"/>
  <c r="R285" i="152" l="1"/>
  <c r="R284" i="152" s="1"/>
  <c r="R283" i="152" s="1"/>
  <c r="R282" i="152" s="1"/>
  <c r="R281" i="152" s="1"/>
  <c r="P285" i="152"/>
  <c r="P284" i="152" s="1"/>
  <c r="P283" i="152" s="1"/>
  <c r="P282" i="152" s="1"/>
  <c r="P281" i="152" s="1"/>
  <c r="O286" i="152"/>
  <c r="Q285" i="152"/>
  <c r="Q284" i="152" s="1"/>
  <c r="Q283" i="152" s="1"/>
  <c r="Q282" i="152" s="1"/>
  <c r="Q281" i="152" s="1"/>
  <c r="P287" i="151"/>
  <c r="R286" i="156"/>
  <c r="Q286" i="156"/>
  <c r="O287" i="156"/>
  <c r="P286" i="156"/>
  <c r="R286" i="152" l="1"/>
  <c r="Q286" i="152"/>
  <c r="P286" i="152"/>
  <c r="O287" i="152"/>
  <c r="P288" i="151"/>
  <c r="O288" i="156"/>
  <c r="Q287" i="156"/>
  <c r="P287" i="156"/>
  <c r="R287" i="156"/>
  <c r="R287" i="152" l="1"/>
  <c r="P287" i="152"/>
  <c r="Q287" i="152"/>
  <c r="O288" i="152"/>
  <c r="P289" i="151"/>
  <c r="O289" i="156"/>
  <c r="O289" i="152" l="1"/>
  <c r="P290" i="151"/>
  <c r="O290" i="156"/>
  <c r="O290" i="152" l="1"/>
  <c r="P291" i="151"/>
  <c r="O291" i="156"/>
  <c r="O291" i="152" l="1"/>
  <c r="P292" i="151"/>
  <c r="O292" i="156"/>
  <c r="O292" i="152" l="1"/>
  <c r="P293" i="151"/>
  <c r="S292" i="151"/>
  <c r="S291" i="151" s="1"/>
  <c r="S290" i="151" s="1"/>
  <c r="S289" i="151" s="1"/>
  <c r="S288" i="151" s="1"/>
  <c r="S287" i="151" s="1"/>
  <c r="S286" i="151" s="1"/>
  <c r="T292" i="151"/>
  <c r="T291" i="151" s="1"/>
  <c r="T290" i="151" s="1"/>
  <c r="T289" i="151" s="1"/>
  <c r="T288" i="151" s="1"/>
  <c r="T287" i="151" s="1"/>
  <c r="T286" i="151" s="1"/>
  <c r="R292" i="151"/>
  <c r="R291" i="151" s="1"/>
  <c r="R290" i="151" s="1"/>
  <c r="R289" i="151" s="1"/>
  <c r="R288" i="151" s="1"/>
  <c r="R287" i="151" s="1"/>
  <c r="R286" i="151" s="1"/>
  <c r="Q292" i="151"/>
  <c r="Q291" i="151" s="1"/>
  <c r="Q290" i="151" s="1"/>
  <c r="Q289" i="151" s="1"/>
  <c r="Q288" i="151" s="1"/>
  <c r="Q287" i="151" s="1"/>
  <c r="Q286" i="151" s="1"/>
  <c r="R292" i="156"/>
  <c r="R291" i="156" s="1"/>
  <c r="R290" i="156" s="1"/>
  <c r="R289" i="156" s="1"/>
  <c r="R288" i="156" s="1"/>
  <c r="Q292" i="156"/>
  <c r="Q291" i="156" s="1"/>
  <c r="Q290" i="156" s="1"/>
  <c r="Q289" i="156" s="1"/>
  <c r="Q288" i="156" s="1"/>
  <c r="O293" i="156"/>
  <c r="P292" i="156"/>
  <c r="P291" i="156" s="1"/>
  <c r="P290" i="156" s="1"/>
  <c r="P289" i="156" s="1"/>
  <c r="P288" i="156" s="1"/>
  <c r="R292" i="152" l="1"/>
  <c r="R291" i="152" s="1"/>
  <c r="R290" i="152" s="1"/>
  <c r="R289" i="152" s="1"/>
  <c r="R288" i="152" s="1"/>
  <c r="Q292" i="152"/>
  <c r="Q291" i="152" s="1"/>
  <c r="Q290" i="152" s="1"/>
  <c r="Q289" i="152" s="1"/>
  <c r="Q288" i="152" s="1"/>
  <c r="P292" i="152"/>
  <c r="P291" i="152" s="1"/>
  <c r="P290" i="152" s="1"/>
  <c r="P289" i="152" s="1"/>
  <c r="P288" i="152" s="1"/>
  <c r="O293" i="152"/>
  <c r="P294" i="151"/>
  <c r="O294" i="156"/>
  <c r="Q293" i="156"/>
  <c r="R293" i="156"/>
  <c r="P293" i="156"/>
  <c r="R293" i="152" l="1"/>
  <c r="P293" i="152"/>
  <c r="O294" i="152"/>
  <c r="Q293" i="152"/>
  <c r="P295" i="151"/>
  <c r="R294" i="156"/>
  <c r="O295" i="156"/>
  <c r="P294" i="156"/>
  <c r="Q294" i="156"/>
  <c r="R294" i="152" l="1"/>
  <c r="Q294" i="152"/>
  <c r="P294" i="152"/>
  <c r="O295" i="152"/>
  <c r="P296" i="151"/>
  <c r="O296" i="156"/>
  <c r="O296" i="152" l="1"/>
  <c r="P297" i="151"/>
  <c r="O297" i="156"/>
  <c r="O297" i="152" l="1"/>
  <c r="P298" i="151"/>
  <c r="O298" i="156"/>
  <c r="O298" i="152" l="1"/>
  <c r="P299" i="151"/>
  <c r="O299" i="156"/>
  <c r="O299" i="152" l="1"/>
  <c r="P300" i="151"/>
  <c r="T299" i="151"/>
  <c r="T298" i="151" s="1"/>
  <c r="T297" i="151" s="1"/>
  <c r="T296" i="151" s="1"/>
  <c r="T295" i="151" s="1"/>
  <c r="T294" i="151" s="1"/>
  <c r="T293" i="151" s="1"/>
  <c r="S299" i="151"/>
  <c r="S298" i="151" s="1"/>
  <c r="S297" i="151" s="1"/>
  <c r="S296" i="151" s="1"/>
  <c r="S295" i="151" s="1"/>
  <c r="S294" i="151" s="1"/>
  <c r="S293" i="151" s="1"/>
  <c r="R299" i="151"/>
  <c r="R298" i="151" s="1"/>
  <c r="R297" i="151" s="1"/>
  <c r="R296" i="151" s="1"/>
  <c r="R295" i="151" s="1"/>
  <c r="R294" i="151" s="1"/>
  <c r="R293" i="151" s="1"/>
  <c r="Q299" i="151"/>
  <c r="Q298" i="151" s="1"/>
  <c r="Q297" i="151" s="1"/>
  <c r="Q296" i="151" s="1"/>
  <c r="Q295" i="151" s="1"/>
  <c r="Q294" i="151" s="1"/>
  <c r="Q293" i="151" s="1"/>
  <c r="O300" i="156"/>
  <c r="Q299" i="156"/>
  <c r="Q298" i="156" s="1"/>
  <c r="Q297" i="156" s="1"/>
  <c r="Q296" i="156" s="1"/>
  <c r="Q295" i="156" s="1"/>
  <c r="P299" i="156"/>
  <c r="P298" i="156" s="1"/>
  <c r="P297" i="156" s="1"/>
  <c r="P296" i="156" s="1"/>
  <c r="P295" i="156" s="1"/>
  <c r="R299" i="156"/>
  <c r="R298" i="156" s="1"/>
  <c r="R297" i="156" s="1"/>
  <c r="R296" i="156" s="1"/>
  <c r="R295" i="156" s="1"/>
  <c r="R299" i="152" l="1"/>
  <c r="R298" i="152" s="1"/>
  <c r="R297" i="152" s="1"/>
  <c r="R296" i="152" s="1"/>
  <c r="R295" i="152" s="1"/>
  <c r="P299" i="152"/>
  <c r="P298" i="152" s="1"/>
  <c r="P297" i="152" s="1"/>
  <c r="P296" i="152" s="1"/>
  <c r="P295" i="152" s="1"/>
  <c r="Q299" i="152"/>
  <c r="Q298" i="152" s="1"/>
  <c r="Q297" i="152" s="1"/>
  <c r="Q296" i="152" s="1"/>
  <c r="Q295" i="152" s="1"/>
  <c r="O300" i="152"/>
  <c r="P301" i="151"/>
  <c r="R300" i="156"/>
  <c r="P300" i="156"/>
  <c r="Q300" i="156"/>
  <c r="O301" i="156"/>
  <c r="R300" i="152" l="1"/>
  <c r="Q300" i="152"/>
  <c r="P300" i="152"/>
  <c r="O301" i="152"/>
  <c r="P302" i="151"/>
  <c r="O302" i="156"/>
  <c r="Q301" i="156"/>
  <c r="R301" i="156"/>
  <c r="P301" i="156"/>
  <c r="R301" i="152" l="1"/>
  <c r="P301" i="152"/>
  <c r="O302" i="152"/>
  <c r="Q301" i="152"/>
  <c r="P303" i="151"/>
  <c r="O303" i="156"/>
  <c r="O303" i="152" l="1"/>
  <c r="P304" i="151"/>
  <c r="O304" i="156"/>
  <c r="O304" i="152" l="1"/>
  <c r="P305" i="151"/>
  <c r="O305" i="156"/>
  <c r="O305" i="152" l="1"/>
  <c r="P306" i="151"/>
  <c r="O306" i="156"/>
  <c r="O306" i="152" l="1"/>
  <c r="R306" i="151"/>
  <c r="R305" i="151" s="1"/>
  <c r="R304" i="151" s="1"/>
  <c r="R303" i="151" s="1"/>
  <c r="R302" i="151" s="1"/>
  <c r="R301" i="151" s="1"/>
  <c r="R300" i="151" s="1"/>
  <c r="Q306" i="151"/>
  <c r="Q305" i="151" s="1"/>
  <c r="Q304" i="151" s="1"/>
  <c r="Q303" i="151" s="1"/>
  <c r="Q302" i="151" s="1"/>
  <c r="Q301" i="151" s="1"/>
  <c r="Q300" i="151" s="1"/>
  <c r="P307" i="151"/>
  <c r="T306" i="151"/>
  <c r="T305" i="151" s="1"/>
  <c r="T304" i="151" s="1"/>
  <c r="T303" i="151" s="1"/>
  <c r="T302" i="151" s="1"/>
  <c r="T301" i="151" s="1"/>
  <c r="T300" i="151" s="1"/>
  <c r="S306" i="151"/>
  <c r="S305" i="151" s="1"/>
  <c r="S304" i="151" s="1"/>
  <c r="S303" i="151" s="1"/>
  <c r="S302" i="151" s="1"/>
  <c r="S301" i="151" s="1"/>
  <c r="S300" i="151" s="1"/>
  <c r="R306" i="156"/>
  <c r="R305" i="156" s="1"/>
  <c r="R304" i="156" s="1"/>
  <c r="R303" i="156" s="1"/>
  <c r="R302" i="156" s="1"/>
  <c r="P306" i="156"/>
  <c r="P305" i="156" s="1"/>
  <c r="P304" i="156" s="1"/>
  <c r="P303" i="156" s="1"/>
  <c r="P302" i="156" s="1"/>
  <c r="O307" i="156"/>
  <c r="Q306" i="156"/>
  <c r="Q305" i="156" s="1"/>
  <c r="Q304" i="156" s="1"/>
  <c r="Q303" i="156" s="1"/>
  <c r="Q302" i="156" s="1"/>
  <c r="O307" i="152" l="1"/>
  <c r="R306" i="152"/>
  <c r="R305" i="152" s="1"/>
  <c r="R304" i="152" s="1"/>
  <c r="R303" i="152" s="1"/>
  <c r="R302" i="152" s="1"/>
  <c r="Q306" i="152"/>
  <c r="Q305" i="152" s="1"/>
  <c r="Q304" i="152" s="1"/>
  <c r="Q303" i="152" s="1"/>
  <c r="Q302" i="152" s="1"/>
  <c r="P306" i="152"/>
  <c r="P305" i="152" s="1"/>
  <c r="P304" i="152" s="1"/>
  <c r="P303" i="152" s="1"/>
  <c r="P302" i="152" s="1"/>
  <c r="P308" i="151"/>
  <c r="O308" i="156"/>
  <c r="R307" i="156"/>
  <c r="Q307" i="156"/>
  <c r="P307" i="156"/>
  <c r="Q307" i="152" l="1"/>
  <c r="R307" i="152"/>
  <c r="O308" i="152"/>
  <c r="P307" i="152"/>
  <c r="P309" i="151"/>
  <c r="R308" i="156"/>
  <c r="P308" i="156"/>
  <c r="O309" i="156"/>
  <c r="Q308" i="156"/>
  <c r="O309" i="152" l="1"/>
  <c r="P308" i="152"/>
  <c r="R308" i="152"/>
  <c r="Q308" i="152"/>
  <c r="P310" i="151"/>
  <c r="O310" i="156"/>
  <c r="O310" i="152" l="1"/>
  <c r="P311" i="151"/>
  <c r="O311" i="156"/>
  <c r="O311" i="152" l="1"/>
  <c r="P312" i="151"/>
  <c r="O312" i="156"/>
  <c r="O312" i="152" l="1"/>
  <c r="P313" i="151"/>
  <c r="O313" i="156"/>
  <c r="O313" i="152" l="1"/>
  <c r="P314" i="151"/>
  <c r="T313" i="151"/>
  <c r="T312" i="151" s="1"/>
  <c r="T311" i="151" s="1"/>
  <c r="T310" i="151" s="1"/>
  <c r="T309" i="151" s="1"/>
  <c r="T308" i="151" s="1"/>
  <c r="T307" i="151" s="1"/>
  <c r="R313" i="151"/>
  <c r="R312" i="151" s="1"/>
  <c r="R311" i="151" s="1"/>
  <c r="R310" i="151" s="1"/>
  <c r="R309" i="151" s="1"/>
  <c r="R308" i="151" s="1"/>
  <c r="R307" i="151" s="1"/>
  <c r="S313" i="151"/>
  <c r="S312" i="151" s="1"/>
  <c r="S311" i="151" s="1"/>
  <c r="S310" i="151" s="1"/>
  <c r="S309" i="151" s="1"/>
  <c r="S308" i="151" s="1"/>
  <c r="S307" i="151" s="1"/>
  <c r="Q313" i="151"/>
  <c r="Q312" i="151" s="1"/>
  <c r="Q311" i="151" s="1"/>
  <c r="Q310" i="151" s="1"/>
  <c r="Q309" i="151" s="1"/>
  <c r="Q308" i="151" s="1"/>
  <c r="Q307" i="151" s="1"/>
  <c r="O314" i="156"/>
  <c r="P313" i="156"/>
  <c r="P312" i="156" s="1"/>
  <c r="P311" i="156" s="1"/>
  <c r="P310" i="156" s="1"/>
  <c r="P309" i="156" s="1"/>
  <c r="R313" i="156"/>
  <c r="R312" i="156" s="1"/>
  <c r="R311" i="156" s="1"/>
  <c r="R310" i="156" s="1"/>
  <c r="R309" i="156" s="1"/>
  <c r="Q313" i="156"/>
  <c r="Q312" i="156" s="1"/>
  <c r="Q311" i="156" s="1"/>
  <c r="Q310" i="156" s="1"/>
  <c r="Q309" i="156" s="1"/>
  <c r="Q313" i="152" l="1"/>
  <c r="Q312" i="152" s="1"/>
  <c r="Q311" i="152" s="1"/>
  <c r="Q310" i="152" s="1"/>
  <c r="Q309" i="152" s="1"/>
  <c r="R313" i="152"/>
  <c r="R312" i="152" s="1"/>
  <c r="R311" i="152" s="1"/>
  <c r="R310" i="152" s="1"/>
  <c r="R309" i="152" s="1"/>
  <c r="P313" i="152"/>
  <c r="P312" i="152" s="1"/>
  <c r="P311" i="152" s="1"/>
  <c r="P310" i="152" s="1"/>
  <c r="P309" i="152" s="1"/>
  <c r="O314" i="152"/>
  <c r="P315" i="151"/>
  <c r="R314" i="156"/>
  <c r="P314" i="156"/>
  <c r="Q314" i="156"/>
  <c r="O315" i="156"/>
  <c r="O315" i="152" l="1"/>
  <c r="R314" i="152"/>
  <c r="Q314" i="152"/>
  <c r="P314" i="152"/>
  <c r="P316" i="151"/>
  <c r="O316" i="156"/>
  <c r="Q315" i="156"/>
  <c r="P315" i="156"/>
  <c r="R315" i="156"/>
  <c r="Q315" i="152" l="1"/>
  <c r="R315" i="152"/>
  <c r="O316" i="152"/>
  <c r="P315" i="152"/>
  <c r="P317" i="151"/>
  <c r="O317" i="156"/>
  <c r="O317" i="152" l="1"/>
  <c r="P318" i="151"/>
  <c r="O318" i="156"/>
  <c r="O318" i="152" l="1"/>
  <c r="P319" i="151"/>
  <c r="O319" i="156"/>
  <c r="O319" i="152" l="1"/>
  <c r="P320" i="151"/>
  <c r="O320" i="156"/>
  <c r="O320" i="152" l="1"/>
  <c r="T320" i="151"/>
  <c r="T319" i="151" s="1"/>
  <c r="T318" i="151" s="1"/>
  <c r="T317" i="151" s="1"/>
  <c r="T316" i="151" s="1"/>
  <c r="T315" i="151" s="1"/>
  <c r="T314" i="151" s="1"/>
  <c r="S320" i="151"/>
  <c r="S319" i="151" s="1"/>
  <c r="S318" i="151" s="1"/>
  <c r="S317" i="151" s="1"/>
  <c r="S316" i="151" s="1"/>
  <c r="S315" i="151" s="1"/>
  <c r="S314" i="151" s="1"/>
  <c r="R320" i="151"/>
  <c r="R319" i="151" s="1"/>
  <c r="R318" i="151" s="1"/>
  <c r="R317" i="151" s="1"/>
  <c r="R316" i="151" s="1"/>
  <c r="R315" i="151" s="1"/>
  <c r="R314" i="151" s="1"/>
  <c r="Q320" i="151"/>
  <c r="Q319" i="151" s="1"/>
  <c r="Q318" i="151" s="1"/>
  <c r="Q317" i="151" s="1"/>
  <c r="Q316" i="151" s="1"/>
  <c r="Q315" i="151" s="1"/>
  <c r="Q314" i="151" s="1"/>
  <c r="P321" i="151"/>
  <c r="R320" i="156"/>
  <c r="R319" i="156" s="1"/>
  <c r="R318" i="156" s="1"/>
  <c r="R317" i="156" s="1"/>
  <c r="R316" i="156" s="1"/>
  <c r="P320" i="156"/>
  <c r="P319" i="156" s="1"/>
  <c r="P318" i="156" s="1"/>
  <c r="P317" i="156" s="1"/>
  <c r="P316" i="156" s="1"/>
  <c r="O321" i="156"/>
  <c r="Q320" i="156"/>
  <c r="Q319" i="156" s="1"/>
  <c r="Q318" i="156" s="1"/>
  <c r="Q317" i="156" s="1"/>
  <c r="Q316" i="156" s="1"/>
  <c r="O321" i="152" l="1"/>
  <c r="R320" i="152"/>
  <c r="R319" i="152" s="1"/>
  <c r="R318" i="152" s="1"/>
  <c r="R317" i="152" s="1"/>
  <c r="R316" i="152" s="1"/>
  <c r="P320" i="152"/>
  <c r="P319" i="152" s="1"/>
  <c r="P318" i="152" s="1"/>
  <c r="P317" i="152" s="1"/>
  <c r="P316" i="152" s="1"/>
  <c r="Q320" i="152"/>
  <c r="Q319" i="152" s="1"/>
  <c r="Q318" i="152" s="1"/>
  <c r="Q317" i="152" s="1"/>
  <c r="Q316" i="152" s="1"/>
  <c r="P322" i="151"/>
  <c r="O322" i="156"/>
  <c r="R321" i="156"/>
  <c r="Q321" i="156"/>
  <c r="P321" i="156"/>
  <c r="Q321" i="152" l="1"/>
  <c r="R321" i="152"/>
  <c r="O322" i="152"/>
  <c r="P321" i="152"/>
  <c r="P323" i="151"/>
  <c r="R322" i="156"/>
  <c r="P322" i="156"/>
  <c r="O323" i="156"/>
  <c r="Q322" i="156"/>
  <c r="O323" i="152" l="1"/>
  <c r="R322" i="152"/>
  <c r="Q322" i="152"/>
  <c r="P322" i="152"/>
  <c r="P324" i="151"/>
  <c r="O324" i="156"/>
  <c r="O324" i="152" l="1"/>
  <c r="P325" i="151"/>
  <c r="O325" i="156"/>
  <c r="O325" i="152" l="1"/>
  <c r="P326" i="151"/>
  <c r="O326" i="156"/>
  <c r="O326" i="152" l="1"/>
  <c r="P327" i="151"/>
  <c r="O327" i="156"/>
  <c r="O327" i="152" l="1"/>
  <c r="Q327" i="151"/>
  <c r="Q326" i="151" s="1"/>
  <c r="Q325" i="151" s="1"/>
  <c r="Q324" i="151" s="1"/>
  <c r="Q323" i="151" s="1"/>
  <c r="Q322" i="151" s="1"/>
  <c r="Q321" i="151" s="1"/>
  <c r="T327" i="151"/>
  <c r="T326" i="151" s="1"/>
  <c r="T325" i="151" s="1"/>
  <c r="T324" i="151" s="1"/>
  <c r="T323" i="151" s="1"/>
  <c r="T322" i="151" s="1"/>
  <c r="T321" i="151" s="1"/>
  <c r="R327" i="151"/>
  <c r="R326" i="151" s="1"/>
  <c r="R325" i="151" s="1"/>
  <c r="R324" i="151" s="1"/>
  <c r="R323" i="151" s="1"/>
  <c r="R322" i="151" s="1"/>
  <c r="R321" i="151" s="1"/>
  <c r="S327" i="151"/>
  <c r="S326" i="151" s="1"/>
  <c r="S325" i="151" s="1"/>
  <c r="S324" i="151" s="1"/>
  <c r="S323" i="151" s="1"/>
  <c r="S322" i="151" s="1"/>
  <c r="S321" i="151" s="1"/>
  <c r="P328" i="151"/>
  <c r="O328" i="156"/>
  <c r="R327" i="156"/>
  <c r="R326" i="156" s="1"/>
  <c r="R325" i="156" s="1"/>
  <c r="R324" i="156" s="1"/>
  <c r="R323" i="156" s="1"/>
  <c r="P327" i="156"/>
  <c r="P326" i="156" s="1"/>
  <c r="P325" i="156" s="1"/>
  <c r="P324" i="156" s="1"/>
  <c r="P323" i="156" s="1"/>
  <c r="Q327" i="156"/>
  <c r="Q326" i="156" s="1"/>
  <c r="Q325" i="156" s="1"/>
  <c r="Q324" i="156" s="1"/>
  <c r="Q323" i="156" s="1"/>
  <c r="Q327" i="152" l="1"/>
  <c r="Q326" i="152" s="1"/>
  <c r="Q325" i="152" s="1"/>
  <c r="Q324" i="152" s="1"/>
  <c r="Q323" i="152" s="1"/>
  <c r="O328" i="152"/>
  <c r="R327" i="152"/>
  <c r="R326" i="152" s="1"/>
  <c r="R325" i="152" s="1"/>
  <c r="R324" i="152" s="1"/>
  <c r="R323" i="152" s="1"/>
  <c r="P327" i="152"/>
  <c r="P326" i="152" s="1"/>
  <c r="P325" i="152" s="1"/>
  <c r="P324" i="152" s="1"/>
  <c r="P323" i="152" s="1"/>
  <c r="P329" i="151"/>
  <c r="R328" i="156"/>
  <c r="P328" i="156"/>
  <c r="Q328" i="156"/>
  <c r="O329" i="156"/>
  <c r="O329" i="152" l="1"/>
  <c r="R328" i="152"/>
  <c r="P328" i="152"/>
  <c r="Q328" i="152"/>
  <c r="P330" i="151"/>
  <c r="O330" i="156"/>
  <c r="P329" i="156"/>
  <c r="Q329" i="156"/>
  <c r="R329" i="156"/>
  <c r="Q329" i="152" l="1"/>
  <c r="R329" i="152"/>
  <c r="O330" i="152"/>
  <c r="P329" i="152"/>
  <c r="P331" i="151"/>
  <c r="O331" i="156"/>
  <c r="O331" i="152" l="1"/>
  <c r="P332" i="151"/>
  <c r="O332" i="156"/>
  <c r="O332" i="152" l="1"/>
  <c r="P333" i="151"/>
  <c r="O333" i="156"/>
  <c r="O333" i="152" l="1"/>
  <c r="P334" i="151"/>
  <c r="O334" i="156"/>
  <c r="O334" i="152" l="1"/>
  <c r="P335" i="151"/>
  <c r="T334" i="151"/>
  <c r="T333" i="151" s="1"/>
  <c r="T332" i="151" s="1"/>
  <c r="T331" i="151" s="1"/>
  <c r="T330" i="151" s="1"/>
  <c r="T329" i="151" s="1"/>
  <c r="T328" i="151" s="1"/>
  <c r="S334" i="151"/>
  <c r="S333" i="151" s="1"/>
  <c r="S332" i="151" s="1"/>
  <c r="S331" i="151" s="1"/>
  <c r="S330" i="151" s="1"/>
  <c r="S329" i="151" s="1"/>
  <c r="S328" i="151" s="1"/>
  <c r="Q334" i="151"/>
  <c r="Q333" i="151" s="1"/>
  <c r="Q332" i="151" s="1"/>
  <c r="Q331" i="151" s="1"/>
  <c r="Q330" i="151" s="1"/>
  <c r="Q329" i="151" s="1"/>
  <c r="Q328" i="151" s="1"/>
  <c r="R334" i="151"/>
  <c r="R333" i="151" s="1"/>
  <c r="R332" i="151" s="1"/>
  <c r="R331" i="151" s="1"/>
  <c r="R330" i="151" s="1"/>
  <c r="R329" i="151" s="1"/>
  <c r="R328" i="151" s="1"/>
  <c r="R334" i="156"/>
  <c r="R333" i="156" s="1"/>
  <c r="R332" i="156" s="1"/>
  <c r="R331" i="156" s="1"/>
  <c r="R330" i="156" s="1"/>
  <c r="P334" i="156"/>
  <c r="P333" i="156" s="1"/>
  <c r="P332" i="156" s="1"/>
  <c r="P331" i="156" s="1"/>
  <c r="P330" i="156" s="1"/>
  <c r="O335" i="156"/>
  <c r="Q334" i="156"/>
  <c r="Q333" i="156" s="1"/>
  <c r="Q332" i="156" s="1"/>
  <c r="Q331" i="156" s="1"/>
  <c r="Q330" i="156" s="1"/>
  <c r="O335" i="152" l="1"/>
  <c r="P334" i="152"/>
  <c r="P333" i="152" s="1"/>
  <c r="P332" i="152" s="1"/>
  <c r="P331" i="152" s="1"/>
  <c r="P330" i="152" s="1"/>
  <c r="R334" i="152"/>
  <c r="R333" i="152" s="1"/>
  <c r="R332" i="152" s="1"/>
  <c r="R331" i="152" s="1"/>
  <c r="R330" i="152" s="1"/>
  <c r="Q334" i="152"/>
  <c r="Q333" i="152" s="1"/>
  <c r="Q332" i="152" s="1"/>
  <c r="Q331" i="152" s="1"/>
  <c r="Q330" i="152" s="1"/>
  <c r="P336" i="151"/>
  <c r="O336" i="156"/>
  <c r="R335" i="156"/>
  <c r="P335" i="156"/>
  <c r="Q335" i="156"/>
  <c r="Q335" i="152" l="1"/>
  <c r="R335" i="152"/>
  <c r="P335" i="152"/>
  <c r="O336" i="152"/>
  <c r="P337" i="151"/>
  <c r="R336" i="156"/>
  <c r="P336" i="156"/>
  <c r="Q336" i="156"/>
  <c r="O337" i="156"/>
  <c r="O337" i="152" l="1"/>
  <c r="P336" i="152"/>
  <c r="R336" i="152"/>
  <c r="Q336" i="152"/>
  <c r="P338" i="151"/>
  <c r="O338" i="156"/>
  <c r="O338" i="152" l="1"/>
  <c r="P339" i="151"/>
  <c r="O339" i="156"/>
  <c r="O339" i="152" l="1"/>
  <c r="P340" i="151"/>
  <c r="O340" i="156"/>
  <c r="O340" i="152" l="1"/>
  <c r="P341" i="151"/>
  <c r="O341" i="156"/>
  <c r="O341" i="152" l="1"/>
  <c r="T341" i="151"/>
  <c r="T340" i="151" s="1"/>
  <c r="T339" i="151" s="1"/>
  <c r="T338" i="151" s="1"/>
  <c r="T337" i="151" s="1"/>
  <c r="T336" i="151" s="1"/>
  <c r="T335" i="151" s="1"/>
  <c r="S341" i="151"/>
  <c r="S340" i="151" s="1"/>
  <c r="S339" i="151" s="1"/>
  <c r="S338" i="151" s="1"/>
  <c r="S337" i="151" s="1"/>
  <c r="S336" i="151" s="1"/>
  <c r="S335" i="151" s="1"/>
  <c r="Q341" i="151"/>
  <c r="Q340" i="151" s="1"/>
  <c r="Q339" i="151" s="1"/>
  <c r="Q338" i="151" s="1"/>
  <c r="Q337" i="151" s="1"/>
  <c r="Q336" i="151" s="1"/>
  <c r="Q335" i="151" s="1"/>
  <c r="R341" i="151"/>
  <c r="R340" i="151" s="1"/>
  <c r="R339" i="151" s="1"/>
  <c r="R338" i="151" s="1"/>
  <c r="R337" i="151" s="1"/>
  <c r="R336" i="151" s="1"/>
  <c r="R335" i="151" s="1"/>
  <c r="P342" i="151"/>
  <c r="O342" i="156"/>
  <c r="R341" i="156"/>
  <c r="R340" i="156" s="1"/>
  <c r="R339" i="156" s="1"/>
  <c r="R338" i="156" s="1"/>
  <c r="R337" i="156" s="1"/>
  <c r="Q341" i="156"/>
  <c r="Q340" i="156" s="1"/>
  <c r="Q339" i="156" s="1"/>
  <c r="Q338" i="156" s="1"/>
  <c r="Q337" i="156" s="1"/>
  <c r="P341" i="156"/>
  <c r="P340" i="156" s="1"/>
  <c r="P339" i="156" s="1"/>
  <c r="P338" i="156" s="1"/>
  <c r="P337" i="156" s="1"/>
  <c r="Q341" i="152" l="1"/>
  <c r="Q340" i="152" s="1"/>
  <c r="Q339" i="152" s="1"/>
  <c r="Q338" i="152" s="1"/>
  <c r="Q337" i="152" s="1"/>
  <c r="O342" i="152"/>
  <c r="P341" i="152"/>
  <c r="P340" i="152" s="1"/>
  <c r="P339" i="152" s="1"/>
  <c r="P338" i="152" s="1"/>
  <c r="P337" i="152" s="1"/>
  <c r="R341" i="152"/>
  <c r="R340" i="152" s="1"/>
  <c r="R339" i="152" s="1"/>
  <c r="R338" i="152" s="1"/>
  <c r="R337" i="152" s="1"/>
  <c r="P343" i="151"/>
  <c r="R342" i="156"/>
  <c r="P342" i="156"/>
  <c r="O343" i="156"/>
  <c r="Q342" i="156"/>
  <c r="O343" i="152" l="1"/>
  <c r="P342" i="152"/>
  <c r="Q342" i="152"/>
  <c r="R342" i="152"/>
  <c r="P344" i="151"/>
  <c r="O344" i="156"/>
  <c r="R343" i="156"/>
  <c r="P343" i="156"/>
  <c r="Q343" i="156"/>
  <c r="Q343" i="152" l="1"/>
  <c r="O344" i="152"/>
  <c r="R343" i="152"/>
  <c r="P343" i="152"/>
  <c r="P345" i="151"/>
  <c r="O345" i="156"/>
  <c r="O345" i="152" l="1"/>
  <c r="P346" i="151"/>
  <c r="O346" i="156"/>
  <c r="O346" i="152" l="1"/>
  <c r="P347" i="151"/>
  <c r="O347" i="156"/>
  <c r="O347" i="152" l="1"/>
  <c r="P348" i="151"/>
  <c r="O348" i="156"/>
  <c r="O348" i="152" l="1"/>
  <c r="Q348" i="151"/>
  <c r="Q347" i="151" s="1"/>
  <c r="Q346" i="151" s="1"/>
  <c r="Q345" i="151" s="1"/>
  <c r="Q344" i="151" s="1"/>
  <c r="Q343" i="151" s="1"/>
  <c r="Q342" i="151" s="1"/>
  <c r="P349" i="151"/>
  <c r="S348" i="151"/>
  <c r="S347" i="151" s="1"/>
  <c r="S346" i="151" s="1"/>
  <c r="S345" i="151" s="1"/>
  <c r="S344" i="151" s="1"/>
  <c r="S343" i="151" s="1"/>
  <c r="S342" i="151" s="1"/>
  <c r="T348" i="151"/>
  <c r="T347" i="151" s="1"/>
  <c r="T346" i="151" s="1"/>
  <c r="T345" i="151" s="1"/>
  <c r="T344" i="151" s="1"/>
  <c r="T343" i="151" s="1"/>
  <c r="T342" i="151" s="1"/>
  <c r="R348" i="151"/>
  <c r="R347" i="151" s="1"/>
  <c r="R346" i="151" s="1"/>
  <c r="R345" i="151" s="1"/>
  <c r="R344" i="151" s="1"/>
  <c r="R343" i="151" s="1"/>
  <c r="R342" i="151" s="1"/>
  <c r="R348" i="156"/>
  <c r="R347" i="156" s="1"/>
  <c r="R346" i="156" s="1"/>
  <c r="R345" i="156" s="1"/>
  <c r="R344" i="156" s="1"/>
  <c r="P348" i="156"/>
  <c r="P347" i="156" s="1"/>
  <c r="P346" i="156" s="1"/>
  <c r="P345" i="156" s="1"/>
  <c r="P344" i="156" s="1"/>
  <c r="Q348" i="156"/>
  <c r="Q347" i="156" s="1"/>
  <c r="Q346" i="156" s="1"/>
  <c r="Q345" i="156" s="1"/>
  <c r="Q344" i="156" s="1"/>
  <c r="O349" i="156"/>
  <c r="O349" i="152" l="1"/>
  <c r="Q348" i="152"/>
  <c r="Q347" i="152" s="1"/>
  <c r="Q346" i="152" s="1"/>
  <c r="Q345" i="152" s="1"/>
  <c r="Q344" i="152" s="1"/>
  <c r="P348" i="152"/>
  <c r="P347" i="152" s="1"/>
  <c r="P346" i="152" s="1"/>
  <c r="P345" i="152" s="1"/>
  <c r="P344" i="152" s="1"/>
  <c r="R348" i="152"/>
  <c r="R347" i="152" s="1"/>
  <c r="R346" i="152" s="1"/>
  <c r="R345" i="152" s="1"/>
  <c r="R344" i="152" s="1"/>
  <c r="P350" i="151"/>
  <c r="O350" i="156"/>
  <c r="R349" i="156"/>
  <c r="Q349" i="156"/>
  <c r="P349" i="156"/>
  <c r="Q349" i="152" l="1"/>
  <c r="O350" i="152"/>
  <c r="P349" i="152"/>
  <c r="R349" i="152"/>
  <c r="P351" i="151"/>
  <c r="R350" i="156"/>
  <c r="P350" i="156"/>
  <c r="O351" i="156"/>
  <c r="Q350" i="156"/>
  <c r="O351" i="152" l="1"/>
  <c r="Q350" i="152"/>
  <c r="P350" i="152"/>
  <c r="R350" i="152"/>
  <c r="P352" i="151"/>
  <c r="O352" i="156"/>
  <c r="O352" i="152" l="1"/>
  <c r="P353" i="151"/>
  <c r="O353" i="156"/>
  <c r="O353" i="152" l="1"/>
  <c r="P354" i="151"/>
  <c r="O354" i="156"/>
  <c r="O354" i="152" l="1"/>
  <c r="P355" i="151"/>
  <c r="O355" i="156"/>
  <c r="O355" i="152" l="1"/>
  <c r="P356" i="151"/>
  <c r="T355" i="151"/>
  <c r="T354" i="151" s="1"/>
  <c r="T353" i="151" s="1"/>
  <c r="T352" i="151" s="1"/>
  <c r="T351" i="151" s="1"/>
  <c r="T350" i="151" s="1"/>
  <c r="T349" i="151" s="1"/>
  <c r="S355" i="151"/>
  <c r="S354" i="151" s="1"/>
  <c r="S353" i="151" s="1"/>
  <c r="S352" i="151" s="1"/>
  <c r="S351" i="151" s="1"/>
  <c r="S350" i="151" s="1"/>
  <c r="S349" i="151" s="1"/>
  <c r="R355" i="151"/>
  <c r="R354" i="151" s="1"/>
  <c r="R353" i="151" s="1"/>
  <c r="R352" i="151" s="1"/>
  <c r="R351" i="151" s="1"/>
  <c r="R350" i="151" s="1"/>
  <c r="R349" i="151" s="1"/>
  <c r="Q355" i="151"/>
  <c r="Q354" i="151" s="1"/>
  <c r="Q353" i="151" s="1"/>
  <c r="Q352" i="151" s="1"/>
  <c r="Q351" i="151" s="1"/>
  <c r="Q350" i="151" s="1"/>
  <c r="Q349" i="151" s="1"/>
  <c r="O356" i="156"/>
  <c r="R355" i="156"/>
  <c r="R354" i="156" s="1"/>
  <c r="R353" i="156" s="1"/>
  <c r="R352" i="156" s="1"/>
  <c r="R351" i="156" s="1"/>
  <c r="P355" i="156"/>
  <c r="P354" i="156" s="1"/>
  <c r="P353" i="156" s="1"/>
  <c r="P352" i="156" s="1"/>
  <c r="P351" i="156" s="1"/>
  <c r="Q355" i="156"/>
  <c r="Q354" i="156" s="1"/>
  <c r="Q353" i="156" s="1"/>
  <c r="Q352" i="156" s="1"/>
  <c r="Q351" i="156" s="1"/>
  <c r="Q355" i="152" l="1"/>
  <c r="Q354" i="152" s="1"/>
  <c r="Q353" i="152" s="1"/>
  <c r="Q352" i="152" s="1"/>
  <c r="Q351" i="152" s="1"/>
  <c r="O356" i="152"/>
  <c r="R355" i="152"/>
  <c r="R354" i="152" s="1"/>
  <c r="R353" i="152" s="1"/>
  <c r="R352" i="152" s="1"/>
  <c r="R351" i="152" s="1"/>
  <c r="P355" i="152"/>
  <c r="P354" i="152" s="1"/>
  <c r="P353" i="152" s="1"/>
  <c r="P352" i="152" s="1"/>
  <c r="P351" i="152" s="1"/>
  <c r="P357" i="151"/>
  <c r="R356" i="156"/>
  <c r="P356" i="156"/>
  <c r="Q356" i="156"/>
  <c r="O357" i="156"/>
  <c r="O357" i="152" l="1"/>
  <c r="Q356" i="152"/>
  <c r="P356" i="152"/>
  <c r="R356" i="152"/>
  <c r="P358" i="151"/>
  <c r="O358" i="156"/>
  <c r="R357" i="156"/>
  <c r="Q357" i="156"/>
  <c r="P357" i="156"/>
  <c r="Q357" i="152" l="1"/>
  <c r="O358" i="152"/>
  <c r="P357" i="152"/>
  <c r="R357" i="152"/>
  <c r="P359" i="151"/>
  <c r="O359" i="156"/>
  <c r="O359" i="152" l="1"/>
  <c r="P360" i="151"/>
  <c r="O360" i="156"/>
  <c r="O360" i="152" l="1"/>
  <c r="P361" i="151"/>
  <c r="O361" i="156"/>
  <c r="O361" i="152" l="1"/>
  <c r="P362" i="151"/>
  <c r="O362" i="156"/>
  <c r="O362" i="152" l="1"/>
  <c r="S362" i="151"/>
  <c r="S361" i="151" s="1"/>
  <c r="S360" i="151" s="1"/>
  <c r="S359" i="151" s="1"/>
  <c r="S358" i="151" s="1"/>
  <c r="S357" i="151" s="1"/>
  <c r="S356" i="151" s="1"/>
  <c r="R362" i="151"/>
  <c r="R361" i="151" s="1"/>
  <c r="R360" i="151" s="1"/>
  <c r="R359" i="151" s="1"/>
  <c r="R358" i="151" s="1"/>
  <c r="R357" i="151" s="1"/>
  <c r="R356" i="151" s="1"/>
  <c r="Q362" i="151"/>
  <c r="Q361" i="151" s="1"/>
  <c r="Q360" i="151" s="1"/>
  <c r="Q359" i="151" s="1"/>
  <c r="Q358" i="151" s="1"/>
  <c r="Q357" i="151" s="1"/>
  <c r="Q356" i="151" s="1"/>
  <c r="P363" i="151"/>
  <c r="T362" i="151"/>
  <c r="T361" i="151" s="1"/>
  <c r="T360" i="151" s="1"/>
  <c r="T359" i="151" s="1"/>
  <c r="T358" i="151" s="1"/>
  <c r="T357" i="151" s="1"/>
  <c r="T356" i="151" s="1"/>
  <c r="R362" i="156"/>
  <c r="R361" i="156" s="1"/>
  <c r="R360" i="156" s="1"/>
  <c r="R359" i="156" s="1"/>
  <c r="R358" i="156" s="1"/>
  <c r="P362" i="156"/>
  <c r="P361" i="156" s="1"/>
  <c r="P360" i="156" s="1"/>
  <c r="P359" i="156" s="1"/>
  <c r="P358" i="156" s="1"/>
  <c r="O363" i="156"/>
  <c r="Q362" i="156"/>
  <c r="Q361" i="156" s="1"/>
  <c r="Q360" i="156" s="1"/>
  <c r="Q359" i="156" s="1"/>
  <c r="Q358" i="156" s="1"/>
  <c r="O363" i="152" l="1"/>
  <c r="Q362" i="152"/>
  <c r="Q361" i="152" s="1"/>
  <c r="Q360" i="152" s="1"/>
  <c r="Q359" i="152" s="1"/>
  <c r="Q358" i="152" s="1"/>
  <c r="P362" i="152"/>
  <c r="P361" i="152" s="1"/>
  <c r="P360" i="152" s="1"/>
  <c r="P359" i="152" s="1"/>
  <c r="P358" i="152" s="1"/>
  <c r="R362" i="152"/>
  <c r="R361" i="152" s="1"/>
  <c r="R360" i="152" s="1"/>
  <c r="R359" i="152" s="1"/>
  <c r="R358" i="152" s="1"/>
  <c r="P364" i="151"/>
  <c r="O364" i="156"/>
  <c r="R363" i="156"/>
  <c r="P363" i="156"/>
  <c r="Q363" i="156"/>
  <c r="Q363" i="152" l="1"/>
  <c r="O364" i="152"/>
  <c r="R363" i="152"/>
  <c r="P363" i="152"/>
  <c r="P365" i="151"/>
  <c r="R364" i="156"/>
  <c r="P364" i="156"/>
  <c r="Q364" i="156"/>
  <c r="O365" i="156"/>
  <c r="O365" i="152" l="1"/>
  <c r="Q364" i="152"/>
  <c r="P364" i="152"/>
  <c r="R364" i="152"/>
  <c r="P366" i="151"/>
  <c r="O366" i="156"/>
  <c r="O366" i="152" l="1"/>
  <c r="P367" i="151"/>
  <c r="O367" i="156"/>
  <c r="O367" i="152" l="1"/>
  <c r="P368" i="151"/>
  <c r="O368" i="156"/>
  <c r="O368" i="152" l="1"/>
  <c r="P369" i="151"/>
  <c r="O369" i="156"/>
  <c r="O369" i="152" l="1"/>
  <c r="P370" i="151"/>
  <c r="S369" i="151"/>
  <c r="S368" i="151" s="1"/>
  <c r="S367" i="151" s="1"/>
  <c r="S366" i="151" s="1"/>
  <c r="S365" i="151" s="1"/>
  <c r="S364" i="151" s="1"/>
  <c r="S363" i="151" s="1"/>
  <c r="T369" i="151"/>
  <c r="T368" i="151" s="1"/>
  <c r="T367" i="151" s="1"/>
  <c r="T366" i="151" s="1"/>
  <c r="T365" i="151" s="1"/>
  <c r="T364" i="151" s="1"/>
  <c r="T363" i="151" s="1"/>
  <c r="R369" i="151"/>
  <c r="R368" i="151" s="1"/>
  <c r="R367" i="151" s="1"/>
  <c r="R366" i="151" s="1"/>
  <c r="R365" i="151" s="1"/>
  <c r="R364" i="151" s="1"/>
  <c r="R363" i="151" s="1"/>
  <c r="Q369" i="151"/>
  <c r="Q368" i="151" s="1"/>
  <c r="Q367" i="151" s="1"/>
  <c r="Q366" i="151" s="1"/>
  <c r="Q365" i="151" s="1"/>
  <c r="Q364" i="151" s="1"/>
  <c r="Q363" i="151" s="1"/>
  <c r="Q369" i="156"/>
  <c r="Q368" i="156" s="1"/>
  <c r="Q367" i="156" s="1"/>
  <c r="Q366" i="156" s="1"/>
  <c r="Q365" i="156" s="1"/>
  <c r="P369" i="156"/>
  <c r="P368" i="156" s="1"/>
  <c r="P367" i="156" s="1"/>
  <c r="P366" i="156" s="1"/>
  <c r="P365" i="156" s="1"/>
  <c r="R369" i="156"/>
  <c r="R368" i="156" s="1"/>
  <c r="R367" i="156" s="1"/>
  <c r="R366" i="156" s="1"/>
  <c r="R365" i="156" s="1"/>
  <c r="O370" i="156"/>
  <c r="Q369" i="152" l="1"/>
  <c r="Q368" i="152" s="1"/>
  <c r="Q367" i="152" s="1"/>
  <c r="Q366" i="152" s="1"/>
  <c r="Q365" i="152" s="1"/>
  <c r="O370" i="152"/>
  <c r="R369" i="152"/>
  <c r="R368" i="152" s="1"/>
  <c r="R367" i="152" s="1"/>
  <c r="R366" i="152" s="1"/>
  <c r="R365" i="152" s="1"/>
  <c r="P369" i="152"/>
  <c r="P368" i="152" s="1"/>
  <c r="P367" i="152" s="1"/>
  <c r="P366" i="152" s="1"/>
  <c r="P365" i="152" s="1"/>
  <c r="P371" i="151"/>
  <c r="R370" i="156"/>
  <c r="O371" i="156"/>
  <c r="Q370" i="156"/>
  <c r="P370" i="156"/>
  <c r="O371" i="152" l="1"/>
  <c r="Q370" i="152"/>
  <c r="P370" i="152"/>
  <c r="R370" i="152"/>
  <c r="P372" i="151"/>
  <c r="O372" i="156"/>
  <c r="Q371" i="156"/>
  <c r="P371" i="156"/>
  <c r="R371" i="156"/>
  <c r="Q371" i="152" l="1"/>
  <c r="O372" i="152"/>
  <c r="R371" i="152"/>
  <c r="P371" i="152"/>
  <c r="P373" i="151"/>
  <c r="O373" i="156"/>
  <c r="O373" i="152" l="1"/>
  <c r="P374" i="151"/>
  <c r="O374" i="156"/>
  <c r="O374" i="152" l="1"/>
  <c r="P375" i="151"/>
  <c r="O375" i="156"/>
  <c r="O375" i="152" l="1"/>
  <c r="P376" i="151"/>
  <c r="O376" i="156"/>
  <c r="O376" i="152" l="1"/>
  <c r="P377" i="151"/>
  <c r="T376" i="151"/>
  <c r="T375" i="151" s="1"/>
  <c r="T374" i="151" s="1"/>
  <c r="T373" i="151" s="1"/>
  <c r="T372" i="151" s="1"/>
  <c r="T371" i="151" s="1"/>
  <c r="T370" i="151" s="1"/>
  <c r="S376" i="151"/>
  <c r="S375" i="151" s="1"/>
  <c r="S374" i="151" s="1"/>
  <c r="S373" i="151" s="1"/>
  <c r="S372" i="151" s="1"/>
  <c r="S371" i="151" s="1"/>
  <c r="S370" i="151" s="1"/>
  <c r="R376" i="151"/>
  <c r="R375" i="151" s="1"/>
  <c r="R374" i="151" s="1"/>
  <c r="R373" i="151" s="1"/>
  <c r="R372" i="151" s="1"/>
  <c r="R371" i="151" s="1"/>
  <c r="R370" i="151" s="1"/>
  <c r="Q376" i="151"/>
  <c r="Q375" i="151" s="1"/>
  <c r="Q374" i="151" s="1"/>
  <c r="Q373" i="151" s="1"/>
  <c r="Q372" i="151" s="1"/>
  <c r="Q371" i="151" s="1"/>
  <c r="Q370" i="151" s="1"/>
  <c r="R376" i="156"/>
  <c r="R375" i="156" s="1"/>
  <c r="R374" i="156" s="1"/>
  <c r="R373" i="156" s="1"/>
  <c r="R372" i="156" s="1"/>
  <c r="P376" i="156"/>
  <c r="P375" i="156" s="1"/>
  <c r="P374" i="156" s="1"/>
  <c r="P373" i="156" s="1"/>
  <c r="P372" i="156" s="1"/>
  <c r="O377" i="156"/>
  <c r="Q376" i="156"/>
  <c r="Q375" i="156" s="1"/>
  <c r="Q374" i="156" s="1"/>
  <c r="Q373" i="156" s="1"/>
  <c r="Q372" i="156" s="1"/>
  <c r="O377" i="152" l="1"/>
  <c r="Q376" i="152"/>
  <c r="Q375" i="152" s="1"/>
  <c r="Q374" i="152" s="1"/>
  <c r="Q373" i="152" s="1"/>
  <c r="Q372" i="152" s="1"/>
  <c r="P376" i="152"/>
  <c r="P375" i="152" s="1"/>
  <c r="P374" i="152" s="1"/>
  <c r="P373" i="152" s="1"/>
  <c r="P372" i="152" s="1"/>
  <c r="R376" i="152"/>
  <c r="R375" i="152" s="1"/>
  <c r="R374" i="152" s="1"/>
  <c r="R373" i="152" s="1"/>
  <c r="R372" i="152" s="1"/>
  <c r="P378" i="151"/>
  <c r="O378" i="156"/>
  <c r="Q377" i="156"/>
  <c r="P377" i="156"/>
  <c r="R377" i="156"/>
  <c r="Q377" i="152" l="1"/>
  <c r="O378" i="152"/>
  <c r="P377" i="152"/>
  <c r="R377" i="152"/>
  <c r="P379" i="151"/>
  <c r="R378" i="156"/>
  <c r="O379" i="156"/>
  <c r="Q378" i="156"/>
  <c r="P378" i="156"/>
  <c r="O379" i="152" l="1"/>
  <c r="Q378" i="152"/>
  <c r="P378" i="152"/>
  <c r="R378" i="152"/>
  <c r="P380" i="151"/>
  <c r="O380" i="156"/>
  <c r="O380" i="152" l="1"/>
  <c r="P381" i="151"/>
  <c r="O381" i="156"/>
  <c r="O381" i="152" l="1"/>
  <c r="P382" i="151"/>
  <c r="O382" i="156"/>
  <c r="O382" i="152" l="1"/>
  <c r="P383" i="151"/>
  <c r="O383" i="156"/>
  <c r="O383" i="152" l="1"/>
  <c r="R383" i="151"/>
  <c r="R382" i="151" s="1"/>
  <c r="R381" i="151" s="1"/>
  <c r="R380" i="151" s="1"/>
  <c r="R379" i="151" s="1"/>
  <c r="R378" i="151" s="1"/>
  <c r="R377" i="151" s="1"/>
  <c r="Q383" i="151"/>
  <c r="Q382" i="151" s="1"/>
  <c r="Q381" i="151" s="1"/>
  <c r="Q380" i="151" s="1"/>
  <c r="Q379" i="151" s="1"/>
  <c r="Q378" i="151" s="1"/>
  <c r="Q377" i="151" s="1"/>
  <c r="P384" i="151"/>
  <c r="T383" i="151"/>
  <c r="T382" i="151" s="1"/>
  <c r="T381" i="151" s="1"/>
  <c r="T380" i="151" s="1"/>
  <c r="T379" i="151" s="1"/>
  <c r="T378" i="151" s="1"/>
  <c r="T377" i="151" s="1"/>
  <c r="S383" i="151"/>
  <c r="S382" i="151" s="1"/>
  <c r="S381" i="151" s="1"/>
  <c r="S380" i="151" s="1"/>
  <c r="S379" i="151" s="1"/>
  <c r="S378" i="151" s="1"/>
  <c r="S377" i="151" s="1"/>
  <c r="O384" i="156"/>
  <c r="Q383" i="156"/>
  <c r="Q382" i="156" s="1"/>
  <c r="Q381" i="156" s="1"/>
  <c r="Q380" i="156" s="1"/>
  <c r="Q379" i="156" s="1"/>
  <c r="P383" i="156"/>
  <c r="P382" i="156" s="1"/>
  <c r="P381" i="156" s="1"/>
  <c r="P380" i="156" s="1"/>
  <c r="P379" i="156" s="1"/>
  <c r="R383" i="156"/>
  <c r="R382" i="156" s="1"/>
  <c r="R381" i="156" s="1"/>
  <c r="R380" i="156" s="1"/>
  <c r="R379" i="156" s="1"/>
  <c r="Q383" i="152" l="1"/>
  <c r="Q382" i="152" s="1"/>
  <c r="Q381" i="152" s="1"/>
  <c r="Q380" i="152" s="1"/>
  <c r="Q379" i="152" s="1"/>
  <c r="O384" i="152"/>
  <c r="R383" i="152"/>
  <c r="R382" i="152" s="1"/>
  <c r="R381" i="152" s="1"/>
  <c r="R380" i="152" s="1"/>
  <c r="R379" i="152" s="1"/>
  <c r="P383" i="152"/>
  <c r="P382" i="152" s="1"/>
  <c r="P381" i="152" s="1"/>
  <c r="P380" i="152" s="1"/>
  <c r="P379" i="152" s="1"/>
  <c r="P385" i="151"/>
  <c r="R384" i="156"/>
  <c r="P384" i="156"/>
  <c r="Q384" i="156"/>
  <c r="O385" i="156"/>
  <c r="O385" i="152" l="1"/>
  <c r="Q384" i="152"/>
  <c r="P384" i="152"/>
  <c r="R384" i="152"/>
  <c r="P386" i="151"/>
  <c r="O386" i="156"/>
  <c r="Q385" i="156"/>
  <c r="P385" i="156"/>
  <c r="R385" i="156"/>
  <c r="Q385" i="152" l="1"/>
  <c r="O386" i="152"/>
  <c r="R385" i="152"/>
  <c r="P385" i="152"/>
  <c r="P387" i="151"/>
  <c r="O387" i="156"/>
  <c r="O387" i="152" l="1"/>
  <c r="P388" i="151"/>
  <c r="O388" i="156"/>
  <c r="O388" i="152" l="1"/>
  <c r="P389" i="151"/>
  <c r="O389" i="156"/>
  <c r="O389" i="152" l="1"/>
  <c r="P390" i="151"/>
  <c r="O390" i="156"/>
  <c r="O390" i="152" l="1"/>
  <c r="P391" i="151"/>
  <c r="T390" i="151"/>
  <c r="T389" i="151" s="1"/>
  <c r="T388" i="151" s="1"/>
  <c r="T387" i="151" s="1"/>
  <c r="T386" i="151" s="1"/>
  <c r="T385" i="151" s="1"/>
  <c r="T384" i="151" s="1"/>
  <c r="R390" i="151"/>
  <c r="R389" i="151" s="1"/>
  <c r="R388" i="151" s="1"/>
  <c r="R387" i="151" s="1"/>
  <c r="R386" i="151" s="1"/>
  <c r="R385" i="151" s="1"/>
  <c r="R384" i="151" s="1"/>
  <c r="Q390" i="151"/>
  <c r="Q389" i="151" s="1"/>
  <c r="Q388" i="151" s="1"/>
  <c r="Q387" i="151" s="1"/>
  <c r="Q386" i="151" s="1"/>
  <c r="Q385" i="151" s="1"/>
  <c r="Q384" i="151" s="1"/>
  <c r="S390" i="151"/>
  <c r="S389" i="151" s="1"/>
  <c r="S388" i="151" s="1"/>
  <c r="S387" i="151" s="1"/>
  <c r="S386" i="151" s="1"/>
  <c r="S385" i="151" s="1"/>
  <c r="S384" i="151" s="1"/>
  <c r="R390" i="156"/>
  <c r="R389" i="156" s="1"/>
  <c r="R388" i="156" s="1"/>
  <c r="R387" i="156" s="1"/>
  <c r="R386" i="156" s="1"/>
  <c r="O391" i="156"/>
  <c r="Q390" i="156"/>
  <c r="Q389" i="156" s="1"/>
  <c r="Q388" i="156" s="1"/>
  <c r="Q387" i="156" s="1"/>
  <c r="Q386" i="156" s="1"/>
  <c r="P390" i="156"/>
  <c r="P389" i="156" s="1"/>
  <c r="P388" i="156" s="1"/>
  <c r="P387" i="156" s="1"/>
  <c r="P386" i="156" s="1"/>
  <c r="O391" i="152" l="1"/>
  <c r="Q390" i="152"/>
  <c r="Q389" i="152" s="1"/>
  <c r="Q388" i="152" s="1"/>
  <c r="Q387" i="152" s="1"/>
  <c r="Q386" i="152" s="1"/>
  <c r="P390" i="152"/>
  <c r="P389" i="152" s="1"/>
  <c r="P388" i="152" s="1"/>
  <c r="P387" i="152" s="1"/>
  <c r="P386" i="152" s="1"/>
  <c r="R390" i="152"/>
  <c r="R389" i="152" s="1"/>
  <c r="R388" i="152" s="1"/>
  <c r="R387" i="152" s="1"/>
  <c r="R386" i="152" s="1"/>
  <c r="P392" i="151"/>
  <c r="O392" i="156"/>
  <c r="Q391" i="156"/>
  <c r="P391" i="156"/>
  <c r="R391" i="156"/>
  <c r="Q391" i="152" l="1"/>
  <c r="O392" i="152"/>
  <c r="R391" i="152"/>
  <c r="P391" i="152"/>
  <c r="P393" i="151"/>
  <c r="R392" i="156"/>
  <c r="P392" i="156"/>
  <c r="O393" i="156"/>
  <c r="Q392" i="156"/>
  <c r="O393" i="152" l="1"/>
  <c r="Q392" i="152"/>
  <c r="P392" i="152"/>
  <c r="R392" i="152"/>
  <c r="P394" i="151"/>
  <c r="O394" i="156"/>
  <c r="O394" i="152" l="1"/>
  <c r="P395" i="151"/>
  <c r="O395" i="156"/>
  <c r="O395" i="152" l="1"/>
  <c r="P396" i="151"/>
  <c r="O396" i="156"/>
  <c r="O396" i="152" l="1"/>
  <c r="P397" i="151"/>
  <c r="O397" i="156"/>
  <c r="O397" i="152" l="1"/>
  <c r="T397" i="151"/>
  <c r="T396" i="151" s="1"/>
  <c r="T395" i="151" s="1"/>
  <c r="T394" i="151" s="1"/>
  <c r="T393" i="151" s="1"/>
  <c r="T392" i="151" s="1"/>
  <c r="T391" i="151" s="1"/>
  <c r="S397" i="151"/>
  <c r="S396" i="151" s="1"/>
  <c r="S395" i="151" s="1"/>
  <c r="S394" i="151" s="1"/>
  <c r="S393" i="151" s="1"/>
  <c r="S392" i="151" s="1"/>
  <c r="S391" i="151" s="1"/>
  <c r="R397" i="151"/>
  <c r="R396" i="151" s="1"/>
  <c r="R395" i="151" s="1"/>
  <c r="R394" i="151" s="1"/>
  <c r="R393" i="151" s="1"/>
  <c r="R392" i="151" s="1"/>
  <c r="R391" i="151" s="1"/>
  <c r="Q397" i="151"/>
  <c r="Q396" i="151" s="1"/>
  <c r="Q395" i="151" s="1"/>
  <c r="Q394" i="151" s="1"/>
  <c r="Q393" i="151" s="1"/>
  <c r="Q392" i="151" s="1"/>
  <c r="Q391" i="151" s="1"/>
  <c r="P398" i="151"/>
  <c r="O398" i="156"/>
  <c r="Q397" i="156"/>
  <c r="Q396" i="156" s="1"/>
  <c r="Q395" i="156" s="1"/>
  <c r="Q394" i="156" s="1"/>
  <c r="Q393" i="156" s="1"/>
  <c r="P397" i="156"/>
  <c r="P396" i="156" s="1"/>
  <c r="P395" i="156" s="1"/>
  <c r="P394" i="156" s="1"/>
  <c r="P393" i="156" s="1"/>
  <c r="R397" i="156"/>
  <c r="R396" i="156" s="1"/>
  <c r="R395" i="156" s="1"/>
  <c r="R394" i="156" s="1"/>
  <c r="R393" i="156" s="1"/>
  <c r="Q397" i="152" l="1"/>
  <c r="Q396" i="152" s="1"/>
  <c r="Q395" i="152" s="1"/>
  <c r="Q394" i="152" s="1"/>
  <c r="Q393" i="152" s="1"/>
  <c r="O398" i="152"/>
  <c r="P397" i="152"/>
  <c r="P396" i="152" s="1"/>
  <c r="P395" i="152" s="1"/>
  <c r="P394" i="152" s="1"/>
  <c r="P393" i="152" s="1"/>
  <c r="R397" i="152"/>
  <c r="R396" i="152" s="1"/>
  <c r="R395" i="152" s="1"/>
  <c r="R394" i="152" s="1"/>
  <c r="R393" i="152" s="1"/>
  <c r="P399" i="151"/>
  <c r="R398" i="156"/>
  <c r="O399" i="156"/>
  <c r="Q398" i="156"/>
  <c r="P398" i="156"/>
  <c r="O399" i="152" l="1"/>
  <c r="Q398" i="152"/>
  <c r="P398" i="152"/>
  <c r="R398" i="152"/>
  <c r="P400" i="151"/>
  <c r="O400" i="156"/>
  <c r="Q399" i="156"/>
  <c r="P399" i="156"/>
  <c r="R399" i="156"/>
  <c r="Q399" i="152" l="1"/>
  <c r="O400" i="152"/>
  <c r="R399" i="152"/>
  <c r="P399" i="152"/>
  <c r="P401" i="151"/>
  <c r="O401" i="156"/>
  <c r="O401" i="152" l="1"/>
  <c r="P402" i="151"/>
  <c r="O402" i="156"/>
  <c r="O402" i="152" l="1"/>
  <c r="P403" i="151"/>
  <c r="O403" i="156"/>
  <c r="O403" i="152" l="1"/>
  <c r="P404" i="151"/>
  <c r="O404" i="156"/>
  <c r="O404" i="152" l="1"/>
  <c r="Q404" i="151"/>
  <c r="Q403" i="151" s="1"/>
  <c r="Q402" i="151" s="1"/>
  <c r="Q401" i="151" s="1"/>
  <c r="Q400" i="151" s="1"/>
  <c r="Q399" i="151" s="1"/>
  <c r="Q398" i="151" s="1"/>
  <c r="T404" i="151"/>
  <c r="T403" i="151" s="1"/>
  <c r="T402" i="151" s="1"/>
  <c r="T401" i="151" s="1"/>
  <c r="T400" i="151" s="1"/>
  <c r="T399" i="151" s="1"/>
  <c r="T398" i="151" s="1"/>
  <c r="P405" i="151"/>
  <c r="R404" i="151"/>
  <c r="R403" i="151" s="1"/>
  <c r="R402" i="151" s="1"/>
  <c r="R401" i="151" s="1"/>
  <c r="R400" i="151" s="1"/>
  <c r="R399" i="151" s="1"/>
  <c r="R398" i="151" s="1"/>
  <c r="S404" i="151"/>
  <c r="S403" i="151" s="1"/>
  <c r="S402" i="151" s="1"/>
  <c r="S401" i="151" s="1"/>
  <c r="S400" i="151" s="1"/>
  <c r="S399" i="151" s="1"/>
  <c r="S398" i="151" s="1"/>
  <c r="R404" i="156"/>
  <c r="R403" i="156" s="1"/>
  <c r="R402" i="156" s="1"/>
  <c r="R401" i="156" s="1"/>
  <c r="R400" i="156" s="1"/>
  <c r="P404" i="156"/>
  <c r="P403" i="156" s="1"/>
  <c r="P402" i="156" s="1"/>
  <c r="P401" i="156" s="1"/>
  <c r="P400" i="156" s="1"/>
  <c r="O405" i="156"/>
  <c r="Q404" i="156"/>
  <c r="Q403" i="156" s="1"/>
  <c r="Q402" i="156" s="1"/>
  <c r="Q401" i="156" s="1"/>
  <c r="Q400" i="156" s="1"/>
  <c r="O405" i="152" l="1"/>
  <c r="Q404" i="152"/>
  <c r="Q403" i="152" s="1"/>
  <c r="Q402" i="152" s="1"/>
  <c r="Q401" i="152" s="1"/>
  <c r="Q400" i="152" s="1"/>
  <c r="P404" i="152"/>
  <c r="P403" i="152" s="1"/>
  <c r="P402" i="152" s="1"/>
  <c r="P401" i="152" s="1"/>
  <c r="P400" i="152" s="1"/>
  <c r="R404" i="152"/>
  <c r="R403" i="152" s="1"/>
  <c r="R402" i="152" s="1"/>
  <c r="R401" i="152" s="1"/>
  <c r="R400" i="152" s="1"/>
  <c r="P406" i="151"/>
  <c r="O406" i="156"/>
  <c r="Q405" i="156"/>
  <c r="P405" i="156"/>
  <c r="R405" i="156"/>
  <c r="Q405" i="152" l="1"/>
  <c r="O406" i="152"/>
  <c r="P405" i="152"/>
  <c r="R405" i="152"/>
  <c r="P407" i="151"/>
  <c r="R406" i="156"/>
  <c r="O407" i="156"/>
  <c r="Q406" i="156"/>
  <c r="P406" i="156"/>
  <c r="O407" i="152" l="1"/>
  <c r="Q406" i="152"/>
  <c r="P406" i="152"/>
  <c r="R406" i="152"/>
  <c r="P408" i="151"/>
  <c r="O408" i="156"/>
  <c r="O408" i="152" l="1"/>
  <c r="P409" i="151"/>
  <c r="O409" i="156"/>
  <c r="O409" i="152" l="1"/>
  <c r="P410" i="151"/>
  <c r="O410" i="156"/>
  <c r="O410" i="152" l="1"/>
  <c r="P411" i="151"/>
  <c r="O411" i="156"/>
  <c r="O411" i="152" l="1"/>
  <c r="P412" i="151"/>
  <c r="T411" i="151"/>
  <c r="T410" i="151" s="1"/>
  <c r="T409" i="151" s="1"/>
  <c r="T408" i="151" s="1"/>
  <c r="T407" i="151" s="1"/>
  <c r="T406" i="151" s="1"/>
  <c r="T405" i="151" s="1"/>
  <c r="S411" i="151"/>
  <c r="S410" i="151" s="1"/>
  <c r="S409" i="151" s="1"/>
  <c r="S408" i="151" s="1"/>
  <c r="S407" i="151" s="1"/>
  <c r="S406" i="151" s="1"/>
  <c r="S405" i="151" s="1"/>
  <c r="Q411" i="151"/>
  <c r="Q410" i="151" s="1"/>
  <c r="Q409" i="151" s="1"/>
  <c r="Q408" i="151" s="1"/>
  <c r="Q407" i="151" s="1"/>
  <c r="Q406" i="151" s="1"/>
  <c r="Q405" i="151" s="1"/>
  <c r="R411" i="151"/>
  <c r="R410" i="151" s="1"/>
  <c r="R409" i="151" s="1"/>
  <c r="R408" i="151" s="1"/>
  <c r="R407" i="151" s="1"/>
  <c r="R406" i="151" s="1"/>
  <c r="R405" i="151" s="1"/>
  <c r="O412" i="156"/>
  <c r="Q411" i="156"/>
  <c r="Q410" i="156" s="1"/>
  <c r="Q409" i="156" s="1"/>
  <c r="Q408" i="156" s="1"/>
  <c r="Q407" i="156" s="1"/>
  <c r="P411" i="156"/>
  <c r="P410" i="156" s="1"/>
  <c r="P409" i="156" s="1"/>
  <c r="P408" i="156" s="1"/>
  <c r="P407" i="156" s="1"/>
  <c r="R411" i="156"/>
  <c r="R410" i="156" s="1"/>
  <c r="R409" i="156" s="1"/>
  <c r="R408" i="156" s="1"/>
  <c r="R407" i="156" s="1"/>
  <c r="Q411" i="152" l="1"/>
  <c r="Q410" i="152" s="1"/>
  <c r="Q409" i="152" s="1"/>
  <c r="Q408" i="152" s="1"/>
  <c r="Q407" i="152" s="1"/>
  <c r="O412" i="152"/>
  <c r="R411" i="152"/>
  <c r="R410" i="152" s="1"/>
  <c r="R409" i="152" s="1"/>
  <c r="R408" i="152" s="1"/>
  <c r="R407" i="152" s="1"/>
  <c r="P411" i="152"/>
  <c r="P410" i="152" s="1"/>
  <c r="P409" i="152" s="1"/>
  <c r="P408" i="152" s="1"/>
  <c r="P407" i="152" s="1"/>
  <c r="P413" i="151"/>
  <c r="R412" i="156"/>
  <c r="P412" i="156"/>
  <c r="O413" i="156"/>
  <c r="Q412" i="156"/>
  <c r="O413" i="152" l="1"/>
  <c r="Q412" i="152"/>
  <c r="P412" i="152"/>
  <c r="R412" i="152"/>
  <c r="P414" i="151"/>
  <c r="O414" i="156"/>
  <c r="Q413" i="156"/>
  <c r="P413" i="156"/>
  <c r="R413" i="156"/>
  <c r="Q413" i="152" l="1"/>
  <c r="O414" i="152"/>
  <c r="P413" i="152"/>
  <c r="R413" i="152"/>
  <c r="P415" i="151"/>
  <c r="O415" i="156"/>
  <c r="O415" i="152" l="1"/>
  <c r="P416" i="151"/>
  <c r="O416" i="156"/>
  <c r="O416" i="152" l="1"/>
  <c r="P417" i="151"/>
  <c r="O417" i="156"/>
  <c r="O417" i="152" l="1"/>
  <c r="P418" i="151"/>
  <c r="O418" i="156"/>
  <c r="O418" i="152" l="1"/>
  <c r="S418" i="151"/>
  <c r="S417" i="151" s="1"/>
  <c r="S416" i="151" s="1"/>
  <c r="S415" i="151" s="1"/>
  <c r="S414" i="151" s="1"/>
  <c r="S413" i="151" s="1"/>
  <c r="S412" i="151" s="1"/>
  <c r="R418" i="151"/>
  <c r="R417" i="151" s="1"/>
  <c r="R416" i="151" s="1"/>
  <c r="R415" i="151" s="1"/>
  <c r="R414" i="151" s="1"/>
  <c r="R413" i="151" s="1"/>
  <c r="R412" i="151" s="1"/>
  <c r="Q418" i="151"/>
  <c r="Q417" i="151" s="1"/>
  <c r="Q416" i="151" s="1"/>
  <c r="Q415" i="151" s="1"/>
  <c r="Q414" i="151" s="1"/>
  <c r="Q413" i="151" s="1"/>
  <c r="Q412" i="151" s="1"/>
  <c r="P419" i="151"/>
  <c r="T418" i="151"/>
  <c r="T417" i="151" s="1"/>
  <c r="T416" i="151" s="1"/>
  <c r="T415" i="151" s="1"/>
  <c r="T414" i="151" s="1"/>
  <c r="T413" i="151" s="1"/>
  <c r="T412" i="151" s="1"/>
  <c r="R418" i="156"/>
  <c r="R417" i="156" s="1"/>
  <c r="R416" i="156" s="1"/>
  <c r="R415" i="156" s="1"/>
  <c r="R414" i="156" s="1"/>
  <c r="O419" i="156"/>
  <c r="Q418" i="156"/>
  <c r="Q417" i="156" s="1"/>
  <c r="Q416" i="156" s="1"/>
  <c r="Q415" i="156" s="1"/>
  <c r="Q414" i="156" s="1"/>
  <c r="P418" i="156"/>
  <c r="P417" i="156" s="1"/>
  <c r="P416" i="156" s="1"/>
  <c r="P415" i="156" s="1"/>
  <c r="P414" i="156" s="1"/>
  <c r="O419" i="152" l="1"/>
  <c r="Q418" i="152"/>
  <c r="Q417" i="152" s="1"/>
  <c r="Q416" i="152" s="1"/>
  <c r="Q415" i="152" s="1"/>
  <c r="Q414" i="152" s="1"/>
  <c r="P418" i="152"/>
  <c r="P417" i="152" s="1"/>
  <c r="P416" i="152" s="1"/>
  <c r="P415" i="152" s="1"/>
  <c r="P414" i="152" s="1"/>
  <c r="R418" i="152"/>
  <c r="R417" i="152" s="1"/>
  <c r="R416" i="152" s="1"/>
  <c r="R415" i="152" s="1"/>
  <c r="R414" i="152" s="1"/>
  <c r="P420" i="151"/>
  <c r="O420" i="156"/>
  <c r="Q419" i="156"/>
  <c r="P419" i="156"/>
  <c r="R419" i="156"/>
  <c r="Q419" i="152" l="1"/>
  <c r="O420" i="152"/>
  <c r="R419" i="152"/>
  <c r="P419" i="152"/>
  <c r="P421" i="151"/>
  <c r="R420" i="156"/>
  <c r="P420" i="156"/>
  <c r="O421" i="156"/>
  <c r="Q420" i="156"/>
  <c r="O421" i="152" l="1"/>
  <c r="Q420" i="152"/>
  <c r="P420" i="152"/>
  <c r="R420" i="152"/>
  <c r="P422" i="151"/>
  <c r="O422" i="156"/>
  <c r="O422" i="152" l="1"/>
  <c r="P423" i="151"/>
  <c r="O423" i="156"/>
  <c r="O423" i="152" l="1"/>
  <c r="P424" i="151"/>
  <c r="O424" i="156"/>
  <c r="O424" i="152" l="1"/>
  <c r="P425" i="151"/>
  <c r="O425" i="156"/>
  <c r="O425" i="152" l="1"/>
  <c r="Q425" i="151"/>
  <c r="Q424" i="151" s="1"/>
  <c r="Q423" i="151" s="1"/>
  <c r="Q422" i="151" s="1"/>
  <c r="Q421" i="151" s="1"/>
  <c r="Q420" i="151" s="1"/>
  <c r="Q419" i="151" s="1"/>
  <c r="T425" i="151"/>
  <c r="T424" i="151" s="1"/>
  <c r="T423" i="151" s="1"/>
  <c r="T422" i="151" s="1"/>
  <c r="T421" i="151" s="1"/>
  <c r="T420" i="151" s="1"/>
  <c r="T419" i="151" s="1"/>
  <c r="P426" i="151"/>
  <c r="R425" i="151"/>
  <c r="R424" i="151" s="1"/>
  <c r="R423" i="151" s="1"/>
  <c r="R422" i="151" s="1"/>
  <c r="R421" i="151" s="1"/>
  <c r="R420" i="151" s="1"/>
  <c r="R419" i="151" s="1"/>
  <c r="S425" i="151"/>
  <c r="S424" i="151" s="1"/>
  <c r="S423" i="151" s="1"/>
  <c r="S422" i="151" s="1"/>
  <c r="S421" i="151" s="1"/>
  <c r="S420" i="151" s="1"/>
  <c r="S419" i="151" s="1"/>
  <c r="O426" i="156"/>
  <c r="Q425" i="156"/>
  <c r="Q424" i="156" s="1"/>
  <c r="Q423" i="156" s="1"/>
  <c r="Q422" i="156" s="1"/>
  <c r="Q421" i="156" s="1"/>
  <c r="P425" i="156"/>
  <c r="P424" i="156" s="1"/>
  <c r="P423" i="156" s="1"/>
  <c r="P422" i="156" s="1"/>
  <c r="P421" i="156" s="1"/>
  <c r="R425" i="156"/>
  <c r="R424" i="156" s="1"/>
  <c r="R423" i="156" s="1"/>
  <c r="R422" i="156" s="1"/>
  <c r="R421" i="156" s="1"/>
  <c r="Q425" i="152" l="1"/>
  <c r="Q424" i="152" s="1"/>
  <c r="Q423" i="152" s="1"/>
  <c r="Q422" i="152" s="1"/>
  <c r="Q421" i="152" s="1"/>
  <c r="O426" i="152"/>
  <c r="P425" i="152"/>
  <c r="P424" i="152" s="1"/>
  <c r="P423" i="152" s="1"/>
  <c r="P422" i="152" s="1"/>
  <c r="P421" i="152" s="1"/>
  <c r="R425" i="152"/>
  <c r="R424" i="152" s="1"/>
  <c r="R423" i="152" s="1"/>
  <c r="R422" i="152" s="1"/>
  <c r="R421" i="152" s="1"/>
  <c r="P427" i="151"/>
  <c r="R426" i="156"/>
  <c r="O427" i="156"/>
  <c r="Q426" i="156"/>
  <c r="P426" i="156"/>
  <c r="O427" i="152" l="1"/>
  <c r="Q426" i="152"/>
  <c r="P426" i="152"/>
  <c r="R426" i="152"/>
  <c r="P428" i="151"/>
  <c r="O428" i="156"/>
  <c r="Q427" i="156"/>
  <c r="P427" i="156"/>
  <c r="R427" i="156"/>
  <c r="Q427" i="152" l="1"/>
  <c r="O428" i="152"/>
  <c r="R427" i="152"/>
  <c r="P427" i="152"/>
  <c r="P429" i="151"/>
  <c r="O429" i="156"/>
  <c r="O429" i="152" l="1"/>
  <c r="P430" i="151"/>
  <c r="O430" i="156"/>
  <c r="O430" i="152" l="1"/>
  <c r="P431" i="151"/>
  <c r="O431" i="156"/>
  <c r="O431" i="152" l="1"/>
  <c r="P432" i="151"/>
  <c r="O432" i="156"/>
  <c r="O432" i="152" l="1"/>
  <c r="P433" i="151"/>
  <c r="T432" i="151"/>
  <c r="T431" i="151" s="1"/>
  <c r="T430" i="151" s="1"/>
  <c r="T429" i="151" s="1"/>
  <c r="T428" i="151" s="1"/>
  <c r="T427" i="151" s="1"/>
  <c r="T426" i="151" s="1"/>
  <c r="S432" i="151"/>
  <c r="S431" i="151" s="1"/>
  <c r="S430" i="151" s="1"/>
  <c r="S429" i="151" s="1"/>
  <c r="S428" i="151" s="1"/>
  <c r="S427" i="151" s="1"/>
  <c r="S426" i="151" s="1"/>
  <c r="Q432" i="151"/>
  <c r="Q431" i="151" s="1"/>
  <c r="Q430" i="151" s="1"/>
  <c r="Q429" i="151" s="1"/>
  <c r="Q428" i="151" s="1"/>
  <c r="Q427" i="151" s="1"/>
  <c r="Q426" i="151" s="1"/>
  <c r="R432" i="151"/>
  <c r="R431" i="151" s="1"/>
  <c r="R430" i="151" s="1"/>
  <c r="R429" i="151" s="1"/>
  <c r="R428" i="151" s="1"/>
  <c r="R427" i="151" s="1"/>
  <c r="R426" i="151" s="1"/>
  <c r="R432" i="156"/>
  <c r="R431" i="156" s="1"/>
  <c r="R430" i="156" s="1"/>
  <c r="R429" i="156" s="1"/>
  <c r="R428" i="156" s="1"/>
  <c r="P432" i="156"/>
  <c r="P431" i="156" s="1"/>
  <c r="P430" i="156" s="1"/>
  <c r="P429" i="156" s="1"/>
  <c r="P428" i="156" s="1"/>
  <c r="Q432" i="156"/>
  <c r="Q431" i="156" s="1"/>
  <c r="Q430" i="156" s="1"/>
  <c r="Q429" i="156" s="1"/>
  <c r="Q428" i="156" s="1"/>
  <c r="O433" i="156"/>
  <c r="O433" i="152" l="1"/>
  <c r="Q432" i="152"/>
  <c r="Q431" i="152" s="1"/>
  <c r="Q430" i="152" s="1"/>
  <c r="Q429" i="152" s="1"/>
  <c r="Q428" i="152" s="1"/>
  <c r="P432" i="152"/>
  <c r="P431" i="152" s="1"/>
  <c r="P430" i="152" s="1"/>
  <c r="P429" i="152" s="1"/>
  <c r="P428" i="152" s="1"/>
  <c r="R432" i="152"/>
  <c r="R431" i="152" s="1"/>
  <c r="R430" i="152" s="1"/>
  <c r="R429" i="152" s="1"/>
  <c r="R428" i="152" s="1"/>
  <c r="P434" i="151"/>
  <c r="O434" i="156"/>
  <c r="Q433" i="156"/>
  <c r="P433" i="156"/>
  <c r="R433" i="156"/>
  <c r="Q433" i="152" l="1"/>
  <c r="O434" i="152"/>
  <c r="R433" i="152"/>
  <c r="P433" i="152"/>
  <c r="P435" i="151"/>
  <c r="R434" i="156"/>
  <c r="O435" i="156"/>
  <c r="Q434" i="156"/>
  <c r="P434" i="156"/>
  <c r="O435" i="152" l="1"/>
  <c r="Q434" i="152"/>
  <c r="P434" i="152"/>
  <c r="R434" i="152"/>
  <c r="P436" i="151"/>
  <c r="O436" i="156"/>
  <c r="O436" i="152" l="1"/>
  <c r="P437" i="151"/>
  <c r="O437" i="156"/>
  <c r="O437" i="152" l="1"/>
  <c r="P438" i="151"/>
  <c r="O438" i="156"/>
  <c r="O438" i="152" l="1"/>
  <c r="P439" i="151"/>
  <c r="O439" i="156"/>
  <c r="O439" i="152" l="1"/>
  <c r="S439" i="151"/>
  <c r="S438" i="151" s="1"/>
  <c r="S437" i="151" s="1"/>
  <c r="S436" i="151" s="1"/>
  <c r="S435" i="151" s="1"/>
  <c r="S434" i="151" s="1"/>
  <c r="S433" i="151" s="1"/>
  <c r="R439" i="151"/>
  <c r="R438" i="151" s="1"/>
  <c r="R437" i="151" s="1"/>
  <c r="R436" i="151" s="1"/>
  <c r="R435" i="151" s="1"/>
  <c r="R434" i="151" s="1"/>
  <c r="R433" i="151" s="1"/>
  <c r="Q439" i="151"/>
  <c r="Q438" i="151" s="1"/>
  <c r="Q437" i="151" s="1"/>
  <c r="Q436" i="151" s="1"/>
  <c r="Q435" i="151" s="1"/>
  <c r="Q434" i="151" s="1"/>
  <c r="Q433" i="151" s="1"/>
  <c r="P440" i="151"/>
  <c r="T439" i="151"/>
  <c r="T438" i="151" s="1"/>
  <c r="T437" i="151" s="1"/>
  <c r="T436" i="151" s="1"/>
  <c r="T435" i="151" s="1"/>
  <c r="T434" i="151" s="1"/>
  <c r="T433" i="151" s="1"/>
  <c r="O440" i="156"/>
  <c r="Q439" i="156"/>
  <c r="Q438" i="156" s="1"/>
  <c r="Q437" i="156" s="1"/>
  <c r="Q436" i="156" s="1"/>
  <c r="Q435" i="156" s="1"/>
  <c r="P439" i="156"/>
  <c r="P438" i="156" s="1"/>
  <c r="P437" i="156" s="1"/>
  <c r="P436" i="156" s="1"/>
  <c r="P435" i="156" s="1"/>
  <c r="R439" i="156"/>
  <c r="R438" i="156" s="1"/>
  <c r="R437" i="156" s="1"/>
  <c r="R436" i="156" s="1"/>
  <c r="R435" i="156" s="1"/>
  <c r="Q439" i="152" l="1"/>
  <c r="Q438" i="152" s="1"/>
  <c r="Q437" i="152" s="1"/>
  <c r="Q436" i="152" s="1"/>
  <c r="Q435" i="152" s="1"/>
  <c r="O440" i="152"/>
  <c r="R439" i="152"/>
  <c r="R438" i="152" s="1"/>
  <c r="R437" i="152" s="1"/>
  <c r="R436" i="152" s="1"/>
  <c r="R435" i="152" s="1"/>
  <c r="P439" i="152"/>
  <c r="P438" i="152" s="1"/>
  <c r="P437" i="152" s="1"/>
  <c r="P436" i="152" s="1"/>
  <c r="P435" i="152" s="1"/>
  <c r="P441" i="151"/>
  <c r="R440" i="156"/>
  <c r="P440" i="156"/>
  <c r="O441" i="156"/>
  <c r="Q440" i="156"/>
  <c r="O441" i="152" l="1"/>
  <c r="Q440" i="152"/>
  <c r="P440" i="152"/>
  <c r="R440" i="152"/>
  <c r="P442" i="151"/>
  <c r="O442" i="156"/>
  <c r="Q441" i="156"/>
  <c r="P441" i="156"/>
  <c r="R441" i="156"/>
  <c r="Q441" i="152" l="1"/>
  <c r="O442" i="152"/>
  <c r="P441" i="152"/>
  <c r="R441" i="152"/>
  <c r="P443" i="151"/>
  <c r="O443" i="156"/>
  <c r="O443" i="152" l="1"/>
  <c r="P444" i="151"/>
  <c r="O444" i="156"/>
  <c r="O444" i="152" l="1"/>
  <c r="P445" i="151"/>
  <c r="O445" i="156"/>
  <c r="O445" i="152" l="1"/>
  <c r="P446" i="151"/>
  <c r="O446" i="156"/>
  <c r="O446" i="152" l="1"/>
  <c r="P447" i="151"/>
  <c r="S446" i="151"/>
  <c r="S445" i="151" s="1"/>
  <c r="S444" i="151" s="1"/>
  <c r="S443" i="151" s="1"/>
  <c r="S442" i="151" s="1"/>
  <c r="S441" i="151" s="1"/>
  <c r="S440" i="151" s="1"/>
  <c r="R446" i="151"/>
  <c r="R445" i="151" s="1"/>
  <c r="R444" i="151" s="1"/>
  <c r="R443" i="151" s="1"/>
  <c r="R442" i="151" s="1"/>
  <c r="R441" i="151" s="1"/>
  <c r="R440" i="151" s="1"/>
  <c r="T446" i="151"/>
  <c r="T445" i="151" s="1"/>
  <c r="T444" i="151" s="1"/>
  <c r="T443" i="151" s="1"/>
  <c r="T442" i="151" s="1"/>
  <c r="T441" i="151" s="1"/>
  <c r="T440" i="151" s="1"/>
  <c r="Q446" i="151"/>
  <c r="Q445" i="151" s="1"/>
  <c r="Q444" i="151" s="1"/>
  <c r="Q443" i="151" s="1"/>
  <c r="Q442" i="151" s="1"/>
  <c r="Q441" i="151" s="1"/>
  <c r="Q440" i="151" s="1"/>
  <c r="R446" i="156"/>
  <c r="R445" i="156" s="1"/>
  <c r="R444" i="156" s="1"/>
  <c r="R443" i="156" s="1"/>
  <c r="R442" i="156" s="1"/>
  <c r="O447" i="156"/>
  <c r="Q446" i="156"/>
  <c r="Q445" i="156" s="1"/>
  <c r="Q444" i="156" s="1"/>
  <c r="Q443" i="156" s="1"/>
  <c r="Q442" i="156" s="1"/>
  <c r="P446" i="156"/>
  <c r="P445" i="156" s="1"/>
  <c r="P444" i="156" s="1"/>
  <c r="P443" i="156" s="1"/>
  <c r="P442" i="156" s="1"/>
  <c r="O447" i="152" l="1"/>
  <c r="Q446" i="152"/>
  <c r="Q445" i="152" s="1"/>
  <c r="Q444" i="152" s="1"/>
  <c r="Q443" i="152" s="1"/>
  <c r="Q442" i="152" s="1"/>
  <c r="P446" i="152"/>
  <c r="P445" i="152" s="1"/>
  <c r="P444" i="152" s="1"/>
  <c r="P443" i="152" s="1"/>
  <c r="P442" i="152" s="1"/>
  <c r="R446" i="152"/>
  <c r="R445" i="152" s="1"/>
  <c r="R444" i="152" s="1"/>
  <c r="R443" i="152" s="1"/>
  <c r="R442" i="152" s="1"/>
  <c r="P448" i="151"/>
  <c r="O448" i="156"/>
  <c r="Q447" i="156"/>
  <c r="P447" i="156"/>
  <c r="R447" i="156"/>
  <c r="Q447" i="152" l="1"/>
  <c r="O448" i="152"/>
  <c r="R447" i="152"/>
  <c r="P447" i="152"/>
  <c r="P449" i="151"/>
  <c r="R448" i="156"/>
  <c r="P448" i="156"/>
  <c r="Q448" i="156"/>
  <c r="O449" i="156"/>
  <c r="O449" i="152" l="1"/>
  <c r="Q448" i="152"/>
  <c r="P448" i="152"/>
  <c r="R448" i="152"/>
  <c r="P450" i="151"/>
  <c r="O450" i="156"/>
  <c r="O450" i="152" l="1"/>
  <c r="P451" i="151"/>
  <c r="O451" i="156"/>
  <c r="O451" i="152" l="1"/>
  <c r="P452" i="151"/>
  <c r="O452" i="156"/>
  <c r="O452" i="152" l="1"/>
  <c r="P453" i="151"/>
  <c r="O453" i="156"/>
  <c r="O453" i="152" l="1"/>
  <c r="P454" i="151"/>
  <c r="T453" i="151"/>
  <c r="T452" i="151" s="1"/>
  <c r="T451" i="151" s="1"/>
  <c r="T450" i="151" s="1"/>
  <c r="T449" i="151" s="1"/>
  <c r="T448" i="151" s="1"/>
  <c r="T447" i="151" s="1"/>
  <c r="S453" i="151"/>
  <c r="S452" i="151" s="1"/>
  <c r="S451" i="151" s="1"/>
  <c r="S450" i="151" s="1"/>
  <c r="S449" i="151" s="1"/>
  <c r="S448" i="151" s="1"/>
  <c r="S447" i="151" s="1"/>
  <c r="R453" i="151"/>
  <c r="R452" i="151" s="1"/>
  <c r="R451" i="151" s="1"/>
  <c r="R450" i="151" s="1"/>
  <c r="R449" i="151" s="1"/>
  <c r="R448" i="151" s="1"/>
  <c r="R447" i="151" s="1"/>
  <c r="Q453" i="151"/>
  <c r="Q452" i="151" s="1"/>
  <c r="Q451" i="151" s="1"/>
  <c r="Q450" i="151" s="1"/>
  <c r="Q449" i="151" s="1"/>
  <c r="Q448" i="151" s="1"/>
  <c r="Q447" i="151" s="1"/>
  <c r="O454" i="156"/>
  <c r="Q453" i="156"/>
  <c r="Q452" i="156" s="1"/>
  <c r="Q451" i="156" s="1"/>
  <c r="Q450" i="156" s="1"/>
  <c r="Q449" i="156" s="1"/>
  <c r="P453" i="156"/>
  <c r="P452" i="156" s="1"/>
  <c r="P451" i="156" s="1"/>
  <c r="P450" i="156" s="1"/>
  <c r="P449" i="156" s="1"/>
  <c r="R453" i="156"/>
  <c r="R452" i="156" s="1"/>
  <c r="R451" i="156" s="1"/>
  <c r="R450" i="156" s="1"/>
  <c r="R449" i="156" s="1"/>
  <c r="Q453" i="152" l="1"/>
  <c r="Q452" i="152" s="1"/>
  <c r="Q451" i="152" s="1"/>
  <c r="Q450" i="152" s="1"/>
  <c r="Q449" i="152" s="1"/>
  <c r="O454" i="152"/>
  <c r="P453" i="152"/>
  <c r="P452" i="152" s="1"/>
  <c r="P451" i="152" s="1"/>
  <c r="P450" i="152" s="1"/>
  <c r="P449" i="152" s="1"/>
  <c r="R453" i="152"/>
  <c r="R452" i="152" s="1"/>
  <c r="R451" i="152" s="1"/>
  <c r="R450" i="152" s="1"/>
  <c r="R449" i="152" s="1"/>
  <c r="P455" i="151"/>
  <c r="R454" i="156"/>
  <c r="O455" i="156"/>
  <c r="Q454" i="156"/>
  <c r="P454" i="156"/>
  <c r="O455" i="152" l="1"/>
  <c r="Q454" i="152"/>
  <c r="P454" i="152"/>
  <c r="R454" i="152"/>
  <c r="P456" i="151"/>
  <c r="R455" i="156"/>
  <c r="Q455" i="156"/>
  <c r="P455" i="156"/>
  <c r="O456" i="156"/>
  <c r="Q455" i="152" l="1"/>
  <c r="O456" i="152"/>
  <c r="R455" i="152"/>
  <c r="P455" i="152"/>
  <c r="P457" i="151"/>
  <c r="O457" i="156"/>
  <c r="O457" i="152" l="1"/>
  <c r="P458" i="151"/>
  <c r="O458" i="156"/>
  <c r="O458" i="152" l="1"/>
  <c r="P459" i="151"/>
  <c r="O459" i="156"/>
  <c r="O459" i="152" l="1"/>
  <c r="P460" i="151"/>
  <c r="O460" i="156"/>
  <c r="O460" i="152" l="1"/>
  <c r="R460" i="151"/>
  <c r="R459" i="151" s="1"/>
  <c r="R458" i="151" s="1"/>
  <c r="R457" i="151" s="1"/>
  <c r="R456" i="151" s="1"/>
  <c r="R455" i="151" s="1"/>
  <c r="R454" i="151" s="1"/>
  <c r="Q460" i="151"/>
  <c r="Q459" i="151" s="1"/>
  <c r="Q458" i="151" s="1"/>
  <c r="Q457" i="151" s="1"/>
  <c r="Q456" i="151" s="1"/>
  <c r="Q455" i="151" s="1"/>
  <c r="Q454" i="151" s="1"/>
  <c r="P461" i="151"/>
  <c r="T460" i="151"/>
  <c r="T459" i="151" s="1"/>
  <c r="T458" i="151" s="1"/>
  <c r="T457" i="151" s="1"/>
  <c r="T456" i="151" s="1"/>
  <c r="T455" i="151" s="1"/>
  <c r="T454" i="151" s="1"/>
  <c r="S460" i="151"/>
  <c r="S459" i="151" s="1"/>
  <c r="S458" i="151" s="1"/>
  <c r="S457" i="151" s="1"/>
  <c r="S456" i="151" s="1"/>
  <c r="S455" i="151" s="1"/>
  <c r="S454" i="151" s="1"/>
  <c r="O461" i="156"/>
  <c r="Q460" i="156"/>
  <c r="Q459" i="156" s="1"/>
  <c r="Q458" i="156" s="1"/>
  <c r="Q457" i="156" s="1"/>
  <c r="Q456" i="156" s="1"/>
  <c r="P460" i="156"/>
  <c r="P459" i="156" s="1"/>
  <c r="P458" i="156" s="1"/>
  <c r="P457" i="156" s="1"/>
  <c r="P456" i="156" s="1"/>
  <c r="R460" i="156"/>
  <c r="R459" i="156" s="1"/>
  <c r="R458" i="156" s="1"/>
  <c r="R457" i="156" s="1"/>
  <c r="R456" i="156" s="1"/>
  <c r="O461" i="152" l="1"/>
  <c r="Q460" i="152"/>
  <c r="Q459" i="152" s="1"/>
  <c r="Q458" i="152" s="1"/>
  <c r="Q457" i="152" s="1"/>
  <c r="Q456" i="152" s="1"/>
  <c r="P460" i="152"/>
  <c r="P459" i="152" s="1"/>
  <c r="P458" i="152" s="1"/>
  <c r="P457" i="152" s="1"/>
  <c r="P456" i="152" s="1"/>
  <c r="R460" i="152"/>
  <c r="R459" i="152" s="1"/>
  <c r="R458" i="152" s="1"/>
  <c r="R457" i="152" s="1"/>
  <c r="R456" i="152" s="1"/>
  <c r="P462" i="151"/>
  <c r="R461" i="156"/>
  <c r="O462" i="156"/>
  <c r="Q461" i="156"/>
  <c r="P461" i="156"/>
  <c r="R461" i="152" l="1"/>
  <c r="Q461" i="152"/>
  <c r="P461" i="152"/>
  <c r="O462" i="152"/>
  <c r="P463" i="151"/>
  <c r="O463" i="156"/>
  <c r="Q462" i="156"/>
  <c r="P462" i="156"/>
  <c r="R462" i="156"/>
  <c r="R462" i="152" l="1"/>
  <c r="Q462" i="152"/>
  <c r="P462" i="152"/>
  <c r="O463" i="152"/>
  <c r="P464" i="151"/>
  <c r="O464" i="156"/>
  <c r="O464" i="152" l="1"/>
  <c r="P465" i="151"/>
  <c r="O465" i="156"/>
  <c r="O465" i="152" l="1"/>
  <c r="P466" i="151"/>
  <c r="O466" i="156"/>
  <c r="O466" i="152" l="1"/>
  <c r="P467" i="151"/>
  <c r="O467" i="156"/>
  <c r="O467" i="152" l="1"/>
  <c r="P468" i="151"/>
  <c r="T467" i="151"/>
  <c r="T466" i="151" s="1"/>
  <c r="T465" i="151" s="1"/>
  <c r="T464" i="151" s="1"/>
  <c r="T463" i="151" s="1"/>
  <c r="T462" i="151" s="1"/>
  <c r="T461" i="151" s="1"/>
  <c r="R467" i="151"/>
  <c r="R466" i="151" s="1"/>
  <c r="R465" i="151" s="1"/>
  <c r="R464" i="151" s="1"/>
  <c r="R463" i="151" s="1"/>
  <c r="R462" i="151" s="1"/>
  <c r="R461" i="151" s="1"/>
  <c r="S467" i="151"/>
  <c r="S466" i="151" s="1"/>
  <c r="S465" i="151" s="1"/>
  <c r="S464" i="151" s="1"/>
  <c r="S463" i="151" s="1"/>
  <c r="S462" i="151" s="1"/>
  <c r="S461" i="151" s="1"/>
  <c r="Q467" i="151"/>
  <c r="Q466" i="151" s="1"/>
  <c r="Q465" i="151" s="1"/>
  <c r="Q464" i="151" s="1"/>
  <c r="Q463" i="151" s="1"/>
  <c r="Q462" i="151" s="1"/>
  <c r="Q461" i="151" s="1"/>
  <c r="R467" i="156"/>
  <c r="R466" i="156" s="1"/>
  <c r="R465" i="156" s="1"/>
  <c r="R464" i="156" s="1"/>
  <c r="R463" i="156" s="1"/>
  <c r="Q467" i="156"/>
  <c r="Q466" i="156" s="1"/>
  <c r="Q465" i="156" s="1"/>
  <c r="Q464" i="156" s="1"/>
  <c r="Q463" i="156" s="1"/>
  <c r="P467" i="156"/>
  <c r="P466" i="156" s="1"/>
  <c r="P465" i="156" s="1"/>
  <c r="P464" i="156" s="1"/>
  <c r="P463" i="156" s="1"/>
  <c r="O468" i="156"/>
  <c r="O468" i="152" l="1"/>
  <c r="R467" i="152"/>
  <c r="R466" i="152" s="1"/>
  <c r="R465" i="152" s="1"/>
  <c r="R464" i="152" s="1"/>
  <c r="R463" i="152" s="1"/>
  <c r="Q467" i="152"/>
  <c r="Q466" i="152" s="1"/>
  <c r="Q465" i="152" s="1"/>
  <c r="Q464" i="152" s="1"/>
  <c r="Q463" i="152" s="1"/>
  <c r="P467" i="152"/>
  <c r="P466" i="152" s="1"/>
  <c r="P465" i="152" s="1"/>
  <c r="P464" i="152" s="1"/>
  <c r="P463" i="152" s="1"/>
  <c r="P469" i="151"/>
  <c r="O469" i="156"/>
  <c r="Q468" i="156"/>
  <c r="P468" i="156"/>
  <c r="R468" i="156"/>
  <c r="O469" i="152" l="1"/>
  <c r="R468" i="152"/>
  <c r="Q468" i="152"/>
  <c r="P468" i="152"/>
  <c r="P470" i="151"/>
  <c r="R469" i="156"/>
  <c r="O470" i="156"/>
  <c r="Q469" i="156"/>
  <c r="P469" i="156"/>
  <c r="O470" i="152" l="1"/>
  <c r="R469" i="152"/>
  <c r="Q469" i="152"/>
  <c r="P469" i="152"/>
  <c r="P471" i="151"/>
  <c r="O471" i="156"/>
  <c r="O471" i="152" l="1"/>
  <c r="P472" i="151"/>
  <c r="O472" i="156"/>
  <c r="O472" i="152" l="1"/>
  <c r="P473" i="151"/>
  <c r="O473" i="156"/>
  <c r="O473" i="152" l="1"/>
  <c r="P474" i="151"/>
  <c r="O474" i="156"/>
  <c r="O474" i="152" l="1"/>
  <c r="T474" i="151"/>
  <c r="T473" i="151" s="1"/>
  <c r="T472" i="151" s="1"/>
  <c r="T471" i="151" s="1"/>
  <c r="T470" i="151" s="1"/>
  <c r="T469" i="151" s="1"/>
  <c r="T468" i="151" s="1"/>
  <c r="S474" i="151"/>
  <c r="S473" i="151" s="1"/>
  <c r="S472" i="151" s="1"/>
  <c r="S471" i="151" s="1"/>
  <c r="S470" i="151" s="1"/>
  <c r="S469" i="151" s="1"/>
  <c r="S468" i="151" s="1"/>
  <c r="R474" i="151"/>
  <c r="R473" i="151" s="1"/>
  <c r="R472" i="151" s="1"/>
  <c r="R471" i="151" s="1"/>
  <c r="R470" i="151" s="1"/>
  <c r="R469" i="151" s="1"/>
  <c r="R468" i="151" s="1"/>
  <c r="Q474" i="151"/>
  <c r="Q473" i="151" s="1"/>
  <c r="Q472" i="151" s="1"/>
  <c r="Q471" i="151" s="1"/>
  <c r="Q470" i="151" s="1"/>
  <c r="Q469" i="151" s="1"/>
  <c r="Q468" i="151" s="1"/>
  <c r="P475" i="151"/>
  <c r="O475" i="156"/>
  <c r="Q474" i="156"/>
  <c r="Q473" i="156" s="1"/>
  <c r="Q472" i="156" s="1"/>
  <c r="Q471" i="156" s="1"/>
  <c r="Q470" i="156" s="1"/>
  <c r="P474" i="156"/>
  <c r="P473" i="156" s="1"/>
  <c r="P472" i="156" s="1"/>
  <c r="P471" i="156" s="1"/>
  <c r="P470" i="156" s="1"/>
  <c r="R474" i="156"/>
  <c r="R473" i="156" s="1"/>
  <c r="R472" i="156" s="1"/>
  <c r="R471" i="156" s="1"/>
  <c r="R470" i="156" s="1"/>
  <c r="P474" i="152" l="1"/>
  <c r="P473" i="152" s="1"/>
  <c r="P472" i="152" s="1"/>
  <c r="P471" i="152" s="1"/>
  <c r="P470" i="152" s="1"/>
  <c r="O475" i="152"/>
  <c r="R474" i="152"/>
  <c r="R473" i="152" s="1"/>
  <c r="R472" i="152" s="1"/>
  <c r="R471" i="152" s="1"/>
  <c r="R470" i="152" s="1"/>
  <c r="Q474" i="152"/>
  <c r="Q473" i="152" s="1"/>
  <c r="Q472" i="152" s="1"/>
  <c r="Q471" i="152" s="1"/>
  <c r="Q470" i="152" s="1"/>
  <c r="P476" i="151"/>
  <c r="R475" i="156"/>
  <c r="Q475" i="156"/>
  <c r="P475" i="156"/>
  <c r="O476" i="156"/>
  <c r="O476" i="152" l="1"/>
  <c r="R475" i="152"/>
  <c r="Q475" i="152"/>
  <c r="P475" i="152"/>
  <c r="P477" i="151"/>
  <c r="O477" i="156"/>
  <c r="Q476" i="156"/>
  <c r="P476" i="156"/>
  <c r="R476" i="156"/>
  <c r="O477" i="152" l="1"/>
  <c r="Q476" i="152"/>
  <c r="R476" i="152"/>
  <c r="P476" i="152"/>
  <c r="P478" i="151"/>
  <c r="O478" i="156"/>
  <c r="O478" i="152" l="1"/>
  <c r="P479" i="151"/>
  <c r="O479" i="156"/>
  <c r="O479" i="152" l="1"/>
  <c r="P480" i="151"/>
  <c r="O480" i="156"/>
  <c r="O480" i="152" l="1"/>
  <c r="P481" i="151"/>
  <c r="O481" i="156"/>
  <c r="O481" i="152" l="1"/>
  <c r="Q481" i="151"/>
  <c r="Q480" i="151" s="1"/>
  <c r="Q479" i="151" s="1"/>
  <c r="Q478" i="151" s="1"/>
  <c r="Q477" i="151" s="1"/>
  <c r="Q476" i="151" s="1"/>
  <c r="Q475" i="151" s="1"/>
  <c r="T481" i="151"/>
  <c r="T480" i="151" s="1"/>
  <c r="T479" i="151" s="1"/>
  <c r="T478" i="151" s="1"/>
  <c r="T477" i="151" s="1"/>
  <c r="T476" i="151" s="1"/>
  <c r="T475" i="151" s="1"/>
  <c r="P482" i="151"/>
  <c r="S481" i="151"/>
  <c r="S480" i="151" s="1"/>
  <c r="S479" i="151" s="1"/>
  <c r="S478" i="151" s="1"/>
  <c r="S477" i="151" s="1"/>
  <c r="S476" i="151" s="1"/>
  <c r="S475" i="151" s="1"/>
  <c r="R481" i="151"/>
  <c r="R480" i="151" s="1"/>
  <c r="R479" i="151" s="1"/>
  <c r="R478" i="151" s="1"/>
  <c r="R477" i="151" s="1"/>
  <c r="R476" i="151" s="1"/>
  <c r="R475" i="151" s="1"/>
  <c r="R481" i="156"/>
  <c r="R480" i="156" s="1"/>
  <c r="R479" i="156" s="1"/>
  <c r="R478" i="156" s="1"/>
  <c r="R477" i="156" s="1"/>
  <c r="O482" i="156"/>
  <c r="P481" i="156"/>
  <c r="P480" i="156" s="1"/>
  <c r="P479" i="156" s="1"/>
  <c r="P478" i="156" s="1"/>
  <c r="P477" i="156" s="1"/>
  <c r="Q481" i="156"/>
  <c r="Q480" i="156" s="1"/>
  <c r="Q479" i="156" s="1"/>
  <c r="Q478" i="156" s="1"/>
  <c r="Q477" i="156" s="1"/>
  <c r="O482" i="152" l="1"/>
  <c r="R481" i="152"/>
  <c r="R480" i="152" s="1"/>
  <c r="R479" i="152" s="1"/>
  <c r="R478" i="152" s="1"/>
  <c r="R477" i="152" s="1"/>
  <c r="Q481" i="152"/>
  <c r="Q480" i="152" s="1"/>
  <c r="Q479" i="152" s="1"/>
  <c r="Q478" i="152" s="1"/>
  <c r="Q477" i="152" s="1"/>
  <c r="P481" i="152"/>
  <c r="P480" i="152" s="1"/>
  <c r="P479" i="152" s="1"/>
  <c r="P478" i="152" s="1"/>
  <c r="P477" i="152" s="1"/>
  <c r="P483" i="151"/>
  <c r="O483" i="156"/>
  <c r="Q482" i="156"/>
  <c r="P482" i="156"/>
  <c r="R482" i="156"/>
  <c r="R482" i="152" l="1"/>
  <c r="P482" i="152"/>
  <c r="Q482" i="152"/>
  <c r="O483" i="152"/>
  <c r="P484" i="151"/>
  <c r="R483" i="156"/>
  <c r="Q483" i="156"/>
  <c r="P483" i="156"/>
  <c r="O484" i="156"/>
  <c r="O484" i="152" l="1"/>
  <c r="R483" i="152"/>
  <c r="Q483" i="152"/>
  <c r="P483" i="152"/>
  <c r="P485" i="151"/>
  <c r="O485" i="156"/>
  <c r="O485" i="152" l="1"/>
  <c r="P486" i="151"/>
  <c r="O486" i="156"/>
  <c r="O486" i="152" l="1"/>
  <c r="P487" i="151"/>
  <c r="O487" i="156"/>
  <c r="O487" i="152" l="1"/>
  <c r="P488" i="151"/>
  <c r="O488" i="156"/>
  <c r="O488" i="152" l="1"/>
  <c r="P489" i="151"/>
  <c r="T488" i="151"/>
  <c r="T487" i="151" s="1"/>
  <c r="T486" i="151" s="1"/>
  <c r="T485" i="151" s="1"/>
  <c r="T484" i="151" s="1"/>
  <c r="T483" i="151" s="1"/>
  <c r="T482" i="151" s="1"/>
  <c r="S488" i="151"/>
  <c r="S487" i="151" s="1"/>
  <c r="S486" i="151" s="1"/>
  <c r="S485" i="151" s="1"/>
  <c r="S484" i="151" s="1"/>
  <c r="S483" i="151" s="1"/>
  <c r="S482" i="151" s="1"/>
  <c r="Q488" i="151"/>
  <c r="Q487" i="151" s="1"/>
  <c r="Q486" i="151" s="1"/>
  <c r="Q485" i="151" s="1"/>
  <c r="Q484" i="151" s="1"/>
  <c r="Q483" i="151" s="1"/>
  <c r="Q482" i="151" s="1"/>
  <c r="R488" i="151"/>
  <c r="R487" i="151" s="1"/>
  <c r="R486" i="151" s="1"/>
  <c r="R485" i="151" s="1"/>
  <c r="R484" i="151" s="1"/>
  <c r="R483" i="151" s="1"/>
  <c r="R482" i="151" s="1"/>
  <c r="O489" i="156"/>
  <c r="Q488" i="156"/>
  <c r="Q487" i="156" s="1"/>
  <c r="Q486" i="156" s="1"/>
  <c r="Q485" i="156" s="1"/>
  <c r="Q484" i="156" s="1"/>
  <c r="P488" i="156"/>
  <c r="P487" i="156" s="1"/>
  <c r="P486" i="156" s="1"/>
  <c r="P485" i="156" s="1"/>
  <c r="P484" i="156" s="1"/>
  <c r="R488" i="156"/>
  <c r="R487" i="156" s="1"/>
  <c r="R486" i="156" s="1"/>
  <c r="R485" i="156" s="1"/>
  <c r="R484" i="156" s="1"/>
  <c r="O489" i="152" l="1"/>
  <c r="Q488" i="152"/>
  <c r="Q487" i="152" s="1"/>
  <c r="Q486" i="152" s="1"/>
  <c r="Q485" i="152" s="1"/>
  <c r="Q484" i="152" s="1"/>
  <c r="P488" i="152"/>
  <c r="P487" i="152" s="1"/>
  <c r="P486" i="152" s="1"/>
  <c r="P485" i="152" s="1"/>
  <c r="P484" i="152" s="1"/>
  <c r="R488" i="152"/>
  <c r="R487" i="152" s="1"/>
  <c r="R486" i="152" s="1"/>
  <c r="R485" i="152" s="1"/>
  <c r="R484" i="152" s="1"/>
  <c r="P490" i="151"/>
  <c r="R489" i="156"/>
  <c r="O490" i="156"/>
  <c r="P489" i="156"/>
  <c r="Q489" i="156"/>
  <c r="O490" i="152" l="1"/>
  <c r="R489" i="152"/>
  <c r="Q489" i="152"/>
  <c r="P489" i="152"/>
  <c r="P491" i="151"/>
  <c r="O491" i="156"/>
  <c r="Q490" i="156"/>
  <c r="P490" i="156"/>
  <c r="R490" i="156"/>
  <c r="P490" i="152" l="1"/>
  <c r="O491" i="152"/>
  <c r="R490" i="152"/>
  <c r="Q490" i="152"/>
  <c r="P492" i="151"/>
  <c r="O492" i="156"/>
  <c r="O492" i="152" l="1"/>
  <c r="P493" i="151"/>
  <c r="O493" i="156"/>
  <c r="O493" i="152" l="1"/>
  <c r="P494" i="151"/>
  <c r="O494" i="156"/>
  <c r="O494" i="152" l="1"/>
  <c r="P495" i="151"/>
  <c r="O495" i="156"/>
  <c r="O495" i="152" l="1"/>
  <c r="S495" i="151"/>
  <c r="S494" i="151" s="1"/>
  <c r="S493" i="151" s="1"/>
  <c r="S492" i="151" s="1"/>
  <c r="S491" i="151" s="1"/>
  <c r="S490" i="151" s="1"/>
  <c r="S489" i="151" s="1"/>
  <c r="R495" i="151"/>
  <c r="R494" i="151" s="1"/>
  <c r="R493" i="151" s="1"/>
  <c r="R492" i="151" s="1"/>
  <c r="R491" i="151" s="1"/>
  <c r="R490" i="151" s="1"/>
  <c r="R489" i="151" s="1"/>
  <c r="Q495" i="151"/>
  <c r="Q494" i="151" s="1"/>
  <c r="Q493" i="151" s="1"/>
  <c r="Q492" i="151" s="1"/>
  <c r="Q491" i="151" s="1"/>
  <c r="Q490" i="151" s="1"/>
  <c r="Q489" i="151" s="1"/>
  <c r="P496" i="151"/>
  <c r="T495" i="151"/>
  <c r="T494" i="151" s="1"/>
  <c r="T493" i="151" s="1"/>
  <c r="T492" i="151" s="1"/>
  <c r="T491" i="151" s="1"/>
  <c r="T490" i="151" s="1"/>
  <c r="T489" i="151" s="1"/>
  <c r="R495" i="156"/>
  <c r="R494" i="156" s="1"/>
  <c r="R493" i="156" s="1"/>
  <c r="R492" i="156" s="1"/>
  <c r="R491" i="156" s="1"/>
  <c r="Q495" i="156"/>
  <c r="Q494" i="156" s="1"/>
  <c r="Q493" i="156" s="1"/>
  <c r="Q492" i="156" s="1"/>
  <c r="Q491" i="156" s="1"/>
  <c r="P495" i="156"/>
  <c r="P494" i="156" s="1"/>
  <c r="P493" i="156" s="1"/>
  <c r="P492" i="156" s="1"/>
  <c r="P491" i="156" s="1"/>
  <c r="O496" i="156"/>
  <c r="O496" i="152" l="1"/>
  <c r="R495" i="152"/>
  <c r="R494" i="152" s="1"/>
  <c r="R493" i="152" s="1"/>
  <c r="R492" i="152" s="1"/>
  <c r="R491" i="152" s="1"/>
  <c r="Q495" i="152"/>
  <c r="Q494" i="152" s="1"/>
  <c r="Q493" i="152" s="1"/>
  <c r="Q492" i="152" s="1"/>
  <c r="Q491" i="152" s="1"/>
  <c r="P495" i="152"/>
  <c r="P494" i="152" s="1"/>
  <c r="P493" i="152" s="1"/>
  <c r="P492" i="152" s="1"/>
  <c r="P491" i="152" s="1"/>
  <c r="P497" i="151"/>
  <c r="O497" i="156"/>
  <c r="Q496" i="156"/>
  <c r="P496" i="156"/>
  <c r="R496" i="156"/>
  <c r="Q496" i="152" l="1"/>
  <c r="O497" i="152"/>
  <c r="R496" i="152"/>
  <c r="P496" i="152"/>
  <c r="P498" i="151"/>
  <c r="R497" i="156"/>
  <c r="O498" i="156"/>
  <c r="P497" i="156"/>
  <c r="Q497" i="156"/>
  <c r="O498" i="152" l="1"/>
  <c r="R497" i="152"/>
  <c r="Q497" i="152"/>
  <c r="P497" i="152"/>
  <c r="P499" i="151"/>
  <c r="O499" i="156"/>
  <c r="O499" i="152" l="1"/>
  <c r="P500" i="151"/>
  <c r="O500" i="156"/>
  <c r="O500" i="152" l="1"/>
  <c r="R500" i="151"/>
  <c r="R499" i="151" s="1"/>
  <c r="R498" i="151" s="1"/>
  <c r="R497" i="151" s="1"/>
  <c r="R496" i="151" s="1"/>
  <c r="Q500" i="151"/>
  <c r="Q499" i="151" s="1"/>
  <c r="Q498" i="151" s="1"/>
  <c r="Q497" i="151" s="1"/>
  <c r="Q496" i="151" s="1"/>
  <c r="P501" i="151"/>
  <c r="P502" i="151" s="1"/>
  <c r="P503" i="151" s="1"/>
  <c r="P504" i="151" s="1"/>
  <c r="P505" i="151" s="1"/>
  <c r="P506" i="151" s="1"/>
  <c r="P507" i="151" s="1"/>
  <c r="P508" i="151" s="1"/>
  <c r="P509" i="151" s="1"/>
  <c r="P510" i="151" s="1"/>
  <c r="P511" i="151" s="1"/>
  <c r="P512" i="151" s="1"/>
  <c r="P513" i="151" s="1"/>
  <c r="P514" i="151" s="1"/>
  <c r="P515" i="151" s="1"/>
  <c r="P516" i="151" s="1"/>
  <c r="P517" i="151" s="1"/>
  <c r="P518" i="151" s="1"/>
  <c r="P519" i="151" s="1"/>
  <c r="P520" i="151" s="1"/>
  <c r="P521" i="151" s="1"/>
  <c r="P522" i="151" s="1"/>
  <c r="P523" i="151" s="1"/>
  <c r="P524" i="151" s="1"/>
  <c r="P525" i="151" s="1"/>
  <c r="P526" i="151" s="1"/>
  <c r="P527" i="151" s="1"/>
  <c r="P528" i="151" s="1"/>
  <c r="P529" i="151" s="1"/>
  <c r="P530" i="151" s="1"/>
  <c r="P531" i="151" s="1"/>
  <c r="P532" i="151" s="1"/>
  <c r="P533" i="151" s="1"/>
  <c r="P534" i="151" s="1"/>
  <c r="P535" i="151" s="1"/>
  <c r="P536" i="151" s="1"/>
  <c r="P537" i="151" s="1"/>
  <c r="P538" i="151" s="1"/>
  <c r="P539" i="151" s="1"/>
  <c r="P540" i="151" s="1"/>
  <c r="P541" i="151" s="1"/>
  <c r="P542" i="151" s="1"/>
  <c r="P543" i="151" s="1"/>
  <c r="P544" i="151" s="1"/>
  <c r="P545" i="151" s="1"/>
  <c r="P546" i="151" s="1"/>
  <c r="P547" i="151" s="1"/>
  <c r="P548" i="151" s="1"/>
  <c r="P549" i="151" s="1"/>
  <c r="P550" i="151" s="1"/>
  <c r="P551" i="151" s="1"/>
  <c r="P552" i="151" s="1"/>
  <c r="P553" i="151" s="1"/>
  <c r="P554" i="151" s="1"/>
  <c r="P555" i="151" s="1"/>
  <c r="P556" i="151" s="1"/>
  <c r="P557" i="151" s="1"/>
  <c r="P558" i="151" s="1"/>
  <c r="P559" i="151" s="1"/>
  <c r="P560" i="151" s="1"/>
  <c r="P561" i="151" s="1"/>
  <c r="P562" i="151" s="1"/>
  <c r="P563" i="151" s="1"/>
  <c r="P564" i="151" s="1"/>
  <c r="P565" i="151" s="1"/>
  <c r="P566" i="151" s="1"/>
  <c r="P567" i="151" s="1"/>
  <c r="P568" i="151" s="1"/>
  <c r="P569" i="151" s="1"/>
  <c r="P570" i="151" s="1"/>
  <c r="P571" i="151" s="1"/>
  <c r="P572" i="151" s="1"/>
  <c r="P573" i="151" s="1"/>
  <c r="P574" i="151" s="1"/>
  <c r="P575" i="151" s="1"/>
  <c r="P576" i="151" s="1"/>
  <c r="P577" i="151" s="1"/>
  <c r="P578" i="151" s="1"/>
  <c r="P579" i="151" s="1"/>
  <c r="P580" i="151" s="1"/>
  <c r="P581" i="151" s="1"/>
  <c r="P582" i="151" s="1"/>
  <c r="P583" i="151" s="1"/>
  <c r="P584" i="151" s="1"/>
  <c r="P585" i="151" s="1"/>
  <c r="P586" i="151" s="1"/>
  <c r="P587" i="151" s="1"/>
  <c r="P588" i="151" s="1"/>
  <c r="P589" i="151" s="1"/>
  <c r="P590" i="151" s="1"/>
  <c r="P591" i="151" s="1"/>
  <c r="P592" i="151" s="1"/>
  <c r="P593" i="151" s="1"/>
  <c r="P594" i="151" s="1"/>
  <c r="P595" i="151" s="1"/>
  <c r="P596" i="151" s="1"/>
  <c r="P597" i="151" s="1"/>
  <c r="P598" i="151" s="1"/>
  <c r="P599" i="151" s="1"/>
  <c r="P600" i="151" s="1"/>
  <c r="P601" i="151" s="1"/>
  <c r="P602" i="151" s="1"/>
  <c r="P603" i="151" s="1"/>
  <c r="P604" i="151" s="1"/>
  <c r="P605" i="151" s="1"/>
  <c r="P606" i="151" s="1"/>
  <c r="P607" i="151" s="1"/>
  <c r="P608" i="151" s="1"/>
  <c r="P609" i="151" s="1"/>
  <c r="P610" i="151" s="1"/>
  <c r="P611" i="151" s="1"/>
  <c r="P612" i="151" s="1"/>
  <c r="P613" i="151" s="1"/>
  <c r="P614" i="151" s="1"/>
  <c r="P615" i="151" s="1"/>
  <c r="P616" i="151" s="1"/>
  <c r="P617" i="151" s="1"/>
  <c r="P618" i="151" s="1"/>
  <c r="P619" i="151" s="1"/>
  <c r="P620" i="151" s="1"/>
  <c r="P621" i="151" s="1"/>
  <c r="P622" i="151" s="1"/>
  <c r="P623" i="151" s="1"/>
  <c r="P624" i="151" s="1"/>
  <c r="P625" i="151" s="1"/>
  <c r="P626" i="151" s="1"/>
  <c r="P627" i="151" s="1"/>
  <c r="P628" i="151" s="1"/>
  <c r="P629" i="151" s="1"/>
  <c r="P630" i="151" s="1"/>
  <c r="P631" i="151" s="1"/>
  <c r="P632" i="151" s="1"/>
  <c r="P633" i="151" s="1"/>
  <c r="P634" i="151" s="1"/>
  <c r="P635" i="151" s="1"/>
  <c r="P636" i="151" s="1"/>
  <c r="P637" i="151" s="1"/>
  <c r="P638" i="151" s="1"/>
  <c r="P639" i="151" s="1"/>
  <c r="P640" i="151" s="1"/>
  <c r="P641" i="151" s="1"/>
  <c r="P642" i="151" s="1"/>
  <c r="P643" i="151" s="1"/>
  <c r="P644" i="151" s="1"/>
  <c r="P645" i="151" s="1"/>
  <c r="P646" i="151" s="1"/>
  <c r="P647" i="151" s="1"/>
  <c r="P648" i="151" s="1"/>
  <c r="P649" i="151" s="1"/>
  <c r="P650" i="151" s="1"/>
  <c r="P651" i="151" s="1"/>
  <c r="P652" i="151" s="1"/>
  <c r="P653" i="151" s="1"/>
  <c r="P654" i="151" s="1"/>
  <c r="P655" i="151" s="1"/>
  <c r="P656" i="151" s="1"/>
  <c r="P657" i="151" s="1"/>
  <c r="P658" i="151" s="1"/>
  <c r="P659" i="151" s="1"/>
  <c r="P660" i="151" s="1"/>
  <c r="P661" i="151" s="1"/>
  <c r="P662" i="151" s="1"/>
  <c r="P663" i="151" s="1"/>
  <c r="P664" i="151" s="1"/>
  <c r="P665" i="151" s="1"/>
  <c r="P666" i="151" s="1"/>
  <c r="P667" i="151" s="1"/>
  <c r="P668" i="151" s="1"/>
  <c r="P669" i="151" s="1"/>
  <c r="P670" i="151" s="1"/>
  <c r="P671" i="151" s="1"/>
  <c r="P672" i="151" s="1"/>
  <c r="P673" i="151" s="1"/>
  <c r="P674" i="151" s="1"/>
  <c r="P675" i="151" s="1"/>
  <c r="P676" i="151" s="1"/>
  <c r="P677" i="151" s="1"/>
  <c r="P678" i="151" s="1"/>
  <c r="P679" i="151" s="1"/>
  <c r="P680" i="151" s="1"/>
  <c r="P681" i="151" s="1"/>
  <c r="P682" i="151" s="1"/>
  <c r="P683" i="151" s="1"/>
  <c r="P684" i="151" s="1"/>
  <c r="P685" i="151" s="1"/>
  <c r="P686" i="151" s="1"/>
  <c r="P687" i="151" s="1"/>
  <c r="P688" i="151" s="1"/>
  <c r="P689" i="151" s="1"/>
  <c r="P690" i="151" s="1"/>
  <c r="P691" i="151" s="1"/>
  <c r="P692" i="151" s="1"/>
  <c r="P693" i="151" s="1"/>
  <c r="P694" i="151" s="1"/>
  <c r="P695" i="151" s="1"/>
  <c r="P696" i="151" s="1"/>
  <c r="P697" i="151" s="1"/>
  <c r="P698" i="151" s="1"/>
  <c r="P699" i="151" s="1"/>
  <c r="P700" i="151" s="1"/>
  <c r="P701" i="151" s="1"/>
  <c r="P702" i="151" s="1"/>
  <c r="P703" i="151" s="1"/>
  <c r="P704" i="151" s="1"/>
  <c r="P705" i="151" s="1"/>
  <c r="P706" i="151" s="1"/>
  <c r="P707" i="151" s="1"/>
  <c r="P708" i="151" s="1"/>
  <c r="P709" i="151" s="1"/>
  <c r="P710" i="151" s="1"/>
  <c r="P711" i="151" s="1"/>
  <c r="P712" i="151" s="1"/>
  <c r="P713" i="151" s="1"/>
  <c r="P714" i="151" s="1"/>
  <c r="P715" i="151" s="1"/>
  <c r="P716" i="151" s="1"/>
  <c r="P717" i="151" s="1"/>
  <c r="P718" i="151" s="1"/>
  <c r="P719" i="151" s="1"/>
  <c r="P720" i="151" s="1"/>
  <c r="P721" i="151" s="1"/>
  <c r="P722" i="151" s="1"/>
  <c r="P723" i="151" s="1"/>
  <c r="P724" i="151" s="1"/>
  <c r="P725" i="151" s="1"/>
  <c r="P726" i="151" s="1"/>
  <c r="P727" i="151" s="1"/>
  <c r="P728" i="151" s="1"/>
  <c r="P729" i="151" s="1"/>
  <c r="P730" i="151" s="1"/>
  <c r="P731" i="151" s="1"/>
  <c r="P732" i="151" s="1"/>
  <c r="P733" i="151" s="1"/>
  <c r="P734" i="151" s="1"/>
  <c r="P735" i="151" s="1"/>
  <c r="P736" i="151" s="1"/>
  <c r="P737" i="151" s="1"/>
  <c r="P738" i="151" s="1"/>
  <c r="P739" i="151" s="1"/>
  <c r="P740" i="151" s="1"/>
  <c r="P741" i="151" s="1"/>
  <c r="P742" i="151" s="1"/>
  <c r="P743" i="151" s="1"/>
  <c r="P744" i="151" s="1"/>
  <c r="P745" i="151" s="1"/>
  <c r="P746" i="151" s="1"/>
  <c r="P747" i="151" s="1"/>
  <c r="P748" i="151" s="1"/>
  <c r="P749" i="151" s="1"/>
  <c r="P750" i="151" s="1"/>
  <c r="P751" i="151" s="1"/>
  <c r="P752" i="151" s="1"/>
  <c r="P753" i="151" s="1"/>
  <c r="P754" i="151" s="1"/>
  <c r="P755" i="151" s="1"/>
  <c r="P756" i="151" s="1"/>
  <c r="P757" i="151" s="1"/>
  <c r="P758" i="151" s="1"/>
  <c r="P759" i="151" s="1"/>
  <c r="P760" i="151" s="1"/>
  <c r="P761" i="151" s="1"/>
  <c r="P762" i="151" s="1"/>
  <c r="P763" i="151" s="1"/>
  <c r="P764" i="151" s="1"/>
  <c r="P765" i="151" s="1"/>
  <c r="P766" i="151" s="1"/>
  <c r="P767" i="151" s="1"/>
  <c r="P768" i="151" s="1"/>
  <c r="P769" i="151" s="1"/>
  <c r="P770" i="151" s="1"/>
  <c r="P771" i="151" s="1"/>
  <c r="P772" i="151" s="1"/>
  <c r="P773" i="151" s="1"/>
  <c r="P774" i="151" s="1"/>
  <c r="P775" i="151" s="1"/>
  <c r="P776" i="151" s="1"/>
  <c r="P777" i="151" s="1"/>
  <c r="P778" i="151" s="1"/>
  <c r="P779" i="151" s="1"/>
  <c r="S500" i="151"/>
  <c r="S499" i="151" s="1"/>
  <c r="S498" i="151" s="1"/>
  <c r="S497" i="151" s="1"/>
  <c r="S496" i="151" s="1"/>
  <c r="T500" i="151"/>
  <c r="T499" i="151" s="1"/>
  <c r="T498" i="151" s="1"/>
  <c r="T497" i="151" s="1"/>
  <c r="T496" i="151" s="1"/>
  <c r="O501" i="156"/>
  <c r="O501" i="152" l="1"/>
  <c r="O502" i="156"/>
  <c r="O502" i="152" l="1"/>
  <c r="O503" i="156"/>
  <c r="Q502" i="156"/>
  <c r="Q501" i="156" s="1"/>
  <c r="Q500" i="156" s="1"/>
  <c r="Q499" i="156" s="1"/>
  <c r="Q498" i="156" s="1"/>
  <c r="P502" i="156"/>
  <c r="P501" i="156" s="1"/>
  <c r="P500" i="156" s="1"/>
  <c r="P499" i="156" s="1"/>
  <c r="P498" i="156" s="1"/>
  <c r="R502" i="156"/>
  <c r="R501" i="156" s="1"/>
  <c r="R500" i="156" s="1"/>
  <c r="R499" i="156" s="1"/>
  <c r="R498" i="156" s="1"/>
  <c r="O503" i="152" l="1"/>
  <c r="R502" i="152"/>
  <c r="R501" i="152" s="1"/>
  <c r="R500" i="152" s="1"/>
  <c r="R499" i="152" s="1"/>
  <c r="R498" i="152" s="1"/>
  <c r="Q502" i="152"/>
  <c r="Q501" i="152" s="1"/>
  <c r="Q500" i="152" s="1"/>
  <c r="Q499" i="152" s="1"/>
  <c r="Q498" i="152" s="1"/>
  <c r="P502" i="152"/>
  <c r="P501" i="152" s="1"/>
  <c r="P500" i="152" s="1"/>
  <c r="P499" i="152" s="1"/>
  <c r="P498" i="152" s="1"/>
  <c r="R503" i="156"/>
  <c r="Q503" i="156"/>
  <c r="P503" i="156"/>
  <c r="O504" i="156"/>
  <c r="O504" i="152" l="1"/>
  <c r="R503" i="152"/>
  <c r="Q503" i="152"/>
  <c r="P503" i="152"/>
  <c r="O505" i="156"/>
  <c r="Q504" i="156"/>
  <c r="P504" i="156"/>
  <c r="R504" i="156"/>
  <c r="O505" i="152" l="1"/>
  <c r="R504" i="152"/>
  <c r="Q504" i="152"/>
  <c r="P504" i="152"/>
  <c r="O506" i="156"/>
  <c r="O506" i="152" l="1"/>
  <c r="O507" i="156"/>
  <c r="O507" i="152" l="1"/>
  <c r="O508" i="156"/>
  <c r="O508" i="152" l="1"/>
  <c r="O509" i="156"/>
  <c r="O509" i="152" l="1"/>
  <c r="R509" i="156"/>
  <c r="R508" i="156" s="1"/>
  <c r="R507" i="156" s="1"/>
  <c r="R506" i="156" s="1"/>
  <c r="R505" i="156" s="1"/>
  <c r="O510" i="156"/>
  <c r="Q509" i="156"/>
  <c r="Q508" i="156" s="1"/>
  <c r="Q507" i="156" s="1"/>
  <c r="Q506" i="156" s="1"/>
  <c r="Q505" i="156" s="1"/>
  <c r="P509" i="156"/>
  <c r="P508" i="156" s="1"/>
  <c r="P507" i="156" s="1"/>
  <c r="P506" i="156" s="1"/>
  <c r="P505" i="156" s="1"/>
  <c r="O510" i="152" l="1"/>
  <c r="R509" i="152"/>
  <c r="R508" i="152" s="1"/>
  <c r="R507" i="152" s="1"/>
  <c r="R506" i="152" s="1"/>
  <c r="R505" i="152" s="1"/>
  <c r="Q509" i="152"/>
  <c r="Q508" i="152" s="1"/>
  <c r="Q507" i="152" s="1"/>
  <c r="Q506" i="152" s="1"/>
  <c r="Q505" i="152" s="1"/>
  <c r="P509" i="152"/>
  <c r="P508" i="152" s="1"/>
  <c r="P507" i="152" s="1"/>
  <c r="P506" i="152" s="1"/>
  <c r="P505" i="152" s="1"/>
  <c r="O511" i="156"/>
  <c r="Q510" i="156"/>
  <c r="P510" i="156"/>
  <c r="R510" i="156"/>
  <c r="O511" i="152" l="1"/>
  <c r="R510" i="152"/>
  <c r="Q510" i="152"/>
  <c r="P510" i="152"/>
  <c r="R511" i="156"/>
  <c r="Q511" i="156"/>
  <c r="P511" i="156"/>
  <c r="O512" i="156"/>
  <c r="O512" i="152" l="1"/>
  <c r="R511" i="152"/>
  <c r="Q511" i="152"/>
  <c r="P511" i="152"/>
  <c r="O513" i="156"/>
  <c r="O513" i="152" l="1"/>
  <c r="O514" i="156"/>
  <c r="O514" i="152" l="1"/>
  <c r="O515" i="156"/>
  <c r="O515" i="152" l="1"/>
  <c r="O516" i="156"/>
  <c r="O516" i="152" l="1"/>
  <c r="O517" i="156"/>
  <c r="Q516" i="156"/>
  <c r="Q515" i="156" s="1"/>
  <c r="Q514" i="156" s="1"/>
  <c r="Q513" i="156" s="1"/>
  <c r="Q512" i="156" s="1"/>
  <c r="P516" i="156"/>
  <c r="P515" i="156" s="1"/>
  <c r="P514" i="156" s="1"/>
  <c r="P513" i="156" s="1"/>
  <c r="P512" i="156" s="1"/>
  <c r="R516" i="156"/>
  <c r="R515" i="156" s="1"/>
  <c r="R514" i="156" s="1"/>
  <c r="R513" i="156" s="1"/>
  <c r="R512" i="156" s="1"/>
  <c r="O517" i="152" l="1"/>
  <c r="R516" i="152"/>
  <c r="R515" i="152" s="1"/>
  <c r="R514" i="152" s="1"/>
  <c r="R513" i="152" s="1"/>
  <c r="R512" i="152" s="1"/>
  <c r="Q516" i="152"/>
  <c r="Q515" i="152" s="1"/>
  <c r="Q514" i="152" s="1"/>
  <c r="Q513" i="152" s="1"/>
  <c r="Q512" i="152" s="1"/>
  <c r="P516" i="152"/>
  <c r="P515" i="152" s="1"/>
  <c r="P514" i="152" s="1"/>
  <c r="P513" i="152" s="1"/>
  <c r="P512" i="152" s="1"/>
  <c r="R517" i="156"/>
  <c r="O518" i="156"/>
  <c r="Q517" i="156"/>
  <c r="P517" i="156"/>
  <c r="O518" i="152" l="1"/>
  <c r="R517" i="152"/>
  <c r="Q517" i="152"/>
  <c r="P517" i="152"/>
  <c r="O519" i="156"/>
  <c r="Q518" i="156"/>
  <c r="P518" i="156"/>
  <c r="R518" i="156"/>
  <c r="O519" i="152" l="1"/>
  <c r="R518" i="152"/>
  <c r="Q518" i="152"/>
  <c r="P518" i="152"/>
  <c r="O520" i="156"/>
  <c r="O520" i="152" l="1"/>
  <c r="O521" i="156"/>
  <c r="O521" i="152" l="1"/>
  <c r="O522" i="156"/>
  <c r="O522" i="152" l="1"/>
  <c r="O523" i="156"/>
  <c r="O523" i="152" l="1"/>
  <c r="R523" i="156"/>
  <c r="R522" i="156" s="1"/>
  <c r="R521" i="156" s="1"/>
  <c r="R520" i="156" s="1"/>
  <c r="R519" i="156" s="1"/>
  <c r="Q523" i="156"/>
  <c r="Q522" i="156" s="1"/>
  <c r="Q521" i="156" s="1"/>
  <c r="Q520" i="156" s="1"/>
  <c r="Q519" i="156" s="1"/>
  <c r="P523" i="156"/>
  <c r="P522" i="156" s="1"/>
  <c r="P521" i="156" s="1"/>
  <c r="P520" i="156" s="1"/>
  <c r="P519" i="156" s="1"/>
  <c r="O524" i="156"/>
  <c r="O524" i="152" l="1"/>
  <c r="R523" i="152"/>
  <c r="R522" i="152" s="1"/>
  <c r="R521" i="152" s="1"/>
  <c r="R520" i="152" s="1"/>
  <c r="R519" i="152" s="1"/>
  <c r="Q523" i="152"/>
  <c r="Q522" i="152" s="1"/>
  <c r="Q521" i="152" s="1"/>
  <c r="Q520" i="152" s="1"/>
  <c r="Q519" i="152" s="1"/>
  <c r="P523" i="152"/>
  <c r="P522" i="152" s="1"/>
  <c r="P521" i="152" s="1"/>
  <c r="P520" i="152" s="1"/>
  <c r="P519" i="152" s="1"/>
  <c r="O525" i="156"/>
  <c r="Q524" i="156"/>
  <c r="P524" i="156"/>
  <c r="R524" i="156"/>
  <c r="O525" i="152" l="1"/>
  <c r="R524" i="152"/>
  <c r="Q524" i="152"/>
  <c r="P524" i="152"/>
  <c r="R525" i="156"/>
  <c r="O526" i="156"/>
  <c r="Q525" i="156"/>
  <c r="P525" i="156"/>
  <c r="O526" i="152" l="1"/>
  <c r="R525" i="152"/>
  <c r="Q525" i="152"/>
  <c r="P525" i="152"/>
  <c r="O527" i="156"/>
  <c r="O527" i="152" l="1"/>
  <c r="O528" i="156"/>
  <c r="O528" i="152" l="1"/>
  <c r="O529" i="156"/>
  <c r="O529" i="152" l="1"/>
  <c r="O530" i="156"/>
  <c r="O530" i="152" l="1"/>
  <c r="O531" i="156"/>
  <c r="Q530" i="156"/>
  <c r="Q529" i="156" s="1"/>
  <c r="Q528" i="156" s="1"/>
  <c r="Q527" i="156" s="1"/>
  <c r="Q526" i="156" s="1"/>
  <c r="P530" i="156"/>
  <c r="P529" i="156" s="1"/>
  <c r="P528" i="156" s="1"/>
  <c r="P527" i="156" s="1"/>
  <c r="P526" i="156" s="1"/>
  <c r="R530" i="156"/>
  <c r="R529" i="156" s="1"/>
  <c r="R528" i="156" s="1"/>
  <c r="R527" i="156" s="1"/>
  <c r="R526" i="156" s="1"/>
  <c r="O531" i="152" l="1"/>
  <c r="R530" i="152"/>
  <c r="R529" i="152" s="1"/>
  <c r="R528" i="152" s="1"/>
  <c r="R527" i="152" s="1"/>
  <c r="R526" i="152" s="1"/>
  <c r="Q530" i="152"/>
  <c r="Q529" i="152" s="1"/>
  <c r="Q528" i="152" s="1"/>
  <c r="Q527" i="152" s="1"/>
  <c r="Q526" i="152" s="1"/>
  <c r="P530" i="152"/>
  <c r="P529" i="152" s="1"/>
  <c r="P528" i="152" s="1"/>
  <c r="P527" i="152" s="1"/>
  <c r="P526" i="152" s="1"/>
  <c r="R531" i="156"/>
  <c r="Q531" i="156"/>
  <c r="P531" i="156"/>
  <c r="O532" i="156"/>
  <c r="O532" i="152" l="1"/>
  <c r="R531" i="152"/>
  <c r="Q531" i="152"/>
  <c r="P531" i="152"/>
  <c r="O533" i="156"/>
  <c r="Q532" i="156"/>
  <c r="P532" i="156"/>
  <c r="R532" i="156"/>
  <c r="O533" i="152" l="1"/>
  <c r="R532" i="152"/>
  <c r="Q532" i="152"/>
  <c r="P532" i="152"/>
  <c r="O534" i="156"/>
  <c r="O534" i="152" l="1"/>
  <c r="O535" i="156"/>
  <c r="O535" i="152" l="1"/>
  <c r="O536" i="156"/>
  <c r="O536" i="152" l="1"/>
  <c r="O537" i="156"/>
  <c r="O537" i="152" l="1"/>
  <c r="R537" i="156"/>
  <c r="R536" i="156" s="1"/>
  <c r="R535" i="156" s="1"/>
  <c r="R534" i="156" s="1"/>
  <c r="R533" i="156" s="1"/>
  <c r="O538" i="156"/>
  <c r="P537" i="156"/>
  <c r="P536" i="156" s="1"/>
  <c r="P535" i="156" s="1"/>
  <c r="P534" i="156" s="1"/>
  <c r="P533" i="156" s="1"/>
  <c r="Q537" i="156"/>
  <c r="Q536" i="156" s="1"/>
  <c r="Q535" i="156" s="1"/>
  <c r="Q534" i="156" s="1"/>
  <c r="Q533" i="156" s="1"/>
  <c r="O538" i="152" l="1"/>
  <c r="R537" i="152"/>
  <c r="R536" i="152" s="1"/>
  <c r="R535" i="152" s="1"/>
  <c r="R534" i="152" s="1"/>
  <c r="R533" i="152" s="1"/>
  <c r="Q537" i="152"/>
  <c r="Q536" i="152" s="1"/>
  <c r="Q535" i="152" s="1"/>
  <c r="Q534" i="152" s="1"/>
  <c r="Q533" i="152" s="1"/>
  <c r="P537" i="152"/>
  <c r="P536" i="152" s="1"/>
  <c r="P535" i="152" s="1"/>
  <c r="P534" i="152" s="1"/>
  <c r="P533" i="152" s="1"/>
  <c r="O539" i="156"/>
  <c r="Q538" i="156"/>
  <c r="P538" i="156"/>
  <c r="R538" i="156"/>
  <c r="O539" i="152" l="1"/>
  <c r="R538" i="152"/>
  <c r="Q538" i="152"/>
  <c r="P538" i="152"/>
  <c r="R539" i="156"/>
  <c r="Q539" i="156"/>
  <c r="P539" i="156"/>
  <c r="O540" i="156"/>
  <c r="O540" i="152" l="1"/>
  <c r="R539" i="152"/>
  <c r="Q539" i="152"/>
  <c r="P539" i="152"/>
  <c r="O541" i="156"/>
  <c r="O541" i="152" l="1"/>
  <c r="O542" i="156"/>
  <c r="O542" i="152" l="1"/>
  <c r="O543" i="156"/>
  <c r="O543" i="152" l="1"/>
  <c r="O544" i="156"/>
  <c r="O544" i="152" l="1"/>
  <c r="O545" i="156"/>
  <c r="R544" i="156"/>
  <c r="R543" i="156" s="1"/>
  <c r="R542" i="156" s="1"/>
  <c r="R541" i="156" s="1"/>
  <c r="R540" i="156" s="1"/>
  <c r="P544" i="156"/>
  <c r="P543" i="156" s="1"/>
  <c r="P542" i="156" s="1"/>
  <c r="P541" i="156" s="1"/>
  <c r="P540" i="156" s="1"/>
  <c r="Q544" i="156"/>
  <c r="Q543" i="156" s="1"/>
  <c r="Q542" i="156" s="1"/>
  <c r="Q541" i="156" s="1"/>
  <c r="Q540" i="156" s="1"/>
  <c r="O545" i="152" l="1"/>
  <c r="R544" i="152"/>
  <c r="R543" i="152" s="1"/>
  <c r="R542" i="152" s="1"/>
  <c r="R541" i="152" s="1"/>
  <c r="R540" i="152" s="1"/>
  <c r="Q544" i="152"/>
  <c r="Q543" i="152" s="1"/>
  <c r="Q542" i="152" s="1"/>
  <c r="Q541" i="152" s="1"/>
  <c r="Q540" i="152" s="1"/>
  <c r="P544" i="152"/>
  <c r="P543" i="152" s="1"/>
  <c r="P542" i="152" s="1"/>
  <c r="P541" i="152" s="1"/>
  <c r="P540" i="152" s="1"/>
  <c r="Q545" i="156"/>
  <c r="P545" i="156"/>
  <c r="O546" i="156"/>
  <c r="R545" i="156"/>
  <c r="O546" i="152" l="1"/>
  <c r="R545" i="152"/>
  <c r="Q545" i="152"/>
  <c r="P545" i="152"/>
  <c r="O547" i="156"/>
  <c r="R546" i="156"/>
  <c r="P546" i="156"/>
  <c r="Q546" i="156"/>
  <c r="O547" i="152" l="1"/>
  <c r="R546" i="152"/>
  <c r="O548" i="156"/>
  <c r="O548" i="152" l="1"/>
  <c r="O549" i="156"/>
  <c r="O549" i="152" l="1"/>
  <c r="O550" i="156"/>
  <c r="O550" i="152" l="1"/>
  <c r="O551" i="156"/>
  <c r="O551" i="152" l="1"/>
  <c r="Q551" i="156"/>
  <c r="Q550" i="156" s="1"/>
  <c r="Q549" i="156" s="1"/>
  <c r="Q548" i="156" s="1"/>
  <c r="Q547" i="156" s="1"/>
  <c r="O552" i="156"/>
  <c r="R551" i="156"/>
  <c r="R550" i="156" s="1"/>
  <c r="R549" i="156" s="1"/>
  <c r="R548" i="156" s="1"/>
  <c r="R547" i="156" s="1"/>
  <c r="P551" i="156"/>
  <c r="P550" i="156" s="1"/>
  <c r="P549" i="156" s="1"/>
  <c r="P548" i="156" s="1"/>
  <c r="P547" i="156" s="1"/>
  <c r="O552" i="152" l="1"/>
  <c r="R551" i="152"/>
  <c r="R550" i="152" s="1"/>
  <c r="R549" i="152" s="1"/>
  <c r="R548" i="152" s="1"/>
  <c r="R547" i="152" s="1"/>
  <c r="O553" i="156"/>
  <c r="R552" i="156"/>
  <c r="P552" i="156"/>
  <c r="Q552" i="156"/>
  <c r="O553" i="152" l="1"/>
  <c r="R552" i="152"/>
  <c r="Q553" i="156"/>
  <c r="P553" i="156"/>
  <c r="O554" i="156"/>
  <c r="R553" i="156"/>
  <c r="O554" i="152" l="1"/>
  <c r="R553" i="152"/>
  <c r="O555" i="156"/>
  <c r="O555" i="152" l="1"/>
  <c r="O556" i="156"/>
  <c r="O556" i="152" l="1"/>
  <c r="O557" i="156"/>
  <c r="O557" i="152" l="1"/>
  <c r="O558" i="156"/>
  <c r="O558" i="152" l="1"/>
  <c r="O559" i="156"/>
  <c r="R558" i="156"/>
  <c r="R557" i="156" s="1"/>
  <c r="R556" i="156" s="1"/>
  <c r="R555" i="156" s="1"/>
  <c r="R554" i="156" s="1"/>
  <c r="P558" i="156"/>
  <c r="P557" i="156" s="1"/>
  <c r="P556" i="156" s="1"/>
  <c r="P555" i="156" s="1"/>
  <c r="P554" i="156" s="1"/>
  <c r="Q558" i="156"/>
  <c r="Q557" i="156" s="1"/>
  <c r="Q556" i="156" s="1"/>
  <c r="Q555" i="156" s="1"/>
  <c r="Q554" i="156" s="1"/>
  <c r="O559" i="152" l="1"/>
  <c r="R558" i="152"/>
  <c r="R557" i="152" s="1"/>
  <c r="R556" i="152" s="1"/>
  <c r="R555" i="152" s="1"/>
  <c r="R554" i="152" s="1"/>
  <c r="O560" i="156"/>
  <c r="R559" i="156"/>
  <c r="O560" i="152" l="1"/>
  <c r="R559" i="152"/>
  <c r="O561" i="156"/>
  <c r="R560" i="156"/>
  <c r="O561" i="152" l="1"/>
  <c r="R560" i="152"/>
  <c r="O562" i="156"/>
  <c r="O562" i="152" l="1"/>
  <c r="O563" i="156"/>
  <c r="O563" i="152" l="1"/>
  <c r="O564" i="156"/>
  <c r="O564" i="152" l="1"/>
  <c r="O565" i="156"/>
  <c r="O565" i="152" l="1"/>
  <c r="O566" i="156"/>
  <c r="O566" i="152" l="1"/>
  <c r="O567" i="156"/>
  <c r="O567" i="152" l="1"/>
  <c r="O568" i="156"/>
  <c r="O568" i="152" l="1"/>
  <c r="O569" i="156"/>
  <c r="O569" i="152" l="1"/>
  <c r="O570" i="156"/>
  <c r="O570" i="152" l="1"/>
  <c r="O571" i="156"/>
  <c r="O571" i="152" l="1"/>
  <c r="O572" i="156"/>
  <c r="O572" i="152" l="1"/>
  <c r="O573" i="156"/>
  <c r="O573" i="152" l="1"/>
  <c r="O574" i="156"/>
  <c r="O574" i="152" l="1"/>
  <c r="O575" i="156"/>
  <c r="O575" i="152" l="1"/>
  <c r="O576" i="156"/>
  <c r="O576" i="152" l="1"/>
  <c r="O577" i="156"/>
  <c r="O577" i="152" l="1"/>
  <c r="O578" i="156"/>
  <c r="O578" i="152" l="1"/>
  <c r="O579" i="156"/>
  <c r="O579" i="152" l="1"/>
  <c r="O580" i="156"/>
  <c r="O580" i="152" l="1"/>
  <c r="O581" i="156"/>
  <c r="O581" i="152" l="1"/>
  <c r="O582" i="156"/>
  <c r="O582" i="152" l="1"/>
  <c r="O583" i="156"/>
  <c r="O583" i="152" l="1"/>
  <c r="O584" i="156"/>
  <c r="O584" i="152" l="1"/>
  <c r="O585" i="156"/>
  <c r="O585" i="152" l="1"/>
  <c r="O586" i="156"/>
  <c r="O586" i="152" l="1"/>
  <c r="O587" i="156"/>
  <c r="O587" i="152" l="1"/>
  <c r="O588" i="156"/>
  <c r="O588" i="152" l="1"/>
  <c r="O589" i="156"/>
  <c r="O589" i="152" l="1"/>
  <c r="O590" i="156"/>
  <c r="O590" i="152" l="1"/>
  <c r="O591" i="156"/>
  <c r="O591" i="152" l="1"/>
  <c r="O592" i="156"/>
  <c r="O592" i="152" l="1"/>
  <c r="O593" i="156"/>
  <c r="O593" i="152" l="1"/>
  <c r="O594" i="156"/>
  <c r="O594" i="152" l="1"/>
  <c r="O595" i="156"/>
  <c r="O595" i="152" l="1"/>
  <c r="O596" i="156"/>
  <c r="O596" i="152" l="1"/>
  <c r="O597" i="156"/>
  <c r="O597" i="152" l="1"/>
  <c r="O598" i="156"/>
  <c r="O598" i="152" l="1"/>
  <c r="O599" i="156"/>
  <c r="O599" i="152" l="1"/>
  <c r="O600" i="156"/>
  <c r="O600" i="152" l="1"/>
  <c r="O601" i="156"/>
  <c r="O601" i="152" l="1"/>
  <c r="O602" i="156"/>
  <c r="O602" i="152" l="1"/>
  <c r="O603" i="156"/>
  <c r="O603" i="152" l="1"/>
  <c r="O604" i="156"/>
  <c r="O604" i="152" l="1"/>
  <c r="O605" i="156"/>
  <c r="O605" i="152" l="1"/>
  <c r="O606" i="156"/>
  <c r="O606" i="152" l="1"/>
  <c r="O607" i="156"/>
  <c r="O607" i="152" l="1"/>
  <c r="O608" i="156"/>
  <c r="O608" i="152" l="1"/>
  <c r="O609" i="156"/>
  <c r="O609" i="152" l="1"/>
  <c r="O610" i="156"/>
  <c r="O610" i="152" l="1"/>
  <c r="O611" i="156"/>
  <c r="O611" i="152" l="1"/>
  <c r="O612" i="156"/>
  <c r="O612" i="152" l="1"/>
  <c r="O613" i="156"/>
  <c r="O613" i="152" l="1"/>
  <c r="O614" i="156"/>
  <c r="O614" i="152" l="1"/>
  <c r="O615" i="156"/>
  <c r="O615" i="152" l="1"/>
  <c r="O616" i="156"/>
  <c r="O616" i="152" l="1"/>
  <c r="O617" i="156"/>
  <c r="O617" i="152" l="1"/>
  <c r="O618" i="156"/>
  <c r="O618" i="152" l="1"/>
  <c r="O619" i="156"/>
  <c r="O619" i="152" l="1"/>
  <c r="O620" i="156"/>
  <c r="O620" i="152" l="1"/>
  <c r="O621" i="156"/>
  <c r="O621" i="152" l="1"/>
  <c r="O622" i="156"/>
  <c r="O622" i="152" l="1"/>
  <c r="O623" i="156"/>
  <c r="O623" i="152" l="1"/>
  <c r="O624" i="156"/>
  <c r="O624" i="152" l="1"/>
  <c r="O625" i="156"/>
  <c r="O625" i="152" l="1"/>
  <c r="O626" i="156"/>
  <c r="O626" i="152" l="1"/>
  <c r="O627" i="156"/>
  <c r="O627" i="152" l="1"/>
  <c r="O628" i="156"/>
  <c r="O628" i="152" l="1"/>
  <c r="O629" i="156"/>
  <c r="O629" i="152" l="1"/>
  <c r="O630" i="156"/>
  <c r="O630" i="152" l="1"/>
  <c r="O631" i="156"/>
  <c r="O631" i="152" l="1"/>
  <c r="O632" i="156"/>
  <c r="O632" i="152" l="1"/>
  <c r="O633" i="156"/>
  <c r="O633" i="152" l="1"/>
  <c r="O634" i="156"/>
  <c r="O634" i="152" l="1"/>
  <c r="O635" i="156"/>
  <c r="O635" i="152" l="1"/>
  <c r="O636" i="156"/>
  <c r="O636" i="152" l="1"/>
  <c r="O637" i="156"/>
  <c r="O637" i="152" l="1"/>
  <c r="O638" i="156"/>
  <c r="O638" i="152" l="1"/>
  <c r="O639" i="156"/>
  <c r="O639" i="152" l="1"/>
  <c r="O640" i="156"/>
  <c r="O640" i="152" l="1"/>
  <c r="O641" i="156"/>
  <c r="O641" i="152" l="1"/>
  <c r="O642" i="156"/>
  <c r="O642" i="152" l="1"/>
  <c r="O643" i="156"/>
  <c r="O643" i="152" l="1"/>
  <c r="O644" i="156"/>
  <c r="O644" i="152" l="1"/>
  <c r="O645" i="156"/>
  <c r="O645" i="152" l="1"/>
  <c r="O646" i="156"/>
  <c r="O646" i="152" l="1"/>
  <c r="O647" i="156"/>
  <c r="O647" i="152" l="1"/>
  <c r="O648" i="156"/>
  <c r="O648" i="152" l="1"/>
  <c r="O649" i="156"/>
  <c r="O649" i="152" l="1"/>
  <c r="O650" i="156"/>
  <c r="O650" i="152" l="1"/>
  <c r="O651" i="156"/>
  <c r="O651" i="152" l="1"/>
  <c r="O652" i="156"/>
  <c r="O652" i="152" l="1"/>
  <c r="O653" i="156"/>
  <c r="O653" i="152" l="1"/>
  <c r="O654" i="156"/>
  <c r="O654" i="152" l="1"/>
  <c r="O655" i="156"/>
  <c r="O655" i="152" l="1"/>
  <c r="O656" i="156"/>
  <c r="O656" i="152" l="1"/>
  <c r="O657" i="156"/>
  <c r="O657" i="152" l="1"/>
  <c r="O658" i="156"/>
  <c r="O658" i="152" l="1"/>
  <c r="O659" i="156"/>
  <c r="O659" i="152" l="1"/>
  <c r="O660" i="156"/>
  <c r="O660" i="152" l="1"/>
  <c r="O661" i="156"/>
  <c r="O661" i="152" l="1"/>
  <c r="O662" i="156"/>
  <c r="O662" i="152" l="1"/>
  <c r="O663" i="156"/>
  <c r="O663" i="152" l="1"/>
  <c r="O664" i="156"/>
  <c r="O664" i="152" l="1"/>
  <c r="O665" i="156"/>
  <c r="O665" i="152" l="1"/>
  <c r="O666" i="156"/>
  <c r="O666" i="152" l="1"/>
  <c r="O667" i="156"/>
  <c r="O667" i="152" l="1"/>
  <c r="O668" i="156"/>
  <c r="O668" i="152" l="1"/>
  <c r="O669" i="156"/>
  <c r="O669" i="152" l="1"/>
  <c r="O670" i="156"/>
  <c r="O670" i="152" l="1"/>
  <c r="O671" i="156"/>
  <c r="O671" i="152" l="1"/>
  <c r="O672" i="156"/>
  <c r="O672" i="152" l="1"/>
  <c r="O673" i="156"/>
  <c r="O673" i="152" l="1"/>
  <c r="O674" i="156"/>
  <c r="O674" i="152" l="1"/>
  <c r="O675" i="156"/>
  <c r="O675" i="152" l="1"/>
  <c r="O676" i="156"/>
  <c r="O676" i="152" l="1"/>
  <c r="O677" i="156"/>
  <c r="O677" i="152" l="1"/>
  <c r="O678" i="156"/>
  <c r="O678" i="152" l="1"/>
  <c r="O679" i="156"/>
  <c r="O679" i="152" l="1"/>
  <c r="O680" i="156"/>
  <c r="O680" i="152" l="1"/>
  <c r="O681" i="156"/>
  <c r="O681" i="152" l="1"/>
  <c r="O682" i="156"/>
  <c r="O682" i="152" l="1"/>
  <c r="O683" i="156"/>
  <c r="O683" i="152" l="1"/>
  <c r="O684" i="156"/>
  <c r="O684" i="152" l="1"/>
  <c r="O685" i="156"/>
  <c r="O685" i="152" l="1"/>
  <c r="O686" i="156"/>
  <c r="O686" i="152" l="1"/>
  <c r="O687" i="156"/>
  <c r="O687" i="152" l="1"/>
  <c r="O688" i="156"/>
  <c r="O688" i="152" l="1"/>
  <c r="O689" i="156"/>
  <c r="O689" i="152" l="1"/>
  <c r="O690" i="156"/>
  <c r="O690" i="152" l="1"/>
  <c r="O691" i="156"/>
  <c r="O691" i="152" l="1"/>
  <c r="O692" i="156"/>
  <c r="O692" i="152" l="1"/>
  <c r="O693" i="156"/>
  <c r="O693" i="152" l="1"/>
  <c r="O694" i="156"/>
  <c r="O694" i="152" l="1"/>
  <c r="O695" i="156"/>
  <c r="O695" i="152" l="1"/>
  <c r="O696" i="156"/>
  <c r="O696" i="152" l="1"/>
  <c r="O697" i="156"/>
  <c r="O697" i="152" l="1"/>
  <c r="O698" i="156"/>
  <c r="O698" i="152" l="1"/>
  <c r="O699" i="156"/>
  <c r="O699" i="152" l="1"/>
  <c r="O700" i="156"/>
  <c r="O700" i="152" l="1"/>
  <c r="O701" i="156"/>
  <c r="O701" i="152" l="1"/>
  <c r="O702" i="156"/>
  <c r="O702" i="152" l="1"/>
  <c r="O703" i="156"/>
  <c r="O703" i="152" l="1"/>
  <c r="O704" i="156"/>
  <c r="O704" i="152" l="1"/>
  <c r="O705" i="156"/>
  <c r="O705" i="152" l="1"/>
  <c r="O706" i="156"/>
  <c r="O706" i="152" l="1"/>
  <c r="O707" i="156"/>
  <c r="O707" i="152" l="1"/>
  <c r="O708" i="156"/>
  <c r="O708" i="152" l="1"/>
  <c r="O709" i="156"/>
  <c r="O709" i="152" l="1"/>
  <c r="O710" i="156"/>
  <c r="O710" i="152" l="1"/>
  <c r="O711" i="156"/>
  <c r="O711" i="152" l="1"/>
  <c r="O712" i="156"/>
  <c r="O712" i="152" l="1"/>
  <c r="O713" i="156"/>
  <c r="O713" i="152" l="1"/>
  <c r="O714" i="156"/>
  <c r="O714" i="152" l="1"/>
  <c r="O715" i="156"/>
  <c r="O715" i="152" l="1"/>
  <c r="O716" i="156"/>
  <c r="O716" i="152" l="1"/>
  <c r="O717" i="156"/>
  <c r="O717" i="152" l="1"/>
  <c r="O718" i="156"/>
  <c r="O718" i="152" l="1"/>
  <c r="O719" i="156"/>
  <c r="O719" i="152" l="1"/>
  <c r="O720" i="156"/>
  <c r="O720" i="152" l="1"/>
  <c r="O721" i="156"/>
  <c r="O721" i="152" l="1"/>
  <c r="O722" i="156"/>
  <c r="O722" i="152" l="1"/>
  <c r="O723" i="156"/>
  <c r="O723" i="152" l="1"/>
  <c r="O724" i="156"/>
  <c r="O724" i="152" l="1"/>
  <c r="O725" i="156"/>
  <c r="O725" i="152" l="1"/>
  <c r="O726" i="156"/>
  <c r="O726" i="152" l="1"/>
  <c r="O727" i="156"/>
  <c r="O727" i="152" l="1"/>
  <c r="O728" i="156"/>
  <c r="O728" i="152" l="1"/>
  <c r="O729" i="156"/>
  <c r="O729" i="152" l="1"/>
  <c r="O730" i="156"/>
  <c r="O730" i="152" l="1"/>
  <c r="O731" i="156"/>
  <c r="O731" i="152" l="1"/>
  <c r="O732" i="156"/>
  <c r="O732" i="152" l="1"/>
  <c r="O733" i="156"/>
  <c r="O733" i="152" l="1"/>
  <c r="O734" i="156"/>
  <c r="O734" i="152" l="1"/>
  <c r="O735" i="156"/>
  <c r="O735" i="152" l="1"/>
  <c r="O736" i="156"/>
  <c r="O736" i="152" l="1"/>
  <c r="O737" i="156"/>
  <c r="O737" i="152" l="1"/>
  <c r="O738" i="156"/>
  <c r="O738" i="152" l="1"/>
  <c r="O739" i="156"/>
  <c r="O739" i="152" l="1"/>
  <c r="O740" i="156"/>
  <c r="O740" i="152" l="1"/>
  <c r="O741" i="156"/>
  <c r="O741" i="152" l="1"/>
  <c r="O742" i="156"/>
  <c r="O742" i="152" l="1"/>
  <c r="O743" i="156"/>
  <c r="O743" i="152" l="1"/>
  <c r="O744" i="156"/>
  <c r="O744" i="152" l="1"/>
  <c r="O745" i="156"/>
  <c r="O745" i="152" l="1"/>
  <c r="O746" i="156"/>
  <c r="O746" i="152" l="1"/>
  <c r="O747" i="156"/>
  <c r="O747" i="152" l="1"/>
  <c r="O748" i="156"/>
  <c r="O748" i="152" l="1"/>
  <c r="O749" i="156"/>
  <c r="O749" i="152" l="1"/>
  <c r="O750" i="156"/>
  <c r="O750" i="152" l="1"/>
  <c r="O751" i="156"/>
  <c r="O751" i="152" l="1"/>
  <c r="O752" i="156"/>
  <c r="O752" i="152" l="1"/>
  <c r="O753" i="156"/>
  <c r="O753" i="152" l="1"/>
  <c r="O754" i="156"/>
  <c r="O754" i="152" l="1"/>
  <c r="O755" i="156"/>
  <c r="O755" i="152" l="1"/>
  <c r="O756" i="156"/>
  <c r="O756" i="152" l="1"/>
  <c r="O757" i="156"/>
  <c r="O757" i="152" l="1"/>
  <c r="O758" i="156"/>
  <c r="O758" i="152" l="1"/>
  <c r="O759" i="156"/>
  <c r="O759" i="152" l="1"/>
  <c r="O760" i="156"/>
  <c r="O760" i="152" l="1"/>
  <c r="O761" i="156"/>
  <c r="O761" i="152" l="1"/>
  <c r="O762" i="156"/>
  <c r="O762" i="152" l="1"/>
  <c r="O763" i="156"/>
  <c r="O763" i="152" l="1"/>
  <c r="O764" i="156"/>
  <c r="O764" i="152" l="1"/>
  <c r="O765" i="156"/>
  <c r="O765" i="152" l="1"/>
  <c r="O766" i="156"/>
  <c r="O766" i="152" l="1"/>
  <c r="O767" i="156"/>
  <c r="O767" i="152" l="1"/>
  <c r="O768" i="156"/>
  <c r="O768" i="152" l="1"/>
  <c r="O769" i="156"/>
  <c r="O769" i="152" l="1"/>
  <c r="O770" i="156"/>
  <c r="O770" i="152" l="1"/>
  <c r="O771" i="156"/>
  <c r="O771" i="152" l="1"/>
  <c r="O772" i="156"/>
  <c r="O772" i="152" l="1"/>
  <c r="O773" i="156"/>
  <c r="O773" i="152" l="1"/>
  <c r="O774" i="156"/>
  <c r="O774" i="152" l="1"/>
  <c r="O775" i="156"/>
  <c r="O775" i="152" l="1"/>
  <c r="O776" i="156"/>
  <c r="O776" i="152" l="1"/>
  <c r="O777" i="156"/>
  <c r="O777" i="152" l="1"/>
  <c r="O778" i="156"/>
  <c r="O778" i="152" l="1"/>
  <c r="O779" i="156"/>
  <c r="O779" i="152" l="1"/>
  <c r="R779" i="156"/>
  <c r="R778" i="156" s="1"/>
  <c r="R777" i="156" s="1"/>
  <c r="R776" i="156" s="1"/>
  <c r="R775" i="156" s="1"/>
  <c r="R774" i="156" s="1"/>
  <c r="R773" i="156" s="1"/>
  <c r="R772" i="156" s="1"/>
  <c r="R771" i="156" s="1"/>
  <c r="R770" i="156" s="1"/>
  <c r="R769" i="156" s="1"/>
  <c r="R768" i="156" s="1"/>
  <c r="R767" i="156" s="1"/>
  <c r="R766" i="156" s="1"/>
  <c r="R765" i="156" s="1"/>
  <c r="R764" i="156" s="1"/>
  <c r="R763" i="156" s="1"/>
  <c r="R762" i="156" s="1"/>
  <c r="R761" i="156" s="1"/>
  <c r="R760" i="156" s="1"/>
  <c r="R759" i="156" s="1"/>
  <c r="R758" i="156" s="1"/>
  <c r="R757" i="156" s="1"/>
  <c r="R756" i="156" s="1"/>
  <c r="R755" i="156" s="1"/>
  <c r="R754" i="156" s="1"/>
  <c r="R753" i="156" s="1"/>
  <c r="R752" i="156" s="1"/>
  <c r="R751" i="156" s="1"/>
  <c r="R750" i="156" s="1"/>
  <c r="R749" i="156" s="1"/>
  <c r="R748" i="156" s="1"/>
  <c r="R747" i="156" s="1"/>
  <c r="R746" i="156" s="1"/>
  <c r="R745" i="156" s="1"/>
  <c r="R744" i="156" s="1"/>
  <c r="R743" i="156" s="1"/>
  <c r="R742" i="156" s="1"/>
  <c r="R741" i="156" s="1"/>
  <c r="R740" i="156" s="1"/>
  <c r="R739" i="156" s="1"/>
  <c r="R738" i="156" s="1"/>
  <c r="R737" i="156" s="1"/>
  <c r="R736" i="156" s="1"/>
  <c r="R735" i="156" s="1"/>
  <c r="R734" i="156" s="1"/>
  <c r="R733" i="156" s="1"/>
  <c r="R732" i="156" s="1"/>
  <c r="R731" i="156" s="1"/>
  <c r="R730" i="156" s="1"/>
  <c r="R729" i="156" s="1"/>
  <c r="R728" i="156" s="1"/>
  <c r="R727" i="156" s="1"/>
  <c r="R726" i="156" s="1"/>
  <c r="R725" i="156" s="1"/>
  <c r="R724" i="156" s="1"/>
  <c r="R723" i="156" s="1"/>
  <c r="R722" i="156" s="1"/>
  <c r="R721" i="156" s="1"/>
  <c r="R720" i="156" s="1"/>
  <c r="R719" i="156" s="1"/>
  <c r="R718" i="156" s="1"/>
  <c r="R717" i="156" s="1"/>
  <c r="R716" i="156" s="1"/>
  <c r="R715" i="156" s="1"/>
  <c r="R714" i="156" s="1"/>
  <c r="R713" i="156" s="1"/>
  <c r="R712" i="156" s="1"/>
  <c r="R711" i="156" s="1"/>
  <c r="R710" i="156" s="1"/>
  <c r="R709" i="156" s="1"/>
  <c r="R708" i="156" s="1"/>
  <c r="R707" i="156" s="1"/>
  <c r="R706" i="156" s="1"/>
  <c r="R705" i="156" s="1"/>
  <c r="R704" i="156" s="1"/>
  <c r="R703" i="156" s="1"/>
  <c r="R702" i="156" s="1"/>
  <c r="R701" i="156" s="1"/>
  <c r="R700" i="156" s="1"/>
  <c r="R699" i="156" s="1"/>
  <c r="R698" i="156" s="1"/>
  <c r="R697" i="156" s="1"/>
  <c r="R696" i="156" s="1"/>
  <c r="R695" i="156" s="1"/>
  <c r="R694" i="156" s="1"/>
  <c r="R693" i="156" s="1"/>
  <c r="R692" i="156" s="1"/>
  <c r="R691" i="156" s="1"/>
  <c r="R690" i="156" s="1"/>
  <c r="R689" i="156" s="1"/>
  <c r="R688" i="156" s="1"/>
  <c r="R687" i="156" s="1"/>
  <c r="R686" i="156" s="1"/>
  <c r="R685" i="156" s="1"/>
  <c r="R684" i="156" s="1"/>
  <c r="R683" i="156" s="1"/>
  <c r="R682" i="156" s="1"/>
  <c r="R681" i="156" s="1"/>
  <c r="R680" i="156" s="1"/>
  <c r="R679" i="156" s="1"/>
  <c r="R678" i="156" s="1"/>
  <c r="R677" i="156" s="1"/>
  <c r="R676" i="156" s="1"/>
  <c r="R675" i="156" s="1"/>
  <c r="R674" i="156" s="1"/>
  <c r="R673" i="156" s="1"/>
  <c r="R672" i="156" s="1"/>
  <c r="R671" i="156" s="1"/>
  <c r="R670" i="156" s="1"/>
  <c r="R669" i="156" s="1"/>
  <c r="R668" i="156" s="1"/>
  <c r="R667" i="156" s="1"/>
  <c r="R666" i="156" s="1"/>
  <c r="R665" i="156" s="1"/>
  <c r="R664" i="156" s="1"/>
  <c r="R663" i="156" s="1"/>
  <c r="R662" i="156" s="1"/>
  <c r="R661" i="156" s="1"/>
  <c r="R660" i="156" s="1"/>
  <c r="R659" i="156" s="1"/>
  <c r="R658" i="156" s="1"/>
  <c r="R657" i="156" s="1"/>
  <c r="R656" i="156" s="1"/>
  <c r="R655" i="156" s="1"/>
  <c r="R654" i="156" s="1"/>
  <c r="R653" i="156" s="1"/>
  <c r="R652" i="156" s="1"/>
  <c r="R651" i="156" s="1"/>
  <c r="R650" i="156" s="1"/>
  <c r="R649" i="156" s="1"/>
  <c r="R648" i="156" s="1"/>
  <c r="R647" i="156" s="1"/>
  <c r="R646" i="156" s="1"/>
  <c r="R645" i="156" s="1"/>
  <c r="R644" i="156" s="1"/>
  <c r="R643" i="156" s="1"/>
  <c r="R642" i="156" s="1"/>
  <c r="R641" i="156" s="1"/>
  <c r="R640" i="156" s="1"/>
  <c r="R639" i="156" s="1"/>
  <c r="R638" i="156" s="1"/>
  <c r="R637" i="156" s="1"/>
  <c r="R636" i="156" s="1"/>
  <c r="R635" i="156" s="1"/>
  <c r="R634" i="156" s="1"/>
  <c r="R633" i="156" s="1"/>
  <c r="R632" i="156" s="1"/>
  <c r="R631" i="156" s="1"/>
  <c r="R630" i="156" s="1"/>
  <c r="R629" i="156" s="1"/>
  <c r="R628" i="156" s="1"/>
  <c r="R627" i="156" s="1"/>
  <c r="R626" i="156" s="1"/>
  <c r="R625" i="156" s="1"/>
  <c r="R624" i="156" s="1"/>
  <c r="R623" i="156" s="1"/>
  <c r="R622" i="156" s="1"/>
  <c r="R621" i="156" s="1"/>
  <c r="R620" i="156" s="1"/>
  <c r="R619" i="156" s="1"/>
  <c r="R618" i="156" s="1"/>
  <c r="R617" i="156" s="1"/>
  <c r="R616" i="156" s="1"/>
  <c r="R615" i="156" s="1"/>
  <c r="R614" i="156" s="1"/>
  <c r="R613" i="156" s="1"/>
  <c r="R612" i="156" s="1"/>
  <c r="R611" i="156" s="1"/>
  <c r="R610" i="156" s="1"/>
  <c r="R609" i="156" s="1"/>
  <c r="R608" i="156" s="1"/>
  <c r="R607" i="156" s="1"/>
  <c r="R606" i="156" s="1"/>
  <c r="R605" i="156" s="1"/>
  <c r="R604" i="156" s="1"/>
  <c r="R603" i="156" s="1"/>
  <c r="R602" i="156" s="1"/>
  <c r="R601" i="156" s="1"/>
  <c r="R600" i="156" s="1"/>
  <c r="R599" i="156" s="1"/>
  <c r="R598" i="156" s="1"/>
  <c r="R597" i="156" s="1"/>
  <c r="R596" i="156" s="1"/>
  <c r="R595" i="156" s="1"/>
  <c r="R594" i="156" s="1"/>
  <c r="R593" i="156" s="1"/>
  <c r="R592" i="156" s="1"/>
  <c r="R591" i="156" s="1"/>
  <c r="R590" i="156" s="1"/>
  <c r="R589" i="156" s="1"/>
  <c r="R588" i="156" s="1"/>
  <c r="R587" i="156" s="1"/>
  <c r="R586" i="156" s="1"/>
  <c r="R585" i="156" s="1"/>
  <c r="R584" i="156" s="1"/>
  <c r="R583" i="156" s="1"/>
  <c r="R582" i="156" s="1"/>
  <c r="R581" i="156" s="1"/>
  <c r="R580" i="156" s="1"/>
  <c r="R579" i="156" s="1"/>
  <c r="R578" i="156" s="1"/>
  <c r="R577" i="156" s="1"/>
  <c r="R576" i="156" s="1"/>
  <c r="R575" i="156" s="1"/>
  <c r="R574" i="156" s="1"/>
  <c r="R573" i="156" s="1"/>
  <c r="R572" i="156" s="1"/>
  <c r="R571" i="156" s="1"/>
  <c r="R570" i="156" s="1"/>
  <c r="R569" i="156" s="1"/>
  <c r="R568" i="156" s="1"/>
  <c r="R567" i="156" s="1"/>
  <c r="R566" i="156" s="1"/>
  <c r="R565" i="156" s="1"/>
  <c r="R564" i="156" s="1"/>
  <c r="R563" i="156" s="1"/>
  <c r="R562" i="156" s="1"/>
  <c r="R561" i="156" s="1"/>
  <c r="Q779" i="156"/>
  <c r="Q778" i="156" s="1"/>
  <c r="Q777" i="156" s="1"/>
  <c r="Q776" i="156" s="1"/>
  <c r="Q775" i="156" s="1"/>
  <c r="Q774" i="156" s="1"/>
  <c r="Q773" i="156" s="1"/>
  <c r="Q772" i="156" s="1"/>
  <c r="Q771" i="156" s="1"/>
  <c r="Q770" i="156" s="1"/>
  <c r="Q769" i="156" s="1"/>
  <c r="Q768" i="156" s="1"/>
  <c r="Q767" i="156" s="1"/>
  <c r="Q766" i="156" s="1"/>
  <c r="Q765" i="156" s="1"/>
  <c r="Q764" i="156" s="1"/>
  <c r="Q763" i="156" s="1"/>
  <c r="Q762" i="156" s="1"/>
  <c r="Q761" i="156" s="1"/>
  <c r="Q760" i="156" s="1"/>
  <c r="Q759" i="156" s="1"/>
  <c r="Q758" i="156" s="1"/>
  <c r="Q757" i="156" s="1"/>
  <c r="Q756" i="156" s="1"/>
  <c r="Q755" i="156" s="1"/>
  <c r="Q754" i="156" s="1"/>
  <c r="Q753" i="156" s="1"/>
  <c r="Q752" i="156" s="1"/>
  <c r="Q751" i="156" s="1"/>
  <c r="Q750" i="156" s="1"/>
  <c r="Q749" i="156" s="1"/>
  <c r="Q748" i="156" s="1"/>
  <c r="Q747" i="156" s="1"/>
  <c r="Q746" i="156" s="1"/>
  <c r="Q745" i="156" s="1"/>
  <c r="Q744" i="156" s="1"/>
  <c r="Q743" i="156" s="1"/>
  <c r="Q742" i="156" s="1"/>
  <c r="Q741" i="156" s="1"/>
  <c r="Q740" i="156" s="1"/>
  <c r="Q739" i="156" s="1"/>
  <c r="Q738" i="156" s="1"/>
  <c r="Q737" i="156" s="1"/>
  <c r="Q736" i="156" s="1"/>
  <c r="Q735" i="156" s="1"/>
  <c r="Q734" i="156" s="1"/>
  <c r="Q733" i="156" s="1"/>
  <c r="Q732" i="156" s="1"/>
  <c r="Q731" i="156" s="1"/>
  <c r="Q730" i="156" s="1"/>
  <c r="Q729" i="156" s="1"/>
  <c r="Q728" i="156" s="1"/>
  <c r="Q727" i="156" s="1"/>
  <c r="Q726" i="156" s="1"/>
  <c r="Q725" i="156" s="1"/>
  <c r="Q724" i="156" s="1"/>
  <c r="Q723" i="156" s="1"/>
  <c r="Q722" i="156" s="1"/>
  <c r="Q721" i="156" s="1"/>
  <c r="Q720" i="156" s="1"/>
  <c r="Q719" i="156" s="1"/>
  <c r="Q718" i="156" s="1"/>
  <c r="Q717" i="156" s="1"/>
  <c r="Q716" i="156" s="1"/>
  <c r="Q715" i="156" s="1"/>
  <c r="Q714" i="156" s="1"/>
  <c r="Q713" i="156" s="1"/>
  <c r="Q712" i="156" s="1"/>
  <c r="Q711" i="156" s="1"/>
  <c r="Q710" i="156" s="1"/>
  <c r="Q709" i="156" s="1"/>
  <c r="Q708" i="156" s="1"/>
  <c r="Q707" i="156" s="1"/>
  <c r="Q706" i="156" s="1"/>
  <c r="Q705" i="156" s="1"/>
  <c r="Q704" i="156" s="1"/>
  <c r="Q703" i="156" s="1"/>
  <c r="Q702" i="156" s="1"/>
  <c r="Q701" i="156" s="1"/>
  <c r="Q700" i="156" s="1"/>
  <c r="Q699" i="156" s="1"/>
  <c r="Q698" i="156" s="1"/>
  <c r="Q697" i="156" s="1"/>
  <c r="Q696" i="156" s="1"/>
  <c r="Q695" i="156" s="1"/>
  <c r="Q694" i="156" s="1"/>
  <c r="Q693" i="156" s="1"/>
  <c r="Q692" i="156" s="1"/>
  <c r="Q691" i="156" s="1"/>
  <c r="Q690" i="156" s="1"/>
  <c r="Q689" i="156" s="1"/>
  <c r="Q688" i="156" s="1"/>
  <c r="Q687" i="156" s="1"/>
  <c r="Q686" i="156" s="1"/>
  <c r="Q685" i="156" s="1"/>
  <c r="Q684" i="156" s="1"/>
  <c r="Q683" i="156" s="1"/>
  <c r="Q682" i="156" s="1"/>
  <c r="Q681" i="156" s="1"/>
  <c r="Q680" i="156" s="1"/>
  <c r="Q679" i="156" s="1"/>
  <c r="Q678" i="156" s="1"/>
  <c r="Q677" i="156" s="1"/>
  <c r="Q676" i="156" s="1"/>
  <c r="Q675" i="156" s="1"/>
  <c r="Q674" i="156" s="1"/>
  <c r="Q673" i="156" s="1"/>
  <c r="Q672" i="156" s="1"/>
  <c r="Q671" i="156" s="1"/>
  <c r="Q670" i="156" s="1"/>
  <c r="Q669" i="156" s="1"/>
  <c r="Q668" i="156" s="1"/>
  <c r="Q667" i="156" s="1"/>
  <c r="Q666" i="156" s="1"/>
  <c r="Q665" i="156" s="1"/>
  <c r="Q664" i="156" s="1"/>
  <c r="Q663" i="156" s="1"/>
  <c r="Q662" i="156" s="1"/>
  <c r="Q661" i="156" s="1"/>
  <c r="Q660" i="156" s="1"/>
  <c r="Q659" i="156" s="1"/>
  <c r="Q658" i="156" s="1"/>
  <c r="Q657" i="156" s="1"/>
  <c r="Q656" i="156" s="1"/>
  <c r="Q655" i="156" s="1"/>
  <c r="Q654" i="156" s="1"/>
  <c r="Q653" i="156" s="1"/>
  <c r="Q652" i="156" s="1"/>
  <c r="Q651" i="156" s="1"/>
  <c r="Q650" i="156" s="1"/>
  <c r="Q649" i="156" s="1"/>
  <c r="Q648" i="156" s="1"/>
  <c r="Q647" i="156" s="1"/>
  <c r="Q646" i="156" s="1"/>
  <c r="Q645" i="156" s="1"/>
  <c r="Q644" i="156" s="1"/>
  <c r="Q643" i="156" s="1"/>
  <c r="Q642" i="156" s="1"/>
  <c r="Q641" i="156" s="1"/>
  <c r="Q640" i="156" s="1"/>
  <c r="Q639" i="156" s="1"/>
  <c r="Q638" i="156" s="1"/>
  <c r="Q637" i="156" s="1"/>
  <c r="Q636" i="156" s="1"/>
  <c r="Q635" i="156" s="1"/>
  <c r="Q634" i="156" s="1"/>
  <c r="Q633" i="156" s="1"/>
  <c r="Q632" i="156" s="1"/>
  <c r="Q631" i="156" s="1"/>
  <c r="Q630" i="156" s="1"/>
  <c r="Q629" i="156" s="1"/>
  <c r="Q628" i="156" s="1"/>
  <c r="Q627" i="156" s="1"/>
  <c r="Q626" i="156" s="1"/>
  <c r="Q625" i="156" s="1"/>
  <c r="Q624" i="156" s="1"/>
  <c r="Q623" i="156" s="1"/>
  <c r="Q622" i="156" s="1"/>
  <c r="Q621" i="156" s="1"/>
  <c r="Q620" i="156" s="1"/>
  <c r="Q619" i="156" s="1"/>
  <c r="Q618" i="156" s="1"/>
  <c r="Q617" i="156" s="1"/>
  <c r="Q616" i="156" s="1"/>
  <c r="Q615" i="156" s="1"/>
  <c r="Q614" i="156" s="1"/>
  <c r="Q613" i="156" s="1"/>
  <c r="Q612" i="156" s="1"/>
  <c r="Q611" i="156" s="1"/>
  <c r="Q610" i="156" s="1"/>
  <c r="Q609" i="156" s="1"/>
  <c r="Q608" i="156" s="1"/>
  <c r="Q607" i="156" s="1"/>
  <c r="Q606" i="156" s="1"/>
  <c r="Q605" i="156" s="1"/>
  <c r="Q604" i="156" s="1"/>
  <c r="Q603" i="156" s="1"/>
  <c r="Q602" i="156" s="1"/>
  <c r="Q601" i="156" s="1"/>
  <c r="Q600" i="156" s="1"/>
  <c r="Q599" i="156" s="1"/>
  <c r="Q598" i="156" s="1"/>
  <c r="Q597" i="156" s="1"/>
  <c r="Q596" i="156" s="1"/>
  <c r="Q595" i="156" s="1"/>
  <c r="Q594" i="156" s="1"/>
  <c r="Q593" i="156" s="1"/>
  <c r="Q592" i="156" s="1"/>
  <c r="Q591" i="156" s="1"/>
  <c r="Q590" i="156" s="1"/>
  <c r="Q589" i="156" s="1"/>
  <c r="Q588" i="156" s="1"/>
  <c r="Q587" i="156" s="1"/>
  <c r="Q586" i="156" s="1"/>
  <c r="Q585" i="156" s="1"/>
  <c r="Q584" i="156" s="1"/>
  <c r="Q583" i="156" s="1"/>
  <c r="Q582" i="156" s="1"/>
  <c r="Q581" i="156" s="1"/>
  <c r="Q580" i="156" s="1"/>
  <c r="Q579" i="156" s="1"/>
  <c r="Q578" i="156" s="1"/>
  <c r="Q577" i="156" s="1"/>
  <c r="Q576" i="156" s="1"/>
  <c r="Q575" i="156" s="1"/>
  <c r="Q574" i="156" s="1"/>
  <c r="Q573" i="156" s="1"/>
  <c r="Q572" i="156" s="1"/>
  <c r="Q571" i="156" s="1"/>
  <c r="Q570" i="156" s="1"/>
  <c r="Q569" i="156" s="1"/>
  <c r="Q568" i="156" s="1"/>
  <c r="Q567" i="156" s="1"/>
  <c r="Q566" i="156" s="1"/>
  <c r="Q565" i="156" s="1"/>
  <c r="Q564" i="156" s="1"/>
  <c r="Q563" i="156" s="1"/>
  <c r="Q562" i="156" s="1"/>
  <c r="Q561" i="156" s="1"/>
  <c r="Q560" i="156" s="1"/>
  <c r="Q559" i="156" s="1"/>
  <c r="P779" i="156"/>
  <c r="P778" i="156" s="1"/>
  <c r="P777" i="156" s="1"/>
  <c r="P776" i="156" s="1"/>
  <c r="P775" i="156" s="1"/>
  <c r="P774" i="156" s="1"/>
  <c r="P773" i="156" s="1"/>
  <c r="P772" i="156" s="1"/>
  <c r="P771" i="156" s="1"/>
  <c r="P770" i="156" s="1"/>
  <c r="P769" i="156" s="1"/>
  <c r="P768" i="156" s="1"/>
  <c r="P767" i="156" s="1"/>
  <c r="P766" i="156" s="1"/>
  <c r="P765" i="156" s="1"/>
  <c r="P764" i="156" s="1"/>
  <c r="P763" i="156" s="1"/>
  <c r="P762" i="156" s="1"/>
  <c r="P761" i="156" s="1"/>
  <c r="P760" i="156" s="1"/>
  <c r="P759" i="156" s="1"/>
  <c r="P758" i="156" s="1"/>
  <c r="P757" i="156" s="1"/>
  <c r="P756" i="156" s="1"/>
  <c r="P755" i="156" s="1"/>
  <c r="P754" i="156" s="1"/>
  <c r="P753" i="156" s="1"/>
  <c r="P752" i="156" s="1"/>
  <c r="P751" i="156" s="1"/>
  <c r="P750" i="156" s="1"/>
  <c r="P749" i="156" s="1"/>
  <c r="P748" i="156" s="1"/>
  <c r="P747" i="156" s="1"/>
  <c r="P746" i="156" s="1"/>
  <c r="P745" i="156" s="1"/>
  <c r="P744" i="156" s="1"/>
  <c r="P743" i="156" s="1"/>
  <c r="P742" i="156" s="1"/>
  <c r="P741" i="156" s="1"/>
  <c r="P740" i="156" s="1"/>
  <c r="P739" i="156" s="1"/>
  <c r="P738" i="156" s="1"/>
  <c r="P737" i="156" s="1"/>
  <c r="P736" i="156" s="1"/>
  <c r="P735" i="156" s="1"/>
  <c r="P734" i="156" s="1"/>
  <c r="P733" i="156" s="1"/>
  <c r="P732" i="156" s="1"/>
  <c r="P731" i="156" s="1"/>
  <c r="P730" i="156" s="1"/>
  <c r="P729" i="156" s="1"/>
  <c r="P728" i="156" s="1"/>
  <c r="P727" i="156" s="1"/>
  <c r="P726" i="156" s="1"/>
  <c r="P725" i="156" s="1"/>
  <c r="P724" i="156" s="1"/>
  <c r="P723" i="156" s="1"/>
  <c r="P722" i="156" s="1"/>
  <c r="P721" i="156" s="1"/>
  <c r="P720" i="156" s="1"/>
  <c r="P719" i="156" s="1"/>
  <c r="P718" i="156" s="1"/>
  <c r="P717" i="156" s="1"/>
  <c r="P716" i="156" s="1"/>
  <c r="P715" i="156" s="1"/>
  <c r="P714" i="156" s="1"/>
  <c r="P713" i="156" s="1"/>
  <c r="P712" i="156" s="1"/>
  <c r="P711" i="156" s="1"/>
  <c r="P710" i="156" s="1"/>
  <c r="P709" i="156" s="1"/>
  <c r="P708" i="156" s="1"/>
  <c r="P707" i="156" s="1"/>
  <c r="P706" i="156" s="1"/>
  <c r="P705" i="156" s="1"/>
  <c r="P704" i="156" s="1"/>
  <c r="P703" i="156" s="1"/>
  <c r="P702" i="156" s="1"/>
  <c r="P701" i="156" s="1"/>
  <c r="P700" i="156" s="1"/>
  <c r="P699" i="156" s="1"/>
  <c r="P698" i="156" s="1"/>
  <c r="P697" i="156" s="1"/>
  <c r="P696" i="156" s="1"/>
  <c r="P695" i="156" s="1"/>
  <c r="P694" i="156" s="1"/>
  <c r="P693" i="156" s="1"/>
  <c r="P692" i="156" s="1"/>
  <c r="P691" i="156" s="1"/>
  <c r="P690" i="156" s="1"/>
  <c r="P689" i="156" s="1"/>
  <c r="P688" i="156" s="1"/>
  <c r="P687" i="156" s="1"/>
  <c r="P686" i="156" s="1"/>
  <c r="P685" i="156" s="1"/>
  <c r="P684" i="156" s="1"/>
  <c r="P683" i="156" s="1"/>
  <c r="P682" i="156" s="1"/>
  <c r="P681" i="156" s="1"/>
  <c r="P680" i="156" s="1"/>
  <c r="P679" i="156" s="1"/>
  <c r="P678" i="156" s="1"/>
  <c r="P677" i="156" s="1"/>
  <c r="P676" i="156" s="1"/>
  <c r="P675" i="156" s="1"/>
  <c r="P674" i="156" s="1"/>
  <c r="P673" i="156" s="1"/>
  <c r="P672" i="156" s="1"/>
  <c r="P671" i="156" s="1"/>
  <c r="P670" i="156" s="1"/>
  <c r="P669" i="156" s="1"/>
  <c r="P668" i="156" s="1"/>
  <c r="P667" i="156" s="1"/>
  <c r="P666" i="156" s="1"/>
  <c r="P665" i="156" s="1"/>
  <c r="P664" i="156" s="1"/>
  <c r="P663" i="156" s="1"/>
  <c r="P662" i="156" s="1"/>
  <c r="P661" i="156" s="1"/>
  <c r="P660" i="156" s="1"/>
  <c r="P659" i="156" s="1"/>
  <c r="P658" i="156" s="1"/>
  <c r="P657" i="156" s="1"/>
  <c r="P656" i="156" s="1"/>
  <c r="P655" i="156" s="1"/>
  <c r="P654" i="156" s="1"/>
  <c r="P653" i="156" s="1"/>
  <c r="P652" i="156" s="1"/>
  <c r="P651" i="156" s="1"/>
  <c r="P650" i="156" s="1"/>
  <c r="P649" i="156" s="1"/>
  <c r="P648" i="156" s="1"/>
  <c r="P647" i="156" s="1"/>
  <c r="P646" i="156" s="1"/>
  <c r="P645" i="156" s="1"/>
  <c r="P644" i="156" s="1"/>
  <c r="P643" i="156" s="1"/>
  <c r="P642" i="156" s="1"/>
  <c r="P641" i="156" s="1"/>
  <c r="P640" i="156" s="1"/>
  <c r="P639" i="156" s="1"/>
  <c r="P638" i="156" s="1"/>
  <c r="P637" i="156" s="1"/>
  <c r="P636" i="156" s="1"/>
  <c r="P635" i="156" s="1"/>
  <c r="P634" i="156" s="1"/>
  <c r="P633" i="156" s="1"/>
  <c r="P632" i="156" s="1"/>
  <c r="P631" i="156" s="1"/>
  <c r="P630" i="156" s="1"/>
  <c r="P629" i="156" s="1"/>
  <c r="P628" i="156" s="1"/>
  <c r="P627" i="156" s="1"/>
  <c r="P626" i="156" s="1"/>
  <c r="P625" i="156" s="1"/>
  <c r="P624" i="156" s="1"/>
  <c r="P623" i="156" s="1"/>
  <c r="P622" i="156" s="1"/>
  <c r="P621" i="156" s="1"/>
  <c r="P620" i="156" s="1"/>
  <c r="P619" i="156" s="1"/>
  <c r="P618" i="156" s="1"/>
  <c r="P617" i="156" s="1"/>
  <c r="P616" i="156" s="1"/>
  <c r="P615" i="156" s="1"/>
  <c r="P614" i="156" s="1"/>
  <c r="P613" i="156" s="1"/>
  <c r="P612" i="156" s="1"/>
  <c r="P611" i="156" s="1"/>
  <c r="P610" i="156" s="1"/>
  <c r="P609" i="156" s="1"/>
  <c r="P608" i="156" s="1"/>
  <c r="P607" i="156" s="1"/>
  <c r="P606" i="156" s="1"/>
  <c r="P605" i="156" s="1"/>
  <c r="P604" i="156" s="1"/>
  <c r="P603" i="156" s="1"/>
  <c r="P602" i="156" s="1"/>
  <c r="P601" i="156" s="1"/>
  <c r="P600" i="156" s="1"/>
  <c r="P599" i="156" s="1"/>
  <c r="P598" i="156" s="1"/>
  <c r="P597" i="156" s="1"/>
  <c r="P596" i="156" s="1"/>
  <c r="P595" i="156" s="1"/>
  <c r="P594" i="156" s="1"/>
  <c r="P593" i="156" s="1"/>
  <c r="P592" i="156" s="1"/>
  <c r="P591" i="156" s="1"/>
  <c r="P590" i="156" s="1"/>
  <c r="P589" i="156" s="1"/>
  <c r="P588" i="156" s="1"/>
  <c r="P587" i="156" s="1"/>
  <c r="P586" i="156" s="1"/>
  <c r="P585" i="156" s="1"/>
  <c r="P584" i="156" s="1"/>
  <c r="P583" i="156" s="1"/>
  <c r="P582" i="156" s="1"/>
  <c r="P581" i="156" s="1"/>
  <c r="P580" i="156" s="1"/>
  <c r="P579" i="156" s="1"/>
  <c r="P578" i="156" s="1"/>
  <c r="P577" i="156" s="1"/>
  <c r="P576" i="156" s="1"/>
  <c r="P575" i="156" s="1"/>
  <c r="P574" i="156" s="1"/>
  <c r="P573" i="156" s="1"/>
  <c r="P572" i="156" s="1"/>
  <c r="P571" i="156" s="1"/>
  <c r="P570" i="156" s="1"/>
  <c r="P569" i="156" s="1"/>
  <c r="P568" i="156" s="1"/>
  <c r="P567" i="156" s="1"/>
  <c r="P566" i="156" s="1"/>
  <c r="P565" i="156" s="1"/>
  <c r="P564" i="156" s="1"/>
  <c r="P563" i="156" s="1"/>
  <c r="P562" i="156" s="1"/>
  <c r="P561" i="156" s="1"/>
  <c r="P560" i="156" s="1"/>
  <c r="P559" i="156" s="1"/>
  <c r="R779" i="152" l="1"/>
  <c r="R778" i="152" s="1"/>
  <c r="R777" i="152" s="1"/>
  <c r="R776" i="152" s="1"/>
  <c r="R775" i="152" s="1"/>
  <c r="R774" i="152" s="1"/>
  <c r="R773" i="152" s="1"/>
  <c r="R772" i="152" s="1"/>
  <c r="R771" i="152" s="1"/>
  <c r="R770" i="152" s="1"/>
  <c r="R769" i="152" s="1"/>
  <c r="R768" i="152" s="1"/>
  <c r="R767" i="152" s="1"/>
  <c r="R766" i="152" s="1"/>
  <c r="R765" i="152" s="1"/>
  <c r="R764" i="152" s="1"/>
  <c r="R763" i="152" s="1"/>
  <c r="R762" i="152" s="1"/>
  <c r="R761" i="152" s="1"/>
  <c r="R760" i="152" s="1"/>
  <c r="R759" i="152" s="1"/>
  <c r="R758" i="152" s="1"/>
  <c r="R757" i="152" s="1"/>
  <c r="R756" i="152" s="1"/>
  <c r="R755" i="152" s="1"/>
  <c r="R754" i="152" s="1"/>
  <c r="R753" i="152" s="1"/>
  <c r="R752" i="152" s="1"/>
  <c r="R751" i="152" s="1"/>
  <c r="R750" i="152" s="1"/>
  <c r="R749" i="152" s="1"/>
  <c r="R748" i="152" s="1"/>
  <c r="R747" i="152" s="1"/>
  <c r="R746" i="152" s="1"/>
  <c r="R745" i="152" s="1"/>
  <c r="R744" i="152" s="1"/>
  <c r="R743" i="152" s="1"/>
  <c r="R742" i="152" s="1"/>
  <c r="R741" i="152" s="1"/>
  <c r="R740" i="152" s="1"/>
  <c r="R739" i="152" s="1"/>
  <c r="R738" i="152" s="1"/>
  <c r="R737" i="152" s="1"/>
  <c r="R736" i="152" s="1"/>
  <c r="R735" i="152" s="1"/>
  <c r="R734" i="152" s="1"/>
  <c r="R733" i="152" s="1"/>
  <c r="R732" i="152" s="1"/>
  <c r="R731" i="152" s="1"/>
  <c r="R730" i="152" s="1"/>
  <c r="R729" i="152" s="1"/>
  <c r="R728" i="152" s="1"/>
  <c r="R727" i="152" s="1"/>
  <c r="R726" i="152" s="1"/>
  <c r="R725" i="152" s="1"/>
  <c r="R724" i="152" s="1"/>
  <c r="R723" i="152" s="1"/>
  <c r="R722" i="152" s="1"/>
  <c r="R721" i="152" s="1"/>
  <c r="R720" i="152" s="1"/>
  <c r="R719" i="152" s="1"/>
  <c r="R718" i="152" s="1"/>
  <c r="R717" i="152" s="1"/>
  <c r="R716" i="152" s="1"/>
  <c r="R715" i="152" s="1"/>
  <c r="R714" i="152" s="1"/>
  <c r="R713" i="152" s="1"/>
  <c r="R712" i="152" s="1"/>
  <c r="R711" i="152" s="1"/>
  <c r="R710" i="152" s="1"/>
  <c r="R709" i="152" s="1"/>
  <c r="R708" i="152" s="1"/>
  <c r="R707" i="152" s="1"/>
  <c r="R706" i="152" s="1"/>
  <c r="R705" i="152" s="1"/>
  <c r="R704" i="152" s="1"/>
  <c r="R703" i="152" s="1"/>
  <c r="R702" i="152" s="1"/>
  <c r="R701" i="152" s="1"/>
  <c r="R700" i="152" s="1"/>
  <c r="R699" i="152" s="1"/>
  <c r="R698" i="152" s="1"/>
  <c r="R697" i="152" s="1"/>
  <c r="R696" i="152" s="1"/>
  <c r="R695" i="152" s="1"/>
  <c r="R694" i="152" s="1"/>
  <c r="R693" i="152" s="1"/>
  <c r="R692" i="152" s="1"/>
  <c r="R691" i="152" s="1"/>
  <c r="R690" i="152" s="1"/>
  <c r="R689" i="152" s="1"/>
  <c r="R688" i="152" s="1"/>
  <c r="R687" i="152" s="1"/>
  <c r="R686" i="152" s="1"/>
  <c r="R685" i="152" s="1"/>
  <c r="R684" i="152" s="1"/>
  <c r="R683" i="152" s="1"/>
  <c r="R682" i="152" s="1"/>
  <c r="R681" i="152" s="1"/>
  <c r="R680" i="152" s="1"/>
  <c r="R679" i="152" s="1"/>
  <c r="R678" i="152" s="1"/>
  <c r="R677" i="152" s="1"/>
  <c r="R676" i="152" s="1"/>
  <c r="R675" i="152" s="1"/>
  <c r="R674" i="152" s="1"/>
  <c r="R673" i="152" s="1"/>
  <c r="R672" i="152" s="1"/>
  <c r="R671" i="152" s="1"/>
  <c r="R670" i="152" s="1"/>
  <c r="R669" i="152" s="1"/>
  <c r="R668" i="152" s="1"/>
  <c r="R667" i="152" s="1"/>
  <c r="R666" i="152" s="1"/>
  <c r="R665" i="152" s="1"/>
  <c r="R664" i="152" s="1"/>
  <c r="R663" i="152" s="1"/>
  <c r="R662" i="152" s="1"/>
  <c r="R661" i="152" s="1"/>
  <c r="R660" i="152" s="1"/>
  <c r="R659" i="152" s="1"/>
  <c r="R658" i="152" s="1"/>
  <c r="R657" i="152" s="1"/>
  <c r="R656" i="152" s="1"/>
  <c r="R655" i="152" s="1"/>
  <c r="R654" i="152" s="1"/>
  <c r="R653" i="152" s="1"/>
  <c r="R652" i="152" s="1"/>
  <c r="R651" i="152" s="1"/>
  <c r="R650" i="152" s="1"/>
  <c r="R649" i="152" s="1"/>
  <c r="R648" i="152" s="1"/>
  <c r="R647" i="152" s="1"/>
  <c r="R646" i="152" s="1"/>
  <c r="R645" i="152" s="1"/>
  <c r="R644" i="152" s="1"/>
  <c r="R643" i="152" s="1"/>
  <c r="R642" i="152" s="1"/>
  <c r="R641" i="152" s="1"/>
  <c r="R640" i="152" s="1"/>
  <c r="R639" i="152" s="1"/>
  <c r="R638" i="152" s="1"/>
  <c r="R637" i="152" s="1"/>
  <c r="R636" i="152" s="1"/>
  <c r="R635" i="152" s="1"/>
  <c r="R634" i="152" s="1"/>
  <c r="R633" i="152" s="1"/>
  <c r="R632" i="152" s="1"/>
  <c r="R631" i="152" s="1"/>
  <c r="R630" i="152" s="1"/>
  <c r="R629" i="152" s="1"/>
  <c r="R628" i="152" s="1"/>
  <c r="R627" i="152" s="1"/>
  <c r="R626" i="152" s="1"/>
  <c r="R625" i="152" s="1"/>
  <c r="R624" i="152" s="1"/>
  <c r="R623" i="152" s="1"/>
  <c r="R622" i="152" s="1"/>
  <c r="R621" i="152" s="1"/>
  <c r="R620" i="152" s="1"/>
  <c r="R619" i="152" s="1"/>
  <c r="R618" i="152" s="1"/>
  <c r="R617" i="152" s="1"/>
  <c r="R616" i="152" s="1"/>
  <c r="R615" i="152" s="1"/>
  <c r="R614" i="152" s="1"/>
  <c r="R613" i="152" s="1"/>
  <c r="R612" i="152" s="1"/>
  <c r="R611" i="152" s="1"/>
  <c r="R610" i="152" s="1"/>
  <c r="R609" i="152" s="1"/>
  <c r="R608" i="152" s="1"/>
  <c r="R607" i="152" s="1"/>
  <c r="R606" i="152" s="1"/>
  <c r="R605" i="152" s="1"/>
  <c r="R604" i="152" s="1"/>
  <c r="R603" i="152" s="1"/>
  <c r="R602" i="152" s="1"/>
  <c r="R601" i="152" s="1"/>
  <c r="R600" i="152" s="1"/>
  <c r="R599" i="152" s="1"/>
  <c r="R598" i="152" s="1"/>
  <c r="R597" i="152" s="1"/>
  <c r="R596" i="152" s="1"/>
  <c r="R595" i="152" s="1"/>
  <c r="R594" i="152" s="1"/>
  <c r="R593" i="152" s="1"/>
  <c r="R592" i="152" s="1"/>
  <c r="R591" i="152" s="1"/>
  <c r="R590" i="152" s="1"/>
  <c r="R589" i="152" s="1"/>
  <c r="R588" i="152" s="1"/>
  <c r="R587" i="152" s="1"/>
  <c r="R586" i="152" s="1"/>
  <c r="R585" i="152" s="1"/>
  <c r="R584" i="152" s="1"/>
  <c r="R583" i="152" s="1"/>
  <c r="R582" i="152" s="1"/>
  <c r="R581" i="152" s="1"/>
  <c r="R580" i="152" s="1"/>
  <c r="R579" i="152" s="1"/>
  <c r="R578" i="152" s="1"/>
  <c r="R577" i="152" s="1"/>
  <c r="R576" i="152" s="1"/>
  <c r="R575" i="152" s="1"/>
  <c r="R574" i="152" s="1"/>
  <c r="R573" i="152" s="1"/>
  <c r="R572" i="152" s="1"/>
  <c r="R571" i="152" s="1"/>
  <c r="R570" i="152" s="1"/>
  <c r="R569" i="152" s="1"/>
  <c r="R568" i="152" s="1"/>
  <c r="R567" i="152" s="1"/>
  <c r="R566" i="152" s="1"/>
  <c r="R565" i="152" s="1"/>
  <c r="R564" i="152" s="1"/>
  <c r="R563" i="152" s="1"/>
  <c r="R562" i="152" s="1"/>
  <c r="R561" i="152" s="1"/>
  <c r="Q779" i="152"/>
  <c r="Q778" i="152" s="1"/>
  <c r="Q777" i="152" s="1"/>
  <c r="Q776" i="152" s="1"/>
  <c r="Q775" i="152" s="1"/>
  <c r="Q774" i="152" s="1"/>
  <c r="Q773" i="152" s="1"/>
  <c r="Q772" i="152" s="1"/>
  <c r="Q771" i="152" s="1"/>
  <c r="Q770" i="152" s="1"/>
  <c r="Q769" i="152" s="1"/>
  <c r="Q768" i="152" s="1"/>
  <c r="Q767" i="152" s="1"/>
  <c r="Q766" i="152" s="1"/>
  <c r="Q765" i="152" s="1"/>
  <c r="Q764" i="152" s="1"/>
  <c r="Q763" i="152" s="1"/>
  <c r="Q762" i="152" s="1"/>
  <c r="Q761" i="152" s="1"/>
  <c r="Q760" i="152" s="1"/>
  <c r="Q759" i="152" s="1"/>
  <c r="Q758" i="152" s="1"/>
  <c r="Q757" i="152" s="1"/>
  <c r="Q756" i="152" s="1"/>
  <c r="Q755" i="152" s="1"/>
  <c r="Q754" i="152" s="1"/>
  <c r="Q753" i="152" s="1"/>
  <c r="Q752" i="152" s="1"/>
  <c r="Q751" i="152" s="1"/>
  <c r="Q750" i="152" s="1"/>
  <c r="Q749" i="152" s="1"/>
  <c r="Q748" i="152" s="1"/>
  <c r="Q747" i="152" s="1"/>
  <c r="Q746" i="152" s="1"/>
  <c r="Q745" i="152" s="1"/>
  <c r="Q744" i="152" s="1"/>
  <c r="Q743" i="152" s="1"/>
  <c r="Q742" i="152" s="1"/>
  <c r="Q741" i="152" s="1"/>
  <c r="Q740" i="152" s="1"/>
  <c r="Q739" i="152" s="1"/>
  <c r="Q738" i="152" s="1"/>
  <c r="Q737" i="152" s="1"/>
  <c r="Q736" i="152" s="1"/>
  <c r="Q735" i="152" s="1"/>
  <c r="Q734" i="152" s="1"/>
  <c r="Q733" i="152" s="1"/>
  <c r="Q732" i="152" s="1"/>
  <c r="Q731" i="152" s="1"/>
  <c r="Q730" i="152" s="1"/>
  <c r="Q729" i="152" s="1"/>
  <c r="Q728" i="152" s="1"/>
  <c r="Q727" i="152" s="1"/>
  <c r="Q726" i="152" s="1"/>
  <c r="Q725" i="152" s="1"/>
  <c r="Q724" i="152" s="1"/>
  <c r="Q723" i="152" s="1"/>
  <c r="Q722" i="152" s="1"/>
  <c r="Q721" i="152" s="1"/>
  <c r="Q720" i="152" s="1"/>
  <c r="Q719" i="152" s="1"/>
  <c r="Q718" i="152" s="1"/>
  <c r="Q717" i="152" s="1"/>
  <c r="Q716" i="152" s="1"/>
  <c r="Q715" i="152" s="1"/>
  <c r="Q714" i="152" s="1"/>
  <c r="Q713" i="152" s="1"/>
  <c r="Q712" i="152" s="1"/>
  <c r="Q711" i="152" s="1"/>
  <c r="Q710" i="152" s="1"/>
  <c r="Q709" i="152" s="1"/>
  <c r="Q708" i="152" s="1"/>
  <c r="Q707" i="152" s="1"/>
  <c r="Q706" i="152" s="1"/>
  <c r="Q705" i="152" s="1"/>
  <c r="Q704" i="152" s="1"/>
  <c r="Q703" i="152" s="1"/>
  <c r="Q702" i="152" s="1"/>
  <c r="Q701" i="152" s="1"/>
  <c r="Q700" i="152" s="1"/>
  <c r="Q699" i="152" s="1"/>
  <c r="Q698" i="152" s="1"/>
  <c r="Q697" i="152" s="1"/>
  <c r="Q696" i="152" s="1"/>
  <c r="Q695" i="152" s="1"/>
  <c r="Q694" i="152" s="1"/>
  <c r="Q693" i="152" s="1"/>
  <c r="Q692" i="152" s="1"/>
  <c r="Q691" i="152" s="1"/>
  <c r="Q690" i="152" s="1"/>
  <c r="Q689" i="152" s="1"/>
  <c r="Q688" i="152" s="1"/>
  <c r="Q687" i="152" s="1"/>
  <c r="Q686" i="152" s="1"/>
  <c r="Q685" i="152" s="1"/>
  <c r="Q684" i="152" s="1"/>
  <c r="Q683" i="152" s="1"/>
  <c r="Q682" i="152" s="1"/>
  <c r="Q681" i="152" s="1"/>
  <c r="Q680" i="152" s="1"/>
  <c r="Q679" i="152" s="1"/>
  <c r="Q678" i="152" s="1"/>
  <c r="Q677" i="152" s="1"/>
  <c r="Q676" i="152" s="1"/>
  <c r="Q675" i="152" s="1"/>
  <c r="Q674" i="152" s="1"/>
  <c r="Q673" i="152" s="1"/>
  <c r="Q672" i="152" s="1"/>
  <c r="Q671" i="152" s="1"/>
  <c r="Q670" i="152" s="1"/>
  <c r="Q669" i="152" s="1"/>
  <c r="Q668" i="152" s="1"/>
  <c r="Q667" i="152" s="1"/>
  <c r="Q666" i="152" s="1"/>
  <c r="Q665" i="152" s="1"/>
  <c r="Q664" i="152" s="1"/>
  <c r="Q663" i="152" s="1"/>
  <c r="Q662" i="152" s="1"/>
  <c r="Q661" i="152" s="1"/>
  <c r="Q660" i="152" s="1"/>
  <c r="Q659" i="152" s="1"/>
  <c r="Q658" i="152" s="1"/>
  <c r="Q657" i="152" s="1"/>
  <c r="Q656" i="152" s="1"/>
  <c r="Q655" i="152" s="1"/>
  <c r="Q654" i="152" s="1"/>
  <c r="Q653" i="152" s="1"/>
  <c r="Q652" i="152" s="1"/>
  <c r="Q651" i="152" s="1"/>
  <c r="Q650" i="152" s="1"/>
  <c r="Q649" i="152" s="1"/>
  <c r="Q648" i="152" s="1"/>
  <c r="Q647" i="152" s="1"/>
  <c r="Q646" i="152" s="1"/>
  <c r="Q645" i="152" s="1"/>
  <c r="Q644" i="152" s="1"/>
  <c r="Q643" i="152" s="1"/>
  <c r="Q642" i="152" s="1"/>
  <c r="Q641" i="152" s="1"/>
  <c r="Q640" i="152" s="1"/>
  <c r="Q639" i="152" s="1"/>
  <c r="Q638" i="152" s="1"/>
  <c r="Q637" i="152" s="1"/>
  <c r="Q636" i="152" s="1"/>
  <c r="Q635" i="152" s="1"/>
  <c r="Q634" i="152" s="1"/>
  <c r="Q633" i="152" s="1"/>
  <c r="Q632" i="152" s="1"/>
  <c r="Q631" i="152" s="1"/>
  <c r="Q630" i="152" s="1"/>
  <c r="Q629" i="152" s="1"/>
  <c r="Q628" i="152" s="1"/>
  <c r="Q627" i="152" s="1"/>
  <c r="Q626" i="152" s="1"/>
  <c r="Q625" i="152" s="1"/>
  <c r="Q624" i="152" s="1"/>
  <c r="Q623" i="152" s="1"/>
  <c r="Q622" i="152" s="1"/>
  <c r="Q621" i="152" s="1"/>
  <c r="Q620" i="152" s="1"/>
  <c r="Q619" i="152" s="1"/>
  <c r="Q618" i="152" s="1"/>
  <c r="Q617" i="152" s="1"/>
  <c r="Q616" i="152" s="1"/>
  <c r="Q615" i="152" s="1"/>
  <c r="Q614" i="152" s="1"/>
  <c r="Q613" i="152" s="1"/>
  <c r="Q612" i="152" s="1"/>
  <c r="Q611" i="152" s="1"/>
  <c r="Q610" i="152" s="1"/>
  <c r="Q609" i="152" s="1"/>
  <c r="Q608" i="152" s="1"/>
  <c r="Q607" i="152" s="1"/>
  <c r="Q606" i="152" s="1"/>
  <c r="Q605" i="152" s="1"/>
  <c r="Q604" i="152" s="1"/>
  <c r="Q603" i="152" s="1"/>
  <c r="Q602" i="152" s="1"/>
  <c r="Q601" i="152" s="1"/>
  <c r="Q600" i="152" s="1"/>
  <c r="Q599" i="152" s="1"/>
  <c r="Q598" i="152" s="1"/>
  <c r="Q597" i="152" s="1"/>
  <c r="Q596" i="152" s="1"/>
  <c r="Q595" i="152" s="1"/>
  <c r="Q594" i="152" s="1"/>
  <c r="Q593" i="152" s="1"/>
  <c r="Q592" i="152" s="1"/>
  <c r="Q591" i="152" s="1"/>
  <c r="Q590" i="152" s="1"/>
  <c r="Q589" i="152" s="1"/>
  <c r="Q588" i="152" s="1"/>
  <c r="Q587" i="152" s="1"/>
  <c r="Q586" i="152" s="1"/>
  <c r="Q585" i="152" s="1"/>
  <c r="Q584" i="152" s="1"/>
  <c r="Q583" i="152" s="1"/>
  <c r="Q582" i="152" s="1"/>
  <c r="Q581" i="152" s="1"/>
  <c r="Q580" i="152" s="1"/>
  <c r="Q579" i="152" s="1"/>
  <c r="Q578" i="152" s="1"/>
  <c r="Q577" i="152" s="1"/>
  <c r="Q576" i="152" s="1"/>
  <c r="Q575" i="152" s="1"/>
  <c r="Q574" i="152" s="1"/>
  <c r="Q573" i="152" s="1"/>
  <c r="Q572" i="152" s="1"/>
  <c r="Q571" i="152" s="1"/>
  <c r="Q570" i="152" s="1"/>
  <c r="Q569" i="152" s="1"/>
  <c r="Q568" i="152" s="1"/>
  <c r="Q567" i="152" s="1"/>
  <c r="Q566" i="152" s="1"/>
  <c r="Q565" i="152" s="1"/>
  <c r="Q564" i="152" s="1"/>
  <c r="Q563" i="152" s="1"/>
  <c r="Q562" i="152" s="1"/>
  <c r="Q561" i="152" s="1"/>
  <c r="Q560" i="152" s="1"/>
  <c r="Q559" i="152" s="1"/>
  <c r="Q558" i="152" s="1"/>
  <c r="Q557" i="152" s="1"/>
  <c r="Q556" i="152" s="1"/>
  <c r="Q555" i="152" s="1"/>
  <c r="Q554" i="152" s="1"/>
  <c r="Q553" i="152" s="1"/>
  <c r="Q552" i="152" s="1"/>
  <c r="Q551" i="152" s="1"/>
  <c r="Q550" i="152" s="1"/>
  <c r="Q549" i="152" s="1"/>
  <c r="Q548" i="152" s="1"/>
  <c r="Q547" i="152" s="1"/>
  <c r="Q546" i="152" s="1"/>
  <c r="P779" i="152"/>
  <c r="P778" i="152" s="1"/>
  <c r="P777" i="152" s="1"/>
  <c r="P776" i="152" s="1"/>
  <c r="P775" i="152" s="1"/>
  <c r="P774" i="152" s="1"/>
  <c r="P773" i="152" s="1"/>
  <c r="P772" i="152" s="1"/>
  <c r="P771" i="152" s="1"/>
  <c r="P770" i="152" s="1"/>
  <c r="P769" i="152" s="1"/>
  <c r="P768" i="152" s="1"/>
  <c r="P767" i="152" s="1"/>
  <c r="P766" i="152" s="1"/>
  <c r="P765" i="152" s="1"/>
  <c r="P764" i="152" s="1"/>
  <c r="P763" i="152" s="1"/>
  <c r="P762" i="152" s="1"/>
  <c r="P761" i="152" s="1"/>
  <c r="P760" i="152" s="1"/>
  <c r="P759" i="152" s="1"/>
  <c r="P758" i="152" s="1"/>
  <c r="P757" i="152" s="1"/>
  <c r="P756" i="152" s="1"/>
  <c r="P755" i="152" s="1"/>
  <c r="P754" i="152" s="1"/>
  <c r="P753" i="152" s="1"/>
  <c r="P752" i="152" s="1"/>
  <c r="P751" i="152" s="1"/>
  <c r="P750" i="152" s="1"/>
  <c r="P749" i="152" s="1"/>
  <c r="P748" i="152" s="1"/>
  <c r="P747" i="152" s="1"/>
  <c r="P746" i="152" s="1"/>
  <c r="P745" i="152" s="1"/>
  <c r="P744" i="152" s="1"/>
  <c r="P743" i="152" s="1"/>
  <c r="P742" i="152" s="1"/>
  <c r="P741" i="152" s="1"/>
  <c r="P740" i="152" s="1"/>
  <c r="P739" i="152" s="1"/>
  <c r="P738" i="152" s="1"/>
  <c r="P737" i="152" s="1"/>
  <c r="P736" i="152" s="1"/>
  <c r="P735" i="152" s="1"/>
  <c r="P734" i="152" s="1"/>
  <c r="P733" i="152" s="1"/>
  <c r="P732" i="152" s="1"/>
  <c r="P731" i="152" s="1"/>
  <c r="P730" i="152" s="1"/>
  <c r="P729" i="152" s="1"/>
  <c r="P728" i="152" s="1"/>
  <c r="P727" i="152" s="1"/>
  <c r="P726" i="152" s="1"/>
  <c r="P725" i="152" s="1"/>
  <c r="P724" i="152" s="1"/>
  <c r="P723" i="152" s="1"/>
  <c r="P722" i="152" s="1"/>
  <c r="P721" i="152" s="1"/>
  <c r="P720" i="152" s="1"/>
  <c r="P719" i="152" s="1"/>
  <c r="P718" i="152" s="1"/>
  <c r="P717" i="152" s="1"/>
  <c r="P716" i="152" s="1"/>
  <c r="P715" i="152" s="1"/>
  <c r="P714" i="152" s="1"/>
  <c r="P713" i="152" s="1"/>
  <c r="P712" i="152" s="1"/>
  <c r="P711" i="152" s="1"/>
  <c r="P710" i="152" s="1"/>
  <c r="P709" i="152" s="1"/>
  <c r="P708" i="152" s="1"/>
  <c r="P707" i="152" s="1"/>
  <c r="P706" i="152" s="1"/>
  <c r="P705" i="152" s="1"/>
  <c r="P704" i="152" s="1"/>
  <c r="P703" i="152" s="1"/>
  <c r="P702" i="152" s="1"/>
  <c r="P701" i="152" s="1"/>
  <c r="P700" i="152" s="1"/>
  <c r="P699" i="152" s="1"/>
  <c r="P698" i="152" s="1"/>
  <c r="P697" i="152" s="1"/>
  <c r="P696" i="152" s="1"/>
  <c r="P695" i="152" s="1"/>
  <c r="P694" i="152" s="1"/>
  <c r="P693" i="152" s="1"/>
  <c r="P692" i="152" s="1"/>
  <c r="P691" i="152" s="1"/>
  <c r="P690" i="152" s="1"/>
  <c r="P689" i="152" s="1"/>
  <c r="P688" i="152" s="1"/>
  <c r="P687" i="152" s="1"/>
  <c r="P686" i="152" s="1"/>
  <c r="P685" i="152" s="1"/>
  <c r="P684" i="152" s="1"/>
  <c r="P683" i="152" s="1"/>
  <c r="P682" i="152" s="1"/>
  <c r="P681" i="152" s="1"/>
  <c r="P680" i="152" s="1"/>
  <c r="P679" i="152" s="1"/>
  <c r="P678" i="152" s="1"/>
  <c r="P677" i="152" s="1"/>
  <c r="P676" i="152" s="1"/>
  <c r="P675" i="152" s="1"/>
  <c r="P674" i="152" s="1"/>
  <c r="P673" i="152" s="1"/>
  <c r="P672" i="152" s="1"/>
  <c r="P671" i="152" s="1"/>
  <c r="P670" i="152" s="1"/>
  <c r="P669" i="152" s="1"/>
  <c r="P668" i="152" s="1"/>
  <c r="P667" i="152" s="1"/>
  <c r="P666" i="152" s="1"/>
  <c r="P665" i="152" s="1"/>
  <c r="P664" i="152" s="1"/>
  <c r="P663" i="152" s="1"/>
  <c r="P662" i="152" s="1"/>
  <c r="P661" i="152" s="1"/>
  <c r="P660" i="152" s="1"/>
  <c r="P659" i="152" s="1"/>
  <c r="P658" i="152" s="1"/>
  <c r="P657" i="152" s="1"/>
  <c r="P656" i="152" s="1"/>
  <c r="P655" i="152" s="1"/>
  <c r="P654" i="152" s="1"/>
  <c r="P653" i="152" s="1"/>
  <c r="P652" i="152" s="1"/>
  <c r="P651" i="152" s="1"/>
  <c r="P650" i="152" s="1"/>
  <c r="P649" i="152" s="1"/>
  <c r="P648" i="152" s="1"/>
  <c r="P647" i="152" s="1"/>
  <c r="P646" i="152" s="1"/>
  <c r="P645" i="152" s="1"/>
  <c r="P644" i="152" s="1"/>
  <c r="P643" i="152" s="1"/>
  <c r="P642" i="152" s="1"/>
  <c r="P641" i="152" s="1"/>
  <c r="P640" i="152" s="1"/>
  <c r="P639" i="152" s="1"/>
  <c r="P638" i="152" s="1"/>
  <c r="P637" i="152" s="1"/>
  <c r="P636" i="152" s="1"/>
  <c r="P635" i="152" s="1"/>
  <c r="P634" i="152" s="1"/>
  <c r="P633" i="152" s="1"/>
  <c r="P632" i="152" s="1"/>
  <c r="P631" i="152" s="1"/>
  <c r="P630" i="152" s="1"/>
  <c r="P629" i="152" s="1"/>
  <c r="P628" i="152" s="1"/>
  <c r="P627" i="152" s="1"/>
  <c r="P626" i="152" s="1"/>
  <c r="P625" i="152" s="1"/>
  <c r="P624" i="152" s="1"/>
  <c r="P623" i="152" s="1"/>
  <c r="P622" i="152" s="1"/>
  <c r="P621" i="152" s="1"/>
  <c r="P620" i="152" s="1"/>
  <c r="P619" i="152" s="1"/>
  <c r="P618" i="152" s="1"/>
  <c r="P617" i="152" s="1"/>
  <c r="P616" i="152" s="1"/>
  <c r="P615" i="152" s="1"/>
  <c r="P614" i="152" s="1"/>
  <c r="P613" i="152" s="1"/>
  <c r="P612" i="152" s="1"/>
  <c r="P611" i="152" s="1"/>
  <c r="P610" i="152" s="1"/>
  <c r="P609" i="152" s="1"/>
  <c r="P608" i="152" s="1"/>
  <c r="P607" i="152" s="1"/>
  <c r="P606" i="152" s="1"/>
  <c r="P605" i="152" s="1"/>
  <c r="P604" i="152" s="1"/>
  <c r="P603" i="152" s="1"/>
  <c r="P602" i="152" s="1"/>
  <c r="P601" i="152" s="1"/>
  <c r="P600" i="152" s="1"/>
  <c r="P599" i="152" s="1"/>
  <c r="P598" i="152" s="1"/>
  <c r="P597" i="152" s="1"/>
  <c r="P596" i="152" s="1"/>
  <c r="P595" i="152" s="1"/>
  <c r="P594" i="152" s="1"/>
  <c r="P593" i="152" s="1"/>
  <c r="P592" i="152" s="1"/>
  <c r="P591" i="152" s="1"/>
  <c r="P590" i="152" s="1"/>
  <c r="P589" i="152" s="1"/>
  <c r="P588" i="152" s="1"/>
  <c r="P587" i="152" s="1"/>
  <c r="P586" i="152" s="1"/>
  <c r="P585" i="152" s="1"/>
  <c r="P584" i="152" s="1"/>
  <c r="P583" i="152" s="1"/>
  <c r="P582" i="152" s="1"/>
  <c r="P581" i="152" s="1"/>
  <c r="P580" i="152" s="1"/>
  <c r="P579" i="152" s="1"/>
  <c r="P578" i="152" s="1"/>
  <c r="P577" i="152" s="1"/>
  <c r="P576" i="152" s="1"/>
  <c r="P575" i="152" s="1"/>
  <c r="P574" i="152" s="1"/>
  <c r="P573" i="152" s="1"/>
  <c r="P572" i="152" s="1"/>
  <c r="P571" i="152" s="1"/>
  <c r="P570" i="152" s="1"/>
  <c r="P569" i="152" s="1"/>
  <c r="P568" i="152" s="1"/>
  <c r="P567" i="152" s="1"/>
  <c r="P566" i="152" s="1"/>
  <c r="P565" i="152" s="1"/>
  <c r="P564" i="152" s="1"/>
  <c r="P563" i="152" s="1"/>
  <c r="P562" i="152" s="1"/>
  <c r="P561" i="152" s="1"/>
  <c r="P560" i="152" s="1"/>
  <c r="P559" i="152" s="1"/>
  <c r="P558" i="152" s="1"/>
  <c r="P557" i="152" s="1"/>
  <c r="P556" i="152" s="1"/>
  <c r="P555" i="152" s="1"/>
  <c r="P554" i="152" s="1"/>
  <c r="P553" i="152" s="1"/>
  <c r="P552" i="152" s="1"/>
  <c r="P551" i="152" s="1"/>
  <c r="P550" i="152" s="1"/>
  <c r="P549" i="152" s="1"/>
  <c r="P548" i="152" s="1"/>
  <c r="P547" i="152" s="1"/>
  <c r="P546" i="152" s="1"/>
  <c r="C66" i="152" l="1"/>
  <c r="C66" i="151"/>
  <c r="C66" i="156"/>
  <c r="O5" i="150" l="1"/>
  <c r="R5" i="150" s="1"/>
  <c r="C65" i="156"/>
  <c r="R4" i="156"/>
  <c r="Q4" i="156"/>
  <c r="P4" i="156"/>
  <c r="Q5" i="150" l="1"/>
  <c r="P5" i="150"/>
  <c r="O6" i="150"/>
  <c r="Q6" i="150" l="1"/>
  <c r="P6" i="150"/>
  <c r="O7" i="150"/>
  <c r="R6" i="150"/>
  <c r="C66" i="150"/>
  <c r="R7" i="150" l="1"/>
  <c r="O8" i="150"/>
  <c r="Q7" i="150"/>
  <c r="P7" i="150"/>
  <c r="Q8" i="150" l="1"/>
  <c r="P8" i="150"/>
  <c r="R8" i="150"/>
  <c r="O9" i="150"/>
  <c r="O10" i="150" l="1"/>
  <c r="C65" i="152"/>
  <c r="O11" i="150" l="1"/>
  <c r="R11" i="150" l="1"/>
  <c r="R10" i="150" s="1"/>
  <c r="R9" i="150" s="1"/>
  <c r="O12" i="150"/>
  <c r="P11" i="150"/>
  <c r="P10" i="150" s="1"/>
  <c r="P9" i="150" s="1"/>
  <c r="Q11" i="150"/>
  <c r="Q10" i="150" s="1"/>
  <c r="Q9" i="150" s="1"/>
  <c r="Q12" i="150" l="1"/>
  <c r="P12" i="150"/>
  <c r="O13" i="150"/>
  <c r="R12" i="150"/>
  <c r="P13" i="150" l="1"/>
  <c r="O14" i="150"/>
  <c r="R13" i="150"/>
  <c r="Q13" i="150"/>
  <c r="Q14" i="150" l="1"/>
  <c r="R14" i="150"/>
  <c r="P14" i="150"/>
  <c r="O15" i="150"/>
  <c r="R15" i="150" l="1"/>
  <c r="P15" i="150"/>
  <c r="O16" i="150"/>
  <c r="Q15" i="150"/>
  <c r="O17" i="150" l="1"/>
  <c r="O18" i="150" l="1"/>
  <c r="Q18" i="150" l="1"/>
  <c r="Q17" i="150" s="1"/>
  <c r="Q16" i="150" s="1"/>
  <c r="P18" i="150"/>
  <c r="P17" i="150" s="1"/>
  <c r="P16" i="150" s="1"/>
  <c r="O19" i="150"/>
  <c r="R18" i="150"/>
  <c r="R17" i="150" s="1"/>
  <c r="R16" i="150" s="1"/>
  <c r="R19" i="150" l="1"/>
  <c r="O20" i="150"/>
  <c r="Q19" i="150"/>
  <c r="P19" i="150"/>
  <c r="Q20" i="150" l="1"/>
  <c r="P20" i="150"/>
  <c r="O21" i="150"/>
  <c r="R20" i="150"/>
  <c r="R21" i="150" l="1"/>
  <c r="O22" i="150"/>
  <c r="Q21" i="150"/>
  <c r="P21" i="150"/>
  <c r="Q22" i="150" l="1"/>
  <c r="P22" i="150"/>
  <c r="O23" i="150"/>
  <c r="R22" i="150"/>
  <c r="O24" i="150" l="1"/>
  <c r="O25" i="150" l="1"/>
  <c r="O26" i="150" l="1"/>
  <c r="R25" i="150"/>
  <c r="R24" i="150" s="1"/>
  <c r="R23" i="150" s="1"/>
  <c r="Q25" i="150"/>
  <c r="Q24" i="150" s="1"/>
  <c r="Q23" i="150" s="1"/>
  <c r="P25" i="150"/>
  <c r="P24" i="150" s="1"/>
  <c r="P23" i="150" s="1"/>
  <c r="Q26" i="150" l="1"/>
  <c r="O27" i="150"/>
  <c r="P26" i="150"/>
  <c r="R26" i="150"/>
  <c r="R27" i="150" l="1"/>
  <c r="O28" i="150"/>
  <c r="Q27" i="150"/>
  <c r="P27" i="150"/>
  <c r="Q28" i="150" l="1"/>
  <c r="P28" i="150"/>
  <c r="O29" i="150"/>
  <c r="R28" i="150"/>
  <c r="R29" i="150" l="1"/>
  <c r="O30" i="150"/>
  <c r="Q29" i="150"/>
  <c r="P29" i="150"/>
  <c r="O31" i="150" l="1"/>
  <c r="O32" i="150" l="1"/>
  <c r="Q32" i="150" l="1"/>
  <c r="Q31" i="150" s="1"/>
  <c r="Q30" i="150" s="1"/>
  <c r="P32" i="150"/>
  <c r="P31" i="150" s="1"/>
  <c r="P30" i="150" s="1"/>
  <c r="O33" i="150"/>
  <c r="R32" i="150"/>
  <c r="R31" i="150" s="1"/>
  <c r="R30" i="150" s="1"/>
  <c r="O34" i="150" l="1"/>
  <c r="R33" i="150"/>
  <c r="Q33" i="150"/>
  <c r="P33" i="150"/>
  <c r="Q34" i="150" l="1"/>
  <c r="P34" i="150"/>
  <c r="O35" i="150"/>
  <c r="R34" i="150"/>
  <c r="R35" i="150" l="1"/>
  <c r="O36" i="150"/>
  <c r="Q35" i="150"/>
  <c r="P35" i="150"/>
  <c r="Q36" i="150" l="1"/>
  <c r="P36" i="150"/>
  <c r="O37" i="150"/>
  <c r="R36" i="150"/>
  <c r="O38" i="150" l="1"/>
  <c r="O39" i="150" l="1"/>
  <c r="O40" i="150" l="1"/>
  <c r="R39" i="150"/>
  <c r="R38" i="150" s="1"/>
  <c r="R37" i="150" s="1"/>
  <c r="Q39" i="150"/>
  <c r="Q38" i="150" s="1"/>
  <c r="Q37" i="150" s="1"/>
  <c r="P39" i="150"/>
  <c r="P38" i="150" s="1"/>
  <c r="P37" i="150" s="1"/>
  <c r="Q40" i="150" l="1"/>
  <c r="P40" i="150"/>
  <c r="O41" i="150"/>
  <c r="R40" i="150"/>
  <c r="O42" i="150" l="1"/>
  <c r="R41" i="150"/>
  <c r="Q41" i="150"/>
  <c r="P41" i="150"/>
  <c r="Q42" i="150" l="1"/>
  <c r="P42" i="150"/>
  <c r="O43" i="150"/>
  <c r="R42" i="150"/>
  <c r="R43" i="150" l="1"/>
  <c r="O44" i="150"/>
  <c r="Q43" i="150"/>
  <c r="P43" i="150"/>
  <c r="O45" i="150" l="1"/>
  <c r="O46" i="150" l="1"/>
  <c r="Q46" i="150" l="1"/>
  <c r="Q45" i="150" s="1"/>
  <c r="Q44" i="150" s="1"/>
  <c r="P46" i="150"/>
  <c r="P45" i="150" s="1"/>
  <c r="P44" i="150" s="1"/>
  <c r="O47" i="150"/>
  <c r="R46" i="150"/>
  <c r="R45" i="150" s="1"/>
  <c r="R44" i="150" s="1"/>
  <c r="O48" i="150" l="1"/>
  <c r="R47" i="150"/>
  <c r="Q47" i="150"/>
  <c r="P47" i="150"/>
  <c r="Q48" i="150" l="1"/>
  <c r="P48" i="150"/>
  <c r="O49" i="150"/>
  <c r="R48" i="150"/>
  <c r="O50" i="150" l="1"/>
  <c r="R49" i="150"/>
  <c r="Q49" i="150"/>
  <c r="P49" i="150"/>
  <c r="Q50" i="150" l="1"/>
  <c r="P50" i="150"/>
  <c r="O51" i="150"/>
  <c r="R50" i="150"/>
  <c r="O52" i="150" l="1"/>
  <c r="O53" i="150" l="1"/>
  <c r="O54" i="150" l="1"/>
  <c r="R53" i="150"/>
  <c r="R52" i="150" s="1"/>
  <c r="R51" i="150" s="1"/>
  <c r="Q53" i="150"/>
  <c r="Q52" i="150" s="1"/>
  <c r="Q51" i="150" s="1"/>
  <c r="P53" i="150"/>
  <c r="P52" i="150" s="1"/>
  <c r="P51" i="150" s="1"/>
  <c r="Q54" i="150" l="1"/>
  <c r="P54" i="150"/>
  <c r="O55" i="150"/>
  <c r="R54" i="150"/>
  <c r="O56" i="150" l="1"/>
  <c r="R55" i="150"/>
  <c r="Q55" i="150"/>
  <c r="P55" i="150"/>
  <c r="Q56" i="150" l="1"/>
  <c r="P56" i="150"/>
  <c r="O57" i="150"/>
  <c r="R56" i="150"/>
  <c r="O58" i="150" l="1"/>
  <c r="R57" i="150"/>
  <c r="Q57" i="150"/>
  <c r="P57" i="150"/>
  <c r="O59" i="150" l="1"/>
  <c r="O60" i="150" l="1"/>
  <c r="Q60" i="150" l="1"/>
  <c r="Q59" i="150" s="1"/>
  <c r="Q58" i="150" s="1"/>
  <c r="P60" i="150"/>
  <c r="P59" i="150" s="1"/>
  <c r="P58" i="150" s="1"/>
  <c r="O61" i="150"/>
  <c r="R60" i="150"/>
  <c r="R59" i="150" s="1"/>
  <c r="R58" i="150" s="1"/>
  <c r="O62" i="150" l="1"/>
  <c r="R61" i="150"/>
  <c r="Q61" i="150"/>
  <c r="P61" i="150"/>
  <c r="Q62" i="150" l="1"/>
  <c r="P62" i="150"/>
  <c r="O63" i="150"/>
  <c r="R62" i="150"/>
  <c r="O64" i="150" l="1"/>
  <c r="R63" i="150"/>
  <c r="Q63" i="150"/>
  <c r="P63" i="150"/>
  <c r="Q64" i="150" l="1"/>
  <c r="P64" i="150"/>
  <c r="O65" i="150"/>
  <c r="R64" i="150"/>
  <c r="O66" i="150" l="1"/>
  <c r="O67" i="150" l="1"/>
  <c r="R67" i="150" l="1"/>
  <c r="R66" i="150" s="1"/>
  <c r="R65" i="150" s="1"/>
  <c r="Q67" i="150"/>
  <c r="Q66" i="150" s="1"/>
  <c r="Q65" i="150" s="1"/>
  <c r="O68" i="150"/>
  <c r="P67" i="150"/>
  <c r="P66" i="150" s="1"/>
  <c r="P65" i="150" s="1"/>
  <c r="R68" i="150" l="1"/>
  <c r="O69" i="150"/>
  <c r="Q68" i="150"/>
  <c r="P68" i="150"/>
  <c r="R69" i="150" l="1"/>
  <c r="Q69" i="150"/>
  <c r="P69" i="150"/>
  <c r="O70" i="150"/>
  <c r="R70" i="150" l="1"/>
  <c r="O71" i="150"/>
  <c r="Q70" i="150"/>
  <c r="P70" i="150"/>
  <c r="R71" i="150" l="1"/>
  <c r="Q71" i="150"/>
  <c r="O72" i="150"/>
  <c r="P71" i="150"/>
  <c r="O73" i="150" l="1"/>
  <c r="O74" i="150" l="1"/>
  <c r="R74" i="150" l="1"/>
  <c r="R73" i="150" s="1"/>
  <c r="R72" i="150" s="1"/>
  <c r="O75" i="150"/>
  <c r="Q74" i="150"/>
  <c r="Q73" i="150" s="1"/>
  <c r="Q72" i="150" s="1"/>
  <c r="P74" i="150"/>
  <c r="P73" i="150" s="1"/>
  <c r="P72" i="150" s="1"/>
  <c r="R75" i="150" l="1"/>
  <c r="Q75" i="150"/>
  <c r="O76" i="150"/>
  <c r="P75" i="150"/>
  <c r="R76" i="150" l="1"/>
  <c r="O77" i="150"/>
  <c r="Q76" i="150"/>
  <c r="P76" i="150"/>
  <c r="R77" i="150" l="1"/>
  <c r="Q77" i="150"/>
  <c r="P77" i="150"/>
  <c r="O78" i="150"/>
  <c r="R78" i="150" l="1"/>
  <c r="O79" i="150"/>
  <c r="Q78" i="150"/>
  <c r="P78" i="150"/>
  <c r="O80" i="150" l="1"/>
  <c r="O81" i="150" l="1"/>
  <c r="R81" i="150" l="1"/>
  <c r="R80" i="150" s="1"/>
  <c r="R79" i="150" s="1"/>
  <c r="Q81" i="150"/>
  <c r="Q80" i="150" s="1"/>
  <c r="Q79" i="150" s="1"/>
  <c r="P81" i="150"/>
  <c r="P80" i="150" s="1"/>
  <c r="P79" i="150" s="1"/>
  <c r="O82" i="150"/>
  <c r="R82" i="150" l="1"/>
  <c r="O83" i="150"/>
  <c r="Q82" i="150"/>
  <c r="P82" i="150"/>
  <c r="R83" i="150" l="1"/>
  <c r="Q83" i="150"/>
  <c r="P83" i="150"/>
  <c r="O84" i="150"/>
  <c r="R84" i="150" l="1"/>
  <c r="O85" i="150"/>
  <c r="Q84" i="150"/>
  <c r="P84" i="150"/>
  <c r="R85" i="150" l="1"/>
  <c r="Q85" i="150"/>
  <c r="P85" i="150"/>
  <c r="O86" i="150"/>
  <c r="O87" i="150" l="1"/>
  <c r="O88" i="150" l="1"/>
  <c r="R88" i="150" l="1"/>
  <c r="R87" i="150" s="1"/>
  <c r="R86" i="150" s="1"/>
  <c r="O89" i="150"/>
  <c r="Q88" i="150"/>
  <c r="Q87" i="150" s="1"/>
  <c r="Q86" i="150" s="1"/>
  <c r="P88" i="150"/>
  <c r="P87" i="150" s="1"/>
  <c r="P86" i="150" s="1"/>
  <c r="R89" i="150" l="1"/>
  <c r="Q89" i="150"/>
  <c r="P89" i="150"/>
  <c r="O90" i="150"/>
  <c r="R90" i="150" l="1"/>
  <c r="O91" i="150"/>
  <c r="Q90" i="150"/>
  <c r="P90" i="150"/>
  <c r="R91" i="150" l="1"/>
  <c r="Q91" i="150"/>
  <c r="P91" i="150"/>
  <c r="O92" i="150"/>
  <c r="R92" i="150" l="1"/>
  <c r="O93" i="150"/>
  <c r="Q92" i="150"/>
  <c r="P92" i="150"/>
  <c r="O94" i="150" l="1"/>
  <c r="O95" i="150" l="1"/>
  <c r="R95" i="150" l="1"/>
  <c r="R94" i="150" s="1"/>
  <c r="R93" i="150" s="1"/>
  <c r="Q95" i="150"/>
  <c r="Q94" i="150" s="1"/>
  <c r="Q93" i="150" s="1"/>
  <c r="P95" i="150"/>
  <c r="P94" i="150" s="1"/>
  <c r="P93" i="150" s="1"/>
  <c r="O96" i="150"/>
  <c r="R96" i="150" l="1"/>
  <c r="O97" i="150"/>
  <c r="Q96" i="150"/>
  <c r="P96" i="150"/>
  <c r="R97" i="150" l="1"/>
  <c r="Q97" i="150"/>
  <c r="P97" i="150"/>
  <c r="O98" i="150"/>
  <c r="R98" i="150" l="1"/>
  <c r="O99" i="150"/>
  <c r="Q98" i="150"/>
  <c r="P98" i="150"/>
  <c r="R99" i="150" l="1"/>
  <c r="Q99" i="150"/>
  <c r="P99" i="150"/>
  <c r="O100" i="150"/>
  <c r="O101" i="150" l="1"/>
  <c r="O102" i="150" l="1"/>
  <c r="R102" i="150" l="1"/>
  <c r="R101" i="150" s="1"/>
  <c r="R100" i="150" s="1"/>
  <c r="O103" i="150"/>
  <c r="Q102" i="150"/>
  <c r="Q101" i="150" s="1"/>
  <c r="Q100" i="150" s="1"/>
  <c r="P102" i="150"/>
  <c r="P101" i="150" s="1"/>
  <c r="P100" i="150" s="1"/>
  <c r="R103" i="150" l="1"/>
  <c r="Q103" i="150"/>
  <c r="P103" i="150"/>
  <c r="O104" i="150"/>
  <c r="R104" i="150" l="1"/>
  <c r="O105" i="150"/>
  <c r="Q104" i="150"/>
  <c r="P104" i="150"/>
  <c r="R105" i="150" l="1"/>
  <c r="Q105" i="150"/>
  <c r="P105" i="150"/>
  <c r="O106" i="150"/>
  <c r="R106" i="150" l="1"/>
  <c r="O107" i="150"/>
  <c r="Q106" i="150"/>
  <c r="P106" i="150"/>
  <c r="O108" i="150" l="1"/>
  <c r="O109" i="150" l="1"/>
  <c r="R109" i="150" l="1"/>
  <c r="R108" i="150" s="1"/>
  <c r="R107" i="150" s="1"/>
  <c r="Q109" i="150"/>
  <c r="Q108" i="150" s="1"/>
  <c r="Q107" i="150" s="1"/>
  <c r="P109" i="150"/>
  <c r="P108" i="150" s="1"/>
  <c r="P107" i="150" s="1"/>
  <c r="O110" i="150"/>
  <c r="R110" i="150" l="1"/>
  <c r="O111" i="150"/>
  <c r="Q110" i="150"/>
  <c r="P110" i="150"/>
  <c r="R111" i="150" l="1"/>
  <c r="Q111" i="150"/>
  <c r="P111" i="150"/>
  <c r="O112" i="150"/>
  <c r="R112" i="150" l="1"/>
  <c r="O113" i="150"/>
  <c r="Q112" i="150"/>
  <c r="P112" i="150"/>
  <c r="R113" i="150" l="1"/>
  <c r="Q113" i="150"/>
  <c r="P113" i="150"/>
  <c r="O114" i="150"/>
  <c r="O115" i="150" l="1"/>
  <c r="O116" i="150" l="1"/>
  <c r="R116" i="150" l="1"/>
  <c r="R115" i="150" s="1"/>
  <c r="R114" i="150" s="1"/>
  <c r="O117" i="150"/>
  <c r="Q116" i="150"/>
  <c r="Q115" i="150" s="1"/>
  <c r="Q114" i="150" s="1"/>
  <c r="P116" i="150"/>
  <c r="P115" i="150" s="1"/>
  <c r="P114" i="150" s="1"/>
  <c r="R117" i="150" l="1"/>
  <c r="Q117" i="150"/>
  <c r="P117" i="150"/>
  <c r="O118" i="150"/>
  <c r="R118" i="150" l="1"/>
  <c r="O119" i="150"/>
  <c r="Q118" i="150"/>
  <c r="P118" i="150"/>
  <c r="R119" i="150" l="1"/>
  <c r="Q119" i="150"/>
  <c r="P119" i="150"/>
  <c r="O120" i="150"/>
  <c r="R120" i="150" l="1"/>
  <c r="Q120" i="150"/>
  <c r="O121" i="150"/>
  <c r="P120" i="150"/>
  <c r="O122" i="150" l="1"/>
  <c r="O123" i="150" l="1"/>
  <c r="R123" i="150" l="1"/>
  <c r="R122" i="150" s="1"/>
  <c r="R121" i="150" s="1"/>
  <c r="Q123" i="150"/>
  <c r="Q122" i="150" s="1"/>
  <c r="Q121" i="150" s="1"/>
  <c r="P123" i="150"/>
  <c r="P122" i="150" s="1"/>
  <c r="P121" i="150" s="1"/>
  <c r="O124" i="150"/>
  <c r="R124" i="150" l="1"/>
  <c r="Q124" i="150"/>
  <c r="P124" i="150"/>
  <c r="O125" i="150"/>
  <c r="R125" i="150" l="1"/>
  <c r="Q125" i="150"/>
  <c r="P125" i="150"/>
  <c r="O126" i="150"/>
  <c r="R126" i="150" l="1"/>
  <c r="Q126" i="150"/>
  <c r="P126" i="150"/>
  <c r="O127" i="150"/>
  <c r="R127" i="150" l="1"/>
  <c r="Q127" i="150"/>
  <c r="P127" i="150"/>
  <c r="O128" i="150"/>
  <c r="O129" i="150" l="1"/>
  <c r="O130" i="150" l="1"/>
  <c r="R130" i="150" l="1"/>
  <c r="R129" i="150" s="1"/>
  <c r="R128" i="150" s="1"/>
  <c r="Q130" i="150"/>
  <c r="Q129" i="150" s="1"/>
  <c r="Q128" i="150" s="1"/>
  <c r="P130" i="150"/>
  <c r="P129" i="150" s="1"/>
  <c r="P128" i="150" s="1"/>
  <c r="O131" i="150"/>
  <c r="R131" i="150" l="1"/>
  <c r="Q131" i="150"/>
  <c r="P131" i="150"/>
  <c r="O132" i="150"/>
  <c r="R132" i="150" l="1"/>
  <c r="Q132" i="150"/>
  <c r="P132" i="150"/>
  <c r="O133" i="150"/>
  <c r="R133" i="150" l="1"/>
  <c r="Q133" i="150"/>
  <c r="P133" i="150"/>
  <c r="O134" i="150"/>
  <c r="R134" i="150" l="1"/>
  <c r="Q134" i="150"/>
  <c r="P134" i="150"/>
  <c r="O135" i="150"/>
  <c r="O136" i="150" l="1"/>
  <c r="O137" i="150" l="1"/>
  <c r="R137" i="150" l="1"/>
  <c r="R136" i="150" s="1"/>
  <c r="R135" i="150" s="1"/>
  <c r="Q137" i="150"/>
  <c r="Q136" i="150" s="1"/>
  <c r="Q135" i="150" s="1"/>
  <c r="P137" i="150"/>
  <c r="P136" i="150" s="1"/>
  <c r="P135" i="150" s="1"/>
  <c r="O138" i="150"/>
  <c r="R138" i="150" l="1"/>
  <c r="Q138" i="150"/>
  <c r="P138" i="150"/>
  <c r="O139" i="150"/>
  <c r="R139" i="150" l="1"/>
  <c r="Q139" i="150"/>
  <c r="P139" i="150"/>
  <c r="O140" i="150"/>
  <c r="R140" i="150" l="1"/>
  <c r="Q140" i="150"/>
  <c r="P140" i="150"/>
  <c r="O141" i="150"/>
  <c r="R141" i="150" l="1"/>
  <c r="Q141" i="150"/>
  <c r="P141" i="150"/>
  <c r="O142" i="150"/>
  <c r="O143" i="150" l="1"/>
  <c r="O144" i="150" l="1"/>
  <c r="R144" i="150" l="1"/>
  <c r="R143" i="150" s="1"/>
  <c r="R142" i="150" s="1"/>
  <c r="Q144" i="150"/>
  <c r="Q143" i="150" s="1"/>
  <c r="Q142" i="150" s="1"/>
  <c r="P144" i="150"/>
  <c r="P143" i="150" s="1"/>
  <c r="P142" i="150" s="1"/>
  <c r="O145" i="150"/>
  <c r="R145" i="150" l="1"/>
  <c r="Q145" i="150"/>
  <c r="P145" i="150"/>
  <c r="O146" i="150"/>
  <c r="R146" i="150" l="1"/>
  <c r="Q146" i="150"/>
  <c r="P146" i="150"/>
  <c r="O147" i="150"/>
  <c r="R147" i="150" l="1"/>
  <c r="Q147" i="150"/>
  <c r="P147" i="150"/>
  <c r="O148" i="150"/>
  <c r="R148" i="150" l="1"/>
  <c r="Q148" i="150"/>
  <c r="P148" i="150"/>
  <c r="O149" i="150"/>
  <c r="O150" i="150" l="1"/>
  <c r="O151" i="150" l="1"/>
  <c r="R151" i="150" l="1"/>
  <c r="R150" i="150" s="1"/>
  <c r="R149" i="150" s="1"/>
  <c r="Q151" i="150"/>
  <c r="Q150" i="150" s="1"/>
  <c r="Q149" i="150" s="1"/>
  <c r="P151" i="150"/>
  <c r="P150" i="150" s="1"/>
  <c r="P149" i="150" s="1"/>
  <c r="O152" i="150"/>
  <c r="R152" i="150" l="1"/>
  <c r="Q152" i="150"/>
  <c r="P152" i="150"/>
  <c r="O153" i="150"/>
  <c r="R153" i="150" l="1"/>
  <c r="Q153" i="150"/>
  <c r="P153" i="150"/>
  <c r="O154" i="150"/>
  <c r="R154" i="150" l="1"/>
  <c r="Q154" i="150"/>
  <c r="P154" i="150"/>
  <c r="O155" i="150"/>
  <c r="R155" i="150" l="1"/>
  <c r="Q155" i="150"/>
  <c r="P155" i="150"/>
  <c r="O156" i="150"/>
  <c r="O157" i="150" l="1"/>
  <c r="O158" i="150" l="1"/>
  <c r="R158" i="150" l="1"/>
  <c r="R157" i="150" s="1"/>
  <c r="R156" i="150" s="1"/>
  <c r="Q158" i="150"/>
  <c r="Q157" i="150" s="1"/>
  <c r="Q156" i="150" s="1"/>
  <c r="P158" i="150"/>
  <c r="P157" i="150" s="1"/>
  <c r="P156" i="150" s="1"/>
  <c r="O159" i="150"/>
  <c r="R159" i="150" l="1"/>
  <c r="Q159" i="150"/>
  <c r="P159" i="150"/>
  <c r="O160" i="150"/>
  <c r="R160" i="150" l="1"/>
  <c r="Q160" i="150"/>
  <c r="P160" i="150"/>
  <c r="O161" i="150"/>
  <c r="R161" i="150" l="1"/>
  <c r="Q161" i="150"/>
  <c r="P161" i="150"/>
  <c r="O162" i="150"/>
  <c r="R162" i="150" l="1"/>
  <c r="Q162" i="150"/>
  <c r="P162" i="150"/>
  <c r="O163" i="150"/>
  <c r="O164" i="150" l="1"/>
  <c r="O165" i="150" l="1"/>
  <c r="R165" i="150" l="1"/>
  <c r="R164" i="150" s="1"/>
  <c r="R163" i="150" s="1"/>
  <c r="Q165" i="150"/>
  <c r="Q164" i="150" s="1"/>
  <c r="Q163" i="150" s="1"/>
  <c r="P165" i="150"/>
  <c r="P164" i="150" s="1"/>
  <c r="P163" i="150" s="1"/>
  <c r="O166" i="150"/>
  <c r="R166" i="150" l="1"/>
  <c r="Q166" i="150"/>
  <c r="P166" i="150"/>
  <c r="O167" i="150"/>
  <c r="R167" i="150" l="1"/>
  <c r="Q167" i="150"/>
  <c r="P167" i="150"/>
  <c r="O168" i="150"/>
  <c r="R168" i="150" l="1"/>
  <c r="Q168" i="150"/>
  <c r="P168" i="150"/>
  <c r="O169" i="150"/>
  <c r="R169" i="150" l="1"/>
  <c r="Q169" i="150"/>
  <c r="P169" i="150"/>
  <c r="O170" i="150"/>
  <c r="O171" i="150" l="1"/>
  <c r="O172" i="150" l="1"/>
  <c r="R172" i="150" l="1"/>
  <c r="R171" i="150" s="1"/>
  <c r="R170" i="150" s="1"/>
  <c r="Q172" i="150"/>
  <c r="Q171" i="150" s="1"/>
  <c r="Q170" i="150" s="1"/>
  <c r="P172" i="150"/>
  <c r="P171" i="150" s="1"/>
  <c r="P170" i="150" s="1"/>
  <c r="O173" i="150"/>
  <c r="R173" i="150" l="1"/>
  <c r="Q173" i="150"/>
  <c r="P173" i="150"/>
  <c r="O174" i="150"/>
  <c r="R174" i="150" l="1"/>
  <c r="Q174" i="150"/>
  <c r="P174" i="150"/>
  <c r="O175" i="150"/>
  <c r="R175" i="150" l="1"/>
  <c r="Q175" i="150"/>
  <c r="P175" i="150"/>
  <c r="O176" i="150"/>
  <c r="R176" i="150" l="1"/>
  <c r="Q176" i="150"/>
  <c r="P176" i="150"/>
  <c r="O177" i="150"/>
  <c r="O178" i="150" l="1"/>
  <c r="O179" i="150" l="1"/>
  <c r="R179" i="150" l="1"/>
  <c r="R178" i="150" s="1"/>
  <c r="R177" i="150" s="1"/>
  <c r="Q179" i="150"/>
  <c r="Q178" i="150" s="1"/>
  <c r="Q177" i="150" s="1"/>
  <c r="P179" i="150"/>
  <c r="P178" i="150" s="1"/>
  <c r="P177" i="150" s="1"/>
  <c r="O180" i="150"/>
  <c r="R180" i="150" l="1"/>
  <c r="Q180" i="150"/>
  <c r="P180" i="150"/>
  <c r="O181" i="150"/>
  <c r="R181" i="150" l="1"/>
  <c r="Q181" i="150"/>
  <c r="P181" i="150"/>
  <c r="O182" i="150"/>
  <c r="R182" i="150" l="1"/>
  <c r="Q182" i="150"/>
  <c r="P182" i="150"/>
  <c r="O183" i="150"/>
  <c r="R183" i="150" l="1"/>
  <c r="Q183" i="150"/>
  <c r="P183" i="150"/>
  <c r="O184" i="150"/>
  <c r="O185" i="150" l="1"/>
  <c r="O186" i="150" l="1"/>
  <c r="R186" i="150" l="1"/>
  <c r="R185" i="150" s="1"/>
  <c r="R184" i="150" s="1"/>
  <c r="Q186" i="150"/>
  <c r="Q185" i="150" s="1"/>
  <c r="Q184" i="150" s="1"/>
  <c r="P186" i="150"/>
  <c r="P185" i="150" s="1"/>
  <c r="P184" i="150" s="1"/>
  <c r="O187" i="150"/>
  <c r="R187" i="150" l="1"/>
  <c r="Q187" i="150"/>
  <c r="P187" i="150"/>
  <c r="O188" i="150"/>
  <c r="R188" i="150" l="1"/>
  <c r="Q188" i="150"/>
  <c r="P188" i="150"/>
  <c r="O189" i="150"/>
  <c r="R189" i="150" l="1"/>
  <c r="Q189" i="150"/>
  <c r="P189" i="150"/>
  <c r="O190" i="150"/>
  <c r="O191" i="150" l="1"/>
  <c r="R190" i="150"/>
  <c r="Q190" i="150"/>
  <c r="P190" i="150"/>
  <c r="O192" i="150" l="1"/>
  <c r="O193" i="150" l="1"/>
  <c r="O194" i="150" l="1"/>
  <c r="R193" i="150"/>
  <c r="R192" i="150" s="1"/>
  <c r="R191" i="150" s="1"/>
  <c r="Q193" i="150"/>
  <c r="Q192" i="150" s="1"/>
  <c r="Q191" i="150" s="1"/>
  <c r="P193" i="150"/>
  <c r="P192" i="150" s="1"/>
  <c r="P191" i="150" s="1"/>
  <c r="O195" i="150" l="1"/>
  <c r="R194" i="150"/>
  <c r="Q194" i="150"/>
  <c r="P194" i="150"/>
  <c r="O196" i="150" l="1"/>
  <c r="R195" i="150"/>
  <c r="Q195" i="150"/>
  <c r="P195" i="150"/>
  <c r="O197" i="150" l="1"/>
  <c r="R196" i="150"/>
  <c r="Q196" i="150"/>
  <c r="P196" i="150"/>
  <c r="O198" i="150" l="1"/>
  <c r="R197" i="150"/>
  <c r="Q197" i="150"/>
  <c r="P197" i="150"/>
  <c r="O199" i="150" l="1"/>
  <c r="O200" i="150" l="1"/>
  <c r="O201" i="150" l="1"/>
  <c r="R200" i="150"/>
  <c r="R199" i="150" s="1"/>
  <c r="R198" i="150" s="1"/>
  <c r="Q200" i="150"/>
  <c r="Q199" i="150" s="1"/>
  <c r="Q198" i="150" s="1"/>
  <c r="P200" i="150"/>
  <c r="P199" i="150" s="1"/>
  <c r="P198" i="150" s="1"/>
  <c r="O202" i="150" l="1"/>
  <c r="R201" i="150"/>
  <c r="Q201" i="150"/>
  <c r="P201" i="150"/>
  <c r="O203" i="150" l="1"/>
  <c r="R202" i="150"/>
  <c r="Q202" i="150"/>
  <c r="P202" i="150"/>
  <c r="O204" i="150" l="1"/>
  <c r="R203" i="150"/>
  <c r="Q203" i="150"/>
  <c r="P203" i="150"/>
  <c r="O205" i="150" l="1"/>
  <c r="R204" i="150"/>
  <c r="Q204" i="150"/>
  <c r="P204" i="150"/>
  <c r="O206" i="150" l="1"/>
  <c r="O207" i="150" l="1"/>
  <c r="O208" i="150" l="1"/>
  <c r="R207" i="150"/>
  <c r="R206" i="150" s="1"/>
  <c r="R205" i="150" s="1"/>
  <c r="Q207" i="150"/>
  <c r="Q206" i="150" s="1"/>
  <c r="Q205" i="150" s="1"/>
  <c r="P207" i="150"/>
  <c r="P206" i="150" s="1"/>
  <c r="P205" i="150" s="1"/>
  <c r="O209" i="150" l="1"/>
  <c r="R208" i="150"/>
  <c r="Q208" i="150"/>
  <c r="P208" i="150"/>
  <c r="O210" i="150" l="1"/>
  <c r="R209" i="150"/>
  <c r="Q209" i="150"/>
  <c r="P209" i="150"/>
  <c r="O211" i="150" l="1"/>
  <c r="R210" i="150"/>
  <c r="Q210" i="150"/>
  <c r="P210" i="150"/>
  <c r="O212" i="150" l="1"/>
  <c r="R211" i="150"/>
  <c r="Q211" i="150"/>
  <c r="P211" i="150"/>
  <c r="O213" i="150" l="1"/>
  <c r="O214" i="150" l="1"/>
  <c r="O215" i="150" l="1"/>
  <c r="R214" i="150"/>
  <c r="R213" i="150" s="1"/>
  <c r="R212" i="150" s="1"/>
  <c r="Q214" i="150"/>
  <c r="Q213" i="150" s="1"/>
  <c r="Q212" i="150" s="1"/>
  <c r="P214" i="150"/>
  <c r="P213" i="150" s="1"/>
  <c r="P212" i="150" s="1"/>
  <c r="O216" i="150" l="1"/>
  <c r="R215" i="150"/>
  <c r="Q215" i="150"/>
  <c r="P215" i="150"/>
  <c r="O217" i="150" l="1"/>
  <c r="R216" i="150"/>
  <c r="Q216" i="150"/>
  <c r="P216" i="150"/>
  <c r="O218" i="150" l="1"/>
  <c r="R217" i="150"/>
  <c r="Q217" i="150"/>
  <c r="P217" i="150"/>
  <c r="O219" i="150" l="1"/>
  <c r="R218" i="150"/>
  <c r="Q218" i="150"/>
  <c r="P218" i="150"/>
  <c r="O220" i="150" l="1"/>
  <c r="O221" i="150" l="1"/>
  <c r="O222" i="150" l="1"/>
  <c r="R221" i="150"/>
  <c r="R220" i="150" s="1"/>
  <c r="R219" i="150" s="1"/>
  <c r="Q221" i="150"/>
  <c r="Q220" i="150" s="1"/>
  <c r="Q219" i="150" s="1"/>
  <c r="P221" i="150"/>
  <c r="P220" i="150" s="1"/>
  <c r="P219" i="150" s="1"/>
  <c r="O223" i="150" l="1"/>
  <c r="R222" i="150"/>
  <c r="Q222" i="150"/>
  <c r="P222" i="150"/>
  <c r="O224" i="150" l="1"/>
  <c r="R223" i="150"/>
  <c r="Q223" i="150"/>
  <c r="P223" i="150"/>
  <c r="O225" i="150" l="1"/>
  <c r="R224" i="150"/>
  <c r="Q224" i="150"/>
  <c r="P224" i="150"/>
  <c r="P225" i="150" l="1"/>
  <c r="O226" i="150"/>
  <c r="R225" i="150"/>
  <c r="Q225" i="150"/>
  <c r="O227" i="150" l="1"/>
  <c r="O228" i="150" l="1"/>
  <c r="Q228" i="150" l="1"/>
  <c r="Q227" i="150" s="1"/>
  <c r="Q226" i="150" s="1"/>
  <c r="P228" i="150"/>
  <c r="P227" i="150" s="1"/>
  <c r="P226" i="150" s="1"/>
  <c r="O229" i="150"/>
  <c r="R228" i="150"/>
  <c r="R227" i="150" s="1"/>
  <c r="R226" i="150" s="1"/>
  <c r="P229" i="150" l="1"/>
  <c r="O230" i="150"/>
  <c r="R229" i="150"/>
  <c r="Q229" i="150"/>
  <c r="R230" i="150" l="1"/>
  <c r="Q230" i="150"/>
  <c r="P230" i="150"/>
  <c r="O231" i="150"/>
  <c r="Q231" i="150" l="1"/>
  <c r="P231" i="150"/>
  <c r="O232" i="150"/>
  <c r="R231" i="150"/>
  <c r="O233" i="150" l="1"/>
  <c r="R232" i="150"/>
  <c r="Q232" i="150"/>
  <c r="P232" i="150"/>
  <c r="O234" i="150" l="1"/>
  <c r="O235" i="150" l="1"/>
  <c r="Q235" i="150" l="1"/>
  <c r="Q234" i="150" s="1"/>
  <c r="Q233" i="150" s="1"/>
  <c r="P235" i="150"/>
  <c r="P234" i="150" s="1"/>
  <c r="P233" i="150" s="1"/>
  <c r="O236" i="150"/>
  <c r="R235" i="150"/>
  <c r="R234" i="150" s="1"/>
  <c r="R233" i="150" s="1"/>
  <c r="P236" i="150" l="1"/>
  <c r="O237" i="150"/>
  <c r="R236" i="150"/>
  <c r="Q236" i="150"/>
  <c r="Q237" i="150" l="1"/>
  <c r="P237" i="150"/>
  <c r="O238" i="150"/>
  <c r="R237" i="150"/>
  <c r="R238" i="150" l="1"/>
  <c r="Q238" i="150"/>
  <c r="P238" i="150"/>
  <c r="O239" i="150"/>
  <c r="Q239" i="150" l="1"/>
  <c r="P239" i="150"/>
  <c r="O240" i="150"/>
  <c r="R239" i="150"/>
  <c r="O241" i="150" l="1"/>
  <c r="O242" i="150" l="1"/>
  <c r="O243" i="150" l="1"/>
  <c r="R242" i="150"/>
  <c r="R241" i="150" s="1"/>
  <c r="R240" i="150" s="1"/>
  <c r="Q242" i="150"/>
  <c r="Q241" i="150" s="1"/>
  <c r="Q240" i="150" s="1"/>
  <c r="P242" i="150"/>
  <c r="P241" i="150" s="1"/>
  <c r="P240" i="150" s="1"/>
  <c r="Q243" i="150" l="1"/>
  <c r="P243" i="150"/>
  <c r="O244" i="150"/>
  <c r="R243" i="150"/>
  <c r="P244" i="150" l="1"/>
  <c r="O245" i="150"/>
  <c r="R244" i="150"/>
  <c r="Q244" i="150"/>
  <c r="Q245" i="150" l="1"/>
  <c r="P245" i="150"/>
  <c r="O246" i="150"/>
  <c r="R245" i="150"/>
  <c r="R246" i="150" l="1"/>
  <c r="Q246" i="150"/>
  <c r="P246" i="150"/>
  <c r="O247" i="150"/>
  <c r="O248" i="150" l="1"/>
  <c r="O249" i="150" l="1"/>
  <c r="Q249" i="150" l="1"/>
  <c r="Q248" i="150" s="1"/>
  <c r="Q247" i="150" s="1"/>
  <c r="P249" i="150"/>
  <c r="P248" i="150" s="1"/>
  <c r="P247" i="150" s="1"/>
  <c r="R249" i="150"/>
  <c r="R248" i="150" s="1"/>
  <c r="R247" i="150" s="1"/>
  <c r="O250" i="150"/>
  <c r="O251" i="150" l="1"/>
  <c r="R250" i="150"/>
  <c r="Q250" i="150"/>
  <c r="P250" i="150"/>
  <c r="Q251" i="150" l="1"/>
  <c r="P251" i="150"/>
  <c r="O252" i="150"/>
  <c r="R251" i="150"/>
  <c r="P252" i="150" l="1"/>
  <c r="O253" i="150"/>
  <c r="R252" i="150"/>
  <c r="Q252" i="150"/>
  <c r="Q253" i="150" l="1"/>
  <c r="P253" i="150"/>
  <c r="O254" i="150"/>
  <c r="R253" i="150"/>
  <c r="O255" i="150" l="1"/>
  <c r="O256" i="150" l="1"/>
  <c r="Q256" i="150" l="1"/>
  <c r="Q255" i="150" s="1"/>
  <c r="Q254" i="150" s="1"/>
  <c r="O257" i="150"/>
  <c r="R256" i="150"/>
  <c r="R255" i="150" s="1"/>
  <c r="R254" i="150" s="1"/>
  <c r="P256" i="150"/>
  <c r="P255" i="150" s="1"/>
  <c r="P254" i="150" s="1"/>
  <c r="Q257" i="150" l="1"/>
  <c r="P257" i="150"/>
  <c r="O258" i="150"/>
  <c r="R257" i="150"/>
  <c r="Q258" i="150" l="1"/>
  <c r="O259" i="150"/>
  <c r="R258" i="150"/>
  <c r="P258" i="150"/>
  <c r="Q259" i="150" l="1"/>
  <c r="P259" i="150"/>
  <c r="O260" i="150"/>
  <c r="R259" i="150"/>
  <c r="Q260" i="150" l="1"/>
  <c r="O261" i="150"/>
  <c r="R260" i="150"/>
  <c r="P260" i="150"/>
  <c r="O262" i="150" l="1"/>
  <c r="O263" i="150" l="1"/>
  <c r="Q263" i="150" l="1"/>
  <c r="Q262" i="150" s="1"/>
  <c r="Q261" i="150" s="1"/>
  <c r="P263" i="150"/>
  <c r="P262" i="150" s="1"/>
  <c r="P261" i="150" s="1"/>
  <c r="O264" i="150"/>
  <c r="R263" i="150"/>
  <c r="R262" i="150" s="1"/>
  <c r="R261" i="150" s="1"/>
  <c r="Q264" i="150" l="1"/>
  <c r="P264" i="150"/>
  <c r="O265" i="150"/>
  <c r="R264" i="150"/>
  <c r="Q265" i="150" l="1"/>
  <c r="P265" i="150"/>
  <c r="O266" i="150"/>
  <c r="R265" i="150"/>
  <c r="Q266" i="150" l="1"/>
  <c r="O267" i="150"/>
  <c r="R266" i="150"/>
  <c r="P266" i="150"/>
  <c r="Q267" i="150" l="1"/>
  <c r="P267" i="150"/>
  <c r="R267" i="150"/>
  <c r="O268" i="150"/>
  <c r="O269" i="150" l="1"/>
  <c r="O270" i="150" l="1"/>
  <c r="Q270" i="150" l="1"/>
  <c r="Q269" i="150" s="1"/>
  <c r="Q268" i="150" s="1"/>
  <c r="R270" i="150"/>
  <c r="R269" i="150" s="1"/>
  <c r="R268" i="150" s="1"/>
  <c r="P270" i="150"/>
  <c r="P269" i="150" s="1"/>
  <c r="P268" i="150" s="1"/>
  <c r="O271" i="150"/>
  <c r="Q271" i="150" l="1"/>
  <c r="P271" i="150"/>
  <c r="O272" i="150"/>
  <c r="R271" i="150"/>
  <c r="O273" i="150" l="1"/>
  <c r="Q272" i="150"/>
  <c r="R272" i="150"/>
  <c r="P272" i="150"/>
  <c r="Q273" i="150" l="1"/>
  <c r="P273" i="150"/>
  <c r="O274" i="150"/>
  <c r="R273" i="150"/>
  <c r="O275" i="150" l="1"/>
  <c r="Q274" i="150"/>
  <c r="P274" i="150"/>
  <c r="R274" i="150"/>
  <c r="O276" i="150" l="1"/>
  <c r="O277" i="150" l="1"/>
  <c r="Q277" i="150" l="1"/>
  <c r="Q276" i="150" s="1"/>
  <c r="Q275" i="150" s="1"/>
  <c r="P277" i="150"/>
  <c r="P276" i="150" s="1"/>
  <c r="P275" i="150" s="1"/>
  <c r="O278" i="150"/>
  <c r="R277" i="150"/>
  <c r="R276" i="150" s="1"/>
  <c r="R275" i="150" s="1"/>
  <c r="O279" i="150" l="1"/>
  <c r="Q278" i="150"/>
  <c r="P278" i="150"/>
  <c r="R278" i="150"/>
  <c r="Q279" i="150" l="1"/>
  <c r="P279" i="150"/>
  <c r="O280" i="150"/>
  <c r="R279" i="150"/>
  <c r="O281" i="150" l="1"/>
  <c r="Q280" i="150"/>
  <c r="R280" i="150"/>
  <c r="P280" i="150"/>
  <c r="Q281" i="150" l="1"/>
  <c r="P281" i="150"/>
  <c r="O282" i="150"/>
  <c r="R281" i="150"/>
  <c r="O283" i="150" l="1"/>
  <c r="O284" i="150" l="1"/>
  <c r="O285" i="150" l="1"/>
  <c r="Q284" i="150"/>
  <c r="Q283" i="150" s="1"/>
  <c r="Q282" i="150" s="1"/>
  <c r="P284" i="150"/>
  <c r="P283" i="150" s="1"/>
  <c r="P282" i="150" s="1"/>
  <c r="R284" i="150"/>
  <c r="R283" i="150" s="1"/>
  <c r="R282" i="150" s="1"/>
  <c r="Q285" i="150" l="1"/>
  <c r="P285" i="150"/>
  <c r="O286" i="150"/>
  <c r="R285" i="150"/>
  <c r="O287" i="150" l="1"/>
  <c r="Q286" i="150"/>
  <c r="P286" i="150"/>
  <c r="R286" i="150"/>
  <c r="Q287" i="150" l="1"/>
  <c r="P287" i="150"/>
  <c r="O288" i="150"/>
  <c r="R287" i="150"/>
  <c r="O289" i="150" l="1"/>
  <c r="Q288" i="150"/>
  <c r="P288" i="150"/>
  <c r="R288" i="150"/>
  <c r="O290" i="150" l="1"/>
  <c r="O291" i="150" l="1"/>
  <c r="Q291" i="150" l="1"/>
  <c r="Q290" i="150" s="1"/>
  <c r="Q289" i="150" s="1"/>
  <c r="P291" i="150"/>
  <c r="P290" i="150" s="1"/>
  <c r="P289" i="150" s="1"/>
  <c r="O292" i="150"/>
  <c r="R291" i="150"/>
  <c r="R290" i="150" s="1"/>
  <c r="R289" i="150" s="1"/>
  <c r="O293" i="150" l="1"/>
  <c r="Q292" i="150"/>
  <c r="P292" i="150"/>
  <c r="R292" i="150"/>
  <c r="Q293" i="150" l="1"/>
  <c r="P293" i="150"/>
  <c r="O294" i="150"/>
  <c r="R293" i="150"/>
  <c r="O295" i="150" l="1"/>
  <c r="Q294" i="150"/>
  <c r="P294" i="150"/>
  <c r="R294" i="150"/>
  <c r="Q295" i="150" l="1"/>
  <c r="P295" i="150"/>
  <c r="O296" i="150"/>
  <c r="R295" i="150"/>
  <c r="O297" i="150" l="1"/>
  <c r="O298" i="150" l="1"/>
  <c r="O299" i="150" l="1"/>
  <c r="Q298" i="150"/>
  <c r="Q297" i="150" s="1"/>
  <c r="Q296" i="150" s="1"/>
  <c r="P298" i="150"/>
  <c r="P297" i="150" s="1"/>
  <c r="P296" i="150" s="1"/>
  <c r="R298" i="150"/>
  <c r="R297" i="150" s="1"/>
  <c r="R296" i="150" s="1"/>
  <c r="Q299" i="150" l="1"/>
  <c r="P299" i="150"/>
  <c r="O300" i="150"/>
  <c r="R299" i="150"/>
  <c r="O301" i="150" l="1"/>
  <c r="Q300" i="150"/>
  <c r="P300" i="150"/>
  <c r="R300" i="150"/>
  <c r="Q301" i="150" l="1"/>
  <c r="P301" i="150"/>
  <c r="O302" i="150"/>
  <c r="R301" i="150"/>
  <c r="O303" i="150" l="1"/>
  <c r="Q302" i="150"/>
  <c r="P302" i="150"/>
  <c r="R302" i="150"/>
  <c r="O304" i="150" l="1"/>
  <c r="O305" i="150" l="1"/>
  <c r="Q305" i="150" l="1"/>
  <c r="Q304" i="150" s="1"/>
  <c r="Q303" i="150" s="1"/>
  <c r="P305" i="150"/>
  <c r="P304" i="150" s="1"/>
  <c r="P303" i="150" s="1"/>
  <c r="O306" i="150"/>
  <c r="R305" i="150"/>
  <c r="R304" i="150" s="1"/>
  <c r="R303" i="150" s="1"/>
  <c r="O307" i="150" l="1"/>
  <c r="Q306" i="150"/>
  <c r="P306" i="150"/>
  <c r="R306" i="150"/>
  <c r="Q307" i="150" l="1"/>
  <c r="P307" i="150"/>
  <c r="O308" i="150"/>
  <c r="R307" i="150"/>
  <c r="O309" i="150" l="1"/>
  <c r="Q308" i="150"/>
  <c r="P308" i="150"/>
  <c r="R308" i="150"/>
  <c r="Q309" i="150" l="1"/>
  <c r="P309" i="150"/>
  <c r="O310" i="150"/>
  <c r="R309" i="150"/>
  <c r="O311" i="150" l="1"/>
  <c r="O312" i="150" l="1"/>
  <c r="O313" i="150" l="1"/>
  <c r="Q312" i="150"/>
  <c r="Q311" i="150" s="1"/>
  <c r="Q310" i="150" s="1"/>
  <c r="P312" i="150"/>
  <c r="P311" i="150" s="1"/>
  <c r="P310" i="150" s="1"/>
  <c r="R312" i="150"/>
  <c r="R311" i="150" s="1"/>
  <c r="R310" i="150" s="1"/>
  <c r="Q313" i="150" l="1"/>
  <c r="P313" i="150"/>
  <c r="O314" i="150"/>
  <c r="R313" i="150"/>
  <c r="O315" i="150" l="1"/>
  <c r="Q314" i="150"/>
  <c r="P314" i="150"/>
  <c r="R314" i="150"/>
  <c r="Q315" i="150" l="1"/>
  <c r="P315" i="150"/>
  <c r="O316" i="150"/>
  <c r="R315" i="150"/>
  <c r="O317" i="150" l="1"/>
  <c r="Q316" i="150"/>
  <c r="P316" i="150"/>
  <c r="R316" i="150"/>
  <c r="O318" i="150" l="1"/>
  <c r="O319" i="150" l="1"/>
  <c r="Q319" i="150" l="1"/>
  <c r="Q318" i="150" s="1"/>
  <c r="Q317" i="150" s="1"/>
  <c r="P319" i="150"/>
  <c r="P318" i="150" s="1"/>
  <c r="P317" i="150" s="1"/>
  <c r="O320" i="150"/>
  <c r="R319" i="150"/>
  <c r="R318" i="150" s="1"/>
  <c r="R317" i="150" s="1"/>
  <c r="O321" i="150" l="1"/>
  <c r="Q320" i="150"/>
  <c r="P320" i="150"/>
  <c r="R320" i="150"/>
  <c r="Q321" i="150" l="1"/>
  <c r="P321" i="150"/>
  <c r="O322" i="150"/>
  <c r="R321" i="150"/>
  <c r="O323" i="150" l="1"/>
  <c r="Q322" i="150"/>
  <c r="P322" i="150"/>
  <c r="R322" i="150"/>
  <c r="Q323" i="150" l="1"/>
  <c r="P323" i="150"/>
  <c r="O324" i="150"/>
  <c r="R323" i="150"/>
  <c r="O325" i="150" l="1"/>
  <c r="O326" i="150" l="1"/>
  <c r="O327" i="150" l="1"/>
  <c r="Q326" i="150"/>
  <c r="Q325" i="150" s="1"/>
  <c r="Q324" i="150" s="1"/>
  <c r="P326" i="150"/>
  <c r="P325" i="150" s="1"/>
  <c r="P324" i="150" s="1"/>
  <c r="R326" i="150"/>
  <c r="R325" i="150" s="1"/>
  <c r="R324" i="150" s="1"/>
  <c r="Q327" i="150" l="1"/>
  <c r="P327" i="150"/>
  <c r="O328" i="150"/>
  <c r="R327" i="150"/>
  <c r="O329" i="150" l="1"/>
  <c r="Q328" i="150"/>
  <c r="P328" i="150"/>
  <c r="R328" i="150"/>
  <c r="Q329" i="150" l="1"/>
  <c r="P329" i="150"/>
  <c r="O330" i="150"/>
  <c r="R329" i="150"/>
  <c r="O331" i="150" l="1"/>
  <c r="Q330" i="150"/>
  <c r="P330" i="150"/>
  <c r="R330" i="150"/>
  <c r="O332" i="150" l="1"/>
  <c r="O333" i="150" l="1"/>
  <c r="Q333" i="150" l="1"/>
  <c r="Q332" i="150" s="1"/>
  <c r="Q331" i="150" s="1"/>
  <c r="P333" i="150"/>
  <c r="P332" i="150" s="1"/>
  <c r="P331" i="150" s="1"/>
  <c r="O334" i="150"/>
  <c r="R333" i="150"/>
  <c r="R332" i="150" s="1"/>
  <c r="R331" i="150" s="1"/>
  <c r="O335" i="150" l="1"/>
  <c r="Q334" i="150"/>
  <c r="P334" i="150"/>
  <c r="R334" i="150"/>
  <c r="Q335" i="150" l="1"/>
  <c r="P335" i="150"/>
  <c r="O336" i="150"/>
  <c r="R335" i="150"/>
  <c r="O337" i="150" l="1"/>
  <c r="Q336" i="150"/>
  <c r="P336" i="150"/>
  <c r="R336" i="150"/>
  <c r="Q337" i="150" l="1"/>
  <c r="P337" i="150"/>
  <c r="O338" i="150"/>
  <c r="R337" i="150"/>
  <c r="O339" i="150" l="1"/>
  <c r="O340" i="150" l="1"/>
  <c r="O341" i="150" l="1"/>
  <c r="Q340" i="150"/>
  <c r="Q339" i="150" s="1"/>
  <c r="Q338" i="150" s="1"/>
  <c r="P340" i="150"/>
  <c r="P339" i="150" s="1"/>
  <c r="P338" i="150" s="1"/>
  <c r="R340" i="150"/>
  <c r="R339" i="150" s="1"/>
  <c r="R338" i="150" s="1"/>
  <c r="Q341" i="150" l="1"/>
  <c r="P341" i="150"/>
  <c r="O342" i="150"/>
  <c r="R341" i="150"/>
  <c r="O343" i="150" l="1"/>
  <c r="Q342" i="150"/>
  <c r="P342" i="150"/>
  <c r="R342" i="150"/>
  <c r="Q343" i="150" l="1"/>
  <c r="P343" i="150"/>
  <c r="O344" i="150"/>
  <c r="R343" i="150"/>
  <c r="O345" i="150" l="1"/>
  <c r="Q344" i="150"/>
  <c r="P344" i="150"/>
  <c r="R344" i="150"/>
  <c r="O346" i="150" l="1"/>
  <c r="O347" i="150" l="1"/>
  <c r="Q347" i="150" l="1"/>
  <c r="Q346" i="150" s="1"/>
  <c r="Q345" i="150" s="1"/>
  <c r="P347" i="150"/>
  <c r="P346" i="150" s="1"/>
  <c r="P345" i="150" s="1"/>
  <c r="O348" i="150"/>
  <c r="R347" i="150"/>
  <c r="R346" i="150" s="1"/>
  <c r="R345" i="150" s="1"/>
  <c r="O349" i="150" l="1"/>
  <c r="Q348" i="150"/>
  <c r="P348" i="150"/>
  <c r="R348" i="150"/>
  <c r="Q349" i="150" l="1"/>
  <c r="P349" i="150"/>
  <c r="O350" i="150"/>
  <c r="R349" i="150"/>
  <c r="O351" i="150" l="1"/>
  <c r="Q350" i="150"/>
  <c r="P350" i="150"/>
  <c r="R350" i="150"/>
  <c r="Q351" i="150" l="1"/>
  <c r="P351" i="150"/>
  <c r="O352" i="150"/>
  <c r="R351" i="150"/>
  <c r="O353" i="150" l="1"/>
  <c r="O354" i="150" l="1"/>
  <c r="O355" i="150" l="1"/>
  <c r="Q354" i="150"/>
  <c r="Q353" i="150" s="1"/>
  <c r="Q352" i="150" s="1"/>
  <c r="P354" i="150"/>
  <c r="P353" i="150" s="1"/>
  <c r="P352" i="150" s="1"/>
  <c r="R354" i="150"/>
  <c r="R353" i="150" s="1"/>
  <c r="R352" i="150" s="1"/>
  <c r="Q355" i="150" l="1"/>
  <c r="P355" i="150"/>
  <c r="O356" i="150"/>
  <c r="R355" i="150"/>
  <c r="O357" i="150" l="1"/>
  <c r="Q356" i="150"/>
  <c r="P356" i="150"/>
  <c r="R356" i="150"/>
  <c r="Q357" i="150" l="1"/>
  <c r="P357" i="150"/>
  <c r="O358" i="150"/>
  <c r="R357" i="150"/>
  <c r="O359" i="150" l="1"/>
  <c r="Q358" i="150"/>
  <c r="P358" i="150"/>
  <c r="R358" i="150"/>
  <c r="O360" i="150" l="1"/>
  <c r="O361" i="150" l="1"/>
  <c r="Q361" i="150" l="1"/>
  <c r="Q360" i="150" s="1"/>
  <c r="Q359" i="150" s="1"/>
  <c r="P361" i="150"/>
  <c r="P360" i="150" s="1"/>
  <c r="P359" i="150" s="1"/>
  <c r="O362" i="150"/>
  <c r="R361" i="150"/>
  <c r="R360" i="150" s="1"/>
  <c r="R359" i="150" s="1"/>
  <c r="O363" i="150" l="1"/>
  <c r="Q362" i="150"/>
  <c r="P362" i="150"/>
  <c r="R362" i="150"/>
  <c r="Q363" i="150" l="1"/>
  <c r="P363" i="150"/>
  <c r="O364" i="150"/>
  <c r="R363" i="150"/>
  <c r="O365" i="150" l="1"/>
  <c r="Q364" i="150"/>
  <c r="P364" i="150"/>
  <c r="R364" i="150"/>
  <c r="R365" i="150" l="1"/>
  <c r="Q365" i="150"/>
  <c r="P365" i="150"/>
  <c r="O366" i="150"/>
  <c r="O367" i="150" l="1"/>
  <c r="O368" i="150" l="1"/>
  <c r="R368" i="150" l="1"/>
  <c r="R367" i="150" s="1"/>
  <c r="R366" i="150" s="1"/>
  <c r="Q368" i="150"/>
  <c r="Q367" i="150" s="1"/>
  <c r="Q366" i="150" s="1"/>
  <c r="P368" i="150"/>
  <c r="P367" i="150" s="1"/>
  <c r="P366" i="150" s="1"/>
  <c r="O369" i="150"/>
  <c r="R369" i="150" l="1"/>
  <c r="O370" i="150"/>
  <c r="Q369" i="150"/>
  <c r="P369" i="150"/>
  <c r="P370" i="150" l="1"/>
  <c r="O371" i="150"/>
  <c r="R370" i="150"/>
  <c r="Q370" i="150"/>
  <c r="R371" i="150" l="1"/>
  <c r="O372" i="150"/>
  <c r="Q371" i="150"/>
  <c r="P371" i="150"/>
  <c r="Q372" i="150" l="1"/>
  <c r="P372" i="150"/>
  <c r="O373" i="150"/>
  <c r="R372" i="150"/>
  <c r="O374" i="150" l="1"/>
  <c r="O375" i="150" l="1"/>
  <c r="R375" i="150" l="1"/>
  <c r="R374" i="150" s="1"/>
  <c r="R373" i="150" s="1"/>
  <c r="Q375" i="150"/>
  <c r="Q374" i="150" s="1"/>
  <c r="Q373" i="150" s="1"/>
  <c r="P375" i="150"/>
  <c r="P374" i="150" s="1"/>
  <c r="P373" i="150" s="1"/>
  <c r="O376" i="150"/>
  <c r="O377" i="150" l="1"/>
  <c r="R376" i="150"/>
  <c r="Q376" i="150"/>
  <c r="P376" i="150"/>
  <c r="R377" i="150" l="1"/>
  <c r="O378" i="150"/>
  <c r="Q377" i="150"/>
  <c r="P377" i="150"/>
  <c r="O379" i="150" l="1"/>
  <c r="R378" i="150"/>
  <c r="Q378" i="150"/>
  <c r="P378" i="150"/>
  <c r="R379" i="150" l="1"/>
  <c r="P379" i="150"/>
  <c r="O380" i="150"/>
  <c r="Q379" i="150"/>
  <c r="O381" i="150" l="1"/>
  <c r="O382" i="150" l="1"/>
  <c r="R382" i="150" l="1"/>
  <c r="R381" i="150" s="1"/>
  <c r="R380" i="150" s="1"/>
  <c r="Q382" i="150"/>
  <c r="Q381" i="150" s="1"/>
  <c r="Q380" i="150" s="1"/>
  <c r="P382" i="150"/>
  <c r="P381" i="150" s="1"/>
  <c r="P380" i="150" s="1"/>
  <c r="O383" i="150"/>
  <c r="O384" i="150" l="1"/>
  <c r="R383" i="150"/>
  <c r="Q383" i="150"/>
  <c r="P383" i="150"/>
  <c r="Q384" i="150" l="1"/>
  <c r="P384" i="150"/>
  <c r="O385" i="150"/>
  <c r="R384" i="150"/>
  <c r="O386" i="150" l="1"/>
  <c r="R385" i="150"/>
  <c r="P385" i="150"/>
  <c r="Q385" i="150"/>
  <c r="O387" i="150" l="1"/>
  <c r="R386" i="150"/>
  <c r="Q386" i="150"/>
  <c r="P386" i="150"/>
  <c r="O388" i="150" l="1"/>
  <c r="O389" i="150" l="1"/>
  <c r="O390" i="150" l="1"/>
  <c r="R389" i="150"/>
  <c r="R388" i="150" s="1"/>
  <c r="R387" i="150" s="1"/>
  <c r="Q389" i="150"/>
  <c r="Q388" i="150" s="1"/>
  <c r="Q387" i="150" s="1"/>
  <c r="P389" i="150"/>
  <c r="P388" i="150" s="1"/>
  <c r="P387" i="150" s="1"/>
  <c r="R390" i="150" l="1"/>
  <c r="Q390" i="150"/>
  <c r="P390" i="150"/>
  <c r="O391" i="150"/>
  <c r="O392" i="150" l="1"/>
  <c r="R391" i="150"/>
  <c r="Q391" i="150"/>
  <c r="P391" i="150"/>
  <c r="Q392" i="150" l="1"/>
  <c r="P392" i="150"/>
  <c r="O393" i="150"/>
  <c r="R392" i="150"/>
  <c r="O394" i="150" l="1"/>
  <c r="R393" i="150"/>
  <c r="P393" i="150"/>
  <c r="Q393" i="150"/>
  <c r="O395" i="150" l="1"/>
  <c r="O396" i="150" l="1"/>
  <c r="O397" i="150" l="1"/>
  <c r="R396" i="150"/>
  <c r="R395" i="150" s="1"/>
  <c r="R394" i="150" s="1"/>
  <c r="P396" i="150"/>
  <c r="P395" i="150" s="1"/>
  <c r="P394" i="150" s="1"/>
  <c r="Q396" i="150"/>
  <c r="Q395" i="150" s="1"/>
  <c r="Q394" i="150" s="1"/>
  <c r="O398" i="150" l="1"/>
  <c r="R397" i="150"/>
  <c r="Q397" i="150"/>
  <c r="P397" i="150"/>
  <c r="R398" i="150" l="1"/>
  <c r="Q398" i="150"/>
  <c r="P398" i="150"/>
  <c r="O399" i="150"/>
  <c r="O400" i="150" l="1"/>
  <c r="R399" i="150"/>
  <c r="Q399" i="150"/>
  <c r="P399" i="150"/>
  <c r="Q400" i="150" l="1"/>
  <c r="P400" i="150"/>
  <c r="O401" i="150"/>
  <c r="R400" i="150"/>
  <c r="O402" i="150" l="1"/>
  <c r="O403" i="150" l="1"/>
  <c r="O404" i="150" l="1"/>
  <c r="R403" i="150"/>
  <c r="R402" i="150" s="1"/>
  <c r="R401" i="150" s="1"/>
  <c r="Q403" i="150"/>
  <c r="Q402" i="150" s="1"/>
  <c r="Q401" i="150" s="1"/>
  <c r="P403" i="150"/>
  <c r="P402" i="150" s="1"/>
  <c r="P401" i="150" s="1"/>
  <c r="O405" i="150" l="1"/>
  <c r="R404" i="150"/>
  <c r="P404" i="150"/>
  <c r="Q404" i="150"/>
  <c r="O406" i="150" l="1"/>
  <c r="R405" i="150"/>
  <c r="Q405" i="150"/>
  <c r="P405" i="150"/>
  <c r="R406" i="150" l="1"/>
  <c r="Q406" i="150"/>
  <c r="P406" i="150"/>
  <c r="O407" i="150"/>
  <c r="O408" i="150" l="1"/>
  <c r="R407" i="150"/>
  <c r="Q407" i="150"/>
  <c r="P407" i="150"/>
  <c r="O409" i="150" l="1"/>
  <c r="O410" i="150" l="1"/>
  <c r="O411" i="150" l="1"/>
  <c r="R410" i="150"/>
  <c r="R409" i="150" s="1"/>
  <c r="R408" i="150" s="1"/>
  <c r="Q410" i="150"/>
  <c r="Q409" i="150" s="1"/>
  <c r="Q408" i="150" s="1"/>
  <c r="P410" i="150"/>
  <c r="P409" i="150" s="1"/>
  <c r="P408" i="150" s="1"/>
  <c r="O412" i="150" l="1"/>
  <c r="R411" i="150"/>
  <c r="Q411" i="150"/>
  <c r="P411" i="150"/>
  <c r="O413" i="150" l="1"/>
  <c r="R412" i="150"/>
  <c r="P412" i="150"/>
  <c r="Q412" i="150"/>
  <c r="O414" i="150" l="1"/>
  <c r="R413" i="150"/>
  <c r="Q413" i="150"/>
  <c r="P413" i="150"/>
  <c r="R414" i="150" l="1"/>
  <c r="Q414" i="150"/>
  <c r="P414" i="150"/>
  <c r="O415" i="150"/>
  <c r="O416" i="150" l="1"/>
  <c r="O417" i="150" l="1"/>
  <c r="O418" i="150" l="1"/>
  <c r="R417" i="150"/>
  <c r="R416" i="150" s="1"/>
  <c r="R415" i="150" s="1"/>
  <c r="P417" i="150"/>
  <c r="P416" i="150" s="1"/>
  <c r="P415" i="150" s="1"/>
  <c r="Q417" i="150"/>
  <c r="Q416" i="150" s="1"/>
  <c r="Q415" i="150" s="1"/>
  <c r="O419" i="150" l="1"/>
  <c r="R418" i="150"/>
  <c r="Q418" i="150"/>
  <c r="P418" i="150"/>
  <c r="O420" i="150" l="1"/>
  <c r="R419" i="150"/>
  <c r="Q419" i="150"/>
  <c r="P419" i="150"/>
  <c r="O421" i="150" l="1"/>
  <c r="R420" i="150"/>
  <c r="P420" i="150"/>
  <c r="Q420" i="150"/>
  <c r="O422" i="150" l="1"/>
  <c r="R421" i="150"/>
  <c r="Q421" i="150"/>
  <c r="P421" i="150"/>
  <c r="O423" i="150" l="1"/>
  <c r="O424" i="150" l="1"/>
  <c r="O425" i="150" l="1"/>
  <c r="R424" i="150"/>
  <c r="R423" i="150" s="1"/>
  <c r="R422" i="150" s="1"/>
  <c r="Q424" i="150"/>
  <c r="Q423" i="150" s="1"/>
  <c r="Q422" i="150" s="1"/>
  <c r="P424" i="150"/>
  <c r="P423" i="150" s="1"/>
  <c r="P422" i="150" s="1"/>
  <c r="O426" i="150" l="1"/>
  <c r="R425" i="150"/>
  <c r="Q425" i="150"/>
  <c r="P425" i="150"/>
  <c r="O427" i="150" l="1"/>
  <c r="R426" i="150"/>
  <c r="Q426" i="150"/>
  <c r="P426" i="150"/>
  <c r="O428" i="150" l="1"/>
  <c r="R427" i="150"/>
  <c r="Q427" i="150"/>
  <c r="P427" i="150"/>
  <c r="O429" i="150" l="1"/>
  <c r="R428" i="150"/>
  <c r="Q428" i="150"/>
  <c r="P428" i="150"/>
  <c r="O430" i="150" l="1"/>
  <c r="O431" i="150" l="1"/>
  <c r="O432" i="150" l="1"/>
  <c r="R431" i="150"/>
  <c r="R430" i="150" s="1"/>
  <c r="R429" i="150" s="1"/>
  <c r="Q431" i="150"/>
  <c r="Q430" i="150" s="1"/>
  <c r="Q429" i="150" s="1"/>
  <c r="P431" i="150"/>
  <c r="P430" i="150" s="1"/>
  <c r="P429" i="150" s="1"/>
  <c r="O433" i="150" l="1"/>
  <c r="R432" i="150"/>
  <c r="Q432" i="150"/>
  <c r="P432" i="150"/>
  <c r="O434" i="150" l="1"/>
  <c r="R433" i="150"/>
  <c r="Q433" i="150"/>
  <c r="P433" i="150"/>
  <c r="O435" i="150" l="1"/>
  <c r="R434" i="150"/>
  <c r="Q434" i="150"/>
  <c r="P434" i="150"/>
  <c r="O436" i="150" l="1"/>
  <c r="R435" i="150"/>
  <c r="Q435" i="150"/>
  <c r="P435" i="150"/>
  <c r="O437" i="150" l="1"/>
  <c r="O438" i="150" l="1"/>
  <c r="O439" i="150" l="1"/>
  <c r="R438" i="150"/>
  <c r="R437" i="150" s="1"/>
  <c r="R436" i="150" s="1"/>
  <c r="Q438" i="150"/>
  <c r="Q437" i="150" s="1"/>
  <c r="Q436" i="150" s="1"/>
  <c r="P438" i="150"/>
  <c r="P437" i="150" s="1"/>
  <c r="P436" i="150" s="1"/>
  <c r="O440" i="150" l="1"/>
  <c r="R439" i="150"/>
  <c r="Q439" i="150"/>
  <c r="P439" i="150"/>
  <c r="O441" i="150" l="1"/>
  <c r="R440" i="150"/>
  <c r="Q440" i="150"/>
  <c r="P440" i="150"/>
  <c r="O442" i="150" l="1"/>
  <c r="R441" i="150"/>
  <c r="Q441" i="150"/>
  <c r="P441" i="150"/>
  <c r="O443" i="150" l="1"/>
  <c r="R442" i="150"/>
  <c r="Q442" i="150"/>
  <c r="P442" i="150"/>
  <c r="O444" i="150" l="1"/>
  <c r="O445" i="150" l="1"/>
  <c r="O446" i="150" l="1"/>
  <c r="R445" i="150"/>
  <c r="R444" i="150" s="1"/>
  <c r="R443" i="150" s="1"/>
  <c r="Q445" i="150"/>
  <c r="Q444" i="150" s="1"/>
  <c r="Q443" i="150" s="1"/>
  <c r="P445" i="150"/>
  <c r="P444" i="150" s="1"/>
  <c r="P443" i="150" s="1"/>
  <c r="O447" i="150" l="1"/>
  <c r="R446" i="150"/>
  <c r="Q446" i="150"/>
  <c r="P446" i="150"/>
  <c r="O448" i="150" l="1"/>
  <c r="R447" i="150"/>
  <c r="Q447" i="150"/>
  <c r="P447" i="150"/>
  <c r="O449" i="150" l="1"/>
  <c r="R448" i="150"/>
  <c r="Q448" i="150"/>
  <c r="P448" i="150"/>
  <c r="O450" i="150" l="1"/>
  <c r="R449" i="150"/>
  <c r="Q449" i="150"/>
  <c r="P449" i="150"/>
  <c r="O451" i="150" l="1"/>
  <c r="O452" i="150" l="1"/>
  <c r="O453" i="150" l="1"/>
  <c r="R452" i="150"/>
  <c r="R451" i="150" s="1"/>
  <c r="R450" i="150" s="1"/>
  <c r="Q452" i="150"/>
  <c r="Q451" i="150" s="1"/>
  <c r="Q450" i="150" s="1"/>
  <c r="P452" i="150"/>
  <c r="P451" i="150" s="1"/>
  <c r="P450" i="150" s="1"/>
  <c r="O454" i="150" l="1"/>
  <c r="R453" i="150"/>
  <c r="Q453" i="150"/>
  <c r="P453" i="150"/>
  <c r="O455" i="150" l="1"/>
  <c r="R454" i="150"/>
  <c r="Q454" i="150"/>
  <c r="P454" i="150"/>
  <c r="O456" i="150" l="1"/>
  <c r="R455" i="150"/>
  <c r="Q455" i="150"/>
  <c r="P455" i="150"/>
  <c r="O457" i="150" l="1"/>
  <c r="R456" i="150"/>
  <c r="Q456" i="150"/>
  <c r="P456" i="150"/>
  <c r="O458" i="150" l="1"/>
  <c r="O459" i="150" l="1"/>
  <c r="O460" i="150" l="1"/>
  <c r="R459" i="150"/>
  <c r="R458" i="150" s="1"/>
  <c r="R457" i="150" s="1"/>
  <c r="Q459" i="150"/>
  <c r="Q458" i="150" s="1"/>
  <c r="Q457" i="150" s="1"/>
  <c r="P459" i="150"/>
  <c r="P458" i="150" s="1"/>
  <c r="P457" i="150" s="1"/>
  <c r="O461" i="150" l="1"/>
  <c r="R460" i="150"/>
  <c r="Q460" i="150"/>
  <c r="P460" i="150"/>
  <c r="O462" i="150" l="1"/>
  <c r="R461" i="150"/>
  <c r="Q461" i="150"/>
  <c r="P461" i="150"/>
  <c r="O463" i="150" l="1"/>
  <c r="R462" i="150"/>
  <c r="Q462" i="150"/>
  <c r="P462" i="150"/>
  <c r="O464" i="150" l="1"/>
  <c r="R463" i="150"/>
  <c r="Q463" i="150"/>
  <c r="P463" i="150"/>
  <c r="O465" i="150" l="1"/>
  <c r="O466" i="150" l="1"/>
  <c r="O467" i="150" l="1"/>
  <c r="R466" i="150"/>
  <c r="R465" i="150" s="1"/>
  <c r="R464" i="150" s="1"/>
  <c r="Q466" i="150"/>
  <c r="Q465" i="150" s="1"/>
  <c r="Q464" i="150" s="1"/>
  <c r="P466" i="150"/>
  <c r="P465" i="150" s="1"/>
  <c r="P464" i="150" s="1"/>
  <c r="O468" i="150" l="1"/>
  <c r="R467" i="150"/>
  <c r="Q467" i="150"/>
  <c r="P467" i="150"/>
  <c r="O469" i="150" l="1"/>
  <c r="R468" i="150"/>
  <c r="Q468" i="150"/>
  <c r="P468" i="150"/>
  <c r="O470" i="150" l="1"/>
  <c r="R469" i="150"/>
  <c r="Q469" i="150"/>
  <c r="P469" i="150"/>
  <c r="O471" i="150" l="1"/>
  <c r="R470" i="150"/>
  <c r="Q470" i="150"/>
  <c r="P470" i="150"/>
  <c r="O472" i="150" l="1"/>
  <c r="O473" i="150" l="1"/>
  <c r="O474" i="150" l="1"/>
  <c r="R473" i="150"/>
  <c r="R472" i="150" s="1"/>
  <c r="R471" i="150" s="1"/>
  <c r="Q473" i="150"/>
  <c r="Q472" i="150" s="1"/>
  <c r="Q471" i="150" s="1"/>
  <c r="P473" i="150"/>
  <c r="P472" i="150" s="1"/>
  <c r="P471" i="150" s="1"/>
  <c r="O475" i="150" l="1"/>
  <c r="R474" i="150"/>
  <c r="Q474" i="150"/>
  <c r="P474" i="150"/>
  <c r="O476" i="150" l="1"/>
  <c r="R475" i="150"/>
  <c r="Q475" i="150"/>
  <c r="P475" i="150"/>
  <c r="O477" i="150" l="1"/>
  <c r="R476" i="150"/>
  <c r="Q476" i="150"/>
  <c r="P476" i="150"/>
  <c r="O478" i="150" l="1"/>
  <c r="R477" i="150"/>
  <c r="Q477" i="150"/>
  <c r="P477" i="150"/>
  <c r="O479" i="150" l="1"/>
  <c r="O480" i="150" l="1"/>
  <c r="O481" i="150" l="1"/>
  <c r="R480" i="150"/>
  <c r="R479" i="150" s="1"/>
  <c r="R478" i="150" s="1"/>
  <c r="Q480" i="150"/>
  <c r="Q479" i="150" s="1"/>
  <c r="Q478" i="150" s="1"/>
  <c r="P480" i="150"/>
  <c r="P479" i="150" s="1"/>
  <c r="P478" i="150" s="1"/>
  <c r="O482" i="150" l="1"/>
  <c r="R481" i="150"/>
  <c r="Q481" i="150"/>
  <c r="P481" i="150"/>
  <c r="O483" i="150" l="1"/>
  <c r="R482" i="150"/>
  <c r="Q482" i="150"/>
  <c r="P482" i="150"/>
  <c r="O484" i="150" l="1"/>
  <c r="R483" i="150"/>
  <c r="Q483" i="150"/>
  <c r="P483" i="150"/>
  <c r="O485" i="150" l="1"/>
  <c r="R484" i="150"/>
  <c r="Q484" i="150"/>
  <c r="P484" i="150"/>
  <c r="O486" i="150" l="1"/>
  <c r="O487" i="150" l="1"/>
  <c r="O488" i="150" l="1"/>
  <c r="R487" i="150"/>
  <c r="R486" i="150" s="1"/>
  <c r="R485" i="150" s="1"/>
  <c r="Q487" i="150"/>
  <c r="Q486" i="150" s="1"/>
  <c r="Q485" i="150" s="1"/>
  <c r="P487" i="150"/>
  <c r="P486" i="150" s="1"/>
  <c r="P485" i="150" s="1"/>
  <c r="O489" i="150" l="1"/>
  <c r="R488" i="150"/>
  <c r="Q488" i="150"/>
  <c r="P488" i="150"/>
  <c r="O490" i="150" l="1"/>
  <c r="R489" i="150"/>
  <c r="Q489" i="150"/>
  <c r="P489" i="150"/>
  <c r="O491" i="150" l="1"/>
  <c r="R490" i="150"/>
  <c r="Q490" i="150"/>
  <c r="P490" i="150"/>
  <c r="O492" i="150" l="1"/>
  <c r="R491" i="150"/>
  <c r="Q491" i="150"/>
  <c r="P491" i="150"/>
  <c r="O493" i="150" l="1"/>
  <c r="O494" i="150" l="1"/>
  <c r="O495" i="150" l="1"/>
  <c r="R494" i="150"/>
  <c r="R493" i="150" s="1"/>
  <c r="R492" i="150" s="1"/>
  <c r="Q494" i="150"/>
  <c r="Q493" i="150" s="1"/>
  <c r="Q492" i="150" s="1"/>
  <c r="P494" i="150"/>
  <c r="P493" i="150" s="1"/>
  <c r="P492" i="150" s="1"/>
  <c r="O496" i="150" l="1"/>
  <c r="R495" i="150"/>
  <c r="Q495" i="150"/>
  <c r="P495" i="150"/>
  <c r="O497" i="150" l="1"/>
  <c r="R496" i="150"/>
  <c r="Q496" i="150"/>
  <c r="P496" i="150"/>
  <c r="O498" i="150" l="1"/>
  <c r="R497" i="150"/>
  <c r="Q497" i="150"/>
  <c r="P497" i="150"/>
  <c r="O499" i="150" l="1"/>
  <c r="R498" i="150"/>
  <c r="Q498" i="150"/>
  <c r="P498" i="150"/>
  <c r="O500" i="150" l="1"/>
  <c r="O501" i="150" l="1"/>
  <c r="O502" i="150" l="1"/>
  <c r="R501" i="150"/>
  <c r="R500" i="150" s="1"/>
  <c r="R499" i="150" s="1"/>
  <c r="P501" i="150"/>
  <c r="P500" i="150" s="1"/>
  <c r="P499" i="150" s="1"/>
  <c r="Q501" i="150"/>
  <c r="Q500" i="150" s="1"/>
  <c r="Q499" i="150" s="1"/>
  <c r="O503" i="150" l="1"/>
  <c r="R502" i="150"/>
  <c r="Q502" i="150"/>
  <c r="P502" i="150"/>
  <c r="O504" i="150" l="1"/>
  <c r="R503" i="150"/>
  <c r="Q503" i="150"/>
  <c r="P503" i="150"/>
  <c r="O505" i="150" l="1"/>
  <c r="Q504" i="150"/>
  <c r="P504" i="150"/>
  <c r="R504" i="150"/>
  <c r="O506" i="150" l="1"/>
  <c r="R505" i="150"/>
  <c r="Q505" i="150"/>
  <c r="P505" i="150"/>
  <c r="O507" i="150" l="1"/>
  <c r="O508" i="150" l="1"/>
  <c r="O509" i="150" l="1"/>
  <c r="R508" i="150"/>
  <c r="R507" i="150" s="1"/>
  <c r="R506" i="150" s="1"/>
  <c r="Q508" i="150"/>
  <c r="Q507" i="150" s="1"/>
  <c r="Q506" i="150" s="1"/>
  <c r="P508" i="150"/>
  <c r="P507" i="150" s="1"/>
  <c r="P506" i="150" s="1"/>
  <c r="O510" i="150" l="1"/>
  <c r="R509" i="150"/>
  <c r="Q509" i="150"/>
  <c r="P509" i="150"/>
  <c r="O511" i="150" l="1"/>
  <c r="R510" i="150"/>
  <c r="Q510" i="150"/>
  <c r="P510" i="150"/>
  <c r="O512" i="150" l="1"/>
  <c r="R511" i="150"/>
  <c r="Q511" i="150"/>
  <c r="P511" i="150"/>
  <c r="O513" i="150" l="1"/>
  <c r="R512" i="150"/>
  <c r="Q512" i="150"/>
  <c r="P512" i="150"/>
  <c r="O514" i="150" l="1"/>
  <c r="O515" i="150" l="1"/>
  <c r="O516" i="150" l="1"/>
  <c r="R515" i="150"/>
  <c r="R514" i="150" s="1"/>
  <c r="R513" i="150" s="1"/>
  <c r="Q515" i="150"/>
  <c r="Q514" i="150" s="1"/>
  <c r="Q513" i="150" s="1"/>
  <c r="P515" i="150"/>
  <c r="P514" i="150" s="1"/>
  <c r="P513" i="150" s="1"/>
  <c r="O517" i="150" l="1"/>
  <c r="R516" i="150"/>
  <c r="Q516" i="150"/>
  <c r="P516" i="150"/>
  <c r="O518" i="150" l="1"/>
  <c r="R517" i="150"/>
  <c r="Q517" i="150"/>
  <c r="P517" i="150"/>
  <c r="O519" i="150" l="1"/>
  <c r="R518" i="150"/>
  <c r="Q518" i="150"/>
  <c r="P518" i="150"/>
  <c r="O520" i="150" l="1"/>
  <c r="R519" i="150"/>
  <c r="Q519" i="150"/>
  <c r="P519" i="150"/>
  <c r="O521" i="150" l="1"/>
  <c r="O522" i="150" l="1"/>
  <c r="O523" i="150" l="1"/>
  <c r="R522" i="150"/>
  <c r="R521" i="150" s="1"/>
  <c r="R520" i="150" s="1"/>
  <c r="Q522" i="150"/>
  <c r="Q521" i="150" s="1"/>
  <c r="Q520" i="150" s="1"/>
  <c r="P522" i="150"/>
  <c r="P521" i="150" s="1"/>
  <c r="P520" i="150" s="1"/>
  <c r="O524" i="150" l="1"/>
  <c r="R523" i="150"/>
  <c r="Q523" i="150"/>
  <c r="P523" i="150"/>
  <c r="O525" i="150" l="1"/>
  <c r="R524" i="150"/>
  <c r="Q524" i="150"/>
  <c r="P524" i="150"/>
  <c r="O526" i="150" l="1"/>
  <c r="R525" i="150"/>
  <c r="Q525" i="150"/>
  <c r="P525" i="150"/>
  <c r="O527" i="150" l="1"/>
  <c r="Q526" i="150"/>
  <c r="P526" i="150"/>
  <c r="R526" i="150"/>
  <c r="O528" i="150" l="1"/>
  <c r="O529" i="150" l="1"/>
  <c r="O530" i="150" l="1"/>
  <c r="R529" i="150"/>
  <c r="R528" i="150" s="1"/>
  <c r="R527" i="150" s="1"/>
  <c r="Q529" i="150"/>
  <c r="Q528" i="150" s="1"/>
  <c r="Q527" i="150" s="1"/>
  <c r="P529" i="150"/>
  <c r="P528" i="150" s="1"/>
  <c r="P527" i="150" s="1"/>
  <c r="O531" i="150" l="1"/>
  <c r="Q530" i="150"/>
  <c r="R530" i="150"/>
  <c r="P530" i="150"/>
  <c r="O532" i="150" l="1"/>
  <c r="R531" i="150"/>
  <c r="Q531" i="150"/>
  <c r="P531" i="150"/>
  <c r="O533" i="150" l="1"/>
  <c r="Q532" i="150"/>
  <c r="R532" i="150"/>
  <c r="P532" i="150"/>
  <c r="O534" i="150" l="1"/>
  <c r="R533" i="150"/>
  <c r="Q533" i="150"/>
  <c r="P533" i="150"/>
  <c r="O535" i="150" l="1"/>
  <c r="O536" i="150" l="1"/>
  <c r="O537" i="150" l="1"/>
  <c r="Q536" i="150"/>
  <c r="Q535" i="150" s="1"/>
  <c r="Q534" i="150" s="1"/>
  <c r="R536" i="150"/>
  <c r="R535" i="150" s="1"/>
  <c r="R534" i="150" s="1"/>
  <c r="P536" i="150"/>
  <c r="P535" i="150" s="1"/>
  <c r="P534" i="150" s="1"/>
  <c r="O538" i="150" l="1"/>
  <c r="R537" i="150"/>
  <c r="Q537" i="150"/>
  <c r="P537" i="150"/>
  <c r="O539" i="150" l="1"/>
  <c r="Q538" i="150"/>
  <c r="R538" i="150"/>
  <c r="P538" i="150"/>
  <c r="O540" i="150" l="1"/>
  <c r="R539" i="150"/>
  <c r="Q539" i="150"/>
  <c r="P539" i="150"/>
  <c r="O541" i="150" l="1"/>
  <c r="Q540" i="150"/>
  <c r="R540" i="150"/>
  <c r="P540" i="150"/>
  <c r="O542" i="150" l="1"/>
  <c r="O543" i="150" l="1"/>
  <c r="O544" i="150" l="1"/>
  <c r="R543" i="150"/>
  <c r="R542" i="150" s="1"/>
  <c r="R541" i="150" s="1"/>
  <c r="Q543" i="150"/>
  <c r="Q542" i="150" s="1"/>
  <c r="Q541" i="150" s="1"/>
  <c r="P543" i="150"/>
  <c r="P542" i="150" s="1"/>
  <c r="P541" i="150" s="1"/>
  <c r="O545" i="150" l="1"/>
  <c r="R544" i="150"/>
  <c r="Q544" i="150"/>
  <c r="P544" i="150"/>
  <c r="O546" i="150" l="1"/>
  <c r="R545" i="150"/>
  <c r="Q545" i="150"/>
  <c r="P545" i="150"/>
  <c r="O547" i="150" l="1"/>
  <c r="R546" i="150"/>
  <c r="Q546" i="150"/>
  <c r="P546" i="150"/>
  <c r="O548" i="150" l="1"/>
  <c r="R547" i="150"/>
  <c r="Q547" i="150"/>
  <c r="P547" i="150"/>
  <c r="O549" i="150" l="1"/>
  <c r="O550" i="150" l="1"/>
  <c r="O551" i="150" l="1"/>
  <c r="R550" i="150"/>
  <c r="R549" i="150" s="1"/>
  <c r="R548" i="150" s="1"/>
  <c r="Q550" i="150"/>
  <c r="Q549" i="150" s="1"/>
  <c r="Q548" i="150" s="1"/>
  <c r="P550" i="150"/>
  <c r="P549" i="150" s="1"/>
  <c r="P548" i="150" s="1"/>
  <c r="O552" i="150" l="1"/>
  <c r="R551" i="150"/>
  <c r="Q551" i="150"/>
  <c r="P551" i="150"/>
  <c r="O553" i="150" l="1"/>
  <c r="R552" i="150"/>
  <c r="Q552" i="150"/>
  <c r="P552" i="150"/>
  <c r="O554" i="150" l="1"/>
  <c r="R553" i="150"/>
  <c r="Q553" i="150"/>
  <c r="P553" i="150"/>
  <c r="O555" i="150" l="1"/>
  <c r="R554" i="150"/>
  <c r="Q554" i="150"/>
  <c r="P554" i="150"/>
  <c r="O556" i="150" l="1"/>
  <c r="O557" i="150" l="1"/>
  <c r="O558" i="150" l="1"/>
  <c r="R557" i="150"/>
  <c r="R556" i="150" s="1"/>
  <c r="R555" i="150" s="1"/>
  <c r="Q557" i="150"/>
  <c r="Q556" i="150" s="1"/>
  <c r="Q555" i="150" s="1"/>
  <c r="P557" i="150"/>
  <c r="P556" i="150" s="1"/>
  <c r="P555" i="150" s="1"/>
  <c r="O559" i="150" l="1"/>
  <c r="R558" i="150"/>
  <c r="Q558" i="150"/>
  <c r="P558" i="150"/>
  <c r="O560" i="150" l="1"/>
  <c r="R559" i="150"/>
  <c r="Q559" i="150"/>
  <c r="P559" i="150"/>
  <c r="O561" i="150" l="1"/>
  <c r="R560" i="150"/>
  <c r="Q560" i="150"/>
  <c r="P560" i="150"/>
  <c r="O562" i="150" l="1"/>
  <c r="R561" i="150"/>
  <c r="Q561" i="150"/>
  <c r="P561" i="150"/>
  <c r="O563" i="150" l="1"/>
  <c r="O564" i="150" l="1"/>
  <c r="O565" i="150" l="1"/>
  <c r="O566" i="150" l="1"/>
  <c r="O567" i="150" l="1"/>
  <c r="O568" i="150" l="1"/>
  <c r="O569" i="150" l="1"/>
  <c r="O570" i="150" l="1"/>
  <c r="O571" i="150" l="1"/>
  <c r="O572" i="150" l="1"/>
  <c r="O573" i="150" l="1"/>
  <c r="O574" i="150" l="1"/>
  <c r="O575" i="150" l="1"/>
  <c r="O576" i="150" l="1"/>
  <c r="O577" i="150" l="1"/>
  <c r="O578" i="150" l="1"/>
  <c r="O579" i="150" l="1"/>
  <c r="O580" i="150" l="1"/>
  <c r="O581" i="150" l="1"/>
  <c r="O582" i="150" l="1"/>
  <c r="O583" i="150" l="1"/>
  <c r="O584" i="150" l="1"/>
  <c r="O585" i="150" l="1"/>
  <c r="O586" i="150" l="1"/>
  <c r="O587" i="150" l="1"/>
  <c r="O588" i="150" l="1"/>
  <c r="O589" i="150" l="1"/>
  <c r="O590" i="150" l="1"/>
  <c r="O591" i="150" l="1"/>
  <c r="O592" i="150" l="1"/>
  <c r="O593" i="150" l="1"/>
  <c r="O594" i="150" l="1"/>
  <c r="O595" i="150" l="1"/>
  <c r="O596" i="150" l="1"/>
  <c r="O597" i="150" l="1"/>
  <c r="O598" i="150" l="1"/>
  <c r="O599" i="150" l="1"/>
  <c r="O600" i="150" l="1"/>
  <c r="O601" i="150" l="1"/>
  <c r="O602" i="150" l="1"/>
  <c r="O603" i="150" l="1"/>
  <c r="O604" i="150" l="1"/>
  <c r="O605" i="150" l="1"/>
  <c r="O606" i="150" l="1"/>
  <c r="O607" i="150" l="1"/>
  <c r="O608" i="150" l="1"/>
  <c r="O609" i="150" l="1"/>
  <c r="O610" i="150" l="1"/>
  <c r="O611" i="150" l="1"/>
  <c r="O612" i="150" l="1"/>
  <c r="O613" i="150" l="1"/>
  <c r="O614" i="150" l="1"/>
  <c r="O615" i="150" l="1"/>
  <c r="O616" i="150" l="1"/>
  <c r="O617" i="150" l="1"/>
  <c r="O618" i="150" l="1"/>
  <c r="O619" i="150" l="1"/>
  <c r="O620" i="150" l="1"/>
  <c r="O621" i="150" l="1"/>
  <c r="O622" i="150" l="1"/>
  <c r="O623" i="150" l="1"/>
  <c r="O624" i="150" l="1"/>
  <c r="O625" i="150" l="1"/>
  <c r="O626" i="150" l="1"/>
  <c r="O627" i="150" l="1"/>
  <c r="O628" i="150" l="1"/>
  <c r="O629" i="150" l="1"/>
  <c r="O630" i="150" l="1"/>
  <c r="O631" i="150" l="1"/>
  <c r="O632" i="150" l="1"/>
  <c r="O633" i="150" l="1"/>
  <c r="O634" i="150" l="1"/>
  <c r="O635" i="150" l="1"/>
  <c r="O636" i="150" l="1"/>
  <c r="O637" i="150" l="1"/>
  <c r="O638" i="150" l="1"/>
  <c r="O639" i="150" l="1"/>
  <c r="O640" i="150" l="1"/>
  <c r="O641" i="150" l="1"/>
  <c r="O642" i="150" l="1"/>
  <c r="O643" i="150" l="1"/>
  <c r="O644" i="150" l="1"/>
  <c r="O645" i="150" l="1"/>
  <c r="O646" i="150" l="1"/>
  <c r="O647" i="150" l="1"/>
  <c r="O648" i="150" l="1"/>
  <c r="O649" i="150" l="1"/>
  <c r="O650" i="150" l="1"/>
  <c r="O651" i="150" l="1"/>
  <c r="O652" i="150" l="1"/>
  <c r="O653" i="150" l="1"/>
  <c r="O654" i="150" l="1"/>
  <c r="O655" i="150" l="1"/>
  <c r="O656" i="150" l="1"/>
  <c r="O657" i="150" l="1"/>
  <c r="O658" i="150" l="1"/>
  <c r="O659" i="150" l="1"/>
  <c r="O660" i="150" l="1"/>
  <c r="O661" i="150" l="1"/>
  <c r="O662" i="150" l="1"/>
  <c r="O663" i="150" l="1"/>
  <c r="O664" i="150" l="1"/>
  <c r="O665" i="150" l="1"/>
  <c r="O666" i="150" l="1"/>
  <c r="O667" i="150" l="1"/>
  <c r="O668" i="150" l="1"/>
  <c r="O669" i="150" l="1"/>
  <c r="O670" i="150" l="1"/>
  <c r="O671" i="150" l="1"/>
  <c r="O672" i="150" l="1"/>
  <c r="O673" i="150" l="1"/>
  <c r="O674" i="150" l="1"/>
  <c r="O675" i="150" l="1"/>
  <c r="O676" i="150" l="1"/>
  <c r="O677" i="150" l="1"/>
  <c r="O678" i="150" l="1"/>
  <c r="O679" i="150" l="1"/>
  <c r="O680" i="150" l="1"/>
  <c r="O681" i="150" l="1"/>
  <c r="O682" i="150" l="1"/>
  <c r="O683" i="150" l="1"/>
  <c r="O684" i="150" l="1"/>
  <c r="O685" i="150" l="1"/>
  <c r="O686" i="150" l="1"/>
  <c r="O687" i="150" l="1"/>
  <c r="O688" i="150" l="1"/>
  <c r="O689" i="150" l="1"/>
  <c r="O690" i="150" l="1"/>
  <c r="O691" i="150" l="1"/>
  <c r="O692" i="150" l="1"/>
  <c r="O693" i="150" l="1"/>
  <c r="O694" i="150" l="1"/>
  <c r="O695" i="150" l="1"/>
  <c r="O696" i="150" l="1"/>
  <c r="O697" i="150" l="1"/>
  <c r="O698" i="150" l="1"/>
  <c r="O699" i="150" l="1"/>
  <c r="O700" i="150" l="1"/>
  <c r="O701" i="150" l="1"/>
  <c r="O702" i="150" l="1"/>
  <c r="O703" i="150" l="1"/>
  <c r="O704" i="150" l="1"/>
  <c r="O705" i="150" l="1"/>
  <c r="O706" i="150" l="1"/>
  <c r="O707" i="150" l="1"/>
  <c r="O708" i="150" l="1"/>
  <c r="O709" i="150" l="1"/>
  <c r="O710" i="150" l="1"/>
  <c r="O711" i="150" l="1"/>
  <c r="O712" i="150" l="1"/>
  <c r="O713" i="150" l="1"/>
  <c r="O714" i="150" l="1"/>
  <c r="O715" i="150" l="1"/>
  <c r="O716" i="150" l="1"/>
  <c r="O717" i="150" l="1"/>
  <c r="O718" i="150" l="1"/>
  <c r="O719" i="150" l="1"/>
  <c r="O720" i="150" l="1"/>
  <c r="O721" i="150" l="1"/>
  <c r="O722" i="150" l="1"/>
  <c r="O723" i="150" l="1"/>
  <c r="O724" i="150" l="1"/>
  <c r="O725" i="150" l="1"/>
  <c r="O726" i="150" l="1"/>
  <c r="O727" i="150" l="1"/>
  <c r="O728" i="150" l="1"/>
  <c r="O729" i="150" l="1"/>
  <c r="O730" i="150" l="1"/>
  <c r="O731" i="150" l="1"/>
  <c r="O732" i="150" l="1"/>
  <c r="O733" i="150" l="1"/>
  <c r="O734" i="150" l="1"/>
  <c r="O735" i="150" l="1"/>
  <c r="O736" i="150" l="1"/>
  <c r="O737" i="150" l="1"/>
  <c r="O738" i="150" l="1"/>
  <c r="O739" i="150" l="1"/>
  <c r="O740" i="150" l="1"/>
  <c r="O741" i="150" l="1"/>
  <c r="O742" i="150" l="1"/>
  <c r="O743" i="150" l="1"/>
  <c r="O744" i="150" l="1"/>
  <c r="O745" i="150" l="1"/>
  <c r="O746" i="150" l="1"/>
  <c r="O747" i="150" l="1"/>
  <c r="O748" i="150" l="1"/>
  <c r="O749" i="150" l="1"/>
  <c r="O750" i="150" l="1"/>
  <c r="O751" i="150" l="1"/>
  <c r="O752" i="150" l="1"/>
  <c r="O753" i="150" l="1"/>
  <c r="O754" i="150" l="1"/>
  <c r="O755" i="150" l="1"/>
  <c r="O756" i="150" l="1"/>
  <c r="O757" i="150" l="1"/>
  <c r="O758" i="150" l="1"/>
  <c r="O759" i="150" l="1"/>
  <c r="O760" i="150" l="1"/>
  <c r="O761" i="150" l="1"/>
  <c r="O762" i="150" l="1"/>
  <c r="O763" i="150" l="1"/>
  <c r="O764" i="150" l="1"/>
  <c r="O765" i="150" l="1"/>
  <c r="O766" i="150" l="1"/>
  <c r="O767" i="150" l="1"/>
  <c r="O768" i="150" l="1"/>
  <c r="O769" i="150" l="1"/>
  <c r="O770" i="150" l="1"/>
  <c r="O771" i="150" l="1"/>
  <c r="O772" i="150" l="1"/>
  <c r="O773" i="150" l="1"/>
  <c r="O774" i="150" l="1"/>
  <c r="O775" i="150" l="1"/>
  <c r="O776" i="150" l="1"/>
  <c r="O777" i="150" l="1"/>
  <c r="O778" i="150" l="1"/>
  <c r="O779" i="150" l="1"/>
  <c r="Q779" i="150" l="1"/>
  <c r="Q778" i="150" s="1"/>
  <c r="Q777" i="150" s="1"/>
  <c r="Q776" i="150" s="1"/>
  <c r="Q775" i="150" s="1"/>
  <c r="Q774" i="150" s="1"/>
  <c r="Q773" i="150" s="1"/>
  <c r="Q772" i="150" s="1"/>
  <c r="Q771" i="150" s="1"/>
  <c r="Q770" i="150" s="1"/>
  <c r="Q769" i="150" s="1"/>
  <c r="Q768" i="150" s="1"/>
  <c r="Q767" i="150" s="1"/>
  <c r="Q766" i="150" s="1"/>
  <c r="Q765" i="150" s="1"/>
  <c r="Q764" i="150" s="1"/>
  <c r="Q763" i="150" s="1"/>
  <c r="Q762" i="150" s="1"/>
  <c r="Q761" i="150" s="1"/>
  <c r="Q760" i="150" s="1"/>
  <c r="Q759" i="150" s="1"/>
  <c r="Q758" i="150" s="1"/>
  <c r="Q757" i="150" s="1"/>
  <c r="Q756" i="150" s="1"/>
  <c r="Q755" i="150" s="1"/>
  <c r="Q754" i="150" s="1"/>
  <c r="Q753" i="150" s="1"/>
  <c r="Q752" i="150" s="1"/>
  <c r="Q751" i="150" s="1"/>
  <c r="Q750" i="150" s="1"/>
  <c r="Q749" i="150" s="1"/>
  <c r="Q748" i="150" s="1"/>
  <c r="Q747" i="150" s="1"/>
  <c r="Q746" i="150" s="1"/>
  <c r="Q745" i="150" s="1"/>
  <c r="Q744" i="150" s="1"/>
  <c r="Q743" i="150" s="1"/>
  <c r="Q742" i="150" s="1"/>
  <c r="Q741" i="150" s="1"/>
  <c r="Q740" i="150" s="1"/>
  <c r="Q739" i="150" s="1"/>
  <c r="Q738" i="150" s="1"/>
  <c r="Q737" i="150" s="1"/>
  <c r="Q736" i="150" s="1"/>
  <c r="Q735" i="150" s="1"/>
  <c r="Q734" i="150" s="1"/>
  <c r="Q733" i="150" s="1"/>
  <c r="Q732" i="150" s="1"/>
  <c r="Q731" i="150" s="1"/>
  <c r="Q730" i="150" s="1"/>
  <c r="Q729" i="150" s="1"/>
  <c r="Q728" i="150" s="1"/>
  <c r="Q727" i="150" s="1"/>
  <c r="Q726" i="150" s="1"/>
  <c r="Q725" i="150" s="1"/>
  <c r="Q724" i="150" s="1"/>
  <c r="Q723" i="150" s="1"/>
  <c r="Q722" i="150" s="1"/>
  <c r="Q721" i="150" s="1"/>
  <c r="Q720" i="150" s="1"/>
  <c r="Q719" i="150" s="1"/>
  <c r="Q718" i="150" s="1"/>
  <c r="Q717" i="150" s="1"/>
  <c r="Q716" i="150" s="1"/>
  <c r="Q715" i="150" s="1"/>
  <c r="Q714" i="150" s="1"/>
  <c r="Q713" i="150" s="1"/>
  <c r="Q712" i="150" s="1"/>
  <c r="Q711" i="150" s="1"/>
  <c r="Q710" i="150" s="1"/>
  <c r="Q709" i="150" s="1"/>
  <c r="Q708" i="150" s="1"/>
  <c r="Q707" i="150" s="1"/>
  <c r="Q706" i="150" s="1"/>
  <c r="Q705" i="150" s="1"/>
  <c r="Q704" i="150" s="1"/>
  <c r="Q703" i="150" s="1"/>
  <c r="Q702" i="150" s="1"/>
  <c r="Q701" i="150" s="1"/>
  <c r="Q700" i="150" s="1"/>
  <c r="Q699" i="150" s="1"/>
  <c r="Q698" i="150" s="1"/>
  <c r="Q697" i="150" s="1"/>
  <c r="Q696" i="150" s="1"/>
  <c r="Q695" i="150" s="1"/>
  <c r="Q694" i="150" s="1"/>
  <c r="Q693" i="150" s="1"/>
  <c r="Q692" i="150" s="1"/>
  <c r="Q691" i="150" s="1"/>
  <c r="Q690" i="150" s="1"/>
  <c r="Q689" i="150" s="1"/>
  <c r="Q688" i="150" s="1"/>
  <c r="Q687" i="150" s="1"/>
  <c r="Q686" i="150" s="1"/>
  <c r="Q685" i="150" s="1"/>
  <c r="Q684" i="150" s="1"/>
  <c r="Q683" i="150" s="1"/>
  <c r="Q682" i="150" s="1"/>
  <c r="Q681" i="150" s="1"/>
  <c r="Q680" i="150" s="1"/>
  <c r="Q679" i="150" s="1"/>
  <c r="Q678" i="150" s="1"/>
  <c r="Q677" i="150" s="1"/>
  <c r="Q676" i="150" s="1"/>
  <c r="Q675" i="150" s="1"/>
  <c r="Q674" i="150" s="1"/>
  <c r="Q673" i="150" s="1"/>
  <c r="Q672" i="150" s="1"/>
  <c r="Q671" i="150" s="1"/>
  <c r="Q670" i="150" s="1"/>
  <c r="Q669" i="150" s="1"/>
  <c r="Q668" i="150" s="1"/>
  <c r="Q667" i="150" s="1"/>
  <c r="Q666" i="150" s="1"/>
  <c r="Q665" i="150" s="1"/>
  <c r="Q664" i="150" s="1"/>
  <c r="Q663" i="150" s="1"/>
  <c r="Q662" i="150" s="1"/>
  <c r="Q661" i="150" s="1"/>
  <c r="Q660" i="150" s="1"/>
  <c r="Q659" i="150" s="1"/>
  <c r="Q658" i="150" s="1"/>
  <c r="Q657" i="150" s="1"/>
  <c r="Q656" i="150" s="1"/>
  <c r="Q655" i="150" s="1"/>
  <c r="Q654" i="150" s="1"/>
  <c r="Q653" i="150" s="1"/>
  <c r="Q652" i="150" s="1"/>
  <c r="Q651" i="150" s="1"/>
  <c r="Q650" i="150" s="1"/>
  <c r="Q649" i="150" s="1"/>
  <c r="Q648" i="150" s="1"/>
  <c r="Q647" i="150" s="1"/>
  <c r="Q646" i="150" s="1"/>
  <c r="Q645" i="150" s="1"/>
  <c r="Q644" i="150" s="1"/>
  <c r="Q643" i="150" s="1"/>
  <c r="Q642" i="150" s="1"/>
  <c r="Q641" i="150" s="1"/>
  <c r="Q640" i="150" s="1"/>
  <c r="Q639" i="150" s="1"/>
  <c r="Q638" i="150" s="1"/>
  <c r="Q637" i="150" s="1"/>
  <c r="Q636" i="150" s="1"/>
  <c r="Q635" i="150" s="1"/>
  <c r="Q634" i="150" s="1"/>
  <c r="Q633" i="150" s="1"/>
  <c r="Q632" i="150" s="1"/>
  <c r="Q631" i="150" s="1"/>
  <c r="Q630" i="150" s="1"/>
  <c r="Q629" i="150" s="1"/>
  <c r="Q628" i="150" s="1"/>
  <c r="Q627" i="150" s="1"/>
  <c r="Q626" i="150" s="1"/>
  <c r="Q625" i="150" s="1"/>
  <c r="Q624" i="150" s="1"/>
  <c r="Q623" i="150" s="1"/>
  <c r="Q622" i="150" s="1"/>
  <c r="Q621" i="150" s="1"/>
  <c r="Q620" i="150" s="1"/>
  <c r="Q619" i="150" s="1"/>
  <c r="Q618" i="150" s="1"/>
  <c r="Q617" i="150" s="1"/>
  <c r="Q616" i="150" s="1"/>
  <c r="Q615" i="150" s="1"/>
  <c r="Q614" i="150" s="1"/>
  <c r="Q613" i="150" s="1"/>
  <c r="Q612" i="150" s="1"/>
  <c r="Q611" i="150" s="1"/>
  <c r="Q610" i="150" s="1"/>
  <c r="Q609" i="150" s="1"/>
  <c r="Q608" i="150" s="1"/>
  <c r="Q607" i="150" s="1"/>
  <c r="Q606" i="150" s="1"/>
  <c r="Q605" i="150" s="1"/>
  <c r="Q604" i="150" s="1"/>
  <c r="Q603" i="150" s="1"/>
  <c r="Q602" i="150" s="1"/>
  <c r="Q601" i="150" s="1"/>
  <c r="Q600" i="150" s="1"/>
  <c r="Q599" i="150" s="1"/>
  <c r="Q598" i="150" s="1"/>
  <c r="Q597" i="150" s="1"/>
  <c r="Q596" i="150" s="1"/>
  <c r="Q595" i="150" s="1"/>
  <c r="Q594" i="150" s="1"/>
  <c r="Q593" i="150" s="1"/>
  <c r="Q592" i="150" s="1"/>
  <c r="Q591" i="150" s="1"/>
  <c r="Q590" i="150" s="1"/>
  <c r="Q589" i="150" s="1"/>
  <c r="Q588" i="150" s="1"/>
  <c r="Q587" i="150" s="1"/>
  <c r="Q586" i="150" s="1"/>
  <c r="Q585" i="150" s="1"/>
  <c r="Q584" i="150" s="1"/>
  <c r="Q583" i="150" s="1"/>
  <c r="Q582" i="150" s="1"/>
  <c r="Q581" i="150" s="1"/>
  <c r="Q580" i="150" s="1"/>
  <c r="Q579" i="150" s="1"/>
  <c r="Q578" i="150" s="1"/>
  <c r="Q577" i="150" s="1"/>
  <c r="Q576" i="150" s="1"/>
  <c r="Q575" i="150" s="1"/>
  <c r="Q574" i="150" s="1"/>
  <c r="Q573" i="150" s="1"/>
  <c r="Q572" i="150" s="1"/>
  <c r="Q571" i="150" s="1"/>
  <c r="Q570" i="150" s="1"/>
  <c r="Q569" i="150" s="1"/>
  <c r="Q568" i="150" s="1"/>
  <c r="Q567" i="150" s="1"/>
  <c r="Q566" i="150" s="1"/>
  <c r="Q565" i="150" s="1"/>
  <c r="Q564" i="150" s="1"/>
  <c r="Q563" i="150" s="1"/>
  <c r="Q562" i="150" s="1"/>
  <c r="P779" i="150"/>
  <c r="P778" i="150" s="1"/>
  <c r="P777" i="150" s="1"/>
  <c r="P776" i="150" s="1"/>
  <c r="P775" i="150" s="1"/>
  <c r="P774" i="150" s="1"/>
  <c r="P773" i="150" s="1"/>
  <c r="P772" i="150" s="1"/>
  <c r="P771" i="150" s="1"/>
  <c r="P770" i="150" s="1"/>
  <c r="P769" i="150" s="1"/>
  <c r="P768" i="150" s="1"/>
  <c r="P767" i="150" s="1"/>
  <c r="P766" i="150" s="1"/>
  <c r="P765" i="150" s="1"/>
  <c r="P764" i="150" s="1"/>
  <c r="P763" i="150" s="1"/>
  <c r="P762" i="150" s="1"/>
  <c r="P761" i="150" s="1"/>
  <c r="P760" i="150" s="1"/>
  <c r="P759" i="150" s="1"/>
  <c r="P758" i="150" s="1"/>
  <c r="P757" i="150" s="1"/>
  <c r="P756" i="150" s="1"/>
  <c r="P755" i="150" s="1"/>
  <c r="P754" i="150" s="1"/>
  <c r="P753" i="150" s="1"/>
  <c r="P752" i="150" s="1"/>
  <c r="P751" i="150" s="1"/>
  <c r="P750" i="150" s="1"/>
  <c r="P749" i="150" s="1"/>
  <c r="P748" i="150" s="1"/>
  <c r="P747" i="150" s="1"/>
  <c r="P746" i="150" s="1"/>
  <c r="P745" i="150" s="1"/>
  <c r="P744" i="150" s="1"/>
  <c r="P743" i="150" s="1"/>
  <c r="P742" i="150" s="1"/>
  <c r="P741" i="150" s="1"/>
  <c r="P740" i="150" s="1"/>
  <c r="P739" i="150" s="1"/>
  <c r="P738" i="150" s="1"/>
  <c r="P737" i="150" s="1"/>
  <c r="P736" i="150" s="1"/>
  <c r="P735" i="150" s="1"/>
  <c r="P734" i="150" s="1"/>
  <c r="P733" i="150" s="1"/>
  <c r="P732" i="150" s="1"/>
  <c r="P731" i="150" s="1"/>
  <c r="P730" i="150" s="1"/>
  <c r="P729" i="150" s="1"/>
  <c r="P728" i="150" s="1"/>
  <c r="P727" i="150" s="1"/>
  <c r="P726" i="150" s="1"/>
  <c r="P725" i="150" s="1"/>
  <c r="P724" i="150" s="1"/>
  <c r="P723" i="150" s="1"/>
  <c r="P722" i="150" s="1"/>
  <c r="P721" i="150" s="1"/>
  <c r="P720" i="150" s="1"/>
  <c r="P719" i="150" s="1"/>
  <c r="P718" i="150" s="1"/>
  <c r="P717" i="150" s="1"/>
  <c r="P716" i="150" s="1"/>
  <c r="P715" i="150" s="1"/>
  <c r="P714" i="150" s="1"/>
  <c r="P713" i="150" s="1"/>
  <c r="P712" i="150" s="1"/>
  <c r="P711" i="150" s="1"/>
  <c r="P710" i="150" s="1"/>
  <c r="P709" i="150" s="1"/>
  <c r="P708" i="150" s="1"/>
  <c r="P707" i="150" s="1"/>
  <c r="P706" i="150" s="1"/>
  <c r="P705" i="150" s="1"/>
  <c r="P704" i="150" s="1"/>
  <c r="P703" i="150" s="1"/>
  <c r="P702" i="150" s="1"/>
  <c r="P701" i="150" s="1"/>
  <c r="P700" i="150" s="1"/>
  <c r="P699" i="150" s="1"/>
  <c r="P698" i="150" s="1"/>
  <c r="P697" i="150" s="1"/>
  <c r="P696" i="150" s="1"/>
  <c r="P695" i="150" s="1"/>
  <c r="P694" i="150" s="1"/>
  <c r="P693" i="150" s="1"/>
  <c r="P692" i="150" s="1"/>
  <c r="P691" i="150" s="1"/>
  <c r="P690" i="150" s="1"/>
  <c r="P689" i="150" s="1"/>
  <c r="P688" i="150" s="1"/>
  <c r="P687" i="150" s="1"/>
  <c r="P686" i="150" s="1"/>
  <c r="P685" i="150" s="1"/>
  <c r="P684" i="150" s="1"/>
  <c r="P683" i="150" s="1"/>
  <c r="P682" i="150" s="1"/>
  <c r="P681" i="150" s="1"/>
  <c r="P680" i="150" s="1"/>
  <c r="P679" i="150" s="1"/>
  <c r="P678" i="150" s="1"/>
  <c r="P677" i="150" s="1"/>
  <c r="P676" i="150" s="1"/>
  <c r="P675" i="150" s="1"/>
  <c r="P674" i="150" s="1"/>
  <c r="P673" i="150" s="1"/>
  <c r="P672" i="150" s="1"/>
  <c r="P671" i="150" s="1"/>
  <c r="P670" i="150" s="1"/>
  <c r="P669" i="150" s="1"/>
  <c r="P668" i="150" s="1"/>
  <c r="P667" i="150" s="1"/>
  <c r="P666" i="150" s="1"/>
  <c r="P665" i="150" s="1"/>
  <c r="P664" i="150" s="1"/>
  <c r="P663" i="150" s="1"/>
  <c r="P662" i="150" s="1"/>
  <c r="P661" i="150" s="1"/>
  <c r="P660" i="150" s="1"/>
  <c r="P659" i="150" s="1"/>
  <c r="P658" i="150" s="1"/>
  <c r="P657" i="150" s="1"/>
  <c r="P656" i="150" s="1"/>
  <c r="P655" i="150" s="1"/>
  <c r="P654" i="150" s="1"/>
  <c r="P653" i="150" s="1"/>
  <c r="P652" i="150" s="1"/>
  <c r="P651" i="150" s="1"/>
  <c r="P650" i="150" s="1"/>
  <c r="P649" i="150" s="1"/>
  <c r="P648" i="150" s="1"/>
  <c r="P647" i="150" s="1"/>
  <c r="P646" i="150" s="1"/>
  <c r="P645" i="150" s="1"/>
  <c r="P644" i="150" s="1"/>
  <c r="P643" i="150" s="1"/>
  <c r="P642" i="150" s="1"/>
  <c r="P641" i="150" s="1"/>
  <c r="P640" i="150" s="1"/>
  <c r="P639" i="150" s="1"/>
  <c r="P638" i="150" s="1"/>
  <c r="P637" i="150" s="1"/>
  <c r="P636" i="150" s="1"/>
  <c r="P635" i="150" s="1"/>
  <c r="P634" i="150" s="1"/>
  <c r="P633" i="150" s="1"/>
  <c r="P632" i="150" s="1"/>
  <c r="P631" i="150" s="1"/>
  <c r="P630" i="150" s="1"/>
  <c r="P629" i="150" s="1"/>
  <c r="P628" i="150" s="1"/>
  <c r="P627" i="150" s="1"/>
  <c r="P626" i="150" s="1"/>
  <c r="P625" i="150" s="1"/>
  <c r="P624" i="150" s="1"/>
  <c r="P623" i="150" s="1"/>
  <c r="P622" i="150" s="1"/>
  <c r="P621" i="150" s="1"/>
  <c r="P620" i="150" s="1"/>
  <c r="P619" i="150" s="1"/>
  <c r="P618" i="150" s="1"/>
  <c r="P617" i="150" s="1"/>
  <c r="P616" i="150" s="1"/>
  <c r="P615" i="150" s="1"/>
  <c r="P614" i="150" s="1"/>
  <c r="P613" i="150" s="1"/>
  <c r="P612" i="150" s="1"/>
  <c r="P611" i="150" s="1"/>
  <c r="P610" i="150" s="1"/>
  <c r="P609" i="150" s="1"/>
  <c r="P608" i="150" s="1"/>
  <c r="P607" i="150" s="1"/>
  <c r="P606" i="150" s="1"/>
  <c r="P605" i="150" s="1"/>
  <c r="P604" i="150" s="1"/>
  <c r="P603" i="150" s="1"/>
  <c r="P602" i="150" s="1"/>
  <c r="P601" i="150" s="1"/>
  <c r="P600" i="150" s="1"/>
  <c r="P599" i="150" s="1"/>
  <c r="P598" i="150" s="1"/>
  <c r="P597" i="150" s="1"/>
  <c r="P596" i="150" s="1"/>
  <c r="P595" i="150" s="1"/>
  <c r="P594" i="150" s="1"/>
  <c r="P593" i="150" s="1"/>
  <c r="P592" i="150" s="1"/>
  <c r="P591" i="150" s="1"/>
  <c r="P590" i="150" s="1"/>
  <c r="P589" i="150" s="1"/>
  <c r="P588" i="150" s="1"/>
  <c r="P587" i="150" s="1"/>
  <c r="P586" i="150" s="1"/>
  <c r="P585" i="150" s="1"/>
  <c r="P584" i="150" s="1"/>
  <c r="P583" i="150" s="1"/>
  <c r="P582" i="150" s="1"/>
  <c r="P581" i="150" s="1"/>
  <c r="P580" i="150" s="1"/>
  <c r="P579" i="150" s="1"/>
  <c r="P578" i="150" s="1"/>
  <c r="P577" i="150" s="1"/>
  <c r="P576" i="150" s="1"/>
  <c r="P575" i="150" s="1"/>
  <c r="P574" i="150" s="1"/>
  <c r="P573" i="150" s="1"/>
  <c r="P572" i="150" s="1"/>
  <c r="P571" i="150" s="1"/>
  <c r="P570" i="150" s="1"/>
  <c r="P569" i="150" s="1"/>
  <c r="P568" i="150" s="1"/>
  <c r="P567" i="150" s="1"/>
  <c r="P566" i="150" s="1"/>
  <c r="P565" i="150" s="1"/>
  <c r="P564" i="150" s="1"/>
  <c r="P563" i="150" s="1"/>
  <c r="P562" i="150" s="1"/>
  <c r="R779" i="150"/>
  <c r="R778" i="150" s="1"/>
  <c r="R777" i="150" s="1"/>
  <c r="R776" i="150" s="1"/>
  <c r="R775" i="150" s="1"/>
  <c r="R774" i="150" s="1"/>
  <c r="R773" i="150" s="1"/>
  <c r="R772" i="150" s="1"/>
  <c r="R771" i="150" s="1"/>
  <c r="R770" i="150" s="1"/>
  <c r="R769" i="150" s="1"/>
  <c r="R768" i="150" s="1"/>
  <c r="R767" i="150" s="1"/>
  <c r="R766" i="150" s="1"/>
  <c r="R765" i="150" s="1"/>
  <c r="R764" i="150" s="1"/>
  <c r="R763" i="150" s="1"/>
  <c r="R762" i="150" s="1"/>
  <c r="R761" i="150" s="1"/>
  <c r="R760" i="150" s="1"/>
  <c r="R759" i="150" s="1"/>
  <c r="R758" i="150" s="1"/>
  <c r="R757" i="150" s="1"/>
  <c r="R756" i="150" s="1"/>
  <c r="R755" i="150" s="1"/>
  <c r="R754" i="150" s="1"/>
  <c r="R753" i="150" s="1"/>
  <c r="R752" i="150" s="1"/>
  <c r="R751" i="150" s="1"/>
  <c r="R750" i="150" s="1"/>
  <c r="R749" i="150" s="1"/>
  <c r="R748" i="150" s="1"/>
  <c r="R747" i="150" s="1"/>
  <c r="R746" i="150" s="1"/>
  <c r="R745" i="150" s="1"/>
  <c r="R744" i="150" s="1"/>
  <c r="R743" i="150" s="1"/>
  <c r="R742" i="150" s="1"/>
  <c r="R741" i="150" s="1"/>
  <c r="R740" i="150" s="1"/>
  <c r="R739" i="150" s="1"/>
  <c r="R738" i="150" s="1"/>
  <c r="R737" i="150" s="1"/>
  <c r="R736" i="150" s="1"/>
  <c r="R735" i="150" s="1"/>
  <c r="R734" i="150" s="1"/>
  <c r="R733" i="150" s="1"/>
  <c r="R732" i="150" s="1"/>
  <c r="R731" i="150" s="1"/>
  <c r="R730" i="150" s="1"/>
  <c r="R729" i="150" s="1"/>
  <c r="R728" i="150" s="1"/>
  <c r="R727" i="150" s="1"/>
  <c r="R726" i="150" s="1"/>
  <c r="R725" i="150" s="1"/>
  <c r="R724" i="150" s="1"/>
  <c r="R723" i="150" s="1"/>
  <c r="R722" i="150" s="1"/>
  <c r="R721" i="150" s="1"/>
  <c r="R720" i="150" s="1"/>
  <c r="R719" i="150" s="1"/>
  <c r="R718" i="150" s="1"/>
  <c r="R717" i="150" s="1"/>
  <c r="R716" i="150" s="1"/>
  <c r="R715" i="150" s="1"/>
  <c r="R714" i="150" s="1"/>
  <c r="R713" i="150" s="1"/>
  <c r="R712" i="150" s="1"/>
  <c r="R711" i="150" s="1"/>
  <c r="R710" i="150" s="1"/>
  <c r="R709" i="150" s="1"/>
  <c r="R708" i="150" s="1"/>
  <c r="R707" i="150" s="1"/>
  <c r="R706" i="150" s="1"/>
  <c r="R705" i="150" s="1"/>
  <c r="R704" i="150" s="1"/>
  <c r="R703" i="150" s="1"/>
  <c r="R702" i="150" s="1"/>
  <c r="R701" i="150" s="1"/>
  <c r="R700" i="150" s="1"/>
  <c r="R699" i="150" s="1"/>
  <c r="R698" i="150" s="1"/>
  <c r="R697" i="150" s="1"/>
  <c r="R696" i="150" s="1"/>
  <c r="R695" i="150" s="1"/>
  <c r="R694" i="150" s="1"/>
  <c r="R693" i="150" s="1"/>
  <c r="R692" i="150" s="1"/>
  <c r="R691" i="150" s="1"/>
  <c r="R690" i="150" s="1"/>
  <c r="R689" i="150" s="1"/>
  <c r="R688" i="150" s="1"/>
  <c r="R687" i="150" s="1"/>
  <c r="R686" i="150" s="1"/>
  <c r="R685" i="150" s="1"/>
  <c r="R684" i="150" s="1"/>
  <c r="R683" i="150" s="1"/>
  <c r="R682" i="150" s="1"/>
  <c r="R681" i="150" s="1"/>
  <c r="R680" i="150" s="1"/>
  <c r="R679" i="150" s="1"/>
  <c r="R678" i="150" s="1"/>
  <c r="R677" i="150" s="1"/>
  <c r="R676" i="150" s="1"/>
  <c r="R675" i="150" s="1"/>
  <c r="R674" i="150" s="1"/>
  <c r="R673" i="150" s="1"/>
  <c r="R672" i="150" s="1"/>
  <c r="R671" i="150" s="1"/>
  <c r="R670" i="150" s="1"/>
  <c r="R669" i="150" s="1"/>
  <c r="R668" i="150" s="1"/>
  <c r="R667" i="150" s="1"/>
  <c r="R666" i="150" s="1"/>
  <c r="R665" i="150" s="1"/>
  <c r="R664" i="150" s="1"/>
  <c r="R663" i="150" s="1"/>
  <c r="R662" i="150" s="1"/>
  <c r="R661" i="150" s="1"/>
  <c r="R660" i="150" s="1"/>
  <c r="R659" i="150" s="1"/>
  <c r="R658" i="150" s="1"/>
  <c r="R657" i="150" s="1"/>
  <c r="R656" i="150" s="1"/>
  <c r="R655" i="150" s="1"/>
  <c r="R654" i="150" s="1"/>
  <c r="R653" i="150" s="1"/>
  <c r="R652" i="150" s="1"/>
  <c r="R651" i="150" s="1"/>
  <c r="R650" i="150" s="1"/>
  <c r="R649" i="150" s="1"/>
  <c r="R648" i="150" s="1"/>
  <c r="R647" i="150" s="1"/>
  <c r="R646" i="150" s="1"/>
  <c r="R645" i="150" s="1"/>
  <c r="R644" i="150" s="1"/>
  <c r="R643" i="150" s="1"/>
  <c r="R642" i="150" s="1"/>
  <c r="R641" i="150" s="1"/>
  <c r="R640" i="150" s="1"/>
  <c r="R639" i="150" s="1"/>
  <c r="R638" i="150" s="1"/>
  <c r="R637" i="150" s="1"/>
  <c r="R636" i="150" s="1"/>
  <c r="R635" i="150" s="1"/>
  <c r="R634" i="150" s="1"/>
  <c r="R633" i="150" s="1"/>
  <c r="R632" i="150" s="1"/>
  <c r="R631" i="150" s="1"/>
  <c r="R630" i="150" s="1"/>
  <c r="R629" i="150" s="1"/>
  <c r="R628" i="150" s="1"/>
  <c r="R627" i="150" s="1"/>
  <c r="R626" i="150" s="1"/>
  <c r="R625" i="150" s="1"/>
  <c r="R624" i="150" s="1"/>
  <c r="R623" i="150" s="1"/>
  <c r="R622" i="150" s="1"/>
  <c r="R621" i="150" s="1"/>
  <c r="R620" i="150" s="1"/>
  <c r="R619" i="150" s="1"/>
  <c r="R618" i="150" s="1"/>
  <c r="R617" i="150" s="1"/>
  <c r="R616" i="150" s="1"/>
  <c r="R615" i="150" s="1"/>
  <c r="R614" i="150" s="1"/>
  <c r="R613" i="150" s="1"/>
  <c r="R612" i="150" s="1"/>
  <c r="R611" i="150" s="1"/>
  <c r="R610" i="150" s="1"/>
  <c r="R609" i="150" s="1"/>
  <c r="R608" i="150" s="1"/>
  <c r="R607" i="150" s="1"/>
  <c r="R606" i="150" s="1"/>
  <c r="R605" i="150" s="1"/>
  <c r="R604" i="150" s="1"/>
  <c r="R603" i="150" s="1"/>
  <c r="R602" i="150" s="1"/>
  <c r="R601" i="150" s="1"/>
  <c r="R600" i="150" s="1"/>
  <c r="R599" i="150" s="1"/>
  <c r="R598" i="150" s="1"/>
  <c r="R597" i="150" s="1"/>
  <c r="R596" i="150" s="1"/>
  <c r="R595" i="150" s="1"/>
  <c r="R594" i="150" s="1"/>
  <c r="R593" i="150" s="1"/>
  <c r="R592" i="150" s="1"/>
  <c r="R591" i="150" s="1"/>
  <c r="R590" i="150" s="1"/>
  <c r="R589" i="150" s="1"/>
  <c r="R588" i="150" s="1"/>
  <c r="R587" i="150" s="1"/>
  <c r="R586" i="150" s="1"/>
  <c r="R585" i="150" s="1"/>
  <c r="R584" i="150" s="1"/>
  <c r="R583" i="150" s="1"/>
  <c r="R582" i="150" s="1"/>
  <c r="R581" i="150" s="1"/>
  <c r="R580" i="150" s="1"/>
  <c r="R579" i="150" s="1"/>
  <c r="R578" i="150" s="1"/>
  <c r="R577" i="150" s="1"/>
  <c r="R576" i="150" s="1"/>
  <c r="R575" i="150" s="1"/>
  <c r="R574" i="150" s="1"/>
  <c r="R573" i="150" s="1"/>
  <c r="R572" i="150" s="1"/>
  <c r="R571" i="150" s="1"/>
  <c r="R570" i="150" s="1"/>
  <c r="R569" i="150" s="1"/>
  <c r="R568" i="150" s="1"/>
  <c r="R567" i="150" s="1"/>
  <c r="R566" i="150" s="1"/>
  <c r="R565" i="150" s="1"/>
  <c r="R564" i="150" s="1"/>
  <c r="R563" i="150" s="1"/>
  <c r="R562" i="150" s="1"/>
  <c r="C66" i="149" l="1"/>
  <c r="J52" i="149" l="1"/>
  <c r="J53" i="149" s="1"/>
  <c r="J54" i="149" s="1"/>
  <c r="J55" i="149" s="1"/>
  <c r="J56" i="149" s="1"/>
  <c r="J57" i="149" s="1"/>
  <c r="J58" i="149" s="1"/>
  <c r="J59" i="149" s="1"/>
  <c r="J60" i="149" s="1"/>
  <c r="J61" i="149" s="1"/>
  <c r="J62" i="149" s="1"/>
  <c r="J63" i="149" s="1"/>
  <c r="J64" i="149" s="1"/>
  <c r="J65" i="149" s="1"/>
  <c r="J66" i="149" s="1"/>
  <c r="J67" i="149" s="1"/>
  <c r="J68" i="149" s="1"/>
  <c r="J69" i="149" s="1"/>
  <c r="J70" i="149" s="1"/>
  <c r="J71" i="149" s="1"/>
  <c r="J72" i="149" s="1"/>
  <c r="J73" i="149" s="1"/>
  <c r="J74" i="149" s="1"/>
  <c r="J75" i="149" s="1"/>
  <c r="C65" i="151" l="1"/>
  <c r="C65" i="150"/>
  <c r="C65" i="149"/>
  <c r="C65" i="148"/>
  <c r="C65" i="144" l="1"/>
  <c r="C65" i="143"/>
</calcChain>
</file>

<file path=xl/sharedStrings.xml><?xml version="1.0" encoding="utf-8"?>
<sst xmlns="http://schemas.openxmlformats.org/spreadsheetml/2006/main" count="411" uniqueCount="146">
  <si>
    <t xml:space="preserve">X-Axis </t>
  </si>
  <si>
    <t>select graph (this is very important!)</t>
  </si>
  <si>
    <t>return to TOC</t>
  </si>
  <si>
    <t>X-axis label:</t>
  </si>
  <si>
    <t>Y-axis label:</t>
  </si>
  <si>
    <t>Use the text box below</t>
  </si>
  <si>
    <t>to add notes to charts/graphs</t>
  </si>
  <si>
    <t>Annotations</t>
  </si>
  <si>
    <t xml:space="preserve">Source: </t>
  </si>
  <si>
    <t xml:space="preserve">Use the arrow style </t>
  </si>
  <si>
    <t xml:space="preserve">below to point out </t>
  </si>
  <si>
    <t>any annotations</t>
  </si>
  <si>
    <t xml:space="preserve">To add text or arrows to graphs: </t>
  </si>
  <si>
    <t>Please don't edit or delete!</t>
  </si>
  <si>
    <t>Legend entries in row 4</t>
  </si>
  <si>
    <t>Report textbox and arrow</t>
  </si>
  <si>
    <t>Presentation textbox and arrow</t>
  </si>
  <si>
    <t>copy textbox/arrow</t>
  </si>
  <si>
    <t>paste textbox/arrow</t>
  </si>
  <si>
    <t>position it within graph</t>
  </si>
  <si>
    <t>X-axis label</t>
  </si>
  <si>
    <t>Notes:</t>
  </si>
  <si>
    <t>Formatting buttons:</t>
  </si>
  <si>
    <t>Insert graph title:</t>
  </si>
  <si>
    <t>If using the formatting buttons 
please select the chart first</t>
  </si>
  <si>
    <t>Add a Graphic ID if you need one:</t>
  </si>
  <si>
    <t>Max</t>
  </si>
  <si>
    <t>Min</t>
  </si>
  <si>
    <t>US dollars per short ton</t>
  </si>
  <si>
    <t>Arbitrage</t>
  </si>
  <si>
    <t>CAPP delivered to Europe via East Coast</t>
  </si>
  <si>
    <t>ILB</t>
  </si>
  <si>
    <t>CAPP</t>
  </si>
  <si>
    <t>IHS McCloskey NW Europe Marker</t>
  </si>
  <si>
    <t>CAPP delivered</t>
  </si>
  <si>
    <t>Colombian</t>
  </si>
  <si>
    <t>Colombian-CAPP arbitrage</t>
  </si>
  <si>
    <t>Europe-US Coal</t>
  </si>
  <si>
    <t>Gas-US Coal</t>
  </si>
  <si>
    <t>Correlation</t>
  </si>
  <si>
    <t>Hampton Roads Average Daily Loadings</t>
  </si>
  <si>
    <t>6mo Av</t>
  </si>
  <si>
    <t>6mo Av+SD</t>
  </si>
  <si>
    <t>Short tons</t>
  </si>
  <si>
    <r>
      <t xml:space="preserve">6MoAv </t>
    </r>
    <r>
      <rPr>
        <sz val="8"/>
        <color theme="1"/>
        <rFont val="Calibri"/>
        <family val="2"/>
      </rPr>
      <t>± 1SD</t>
    </r>
  </si>
  <si>
    <t>Financial forwards</t>
  </si>
  <si>
    <t>Hampton Roads: Average Daily Loadings</t>
  </si>
  <si>
    <t xml:space="preserve"> IHS Energy</t>
  </si>
  <si>
    <t>ILB delivered to Europe via NOLA (undiscounted)</t>
  </si>
  <si>
    <t>ILB delivered Europe</t>
  </si>
  <si>
    <t>IHS McCloskey Northwest Europe Marker</t>
  </si>
  <si>
    <t>Arb</t>
  </si>
  <si>
    <t>CAPP/ILB vs Colombian, delivered to Florida</t>
  </si>
  <si>
    <t>IHS Markit</t>
  </si>
  <si>
    <t>Coal and gas correlations (90-day)</t>
  </si>
  <si>
    <t>phx-header</t>
  </si>
  <si>
    <t>phx-subhead</t>
  </si>
  <si>
    <t>phx-col-head</t>
  </si>
  <si>
    <t>phx-col-head-last</t>
  </si>
  <si>
    <t>phx-HL-row</t>
  </si>
  <si>
    <t>phx-level1</t>
  </si>
  <si>
    <t>normal</t>
  </si>
  <si>
    <t>phx-level2</t>
  </si>
  <si>
    <t>phx-level3</t>
  </si>
  <si>
    <t>phx-level4</t>
  </si>
  <si>
    <t>phx-HL-cell</t>
  </si>
  <si>
    <t>phx-total-row</t>
  </si>
  <si>
    <t>phx-note</t>
  </si>
  <si>
    <t>phx-source</t>
  </si>
  <si>
    <r>
      <t>When you type content in to a cell in Excel, it will be aligned right (if numerical) or left (if alpha content) automatically. This behaviour matches IHS Markit rules for horizontal alignment in Excel, which is that, broadly, numbers should be right aligned, and words left aligned. However, Excel also allows explicit horizontal alignment to be applied to cell content via the Alignment section of the Home ribbon. These allow you to override the default alignment behaviour, which might be desired in some situations (see column headers section below), but can cause incorrect alignment in others</t>
    </r>
    <r>
      <rPr>
        <sz val="7"/>
        <color theme="1"/>
        <rFont val="Calibri"/>
        <family val="2"/>
      </rPr>
      <t>—</t>
    </r>
    <r>
      <rPr>
        <sz val="11"/>
        <color theme="1"/>
        <rFont val="Arial"/>
        <family val="2"/>
        <scheme val="minor"/>
      </rPr>
      <t>if for example, explicit left alignment is applied to numerical cell content. For most cases, Excel's default behavior will result in the correct alignment</t>
    </r>
    <r>
      <rPr>
        <sz val="7"/>
        <color theme="1"/>
        <rFont val="Calibri"/>
        <family val="2"/>
      </rPr>
      <t>—</t>
    </r>
    <r>
      <rPr>
        <sz val="11"/>
        <color theme="1"/>
        <rFont val="Arial"/>
        <family val="2"/>
        <scheme val="minor"/>
      </rPr>
      <t xml:space="preserve">except in the case of column head rows, which may need to have explicit alignment applied from the Ribbon. See below for details. </t>
    </r>
  </si>
  <si>
    <t>Numerical content</t>
  </si>
  <si>
    <r>
      <t xml:space="preserve">Cells with numerical content should be aligned right. Excel will align numerical content to the right by default. </t>
    </r>
    <r>
      <rPr>
        <b/>
        <i/>
        <sz val="7"/>
        <color theme="1"/>
        <rFont val="Arial"/>
        <family val="2"/>
      </rPr>
      <t>In the example cell to the right, you can see no explicit alignment has been applied to the cell in the Alignment menu on the ribbon, but because it is a number Excel automatically aligns to the right and this will be reflected in the Phoenix table.</t>
    </r>
    <r>
      <rPr>
        <sz val="11"/>
        <color theme="1"/>
        <rFont val="Arial"/>
        <family val="2"/>
        <scheme val="minor"/>
      </rPr>
      <t>There are situations where it might be appropriate to left-align numbers -- for example, if you are using numbers as row labels. Exceptions can be handled by selecting the desired alignment explicitly from the Home/Alignment ribbon.</t>
    </r>
  </si>
  <si>
    <t>Alpha content</t>
  </si>
  <si>
    <t>Cells with alpha content (words) should generally be aligned left. Excel will align alpha content to the left by default and this will be reflected in the Phoenix table. Exceptions can be handled by selecting the desired alignment explicitly from the Home/Alignment ribbon.</t>
  </si>
  <si>
    <t>Columns headers</t>
  </si>
  <si>
    <r>
      <t xml:space="preserve">Column headers are the only common exception to the above rules. Column headers should be aligned to match the content of the column below them. So if you have a column containing numbers with a column header that is word-based (for example 'Forecast' or similar), the column header should be right-aligned to match the number alignment -- if not, the header can look disassociated from the cell content. </t>
    </r>
    <r>
      <rPr>
        <u/>
        <sz val="7"/>
        <color theme="1"/>
        <rFont val="Arial"/>
        <family val="2"/>
      </rPr>
      <t>Excel will not do this automatically</t>
    </r>
    <r>
      <rPr>
        <sz val="11"/>
        <color theme="1"/>
        <rFont val="Arial"/>
        <family val="2"/>
        <scheme val="minor"/>
      </rPr>
      <t xml:space="preserve"> -- you will need to select the column header cell and select 'Align Right' from the Alignment menu on the Home Ribbon.</t>
    </r>
  </si>
  <si>
    <t>Format Type</t>
  </si>
  <si>
    <r>
      <t xml:space="preserve">Key Command </t>
    </r>
    <r>
      <rPr>
        <sz val="11"/>
        <color theme="1"/>
        <rFont val="Arial"/>
        <family val="2"/>
      </rPr>
      <t>(control+alt+)</t>
    </r>
  </si>
  <si>
    <t>Style</t>
  </si>
  <si>
    <t>Remarks</t>
  </si>
  <si>
    <r>
      <rPr>
        <b/>
        <u/>
        <sz val="11"/>
        <color theme="1"/>
        <rFont val="Arial"/>
        <family val="2"/>
      </rPr>
      <t>T</t>
    </r>
    <r>
      <rPr>
        <sz val="11"/>
        <color theme="1"/>
        <rFont val="Arial"/>
        <family val="2"/>
      </rPr>
      <t>able title</t>
    </r>
  </si>
  <si>
    <t>t</t>
  </si>
  <si>
    <t>Phx-header</t>
  </si>
  <si>
    <t>Macro applies style</t>
  </si>
  <si>
    <r>
      <t>Table sub title</t>
    </r>
    <r>
      <rPr>
        <b/>
        <u/>
        <sz val="11"/>
        <color theme="1"/>
        <rFont val="Arial"/>
        <family val="2"/>
      </rPr>
      <t/>
    </r>
  </si>
  <si>
    <t>w</t>
  </si>
  <si>
    <t>Phx-subhead</t>
  </si>
  <si>
    <r>
      <t xml:space="preserve">Table column </t>
    </r>
    <r>
      <rPr>
        <b/>
        <u/>
        <sz val="11"/>
        <color theme="1"/>
        <rFont val="Arial"/>
        <family val="2"/>
      </rPr>
      <t>H</t>
    </r>
    <r>
      <rPr>
        <sz val="11"/>
        <color theme="1"/>
        <rFont val="Arial"/>
        <family val="2"/>
      </rPr>
      <t>ead</t>
    </r>
  </si>
  <si>
    <t>h</t>
  </si>
  <si>
    <t>Table column Head Last Line</t>
  </si>
  <si>
    <t>p</t>
  </si>
  <si>
    <t>Highlight Row</t>
  </si>
  <si>
    <t>r</t>
  </si>
  <si>
    <r>
      <t xml:space="preserve">Table </t>
    </r>
    <r>
      <rPr>
        <b/>
        <u/>
        <sz val="11"/>
        <color theme="1"/>
        <rFont val="Arial"/>
        <family val="2"/>
      </rPr>
      <t>B</t>
    </r>
    <r>
      <rPr>
        <sz val="11"/>
        <color theme="1"/>
        <rFont val="Arial"/>
        <family val="2"/>
      </rPr>
      <t>ody</t>
    </r>
  </si>
  <si>
    <t>b</t>
  </si>
  <si>
    <t>Normal</t>
  </si>
  <si>
    <t>Body row level 1</t>
  </si>
  <si>
    <t>o</t>
  </si>
  <si>
    <t>Body row level 2</t>
  </si>
  <si>
    <t>Body row level 3</t>
  </si>
  <si>
    <t>Body row level 4</t>
  </si>
  <si>
    <r>
      <rPr>
        <b/>
        <u/>
        <sz val="11"/>
        <color theme="1"/>
        <rFont val="Arial"/>
        <family val="2"/>
      </rPr>
      <t>L</t>
    </r>
    <r>
      <rPr>
        <sz val="11"/>
        <color theme="1"/>
        <rFont val="Arial"/>
        <family val="2"/>
      </rPr>
      <t>ast row Total</t>
    </r>
  </si>
  <si>
    <t>l</t>
  </si>
  <si>
    <r>
      <t>Foot</t>
    </r>
    <r>
      <rPr>
        <b/>
        <u/>
        <sz val="11"/>
        <color theme="1"/>
        <rFont val="Arial"/>
        <family val="2"/>
      </rPr>
      <t>N</t>
    </r>
    <r>
      <rPr>
        <sz val="11"/>
        <color theme="1"/>
        <rFont val="Arial"/>
        <family val="2"/>
      </rPr>
      <t>ote/source</t>
    </r>
  </si>
  <si>
    <t>n</t>
  </si>
  <si>
    <r>
      <rPr>
        <b/>
        <u/>
        <sz val="11"/>
        <color theme="1"/>
        <rFont val="Arial"/>
        <family val="2"/>
      </rPr>
      <t>S</t>
    </r>
    <r>
      <rPr>
        <sz val="11"/>
        <color theme="1"/>
        <rFont val="Arial"/>
        <family val="2"/>
      </rPr>
      <t>ource(s)</t>
    </r>
  </si>
  <si>
    <t>s</t>
  </si>
  <si>
    <t>NAPP delivered to Europe via East Coast (undiscounted)</t>
  </si>
  <si>
    <t>NAPP delivered</t>
  </si>
  <si>
    <t>Q4'22</t>
  </si>
  <si>
    <t>CY'23</t>
  </si>
  <si>
    <t>double click date axis in the chart and update date ranges</t>
  </si>
  <si>
    <t>Q1'23</t>
  </si>
  <si>
    <r>
      <t>Europe</t>
    </r>
    <r>
      <rPr>
        <sz val="9"/>
        <color theme="1"/>
        <rFont val="Calibri"/>
        <family val="2"/>
      </rPr>
      <t>—</t>
    </r>
    <r>
      <rPr>
        <sz val="9"/>
        <color theme="1"/>
        <rFont val="Arial"/>
        <family val="2"/>
        <scheme val="minor"/>
      </rPr>
      <t>CSX Coal Correlation</t>
    </r>
  </si>
  <si>
    <t>Henry Hub—CSX Coal Correlation</t>
  </si>
  <si>
    <t>Colombian—CAPP arbitrage</t>
  </si>
  <si>
    <t>MO</t>
  </si>
  <si>
    <t>MO+1</t>
  </si>
  <si>
    <t>QT</t>
  </si>
  <si>
    <t>QT+1</t>
  </si>
  <si>
    <t>QT+2</t>
  </si>
  <si>
    <t>YR</t>
  </si>
  <si>
    <t>YR+1</t>
  </si>
  <si>
    <t>YR+2</t>
  </si>
  <si>
    <t>YR+3</t>
  </si>
  <si>
    <t>YR+4</t>
  </si>
  <si>
    <t>Henry Hub natural gas futures</t>
  </si>
  <si>
    <t>PRB</t>
  </si>
  <si>
    <t>NAPP</t>
  </si>
  <si>
    <t>PRB (pw)</t>
  </si>
  <si>
    <t>NAPP (pw)</t>
  </si>
  <si>
    <t>ILB (pw)</t>
  </si>
  <si>
    <t>Q2'23</t>
  </si>
  <si>
    <t>Q3'23</t>
  </si>
  <si>
    <t>Q4'23</t>
  </si>
  <si>
    <t>CY'24</t>
  </si>
  <si>
    <t>Q1'24</t>
  </si>
  <si>
    <t>© 2022 Dow Jones Energy Limited</t>
  </si>
  <si>
    <t>CME, McCloskey by OPIS</t>
  </si>
  <si>
    <t>Coaldesk, LLC, McCloskey by OPIS</t>
  </si>
  <si>
    <t>McCloskey by OPIS</t>
  </si>
  <si>
    <t>Q2'24</t>
  </si>
  <si>
    <t>Oct</t>
  </si>
  <si>
    <t>$US/short ton</t>
  </si>
  <si>
    <t>$US/mmBtu</t>
  </si>
  <si>
    <t>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</si>
</sst>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409]mmm\-yy;@"/>
    <numFmt numFmtId="165" formatCode="[$-409]m/d/yyyy;@"/>
    <numFmt numFmtId="166" formatCode="[$-409]mmmm\-yy;@"/>
    <numFmt numFmtId="167" formatCode="&quot;$&quot;#,##0.00"/>
    <numFmt numFmtId="168" formatCode="[$-409]dd\-mmm\-yy;@"/>
    <numFmt numFmtId="169" formatCode="_-* #,##0.00_-;\-* #,##0.00_-;_-* &quot;-&quot;??_-;_-@_-"/>
    <numFmt numFmtId="170" formatCode="[$-409]d\-mmm\-yy;@"/>
  </numFmts>
  <fonts count="112">
    <font>
      <sz val="11"/>
      <color theme="1"/>
      <name val="Arial"/>
      <family val="2"/>
      <scheme val="minor"/>
    </font>
    <font>
      <sz val="11"/>
      <color theme="1"/>
      <name val="Arial"/>
      <family val="2"/>
      <scheme val="minor"/>
    </font>
    <font>
      <sz val="10"/>
      <color theme="1"/>
      <name val="Arial"/>
      <family val="2"/>
    </font>
    <font>
      <sz val="10"/>
      <name val="Helv"/>
      <family val="2"/>
    </font>
    <font>
      <b/>
      <sz val="11"/>
      <color theme="1"/>
      <name val="Arial"/>
      <family val="2"/>
    </font>
    <font>
      <sz val="11"/>
      <color theme="1"/>
      <name val="Arial"/>
      <family val="2"/>
    </font>
    <font>
      <b/>
      <sz val="10"/>
      <color theme="1"/>
      <name val="Arial"/>
      <family val="2"/>
    </font>
    <font>
      <sz val="8"/>
      <name val="Arial"/>
      <family val="2"/>
    </font>
    <font>
      <b/>
      <sz val="8"/>
      <name val="Arial"/>
      <family val="2"/>
    </font>
    <font>
      <sz val="8"/>
      <color theme="1"/>
      <name val="Arial"/>
      <family val="2"/>
    </font>
    <font>
      <sz val="11"/>
      <color rgb="FF000000"/>
      <name val="Arial"/>
      <family val="2"/>
      <scheme val="minor"/>
    </font>
    <font>
      <sz val="11"/>
      <color theme="0" tint="-0.34998626667073579"/>
      <name val="Arial"/>
      <family val="2"/>
    </font>
    <font>
      <sz val="8"/>
      <color theme="1" tint="0.499984740745262"/>
      <name val="Arial"/>
      <family val="2"/>
    </font>
    <font>
      <b/>
      <sz val="8"/>
      <color indexed="18"/>
      <name val="Arial"/>
      <family val="2"/>
    </font>
    <font>
      <sz val="8"/>
      <color theme="1"/>
      <name val="Calibri"/>
      <family val="2"/>
    </font>
    <font>
      <sz val="9"/>
      <color theme="1"/>
      <name val="Arial"/>
      <family val="2"/>
      <scheme val="minor"/>
    </font>
    <font>
      <b/>
      <sz val="18"/>
      <color theme="3"/>
      <name val="Arial"/>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65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b/>
      <sz val="10"/>
      <name val="Arial"/>
      <family val="2"/>
    </font>
    <font>
      <sz val="10"/>
      <name val="Arial"/>
      <family val="2"/>
    </font>
    <font>
      <u/>
      <sz val="11"/>
      <color theme="10"/>
      <name val="Calibri"/>
      <family val="2"/>
    </font>
    <font>
      <u/>
      <sz val="10"/>
      <color indexed="12"/>
      <name val="Arial"/>
      <family val="2"/>
    </font>
    <font>
      <b/>
      <sz val="14"/>
      <name val="Arial"/>
      <family val="2"/>
    </font>
    <font>
      <u/>
      <sz val="10"/>
      <color theme="11"/>
      <name val="Arial"/>
      <family val="2"/>
    </font>
    <font>
      <sz val="10"/>
      <name val="MS Sans Serif"/>
      <family val="2"/>
    </font>
    <font>
      <u/>
      <sz val="11"/>
      <color theme="10"/>
      <name val="Arial"/>
      <family val="2"/>
      <scheme val="minor"/>
    </font>
    <font>
      <sz val="8"/>
      <color rgb="FF000000"/>
      <name val="Arial"/>
      <family val="2"/>
    </font>
    <font>
      <sz val="7"/>
      <color theme="1"/>
      <name val="Arial"/>
      <family val="2"/>
    </font>
    <font>
      <b/>
      <sz val="12"/>
      <color theme="0"/>
      <name val="Arial"/>
      <family val="2"/>
    </font>
    <font>
      <sz val="10"/>
      <color theme="0"/>
      <name val="Arial"/>
      <family val="2"/>
    </font>
    <font>
      <b/>
      <sz val="10"/>
      <name val="Arial"/>
      <family val="2"/>
      <charset val="238"/>
    </font>
    <font>
      <sz val="10"/>
      <name val="Arial"/>
      <family val="2"/>
      <charset val="238"/>
    </font>
    <font>
      <sz val="7"/>
      <color theme="1"/>
      <name val="Arial"/>
      <family val="2"/>
      <charset val="238"/>
    </font>
    <font>
      <sz val="8"/>
      <color rgb="FF00AB4E"/>
      <name val="Arial"/>
      <family val="2"/>
    </font>
    <font>
      <b/>
      <sz val="10"/>
      <color theme="0"/>
      <name val="Arial"/>
      <family val="2"/>
    </font>
    <font>
      <sz val="8"/>
      <color theme="0"/>
      <name val="Arial"/>
      <family val="2"/>
    </font>
    <font>
      <b/>
      <sz val="8"/>
      <name val="Arial"/>
      <family val="2"/>
      <charset val="238"/>
    </font>
    <font>
      <sz val="8"/>
      <name val="Arial"/>
      <family val="2"/>
      <charset val="238"/>
    </font>
    <font>
      <sz val="6"/>
      <name val="Arial"/>
      <family val="2"/>
      <charset val="238"/>
    </font>
    <font>
      <sz val="7"/>
      <color theme="1"/>
      <name val="Calibri"/>
      <family val="2"/>
    </font>
    <font>
      <b/>
      <u/>
      <sz val="7"/>
      <color theme="1"/>
      <name val="Arial"/>
      <family val="2"/>
    </font>
    <font>
      <b/>
      <i/>
      <sz val="7"/>
      <color theme="1"/>
      <name val="Arial"/>
      <family val="2"/>
    </font>
    <font>
      <u/>
      <sz val="7"/>
      <color theme="1"/>
      <name val="Arial"/>
      <family val="2"/>
    </font>
    <font>
      <b/>
      <u/>
      <sz val="11"/>
      <color theme="1"/>
      <name val="Arial"/>
      <family val="2"/>
    </font>
    <font>
      <sz val="11"/>
      <color indexed="8"/>
      <name val="Arial"/>
      <family val="2"/>
    </font>
    <font>
      <sz val="10"/>
      <color indexed="8"/>
      <name val="Arial"/>
      <family val="2"/>
    </font>
    <font>
      <b/>
      <sz val="12"/>
      <color indexed="9"/>
      <name val="Arial"/>
      <family val="2"/>
    </font>
    <font>
      <sz val="7"/>
      <color indexed="8"/>
      <name val="Arial"/>
      <family val="2"/>
    </font>
    <font>
      <sz val="7"/>
      <color indexed="8"/>
      <name val="Arial"/>
      <family val="2"/>
      <charset val="238"/>
    </font>
    <font>
      <sz val="10"/>
      <color indexed="9"/>
      <name val="Arial"/>
      <family val="2"/>
    </font>
    <font>
      <sz val="11"/>
      <color rgb="FF000000"/>
      <name val="Arial"/>
      <family val="2"/>
    </font>
    <font>
      <sz val="9"/>
      <color theme="1"/>
      <name val="Calibri"/>
      <family val="2"/>
    </font>
    <font>
      <b/>
      <sz val="8"/>
      <color theme="1"/>
      <name val="Arial"/>
      <family val="2"/>
    </font>
    <font>
      <sz val="8"/>
      <color theme="0" tint="-0.34998626667073579"/>
      <name val="Arial"/>
      <family val="2"/>
    </font>
    <font>
      <b/>
      <sz val="10"/>
      <color indexed="23"/>
      <name val="Lucida Console"/>
      <family val="3"/>
    </font>
    <font>
      <b/>
      <i/>
      <sz val="10"/>
      <color indexed="10"/>
      <name val="Arial"/>
      <family val="2"/>
    </font>
    <font>
      <b/>
      <i/>
      <sz val="10"/>
      <color indexed="63"/>
      <name val="Arial"/>
      <family val="2"/>
    </font>
    <font>
      <sz val="11"/>
      <color indexed="8"/>
      <name val="宋体"/>
      <charset val="134"/>
    </font>
    <font>
      <u/>
      <sz val="11"/>
      <color indexed="12"/>
      <name val="Calibri"/>
      <family val="2"/>
    </font>
    <font>
      <b/>
      <sz val="18"/>
      <color indexed="56"/>
      <name val="Cambria"/>
      <family val="2"/>
    </font>
    <font>
      <sz val="11"/>
      <color indexed="9"/>
      <name val="Arial"/>
      <family val="2"/>
    </font>
    <font>
      <sz val="11"/>
      <color indexed="20"/>
      <name val="Arial"/>
      <family val="2"/>
    </font>
    <font>
      <b/>
      <sz val="11"/>
      <color indexed="52"/>
      <name val="Arial"/>
      <family val="2"/>
    </font>
    <font>
      <b/>
      <sz val="11"/>
      <color indexed="9"/>
      <name val="Arial"/>
      <family val="2"/>
    </font>
    <font>
      <i/>
      <sz val="11"/>
      <color indexed="23"/>
      <name val="Arial"/>
      <family val="2"/>
    </font>
    <font>
      <sz val="11"/>
      <color indexed="17"/>
      <name val="Arial"/>
      <family val="2"/>
    </font>
    <font>
      <b/>
      <sz val="15"/>
      <color indexed="56"/>
      <name val="Arial"/>
      <family val="2"/>
    </font>
    <font>
      <b/>
      <sz val="13"/>
      <color indexed="56"/>
      <name val="Arial"/>
      <family val="2"/>
    </font>
    <font>
      <b/>
      <sz val="11"/>
      <color indexed="56"/>
      <name val="Arial"/>
      <family val="2"/>
    </font>
    <font>
      <sz val="11"/>
      <color indexed="62"/>
      <name val="Arial"/>
      <family val="2"/>
    </font>
    <font>
      <sz val="11"/>
      <color indexed="52"/>
      <name val="Arial"/>
      <family val="2"/>
    </font>
    <font>
      <sz val="11"/>
      <color indexed="60"/>
      <name val="Arial"/>
      <family val="2"/>
    </font>
    <font>
      <b/>
      <sz val="11"/>
      <color indexed="63"/>
      <name val="Arial"/>
      <family val="2"/>
    </font>
    <font>
      <b/>
      <sz val="11"/>
      <color indexed="8"/>
      <name val="Arial"/>
      <family val="2"/>
    </font>
    <font>
      <sz val="11"/>
      <color indexed="10"/>
      <name val="Arial"/>
      <family val="2"/>
    </font>
    <font>
      <sz val="11"/>
      <color rgb="FF000000"/>
      <name val="宋体"/>
      <charset val="134"/>
    </font>
    <font>
      <sz val="11"/>
      <color rgb="FFFFFFFF"/>
      <name val="宋体"/>
      <charset val="134"/>
    </font>
    <font>
      <u/>
      <sz val="11"/>
      <color rgb="FF0000FF"/>
      <name val="Calibri"/>
      <family val="2"/>
    </font>
    <font>
      <sz val="11"/>
      <color rgb="FF006100"/>
      <name val="宋体"/>
      <charset val="134"/>
    </font>
    <font>
      <sz val="11"/>
      <color rgb="FF9C0006"/>
      <name val="宋体"/>
      <charset val="134"/>
    </font>
    <font>
      <b/>
      <sz val="18"/>
      <color rgb="FF1F4A7E"/>
      <name val="宋体"/>
      <charset val="134"/>
    </font>
    <font>
      <b/>
      <sz val="15"/>
      <color rgb="FF1F4A7E"/>
      <name val="宋体"/>
      <charset val="134"/>
    </font>
    <font>
      <b/>
      <sz val="13"/>
      <color rgb="FF1F4A7E"/>
      <name val="宋体"/>
      <charset val="134"/>
    </font>
    <font>
      <b/>
      <sz val="11"/>
      <color rgb="FF1F4A7E"/>
      <name val="宋体"/>
      <charset val="134"/>
    </font>
    <font>
      <b/>
      <sz val="11"/>
      <color rgb="FFFFFFFF"/>
      <name val="宋体"/>
      <charset val="134"/>
    </font>
    <font>
      <b/>
      <sz val="11"/>
      <color rgb="FF000000"/>
      <name val="宋体"/>
      <charset val="134"/>
    </font>
    <font>
      <i/>
      <sz val="11"/>
      <color rgb="FF7F7F7F"/>
      <name val="宋体"/>
      <charset val="134"/>
    </font>
    <font>
      <sz val="11"/>
      <color rgb="FFFF0000"/>
      <name val="宋体"/>
      <charset val="134"/>
    </font>
    <font>
      <b/>
      <sz val="11"/>
      <color rgb="FFFA7D00"/>
      <name val="宋体"/>
      <charset val="134"/>
    </font>
    <font>
      <sz val="11"/>
      <color rgb="FF3F3F76"/>
      <name val="宋体"/>
      <charset val="134"/>
    </font>
    <font>
      <b/>
      <sz val="11"/>
      <color rgb="FF3F3F3F"/>
      <name val="宋体"/>
      <charset val="134"/>
    </font>
    <font>
      <sz val="11"/>
      <color rgb="FF9C6500"/>
      <name val="宋体"/>
      <charset val="134"/>
    </font>
    <font>
      <sz val="11"/>
      <color rgb="FFFA7D00"/>
      <name val="宋体"/>
      <charset val="134"/>
    </font>
    <font>
      <sz val="11"/>
      <color indexed="8"/>
      <name val="Calibri"/>
      <family val="2"/>
    </font>
    <font>
      <sz val="11"/>
      <color rgb="FF9C5700"/>
      <name val="Arial"/>
      <family val="2"/>
      <scheme val="minor"/>
    </font>
    <font>
      <u/>
      <sz val="10"/>
      <color theme="10"/>
      <name val="Arial"/>
      <family val="2"/>
    </font>
    <font>
      <sz val="10"/>
      <color rgb="FF006100"/>
      <name val="Arial"/>
      <family val="2"/>
      <scheme val="minor"/>
    </font>
    <font>
      <u/>
      <sz val="11"/>
      <color theme="10"/>
      <name val="Tahoma"/>
      <family val="2"/>
    </font>
  </fonts>
  <fills count="9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63"/>
        <bgColor indexed="64"/>
      </patternFill>
    </fill>
    <fill>
      <patternFill patternType="solid">
        <fgColor indexed="9"/>
        <bgColor indexed="64"/>
      </patternFill>
    </fill>
    <fill>
      <patternFill patternType="solid">
        <fgColor rgb="FFD8DCDB"/>
        <bgColor indexed="64"/>
      </patternFill>
    </fill>
    <fill>
      <patternFill patternType="solid">
        <fgColor theme="0" tint="-0.14996795556505021"/>
        <bgColor indexed="64"/>
      </patternFill>
    </fill>
    <fill>
      <patternFill patternType="solid">
        <fgColor rgb="FF7F8080"/>
        <bgColor indexed="64"/>
      </patternFill>
    </fill>
    <fill>
      <patternFill patternType="solid">
        <fgColor rgb="FFBDBEBE"/>
        <bgColor indexed="64"/>
      </patternFill>
    </fill>
    <fill>
      <patternFill patternType="solid">
        <fgColor indexed="22"/>
        <bgColor indexed="64"/>
      </patternFill>
    </fill>
    <fill>
      <patternFill patternType="solid">
        <fgColor indexed="23"/>
        <bgColor indexed="64"/>
      </patternFill>
    </fill>
    <fill>
      <patternFill patternType="solid">
        <fgColor theme="9"/>
        <bgColor indexed="64"/>
      </patternFill>
    </fill>
    <fill>
      <patternFill patternType="solid">
        <fgColor indexed="62"/>
        <bgColor indexed="64"/>
      </patternFill>
    </fill>
    <fill>
      <patternFill patternType="solid">
        <fgColor indexed="61"/>
        <bgColor indexed="64"/>
      </patternFill>
    </fill>
    <fill>
      <patternFill patternType="solid">
        <fgColor indexed="60"/>
        <bgColor indexed="64"/>
      </patternFill>
    </fill>
    <fill>
      <patternFill patternType="solid">
        <fgColor indexed="59"/>
        <bgColor indexed="64"/>
      </patternFill>
    </fill>
    <fill>
      <patternFill patternType="solid">
        <fgColor indexed="58"/>
        <bgColor indexed="64"/>
      </patternFill>
    </fill>
    <fill>
      <patternFill patternType="solid">
        <fgColor indexed="57"/>
        <bgColor indexed="64"/>
      </patternFill>
    </fill>
    <fill>
      <patternFill patternType="solid">
        <fgColor indexed="56"/>
        <bgColor indexed="64"/>
      </patternFill>
    </fill>
    <fill>
      <patternFill patternType="solid">
        <fgColor rgb="FFFFFF00"/>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rgb="FFDCE5F1"/>
      </patternFill>
    </fill>
    <fill>
      <patternFill patternType="solid">
        <fgColor rgb="FFF2DCDB"/>
      </patternFill>
    </fill>
    <fill>
      <patternFill patternType="solid">
        <fgColor rgb="FFEAF1DD"/>
      </patternFill>
    </fill>
    <fill>
      <patternFill patternType="solid">
        <fgColor rgb="FFE5DFEC"/>
      </patternFill>
    </fill>
    <fill>
      <patternFill patternType="solid">
        <fgColor rgb="FFDBEEF3"/>
      </patternFill>
    </fill>
    <fill>
      <patternFill patternType="solid">
        <fgColor rgb="FFFDE9D9"/>
      </patternFill>
    </fill>
    <fill>
      <patternFill patternType="solid">
        <fgColor rgb="FFB8CBE4"/>
      </patternFill>
    </fill>
    <fill>
      <patternFill patternType="solid">
        <fgColor rgb="FFE5B8B6"/>
      </patternFill>
    </fill>
    <fill>
      <patternFill patternType="solid">
        <fgColor rgb="FFD5E3BB"/>
      </patternFill>
    </fill>
    <fill>
      <patternFill patternType="solid">
        <fgColor rgb="FFCABFD8"/>
      </patternFill>
    </fill>
    <fill>
      <patternFill patternType="solid">
        <fgColor rgb="FFB6DDE8"/>
      </patternFill>
    </fill>
    <fill>
      <patternFill patternType="solid">
        <fgColor rgb="FFFBD3B3"/>
      </patternFill>
    </fill>
    <fill>
      <patternFill patternType="solid">
        <fgColor rgb="FF96B3D7"/>
      </patternFill>
    </fill>
    <fill>
      <patternFill patternType="solid">
        <fgColor rgb="FFD99694"/>
      </patternFill>
    </fill>
    <fill>
      <patternFill patternType="solid">
        <fgColor rgb="FFC2D69B"/>
      </patternFill>
    </fill>
    <fill>
      <patternFill patternType="solid">
        <fgColor rgb="FFB2A1C6"/>
      </patternFill>
    </fill>
    <fill>
      <patternFill patternType="solid">
        <fgColor rgb="FF94CDDD"/>
      </patternFill>
    </fill>
    <fill>
      <patternFill patternType="solid">
        <fgColor rgb="FFFABF8F"/>
      </patternFill>
    </fill>
    <fill>
      <patternFill patternType="solid">
        <fgColor rgb="FF5181BD"/>
      </patternFill>
    </fill>
    <fill>
      <patternFill patternType="solid">
        <fgColor rgb="FFC0514D"/>
      </patternFill>
    </fill>
    <fill>
      <patternFill patternType="solid">
        <fgColor rgb="FF9ABA58"/>
      </patternFill>
    </fill>
    <fill>
      <patternFill patternType="solid">
        <fgColor rgb="FF7E62A1"/>
      </patternFill>
    </fill>
    <fill>
      <patternFill patternType="solid">
        <fgColor rgb="FF4CACC6"/>
      </patternFill>
    </fill>
    <fill>
      <patternFill patternType="solid">
        <fgColor rgb="FFF79544"/>
      </patternFill>
    </fill>
  </fills>
  <borders count="80">
    <border>
      <left/>
      <right/>
      <top/>
      <bottom/>
      <diagonal/>
    </border>
    <border>
      <left/>
      <right style="medium">
        <color auto="1"/>
      </right>
      <top style="medium">
        <color auto="1"/>
      </top>
      <bottom/>
      <diagonal/>
    </border>
    <border>
      <left style="medium">
        <color auto="1"/>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double">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ashed">
        <color theme="0" tint="-0.24994659260841701"/>
      </bottom>
      <diagonal/>
    </border>
    <border>
      <left/>
      <right/>
      <top/>
      <bottom style="thin">
        <color theme="0" tint="-0.24994659260841701"/>
      </bottom>
      <diagonal/>
    </border>
    <border>
      <left style="thin">
        <color indexed="64"/>
      </left>
      <right style="thin">
        <color indexed="64"/>
      </right>
      <top/>
      <bottom style="thin">
        <color indexed="64"/>
      </bottom>
      <diagonal/>
    </border>
    <border>
      <left/>
      <right/>
      <top/>
      <bottom style="medium">
        <color rgb="FF7F7F7F"/>
      </bottom>
      <diagonal/>
    </border>
    <border>
      <left/>
      <right/>
      <top style="thin">
        <color rgb="FF7F7F7F"/>
      </top>
      <bottom style="medium">
        <color rgb="FF7F7F7F"/>
      </bottom>
      <diagonal/>
    </border>
    <border>
      <left/>
      <right/>
      <top style="thin">
        <color rgb="FF7F7F7F"/>
      </top>
      <bottom style="thin">
        <color rgb="FF7F7F7F"/>
      </bottom>
      <diagonal/>
    </border>
    <border>
      <left/>
      <right/>
      <top/>
      <bottom style="medium">
        <color rgb="FF707C8A"/>
      </bottom>
      <diagonal/>
    </border>
    <border>
      <left/>
      <right/>
      <top style="thin">
        <color rgb="FF707C8A"/>
      </top>
      <bottom style="thin">
        <color rgb="FF707C8A"/>
      </bottom>
      <diagonal/>
    </border>
    <border>
      <left/>
      <right/>
      <top style="thin">
        <color rgb="FF707C8A"/>
      </top>
      <bottom style="medium">
        <color rgb="FF707C8A"/>
      </bottom>
      <diagonal/>
    </border>
    <border>
      <left/>
      <right/>
      <top/>
      <bottom style="medium">
        <color indexed="23"/>
      </bottom>
      <diagonal/>
    </border>
    <border>
      <left/>
      <right/>
      <top style="thin">
        <color indexed="23"/>
      </top>
      <bottom style="thin">
        <color indexed="23"/>
      </bottom>
      <diagonal/>
    </border>
    <border>
      <left/>
      <right/>
      <top style="thin">
        <color indexed="23"/>
      </top>
      <bottom style="medium">
        <color indexed="23"/>
      </bottom>
      <diagonal/>
    </border>
    <border>
      <left style="thick">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indexed="64"/>
      </left>
      <right style="thin">
        <color indexed="64"/>
      </right>
      <top style="thin">
        <color indexed="64"/>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61"/>
      </left>
      <right/>
      <top/>
      <bottom/>
      <diagonal/>
    </border>
    <border>
      <left style="medium">
        <color indexed="60"/>
      </left>
      <right/>
      <top/>
      <bottom/>
      <diagonal/>
    </border>
    <border>
      <left style="medium">
        <color indexed="59"/>
      </left>
      <right/>
      <top/>
      <bottom/>
      <diagonal/>
    </border>
    <border>
      <left style="medium">
        <color indexed="61"/>
      </left>
      <right style="medium">
        <color indexed="61"/>
      </right>
      <top style="medium">
        <color indexed="61"/>
      </top>
      <bottom style="medium">
        <color indexed="61"/>
      </bottom>
      <diagonal/>
    </border>
    <border>
      <left style="medium">
        <color indexed="60"/>
      </left>
      <right style="medium">
        <color indexed="60"/>
      </right>
      <top style="medium">
        <color indexed="60"/>
      </top>
      <bottom style="medium">
        <color indexed="60"/>
      </bottom>
      <diagonal/>
    </border>
    <border>
      <left style="medium">
        <color indexed="59"/>
      </left>
      <right style="medium">
        <color indexed="59"/>
      </right>
      <top style="medium">
        <color indexed="59"/>
      </top>
      <bottom style="medium">
        <color indexed="59"/>
      </bottom>
      <diagonal/>
    </border>
    <border>
      <left/>
      <right/>
      <top/>
      <bottom style="medium">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rgb="FF5181BD"/>
      </bottom>
      <diagonal/>
    </border>
    <border>
      <left/>
      <right/>
      <top/>
      <bottom style="thick">
        <color rgb="FFA6BFDD"/>
      </bottom>
      <diagonal/>
    </border>
    <border>
      <left/>
      <right/>
      <top/>
      <bottom style="medium">
        <color rgb="FF96B3D7"/>
      </bottom>
      <diagonal/>
    </border>
    <border>
      <left/>
      <right/>
      <top style="thin">
        <color rgb="FF5181BD"/>
      </top>
      <bottom style="double">
        <color rgb="FF5181BD"/>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61"/>
      </left>
      <right style="medium">
        <color indexed="61"/>
      </right>
      <top style="medium">
        <color indexed="61"/>
      </top>
      <bottom style="medium">
        <color indexed="61"/>
      </bottom>
      <diagonal/>
    </border>
    <border>
      <left style="medium">
        <color indexed="60"/>
      </left>
      <right style="medium">
        <color indexed="60"/>
      </right>
      <top style="medium">
        <color indexed="60"/>
      </top>
      <bottom style="medium">
        <color indexed="60"/>
      </bottom>
      <diagonal/>
    </border>
    <border>
      <left style="medium">
        <color indexed="59"/>
      </left>
      <right style="medium">
        <color indexed="59"/>
      </right>
      <top style="medium">
        <color indexed="59"/>
      </top>
      <bottom style="medium">
        <color indexed="59"/>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61"/>
      </left>
      <right style="medium">
        <color indexed="61"/>
      </right>
      <top style="medium">
        <color indexed="61"/>
      </top>
      <bottom style="medium">
        <color indexed="61"/>
      </bottom>
      <diagonal/>
    </border>
    <border>
      <left style="medium">
        <color indexed="60"/>
      </left>
      <right style="medium">
        <color indexed="60"/>
      </right>
      <top style="medium">
        <color indexed="60"/>
      </top>
      <bottom style="medium">
        <color indexed="60"/>
      </bottom>
      <diagonal/>
    </border>
    <border>
      <left style="medium">
        <color indexed="59"/>
      </left>
      <right style="medium">
        <color indexed="59"/>
      </right>
      <top style="medium">
        <color indexed="59"/>
      </top>
      <bottom style="medium">
        <color indexed="59"/>
      </bottom>
      <diagonal/>
    </border>
  </borders>
  <cellStyleXfs count="33477">
    <xf numFmtId="0" fontId="0" fillId="0" borderId="0"/>
    <xf numFmtId="9" fontId="1" fillId="0" borderId="0" applyFont="0" applyFill="0" applyBorder="0" applyAlignment="0" applyProtection="0"/>
    <xf numFmtId="0" fontId="2" fillId="0" borderId="0"/>
    <xf numFmtId="0" fontId="3" fillId="0" borderId="0"/>
    <xf numFmtId="0" fontId="16" fillId="0" borderId="0" applyNumberFormat="0" applyFill="0" applyBorder="0" applyAlignment="0" applyProtection="0"/>
    <xf numFmtId="0" fontId="17" fillId="0" borderId="19" applyNumberFormat="0" applyFill="0" applyAlignment="0" applyProtection="0"/>
    <xf numFmtId="0" fontId="18" fillId="0" borderId="20" applyNumberFormat="0" applyFill="0" applyAlignment="0" applyProtection="0"/>
    <xf numFmtId="0" fontId="19" fillId="0" borderId="21"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22" applyNumberFormat="0" applyAlignment="0" applyProtection="0"/>
    <xf numFmtId="0" fontId="24" fillId="8" borderId="23" applyNumberFormat="0" applyAlignment="0" applyProtection="0"/>
    <xf numFmtId="0" fontId="25" fillId="8" borderId="22" applyNumberFormat="0" applyAlignment="0" applyProtection="0"/>
    <xf numFmtId="0" fontId="26" fillId="0" borderId="24" applyNumberFormat="0" applyFill="0" applyAlignment="0" applyProtection="0"/>
    <xf numFmtId="0" fontId="27" fillId="9" borderId="25" applyNumberFormat="0" applyAlignment="0" applyProtection="0"/>
    <xf numFmtId="0" fontId="28" fillId="0" borderId="0" applyNumberFormat="0" applyFill="0" applyBorder="0" applyAlignment="0" applyProtection="0"/>
    <xf numFmtId="0" fontId="1" fillId="10" borderId="26" applyNumberFormat="0" applyFont="0" applyAlignment="0" applyProtection="0"/>
    <xf numFmtId="0" fontId="29" fillId="0" borderId="0" applyNumberFormat="0" applyFill="0" applyBorder="0" applyAlignment="0" applyProtection="0"/>
    <xf numFmtId="0" fontId="30" fillId="0" borderId="27" applyNumberFormat="0" applyFill="0" applyAlignment="0" applyProtection="0"/>
    <xf numFmtId="0" fontId="3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3" fillId="0" borderId="0"/>
    <xf numFmtId="0" fontId="33" fillId="0" borderId="0"/>
    <xf numFmtId="0" fontId="33" fillId="0" borderId="0"/>
    <xf numFmtId="0" fontId="33" fillId="0" borderId="0"/>
    <xf numFmtId="43" fontId="33" fillId="0" borderId="0" applyFont="0" applyFill="0" applyBorder="0" applyAlignment="0" applyProtection="0"/>
    <xf numFmtId="9" fontId="33" fillId="0" borderId="0" applyFont="0" applyFill="0" applyBorder="0" applyAlignment="0" applyProtection="0"/>
    <xf numFmtId="0" fontId="33" fillId="0" borderId="0"/>
    <xf numFmtId="0" fontId="8" fillId="0" borderId="0" applyNumberFormat="0" applyFont="0" applyFill="0" applyBorder="0" applyAlignment="0">
      <alignment horizontal="centerContinuous"/>
    </xf>
    <xf numFmtId="0" fontId="34" fillId="0" borderId="0" applyNumberFormat="0" applyFill="0" applyBorder="0" applyAlignment="0" applyProtection="0">
      <alignment vertical="top"/>
      <protection locked="0"/>
    </xf>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5" fillId="0" borderId="0" applyNumberFormat="0" applyFill="0" applyBorder="0" applyAlignment="0" applyProtection="0">
      <alignment vertical="top"/>
      <protection locked="0"/>
    </xf>
    <xf numFmtId="0" fontId="33" fillId="0" borderId="0"/>
    <xf numFmtId="0" fontId="33" fillId="0" borderId="0"/>
    <xf numFmtId="0" fontId="33" fillId="0" borderId="0"/>
    <xf numFmtId="0" fontId="36" fillId="0" borderId="0" applyNumberFormat="0" applyFill="0" applyBorder="0" applyAlignment="0" applyProtection="0"/>
    <xf numFmtId="0" fontId="32" fillId="35" borderId="0" applyNumberFormat="0" applyBorder="0" applyProtection="0">
      <alignment wrapText="1"/>
    </xf>
    <xf numFmtId="43" fontId="33" fillId="0" borderId="0" applyFont="0" applyFill="0" applyBorder="0" applyAlignment="0" applyProtection="0"/>
    <xf numFmtId="0" fontId="33" fillId="0" borderId="0"/>
    <xf numFmtId="0" fontId="33" fillId="0" borderId="0"/>
    <xf numFmtId="0" fontId="33" fillId="0" borderId="0"/>
    <xf numFmtId="0" fontId="33" fillId="0" borderId="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3" fillId="0" borderId="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43" fontId="33" fillId="0" borderId="0" applyFont="0" applyFill="0" applyBorder="0" applyAlignment="0" applyProtection="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43" fontId="33" fillId="0" borderId="0" applyFont="0" applyFill="0" applyBorder="0" applyAlignment="0" applyProtection="0"/>
    <xf numFmtId="0" fontId="33" fillId="0" borderId="0"/>
    <xf numFmtId="43" fontId="33" fillId="0" borderId="0" applyFont="0" applyFill="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xf numFmtId="0" fontId="1" fillId="0" borderId="28" applyNumberFormat="0" applyProtection="0">
      <alignment vertical="top"/>
    </xf>
    <xf numFmtId="0" fontId="30" fillId="0" borderId="29" applyNumberFormat="0" applyFill="0" applyProtection="0">
      <alignment wrapText="1"/>
    </xf>
    <xf numFmtId="166" fontId="33" fillId="0" borderId="0"/>
    <xf numFmtId="44" fontId="33" fillId="0" borderId="0" applyFont="0" applyFill="0" applyBorder="0" applyAlignment="0" applyProtection="0"/>
    <xf numFmtId="166" fontId="35" fillId="0" borderId="0" applyNumberFormat="0" applyFill="0" applyBorder="0" applyAlignment="0" applyProtection="0">
      <alignment vertical="top"/>
      <protection locked="0"/>
    </xf>
    <xf numFmtId="166" fontId="33" fillId="0" borderId="0"/>
    <xf numFmtId="166" fontId="35" fillId="0" borderId="0" applyNumberFormat="0" applyFill="0" applyBorder="0" applyAlignment="0" applyProtection="0">
      <alignment vertical="top"/>
      <protection locked="0"/>
    </xf>
    <xf numFmtId="166" fontId="33" fillId="0" borderId="0"/>
    <xf numFmtId="166" fontId="33" fillId="0" borderId="0"/>
    <xf numFmtId="166" fontId="33" fillId="0" borderId="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0" fillId="0" borderId="19" applyNumberFormat="0" applyProtection="0">
      <alignment wrapText="1"/>
    </xf>
    <xf numFmtId="0" fontId="1" fillId="0" borderId="0"/>
    <xf numFmtId="0" fontId="33" fillId="0" borderId="0"/>
    <xf numFmtId="0" fontId="33" fillId="0" borderId="0"/>
    <xf numFmtId="0" fontId="33" fillId="0" borderId="0"/>
    <xf numFmtId="0" fontId="33" fillId="0" borderId="0"/>
    <xf numFmtId="0" fontId="33" fillId="0" borderId="0"/>
    <xf numFmtId="0" fontId="33" fillId="0" borderId="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xf numFmtId="0" fontId="33" fillId="0" borderId="0"/>
    <xf numFmtId="3" fontId="33" fillId="0" borderId="0">
      <alignment horizontal="left" vertical="top" wrapText="1"/>
    </xf>
    <xf numFmtId="3" fontId="2" fillId="0" borderId="0">
      <alignment horizontal="left" vertical="top" wrapText="1"/>
    </xf>
    <xf numFmtId="0" fontId="46" fillId="0" borderId="0">
      <alignment horizontal="left" vertical="top"/>
    </xf>
    <xf numFmtId="0" fontId="46" fillId="0" borderId="0" applyNumberFormat="0">
      <alignment horizontal="left" vertical="center"/>
    </xf>
    <xf numFmtId="3" fontId="44" fillId="0" borderId="32">
      <alignment vertical="center"/>
    </xf>
    <xf numFmtId="0" fontId="41" fillId="38" borderId="0" applyNumberFormat="0">
      <alignment horizontal="left" vertical="center"/>
    </xf>
    <xf numFmtId="0" fontId="45" fillId="0" borderId="0" applyNumberFormat="0">
      <alignment horizontal="left" vertical="top" wrapText="1" indent="4"/>
    </xf>
    <xf numFmtId="0" fontId="45" fillId="0" borderId="0" applyNumberFormat="0">
      <alignment horizontal="left" vertical="top" wrapText="1" indent="3"/>
    </xf>
    <xf numFmtId="0" fontId="45" fillId="0" borderId="0" applyNumberFormat="0">
      <alignment horizontal="left" vertical="top" wrapText="1" indent="2"/>
    </xf>
    <xf numFmtId="0" fontId="45" fillId="0" borderId="0" applyNumberFormat="0">
      <alignment horizontal="left" vertical="top" wrapText="1" indent="1"/>
    </xf>
    <xf numFmtId="3" fontId="44" fillId="0" borderId="33">
      <alignment horizontal="left" vertical="center"/>
    </xf>
    <xf numFmtId="0" fontId="44" fillId="0" borderId="31">
      <alignment horizontal="left" wrapText="1"/>
    </xf>
    <xf numFmtId="0" fontId="44" fillId="0" borderId="0" applyNumberFormat="0">
      <alignment horizontal="left" wrapText="1"/>
    </xf>
    <xf numFmtId="0" fontId="43" fillId="39" borderId="0">
      <alignment vertical="center"/>
    </xf>
    <xf numFmtId="0" fontId="42" fillId="39" borderId="0" applyNumberFormat="0">
      <alignment horizontal="left" vertical="center"/>
    </xf>
    <xf numFmtId="0" fontId="33" fillId="36" borderId="0">
      <alignment horizontal="left" vertical="center"/>
    </xf>
    <xf numFmtId="0" fontId="47" fillId="37" borderId="0">
      <alignment horizontal="center" vertical="center"/>
    </xf>
    <xf numFmtId="0" fontId="2" fillId="0" borderId="0">
      <alignment horizontal="left" vertical="center" wrapText="1"/>
    </xf>
    <xf numFmtId="9" fontId="2" fillId="0" borderId="0" applyFont="0" applyFill="0" applyBorder="0" applyAlignment="0" applyProtection="0"/>
    <xf numFmtId="0" fontId="1" fillId="0" borderId="0"/>
    <xf numFmtId="0" fontId="34" fillId="0" borderId="0" applyNumberFormat="0" applyFill="0" applyBorder="0" applyAlignment="0" applyProtection="0">
      <alignment vertical="top"/>
      <protection locked="0"/>
    </xf>
    <xf numFmtId="0" fontId="1" fillId="0" borderId="0"/>
    <xf numFmtId="0" fontId="1" fillId="0" borderId="0"/>
    <xf numFmtId="0" fontId="1" fillId="0" borderId="0"/>
    <xf numFmtId="0" fontId="48" fillId="39" borderId="0" applyNumberFormat="0">
      <alignment horizontal="left" vertical="center"/>
    </xf>
    <xf numFmtId="0" fontId="9" fillId="0" borderId="0" applyNumberFormat="0" applyAlignment="0">
      <alignment horizontal="left" vertical="top" wrapText="1"/>
    </xf>
    <xf numFmtId="0" fontId="49" fillId="39" borderId="0" applyNumberFormat="0">
      <alignment horizontal="left" vertical="center"/>
    </xf>
    <xf numFmtId="0" fontId="50" fillId="0" borderId="0" applyNumberFormat="0" applyAlignment="0">
      <alignment wrapText="1"/>
    </xf>
    <xf numFmtId="0" fontId="50" fillId="0" borderId="34" applyNumberFormat="0" applyAlignment="0">
      <alignment wrapText="1"/>
    </xf>
    <xf numFmtId="0" fontId="50" fillId="0" borderId="35" applyNumberFormat="0" applyAlignment="0">
      <alignment horizontal="left" vertical="center"/>
    </xf>
    <xf numFmtId="0" fontId="51" fillId="0" borderId="0" applyNumberFormat="0">
      <alignment horizontal="left" vertical="center" wrapText="1"/>
    </xf>
    <xf numFmtId="0" fontId="51" fillId="0" borderId="0" applyNumberFormat="0">
      <alignment horizontal="left" vertical="center" wrapText="1" indent="2"/>
    </xf>
    <xf numFmtId="0" fontId="51" fillId="0" borderId="0" applyNumberFormat="0">
      <alignment horizontal="left" vertical="center" wrapText="1" indent="3"/>
    </xf>
    <xf numFmtId="0" fontId="51" fillId="0" borderId="0" applyNumberFormat="0">
      <alignment horizontal="left" vertical="center" wrapText="1" indent="4"/>
    </xf>
    <xf numFmtId="0" fontId="7" fillId="40" borderId="0" applyNumberFormat="0" applyAlignment="0">
      <alignment horizontal="left" vertical="center"/>
    </xf>
    <xf numFmtId="3" fontId="50" fillId="0" borderId="36" applyNumberFormat="0" applyAlignment="0">
      <alignment vertical="center"/>
    </xf>
    <xf numFmtId="0" fontId="52" fillId="0" borderId="0" applyNumberFormat="0">
      <alignment horizontal="left"/>
    </xf>
    <xf numFmtId="0" fontId="52" fillId="0" borderId="0" applyNumberFormat="0">
      <alignment horizontal="left"/>
    </xf>
    <xf numFmtId="0" fontId="59" fillId="0" borderId="0"/>
    <xf numFmtId="0" fontId="44" fillId="0" borderId="37">
      <alignment horizontal="left" wrapText="1"/>
    </xf>
    <xf numFmtId="0" fontId="60" fillId="42" borderId="0" applyNumberFormat="0">
      <alignment horizontal="left" vertical="center"/>
    </xf>
    <xf numFmtId="0" fontId="61" fillId="41" borderId="0" applyNumberFormat="0">
      <alignment horizontal="left" vertical="center"/>
    </xf>
    <xf numFmtId="3" fontId="44" fillId="0" borderId="38">
      <alignment horizontal="left" vertical="center"/>
    </xf>
    <xf numFmtId="0" fontId="62" fillId="0" borderId="0" applyNumberFormat="0">
      <alignment horizontal="left" vertical="center"/>
    </xf>
    <xf numFmtId="0" fontId="62" fillId="0" borderId="0">
      <alignment horizontal="left" vertical="top"/>
    </xf>
    <xf numFmtId="0" fontId="63" fillId="42" borderId="0">
      <alignment vertical="center"/>
    </xf>
    <xf numFmtId="3" fontId="44" fillId="0" borderId="39">
      <alignment vertical="center"/>
    </xf>
    <xf numFmtId="0" fontId="58" fillId="0" borderId="0"/>
    <xf numFmtId="0" fontId="32" fillId="44" borderId="0" applyNumberFormat="0" applyBorder="0" applyProtection="0">
      <alignment wrapText="1"/>
    </xf>
    <xf numFmtId="0" fontId="32" fillId="0" borderId="0" applyNumberFormat="0" applyFill="0" applyBorder="0" applyProtection="0">
      <alignment wrapText="1"/>
    </xf>
    <xf numFmtId="0" fontId="7" fillId="0" borderId="0" applyNumberFormat="0" applyFill="0" applyBorder="0" applyProtection="0">
      <alignment vertical="top" wrapText="1"/>
    </xf>
    <xf numFmtId="0" fontId="68" fillId="0" borderId="0" applyNumberFormat="0" applyFill="0" applyBorder="0" applyAlignment="0" applyProtection="0"/>
    <xf numFmtId="0" fontId="33" fillId="0" borderId="45" applyNumberFormat="0" applyFont="0" applyFill="0" applyAlignment="0" applyProtection="0"/>
    <xf numFmtId="0" fontId="33" fillId="0" borderId="46" applyNumberFormat="0" applyFont="0" applyFill="0" applyAlignment="0" applyProtection="0"/>
    <xf numFmtId="0" fontId="33" fillId="0" borderId="47" applyNumberFormat="0" applyFont="0" applyFill="0" applyAlignment="0" applyProtection="0"/>
    <xf numFmtId="0" fontId="63" fillId="45" borderId="48" applyNumberFormat="0" applyAlignment="0" applyProtection="0"/>
    <xf numFmtId="0" fontId="63" fillId="46" borderId="49" applyNumberFormat="0" applyAlignment="0" applyProtection="0"/>
    <xf numFmtId="0" fontId="33" fillId="47" borderId="50" applyNumberFormat="0" applyFont="0" applyAlignment="0" applyProtection="0"/>
    <xf numFmtId="0" fontId="33" fillId="48" borderId="51" applyNumberFormat="0" applyFont="0" applyAlignment="0" applyProtection="0"/>
    <xf numFmtId="0" fontId="33" fillId="49" borderId="52" applyNumberFormat="0" applyFont="0" applyAlignment="0" applyProtection="0"/>
    <xf numFmtId="0" fontId="33" fillId="50" borderId="53" applyNumberFormat="0" applyFont="0" applyAlignment="0" applyProtection="0"/>
    <xf numFmtId="0" fontId="33" fillId="36" borderId="0" applyNumberFormat="0" applyFont="0" applyBorder="0" applyAlignment="0" applyProtection="0"/>
    <xf numFmtId="0" fontId="69" fillId="0" borderId="0" applyNumberFormat="0" applyFill="0" applyBorder="0" applyAlignment="0" applyProtection="0"/>
    <xf numFmtId="0" fontId="70" fillId="0" borderId="0" applyNumberFormat="0" applyFill="0" applyBorder="0" applyAlignment="0" applyProtection="0"/>
    <xf numFmtId="0" fontId="59" fillId="0" borderId="54" applyNumberFormat="0" applyFill="0" applyAlignment="0" applyProtection="0"/>
    <xf numFmtId="169" fontId="33" fillId="0" borderId="0" applyFont="0" applyFill="0" applyBorder="0" applyAlignment="0" applyProtection="0"/>
    <xf numFmtId="0" fontId="33" fillId="0" borderId="0"/>
    <xf numFmtId="0" fontId="1" fillId="0" borderId="0"/>
    <xf numFmtId="170" fontId="33" fillId="0" borderId="0"/>
    <xf numFmtId="170" fontId="33" fillId="0" borderId="0"/>
    <xf numFmtId="170" fontId="33" fillId="0" borderId="0"/>
    <xf numFmtId="170" fontId="33" fillId="0" borderId="0"/>
    <xf numFmtId="170" fontId="33" fillId="0" borderId="0"/>
    <xf numFmtId="170" fontId="33" fillId="0" borderId="0"/>
    <xf numFmtId="170" fontId="58" fillId="53" borderId="0" applyNumberFormat="0" applyBorder="0" applyAlignment="0" applyProtection="0"/>
    <xf numFmtId="170" fontId="58" fillId="54" borderId="0" applyNumberFormat="0" applyBorder="0" applyAlignment="0" applyProtection="0"/>
    <xf numFmtId="170" fontId="58" fillId="55" borderId="0" applyNumberFormat="0" applyBorder="0" applyAlignment="0" applyProtection="0"/>
    <xf numFmtId="170" fontId="58" fillId="56" borderId="0" applyNumberFormat="0" applyBorder="0" applyAlignment="0" applyProtection="0"/>
    <xf numFmtId="170" fontId="58" fillId="57" borderId="0" applyNumberFormat="0" applyBorder="0" applyAlignment="0" applyProtection="0"/>
    <xf numFmtId="170" fontId="58" fillId="58" borderId="0" applyNumberFormat="0" applyBorder="0" applyAlignment="0" applyProtection="0"/>
    <xf numFmtId="170" fontId="89" fillId="75" borderId="0" applyNumberFormat="0" applyBorder="0" applyAlignment="0" applyProtection="0">
      <alignment vertical="center"/>
    </xf>
    <xf numFmtId="170" fontId="89" fillId="76" borderId="0" applyNumberFormat="0" applyBorder="0" applyAlignment="0" applyProtection="0">
      <alignment vertical="center"/>
    </xf>
    <xf numFmtId="170" fontId="89" fillId="77" borderId="0" applyNumberFormat="0" applyBorder="0" applyAlignment="0" applyProtection="0">
      <alignment vertical="center"/>
    </xf>
    <xf numFmtId="170" fontId="89" fillId="78" borderId="0" applyNumberFormat="0" applyBorder="0" applyAlignment="0" applyProtection="0">
      <alignment vertical="center"/>
    </xf>
    <xf numFmtId="170" fontId="89" fillId="79" borderId="0" applyNumberFormat="0" applyBorder="0" applyAlignment="0" applyProtection="0">
      <alignment vertical="center"/>
    </xf>
    <xf numFmtId="170" fontId="89" fillId="80" borderId="0" applyNumberFormat="0" applyBorder="0" applyAlignment="0" applyProtection="0">
      <alignment vertical="center"/>
    </xf>
    <xf numFmtId="170" fontId="58" fillId="60" borderId="0" applyNumberFormat="0" applyBorder="0" applyAlignment="0" applyProtection="0"/>
    <xf numFmtId="170" fontId="58" fillId="61" borderId="0" applyNumberFormat="0" applyBorder="0" applyAlignment="0" applyProtection="0"/>
    <xf numFmtId="170" fontId="58" fillId="62" borderId="0" applyNumberFormat="0" applyBorder="0" applyAlignment="0" applyProtection="0"/>
    <xf numFmtId="170" fontId="58" fillId="56" borderId="0" applyNumberFormat="0" applyBorder="0" applyAlignment="0" applyProtection="0"/>
    <xf numFmtId="170" fontId="58" fillId="60" borderId="0" applyNumberFormat="0" applyBorder="0" applyAlignment="0" applyProtection="0"/>
    <xf numFmtId="170" fontId="58" fillId="63" borderId="0" applyNumberFormat="0" applyBorder="0" applyAlignment="0" applyProtection="0"/>
    <xf numFmtId="170" fontId="89" fillId="81" borderId="0" applyNumberFormat="0" applyBorder="0" applyAlignment="0" applyProtection="0">
      <alignment vertical="center"/>
    </xf>
    <xf numFmtId="170" fontId="89" fillId="82" borderId="0" applyNumberFormat="0" applyBorder="0" applyAlignment="0" applyProtection="0">
      <alignment vertical="center"/>
    </xf>
    <xf numFmtId="170" fontId="89" fillId="83" borderId="0" applyNumberFormat="0" applyBorder="0" applyAlignment="0" applyProtection="0">
      <alignment vertical="center"/>
    </xf>
    <xf numFmtId="170" fontId="89" fillId="84" borderId="0" applyNumberFormat="0" applyBorder="0" applyAlignment="0" applyProtection="0">
      <alignment vertical="center"/>
    </xf>
    <xf numFmtId="170" fontId="89" fillId="85" borderId="0" applyNumberFormat="0" applyBorder="0" applyAlignment="0" applyProtection="0">
      <alignment vertical="center"/>
    </xf>
    <xf numFmtId="170" fontId="89" fillId="86" borderId="0" applyNumberFormat="0" applyBorder="0" applyAlignment="0" applyProtection="0">
      <alignment vertical="center"/>
    </xf>
    <xf numFmtId="170" fontId="74" fillId="66" borderId="0" applyNumberFormat="0" applyBorder="0" applyAlignment="0" applyProtection="0"/>
    <xf numFmtId="170" fontId="74" fillId="61" borderId="0" applyNumberFormat="0" applyBorder="0" applyAlignment="0" applyProtection="0"/>
    <xf numFmtId="170" fontId="74" fillId="62" borderId="0" applyNumberFormat="0" applyBorder="0" applyAlignment="0" applyProtection="0"/>
    <xf numFmtId="170" fontId="74" fillId="67" borderId="0" applyNumberFormat="0" applyBorder="0" applyAlignment="0" applyProtection="0"/>
    <xf numFmtId="170" fontId="74" fillId="68" borderId="0" applyNumberFormat="0" applyBorder="0" applyAlignment="0" applyProtection="0"/>
    <xf numFmtId="170" fontId="74" fillId="69" borderId="0" applyNumberFormat="0" applyBorder="0" applyAlignment="0" applyProtection="0"/>
    <xf numFmtId="170" fontId="90" fillId="87" borderId="0" applyNumberFormat="0" applyBorder="0" applyAlignment="0" applyProtection="0">
      <alignment vertical="center"/>
    </xf>
    <xf numFmtId="170" fontId="90" fillId="88" borderId="0" applyNumberFormat="0" applyBorder="0" applyAlignment="0" applyProtection="0">
      <alignment vertical="center"/>
    </xf>
    <xf numFmtId="170" fontId="90" fillId="89" borderId="0" applyNumberFormat="0" applyBorder="0" applyAlignment="0" applyProtection="0">
      <alignment vertical="center"/>
    </xf>
    <xf numFmtId="170" fontId="90" fillId="90" borderId="0" applyNumberFormat="0" applyBorder="0" applyAlignment="0" applyProtection="0">
      <alignment vertical="center"/>
    </xf>
    <xf numFmtId="170" fontId="90" fillId="91" borderId="0" applyNumberFormat="0" applyBorder="0" applyAlignment="0" applyProtection="0">
      <alignment vertical="center"/>
    </xf>
    <xf numFmtId="170" fontId="90" fillId="92" borderId="0" applyNumberFormat="0" applyBorder="0" applyAlignment="0" applyProtection="0">
      <alignment vertical="center"/>
    </xf>
    <xf numFmtId="170" fontId="74" fillId="70" borderId="0" applyNumberFormat="0" applyBorder="0" applyAlignment="0" applyProtection="0"/>
    <xf numFmtId="170" fontId="74" fillId="71" borderId="0" applyNumberFormat="0" applyBorder="0" applyAlignment="0" applyProtection="0"/>
    <xf numFmtId="170" fontId="74" fillId="72" borderId="0" applyNumberFormat="0" applyBorder="0" applyAlignment="0" applyProtection="0"/>
    <xf numFmtId="170" fontId="74" fillId="67" borderId="0" applyNumberFormat="0" applyBorder="0" applyAlignment="0" applyProtection="0"/>
    <xf numFmtId="170" fontId="74" fillId="68" borderId="0" applyNumberFormat="0" applyBorder="0" applyAlignment="0" applyProtection="0"/>
    <xf numFmtId="170" fontId="74" fillId="73" borderId="0" applyNumberFormat="0" applyBorder="0" applyAlignment="0" applyProtection="0"/>
    <xf numFmtId="170" fontId="75" fillId="54" borderId="0" applyNumberFormat="0" applyBorder="0" applyAlignment="0" applyProtection="0"/>
    <xf numFmtId="170" fontId="76" fillId="64" borderId="55" applyNumberFormat="0" applyAlignment="0" applyProtection="0"/>
    <xf numFmtId="170" fontId="77" fillId="74" borderId="56" applyNumberFormat="0" applyAlignment="0" applyProtection="0"/>
    <xf numFmtId="169" fontId="71"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169" fontId="71" fillId="0" borderId="0" applyFont="0" applyFill="0" applyBorder="0" applyAlignment="0" applyProtection="0"/>
    <xf numFmtId="169" fontId="71" fillId="0" borderId="0" applyFont="0" applyFill="0" applyBorder="0" applyAlignment="0" applyProtection="0"/>
    <xf numFmtId="43" fontId="1" fillId="0" borderId="0" applyFont="0" applyFill="0" applyBorder="0" applyAlignment="0" applyProtection="0"/>
    <xf numFmtId="170" fontId="78" fillId="0" borderId="0" applyNumberFormat="0" applyFill="0" applyBorder="0" applyAlignment="0" applyProtection="0"/>
    <xf numFmtId="170" fontId="79" fillId="55" borderId="0" applyNumberFormat="0" applyBorder="0" applyAlignment="0" applyProtection="0"/>
    <xf numFmtId="170" fontId="80" fillId="0" borderId="57" applyNumberFormat="0" applyFill="0" applyAlignment="0" applyProtection="0"/>
    <xf numFmtId="170" fontId="81" fillId="0" borderId="58" applyNumberFormat="0" applyFill="0" applyAlignment="0" applyProtection="0"/>
    <xf numFmtId="170" fontId="82" fillId="0" borderId="59" applyNumberFormat="0" applyFill="0" applyAlignment="0" applyProtection="0"/>
    <xf numFmtId="170" fontId="82" fillId="0" borderId="0" applyNumberFormat="0" applyFill="0" applyBorder="0" applyAlignment="0" applyProtection="0"/>
    <xf numFmtId="170" fontId="34"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34" fillId="0" borderId="0" applyNumberFormat="0" applyFill="0" applyBorder="0" applyAlignment="0" applyProtection="0">
      <alignment vertical="top"/>
      <protection locked="0"/>
    </xf>
    <xf numFmtId="170" fontId="91"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34"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34"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34"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72" fillId="0" borderId="0" applyNumberFormat="0" applyFill="0" applyBorder="0" applyAlignment="0" applyProtection="0">
      <alignment vertical="top"/>
      <protection locked="0"/>
    </xf>
    <xf numFmtId="170" fontId="83" fillId="58" borderId="55" applyNumberFormat="0" applyAlignment="0" applyProtection="0"/>
    <xf numFmtId="170" fontId="84" fillId="0" borderId="60" applyNumberFormat="0" applyFill="0" applyAlignment="0" applyProtection="0"/>
    <xf numFmtId="170" fontId="85" fillId="65" borderId="0" applyNumberFormat="0" applyBorder="0" applyAlignment="0" applyProtection="0"/>
    <xf numFmtId="170" fontId="1" fillId="0" borderId="0"/>
    <xf numFmtId="170" fontId="71" fillId="0" borderId="0"/>
    <xf numFmtId="170" fontId="1" fillId="0" borderId="0"/>
    <xf numFmtId="170" fontId="71" fillId="0" borderId="0"/>
    <xf numFmtId="170" fontId="1" fillId="0" borderId="0"/>
    <xf numFmtId="170" fontId="71" fillId="0" borderId="0"/>
    <xf numFmtId="170" fontId="71" fillId="0" borderId="0"/>
    <xf numFmtId="170" fontId="1" fillId="0" borderId="0"/>
    <xf numFmtId="170" fontId="71" fillId="0" borderId="0"/>
    <xf numFmtId="170" fontId="1" fillId="0" borderId="0"/>
    <xf numFmtId="170" fontId="33" fillId="0" borderId="0"/>
    <xf numFmtId="170" fontId="89" fillId="0" borderId="0"/>
    <xf numFmtId="170" fontId="71" fillId="0" borderId="0"/>
    <xf numFmtId="170" fontId="1" fillId="0" borderId="0"/>
    <xf numFmtId="170" fontId="1" fillId="0" borderId="0"/>
    <xf numFmtId="170" fontId="1" fillId="0" borderId="0"/>
    <xf numFmtId="170" fontId="1" fillId="0" borderId="0"/>
    <xf numFmtId="170" fontId="1" fillId="0" borderId="0"/>
    <xf numFmtId="170" fontId="71" fillId="0" borderId="0"/>
    <xf numFmtId="0" fontId="1" fillId="0" borderId="0"/>
    <xf numFmtId="170" fontId="1" fillId="0" borderId="0"/>
    <xf numFmtId="0" fontId="71" fillId="0" borderId="0"/>
    <xf numFmtId="170" fontId="1" fillId="0" borderId="0"/>
    <xf numFmtId="0" fontId="1" fillId="0" borderId="0"/>
    <xf numFmtId="170" fontId="71" fillId="0" borderId="0"/>
    <xf numFmtId="170" fontId="1" fillId="0" borderId="0"/>
    <xf numFmtId="170" fontId="1" fillId="0" borderId="0"/>
    <xf numFmtId="170" fontId="1" fillId="0" borderId="0"/>
    <xf numFmtId="170" fontId="33" fillId="59" borderId="61" applyNumberFormat="0" applyFont="0" applyAlignment="0" applyProtection="0"/>
    <xf numFmtId="170" fontId="33" fillId="59" borderId="61" applyNumberFormat="0" applyFont="0" applyAlignment="0" applyProtection="0"/>
    <xf numFmtId="170" fontId="33" fillId="59" borderId="61" applyNumberFormat="0" applyFont="0" applyAlignment="0" applyProtection="0"/>
    <xf numFmtId="170" fontId="86" fillId="64" borderId="62" applyNumberFormat="0" applyAlignment="0" applyProtection="0"/>
    <xf numFmtId="9" fontId="71" fillId="0" borderId="0" applyFont="0" applyFill="0" applyBorder="0" applyAlignment="0" applyProtection="0"/>
    <xf numFmtId="9" fontId="33" fillId="0" borderId="0" applyFont="0" applyFill="0" applyBorder="0" applyAlignment="0" applyProtection="0"/>
    <xf numFmtId="170" fontId="38" fillId="0" borderId="0"/>
    <xf numFmtId="170" fontId="73" fillId="0" borderId="0" applyNumberFormat="0" applyFill="0" applyBorder="0" applyAlignment="0" applyProtection="0"/>
    <xf numFmtId="170" fontId="87" fillId="0" borderId="63" applyNumberFormat="0" applyFill="0" applyAlignment="0" applyProtection="0"/>
    <xf numFmtId="170" fontId="88" fillId="0" borderId="0" applyNumberFormat="0" applyFill="0" applyBorder="0" applyAlignment="0" applyProtection="0"/>
    <xf numFmtId="170" fontId="92" fillId="4" borderId="0" applyNumberFormat="0" applyBorder="0" applyAlignment="0" applyProtection="0">
      <alignment vertical="center"/>
    </xf>
    <xf numFmtId="170" fontId="93" fillId="5" borderId="0" applyNumberFormat="0" applyBorder="0" applyAlignment="0" applyProtection="0">
      <alignment vertical="center"/>
    </xf>
    <xf numFmtId="170" fontId="90" fillId="93" borderId="0" applyNumberFormat="0" applyBorder="0" applyAlignment="0" applyProtection="0">
      <alignment vertical="center"/>
    </xf>
    <xf numFmtId="170" fontId="90" fillId="94" borderId="0" applyNumberFormat="0" applyBorder="0" applyAlignment="0" applyProtection="0">
      <alignment vertical="center"/>
    </xf>
    <xf numFmtId="170" fontId="90" fillId="95" borderId="0" applyNumberFormat="0" applyBorder="0" applyAlignment="0" applyProtection="0">
      <alignment vertical="center"/>
    </xf>
    <xf numFmtId="170" fontId="90" fillId="96" borderId="0" applyNumberFormat="0" applyBorder="0" applyAlignment="0" applyProtection="0">
      <alignment vertical="center"/>
    </xf>
    <xf numFmtId="170" fontId="90" fillId="97" borderId="0" applyNumberFormat="0" applyBorder="0" applyAlignment="0" applyProtection="0">
      <alignment vertical="center"/>
    </xf>
    <xf numFmtId="170" fontId="90" fillId="98" borderId="0" applyNumberFormat="0" applyBorder="0" applyAlignment="0" applyProtection="0">
      <alignment vertical="center"/>
    </xf>
    <xf numFmtId="170" fontId="94" fillId="0" borderId="0" applyNumberFormat="0" applyFill="0" applyBorder="0" applyAlignment="0" applyProtection="0">
      <alignment vertical="center"/>
    </xf>
    <xf numFmtId="170" fontId="95" fillId="0" borderId="64" applyNumberFormat="0" applyFill="0" applyAlignment="0" applyProtection="0">
      <alignment vertical="center"/>
    </xf>
    <xf numFmtId="170" fontId="96" fillId="0" borderId="65" applyNumberFormat="0" applyFill="0" applyAlignment="0" applyProtection="0">
      <alignment vertical="center"/>
    </xf>
    <xf numFmtId="170" fontId="97" fillId="0" borderId="66" applyNumberFormat="0" applyFill="0" applyAlignment="0" applyProtection="0">
      <alignment vertical="center"/>
    </xf>
    <xf numFmtId="170" fontId="97" fillId="0" borderId="0" applyNumberFormat="0" applyFill="0" applyBorder="0" applyAlignment="0" applyProtection="0">
      <alignment vertical="center"/>
    </xf>
    <xf numFmtId="170" fontId="98" fillId="9" borderId="25" applyNumberFormat="0" applyAlignment="0" applyProtection="0">
      <alignment vertical="center"/>
    </xf>
    <xf numFmtId="170" fontId="99" fillId="0" borderId="67" applyNumberFormat="0" applyFill="0" applyAlignment="0" applyProtection="0">
      <alignment vertical="center"/>
    </xf>
    <xf numFmtId="170" fontId="71" fillId="10" borderId="26" applyNumberFormat="0" applyFont="0" applyAlignment="0" applyProtection="0">
      <alignment vertical="center"/>
    </xf>
    <xf numFmtId="170" fontId="100" fillId="0" borderId="0" applyNumberFormat="0" applyFill="0" applyBorder="0" applyAlignment="0" applyProtection="0">
      <alignment vertical="center"/>
    </xf>
    <xf numFmtId="170" fontId="101" fillId="0" borderId="0" applyNumberFormat="0" applyFill="0" applyBorder="0" applyAlignment="0" applyProtection="0">
      <alignment vertical="center"/>
    </xf>
    <xf numFmtId="170" fontId="102" fillId="8" borderId="22" applyNumberFormat="0" applyAlignment="0" applyProtection="0">
      <alignment vertical="center"/>
    </xf>
    <xf numFmtId="170" fontId="103" fillId="7" borderId="22" applyNumberFormat="0" applyAlignment="0" applyProtection="0">
      <alignment vertical="center"/>
    </xf>
    <xf numFmtId="170" fontId="104" fillId="8" borderId="23" applyNumberFormat="0" applyAlignment="0" applyProtection="0">
      <alignment vertical="center"/>
    </xf>
    <xf numFmtId="170" fontId="105" fillId="6" borderId="0" applyNumberFormat="0" applyBorder="0" applyAlignment="0" applyProtection="0">
      <alignment vertical="center"/>
    </xf>
    <xf numFmtId="170" fontId="106" fillId="0" borderId="24" applyNumberFormat="0" applyFill="0" applyAlignment="0" applyProtection="0">
      <alignment vertical="center"/>
    </xf>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44" fontId="107" fillId="0" borderId="0" applyFont="0" applyFill="0" applyBorder="0" applyAlignment="0" applyProtection="0"/>
    <xf numFmtId="0" fontId="108" fillId="6" borderId="0" applyNumberFormat="0" applyBorder="0" applyAlignment="0" applyProtection="0"/>
    <xf numFmtId="169" fontId="33" fillId="0" borderId="0" applyFont="0" applyFill="0" applyBorder="0" applyAlignment="0" applyProtection="0"/>
    <xf numFmtId="169" fontId="7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71" fillId="0" borderId="0" applyFont="0" applyFill="0" applyBorder="0" applyAlignment="0" applyProtection="0"/>
    <xf numFmtId="169" fontId="71" fillId="0" borderId="0" applyFont="0" applyFill="0" applyBorder="0" applyAlignment="0" applyProtection="0"/>
    <xf numFmtId="169" fontId="1"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33" fillId="0" borderId="0"/>
    <xf numFmtId="0" fontId="33" fillId="0" borderId="0"/>
    <xf numFmtId="0" fontId="34" fillId="0" borderId="0" applyNumberFormat="0" applyFill="0" applyBorder="0" applyAlignment="0" applyProtection="0">
      <alignment vertical="top"/>
      <protection locked="0"/>
    </xf>
    <xf numFmtId="9" fontId="2" fillId="0" borderId="0" applyFont="0" applyFill="0" applyBorder="0" applyAlignment="0" applyProtection="0"/>
    <xf numFmtId="0" fontId="2" fillId="0" borderId="0">
      <alignment horizontal="left" vertical="center" wrapText="1"/>
    </xf>
    <xf numFmtId="0" fontId="33" fillId="49" borderId="72" applyNumberFormat="0" applyFont="0" applyAlignment="0" applyProtection="0"/>
    <xf numFmtId="0" fontId="33" fillId="48" borderId="71" applyNumberFormat="0" applyFont="0" applyAlignment="0" applyProtection="0"/>
    <xf numFmtId="0" fontId="33" fillId="0" borderId="70" applyNumberFormat="0" applyFont="0" applyFill="0" applyAlignment="0" applyProtection="0"/>
    <xf numFmtId="0" fontId="33" fillId="0" borderId="69" applyNumberFormat="0" applyFont="0" applyFill="0" applyAlignment="0" applyProtection="0"/>
    <xf numFmtId="0" fontId="33" fillId="0" borderId="68" applyNumberFormat="0" applyFont="0" applyFill="0" applyAlignment="0" applyProtection="0"/>
    <xf numFmtId="170" fontId="1" fillId="0" borderId="0"/>
    <xf numFmtId="170" fontId="1" fillId="0" borderId="0"/>
    <xf numFmtId="170" fontId="1" fillId="0" borderId="0"/>
    <xf numFmtId="0" fontId="109" fillId="0" borderId="0" applyNumberForma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3" fontId="2" fillId="0" borderId="0">
      <alignment horizontal="left" vertical="top" wrapText="1"/>
    </xf>
    <xf numFmtId="3" fontId="33" fillId="0" borderId="0">
      <alignment horizontal="left" vertical="top" wrapText="1"/>
    </xf>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0" fontId="110" fillId="4" borderId="0" applyNumberFormat="0" applyBorder="0" applyAlignment="0" applyProtection="0"/>
    <xf numFmtId="0" fontId="111" fillId="0" borderId="0" applyNumberFormat="0" applyFill="0" applyBorder="0" applyAlignment="0" applyProtection="0">
      <alignment vertical="top"/>
      <protection locked="0"/>
    </xf>
    <xf numFmtId="9" fontId="1" fillId="0" borderId="0" applyFont="0" applyFill="0" applyBorder="0" applyAlignment="0" applyProtection="0"/>
    <xf numFmtId="0" fontId="33" fillId="50" borderId="73" applyNumberFormat="0" applyFont="0" applyAlignment="0" applyProtection="0"/>
    <xf numFmtId="0" fontId="2" fillId="0" borderId="0"/>
    <xf numFmtId="0" fontId="33" fillId="50" borderId="79" applyNumberFormat="0" applyFont="0" applyAlignment="0" applyProtection="0"/>
    <xf numFmtId="0" fontId="33" fillId="49" borderId="78" applyNumberFormat="0" applyFont="0" applyAlignment="0" applyProtection="0"/>
    <xf numFmtId="0" fontId="33" fillId="48" borderId="77" applyNumberFormat="0" applyFont="0" applyAlignment="0" applyProtection="0"/>
    <xf numFmtId="0" fontId="33" fillId="0" borderId="76" applyNumberFormat="0" applyFont="0" applyFill="0" applyAlignment="0" applyProtection="0"/>
    <xf numFmtId="0" fontId="33" fillId="0" borderId="75" applyNumberFormat="0" applyFont="0" applyFill="0" applyAlignment="0" applyProtection="0"/>
    <xf numFmtId="0" fontId="33" fillId="0" borderId="74" applyNumberFormat="0" applyFont="0" applyFill="0" applyAlignment="0" applyProtection="0"/>
  </cellStyleXfs>
  <cellXfs count="140">
    <xf numFmtId="0" fontId="0" fillId="0" borderId="0" xfId="0"/>
    <xf numFmtId="0" fontId="5" fillId="2" borderId="0" xfId="0" applyFont="1" applyFill="1" applyBorder="1"/>
    <xf numFmtId="0" fontId="5" fillId="3" borderId="0" xfId="0" applyFont="1" applyFill="1"/>
    <xf numFmtId="0" fontId="6" fillId="3" borderId="0" xfId="2" applyFont="1" applyFill="1" applyAlignment="1"/>
    <xf numFmtId="9" fontId="7" fillId="3" borderId="0" xfId="1" applyFont="1" applyFill="1" applyBorder="1" applyAlignment="1">
      <alignment horizontal="right"/>
    </xf>
    <xf numFmtId="0" fontId="4" fillId="3" borderId="0" xfId="0" applyFont="1" applyFill="1"/>
    <xf numFmtId="0" fontId="10" fillId="3" borderId="0" xfId="0" applyFont="1" applyFill="1"/>
    <xf numFmtId="0" fontId="5" fillId="2" borderId="0" xfId="0" applyFont="1" applyFill="1"/>
    <xf numFmtId="0" fontId="5" fillId="3" borderId="0" xfId="0" applyFont="1" applyFill="1" applyBorder="1"/>
    <xf numFmtId="0" fontId="11" fillId="3" borderId="0" xfId="0" applyFont="1" applyFill="1" applyBorder="1"/>
    <xf numFmtId="0" fontId="5" fillId="3" borderId="7" xfId="0" applyFont="1" applyFill="1" applyBorder="1"/>
    <xf numFmtId="0" fontId="11" fillId="3" borderId="8" xfId="0" applyFont="1" applyFill="1" applyBorder="1"/>
    <xf numFmtId="0" fontId="5" fillId="3" borderId="9" xfId="0" applyFont="1" applyFill="1" applyBorder="1"/>
    <xf numFmtId="0" fontId="5" fillId="3" borderId="10" xfId="0" applyFont="1" applyFill="1" applyBorder="1"/>
    <xf numFmtId="0" fontId="11" fillId="3" borderId="11" xfId="0" applyFont="1" applyFill="1" applyBorder="1"/>
    <xf numFmtId="0" fontId="5" fillId="3" borderId="12" xfId="0" applyFont="1" applyFill="1" applyBorder="1"/>
    <xf numFmtId="0" fontId="11" fillId="3" borderId="13" xfId="0" applyFont="1" applyFill="1" applyBorder="1"/>
    <xf numFmtId="0" fontId="5" fillId="3" borderId="14" xfId="0" applyFont="1" applyFill="1" applyBorder="1"/>
    <xf numFmtId="0" fontId="5" fillId="3" borderId="15" xfId="0" applyFont="1" applyFill="1" applyBorder="1"/>
    <xf numFmtId="0" fontId="4" fillId="3" borderId="7" xfId="0" applyFont="1" applyFill="1" applyBorder="1"/>
    <xf numFmtId="0" fontId="5" fillId="3" borderId="0" xfId="0" applyFont="1" applyFill="1" applyAlignment="1">
      <alignment horizontal="left" indent="1"/>
    </xf>
    <xf numFmtId="0" fontId="4" fillId="3" borderId="0" xfId="0" applyFont="1" applyFill="1" applyBorder="1"/>
    <xf numFmtId="0" fontId="4" fillId="2" borderId="0" xfId="0" applyFont="1" applyFill="1" applyBorder="1"/>
    <xf numFmtId="0" fontId="5" fillId="3" borderId="0" xfId="0" applyFont="1" applyFill="1" applyBorder="1" applyAlignment="1">
      <alignment horizontal="left" indent="1"/>
    </xf>
    <xf numFmtId="0" fontId="4" fillId="3" borderId="0" xfId="2" applyFont="1" applyFill="1" applyAlignment="1"/>
    <xf numFmtId="0" fontId="10" fillId="2" borderId="0" xfId="0" applyFont="1" applyFill="1" applyBorder="1"/>
    <xf numFmtId="0" fontId="11" fillId="2" borderId="0" xfId="0" applyFont="1" applyFill="1" applyBorder="1"/>
    <xf numFmtId="0" fontId="5" fillId="2" borderId="0" xfId="0" applyFont="1" applyFill="1" applyBorder="1" applyAlignment="1">
      <alignment horizontal="left" indent="1"/>
    </xf>
    <xf numFmtId="0" fontId="5" fillId="3" borderId="7" xfId="0" applyFont="1" applyFill="1" applyBorder="1" applyAlignment="1">
      <alignment horizontal="left" indent="1"/>
    </xf>
    <xf numFmtId="0" fontId="4" fillId="2" borderId="0" xfId="0" applyFont="1" applyFill="1" applyBorder="1" applyAlignment="1"/>
    <xf numFmtId="0" fontId="8" fillId="2" borderId="16" xfId="3" applyFont="1" applyFill="1" applyBorder="1" applyAlignment="1">
      <alignment horizontal="center" vertical="center"/>
    </xf>
    <xf numFmtId="0" fontId="9" fillId="2" borderId="16" xfId="2" applyFont="1" applyFill="1" applyBorder="1" applyAlignment="1">
      <alignment horizontal="center" vertical="center"/>
    </xf>
    <xf numFmtId="164" fontId="7" fillId="2" borderId="16" xfId="3" applyNumberFormat="1" applyFont="1" applyFill="1" applyBorder="1" applyAlignment="1">
      <alignment horizontal="left" vertical="center"/>
    </xf>
    <xf numFmtId="4" fontId="9" fillId="2" borderId="16" xfId="2" applyNumberFormat="1" applyFont="1" applyFill="1" applyBorder="1"/>
    <xf numFmtId="0" fontId="7" fillId="2" borderId="16" xfId="3" applyNumberFormat="1" applyFont="1" applyFill="1" applyBorder="1" applyAlignment="1">
      <alignment horizontal="left" vertical="center"/>
    </xf>
    <xf numFmtId="0" fontId="11" fillId="3" borderId="0" xfId="0" applyFont="1" applyFill="1"/>
    <xf numFmtId="165" fontId="0" fillId="0" borderId="0" xfId="0" applyNumberFormat="1" applyAlignment="1">
      <alignment horizontal="right" vertical="top"/>
    </xf>
    <xf numFmtId="0" fontId="13" fillId="0" borderId="16" xfId="0" applyFont="1" applyFill="1" applyBorder="1" applyAlignment="1">
      <alignment horizontal="center"/>
    </xf>
    <xf numFmtId="4" fontId="0" fillId="0" borderId="0" xfId="0" applyNumberFormat="1" applyAlignment="1">
      <alignment horizontal="right" vertical="top"/>
    </xf>
    <xf numFmtId="14" fontId="0" fillId="0" borderId="0" xfId="0" applyNumberFormat="1"/>
    <xf numFmtId="14" fontId="15" fillId="0" borderId="0" xfId="0" applyNumberFormat="1" applyFont="1"/>
    <xf numFmtId="4" fontId="9" fillId="2" borderId="16" xfId="2" applyNumberFormat="1" applyFont="1" applyFill="1" applyBorder="1"/>
    <xf numFmtId="3" fontId="9" fillId="2" borderId="16" xfId="2" applyNumberFormat="1" applyFont="1" applyFill="1" applyBorder="1"/>
    <xf numFmtId="0" fontId="9" fillId="2" borderId="16" xfId="2" applyFont="1" applyFill="1" applyBorder="1" applyAlignment="1">
      <alignment horizontal="center" vertical="center" wrapText="1"/>
    </xf>
    <xf numFmtId="0" fontId="0" fillId="0" borderId="0" xfId="0" applyAlignment="1">
      <alignment wrapText="1"/>
    </xf>
    <xf numFmtId="2" fontId="15" fillId="0" borderId="0" xfId="0" applyNumberFormat="1" applyFont="1" applyAlignment="1">
      <alignment wrapText="1"/>
    </xf>
    <xf numFmtId="14" fontId="5" fillId="3" borderId="0" xfId="0" applyNumberFormat="1" applyFont="1" applyFill="1"/>
    <xf numFmtId="0" fontId="48" fillId="39" borderId="0" xfId="33213">
      <alignment horizontal="left" vertical="center"/>
    </xf>
    <xf numFmtId="0" fontId="9" fillId="0" borderId="0" xfId="33214" applyAlignment="1"/>
    <xf numFmtId="0" fontId="49" fillId="39" borderId="0" xfId="33215">
      <alignment horizontal="left" vertical="center"/>
    </xf>
    <xf numFmtId="0" fontId="50" fillId="0" borderId="0" xfId="33216" applyAlignment="1">
      <alignment wrapText="1"/>
    </xf>
    <xf numFmtId="0" fontId="50" fillId="0" borderId="0" xfId="33216" applyAlignment="1"/>
    <xf numFmtId="0" fontId="50" fillId="0" borderId="34" xfId="33217" applyAlignment="1">
      <alignment wrapText="1"/>
    </xf>
    <xf numFmtId="0" fontId="50" fillId="0" borderId="35" xfId="33218" applyAlignment="1">
      <alignment vertical="center"/>
    </xf>
    <xf numFmtId="0" fontId="51" fillId="0" borderId="0" xfId="33219">
      <alignment horizontal="left" vertical="center" wrapText="1"/>
    </xf>
    <xf numFmtId="0" fontId="9" fillId="0" borderId="0" xfId="33214" applyAlignment="1">
      <alignment vertical="top" wrapText="1"/>
    </xf>
    <xf numFmtId="0" fontId="51" fillId="0" borderId="0" xfId="33220">
      <alignment horizontal="left" vertical="center" wrapText="1" indent="2"/>
    </xf>
    <xf numFmtId="0" fontId="51" fillId="0" borderId="0" xfId="33221">
      <alignment horizontal="left" vertical="center" wrapText="1" indent="3"/>
    </xf>
    <xf numFmtId="0" fontId="51" fillId="0" borderId="0" xfId="33222">
      <alignment horizontal="left" vertical="center" wrapText="1" indent="4"/>
    </xf>
    <xf numFmtId="0" fontId="7" fillId="40" borderId="0" xfId="33223" applyAlignment="1">
      <alignment vertical="center"/>
    </xf>
    <xf numFmtId="0" fontId="51" fillId="0" borderId="0" xfId="33219" applyAlignment="1">
      <alignment vertical="top" wrapText="1"/>
    </xf>
    <xf numFmtId="0" fontId="51" fillId="0" borderId="0" xfId="33220" applyAlignment="1"/>
    <xf numFmtId="3" fontId="50" fillId="0" borderId="36" xfId="33224">
      <alignment vertical="center"/>
    </xf>
    <xf numFmtId="0" fontId="52" fillId="0" borderId="0" xfId="33226" applyAlignment="1"/>
    <xf numFmtId="0" fontId="9" fillId="0" borderId="0" xfId="33214">
      <alignment horizontal="left" vertical="top" wrapText="1"/>
    </xf>
    <xf numFmtId="0" fontId="54" fillId="0" borderId="0" xfId="33214" applyFont="1" applyAlignment="1">
      <alignment vertical="top"/>
    </xf>
    <xf numFmtId="0" fontId="4" fillId="0" borderId="0" xfId="33214" applyFont="1" applyAlignment="1">
      <alignment horizontal="left"/>
    </xf>
    <xf numFmtId="0" fontId="4" fillId="0" borderId="0" xfId="33214" applyFont="1" applyAlignment="1">
      <alignment horizontal="center" wrapText="1"/>
    </xf>
    <xf numFmtId="0" fontId="4" fillId="0" borderId="0" xfId="33214" applyFont="1" applyAlignment="1">
      <alignment horizontal="center"/>
    </xf>
    <xf numFmtId="0" fontId="4" fillId="0" borderId="0" xfId="33214" applyFont="1" applyAlignment="1">
      <alignment horizontal="left" vertical="center" wrapText="1"/>
    </xf>
    <xf numFmtId="0" fontId="5" fillId="0" borderId="0" xfId="33214" applyFont="1" applyAlignment="1">
      <alignment horizontal="left" vertical="center" wrapText="1"/>
    </xf>
    <xf numFmtId="0" fontId="50" fillId="0" borderId="0" xfId="33216">
      <alignment wrapText="1"/>
    </xf>
    <xf numFmtId="0" fontId="50" fillId="0" borderId="34" xfId="33217">
      <alignment wrapText="1"/>
    </xf>
    <xf numFmtId="0" fontId="50" fillId="0" borderId="35" xfId="33218">
      <alignment horizontal="left" vertical="center"/>
    </xf>
    <xf numFmtId="0" fontId="9" fillId="0" borderId="0" xfId="33214" applyAlignment="1">
      <alignment horizontal="left" vertical="center" wrapText="1"/>
    </xf>
    <xf numFmtId="0" fontId="51" fillId="0" borderId="0" xfId="33220" applyNumberFormat="1">
      <alignment horizontal="left" vertical="center" wrapText="1" indent="2"/>
    </xf>
    <xf numFmtId="0" fontId="51" fillId="0" borderId="0" xfId="33221" applyNumberFormat="1">
      <alignment horizontal="left" vertical="center" wrapText="1" indent="3"/>
    </xf>
    <xf numFmtId="0" fontId="51" fillId="0" borderId="0" xfId="33222" applyNumberFormat="1">
      <alignment horizontal="left" vertical="center" wrapText="1" indent="4"/>
    </xf>
    <xf numFmtId="0" fontId="52" fillId="0" borderId="0" xfId="33225">
      <alignment horizontal="left"/>
    </xf>
    <xf numFmtId="0" fontId="52" fillId="0" borderId="0" xfId="33226">
      <alignment horizontal="left"/>
    </xf>
    <xf numFmtId="0" fontId="4" fillId="3" borderId="0" xfId="2" applyFont="1" applyFill="1"/>
    <xf numFmtId="0" fontId="6" fillId="3" borderId="0" xfId="2" applyFont="1" applyFill="1"/>
    <xf numFmtId="0" fontId="7" fillId="2" borderId="16" xfId="3" applyFont="1" applyFill="1" applyBorder="1" applyAlignment="1">
      <alignment horizontal="left" vertical="center"/>
    </xf>
    <xf numFmtId="0" fontId="4" fillId="2" borderId="0" xfId="0" applyFont="1" applyFill="1"/>
    <xf numFmtId="0" fontId="10" fillId="2" borderId="0" xfId="0" applyFont="1" applyFill="1"/>
    <xf numFmtId="0" fontId="11" fillId="2" borderId="0" xfId="0" applyFont="1" applyFill="1"/>
    <xf numFmtId="0" fontId="5" fillId="2" borderId="0" xfId="0" applyFont="1" applyFill="1" applyAlignment="1">
      <alignment horizontal="left" indent="1"/>
    </xf>
    <xf numFmtId="0" fontId="58" fillId="41" borderId="0" xfId="33236" applyFont="1" applyFill="1"/>
    <xf numFmtId="14" fontId="58" fillId="41" borderId="0" xfId="33236" applyNumberFormat="1" applyFont="1" applyFill="1"/>
    <xf numFmtId="0" fontId="9" fillId="2" borderId="16" xfId="2" applyFont="1" applyFill="1" applyBorder="1"/>
    <xf numFmtId="4" fontId="5" fillId="3" borderId="0" xfId="0" applyNumberFormat="1" applyFont="1" applyFill="1"/>
    <xf numFmtId="0" fontId="13" fillId="0" borderId="16" xfId="0" applyFont="1" applyBorder="1" applyAlignment="1">
      <alignment horizontal="center"/>
    </xf>
    <xf numFmtId="0" fontId="5" fillId="43" borderId="0" xfId="0" applyFont="1" applyFill="1"/>
    <xf numFmtId="0" fontId="4" fillId="0" borderId="40" xfId="0" applyFont="1" applyBorder="1" applyAlignment="1">
      <alignment horizontal="center" vertical="center"/>
    </xf>
    <xf numFmtId="0" fontId="4" fillId="0" borderId="41" xfId="0" applyFont="1" applyBorder="1" applyAlignment="1">
      <alignment horizontal="center" vertical="center"/>
    </xf>
    <xf numFmtId="0" fontId="4" fillId="0" borderId="4" xfId="0" applyFont="1" applyBorder="1" applyAlignment="1">
      <alignment horizontal="center" vertical="center"/>
    </xf>
    <xf numFmtId="0" fontId="4" fillId="0" borderId="42" xfId="0" applyFont="1" applyBorder="1" applyAlignment="1">
      <alignment horizontal="center" vertical="center"/>
    </xf>
    <xf numFmtId="0" fontId="4" fillId="0" borderId="43" xfId="0" applyFont="1" applyBorder="1" applyAlignment="1">
      <alignment horizontal="center" vertical="center"/>
    </xf>
    <xf numFmtId="167" fontId="13" fillId="0" borderId="16" xfId="0" applyNumberFormat="1" applyFont="1" applyFill="1" applyBorder="1" applyAlignment="1">
      <alignment horizontal="center"/>
    </xf>
    <xf numFmtId="14" fontId="4" fillId="3" borderId="0" xfId="2" applyNumberFormat="1" applyFont="1" applyFill="1" applyAlignment="1"/>
    <xf numFmtId="14" fontId="8" fillId="2" borderId="16" xfId="3" applyNumberFormat="1" applyFont="1" applyFill="1" applyBorder="1" applyAlignment="1">
      <alignment horizontal="center" vertical="center"/>
    </xf>
    <xf numFmtId="14" fontId="13" fillId="0" borderId="16" xfId="0" applyNumberFormat="1" applyFont="1" applyFill="1" applyBorder="1" applyAlignment="1">
      <alignment horizontal="center"/>
    </xf>
    <xf numFmtId="14" fontId="0" fillId="0" borderId="0" xfId="0" applyNumberFormat="1" applyAlignment="1">
      <alignment horizontal="right" vertical="top"/>
    </xf>
    <xf numFmtId="0" fontId="8" fillId="0" borderId="16" xfId="0" applyFont="1" applyBorder="1" applyAlignment="1">
      <alignment horizontal="center"/>
    </xf>
    <xf numFmtId="0" fontId="66" fillId="2" borderId="16" xfId="2" applyFont="1" applyFill="1" applyBorder="1" applyAlignment="1">
      <alignment horizontal="center" vertical="center"/>
    </xf>
    <xf numFmtId="2" fontId="7" fillId="0" borderId="16" xfId="54" applyNumberFormat="1" applyFont="1" applyBorder="1" applyAlignment="1">
      <alignment horizontal="center" vertical="center"/>
    </xf>
    <xf numFmtId="0" fontId="7" fillId="0" borderId="44" xfId="0" applyFont="1" applyBorder="1" applyAlignment="1">
      <alignment horizontal="center"/>
    </xf>
    <xf numFmtId="168" fontId="13" fillId="0" borderId="18" xfId="0" applyNumberFormat="1" applyFont="1" applyBorder="1" applyAlignment="1">
      <alignment horizontal="center"/>
    </xf>
    <xf numFmtId="168" fontId="13" fillId="0" borderId="16" xfId="0" applyNumberFormat="1" applyFont="1" applyFill="1" applyBorder="1" applyAlignment="1">
      <alignment horizontal="center"/>
    </xf>
    <xf numFmtId="168" fontId="13" fillId="0" borderId="30" xfId="0" applyNumberFormat="1" applyFont="1" applyFill="1" applyBorder="1" applyAlignment="1">
      <alignment horizontal="center"/>
    </xf>
    <xf numFmtId="2" fontId="13" fillId="0" borderId="30" xfId="0" applyNumberFormat="1" applyFont="1" applyFill="1" applyBorder="1" applyAlignment="1">
      <alignment horizontal="center"/>
    </xf>
    <xf numFmtId="0" fontId="9" fillId="3" borderId="0" xfId="0" applyFont="1" applyFill="1"/>
    <xf numFmtId="0" fontId="67" fillId="3" borderId="13" xfId="0" applyFont="1" applyFill="1" applyBorder="1"/>
    <xf numFmtId="0" fontId="41" fillId="3" borderId="0" xfId="0" applyFont="1" applyFill="1"/>
    <xf numFmtId="4" fontId="33" fillId="0" borderId="0" xfId="72" applyNumberFormat="1"/>
    <xf numFmtId="14" fontId="33" fillId="52" borderId="0" xfId="72" applyNumberFormat="1" applyFill="1"/>
    <xf numFmtId="2" fontId="33" fillId="0" borderId="0" xfId="72" applyNumberFormat="1"/>
    <xf numFmtId="2" fontId="33" fillId="51" borderId="0" xfId="72" applyNumberFormat="1" applyFill="1"/>
    <xf numFmtId="15" fontId="33" fillId="0" borderId="0" xfId="72" applyNumberFormat="1"/>
    <xf numFmtId="14" fontId="33" fillId="0" borderId="0" xfId="72" applyNumberFormat="1"/>
    <xf numFmtId="2" fontId="33" fillId="0" borderId="0" xfId="72" applyNumberFormat="1"/>
    <xf numFmtId="167" fontId="33" fillId="0" borderId="0" xfId="72" applyNumberFormat="1"/>
    <xf numFmtId="14" fontId="33" fillId="0" borderId="0" xfId="72" applyNumberFormat="1"/>
    <xf numFmtId="2" fontId="33" fillId="0" borderId="0" xfId="72" applyNumberFormat="1"/>
    <xf numFmtId="2" fontId="33" fillId="51" borderId="0" xfId="72" applyNumberFormat="1" applyFill="1"/>
    <xf numFmtId="0" fontId="52" fillId="0" borderId="0" xfId="33225">
      <alignment horizontal="left"/>
    </xf>
    <xf numFmtId="0" fontId="9" fillId="0" borderId="0" xfId="33214" applyAlignment="1">
      <alignment vertical="top" wrapText="1"/>
    </xf>
    <xf numFmtId="0" fontId="5" fillId="2" borderId="4" xfId="0" applyFont="1" applyFill="1" applyBorder="1" applyAlignment="1">
      <alignment horizontal="left"/>
    </xf>
    <xf numFmtId="0" fontId="5" fillId="2" borderId="5" xfId="0" applyFont="1" applyFill="1" applyBorder="1" applyAlignment="1">
      <alignment horizontal="left"/>
    </xf>
    <xf numFmtId="0" fontId="5" fillId="2" borderId="6" xfId="0" applyFont="1" applyFill="1" applyBorder="1" applyAlignment="1">
      <alignment horizontal="left"/>
    </xf>
    <xf numFmtId="0" fontId="12" fillId="3" borderId="0" xfId="0" applyFont="1" applyFill="1" applyAlignment="1">
      <alignment horizontal="left" vertical="top" wrapText="1"/>
    </xf>
    <xf numFmtId="0" fontId="4" fillId="43" borderId="0" xfId="0" applyFont="1" applyFill="1" applyAlignment="1">
      <alignment horizontal="left" wrapText="1"/>
    </xf>
    <xf numFmtId="0" fontId="5" fillId="0" borderId="17" xfId="0" applyFont="1" applyBorder="1" applyAlignment="1">
      <alignment horizontal="left"/>
    </xf>
    <xf numFmtId="0" fontId="5" fillId="0" borderId="1" xfId="0" applyFont="1" applyBorder="1" applyAlignment="1">
      <alignment horizontal="left"/>
    </xf>
    <xf numFmtId="0" fontId="5" fillId="0" borderId="2" xfId="0" applyFont="1" applyBorder="1" applyAlignment="1">
      <alignment horizontal="left"/>
    </xf>
    <xf numFmtId="0" fontId="5" fillId="0" borderId="3" xfId="0" applyFont="1" applyBorder="1" applyAlignment="1">
      <alignment horizontal="left"/>
    </xf>
    <xf numFmtId="0" fontId="5" fillId="0" borderId="17" xfId="0" applyFont="1" applyFill="1" applyBorder="1" applyAlignment="1">
      <alignment horizontal="left"/>
    </xf>
    <xf numFmtId="0" fontId="5" fillId="0" borderId="1" xfId="0" applyFont="1" applyFill="1" applyBorder="1" applyAlignment="1">
      <alignment horizontal="left"/>
    </xf>
    <xf numFmtId="0" fontId="5" fillId="0" borderId="2" xfId="0" applyFont="1" applyFill="1" applyBorder="1" applyAlignment="1">
      <alignment horizontal="left"/>
    </xf>
    <xf numFmtId="0" fontId="5" fillId="0" borderId="3" xfId="0" applyFont="1" applyFill="1" applyBorder="1" applyAlignment="1">
      <alignment horizontal="left"/>
    </xf>
  </cellXfs>
  <cellStyles count="33477">
    <cellStyle name="_x0013_" xfId="48" xr:uid="{00000000-0005-0000-0000-000000000000}"/>
    <cellStyle name="_x0013_ 2" xfId="288" xr:uid="{00000000-0005-0000-0000-000001000000}"/>
    <cellStyle name="]_x000a__x000a_Zoomed=1_x000a__x000a_Row=0_x000a__x000a_Column=0_x000a__x000a_Height=0_x000a__x000a_Width=0_x000a__x000a_FontName=FoxFont_x000a__x000a_FontStyle=0_x000a__x000a_FontSize=9_x000a__x000a_PrtFontName=FoxPrin" xfId="33257" xr:uid="{D0A0CE89-638D-4499-A687-52B696F9E019}"/>
    <cellStyle name="]_x000a__x000a_Zoomed=1_x000a__x000a_Row=0_x000a__x000a_Column=0_x000a__x000a_Height=0_x000a__x000a_Width=0_x000a__x000a_FontName=FoxFont_x000a__x000a_FontStyle=0_x000a__x000a_FontSize=9_x000a__x000a_PrtFontName=FoxPrin 2" xfId="33258" xr:uid="{C954B88E-0C29-45EE-9936-A4FF0FCC5C7C}"/>
    <cellStyle name="]_x000a__x000a_Zoomed=1_x000a__x000a_Row=0_x000a__x000a_Column=0_x000a__x000a_Height=0_x000a__x000a_Width=0_x000a__x000a_FontName=FoxFont_x000a__x000a_FontStyle=0_x000a__x000a_FontSize=9_x000a__x000a_PrtFontName=FoxPrin 3" xfId="33259" xr:uid="{A46C055C-275B-4A6F-926D-0D254BF57DEE}"/>
    <cellStyle name="]_x000d__x000a_Zoomed=1_x000d__x000a_Row=0_x000d__x000a_Column=0_x000d__x000a_Height=0_x000d__x000a_Width=0_x000d__x000a_FontName=FoxFont_x000d__x000a_FontStyle=0_x000d__x000a_FontSize=9_x000d__x000a_PrtFontName=FoxPrin" xfId="33260" xr:uid="{6FBAC7F8-EC26-4366-A4AB-8E1D5739C4C5}"/>
    <cellStyle name="]_x000d__x000a_Zoomed=1_x000d__x000a_Row=0_x000d__x000a_Column=0_x000d__x000a_Height=0_x000d__x000a_Width=0_x000d__x000a_FontName=FoxFont_x000d__x000a_FontStyle=0_x000d__x000a_FontSize=9_x000d__x000a_PrtFontName=FoxPrin 2" xfId="33261" xr:uid="{649E267F-E358-452D-8F44-22C564FF1D84}"/>
    <cellStyle name="]_x000d__x000a_Zoomed=1_x000d__x000a_Row=0_x000d__x000a_Column=0_x000d__x000a_Height=0_x000d__x000a_Width=0_x000d__x000a_FontName=FoxFont_x000d__x000a_FontStyle=0_x000d__x000a_FontSize=9_x000d__x000a_PrtFontName=FoxPrin 3" xfId="33262" xr:uid="{9CF82AF2-A8C3-457A-8986-8DE145A255B8}"/>
    <cellStyle name="_x0013__Data" xfId="51" xr:uid="{00000000-0005-0000-0000-000002000000}"/>
    <cellStyle name="20% - Accent1" xfId="22" builtinId="30" customBuiltin="1"/>
    <cellStyle name="20% - Accent1 2" xfId="33263" xr:uid="{2BE99823-2D00-43EA-B026-C7EB72DE4B43}"/>
    <cellStyle name="20% - Accent2" xfId="26" builtinId="34" customBuiltin="1"/>
    <cellStyle name="20% - Accent2 2" xfId="33264" xr:uid="{CACB4BB5-5C5D-427A-8B17-03B505AAF77E}"/>
    <cellStyle name="20% - Accent3" xfId="30" builtinId="38" customBuiltin="1"/>
    <cellStyle name="20% - Accent3 2" xfId="33265" xr:uid="{601AB691-97CD-4D8C-A5CE-240267B1C0B3}"/>
    <cellStyle name="20% - Accent4" xfId="34" builtinId="42" customBuiltin="1"/>
    <cellStyle name="20% - Accent4 2" xfId="33266" xr:uid="{E5AF2753-4D8A-4EC5-9DC8-798CD6B0E6A3}"/>
    <cellStyle name="20% - Accent5" xfId="38" builtinId="46" customBuiltin="1"/>
    <cellStyle name="20% - Accent5 2" xfId="33267" xr:uid="{C1F3CECA-73AE-489F-B9F3-D29FC1459339}"/>
    <cellStyle name="20% - Accent6" xfId="42" builtinId="50" customBuiltin="1"/>
    <cellStyle name="20% - Accent6 2" xfId="33268" xr:uid="{C337337E-8F1A-4B24-BC89-E12D620B4F8F}"/>
    <cellStyle name="20% - 强调文字颜色 1" xfId="33269" xr:uid="{D39B4E44-D9E0-4D1C-AA63-D7D2D335498F}"/>
    <cellStyle name="20% - 强调文字颜色 2" xfId="33270" xr:uid="{35759DC5-B86E-43C7-AED3-7146A560B8B0}"/>
    <cellStyle name="20% - 强调文字颜色 3" xfId="33271" xr:uid="{66B8542D-5ACF-49D6-910F-3EF60B5510B7}"/>
    <cellStyle name="20% - 强调文字颜色 4" xfId="33272" xr:uid="{3E2CBF78-F8E1-430D-B69E-86697635AA47}"/>
    <cellStyle name="20% - 强调文字颜色 5" xfId="33273" xr:uid="{6ECB0D40-AC1F-41E9-B871-5A8B09477C59}"/>
    <cellStyle name="20% - 强调文字颜色 6" xfId="33274" xr:uid="{395A350B-1C84-41AA-9858-0921C3FF41B1}"/>
    <cellStyle name="40% - Accent1" xfId="23" builtinId="31" customBuiltin="1"/>
    <cellStyle name="40% - Accent1 2" xfId="33275" xr:uid="{C1CED2DB-3D4A-4552-8249-B61A8F9A3DD8}"/>
    <cellStyle name="40% - Accent2" xfId="27" builtinId="35" customBuiltin="1"/>
    <cellStyle name="40% - Accent2 2" xfId="33276" xr:uid="{204FD180-F831-497F-BC35-F7C0D834DF7F}"/>
    <cellStyle name="40% - Accent3" xfId="31" builtinId="39" customBuiltin="1"/>
    <cellStyle name="40% - Accent3 2" xfId="33277" xr:uid="{2D123AC3-3DF5-48A7-9E0C-6B7373AB62B4}"/>
    <cellStyle name="40% - Accent4" xfId="35" builtinId="43" customBuiltin="1"/>
    <cellStyle name="40% - Accent4 2" xfId="33278" xr:uid="{BAC20C4E-CE91-4A16-B7F4-A19AA572E798}"/>
    <cellStyle name="40% - Accent5" xfId="39" builtinId="47" customBuiltin="1"/>
    <cellStyle name="40% - Accent5 2" xfId="33279" xr:uid="{E5288CD9-048A-4515-9142-EFF384AF3C06}"/>
    <cellStyle name="40% - Accent6" xfId="43" builtinId="51" customBuiltin="1"/>
    <cellStyle name="40% - Accent6 2" xfId="33280" xr:uid="{FD28CAB9-3534-423E-9D8B-35E379759D63}"/>
    <cellStyle name="40% - 强调文字颜色 1" xfId="33281" xr:uid="{441A2B96-7893-464F-A375-1B510C515E38}"/>
    <cellStyle name="40% - 强调文字颜色 2" xfId="33282" xr:uid="{5970B121-9849-43E8-BE6C-3D6F2B706148}"/>
    <cellStyle name="40% - 强调文字颜色 3" xfId="33283" xr:uid="{A3BDE487-E336-4CA1-8234-17ADF10EF6DB}"/>
    <cellStyle name="40% - 强调文字颜色 4" xfId="33284" xr:uid="{578641FE-5505-4BC9-89F3-81C11869B4BB}"/>
    <cellStyle name="40% - 强调文字颜色 5" xfId="33285" xr:uid="{C3689E3C-F5F0-4B9F-940F-B9354228ABFE}"/>
    <cellStyle name="40% - 强调文字颜色 6" xfId="33286" xr:uid="{AF4B4171-AC21-4C52-ACA1-25907783A78D}"/>
    <cellStyle name="60% - Accent1" xfId="24" builtinId="32" customBuiltin="1"/>
    <cellStyle name="60% - Accent1 2" xfId="33287" xr:uid="{57776984-C00F-4435-A80B-F53646A96881}"/>
    <cellStyle name="60% - Accent2" xfId="28" builtinId="36" customBuiltin="1"/>
    <cellStyle name="60% - Accent2 2" xfId="33288" xr:uid="{CAD374E1-1470-4C70-A920-B2DFFEAC6D73}"/>
    <cellStyle name="60% - Accent3" xfId="32" builtinId="40" customBuiltin="1"/>
    <cellStyle name="60% - Accent3 2" xfId="33289" xr:uid="{601FE4A5-26DB-4686-B4D9-2CA63EC24618}"/>
    <cellStyle name="60% - Accent4" xfId="36" builtinId="44" customBuiltin="1"/>
    <cellStyle name="60% - Accent4 2" xfId="33290" xr:uid="{C9DA3C63-F83A-4046-9856-A74FCAC8491F}"/>
    <cellStyle name="60% - Accent5" xfId="40" builtinId="48" customBuiltin="1"/>
    <cellStyle name="60% - Accent5 2" xfId="33291" xr:uid="{4AF761F2-D9D3-47D3-8CE5-44F9457E4628}"/>
    <cellStyle name="60% - Accent6" xfId="44" builtinId="52" customBuiltin="1"/>
    <cellStyle name="60% - Accent6 2" xfId="33292" xr:uid="{8B03A80E-0639-41B5-AC77-9115A593FBC8}"/>
    <cellStyle name="60% - 强调文字颜色 1" xfId="33293" xr:uid="{5E31AFD0-AE1E-4DFD-9C4D-556A9CFAAE31}"/>
    <cellStyle name="60% - 强调文字颜色 2" xfId="33294" xr:uid="{552E6698-0B91-4518-A027-44957F6A5B62}"/>
    <cellStyle name="60% - 强调文字颜色 3" xfId="33295" xr:uid="{362C3B50-30EA-4AE5-90CF-3603128742C3}"/>
    <cellStyle name="60% - 强调文字颜色 4" xfId="33296" xr:uid="{884A5790-CAC4-4D38-BD5C-13362969EA44}"/>
    <cellStyle name="60% - 强调文字颜色 5" xfId="33297" xr:uid="{05A1972F-67ED-4AD2-B4D8-EAE91CA317EC}"/>
    <cellStyle name="60% - 强调文字颜色 6" xfId="33298" xr:uid="{8386FF74-01B5-4E85-B446-8AD4B09E2BB5}"/>
    <cellStyle name="Accent1" xfId="21" builtinId="29" customBuiltin="1"/>
    <cellStyle name="Accent1 2" xfId="33299" xr:uid="{707C5D2A-17F6-4BA4-93F7-01FA8311C868}"/>
    <cellStyle name="Accent2" xfId="25" builtinId="33" customBuiltin="1"/>
    <cellStyle name="Accent2 2" xfId="33300" xr:uid="{0B8CADAC-1F01-4EFB-B649-CB58CC747A7C}"/>
    <cellStyle name="Accent3" xfId="29" builtinId="37" customBuiltin="1"/>
    <cellStyle name="Accent3 2" xfId="33301" xr:uid="{7F73CB62-4EC8-444E-B81A-C8FDDA5530A5}"/>
    <cellStyle name="Accent4" xfId="33" builtinId="41" customBuiltin="1"/>
    <cellStyle name="Accent4 2" xfId="33302" xr:uid="{41767C74-6314-4417-ABDA-7850F8D92C44}"/>
    <cellStyle name="Accent5" xfId="37" builtinId="45" customBuiltin="1"/>
    <cellStyle name="Accent5 2" xfId="33303" xr:uid="{F1C23393-3C92-44CE-BD02-BF2F2295350B}"/>
    <cellStyle name="Accent6" xfId="41" builtinId="49" customBuiltin="1"/>
    <cellStyle name="Accent6 2" xfId="33304" xr:uid="{DA885240-DFE6-48CE-A1D6-D34B31E174AD}"/>
    <cellStyle name="AFE" xfId="33255" xr:uid="{DB0F0B4D-49FD-4CC2-81FE-CF5F545C093F}"/>
    <cellStyle name="Bad" xfId="10" builtinId="27" customBuiltin="1"/>
    <cellStyle name="Bad 2" xfId="33305" xr:uid="{DD54280C-AA02-4147-96E6-2F5C711C8AC9}"/>
    <cellStyle name="Calculation" xfId="14" builtinId="22" customBuiltin="1"/>
    <cellStyle name="Calculation 2" xfId="33306" xr:uid="{E3513B15-330D-4F6A-A469-EE76DBF46362}"/>
    <cellStyle name="Check Cell" xfId="16" builtinId="23" customBuiltin="1"/>
    <cellStyle name="Check Cell 2" xfId="33307" xr:uid="{FCA353F5-4AEB-488F-9D84-62BF2539A176}"/>
    <cellStyle name="Comma 10" xfId="103" xr:uid="{00000000-0005-0000-0000-00001E000000}"/>
    <cellStyle name="Comma 11" xfId="105" xr:uid="{00000000-0005-0000-0000-00001F000000}"/>
    <cellStyle name="Comma 12" xfId="107" xr:uid="{00000000-0005-0000-0000-000020000000}"/>
    <cellStyle name="Comma 13" xfId="109" xr:uid="{00000000-0005-0000-0000-000021000000}"/>
    <cellStyle name="Comma 14" xfId="116" xr:uid="{00000000-0005-0000-0000-000022000000}"/>
    <cellStyle name="Comma 15" xfId="101" xr:uid="{00000000-0005-0000-0000-000023000000}"/>
    <cellStyle name="Comma 16" xfId="93" xr:uid="{00000000-0005-0000-0000-000024000000}"/>
    <cellStyle name="Comma 17" xfId="91" xr:uid="{00000000-0005-0000-0000-000025000000}"/>
    <cellStyle name="Comma 18" xfId="89" xr:uid="{00000000-0005-0000-0000-000026000000}"/>
    <cellStyle name="Comma 19" xfId="87" xr:uid="{00000000-0005-0000-0000-000027000000}"/>
    <cellStyle name="Comma 2" xfId="49" xr:uid="{00000000-0005-0000-0000-000028000000}"/>
    <cellStyle name="Comma 2 2" xfId="33308" xr:uid="{1692AE60-ABB2-42FE-A0F1-BD21FD389A63}"/>
    <cellStyle name="Comma 2 2 2" xfId="33422" xr:uid="{1870CFAC-7914-46A4-807F-FC323881AE9F}"/>
    <cellStyle name="Comma 2 3" xfId="33421" xr:uid="{BC865AA9-0E94-45E0-B5C0-C29503D86D7E}"/>
    <cellStyle name="Comma 2 4" xfId="33254" xr:uid="{F92F9CFD-DA46-485C-93E0-D86129452D0C}"/>
    <cellStyle name="Comma 20" xfId="158" xr:uid="{00000000-0005-0000-0000-000029000000}"/>
    <cellStyle name="Comma 21" xfId="85" xr:uid="{00000000-0005-0000-0000-00002A000000}"/>
    <cellStyle name="Comma 22" xfId="160" xr:uid="{00000000-0005-0000-0000-00002B000000}"/>
    <cellStyle name="Comma 23" xfId="83" xr:uid="{00000000-0005-0000-0000-00002C000000}"/>
    <cellStyle name="Comma 25" xfId="81" xr:uid="{00000000-0005-0000-0000-00002D000000}"/>
    <cellStyle name="Comma 26" xfId="79" xr:uid="{00000000-0005-0000-0000-00002E000000}"/>
    <cellStyle name="Comma 27" xfId="97" xr:uid="{00000000-0005-0000-0000-00002F000000}"/>
    <cellStyle name="Comma 3" xfId="111" xr:uid="{00000000-0005-0000-0000-000030000000}"/>
    <cellStyle name="Comma 3 2" xfId="117" xr:uid="{00000000-0005-0000-0000-000031000000}"/>
    <cellStyle name="Comma 3 2 2" xfId="33463" xr:uid="{929CE1E2-3C9C-445C-B65E-3401B158C2B9}"/>
    <cellStyle name="Comma 3 2 3" xfId="33423" xr:uid="{9D544CCD-E328-4937-A09B-BD2EDEC60B0B}"/>
    <cellStyle name="Comma 3 3" xfId="114" xr:uid="{00000000-0005-0000-0000-000032000000}"/>
    <cellStyle name="Comma 3 3 2" xfId="33399" xr:uid="{8B1E0119-F65F-4777-BE4E-F0EC78014D1B}"/>
    <cellStyle name="Comma 3 4" xfId="33429" xr:uid="{07768299-EE93-4294-BE01-FB7788907021}"/>
    <cellStyle name="Comma 3 5" xfId="33309" xr:uid="{DC364A99-D176-4E63-8BA8-DFABB5056835}"/>
    <cellStyle name="Comma 4" xfId="71" xr:uid="{00000000-0005-0000-0000-000033000000}"/>
    <cellStyle name="Comma 4 2" xfId="33424" xr:uid="{B3D5D95C-80DF-42C2-B5D5-4BE089382C0D}"/>
    <cellStyle name="Comma 4 2 2" xfId="33464" xr:uid="{092C658C-05E0-47A8-AAA0-879F1C2F8F3E}"/>
    <cellStyle name="Comma 4 3" xfId="33400" xr:uid="{755123F8-4E33-42AF-8E58-282327086128}"/>
    <cellStyle name="Comma 4 4" xfId="33430" xr:uid="{84C73501-BAB3-4A45-9970-AA27CCBAD1FC}"/>
    <cellStyle name="Comma 4 5" xfId="33310" xr:uid="{82DBFD4F-9EF9-434B-9F9E-EC3EC2E99C28}"/>
    <cellStyle name="Comma 5" xfId="118" xr:uid="{00000000-0005-0000-0000-000034000000}"/>
    <cellStyle name="Comma 5 2" xfId="33425" xr:uid="{9BE037DE-F01C-4580-AE08-C6FA3FD43B45}"/>
    <cellStyle name="Comma 5 3" xfId="33311" xr:uid="{8A839971-DB6A-4DA1-9506-82436FF854DD}"/>
    <cellStyle name="Comma 6" xfId="77" xr:uid="{00000000-0005-0000-0000-000035000000}"/>
    <cellStyle name="Comma 6 2" xfId="33426" xr:uid="{D8482644-1DF4-459B-ADFE-0E276929C5F2}"/>
    <cellStyle name="Comma 6 3" xfId="33312" xr:uid="{B5A4B766-5EB5-4477-89A6-5AF6B8864F39}"/>
    <cellStyle name="Comma 7" xfId="95" xr:uid="{00000000-0005-0000-0000-000036000000}"/>
    <cellStyle name="Comma 7 2" xfId="33427" xr:uid="{793A4CA4-EBD8-4E03-ADDB-F6B2EE7AD3F3}"/>
    <cellStyle name="Comma 7 2 2" xfId="33465" xr:uid="{62436280-BBFC-4415-8A16-C65086578673}"/>
    <cellStyle name="Comma 7 3" xfId="33401" xr:uid="{8157710F-6AD6-48CD-A289-CA2718EF4DB4}"/>
    <cellStyle name="Comma 7 4" xfId="33431" xr:uid="{F9F7699F-C442-407B-89B1-35186AB0730B}"/>
    <cellStyle name="Comma 7 5" xfId="33313" xr:uid="{DA313735-E563-494B-A4FE-91A65FF93C8E}"/>
    <cellStyle name="Comma 8" xfId="131" xr:uid="{00000000-0005-0000-0000-000037000000}"/>
    <cellStyle name="Comma 9" xfId="99" xr:uid="{00000000-0005-0000-0000-000038000000}"/>
    <cellStyle name="Currency 2" xfId="292" xr:uid="{00000000-0005-0000-0000-000039000000}"/>
    <cellStyle name="Currency 2 2" xfId="33419" xr:uid="{DCE2534F-8945-49F8-8D74-FA4D8D06A142}"/>
    <cellStyle name="EVA coalcast summary" xfId="52" xr:uid="{00000000-0005-0000-0000-00003A000000}"/>
    <cellStyle name="Explanatory Text" xfId="19" builtinId="53" customBuiltin="1"/>
    <cellStyle name="Explanatory Text 2" xfId="33314" xr:uid="{CA0585C7-0548-472C-BC27-310583276431}"/>
    <cellStyle name="Followed Hyperlink 2" xfId="246" hidden="1" xr:uid="{00000000-0005-0000-0000-00003C000000}"/>
    <cellStyle name="Followed Hyperlink 2" xfId="243" hidden="1" xr:uid="{00000000-0005-0000-0000-00003D000000}"/>
    <cellStyle name="Followed Hyperlink 2" xfId="241" hidden="1" xr:uid="{00000000-0005-0000-0000-00003E000000}"/>
    <cellStyle name="Followed Hyperlink 2" xfId="242" hidden="1" xr:uid="{00000000-0005-0000-0000-00003F000000}"/>
    <cellStyle name="Followed Hyperlink 2" xfId="252" hidden="1" xr:uid="{00000000-0005-0000-0000-000040000000}"/>
    <cellStyle name="Followed Hyperlink 2" xfId="255" hidden="1" xr:uid="{00000000-0005-0000-0000-000041000000}"/>
    <cellStyle name="Followed Hyperlink 2" xfId="258" hidden="1" xr:uid="{00000000-0005-0000-0000-000042000000}"/>
    <cellStyle name="Followed Hyperlink 2" xfId="262" hidden="1" xr:uid="{00000000-0005-0000-0000-000043000000}"/>
    <cellStyle name="Followed Hyperlink 2" xfId="270" hidden="1" xr:uid="{00000000-0005-0000-0000-000044000000}"/>
    <cellStyle name="Followed Hyperlink 2" xfId="267" hidden="1" xr:uid="{00000000-0005-0000-0000-000045000000}"/>
    <cellStyle name="Followed Hyperlink 2" xfId="265" hidden="1" xr:uid="{00000000-0005-0000-0000-000046000000}"/>
    <cellStyle name="Followed Hyperlink 2" xfId="266" hidden="1" xr:uid="{00000000-0005-0000-0000-000047000000}"/>
    <cellStyle name="Followed Hyperlink 2" xfId="276" hidden="1" xr:uid="{00000000-0005-0000-0000-000048000000}"/>
    <cellStyle name="Followed Hyperlink 2" xfId="279" hidden="1" xr:uid="{00000000-0005-0000-0000-000049000000}"/>
    <cellStyle name="Followed Hyperlink 2" xfId="282" hidden="1" xr:uid="{00000000-0005-0000-0000-00004A000000}"/>
    <cellStyle name="Followed Hyperlink 2" xfId="286" hidden="1" xr:uid="{00000000-0005-0000-0000-00004B000000}"/>
    <cellStyle name="Followed Hyperlink 2" xfId="305" hidden="1" xr:uid="{00000000-0005-0000-0000-00004C000000}"/>
    <cellStyle name="Followed Hyperlink 2" xfId="302" hidden="1" xr:uid="{00000000-0005-0000-0000-00004D000000}"/>
    <cellStyle name="Followed Hyperlink 2" xfId="300" hidden="1" xr:uid="{00000000-0005-0000-0000-00004E000000}"/>
    <cellStyle name="Followed Hyperlink 2" xfId="301" hidden="1" xr:uid="{00000000-0005-0000-0000-00004F000000}"/>
    <cellStyle name="Followed Hyperlink 2" xfId="311" hidden="1" xr:uid="{00000000-0005-0000-0000-000050000000}"/>
    <cellStyle name="Followed Hyperlink 2" xfId="314" hidden="1" xr:uid="{00000000-0005-0000-0000-000051000000}"/>
    <cellStyle name="Followed Hyperlink 2" xfId="317" hidden="1" xr:uid="{00000000-0005-0000-0000-000052000000}"/>
    <cellStyle name="Followed Hyperlink 2" xfId="321" hidden="1" xr:uid="{00000000-0005-0000-0000-000053000000}"/>
    <cellStyle name="Followed Hyperlink 2" xfId="329" hidden="1" xr:uid="{00000000-0005-0000-0000-000054000000}"/>
    <cellStyle name="Followed Hyperlink 2" xfId="326" hidden="1" xr:uid="{00000000-0005-0000-0000-000055000000}"/>
    <cellStyle name="Followed Hyperlink 2" xfId="324" hidden="1" xr:uid="{00000000-0005-0000-0000-000056000000}"/>
    <cellStyle name="Followed Hyperlink 2" xfId="325" hidden="1" xr:uid="{00000000-0005-0000-0000-000057000000}"/>
    <cellStyle name="Followed Hyperlink 2" xfId="335" hidden="1" xr:uid="{00000000-0005-0000-0000-000058000000}"/>
    <cellStyle name="Followed Hyperlink 2" xfId="338" hidden="1" xr:uid="{00000000-0005-0000-0000-000059000000}"/>
    <cellStyle name="Followed Hyperlink 2" xfId="341" hidden="1" xr:uid="{00000000-0005-0000-0000-00005A000000}"/>
    <cellStyle name="Followed Hyperlink 2" xfId="345" hidden="1" xr:uid="{00000000-0005-0000-0000-00005B000000}"/>
    <cellStyle name="Followed Hyperlink 2" xfId="353" hidden="1" xr:uid="{00000000-0005-0000-0000-00005C000000}"/>
    <cellStyle name="Followed Hyperlink 2" xfId="350" hidden="1" xr:uid="{00000000-0005-0000-0000-00005D000000}"/>
    <cellStyle name="Followed Hyperlink 2" xfId="348" hidden="1" xr:uid="{00000000-0005-0000-0000-00005E000000}"/>
    <cellStyle name="Followed Hyperlink 2" xfId="349" hidden="1" xr:uid="{00000000-0005-0000-0000-00005F000000}"/>
    <cellStyle name="Followed Hyperlink 2" xfId="359" hidden="1" xr:uid="{00000000-0005-0000-0000-000060000000}"/>
    <cellStyle name="Followed Hyperlink 2" xfId="362" hidden="1" xr:uid="{00000000-0005-0000-0000-000061000000}"/>
    <cellStyle name="Followed Hyperlink 2" xfId="365" hidden="1" xr:uid="{00000000-0005-0000-0000-000062000000}"/>
    <cellStyle name="Followed Hyperlink 2" xfId="369" hidden="1" xr:uid="{00000000-0005-0000-0000-000063000000}"/>
    <cellStyle name="Followed Hyperlink 2" xfId="377" hidden="1" xr:uid="{00000000-0005-0000-0000-000064000000}"/>
    <cellStyle name="Followed Hyperlink 2" xfId="374" hidden="1" xr:uid="{00000000-0005-0000-0000-000065000000}"/>
    <cellStyle name="Followed Hyperlink 2" xfId="372" hidden="1" xr:uid="{00000000-0005-0000-0000-000066000000}"/>
    <cellStyle name="Followed Hyperlink 2" xfId="373" hidden="1" xr:uid="{00000000-0005-0000-0000-000067000000}"/>
    <cellStyle name="Followed Hyperlink 2" xfId="383" hidden="1" xr:uid="{00000000-0005-0000-0000-000068000000}"/>
    <cellStyle name="Followed Hyperlink 2" xfId="386" hidden="1" xr:uid="{00000000-0005-0000-0000-000069000000}"/>
    <cellStyle name="Followed Hyperlink 2" xfId="389" hidden="1" xr:uid="{00000000-0005-0000-0000-00006A000000}"/>
    <cellStyle name="Followed Hyperlink 2" xfId="393" hidden="1" xr:uid="{00000000-0005-0000-0000-00006B000000}"/>
    <cellStyle name="Followed Hyperlink 2" xfId="401" hidden="1" xr:uid="{00000000-0005-0000-0000-00006C000000}"/>
    <cellStyle name="Followed Hyperlink 2" xfId="398" hidden="1" xr:uid="{00000000-0005-0000-0000-00006D000000}"/>
    <cellStyle name="Followed Hyperlink 2" xfId="396" hidden="1" xr:uid="{00000000-0005-0000-0000-00006E000000}"/>
    <cellStyle name="Followed Hyperlink 2" xfId="397" hidden="1" xr:uid="{00000000-0005-0000-0000-00006F000000}"/>
    <cellStyle name="Followed Hyperlink 2" xfId="407" hidden="1" xr:uid="{00000000-0005-0000-0000-000070000000}"/>
    <cellStyle name="Followed Hyperlink 2" xfId="410" hidden="1" xr:uid="{00000000-0005-0000-0000-000071000000}"/>
    <cellStyle name="Followed Hyperlink 2" xfId="413" hidden="1" xr:uid="{00000000-0005-0000-0000-000072000000}"/>
    <cellStyle name="Followed Hyperlink 2" xfId="417" hidden="1" xr:uid="{00000000-0005-0000-0000-000073000000}"/>
    <cellStyle name="Followed Hyperlink 2" xfId="425" hidden="1" xr:uid="{00000000-0005-0000-0000-000074000000}"/>
    <cellStyle name="Followed Hyperlink 2" xfId="422" hidden="1" xr:uid="{00000000-0005-0000-0000-000075000000}"/>
    <cellStyle name="Followed Hyperlink 2" xfId="420" hidden="1" xr:uid="{00000000-0005-0000-0000-000076000000}"/>
    <cellStyle name="Followed Hyperlink 2" xfId="421" hidden="1" xr:uid="{00000000-0005-0000-0000-000077000000}"/>
    <cellStyle name="Followed Hyperlink 2" xfId="431" hidden="1" xr:uid="{00000000-0005-0000-0000-000078000000}"/>
    <cellStyle name="Followed Hyperlink 2" xfId="434" hidden="1" xr:uid="{00000000-0005-0000-0000-000079000000}"/>
    <cellStyle name="Followed Hyperlink 2" xfId="437" hidden="1" xr:uid="{00000000-0005-0000-0000-00007A000000}"/>
    <cellStyle name="Followed Hyperlink 2" xfId="441" hidden="1" xr:uid="{00000000-0005-0000-0000-00007B000000}"/>
    <cellStyle name="Followed Hyperlink 2" xfId="449" hidden="1" xr:uid="{00000000-0005-0000-0000-00007C000000}"/>
    <cellStyle name="Followed Hyperlink 2" xfId="446" hidden="1" xr:uid="{00000000-0005-0000-0000-00007D000000}"/>
    <cellStyle name="Followed Hyperlink 2" xfId="444" hidden="1" xr:uid="{00000000-0005-0000-0000-00007E000000}"/>
    <cellStyle name="Followed Hyperlink 2" xfId="445" hidden="1" xr:uid="{00000000-0005-0000-0000-00007F000000}"/>
    <cellStyle name="Followed Hyperlink 2" xfId="455" hidden="1" xr:uid="{00000000-0005-0000-0000-000080000000}"/>
    <cellStyle name="Followed Hyperlink 2" xfId="458" hidden="1" xr:uid="{00000000-0005-0000-0000-000081000000}"/>
    <cellStyle name="Followed Hyperlink 2" xfId="461" hidden="1" xr:uid="{00000000-0005-0000-0000-000082000000}"/>
    <cellStyle name="Followed Hyperlink 2" xfId="465" hidden="1" xr:uid="{00000000-0005-0000-0000-000083000000}"/>
    <cellStyle name="Followed Hyperlink 2" xfId="473" hidden="1" xr:uid="{00000000-0005-0000-0000-000084000000}"/>
    <cellStyle name="Followed Hyperlink 2" xfId="470" hidden="1" xr:uid="{00000000-0005-0000-0000-000085000000}"/>
    <cellStyle name="Followed Hyperlink 2" xfId="468" hidden="1" xr:uid="{00000000-0005-0000-0000-000086000000}"/>
    <cellStyle name="Followed Hyperlink 2" xfId="469" hidden="1" xr:uid="{00000000-0005-0000-0000-000087000000}"/>
    <cellStyle name="Followed Hyperlink 2" xfId="479" hidden="1" xr:uid="{00000000-0005-0000-0000-000088000000}"/>
    <cellStyle name="Followed Hyperlink 2" xfId="482" hidden="1" xr:uid="{00000000-0005-0000-0000-000089000000}"/>
    <cellStyle name="Followed Hyperlink 2" xfId="485" hidden="1" xr:uid="{00000000-0005-0000-0000-00008A000000}"/>
    <cellStyle name="Followed Hyperlink 2" xfId="489" hidden="1" xr:uid="{00000000-0005-0000-0000-00008B000000}"/>
    <cellStyle name="Followed Hyperlink 2" xfId="497" hidden="1" xr:uid="{00000000-0005-0000-0000-00008C000000}"/>
    <cellStyle name="Followed Hyperlink 2" xfId="494" hidden="1" xr:uid="{00000000-0005-0000-0000-00008D000000}"/>
    <cellStyle name="Followed Hyperlink 2" xfId="492" hidden="1" xr:uid="{00000000-0005-0000-0000-00008E000000}"/>
    <cellStyle name="Followed Hyperlink 2" xfId="493" hidden="1" xr:uid="{00000000-0005-0000-0000-00008F000000}"/>
    <cellStyle name="Followed Hyperlink 2" xfId="503" hidden="1" xr:uid="{00000000-0005-0000-0000-000090000000}"/>
    <cellStyle name="Followed Hyperlink 2" xfId="506" hidden="1" xr:uid="{00000000-0005-0000-0000-000091000000}"/>
    <cellStyle name="Followed Hyperlink 2" xfId="509" hidden="1" xr:uid="{00000000-0005-0000-0000-000092000000}"/>
    <cellStyle name="Followed Hyperlink 2" xfId="513" hidden="1" xr:uid="{00000000-0005-0000-0000-000093000000}"/>
    <cellStyle name="Followed Hyperlink 2" xfId="521" hidden="1" xr:uid="{00000000-0005-0000-0000-000094000000}"/>
    <cellStyle name="Followed Hyperlink 2" xfId="518" hidden="1" xr:uid="{00000000-0005-0000-0000-000095000000}"/>
    <cellStyle name="Followed Hyperlink 2" xfId="516" hidden="1" xr:uid="{00000000-0005-0000-0000-000096000000}"/>
    <cellStyle name="Followed Hyperlink 2" xfId="517" hidden="1" xr:uid="{00000000-0005-0000-0000-000097000000}"/>
    <cellStyle name="Followed Hyperlink 2" xfId="527" hidden="1" xr:uid="{00000000-0005-0000-0000-000098000000}"/>
    <cellStyle name="Followed Hyperlink 2" xfId="530" hidden="1" xr:uid="{00000000-0005-0000-0000-000099000000}"/>
    <cellStyle name="Followed Hyperlink 2" xfId="533" hidden="1" xr:uid="{00000000-0005-0000-0000-00009A000000}"/>
    <cellStyle name="Followed Hyperlink 2" xfId="537" hidden="1" xr:uid="{00000000-0005-0000-0000-00009B000000}"/>
    <cellStyle name="Followed Hyperlink 2" xfId="588" hidden="1" xr:uid="{00000000-0005-0000-0000-00009C000000}"/>
    <cellStyle name="Followed Hyperlink 2" xfId="585" hidden="1" xr:uid="{00000000-0005-0000-0000-00009D000000}"/>
    <cellStyle name="Followed Hyperlink 2" xfId="583" hidden="1" xr:uid="{00000000-0005-0000-0000-00009E000000}"/>
    <cellStyle name="Followed Hyperlink 2" xfId="584" hidden="1" xr:uid="{00000000-0005-0000-0000-00009F000000}"/>
    <cellStyle name="Followed Hyperlink 2" xfId="594" hidden="1" xr:uid="{00000000-0005-0000-0000-0000A0000000}"/>
    <cellStyle name="Followed Hyperlink 2" xfId="597" hidden="1" xr:uid="{00000000-0005-0000-0000-0000A1000000}"/>
    <cellStyle name="Followed Hyperlink 2" xfId="600" hidden="1" xr:uid="{00000000-0005-0000-0000-0000A2000000}"/>
    <cellStyle name="Followed Hyperlink 2" xfId="604" hidden="1" xr:uid="{00000000-0005-0000-0000-0000A3000000}"/>
    <cellStyle name="Followed Hyperlink 2" xfId="612" hidden="1" xr:uid="{00000000-0005-0000-0000-0000A4000000}"/>
    <cellStyle name="Followed Hyperlink 2" xfId="609" hidden="1" xr:uid="{00000000-0005-0000-0000-0000A5000000}"/>
    <cellStyle name="Followed Hyperlink 2" xfId="607" hidden="1" xr:uid="{00000000-0005-0000-0000-0000A6000000}"/>
    <cellStyle name="Followed Hyperlink 2" xfId="608" hidden="1" xr:uid="{00000000-0005-0000-0000-0000A7000000}"/>
    <cellStyle name="Followed Hyperlink 2" xfId="618" hidden="1" xr:uid="{00000000-0005-0000-0000-0000A8000000}"/>
    <cellStyle name="Followed Hyperlink 2" xfId="621" hidden="1" xr:uid="{00000000-0005-0000-0000-0000A9000000}"/>
    <cellStyle name="Followed Hyperlink 2" xfId="624" hidden="1" xr:uid="{00000000-0005-0000-0000-0000AA000000}"/>
    <cellStyle name="Followed Hyperlink 2" xfId="628" hidden="1" xr:uid="{00000000-0005-0000-0000-0000AB000000}"/>
    <cellStyle name="Followed Hyperlink 2" xfId="639" hidden="1" xr:uid="{00000000-0005-0000-0000-0000AC000000}"/>
    <cellStyle name="Followed Hyperlink 2" xfId="636" hidden="1" xr:uid="{00000000-0005-0000-0000-0000AD000000}"/>
    <cellStyle name="Followed Hyperlink 2" xfId="634" hidden="1" xr:uid="{00000000-0005-0000-0000-0000AE000000}"/>
    <cellStyle name="Followed Hyperlink 2" xfId="635" hidden="1" xr:uid="{00000000-0005-0000-0000-0000AF000000}"/>
    <cellStyle name="Followed Hyperlink 2" xfId="645" hidden="1" xr:uid="{00000000-0005-0000-0000-0000B0000000}"/>
    <cellStyle name="Followed Hyperlink 2" xfId="648" hidden="1" xr:uid="{00000000-0005-0000-0000-0000B1000000}"/>
    <cellStyle name="Followed Hyperlink 2" xfId="651" hidden="1" xr:uid="{00000000-0005-0000-0000-0000B2000000}"/>
    <cellStyle name="Followed Hyperlink 2" xfId="655" hidden="1" xr:uid="{00000000-0005-0000-0000-0000B3000000}"/>
    <cellStyle name="Followed Hyperlink 2" xfId="663" hidden="1" xr:uid="{00000000-0005-0000-0000-0000B4000000}"/>
    <cellStyle name="Followed Hyperlink 2" xfId="660" hidden="1" xr:uid="{00000000-0005-0000-0000-0000B5000000}"/>
    <cellStyle name="Followed Hyperlink 2" xfId="658" hidden="1" xr:uid="{00000000-0005-0000-0000-0000B6000000}"/>
    <cellStyle name="Followed Hyperlink 2" xfId="659" hidden="1" xr:uid="{00000000-0005-0000-0000-0000B7000000}"/>
    <cellStyle name="Followed Hyperlink 2" xfId="669" hidden="1" xr:uid="{00000000-0005-0000-0000-0000B8000000}"/>
    <cellStyle name="Followed Hyperlink 2" xfId="672" hidden="1" xr:uid="{00000000-0005-0000-0000-0000B9000000}"/>
    <cellStyle name="Followed Hyperlink 2" xfId="675" hidden="1" xr:uid="{00000000-0005-0000-0000-0000BA000000}"/>
    <cellStyle name="Followed Hyperlink 2" xfId="679" hidden="1" xr:uid="{00000000-0005-0000-0000-0000BB000000}"/>
    <cellStyle name="Followed Hyperlink 2" xfId="716" hidden="1" xr:uid="{00000000-0005-0000-0000-0000BC000000}"/>
    <cellStyle name="Followed Hyperlink 2" xfId="713" hidden="1" xr:uid="{00000000-0005-0000-0000-0000BD000000}"/>
    <cellStyle name="Followed Hyperlink 2" xfId="711" hidden="1" xr:uid="{00000000-0005-0000-0000-0000BE000000}"/>
    <cellStyle name="Followed Hyperlink 2" xfId="712" hidden="1" xr:uid="{00000000-0005-0000-0000-0000BF000000}"/>
    <cellStyle name="Followed Hyperlink 2" xfId="722" hidden="1" xr:uid="{00000000-0005-0000-0000-0000C0000000}"/>
    <cellStyle name="Followed Hyperlink 2" xfId="725" hidden="1" xr:uid="{00000000-0005-0000-0000-0000C1000000}"/>
    <cellStyle name="Followed Hyperlink 2" xfId="728" hidden="1" xr:uid="{00000000-0005-0000-0000-0000C2000000}"/>
    <cellStyle name="Followed Hyperlink 2" xfId="732" hidden="1" xr:uid="{00000000-0005-0000-0000-0000C3000000}"/>
    <cellStyle name="Followed Hyperlink 2" xfId="740" hidden="1" xr:uid="{00000000-0005-0000-0000-0000C4000000}"/>
    <cellStyle name="Followed Hyperlink 2" xfId="737" hidden="1" xr:uid="{00000000-0005-0000-0000-0000C5000000}"/>
    <cellStyle name="Followed Hyperlink 2" xfId="735" hidden="1" xr:uid="{00000000-0005-0000-0000-0000C6000000}"/>
    <cellStyle name="Followed Hyperlink 2" xfId="736" hidden="1" xr:uid="{00000000-0005-0000-0000-0000C7000000}"/>
    <cellStyle name="Followed Hyperlink 2" xfId="746" hidden="1" xr:uid="{00000000-0005-0000-0000-0000C8000000}"/>
    <cellStyle name="Followed Hyperlink 2" xfId="749" hidden="1" xr:uid="{00000000-0005-0000-0000-0000C9000000}"/>
    <cellStyle name="Followed Hyperlink 2" xfId="752" hidden="1" xr:uid="{00000000-0005-0000-0000-0000CA000000}"/>
    <cellStyle name="Followed Hyperlink 2" xfId="756" hidden="1" xr:uid="{00000000-0005-0000-0000-0000CB000000}"/>
    <cellStyle name="Followed Hyperlink 2" xfId="766" hidden="1" xr:uid="{00000000-0005-0000-0000-0000CC000000}"/>
    <cellStyle name="Followed Hyperlink 2" xfId="763" hidden="1" xr:uid="{00000000-0005-0000-0000-0000CD000000}"/>
    <cellStyle name="Followed Hyperlink 2" xfId="761" hidden="1" xr:uid="{00000000-0005-0000-0000-0000CE000000}"/>
    <cellStyle name="Followed Hyperlink 2" xfId="762" hidden="1" xr:uid="{00000000-0005-0000-0000-0000CF000000}"/>
    <cellStyle name="Followed Hyperlink 2" xfId="772" hidden="1" xr:uid="{00000000-0005-0000-0000-0000D0000000}"/>
    <cellStyle name="Followed Hyperlink 2" xfId="775" hidden="1" xr:uid="{00000000-0005-0000-0000-0000D1000000}"/>
    <cellStyle name="Followed Hyperlink 2" xfId="778" hidden="1" xr:uid="{00000000-0005-0000-0000-0000D2000000}"/>
    <cellStyle name="Followed Hyperlink 2" xfId="782" hidden="1" xr:uid="{00000000-0005-0000-0000-0000D3000000}"/>
    <cellStyle name="Followed Hyperlink 2" xfId="790" hidden="1" xr:uid="{00000000-0005-0000-0000-0000D4000000}"/>
    <cellStyle name="Followed Hyperlink 2" xfId="787" hidden="1" xr:uid="{00000000-0005-0000-0000-0000D5000000}"/>
    <cellStyle name="Followed Hyperlink 2" xfId="785" hidden="1" xr:uid="{00000000-0005-0000-0000-0000D6000000}"/>
    <cellStyle name="Followed Hyperlink 2" xfId="786" hidden="1" xr:uid="{00000000-0005-0000-0000-0000D7000000}"/>
    <cellStyle name="Followed Hyperlink 2" xfId="796" hidden="1" xr:uid="{00000000-0005-0000-0000-0000D8000000}"/>
    <cellStyle name="Followed Hyperlink 2" xfId="799" hidden="1" xr:uid="{00000000-0005-0000-0000-0000D9000000}"/>
    <cellStyle name="Followed Hyperlink 2" xfId="802" hidden="1" xr:uid="{00000000-0005-0000-0000-0000DA000000}"/>
    <cellStyle name="Followed Hyperlink 2" xfId="806" hidden="1" xr:uid="{00000000-0005-0000-0000-0000DB000000}"/>
    <cellStyle name="Followed Hyperlink 2" xfId="843" hidden="1" xr:uid="{00000000-0005-0000-0000-0000DC000000}"/>
    <cellStyle name="Followed Hyperlink 2" xfId="840" hidden="1" xr:uid="{00000000-0005-0000-0000-0000DD000000}"/>
    <cellStyle name="Followed Hyperlink 2" xfId="838" hidden="1" xr:uid="{00000000-0005-0000-0000-0000DE000000}"/>
    <cellStyle name="Followed Hyperlink 2" xfId="839" hidden="1" xr:uid="{00000000-0005-0000-0000-0000DF000000}"/>
    <cellStyle name="Followed Hyperlink 2" xfId="849" hidden="1" xr:uid="{00000000-0005-0000-0000-0000E0000000}"/>
    <cellStyle name="Followed Hyperlink 2" xfId="852" hidden="1" xr:uid="{00000000-0005-0000-0000-0000E1000000}"/>
    <cellStyle name="Followed Hyperlink 2" xfId="855" hidden="1" xr:uid="{00000000-0005-0000-0000-0000E2000000}"/>
    <cellStyle name="Followed Hyperlink 2" xfId="859" hidden="1" xr:uid="{00000000-0005-0000-0000-0000E3000000}"/>
    <cellStyle name="Followed Hyperlink 2" xfId="867" hidden="1" xr:uid="{00000000-0005-0000-0000-0000E4000000}"/>
    <cellStyle name="Followed Hyperlink 2" xfId="864" hidden="1" xr:uid="{00000000-0005-0000-0000-0000E5000000}"/>
    <cellStyle name="Followed Hyperlink 2" xfId="862" hidden="1" xr:uid="{00000000-0005-0000-0000-0000E6000000}"/>
    <cellStyle name="Followed Hyperlink 2" xfId="863" hidden="1" xr:uid="{00000000-0005-0000-0000-0000E7000000}"/>
    <cellStyle name="Followed Hyperlink 2" xfId="873" hidden="1" xr:uid="{00000000-0005-0000-0000-0000E8000000}"/>
    <cellStyle name="Followed Hyperlink 2" xfId="876" hidden="1" xr:uid="{00000000-0005-0000-0000-0000E9000000}"/>
    <cellStyle name="Followed Hyperlink 2" xfId="879" hidden="1" xr:uid="{00000000-0005-0000-0000-0000EA000000}"/>
    <cellStyle name="Followed Hyperlink 2" xfId="883" hidden="1" xr:uid="{00000000-0005-0000-0000-0000EB000000}"/>
    <cellStyle name="Followed Hyperlink 2" xfId="893" hidden="1" xr:uid="{00000000-0005-0000-0000-0000EC000000}"/>
    <cellStyle name="Followed Hyperlink 2" xfId="890" hidden="1" xr:uid="{00000000-0005-0000-0000-0000ED000000}"/>
    <cellStyle name="Followed Hyperlink 2" xfId="888" hidden="1" xr:uid="{00000000-0005-0000-0000-0000EE000000}"/>
    <cellStyle name="Followed Hyperlink 2" xfId="889" hidden="1" xr:uid="{00000000-0005-0000-0000-0000EF000000}"/>
    <cellStyle name="Followed Hyperlink 2" xfId="899" hidden="1" xr:uid="{00000000-0005-0000-0000-0000F0000000}"/>
    <cellStyle name="Followed Hyperlink 2" xfId="902" hidden="1" xr:uid="{00000000-0005-0000-0000-0000F1000000}"/>
    <cellStyle name="Followed Hyperlink 2" xfId="905" hidden="1" xr:uid="{00000000-0005-0000-0000-0000F2000000}"/>
    <cellStyle name="Followed Hyperlink 2" xfId="909" hidden="1" xr:uid="{00000000-0005-0000-0000-0000F3000000}"/>
    <cellStyle name="Followed Hyperlink 2" xfId="917" hidden="1" xr:uid="{00000000-0005-0000-0000-0000F4000000}"/>
    <cellStyle name="Followed Hyperlink 2" xfId="914" hidden="1" xr:uid="{00000000-0005-0000-0000-0000F5000000}"/>
    <cellStyle name="Followed Hyperlink 2" xfId="912" hidden="1" xr:uid="{00000000-0005-0000-0000-0000F6000000}"/>
    <cellStyle name="Followed Hyperlink 2" xfId="913" hidden="1" xr:uid="{00000000-0005-0000-0000-0000F7000000}"/>
    <cellStyle name="Followed Hyperlink 2" xfId="923" hidden="1" xr:uid="{00000000-0005-0000-0000-0000F8000000}"/>
    <cellStyle name="Followed Hyperlink 2" xfId="926" hidden="1" xr:uid="{00000000-0005-0000-0000-0000F9000000}"/>
    <cellStyle name="Followed Hyperlink 2" xfId="929" hidden="1" xr:uid="{00000000-0005-0000-0000-0000FA000000}"/>
    <cellStyle name="Followed Hyperlink 2" xfId="933" hidden="1" xr:uid="{00000000-0005-0000-0000-0000FB000000}"/>
    <cellStyle name="Followed Hyperlink 2" xfId="970" hidden="1" xr:uid="{00000000-0005-0000-0000-0000FC000000}"/>
    <cellStyle name="Followed Hyperlink 2" xfId="967" hidden="1" xr:uid="{00000000-0005-0000-0000-0000FD000000}"/>
    <cellStyle name="Followed Hyperlink 2" xfId="965" hidden="1" xr:uid="{00000000-0005-0000-0000-0000FE000000}"/>
    <cellStyle name="Followed Hyperlink 2" xfId="966" hidden="1" xr:uid="{00000000-0005-0000-0000-0000FF000000}"/>
    <cellStyle name="Followed Hyperlink 2" xfId="976" hidden="1" xr:uid="{00000000-0005-0000-0000-000000010000}"/>
    <cellStyle name="Followed Hyperlink 2" xfId="979" hidden="1" xr:uid="{00000000-0005-0000-0000-000001010000}"/>
    <cellStyle name="Followed Hyperlink 2" xfId="982" hidden="1" xr:uid="{00000000-0005-0000-0000-000002010000}"/>
    <cellStyle name="Followed Hyperlink 2" xfId="986" hidden="1" xr:uid="{00000000-0005-0000-0000-000003010000}"/>
    <cellStyle name="Followed Hyperlink 2" xfId="994" hidden="1" xr:uid="{00000000-0005-0000-0000-000004010000}"/>
    <cellStyle name="Followed Hyperlink 2" xfId="991" hidden="1" xr:uid="{00000000-0005-0000-0000-000005010000}"/>
    <cellStyle name="Followed Hyperlink 2" xfId="989" hidden="1" xr:uid="{00000000-0005-0000-0000-000006010000}"/>
    <cellStyle name="Followed Hyperlink 2" xfId="990" hidden="1" xr:uid="{00000000-0005-0000-0000-000007010000}"/>
    <cellStyle name="Followed Hyperlink 2" xfId="1000" hidden="1" xr:uid="{00000000-0005-0000-0000-000008010000}"/>
    <cellStyle name="Followed Hyperlink 2" xfId="1003" hidden="1" xr:uid="{00000000-0005-0000-0000-000009010000}"/>
    <cellStyle name="Followed Hyperlink 2" xfId="1006" hidden="1" xr:uid="{00000000-0005-0000-0000-00000A010000}"/>
    <cellStyle name="Followed Hyperlink 2" xfId="1010" hidden="1" xr:uid="{00000000-0005-0000-0000-00000B010000}"/>
    <cellStyle name="Followed Hyperlink 2" xfId="1020" hidden="1" xr:uid="{00000000-0005-0000-0000-00000C010000}"/>
    <cellStyle name="Followed Hyperlink 2" xfId="1017" hidden="1" xr:uid="{00000000-0005-0000-0000-00000D010000}"/>
    <cellStyle name="Followed Hyperlink 2" xfId="1015" hidden="1" xr:uid="{00000000-0005-0000-0000-00000E010000}"/>
    <cellStyle name="Followed Hyperlink 2" xfId="1016" hidden="1" xr:uid="{00000000-0005-0000-0000-00000F010000}"/>
    <cellStyle name="Followed Hyperlink 2" xfId="1026" hidden="1" xr:uid="{00000000-0005-0000-0000-000010010000}"/>
    <cellStyle name="Followed Hyperlink 2" xfId="1029" hidden="1" xr:uid="{00000000-0005-0000-0000-000011010000}"/>
    <cellStyle name="Followed Hyperlink 2" xfId="1032" hidden="1" xr:uid="{00000000-0005-0000-0000-000012010000}"/>
    <cellStyle name="Followed Hyperlink 2" xfId="1036" hidden="1" xr:uid="{00000000-0005-0000-0000-000013010000}"/>
    <cellStyle name="Followed Hyperlink 2" xfId="1044" hidden="1" xr:uid="{00000000-0005-0000-0000-000014010000}"/>
    <cellStyle name="Followed Hyperlink 2" xfId="1041" hidden="1" xr:uid="{00000000-0005-0000-0000-000015010000}"/>
    <cellStyle name="Followed Hyperlink 2" xfId="1039" hidden="1" xr:uid="{00000000-0005-0000-0000-000016010000}"/>
    <cellStyle name="Followed Hyperlink 2" xfId="1040" hidden="1" xr:uid="{00000000-0005-0000-0000-000017010000}"/>
    <cellStyle name="Followed Hyperlink 2" xfId="1050" hidden="1" xr:uid="{00000000-0005-0000-0000-000018010000}"/>
    <cellStyle name="Followed Hyperlink 2" xfId="1053" hidden="1" xr:uid="{00000000-0005-0000-0000-000019010000}"/>
    <cellStyle name="Followed Hyperlink 2" xfId="1056" hidden="1" xr:uid="{00000000-0005-0000-0000-00001A010000}"/>
    <cellStyle name="Followed Hyperlink 2" xfId="1060" hidden="1" xr:uid="{00000000-0005-0000-0000-00001B010000}"/>
    <cellStyle name="Followed Hyperlink 2" xfId="937" hidden="1" xr:uid="{00000000-0005-0000-0000-00001C010000}"/>
    <cellStyle name="Followed Hyperlink 2" xfId="941" hidden="1" xr:uid="{00000000-0005-0000-0000-00001D010000}"/>
    <cellStyle name="Followed Hyperlink 2" xfId="936" hidden="1" xr:uid="{00000000-0005-0000-0000-00001E010000}"/>
    <cellStyle name="Followed Hyperlink 2" xfId="942" hidden="1" xr:uid="{00000000-0005-0000-0000-00001F010000}"/>
    <cellStyle name="Followed Hyperlink 2" xfId="1063" hidden="1" xr:uid="{00000000-0005-0000-0000-000020010000}"/>
    <cellStyle name="Followed Hyperlink 2" xfId="1066" hidden="1" xr:uid="{00000000-0005-0000-0000-000021010000}"/>
    <cellStyle name="Followed Hyperlink 2" xfId="1069" hidden="1" xr:uid="{00000000-0005-0000-0000-000022010000}"/>
    <cellStyle name="Followed Hyperlink 2" xfId="1073" hidden="1" xr:uid="{00000000-0005-0000-0000-000023010000}"/>
    <cellStyle name="Followed Hyperlink 2" xfId="1081" hidden="1" xr:uid="{00000000-0005-0000-0000-000024010000}"/>
    <cellStyle name="Followed Hyperlink 2" xfId="1078" hidden="1" xr:uid="{00000000-0005-0000-0000-000025010000}"/>
    <cellStyle name="Followed Hyperlink 2" xfId="1076" hidden="1" xr:uid="{00000000-0005-0000-0000-000026010000}"/>
    <cellStyle name="Followed Hyperlink 2" xfId="1077" hidden="1" xr:uid="{00000000-0005-0000-0000-000027010000}"/>
    <cellStyle name="Followed Hyperlink 2" xfId="1087" hidden="1" xr:uid="{00000000-0005-0000-0000-000028010000}"/>
    <cellStyle name="Followed Hyperlink 2" xfId="1090" hidden="1" xr:uid="{00000000-0005-0000-0000-000029010000}"/>
    <cellStyle name="Followed Hyperlink 2" xfId="1093" hidden="1" xr:uid="{00000000-0005-0000-0000-00002A010000}"/>
    <cellStyle name="Followed Hyperlink 2" xfId="1097" hidden="1" xr:uid="{00000000-0005-0000-0000-00002B010000}"/>
    <cellStyle name="Followed Hyperlink 2" xfId="1106" hidden="1" xr:uid="{00000000-0005-0000-0000-00002C010000}"/>
    <cellStyle name="Followed Hyperlink 2" xfId="1103" hidden="1" xr:uid="{00000000-0005-0000-0000-00002D010000}"/>
    <cellStyle name="Followed Hyperlink 2" xfId="1101" hidden="1" xr:uid="{00000000-0005-0000-0000-00002E010000}"/>
    <cellStyle name="Followed Hyperlink 2" xfId="1102" hidden="1" xr:uid="{00000000-0005-0000-0000-00002F010000}"/>
    <cellStyle name="Followed Hyperlink 2" xfId="1112" hidden="1" xr:uid="{00000000-0005-0000-0000-000030010000}"/>
    <cellStyle name="Followed Hyperlink 2" xfId="1115" hidden="1" xr:uid="{00000000-0005-0000-0000-000031010000}"/>
    <cellStyle name="Followed Hyperlink 2" xfId="1118" hidden="1" xr:uid="{00000000-0005-0000-0000-000032010000}"/>
    <cellStyle name="Followed Hyperlink 2" xfId="1122" hidden="1" xr:uid="{00000000-0005-0000-0000-000033010000}"/>
    <cellStyle name="Followed Hyperlink 2" xfId="1130" hidden="1" xr:uid="{00000000-0005-0000-0000-000034010000}"/>
    <cellStyle name="Followed Hyperlink 2" xfId="1127" hidden="1" xr:uid="{00000000-0005-0000-0000-000035010000}"/>
    <cellStyle name="Followed Hyperlink 2" xfId="1125" hidden="1" xr:uid="{00000000-0005-0000-0000-000036010000}"/>
    <cellStyle name="Followed Hyperlink 2" xfId="1126" hidden="1" xr:uid="{00000000-0005-0000-0000-000037010000}"/>
    <cellStyle name="Followed Hyperlink 2" xfId="1136" hidden="1" xr:uid="{00000000-0005-0000-0000-000038010000}"/>
    <cellStyle name="Followed Hyperlink 2" xfId="1139" hidden="1" xr:uid="{00000000-0005-0000-0000-000039010000}"/>
    <cellStyle name="Followed Hyperlink 2" xfId="1142" hidden="1" xr:uid="{00000000-0005-0000-0000-00003A010000}"/>
    <cellStyle name="Followed Hyperlink 2" xfId="1146" hidden="1" xr:uid="{00000000-0005-0000-0000-00003B010000}"/>
    <cellStyle name="Followed Hyperlink 2" xfId="955" hidden="1" xr:uid="{00000000-0005-0000-0000-00003C010000}"/>
    <cellStyle name="Followed Hyperlink 2" xfId="952" hidden="1" xr:uid="{00000000-0005-0000-0000-00003D010000}"/>
    <cellStyle name="Followed Hyperlink 2" xfId="946" hidden="1" xr:uid="{00000000-0005-0000-0000-00003E010000}"/>
    <cellStyle name="Followed Hyperlink 2" xfId="951" hidden="1" xr:uid="{00000000-0005-0000-0000-00003F010000}"/>
    <cellStyle name="Followed Hyperlink 2" xfId="1149" hidden="1" xr:uid="{00000000-0005-0000-0000-000040010000}"/>
    <cellStyle name="Followed Hyperlink 2" xfId="1152" hidden="1" xr:uid="{00000000-0005-0000-0000-000041010000}"/>
    <cellStyle name="Followed Hyperlink 2" xfId="1155" hidden="1" xr:uid="{00000000-0005-0000-0000-000042010000}"/>
    <cellStyle name="Followed Hyperlink 2" xfId="1159" hidden="1" xr:uid="{00000000-0005-0000-0000-000043010000}"/>
    <cellStyle name="Followed Hyperlink 2" xfId="1167" hidden="1" xr:uid="{00000000-0005-0000-0000-000044010000}"/>
    <cellStyle name="Followed Hyperlink 2" xfId="1164" hidden="1" xr:uid="{00000000-0005-0000-0000-000045010000}"/>
    <cellStyle name="Followed Hyperlink 2" xfId="1162" hidden="1" xr:uid="{00000000-0005-0000-0000-000046010000}"/>
    <cellStyle name="Followed Hyperlink 2" xfId="1163" hidden="1" xr:uid="{00000000-0005-0000-0000-000047010000}"/>
    <cellStyle name="Followed Hyperlink 2" xfId="1173" hidden="1" xr:uid="{00000000-0005-0000-0000-000048010000}"/>
    <cellStyle name="Followed Hyperlink 2" xfId="1176" hidden="1" xr:uid="{00000000-0005-0000-0000-000049010000}"/>
    <cellStyle name="Followed Hyperlink 2" xfId="1179" hidden="1" xr:uid="{00000000-0005-0000-0000-00004A010000}"/>
    <cellStyle name="Followed Hyperlink 2" xfId="1183" hidden="1" xr:uid="{00000000-0005-0000-0000-00004B010000}"/>
    <cellStyle name="Followed Hyperlink 2" xfId="1192" hidden="1" xr:uid="{00000000-0005-0000-0000-00004C010000}"/>
    <cellStyle name="Followed Hyperlink 2" xfId="1189" hidden="1" xr:uid="{00000000-0005-0000-0000-00004D010000}"/>
    <cellStyle name="Followed Hyperlink 2" xfId="1187" hidden="1" xr:uid="{00000000-0005-0000-0000-00004E010000}"/>
    <cellStyle name="Followed Hyperlink 2" xfId="1188" hidden="1" xr:uid="{00000000-0005-0000-0000-00004F010000}"/>
    <cellStyle name="Followed Hyperlink 2" xfId="1198" hidden="1" xr:uid="{00000000-0005-0000-0000-000050010000}"/>
    <cellStyle name="Followed Hyperlink 2" xfId="1201" hidden="1" xr:uid="{00000000-0005-0000-0000-000051010000}"/>
    <cellStyle name="Followed Hyperlink 2" xfId="1204" hidden="1" xr:uid="{00000000-0005-0000-0000-000052010000}"/>
    <cellStyle name="Followed Hyperlink 2" xfId="1208" hidden="1" xr:uid="{00000000-0005-0000-0000-000053010000}"/>
    <cellStyle name="Followed Hyperlink 2" xfId="1216" hidden="1" xr:uid="{00000000-0005-0000-0000-000054010000}"/>
    <cellStyle name="Followed Hyperlink 2" xfId="1213" hidden="1" xr:uid="{00000000-0005-0000-0000-000055010000}"/>
    <cellStyle name="Followed Hyperlink 2" xfId="1211" hidden="1" xr:uid="{00000000-0005-0000-0000-000056010000}"/>
    <cellStyle name="Followed Hyperlink 2" xfId="1212" hidden="1" xr:uid="{00000000-0005-0000-0000-000057010000}"/>
    <cellStyle name="Followed Hyperlink 2" xfId="1222" hidden="1" xr:uid="{00000000-0005-0000-0000-000058010000}"/>
    <cellStyle name="Followed Hyperlink 2" xfId="1225" hidden="1" xr:uid="{00000000-0005-0000-0000-000059010000}"/>
    <cellStyle name="Followed Hyperlink 2" xfId="1228" hidden="1" xr:uid="{00000000-0005-0000-0000-00005A010000}"/>
    <cellStyle name="Followed Hyperlink 2" xfId="1232" hidden="1" xr:uid="{00000000-0005-0000-0000-00005B010000}"/>
    <cellStyle name="Followed Hyperlink 2" xfId="963" hidden="1" xr:uid="{00000000-0005-0000-0000-00005C010000}"/>
    <cellStyle name="Followed Hyperlink 2" xfId="959" hidden="1" xr:uid="{00000000-0005-0000-0000-00005D010000}"/>
    <cellStyle name="Followed Hyperlink 2" xfId="960" hidden="1" xr:uid="{00000000-0005-0000-0000-00005E010000}"/>
    <cellStyle name="Followed Hyperlink 2" xfId="947" hidden="1" xr:uid="{00000000-0005-0000-0000-00005F010000}"/>
    <cellStyle name="Followed Hyperlink 2" xfId="1235" hidden="1" xr:uid="{00000000-0005-0000-0000-000060010000}"/>
    <cellStyle name="Followed Hyperlink 2" xfId="1238" hidden="1" xr:uid="{00000000-0005-0000-0000-000061010000}"/>
    <cellStyle name="Followed Hyperlink 2" xfId="1241" hidden="1" xr:uid="{00000000-0005-0000-0000-000062010000}"/>
    <cellStyle name="Followed Hyperlink 2" xfId="1245" hidden="1" xr:uid="{00000000-0005-0000-0000-000063010000}"/>
    <cellStyle name="Followed Hyperlink 2" xfId="1253" hidden="1" xr:uid="{00000000-0005-0000-0000-000064010000}"/>
    <cellStyle name="Followed Hyperlink 2" xfId="1250" hidden="1" xr:uid="{00000000-0005-0000-0000-000065010000}"/>
    <cellStyle name="Followed Hyperlink 2" xfId="1248" hidden="1" xr:uid="{00000000-0005-0000-0000-000066010000}"/>
    <cellStyle name="Followed Hyperlink 2" xfId="1249" hidden="1" xr:uid="{00000000-0005-0000-0000-000067010000}"/>
    <cellStyle name="Followed Hyperlink 2" xfId="1259" hidden="1" xr:uid="{00000000-0005-0000-0000-000068010000}"/>
    <cellStyle name="Followed Hyperlink 2" xfId="1262" hidden="1" xr:uid="{00000000-0005-0000-0000-000069010000}"/>
    <cellStyle name="Followed Hyperlink 2" xfId="1265" hidden="1" xr:uid="{00000000-0005-0000-0000-00006A010000}"/>
    <cellStyle name="Followed Hyperlink 2" xfId="1269" hidden="1" xr:uid="{00000000-0005-0000-0000-00006B010000}"/>
    <cellStyle name="Followed Hyperlink 2" xfId="1277" hidden="1" xr:uid="{00000000-0005-0000-0000-00006C010000}"/>
    <cellStyle name="Followed Hyperlink 2" xfId="1274" hidden="1" xr:uid="{00000000-0005-0000-0000-00006D010000}"/>
    <cellStyle name="Followed Hyperlink 2" xfId="1272" hidden="1" xr:uid="{00000000-0005-0000-0000-00006E010000}"/>
    <cellStyle name="Followed Hyperlink 2" xfId="1273" hidden="1" xr:uid="{00000000-0005-0000-0000-00006F010000}"/>
    <cellStyle name="Followed Hyperlink 2" xfId="1283" hidden="1" xr:uid="{00000000-0005-0000-0000-000070010000}"/>
    <cellStyle name="Followed Hyperlink 2" xfId="1286" hidden="1" xr:uid="{00000000-0005-0000-0000-000071010000}"/>
    <cellStyle name="Followed Hyperlink 2" xfId="1289" hidden="1" xr:uid="{00000000-0005-0000-0000-000072010000}"/>
    <cellStyle name="Followed Hyperlink 2" xfId="1293" hidden="1" xr:uid="{00000000-0005-0000-0000-000073010000}"/>
    <cellStyle name="Followed Hyperlink 2" xfId="1301" hidden="1" xr:uid="{00000000-0005-0000-0000-000074010000}"/>
    <cellStyle name="Followed Hyperlink 2" xfId="1298" hidden="1" xr:uid="{00000000-0005-0000-0000-000075010000}"/>
    <cellStyle name="Followed Hyperlink 2" xfId="1296" hidden="1" xr:uid="{00000000-0005-0000-0000-000076010000}"/>
    <cellStyle name="Followed Hyperlink 2" xfId="1297" hidden="1" xr:uid="{00000000-0005-0000-0000-000077010000}"/>
    <cellStyle name="Followed Hyperlink 2" xfId="1307" hidden="1" xr:uid="{00000000-0005-0000-0000-000078010000}"/>
    <cellStyle name="Followed Hyperlink 2" xfId="1310" hidden="1" xr:uid="{00000000-0005-0000-0000-000079010000}"/>
    <cellStyle name="Followed Hyperlink 2" xfId="1313" hidden="1" xr:uid="{00000000-0005-0000-0000-00007A010000}"/>
    <cellStyle name="Followed Hyperlink 2" xfId="1317" hidden="1" xr:uid="{00000000-0005-0000-0000-00007B010000}"/>
    <cellStyle name="Followed Hyperlink 2" xfId="810" hidden="1" xr:uid="{00000000-0005-0000-0000-00007C010000}"/>
    <cellStyle name="Followed Hyperlink 2" xfId="814" hidden="1" xr:uid="{00000000-0005-0000-0000-00007D010000}"/>
    <cellStyle name="Followed Hyperlink 2" xfId="809" hidden="1" xr:uid="{00000000-0005-0000-0000-00007E010000}"/>
    <cellStyle name="Followed Hyperlink 2" xfId="815" hidden="1" xr:uid="{00000000-0005-0000-0000-00007F010000}"/>
    <cellStyle name="Followed Hyperlink 2" xfId="1320" hidden="1" xr:uid="{00000000-0005-0000-0000-000080010000}"/>
    <cellStyle name="Followed Hyperlink 2" xfId="1323" hidden="1" xr:uid="{00000000-0005-0000-0000-000081010000}"/>
    <cellStyle name="Followed Hyperlink 2" xfId="1326" hidden="1" xr:uid="{00000000-0005-0000-0000-000082010000}"/>
    <cellStyle name="Followed Hyperlink 2" xfId="1330" hidden="1" xr:uid="{00000000-0005-0000-0000-000083010000}"/>
    <cellStyle name="Followed Hyperlink 2" xfId="1338" hidden="1" xr:uid="{00000000-0005-0000-0000-000084010000}"/>
    <cellStyle name="Followed Hyperlink 2" xfId="1335" hidden="1" xr:uid="{00000000-0005-0000-0000-000085010000}"/>
    <cellStyle name="Followed Hyperlink 2" xfId="1333" hidden="1" xr:uid="{00000000-0005-0000-0000-000086010000}"/>
    <cellStyle name="Followed Hyperlink 2" xfId="1334" hidden="1" xr:uid="{00000000-0005-0000-0000-000087010000}"/>
    <cellStyle name="Followed Hyperlink 2" xfId="1344" hidden="1" xr:uid="{00000000-0005-0000-0000-000088010000}"/>
    <cellStyle name="Followed Hyperlink 2" xfId="1347" hidden="1" xr:uid="{00000000-0005-0000-0000-000089010000}"/>
    <cellStyle name="Followed Hyperlink 2" xfId="1350" hidden="1" xr:uid="{00000000-0005-0000-0000-00008A010000}"/>
    <cellStyle name="Followed Hyperlink 2" xfId="1354" hidden="1" xr:uid="{00000000-0005-0000-0000-00008B010000}"/>
    <cellStyle name="Followed Hyperlink 2" xfId="1363" hidden="1" xr:uid="{00000000-0005-0000-0000-00008C010000}"/>
    <cellStyle name="Followed Hyperlink 2" xfId="1360" hidden="1" xr:uid="{00000000-0005-0000-0000-00008D010000}"/>
    <cellStyle name="Followed Hyperlink 2" xfId="1358" hidden="1" xr:uid="{00000000-0005-0000-0000-00008E010000}"/>
    <cellStyle name="Followed Hyperlink 2" xfId="1359" hidden="1" xr:uid="{00000000-0005-0000-0000-00008F010000}"/>
    <cellStyle name="Followed Hyperlink 2" xfId="1369" hidden="1" xr:uid="{00000000-0005-0000-0000-000090010000}"/>
    <cellStyle name="Followed Hyperlink 2" xfId="1372" hidden="1" xr:uid="{00000000-0005-0000-0000-000091010000}"/>
    <cellStyle name="Followed Hyperlink 2" xfId="1375" hidden="1" xr:uid="{00000000-0005-0000-0000-000092010000}"/>
    <cellStyle name="Followed Hyperlink 2" xfId="1379" hidden="1" xr:uid="{00000000-0005-0000-0000-000093010000}"/>
    <cellStyle name="Followed Hyperlink 2" xfId="1387" hidden="1" xr:uid="{00000000-0005-0000-0000-000094010000}"/>
    <cellStyle name="Followed Hyperlink 2" xfId="1384" hidden="1" xr:uid="{00000000-0005-0000-0000-000095010000}"/>
    <cellStyle name="Followed Hyperlink 2" xfId="1382" hidden="1" xr:uid="{00000000-0005-0000-0000-000096010000}"/>
    <cellStyle name="Followed Hyperlink 2" xfId="1383" hidden="1" xr:uid="{00000000-0005-0000-0000-000097010000}"/>
    <cellStyle name="Followed Hyperlink 2" xfId="1393" hidden="1" xr:uid="{00000000-0005-0000-0000-000098010000}"/>
    <cellStyle name="Followed Hyperlink 2" xfId="1396" hidden="1" xr:uid="{00000000-0005-0000-0000-000099010000}"/>
    <cellStyle name="Followed Hyperlink 2" xfId="1399" hidden="1" xr:uid="{00000000-0005-0000-0000-00009A010000}"/>
    <cellStyle name="Followed Hyperlink 2" xfId="1403" hidden="1" xr:uid="{00000000-0005-0000-0000-00009B010000}"/>
    <cellStyle name="Followed Hyperlink 2" xfId="1440" hidden="1" xr:uid="{00000000-0005-0000-0000-00009C010000}"/>
    <cellStyle name="Followed Hyperlink 2" xfId="1437" hidden="1" xr:uid="{00000000-0005-0000-0000-00009D010000}"/>
    <cellStyle name="Followed Hyperlink 2" xfId="1435" hidden="1" xr:uid="{00000000-0005-0000-0000-00009E010000}"/>
    <cellStyle name="Followed Hyperlink 2" xfId="1436" hidden="1" xr:uid="{00000000-0005-0000-0000-00009F010000}"/>
    <cellStyle name="Followed Hyperlink 2" xfId="1446" hidden="1" xr:uid="{00000000-0005-0000-0000-0000A0010000}"/>
    <cellStyle name="Followed Hyperlink 2" xfId="1449" hidden="1" xr:uid="{00000000-0005-0000-0000-0000A1010000}"/>
    <cellStyle name="Followed Hyperlink 2" xfId="1452" hidden="1" xr:uid="{00000000-0005-0000-0000-0000A2010000}"/>
    <cellStyle name="Followed Hyperlink 2" xfId="1456" hidden="1" xr:uid="{00000000-0005-0000-0000-0000A3010000}"/>
    <cellStyle name="Followed Hyperlink 2" xfId="1464" hidden="1" xr:uid="{00000000-0005-0000-0000-0000A4010000}"/>
    <cellStyle name="Followed Hyperlink 2" xfId="1461" hidden="1" xr:uid="{00000000-0005-0000-0000-0000A5010000}"/>
    <cellStyle name="Followed Hyperlink 2" xfId="1459" hidden="1" xr:uid="{00000000-0005-0000-0000-0000A6010000}"/>
    <cellStyle name="Followed Hyperlink 2" xfId="1460" hidden="1" xr:uid="{00000000-0005-0000-0000-0000A7010000}"/>
    <cellStyle name="Followed Hyperlink 2" xfId="1470" hidden="1" xr:uid="{00000000-0005-0000-0000-0000A8010000}"/>
    <cellStyle name="Followed Hyperlink 2" xfId="1473" hidden="1" xr:uid="{00000000-0005-0000-0000-0000A9010000}"/>
    <cellStyle name="Followed Hyperlink 2" xfId="1476" hidden="1" xr:uid="{00000000-0005-0000-0000-0000AA010000}"/>
    <cellStyle name="Followed Hyperlink 2" xfId="1480" hidden="1" xr:uid="{00000000-0005-0000-0000-0000AB010000}"/>
    <cellStyle name="Followed Hyperlink 2" xfId="1490" hidden="1" xr:uid="{00000000-0005-0000-0000-0000AC010000}"/>
    <cellStyle name="Followed Hyperlink 2" xfId="1487" hidden="1" xr:uid="{00000000-0005-0000-0000-0000AD010000}"/>
    <cellStyle name="Followed Hyperlink 2" xfId="1485" hidden="1" xr:uid="{00000000-0005-0000-0000-0000AE010000}"/>
    <cellStyle name="Followed Hyperlink 2" xfId="1486" hidden="1" xr:uid="{00000000-0005-0000-0000-0000AF010000}"/>
    <cellStyle name="Followed Hyperlink 2" xfId="1496" hidden="1" xr:uid="{00000000-0005-0000-0000-0000B0010000}"/>
    <cellStyle name="Followed Hyperlink 2" xfId="1499" hidden="1" xr:uid="{00000000-0005-0000-0000-0000B1010000}"/>
    <cellStyle name="Followed Hyperlink 2" xfId="1502" hidden="1" xr:uid="{00000000-0005-0000-0000-0000B2010000}"/>
    <cellStyle name="Followed Hyperlink 2" xfId="1506" hidden="1" xr:uid="{00000000-0005-0000-0000-0000B3010000}"/>
    <cellStyle name="Followed Hyperlink 2" xfId="1514" hidden="1" xr:uid="{00000000-0005-0000-0000-0000B4010000}"/>
    <cellStyle name="Followed Hyperlink 2" xfId="1511" hidden="1" xr:uid="{00000000-0005-0000-0000-0000B5010000}"/>
    <cellStyle name="Followed Hyperlink 2" xfId="1509" hidden="1" xr:uid="{00000000-0005-0000-0000-0000B6010000}"/>
    <cellStyle name="Followed Hyperlink 2" xfId="1510" hidden="1" xr:uid="{00000000-0005-0000-0000-0000B7010000}"/>
    <cellStyle name="Followed Hyperlink 2" xfId="1520" hidden="1" xr:uid="{00000000-0005-0000-0000-0000B8010000}"/>
    <cellStyle name="Followed Hyperlink 2" xfId="1523" hidden="1" xr:uid="{00000000-0005-0000-0000-0000B9010000}"/>
    <cellStyle name="Followed Hyperlink 2" xfId="1526" hidden="1" xr:uid="{00000000-0005-0000-0000-0000BA010000}"/>
    <cellStyle name="Followed Hyperlink 2" xfId="1530" hidden="1" xr:uid="{00000000-0005-0000-0000-0000BB010000}"/>
    <cellStyle name="Followed Hyperlink 2" xfId="1407" hidden="1" xr:uid="{00000000-0005-0000-0000-0000BC010000}"/>
    <cellStyle name="Followed Hyperlink 2" xfId="1411" hidden="1" xr:uid="{00000000-0005-0000-0000-0000BD010000}"/>
    <cellStyle name="Followed Hyperlink 2" xfId="1406" hidden="1" xr:uid="{00000000-0005-0000-0000-0000BE010000}"/>
    <cellStyle name="Followed Hyperlink 2" xfId="1412" hidden="1" xr:uid="{00000000-0005-0000-0000-0000BF010000}"/>
    <cellStyle name="Followed Hyperlink 2" xfId="1533" hidden="1" xr:uid="{00000000-0005-0000-0000-0000C0010000}"/>
    <cellStyle name="Followed Hyperlink 2" xfId="1536" hidden="1" xr:uid="{00000000-0005-0000-0000-0000C1010000}"/>
    <cellStyle name="Followed Hyperlink 2" xfId="1539" hidden="1" xr:uid="{00000000-0005-0000-0000-0000C2010000}"/>
    <cellStyle name="Followed Hyperlink 2" xfId="1543" hidden="1" xr:uid="{00000000-0005-0000-0000-0000C3010000}"/>
    <cellStyle name="Followed Hyperlink 2" xfId="1551" hidden="1" xr:uid="{00000000-0005-0000-0000-0000C4010000}"/>
    <cellStyle name="Followed Hyperlink 2" xfId="1548" hidden="1" xr:uid="{00000000-0005-0000-0000-0000C5010000}"/>
    <cellStyle name="Followed Hyperlink 2" xfId="1546" hidden="1" xr:uid="{00000000-0005-0000-0000-0000C6010000}"/>
    <cellStyle name="Followed Hyperlink 2" xfId="1547" hidden="1" xr:uid="{00000000-0005-0000-0000-0000C7010000}"/>
    <cellStyle name="Followed Hyperlink 2" xfId="1557" hidden="1" xr:uid="{00000000-0005-0000-0000-0000C8010000}"/>
    <cellStyle name="Followed Hyperlink 2" xfId="1560" hidden="1" xr:uid="{00000000-0005-0000-0000-0000C9010000}"/>
    <cellStyle name="Followed Hyperlink 2" xfId="1563" hidden="1" xr:uid="{00000000-0005-0000-0000-0000CA010000}"/>
    <cellStyle name="Followed Hyperlink 2" xfId="1567" hidden="1" xr:uid="{00000000-0005-0000-0000-0000CB010000}"/>
    <cellStyle name="Followed Hyperlink 2" xfId="1576" hidden="1" xr:uid="{00000000-0005-0000-0000-0000CC010000}"/>
    <cellStyle name="Followed Hyperlink 2" xfId="1573" hidden="1" xr:uid="{00000000-0005-0000-0000-0000CD010000}"/>
    <cellStyle name="Followed Hyperlink 2" xfId="1571" hidden="1" xr:uid="{00000000-0005-0000-0000-0000CE010000}"/>
    <cellStyle name="Followed Hyperlink 2" xfId="1572" hidden="1" xr:uid="{00000000-0005-0000-0000-0000CF010000}"/>
    <cellStyle name="Followed Hyperlink 2" xfId="1582" hidden="1" xr:uid="{00000000-0005-0000-0000-0000D0010000}"/>
    <cellStyle name="Followed Hyperlink 2" xfId="1585" hidden="1" xr:uid="{00000000-0005-0000-0000-0000D1010000}"/>
    <cellStyle name="Followed Hyperlink 2" xfId="1588" hidden="1" xr:uid="{00000000-0005-0000-0000-0000D2010000}"/>
    <cellStyle name="Followed Hyperlink 2" xfId="1592" hidden="1" xr:uid="{00000000-0005-0000-0000-0000D3010000}"/>
    <cellStyle name="Followed Hyperlink 2" xfId="1600" hidden="1" xr:uid="{00000000-0005-0000-0000-0000D4010000}"/>
    <cellStyle name="Followed Hyperlink 2" xfId="1597" hidden="1" xr:uid="{00000000-0005-0000-0000-0000D5010000}"/>
    <cellStyle name="Followed Hyperlink 2" xfId="1595" hidden="1" xr:uid="{00000000-0005-0000-0000-0000D6010000}"/>
    <cellStyle name="Followed Hyperlink 2" xfId="1596" hidden="1" xr:uid="{00000000-0005-0000-0000-0000D7010000}"/>
    <cellStyle name="Followed Hyperlink 2" xfId="1606" hidden="1" xr:uid="{00000000-0005-0000-0000-0000D8010000}"/>
    <cellStyle name="Followed Hyperlink 2" xfId="1609" hidden="1" xr:uid="{00000000-0005-0000-0000-0000D9010000}"/>
    <cellStyle name="Followed Hyperlink 2" xfId="1612" hidden="1" xr:uid="{00000000-0005-0000-0000-0000DA010000}"/>
    <cellStyle name="Followed Hyperlink 2" xfId="1616" hidden="1" xr:uid="{00000000-0005-0000-0000-0000DB010000}"/>
    <cellStyle name="Followed Hyperlink 2" xfId="1425" hidden="1" xr:uid="{00000000-0005-0000-0000-0000DC010000}"/>
    <cellStyle name="Followed Hyperlink 2" xfId="1422" hidden="1" xr:uid="{00000000-0005-0000-0000-0000DD010000}"/>
    <cellStyle name="Followed Hyperlink 2" xfId="1416" hidden="1" xr:uid="{00000000-0005-0000-0000-0000DE010000}"/>
    <cellStyle name="Followed Hyperlink 2" xfId="1421" hidden="1" xr:uid="{00000000-0005-0000-0000-0000DF010000}"/>
    <cellStyle name="Followed Hyperlink 2" xfId="1619" hidden="1" xr:uid="{00000000-0005-0000-0000-0000E0010000}"/>
    <cellStyle name="Followed Hyperlink 2" xfId="1622" hidden="1" xr:uid="{00000000-0005-0000-0000-0000E1010000}"/>
    <cellStyle name="Followed Hyperlink 2" xfId="1625" hidden="1" xr:uid="{00000000-0005-0000-0000-0000E2010000}"/>
    <cellStyle name="Followed Hyperlink 2" xfId="1629" hidden="1" xr:uid="{00000000-0005-0000-0000-0000E3010000}"/>
    <cellStyle name="Followed Hyperlink 2" xfId="1637" hidden="1" xr:uid="{00000000-0005-0000-0000-0000E4010000}"/>
    <cellStyle name="Followed Hyperlink 2" xfId="1634" hidden="1" xr:uid="{00000000-0005-0000-0000-0000E5010000}"/>
    <cellStyle name="Followed Hyperlink 2" xfId="1632" hidden="1" xr:uid="{00000000-0005-0000-0000-0000E6010000}"/>
    <cellStyle name="Followed Hyperlink 2" xfId="1633" hidden="1" xr:uid="{00000000-0005-0000-0000-0000E7010000}"/>
    <cellStyle name="Followed Hyperlink 2" xfId="1643" hidden="1" xr:uid="{00000000-0005-0000-0000-0000E8010000}"/>
    <cellStyle name="Followed Hyperlink 2" xfId="1646" hidden="1" xr:uid="{00000000-0005-0000-0000-0000E9010000}"/>
    <cellStyle name="Followed Hyperlink 2" xfId="1649" hidden="1" xr:uid="{00000000-0005-0000-0000-0000EA010000}"/>
    <cellStyle name="Followed Hyperlink 2" xfId="1653" hidden="1" xr:uid="{00000000-0005-0000-0000-0000EB010000}"/>
    <cellStyle name="Followed Hyperlink 2" xfId="1662" hidden="1" xr:uid="{00000000-0005-0000-0000-0000EC010000}"/>
    <cellStyle name="Followed Hyperlink 2" xfId="1659" hidden="1" xr:uid="{00000000-0005-0000-0000-0000ED010000}"/>
    <cellStyle name="Followed Hyperlink 2" xfId="1657" hidden="1" xr:uid="{00000000-0005-0000-0000-0000EE010000}"/>
    <cellStyle name="Followed Hyperlink 2" xfId="1658" hidden="1" xr:uid="{00000000-0005-0000-0000-0000EF010000}"/>
    <cellStyle name="Followed Hyperlink 2" xfId="1668" hidden="1" xr:uid="{00000000-0005-0000-0000-0000F0010000}"/>
    <cellStyle name="Followed Hyperlink 2" xfId="1671" hidden="1" xr:uid="{00000000-0005-0000-0000-0000F1010000}"/>
    <cellStyle name="Followed Hyperlink 2" xfId="1674" hidden="1" xr:uid="{00000000-0005-0000-0000-0000F2010000}"/>
    <cellStyle name="Followed Hyperlink 2" xfId="1678" hidden="1" xr:uid="{00000000-0005-0000-0000-0000F3010000}"/>
    <cellStyle name="Followed Hyperlink 2" xfId="1686" hidden="1" xr:uid="{00000000-0005-0000-0000-0000F4010000}"/>
    <cellStyle name="Followed Hyperlink 2" xfId="1683" hidden="1" xr:uid="{00000000-0005-0000-0000-0000F5010000}"/>
    <cellStyle name="Followed Hyperlink 2" xfId="1681" hidden="1" xr:uid="{00000000-0005-0000-0000-0000F6010000}"/>
    <cellStyle name="Followed Hyperlink 2" xfId="1682" hidden="1" xr:uid="{00000000-0005-0000-0000-0000F7010000}"/>
    <cellStyle name="Followed Hyperlink 2" xfId="1692" hidden="1" xr:uid="{00000000-0005-0000-0000-0000F8010000}"/>
    <cellStyle name="Followed Hyperlink 2" xfId="1695" hidden="1" xr:uid="{00000000-0005-0000-0000-0000F9010000}"/>
    <cellStyle name="Followed Hyperlink 2" xfId="1698" hidden="1" xr:uid="{00000000-0005-0000-0000-0000FA010000}"/>
    <cellStyle name="Followed Hyperlink 2" xfId="1702" hidden="1" xr:uid="{00000000-0005-0000-0000-0000FB010000}"/>
    <cellStyle name="Followed Hyperlink 2" xfId="1433" hidden="1" xr:uid="{00000000-0005-0000-0000-0000FC010000}"/>
    <cellStyle name="Followed Hyperlink 2" xfId="1429" hidden="1" xr:uid="{00000000-0005-0000-0000-0000FD010000}"/>
    <cellStyle name="Followed Hyperlink 2" xfId="1430" hidden="1" xr:uid="{00000000-0005-0000-0000-0000FE010000}"/>
    <cellStyle name="Followed Hyperlink 2" xfId="1417" hidden="1" xr:uid="{00000000-0005-0000-0000-0000FF010000}"/>
    <cellStyle name="Followed Hyperlink 2" xfId="1705" hidden="1" xr:uid="{00000000-0005-0000-0000-000000020000}"/>
    <cellStyle name="Followed Hyperlink 2" xfId="1708" hidden="1" xr:uid="{00000000-0005-0000-0000-000001020000}"/>
    <cellStyle name="Followed Hyperlink 2" xfId="1711" hidden="1" xr:uid="{00000000-0005-0000-0000-000002020000}"/>
    <cellStyle name="Followed Hyperlink 2" xfId="1715" hidden="1" xr:uid="{00000000-0005-0000-0000-000003020000}"/>
    <cellStyle name="Followed Hyperlink 2" xfId="1723" hidden="1" xr:uid="{00000000-0005-0000-0000-000004020000}"/>
    <cellStyle name="Followed Hyperlink 2" xfId="1720" hidden="1" xr:uid="{00000000-0005-0000-0000-000005020000}"/>
    <cellStyle name="Followed Hyperlink 2" xfId="1718" hidden="1" xr:uid="{00000000-0005-0000-0000-000006020000}"/>
    <cellStyle name="Followed Hyperlink 2" xfId="1719" hidden="1" xr:uid="{00000000-0005-0000-0000-000007020000}"/>
    <cellStyle name="Followed Hyperlink 2" xfId="1729" hidden="1" xr:uid="{00000000-0005-0000-0000-000008020000}"/>
    <cellStyle name="Followed Hyperlink 2" xfId="1732" hidden="1" xr:uid="{00000000-0005-0000-0000-000009020000}"/>
    <cellStyle name="Followed Hyperlink 2" xfId="1735" hidden="1" xr:uid="{00000000-0005-0000-0000-00000A020000}"/>
    <cellStyle name="Followed Hyperlink 2" xfId="1739" hidden="1" xr:uid="{00000000-0005-0000-0000-00000B020000}"/>
    <cellStyle name="Followed Hyperlink 2" xfId="1747" hidden="1" xr:uid="{00000000-0005-0000-0000-00000C020000}"/>
    <cellStyle name="Followed Hyperlink 2" xfId="1744" hidden="1" xr:uid="{00000000-0005-0000-0000-00000D020000}"/>
    <cellStyle name="Followed Hyperlink 2" xfId="1742" hidden="1" xr:uid="{00000000-0005-0000-0000-00000E020000}"/>
    <cellStyle name="Followed Hyperlink 2" xfId="1743" hidden="1" xr:uid="{00000000-0005-0000-0000-00000F020000}"/>
    <cellStyle name="Followed Hyperlink 2" xfId="1753" hidden="1" xr:uid="{00000000-0005-0000-0000-000010020000}"/>
    <cellStyle name="Followed Hyperlink 2" xfId="1756" hidden="1" xr:uid="{00000000-0005-0000-0000-000011020000}"/>
    <cellStyle name="Followed Hyperlink 2" xfId="1759" hidden="1" xr:uid="{00000000-0005-0000-0000-000012020000}"/>
    <cellStyle name="Followed Hyperlink 2" xfId="1763" hidden="1" xr:uid="{00000000-0005-0000-0000-000013020000}"/>
    <cellStyle name="Followed Hyperlink 2" xfId="1771" hidden="1" xr:uid="{00000000-0005-0000-0000-000014020000}"/>
    <cellStyle name="Followed Hyperlink 2" xfId="1768" hidden="1" xr:uid="{00000000-0005-0000-0000-000015020000}"/>
    <cellStyle name="Followed Hyperlink 2" xfId="1766" hidden="1" xr:uid="{00000000-0005-0000-0000-000016020000}"/>
    <cellStyle name="Followed Hyperlink 2" xfId="1767" hidden="1" xr:uid="{00000000-0005-0000-0000-000017020000}"/>
    <cellStyle name="Followed Hyperlink 2" xfId="1777" hidden="1" xr:uid="{00000000-0005-0000-0000-000018020000}"/>
    <cellStyle name="Followed Hyperlink 2" xfId="1780" hidden="1" xr:uid="{00000000-0005-0000-0000-000019020000}"/>
    <cellStyle name="Followed Hyperlink 2" xfId="1783" hidden="1" xr:uid="{00000000-0005-0000-0000-00001A020000}"/>
    <cellStyle name="Followed Hyperlink 2" xfId="1787" hidden="1" xr:uid="{00000000-0005-0000-0000-00001B020000}"/>
    <cellStyle name="Followed Hyperlink 2" xfId="828" hidden="1" xr:uid="{00000000-0005-0000-0000-00001C020000}"/>
    <cellStyle name="Followed Hyperlink 2" xfId="825" hidden="1" xr:uid="{00000000-0005-0000-0000-00001D020000}"/>
    <cellStyle name="Followed Hyperlink 2" xfId="819" hidden="1" xr:uid="{00000000-0005-0000-0000-00001E020000}"/>
    <cellStyle name="Followed Hyperlink 2" xfId="824" hidden="1" xr:uid="{00000000-0005-0000-0000-00001F020000}"/>
    <cellStyle name="Followed Hyperlink 2" xfId="1790" hidden="1" xr:uid="{00000000-0005-0000-0000-000020020000}"/>
    <cellStyle name="Followed Hyperlink 2" xfId="1793" hidden="1" xr:uid="{00000000-0005-0000-0000-000021020000}"/>
    <cellStyle name="Followed Hyperlink 2" xfId="1796" hidden="1" xr:uid="{00000000-0005-0000-0000-000022020000}"/>
    <cellStyle name="Followed Hyperlink 2" xfId="1800" hidden="1" xr:uid="{00000000-0005-0000-0000-000023020000}"/>
    <cellStyle name="Followed Hyperlink 2" xfId="1808" hidden="1" xr:uid="{00000000-0005-0000-0000-000024020000}"/>
    <cellStyle name="Followed Hyperlink 2" xfId="1805" hidden="1" xr:uid="{00000000-0005-0000-0000-000025020000}"/>
    <cellStyle name="Followed Hyperlink 2" xfId="1803" hidden="1" xr:uid="{00000000-0005-0000-0000-000026020000}"/>
    <cellStyle name="Followed Hyperlink 2" xfId="1804" hidden="1" xr:uid="{00000000-0005-0000-0000-000027020000}"/>
    <cellStyle name="Followed Hyperlink 2" xfId="1814" hidden="1" xr:uid="{00000000-0005-0000-0000-000028020000}"/>
    <cellStyle name="Followed Hyperlink 2" xfId="1817" hidden="1" xr:uid="{00000000-0005-0000-0000-000029020000}"/>
    <cellStyle name="Followed Hyperlink 2" xfId="1820" hidden="1" xr:uid="{00000000-0005-0000-0000-00002A020000}"/>
    <cellStyle name="Followed Hyperlink 2" xfId="1824" hidden="1" xr:uid="{00000000-0005-0000-0000-00002B020000}"/>
    <cellStyle name="Followed Hyperlink 2" xfId="1833" hidden="1" xr:uid="{00000000-0005-0000-0000-00002C020000}"/>
    <cellStyle name="Followed Hyperlink 2" xfId="1830" hidden="1" xr:uid="{00000000-0005-0000-0000-00002D020000}"/>
    <cellStyle name="Followed Hyperlink 2" xfId="1828" hidden="1" xr:uid="{00000000-0005-0000-0000-00002E020000}"/>
    <cellStyle name="Followed Hyperlink 2" xfId="1829" hidden="1" xr:uid="{00000000-0005-0000-0000-00002F020000}"/>
    <cellStyle name="Followed Hyperlink 2" xfId="1839" hidden="1" xr:uid="{00000000-0005-0000-0000-000030020000}"/>
    <cellStyle name="Followed Hyperlink 2" xfId="1842" hidden="1" xr:uid="{00000000-0005-0000-0000-000031020000}"/>
    <cellStyle name="Followed Hyperlink 2" xfId="1845" hidden="1" xr:uid="{00000000-0005-0000-0000-000032020000}"/>
    <cellStyle name="Followed Hyperlink 2" xfId="1849" hidden="1" xr:uid="{00000000-0005-0000-0000-000033020000}"/>
    <cellStyle name="Followed Hyperlink 2" xfId="1857" hidden="1" xr:uid="{00000000-0005-0000-0000-000034020000}"/>
    <cellStyle name="Followed Hyperlink 2" xfId="1854" hidden="1" xr:uid="{00000000-0005-0000-0000-000035020000}"/>
    <cellStyle name="Followed Hyperlink 2" xfId="1852" hidden="1" xr:uid="{00000000-0005-0000-0000-000036020000}"/>
    <cellStyle name="Followed Hyperlink 2" xfId="1853" hidden="1" xr:uid="{00000000-0005-0000-0000-000037020000}"/>
    <cellStyle name="Followed Hyperlink 2" xfId="1863" hidden="1" xr:uid="{00000000-0005-0000-0000-000038020000}"/>
    <cellStyle name="Followed Hyperlink 2" xfId="1866" hidden="1" xr:uid="{00000000-0005-0000-0000-000039020000}"/>
    <cellStyle name="Followed Hyperlink 2" xfId="1869" hidden="1" xr:uid="{00000000-0005-0000-0000-00003A020000}"/>
    <cellStyle name="Followed Hyperlink 2" xfId="1873" hidden="1" xr:uid="{00000000-0005-0000-0000-00003B020000}"/>
    <cellStyle name="Followed Hyperlink 2" xfId="1910" hidden="1" xr:uid="{00000000-0005-0000-0000-00003C020000}"/>
    <cellStyle name="Followed Hyperlink 2" xfId="1907" hidden="1" xr:uid="{00000000-0005-0000-0000-00003D020000}"/>
    <cellStyle name="Followed Hyperlink 2" xfId="1905" hidden="1" xr:uid="{00000000-0005-0000-0000-00003E020000}"/>
    <cellStyle name="Followed Hyperlink 2" xfId="1906" hidden="1" xr:uid="{00000000-0005-0000-0000-00003F020000}"/>
    <cellStyle name="Followed Hyperlink 2" xfId="1916" hidden="1" xr:uid="{00000000-0005-0000-0000-000040020000}"/>
    <cellStyle name="Followed Hyperlink 2" xfId="1919" hidden="1" xr:uid="{00000000-0005-0000-0000-000041020000}"/>
    <cellStyle name="Followed Hyperlink 2" xfId="1922" hidden="1" xr:uid="{00000000-0005-0000-0000-000042020000}"/>
    <cellStyle name="Followed Hyperlink 2" xfId="1926" hidden="1" xr:uid="{00000000-0005-0000-0000-000043020000}"/>
    <cellStyle name="Followed Hyperlink 2" xfId="1934" hidden="1" xr:uid="{00000000-0005-0000-0000-000044020000}"/>
    <cellStyle name="Followed Hyperlink 2" xfId="1931" hidden="1" xr:uid="{00000000-0005-0000-0000-000045020000}"/>
    <cellStyle name="Followed Hyperlink 2" xfId="1929" hidden="1" xr:uid="{00000000-0005-0000-0000-000046020000}"/>
    <cellStyle name="Followed Hyperlink 2" xfId="1930" hidden="1" xr:uid="{00000000-0005-0000-0000-000047020000}"/>
    <cellStyle name="Followed Hyperlink 2" xfId="1940" hidden="1" xr:uid="{00000000-0005-0000-0000-000048020000}"/>
    <cellStyle name="Followed Hyperlink 2" xfId="1943" hidden="1" xr:uid="{00000000-0005-0000-0000-000049020000}"/>
    <cellStyle name="Followed Hyperlink 2" xfId="1946" hidden="1" xr:uid="{00000000-0005-0000-0000-00004A020000}"/>
    <cellStyle name="Followed Hyperlink 2" xfId="1950" hidden="1" xr:uid="{00000000-0005-0000-0000-00004B020000}"/>
    <cellStyle name="Followed Hyperlink 2" xfId="1960" hidden="1" xr:uid="{00000000-0005-0000-0000-00004C020000}"/>
    <cellStyle name="Followed Hyperlink 2" xfId="1957" hidden="1" xr:uid="{00000000-0005-0000-0000-00004D020000}"/>
    <cellStyle name="Followed Hyperlink 2" xfId="1955" hidden="1" xr:uid="{00000000-0005-0000-0000-00004E020000}"/>
    <cellStyle name="Followed Hyperlink 2" xfId="1956" hidden="1" xr:uid="{00000000-0005-0000-0000-00004F020000}"/>
    <cellStyle name="Followed Hyperlink 2" xfId="1966" hidden="1" xr:uid="{00000000-0005-0000-0000-000050020000}"/>
    <cellStyle name="Followed Hyperlink 2" xfId="1969" hidden="1" xr:uid="{00000000-0005-0000-0000-000051020000}"/>
    <cellStyle name="Followed Hyperlink 2" xfId="1972" hidden="1" xr:uid="{00000000-0005-0000-0000-000052020000}"/>
    <cellStyle name="Followed Hyperlink 2" xfId="1976" hidden="1" xr:uid="{00000000-0005-0000-0000-000053020000}"/>
    <cellStyle name="Followed Hyperlink 2" xfId="1984" hidden="1" xr:uid="{00000000-0005-0000-0000-000054020000}"/>
    <cellStyle name="Followed Hyperlink 2" xfId="1981" hidden="1" xr:uid="{00000000-0005-0000-0000-000055020000}"/>
    <cellStyle name="Followed Hyperlink 2" xfId="1979" hidden="1" xr:uid="{00000000-0005-0000-0000-000056020000}"/>
    <cellStyle name="Followed Hyperlink 2" xfId="1980" hidden="1" xr:uid="{00000000-0005-0000-0000-000057020000}"/>
    <cellStyle name="Followed Hyperlink 2" xfId="1990" hidden="1" xr:uid="{00000000-0005-0000-0000-000058020000}"/>
    <cellStyle name="Followed Hyperlink 2" xfId="1993" hidden="1" xr:uid="{00000000-0005-0000-0000-000059020000}"/>
    <cellStyle name="Followed Hyperlink 2" xfId="1996" hidden="1" xr:uid="{00000000-0005-0000-0000-00005A020000}"/>
    <cellStyle name="Followed Hyperlink 2" xfId="2000" hidden="1" xr:uid="{00000000-0005-0000-0000-00005B020000}"/>
    <cellStyle name="Followed Hyperlink 2" xfId="1877" hidden="1" xr:uid="{00000000-0005-0000-0000-00005C020000}"/>
    <cellStyle name="Followed Hyperlink 2" xfId="1881" hidden="1" xr:uid="{00000000-0005-0000-0000-00005D020000}"/>
    <cellStyle name="Followed Hyperlink 2" xfId="1876" hidden="1" xr:uid="{00000000-0005-0000-0000-00005E020000}"/>
    <cellStyle name="Followed Hyperlink 2" xfId="1882" hidden="1" xr:uid="{00000000-0005-0000-0000-00005F020000}"/>
    <cellStyle name="Followed Hyperlink 2" xfId="2003" hidden="1" xr:uid="{00000000-0005-0000-0000-000060020000}"/>
    <cellStyle name="Followed Hyperlink 2" xfId="2006" hidden="1" xr:uid="{00000000-0005-0000-0000-000061020000}"/>
    <cellStyle name="Followed Hyperlink 2" xfId="2009" hidden="1" xr:uid="{00000000-0005-0000-0000-000062020000}"/>
    <cellStyle name="Followed Hyperlink 2" xfId="2013" hidden="1" xr:uid="{00000000-0005-0000-0000-000063020000}"/>
    <cellStyle name="Followed Hyperlink 2" xfId="2021" hidden="1" xr:uid="{00000000-0005-0000-0000-000064020000}"/>
    <cellStyle name="Followed Hyperlink 2" xfId="2018" hidden="1" xr:uid="{00000000-0005-0000-0000-000065020000}"/>
    <cellStyle name="Followed Hyperlink 2" xfId="2016" hidden="1" xr:uid="{00000000-0005-0000-0000-000066020000}"/>
    <cellStyle name="Followed Hyperlink 2" xfId="2017" hidden="1" xr:uid="{00000000-0005-0000-0000-000067020000}"/>
    <cellStyle name="Followed Hyperlink 2" xfId="2027" hidden="1" xr:uid="{00000000-0005-0000-0000-000068020000}"/>
    <cellStyle name="Followed Hyperlink 2" xfId="2030" hidden="1" xr:uid="{00000000-0005-0000-0000-000069020000}"/>
    <cellStyle name="Followed Hyperlink 2" xfId="2033" hidden="1" xr:uid="{00000000-0005-0000-0000-00006A020000}"/>
    <cellStyle name="Followed Hyperlink 2" xfId="2037" hidden="1" xr:uid="{00000000-0005-0000-0000-00006B020000}"/>
    <cellStyle name="Followed Hyperlink 2" xfId="2046" hidden="1" xr:uid="{00000000-0005-0000-0000-00006C020000}"/>
    <cellStyle name="Followed Hyperlink 2" xfId="2043" hidden="1" xr:uid="{00000000-0005-0000-0000-00006D020000}"/>
    <cellStyle name="Followed Hyperlink 2" xfId="2041" hidden="1" xr:uid="{00000000-0005-0000-0000-00006E020000}"/>
    <cellStyle name="Followed Hyperlink 2" xfId="2042" hidden="1" xr:uid="{00000000-0005-0000-0000-00006F020000}"/>
    <cellStyle name="Followed Hyperlink 2" xfId="2052" hidden="1" xr:uid="{00000000-0005-0000-0000-000070020000}"/>
    <cellStyle name="Followed Hyperlink 2" xfId="2055" hidden="1" xr:uid="{00000000-0005-0000-0000-000071020000}"/>
    <cellStyle name="Followed Hyperlink 2" xfId="2058" hidden="1" xr:uid="{00000000-0005-0000-0000-000072020000}"/>
    <cellStyle name="Followed Hyperlink 2" xfId="2062" hidden="1" xr:uid="{00000000-0005-0000-0000-000073020000}"/>
    <cellStyle name="Followed Hyperlink 2" xfId="2070" hidden="1" xr:uid="{00000000-0005-0000-0000-000074020000}"/>
    <cellStyle name="Followed Hyperlink 2" xfId="2067" hidden="1" xr:uid="{00000000-0005-0000-0000-000075020000}"/>
    <cellStyle name="Followed Hyperlink 2" xfId="2065" hidden="1" xr:uid="{00000000-0005-0000-0000-000076020000}"/>
    <cellStyle name="Followed Hyperlink 2" xfId="2066" hidden="1" xr:uid="{00000000-0005-0000-0000-000077020000}"/>
    <cellStyle name="Followed Hyperlink 2" xfId="2076" hidden="1" xr:uid="{00000000-0005-0000-0000-000078020000}"/>
    <cellStyle name="Followed Hyperlink 2" xfId="2079" hidden="1" xr:uid="{00000000-0005-0000-0000-000079020000}"/>
    <cellStyle name="Followed Hyperlink 2" xfId="2082" hidden="1" xr:uid="{00000000-0005-0000-0000-00007A020000}"/>
    <cellStyle name="Followed Hyperlink 2" xfId="2086" hidden="1" xr:uid="{00000000-0005-0000-0000-00007B020000}"/>
    <cellStyle name="Followed Hyperlink 2" xfId="1895" hidden="1" xr:uid="{00000000-0005-0000-0000-00007C020000}"/>
    <cellStyle name="Followed Hyperlink 2" xfId="1892" hidden="1" xr:uid="{00000000-0005-0000-0000-00007D020000}"/>
    <cellStyle name="Followed Hyperlink 2" xfId="1886" hidden="1" xr:uid="{00000000-0005-0000-0000-00007E020000}"/>
    <cellStyle name="Followed Hyperlink 2" xfId="1891" hidden="1" xr:uid="{00000000-0005-0000-0000-00007F020000}"/>
    <cellStyle name="Followed Hyperlink 2" xfId="2089" hidden="1" xr:uid="{00000000-0005-0000-0000-000080020000}"/>
    <cellStyle name="Followed Hyperlink 2" xfId="2092" hidden="1" xr:uid="{00000000-0005-0000-0000-000081020000}"/>
    <cellStyle name="Followed Hyperlink 2" xfId="2095" hidden="1" xr:uid="{00000000-0005-0000-0000-000082020000}"/>
    <cellStyle name="Followed Hyperlink 2" xfId="2099" hidden="1" xr:uid="{00000000-0005-0000-0000-000083020000}"/>
    <cellStyle name="Followed Hyperlink 2" xfId="2107" hidden="1" xr:uid="{00000000-0005-0000-0000-000084020000}"/>
    <cellStyle name="Followed Hyperlink 2" xfId="2104" hidden="1" xr:uid="{00000000-0005-0000-0000-000085020000}"/>
    <cellStyle name="Followed Hyperlink 2" xfId="2102" hidden="1" xr:uid="{00000000-0005-0000-0000-000086020000}"/>
    <cellStyle name="Followed Hyperlink 2" xfId="2103" hidden="1" xr:uid="{00000000-0005-0000-0000-000087020000}"/>
    <cellStyle name="Followed Hyperlink 2" xfId="2113" hidden="1" xr:uid="{00000000-0005-0000-0000-000088020000}"/>
    <cellStyle name="Followed Hyperlink 2" xfId="2116" hidden="1" xr:uid="{00000000-0005-0000-0000-000089020000}"/>
    <cellStyle name="Followed Hyperlink 2" xfId="2119" hidden="1" xr:uid="{00000000-0005-0000-0000-00008A020000}"/>
    <cellStyle name="Followed Hyperlink 2" xfId="2123" hidden="1" xr:uid="{00000000-0005-0000-0000-00008B020000}"/>
    <cellStyle name="Followed Hyperlink 2" xfId="2132" hidden="1" xr:uid="{00000000-0005-0000-0000-00008C020000}"/>
    <cellStyle name="Followed Hyperlink 2" xfId="2129" hidden="1" xr:uid="{00000000-0005-0000-0000-00008D020000}"/>
    <cellStyle name="Followed Hyperlink 2" xfId="2127" hidden="1" xr:uid="{00000000-0005-0000-0000-00008E020000}"/>
    <cellStyle name="Followed Hyperlink 2" xfId="2128" hidden="1" xr:uid="{00000000-0005-0000-0000-00008F020000}"/>
    <cellStyle name="Followed Hyperlink 2" xfId="2138" hidden="1" xr:uid="{00000000-0005-0000-0000-000090020000}"/>
    <cellStyle name="Followed Hyperlink 2" xfId="2141" hidden="1" xr:uid="{00000000-0005-0000-0000-000091020000}"/>
    <cellStyle name="Followed Hyperlink 2" xfId="2144" hidden="1" xr:uid="{00000000-0005-0000-0000-000092020000}"/>
    <cellStyle name="Followed Hyperlink 2" xfId="2148" hidden="1" xr:uid="{00000000-0005-0000-0000-000093020000}"/>
    <cellStyle name="Followed Hyperlink 2" xfId="2156" hidden="1" xr:uid="{00000000-0005-0000-0000-000094020000}"/>
    <cellStyle name="Followed Hyperlink 2" xfId="2153" hidden="1" xr:uid="{00000000-0005-0000-0000-000095020000}"/>
    <cellStyle name="Followed Hyperlink 2" xfId="2151" hidden="1" xr:uid="{00000000-0005-0000-0000-000096020000}"/>
    <cellStyle name="Followed Hyperlink 2" xfId="2152" hidden="1" xr:uid="{00000000-0005-0000-0000-000097020000}"/>
    <cellStyle name="Followed Hyperlink 2" xfId="2162" hidden="1" xr:uid="{00000000-0005-0000-0000-000098020000}"/>
    <cellStyle name="Followed Hyperlink 2" xfId="2165" hidden="1" xr:uid="{00000000-0005-0000-0000-000099020000}"/>
    <cellStyle name="Followed Hyperlink 2" xfId="2168" hidden="1" xr:uid="{00000000-0005-0000-0000-00009A020000}"/>
    <cellStyle name="Followed Hyperlink 2" xfId="2172" hidden="1" xr:uid="{00000000-0005-0000-0000-00009B020000}"/>
    <cellStyle name="Followed Hyperlink 2" xfId="1903" hidden="1" xr:uid="{00000000-0005-0000-0000-00009C020000}"/>
    <cellStyle name="Followed Hyperlink 2" xfId="1899" hidden="1" xr:uid="{00000000-0005-0000-0000-00009D020000}"/>
    <cellStyle name="Followed Hyperlink 2" xfId="1900" hidden="1" xr:uid="{00000000-0005-0000-0000-00009E020000}"/>
    <cellStyle name="Followed Hyperlink 2" xfId="1887" hidden="1" xr:uid="{00000000-0005-0000-0000-00009F020000}"/>
    <cellStyle name="Followed Hyperlink 2" xfId="2175" hidden="1" xr:uid="{00000000-0005-0000-0000-0000A0020000}"/>
    <cellStyle name="Followed Hyperlink 2" xfId="2178" hidden="1" xr:uid="{00000000-0005-0000-0000-0000A1020000}"/>
    <cellStyle name="Followed Hyperlink 2" xfId="2181" hidden="1" xr:uid="{00000000-0005-0000-0000-0000A2020000}"/>
    <cellStyle name="Followed Hyperlink 2" xfId="2185" hidden="1" xr:uid="{00000000-0005-0000-0000-0000A3020000}"/>
    <cellStyle name="Followed Hyperlink 2" xfId="2193" hidden="1" xr:uid="{00000000-0005-0000-0000-0000A4020000}"/>
    <cellStyle name="Followed Hyperlink 2" xfId="2190" hidden="1" xr:uid="{00000000-0005-0000-0000-0000A5020000}"/>
    <cellStyle name="Followed Hyperlink 2" xfId="2188" hidden="1" xr:uid="{00000000-0005-0000-0000-0000A6020000}"/>
    <cellStyle name="Followed Hyperlink 2" xfId="2189" hidden="1" xr:uid="{00000000-0005-0000-0000-0000A7020000}"/>
    <cellStyle name="Followed Hyperlink 2" xfId="2199" hidden="1" xr:uid="{00000000-0005-0000-0000-0000A8020000}"/>
    <cellStyle name="Followed Hyperlink 2" xfId="2202" hidden="1" xr:uid="{00000000-0005-0000-0000-0000A9020000}"/>
    <cellStyle name="Followed Hyperlink 2" xfId="2205" hidden="1" xr:uid="{00000000-0005-0000-0000-0000AA020000}"/>
    <cellStyle name="Followed Hyperlink 2" xfId="2209" hidden="1" xr:uid="{00000000-0005-0000-0000-0000AB020000}"/>
    <cellStyle name="Followed Hyperlink 2" xfId="2217" hidden="1" xr:uid="{00000000-0005-0000-0000-0000AC020000}"/>
    <cellStyle name="Followed Hyperlink 2" xfId="2214" hidden="1" xr:uid="{00000000-0005-0000-0000-0000AD020000}"/>
    <cellStyle name="Followed Hyperlink 2" xfId="2212" hidden="1" xr:uid="{00000000-0005-0000-0000-0000AE020000}"/>
    <cellStyle name="Followed Hyperlink 2" xfId="2213" hidden="1" xr:uid="{00000000-0005-0000-0000-0000AF020000}"/>
    <cellStyle name="Followed Hyperlink 2" xfId="2223" hidden="1" xr:uid="{00000000-0005-0000-0000-0000B0020000}"/>
    <cellStyle name="Followed Hyperlink 2" xfId="2226" hidden="1" xr:uid="{00000000-0005-0000-0000-0000B1020000}"/>
    <cellStyle name="Followed Hyperlink 2" xfId="2229" hidden="1" xr:uid="{00000000-0005-0000-0000-0000B2020000}"/>
    <cellStyle name="Followed Hyperlink 2" xfId="2233" hidden="1" xr:uid="{00000000-0005-0000-0000-0000B3020000}"/>
    <cellStyle name="Followed Hyperlink 2" xfId="2241" hidden="1" xr:uid="{00000000-0005-0000-0000-0000B4020000}"/>
    <cellStyle name="Followed Hyperlink 2" xfId="2238" hidden="1" xr:uid="{00000000-0005-0000-0000-0000B5020000}"/>
    <cellStyle name="Followed Hyperlink 2" xfId="2236" hidden="1" xr:uid="{00000000-0005-0000-0000-0000B6020000}"/>
    <cellStyle name="Followed Hyperlink 2" xfId="2237" hidden="1" xr:uid="{00000000-0005-0000-0000-0000B7020000}"/>
    <cellStyle name="Followed Hyperlink 2" xfId="2247" hidden="1" xr:uid="{00000000-0005-0000-0000-0000B8020000}"/>
    <cellStyle name="Followed Hyperlink 2" xfId="2250" hidden="1" xr:uid="{00000000-0005-0000-0000-0000B9020000}"/>
    <cellStyle name="Followed Hyperlink 2" xfId="2253" hidden="1" xr:uid="{00000000-0005-0000-0000-0000BA020000}"/>
    <cellStyle name="Followed Hyperlink 2" xfId="2257" hidden="1" xr:uid="{00000000-0005-0000-0000-0000BB020000}"/>
    <cellStyle name="Followed Hyperlink 2" xfId="836" hidden="1" xr:uid="{00000000-0005-0000-0000-0000BC020000}"/>
    <cellStyle name="Followed Hyperlink 2" xfId="832" hidden="1" xr:uid="{00000000-0005-0000-0000-0000BD020000}"/>
    <cellStyle name="Followed Hyperlink 2" xfId="833" hidden="1" xr:uid="{00000000-0005-0000-0000-0000BE020000}"/>
    <cellStyle name="Followed Hyperlink 2" xfId="820" hidden="1" xr:uid="{00000000-0005-0000-0000-0000BF020000}"/>
    <cellStyle name="Followed Hyperlink 2" xfId="2260" hidden="1" xr:uid="{00000000-0005-0000-0000-0000C0020000}"/>
    <cellStyle name="Followed Hyperlink 2" xfId="2263" hidden="1" xr:uid="{00000000-0005-0000-0000-0000C1020000}"/>
    <cellStyle name="Followed Hyperlink 2" xfId="2266" hidden="1" xr:uid="{00000000-0005-0000-0000-0000C2020000}"/>
    <cellStyle name="Followed Hyperlink 2" xfId="2270" hidden="1" xr:uid="{00000000-0005-0000-0000-0000C3020000}"/>
    <cellStyle name="Followed Hyperlink 2" xfId="2278" hidden="1" xr:uid="{00000000-0005-0000-0000-0000C4020000}"/>
    <cellStyle name="Followed Hyperlink 2" xfId="2275" hidden="1" xr:uid="{00000000-0005-0000-0000-0000C5020000}"/>
    <cellStyle name="Followed Hyperlink 2" xfId="2273" hidden="1" xr:uid="{00000000-0005-0000-0000-0000C6020000}"/>
    <cellStyle name="Followed Hyperlink 2" xfId="2274" hidden="1" xr:uid="{00000000-0005-0000-0000-0000C7020000}"/>
    <cellStyle name="Followed Hyperlink 2" xfId="2284" hidden="1" xr:uid="{00000000-0005-0000-0000-0000C8020000}"/>
    <cellStyle name="Followed Hyperlink 2" xfId="2287" hidden="1" xr:uid="{00000000-0005-0000-0000-0000C9020000}"/>
    <cellStyle name="Followed Hyperlink 2" xfId="2290" hidden="1" xr:uid="{00000000-0005-0000-0000-0000CA020000}"/>
    <cellStyle name="Followed Hyperlink 2" xfId="2294" hidden="1" xr:uid="{00000000-0005-0000-0000-0000CB020000}"/>
    <cellStyle name="Followed Hyperlink 2" xfId="2302" hidden="1" xr:uid="{00000000-0005-0000-0000-0000CC020000}"/>
    <cellStyle name="Followed Hyperlink 2" xfId="2299" hidden="1" xr:uid="{00000000-0005-0000-0000-0000CD020000}"/>
    <cellStyle name="Followed Hyperlink 2" xfId="2297" hidden="1" xr:uid="{00000000-0005-0000-0000-0000CE020000}"/>
    <cellStyle name="Followed Hyperlink 2" xfId="2298" hidden="1" xr:uid="{00000000-0005-0000-0000-0000CF020000}"/>
    <cellStyle name="Followed Hyperlink 2" xfId="2308" hidden="1" xr:uid="{00000000-0005-0000-0000-0000D0020000}"/>
    <cellStyle name="Followed Hyperlink 2" xfId="2311" hidden="1" xr:uid="{00000000-0005-0000-0000-0000D1020000}"/>
    <cellStyle name="Followed Hyperlink 2" xfId="2314" hidden="1" xr:uid="{00000000-0005-0000-0000-0000D2020000}"/>
    <cellStyle name="Followed Hyperlink 2" xfId="2318" hidden="1" xr:uid="{00000000-0005-0000-0000-0000D3020000}"/>
    <cellStyle name="Followed Hyperlink 2" xfId="2326" hidden="1" xr:uid="{00000000-0005-0000-0000-0000D4020000}"/>
    <cellStyle name="Followed Hyperlink 2" xfId="2323" hidden="1" xr:uid="{00000000-0005-0000-0000-0000D5020000}"/>
    <cellStyle name="Followed Hyperlink 2" xfId="2321" hidden="1" xr:uid="{00000000-0005-0000-0000-0000D6020000}"/>
    <cellStyle name="Followed Hyperlink 2" xfId="2322" hidden="1" xr:uid="{00000000-0005-0000-0000-0000D7020000}"/>
    <cellStyle name="Followed Hyperlink 2" xfId="2332" hidden="1" xr:uid="{00000000-0005-0000-0000-0000D8020000}"/>
    <cellStyle name="Followed Hyperlink 2" xfId="2335" hidden="1" xr:uid="{00000000-0005-0000-0000-0000D9020000}"/>
    <cellStyle name="Followed Hyperlink 2" xfId="2338" hidden="1" xr:uid="{00000000-0005-0000-0000-0000DA020000}"/>
    <cellStyle name="Followed Hyperlink 2" xfId="2342" hidden="1" xr:uid="{00000000-0005-0000-0000-0000DB020000}"/>
    <cellStyle name="Followed Hyperlink 2" xfId="2379" hidden="1" xr:uid="{00000000-0005-0000-0000-0000DC020000}"/>
    <cellStyle name="Followed Hyperlink 2" xfId="2376" hidden="1" xr:uid="{00000000-0005-0000-0000-0000DD020000}"/>
    <cellStyle name="Followed Hyperlink 2" xfId="2374" hidden="1" xr:uid="{00000000-0005-0000-0000-0000DE020000}"/>
    <cellStyle name="Followed Hyperlink 2" xfId="2375" hidden="1" xr:uid="{00000000-0005-0000-0000-0000DF020000}"/>
    <cellStyle name="Followed Hyperlink 2" xfId="2385" hidden="1" xr:uid="{00000000-0005-0000-0000-0000E0020000}"/>
    <cellStyle name="Followed Hyperlink 2" xfId="2388" hidden="1" xr:uid="{00000000-0005-0000-0000-0000E1020000}"/>
    <cellStyle name="Followed Hyperlink 2" xfId="2391" hidden="1" xr:uid="{00000000-0005-0000-0000-0000E2020000}"/>
    <cellStyle name="Followed Hyperlink 2" xfId="2395" hidden="1" xr:uid="{00000000-0005-0000-0000-0000E3020000}"/>
    <cellStyle name="Followed Hyperlink 2" xfId="2403" hidden="1" xr:uid="{00000000-0005-0000-0000-0000E4020000}"/>
    <cellStyle name="Followed Hyperlink 2" xfId="2400" hidden="1" xr:uid="{00000000-0005-0000-0000-0000E5020000}"/>
    <cellStyle name="Followed Hyperlink 2" xfId="2398" hidden="1" xr:uid="{00000000-0005-0000-0000-0000E6020000}"/>
    <cellStyle name="Followed Hyperlink 2" xfId="2399" hidden="1" xr:uid="{00000000-0005-0000-0000-0000E7020000}"/>
    <cellStyle name="Followed Hyperlink 2" xfId="2409" hidden="1" xr:uid="{00000000-0005-0000-0000-0000E8020000}"/>
    <cellStyle name="Followed Hyperlink 2" xfId="2412" hidden="1" xr:uid="{00000000-0005-0000-0000-0000E9020000}"/>
    <cellStyle name="Followed Hyperlink 2" xfId="2415" hidden="1" xr:uid="{00000000-0005-0000-0000-0000EA020000}"/>
    <cellStyle name="Followed Hyperlink 2" xfId="2419" hidden="1" xr:uid="{00000000-0005-0000-0000-0000EB020000}"/>
    <cellStyle name="Followed Hyperlink 2" xfId="2429" hidden="1" xr:uid="{00000000-0005-0000-0000-0000EC020000}"/>
    <cellStyle name="Followed Hyperlink 2" xfId="2426" hidden="1" xr:uid="{00000000-0005-0000-0000-0000ED020000}"/>
    <cellStyle name="Followed Hyperlink 2" xfId="2424" hidden="1" xr:uid="{00000000-0005-0000-0000-0000EE020000}"/>
    <cellStyle name="Followed Hyperlink 2" xfId="2425" hidden="1" xr:uid="{00000000-0005-0000-0000-0000EF020000}"/>
    <cellStyle name="Followed Hyperlink 2" xfId="2435" hidden="1" xr:uid="{00000000-0005-0000-0000-0000F0020000}"/>
    <cellStyle name="Followed Hyperlink 2" xfId="2438" hidden="1" xr:uid="{00000000-0005-0000-0000-0000F1020000}"/>
    <cellStyle name="Followed Hyperlink 2" xfId="2441" hidden="1" xr:uid="{00000000-0005-0000-0000-0000F2020000}"/>
    <cellStyle name="Followed Hyperlink 2" xfId="2445" hidden="1" xr:uid="{00000000-0005-0000-0000-0000F3020000}"/>
    <cellStyle name="Followed Hyperlink 2" xfId="2453" hidden="1" xr:uid="{00000000-0005-0000-0000-0000F4020000}"/>
    <cellStyle name="Followed Hyperlink 2" xfId="2450" hidden="1" xr:uid="{00000000-0005-0000-0000-0000F5020000}"/>
    <cellStyle name="Followed Hyperlink 2" xfId="2448" hidden="1" xr:uid="{00000000-0005-0000-0000-0000F6020000}"/>
    <cellStyle name="Followed Hyperlink 2" xfId="2449" hidden="1" xr:uid="{00000000-0005-0000-0000-0000F7020000}"/>
    <cellStyle name="Followed Hyperlink 2" xfId="2459" hidden="1" xr:uid="{00000000-0005-0000-0000-0000F8020000}"/>
    <cellStyle name="Followed Hyperlink 2" xfId="2462" hidden="1" xr:uid="{00000000-0005-0000-0000-0000F9020000}"/>
    <cellStyle name="Followed Hyperlink 2" xfId="2465" hidden="1" xr:uid="{00000000-0005-0000-0000-0000FA020000}"/>
    <cellStyle name="Followed Hyperlink 2" xfId="2469" hidden="1" xr:uid="{00000000-0005-0000-0000-0000FB020000}"/>
    <cellStyle name="Followed Hyperlink 2" xfId="2346" hidden="1" xr:uid="{00000000-0005-0000-0000-0000FC020000}"/>
    <cellStyle name="Followed Hyperlink 2" xfId="2350" hidden="1" xr:uid="{00000000-0005-0000-0000-0000FD020000}"/>
    <cellStyle name="Followed Hyperlink 2" xfId="2345" hidden="1" xr:uid="{00000000-0005-0000-0000-0000FE020000}"/>
    <cellStyle name="Followed Hyperlink 2" xfId="2351" hidden="1" xr:uid="{00000000-0005-0000-0000-0000FF020000}"/>
    <cellStyle name="Followed Hyperlink 2" xfId="2472" hidden="1" xr:uid="{00000000-0005-0000-0000-000000030000}"/>
    <cellStyle name="Followed Hyperlink 2" xfId="2475" hidden="1" xr:uid="{00000000-0005-0000-0000-000001030000}"/>
    <cellStyle name="Followed Hyperlink 2" xfId="2478" hidden="1" xr:uid="{00000000-0005-0000-0000-000002030000}"/>
    <cellStyle name="Followed Hyperlink 2" xfId="2482" hidden="1" xr:uid="{00000000-0005-0000-0000-000003030000}"/>
    <cellStyle name="Followed Hyperlink 2" xfId="2490" hidden="1" xr:uid="{00000000-0005-0000-0000-000004030000}"/>
    <cellStyle name="Followed Hyperlink 2" xfId="2487" hidden="1" xr:uid="{00000000-0005-0000-0000-000005030000}"/>
    <cellStyle name="Followed Hyperlink 2" xfId="2485" hidden="1" xr:uid="{00000000-0005-0000-0000-000006030000}"/>
    <cellStyle name="Followed Hyperlink 2" xfId="2486" hidden="1" xr:uid="{00000000-0005-0000-0000-000007030000}"/>
    <cellStyle name="Followed Hyperlink 2" xfId="2496" hidden="1" xr:uid="{00000000-0005-0000-0000-000008030000}"/>
    <cellStyle name="Followed Hyperlink 2" xfId="2499" hidden="1" xr:uid="{00000000-0005-0000-0000-000009030000}"/>
    <cellStyle name="Followed Hyperlink 2" xfId="2502" hidden="1" xr:uid="{00000000-0005-0000-0000-00000A030000}"/>
    <cellStyle name="Followed Hyperlink 2" xfId="2506" hidden="1" xr:uid="{00000000-0005-0000-0000-00000B030000}"/>
    <cellStyle name="Followed Hyperlink 2" xfId="2515" hidden="1" xr:uid="{00000000-0005-0000-0000-00000C030000}"/>
    <cellStyle name="Followed Hyperlink 2" xfId="2512" hidden="1" xr:uid="{00000000-0005-0000-0000-00000D030000}"/>
    <cellStyle name="Followed Hyperlink 2" xfId="2510" hidden="1" xr:uid="{00000000-0005-0000-0000-00000E030000}"/>
    <cellStyle name="Followed Hyperlink 2" xfId="2511" hidden="1" xr:uid="{00000000-0005-0000-0000-00000F030000}"/>
    <cellStyle name="Followed Hyperlink 2" xfId="2521" hidden="1" xr:uid="{00000000-0005-0000-0000-000010030000}"/>
    <cellStyle name="Followed Hyperlink 2" xfId="2524" hidden="1" xr:uid="{00000000-0005-0000-0000-000011030000}"/>
    <cellStyle name="Followed Hyperlink 2" xfId="2527" hidden="1" xr:uid="{00000000-0005-0000-0000-000012030000}"/>
    <cellStyle name="Followed Hyperlink 2" xfId="2531" hidden="1" xr:uid="{00000000-0005-0000-0000-000013030000}"/>
    <cellStyle name="Followed Hyperlink 2" xfId="2539" hidden="1" xr:uid="{00000000-0005-0000-0000-000014030000}"/>
    <cellStyle name="Followed Hyperlink 2" xfId="2536" hidden="1" xr:uid="{00000000-0005-0000-0000-000015030000}"/>
    <cellStyle name="Followed Hyperlink 2" xfId="2534" hidden="1" xr:uid="{00000000-0005-0000-0000-000016030000}"/>
    <cellStyle name="Followed Hyperlink 2" xfId="2535" hidden="1" xr:uid="{00000000-0005-0000-0000-000017030000}"/>
    <cellStyle name="Followed Hyperlink 2" xfId="2545" hidden="1" xr:uid="{00000000-0005-0000-0000-000018030000}"/>
    <cellStyle name="Followed Hyperlink 2" xfId="2548" hidden="1" xr:uid="{00000000-0005-0000-0000-000019030000}"/>
    <cellStyle name="Followed Hyperlink 2" xfId="2551" hidden="1" xr:uid="{00000000-0005-0000-0000-00001A030000}"/>
    <cellStyle name="Followed Hyperlink 2" xfId="2555" hidden="1" xr:uid="{00000000-0005-0000-0000-00001B030000}"/>
    <cellStyle name="Followed Hyperlink 2" xfId="2364" hidden="1" xr:uid="{00000000-0005-0000-0000-00001C030000}"/>
    <cellStyle name="Followed Hyperlink 2" xfId="2361" hidden="1" xr:uid="{00000000-0005-0000-0000-00001D030000}"/>
    <cellStyle name="Followed Hyperlink 2" xfId="2355" hidden="1" xr:uid="{00000000-0005-0000-0000-00001E030000}"/>
    <cellStyle name="Followed Hyperlink 2" xfId="2360" hidden="1" xr:uid="{00000000-0005-0000-0000-00001F030000}"/>
    <cellStyle name="Followed Hyperlink 2" xfId="2558" hidden="1" xr:uid="{00000000-0005-0000-0000-000020030000}"/>
    <cellStyle name="Followed Hyperlink 2" xfId="2561" hidden="1" xr:uid="{00000000-0005-0000-0000-000021030000}"/>
    <cellStyle name="Followed Hyperlink 2" xfId="2564" hidden="1" xr:uid="{00000000-0005-0000-0000-000022030000}"/>
    <cellStyle name="Followed Hyperlink 2" xfId="2568" hidden="1" xr:uid="{00000000-0005-0000-0000-000023030000}"/>
    <cellStyle name="Followed Hyperlink 2" xfId="2576" hidden="1" xr:uid="{00000000-0005-0000-0000-000024030000}"/>
    <cellStyle name="Followed Hyperlink 2" xfId="2573" hidden="1" xr:uid="{00000000-0005-0000-0000-000025030000}"/>
    <cellStyle name="Followed Hyperlink 2" xfId="2571" hidden="1" xr:uid="{00000000-0005-0000-0000-000026030000}"/>
    <cellStyle name="Followed Hyperlink 2" xfId="2572" hidden="1" xr:uid="{00000000-0005-0000-0000-000027030000}"/>
    <cellStyle name="Followed Hyperlink 2" xfId="2582" hidden="1" xr:uid="{00000000-0005-0000-0000-000028030000}"/>
    <cellStyle name="Followed Hyperlink 2" xfId="2585" hidden="1" xr:uid="{00000000-0005-0000-0000-000029030000}"/>
    <cellStyle name="Followed Hyperlink 2" xfId="2588" hidden="1" xr:uid="{00000000-0005-0000-0000-00002A030000}"/>
    <cellStyle name="Followed Hyperlink 2" xfId="2592" hidden="1" xr:uid="{00000000-0005-0000-0000-00002B030000}"/>
    <cellStyle name="Followed Hyperlink 2" xfId="2601" hidden="1" xr:uid="{00000000-0005-0000-0000-00002C030000}"/>
    <cellStyle name="Followed Hyperlink 2" xfId="2598" hidden="1" xr:uid="{00000000-0005-0000-0000-00002D030000}"/>
    <cellStyle name="Followed Hyperlink 2" xfId="2596" hidden="1" xr:uid="{00000000-0005-0000-0000-00002E030000}"/>
    <cellStyle name="Followed Hyperlink 2" xfId="2597" hidden="1" xr:uid="{00000000-0005-0000-0000-00002F030000}"/>
    <cellStyle name="Followed Hyperlink 2" xfId="2607" hidden="1" xr:uid="{00000000-0005-0000-0000-000030030000}"/>
    <cellStyle name="Followed Hyperlink 2" xfId="2610" hidden="1" xr:uid="{00000000-0005-0000-0000-000031030000}"/>
    <cellStyle name="Followed Hyperlink 2" xfId="2613" hidden="1" xr:uid="{00000000-0005-0000-0000-000032030000}"/>
    <cellStyle name="Followed Hyperlink 2" xfId="2617" hidden="1" xr:uid="{00000000-0005-0000-0000-000033030000}"/>
    <cellStyle name="Followed Hyperlink 2" xfId="2625" hidden="1" xr:uid="{00000000-0005-0000-0000-000034030000}"/>
    <cellStyle name="Followed Hyperlink 2" xfId="2622" hidden="1" xr:uid="{00000000-0005-0000-0000-000035030000}"/>
    <cellStyle name="Followed Hyperlink 2" xfId="2620" hidden="1" xr:uid="{00000000-0005-0000-0000-000036030000}"/>
    <cellStyle name="Followed Hyperlink 2" xfId="2621" hidden="1" xr:uid="{00000000-0005-0000-0000-000037030000}"/>
    <cellStyle name="Followed Hyperlink 2" xfId="2631" hidden="1" xr:uid="{00000000-0005-0000-0000-000038030000}"/>
    <cellStyle name="Followed Hyperlink 2" xfId="2634" hidden="1" xr:uid="{00000000-0005-0000-0000-000039030000}"/>
    <cellStyle name="Followed Hyperlink 2" xfId="2637" hidden="1" xr:uid="{00000000-0005-0000-0000-00003A030000}"/>
    <cellStyle name="Followed Hyperlink 2" xfId="2641" hidden="1" xr:uid="{00000000-0005-0000-0000-00003B030000}"/>
    <cellStyle name="Followed Hyperlink 2" xfId="2372" hidden="1" xr:uid="{00000000-0005-0000-0000-00003C030000}"/>
    <cellStyle name="Followed Hyperlink 2" xfId="2368" hidden="1" xr:uid="{00000000-0005-0000-0000-00003D030000}"/>
    <cellStyle name="Followed Hyperlink 2" xfId="2369" hidden="1" xr:uid="{00000000-0005-0000-0000-00003E030000}"/>
    <cellStyle name="Followed Hyperlink 2" xfId="2356" hidden="1" xr:uid="{00000000-0005-0000-0000-00003F030000}"/>
    <cellStyle name="Followed Hyperlink 2" xfId="2644" hidden="1" xr:uid="{00000000-0005-0000-0000-000040030000}"/>
    <cellStyle name="Followed Hyperlink 2" xfId="2647" hidden="1" xr:uid="{00000000-0005-0000-0000-000041030000}"/>
    <cellStyle name="Followed Hyperlink 2" xfId="2650" hidden="1" xr:uid="{00000000-0005-0000-0000-000042030000}"/>
    <cellStyle name="Followed Hyperlink 2" xfId="2654" hidden="1" xr:uid="{00000000-0005-0000-0000-000043030000}"/>
    <cellStyle name="Followed Hyperlink 2" xfId="2662" hidden="1" xr:uid="{00000000-0005-0000-0000-000044030000}"/>
    <cellStyle name="Followed Hyperlink 2" xfId="2659" hidden="1" xr:uid="{00000000-0005-0000-0000-000045030000}"/>
    <cellStyle name="Followed Hyperlink 2" xfId="2657" hidden="1" xr:uid="{00000000-0005-0000-0000-000046030000}"/>
    <cellStyle name="Followed Hyperlink 2" xfId="2658" hidden="1" xr:uid="{00000000-0005-0000-0000-000047030000}"/>
    <cellStyle name="Followed Hyperlink 2" xfId="2668" hidden="1" xr:uid="{00000000-0005-0000-0000-000048030000}"/>
    <cellStyle name="Followed Hyperlink 2" xfId="2671" hidden="1" xr:uid="{00000000-0005-0000-0000-000049030000}"/>
    <cellStyle name="Followed Hyperlink 2" xfId="2674" hidden="1" xr:uid="{00000000-0005-0000-0000-00004A030000}"/>
    <cellStyle name="Followed Hyperlink 2" xfId="2678" hidden="1" xr:uid="{00000000-0005-0000-0000-00004B030000}"/>
    <cellStyle name="Followed Hyperlink 2" xfId="2686" hidden="1" xr:uid="{00000000-0005-0000-0000-00004C030000}"/>
    <cellStyle name="Followed Hyperlink 2" xfId="2683" hidden="1" xr:uid="{00000000-0005-0000-0000-00004D030000}"/>
    <cellStyle name="Followed Hyperlink 2" xfId="2681" hidden="1" xr:uid="{00000000-0005-0000-0000-00004E030000}"/>
    <cellStyle name="Followed Hyperlink 2" xfId="2682" hidden="1" xr:uid="{00000000-0005-0000-0000-00004F030000}"/>
    <cellStyle name="Followed Hyperlink 2" xfId="2692" hidden="1" xr:uid="{00000000-0005-0000-0000-000050030000}"/>
    <cellStyle name="Followed Hyperlink 2" xfId="2695" hidden="1" xr:uid="{00000000-0005-0000-0000-000051030000}"/>
    <cellStyle name="Followed Hyperlink 2" xfId="2698" hidden="1" xr:uid="{00000000-0005-0000-0000-000052030000}"/>
    <cellStyle name="Followed Hyperlink 2" xfId="2702" hidden="1" xr:uid="{00000000-0005-0000-0000-000053030000}"/>
    <cellStyle name="Followed Hyperlink 2" xfId="2710" hidden="1" xr:uid="{00000000-0005-0000-0000-000054030000}"/>
    <cellStyle name="Followed Hyperlink 2" xfId="2707" hidden="1" xr:uid="{00000000-0005-0000-0000-000055030000}"/>
    <cellStyle name="Followed Hyperlink 2" xfId="2705" hidden="1" xr:uid="{00000000-0005-0000-0000-000056030000}"/>
    <cellStyle name="Followed Hyperlink 2" xfId="2706" hidden="1" xr:uid="{00000000-0005-0000-0000-000057030000}"/>
    <cellStyle name="Followed Hyperlink 2" xfId="2716" hidden="1" xr:uid="{00000000-0005-0000-0000-000058030000}"/>
    <cellStyle name="Followed Hyperlink 2" xfId="2719" hidden="1" xr:uid="{00000000-0005-0000-0000-000059030000}"/>
    <cellStyle name="Followed Hyperlink 2" xfId="2722" hidden="1" xr:uid="{00000000-0005-0000-0000-00005A030000}"/>
    <cellStyle name="Followed Hyperlink 2" xfId="2726" hidden="1" xr:uid="{00000000-0005-0000-0000-00005B030000}"/>
    <cellStyle name="Followed Hyperlink 2" xfId="683" hidden="1" xr:uid="{00000000-0005-0000-0000-00005C030000}"/>
    <cellStyle name="Followed Hyperlink 2" xfId="687" hidden="1" xr:uid="{00000000-0005-0000-0000-00005D030000}"/>
    <cellStyle name="Followed Hyperlink 2" xfId="682" hidden="1" xr:uid="{00000000-0005-0000-0000-00005E030000}"/>
    <cellStyle name="Followed Hyperlink 2" xfId="688" hidden="1" xr:uid="{00000000-0005-0000-0000-00005F030000}"/>
    <cellStyle name="Followed Hyperlink 2" xfId="2729" hidden="1" xr:uid="{00000000-0005-0000-0000-000060030000}"/>
    <cellStyle name="Followed Hyperlink 2" xfId="2732" hidden="1" xr:uid="{00000000-0005-0000-0000-000061030000}"/>
    <cellStyle name="Followed Hyperlink 2" xfId="2735" hidden="1" xr:uid="{00000000-0005-0000-0000-000062030000}"/>
    <cellStyle name="Followed Hyperlink 2" xfId="2739" hidden="1" xr:uid="{00000000-0005-0000-0000-000063030000}"/>
    <cellStyle name="Followed Hyperlink 2" xfId="2747" hidden="1" xr:uid="{00000000-0005-0000-0000-000064030000}"/>
    <cellStyle name="Followed Hyperlink 2" xfId="2744" hidden="1" xr:uid="{00000000-0005-0000-0000-000065030000}"/>
    <cellStyle name="Followed Hyperlink 2" xfId="2742" hidden="1" xr:uid="{00000000-0005-0000-0000-000066030000}"/>
    <cellStyle name="Followed Hyperlink 2" xfId="2743" hidden="1" xr:uid="{00000000-0005-0000-0000-000067030000}"/>
    <cellStyle name="Followed Hyperlink 2" xfId="2753" hidden="1" xr:uid="{00000000-0005-0000-0000-000068030000}"/>
    <cellStyle name="Followed Hyperlink 2" xfId="2756" hidden="1" xr:uid="{00000000-0005-0000-0000-000069030000}"/>
    <cellStyle name="Followed Hyperlink 2" xfId="2759" hidden="1" xr:uid="{00000000-0005-0000-0000-00006A030000}"/>
    <cellStyle name="Followed Hyperlink 2" xfId="2763" hidden="1" xr:uid="{00000000-0005-0000-0000-00006B030000}"/>
    <cellStyle name="Followed Hyperlink 2" xfId="2772" hidden="1" xr:uid="{00000000-0005-0000-0000-00006C030000}"/>
    <cellStyle name="Followed Hyperlink 2" xfId="2769" hidden="1" xr:uid="{00000000-0005-0000-0000-00006D030000}"/>
    <cellStyle name="Followed Hyperlink 2" xfId="2767" hidden="1" xr:uid="{00000000-0005-0000-0000-00006E030000}"/>
    <cellStyle name="Followed Hyperlink 2" xfId="2768" hidden="1" xr:uid="{00000000-0005-0000-0000-00006F030000}"/>
    <cellStyle name="Followed Hyperlink 2" xfId="2778" hidden="1" xr:uid="{00000000-0005-0000-0000-000070030000}"/>
    <cellStyle name="Followed Hyperlink 2" xfId="2781" hidden="1" xr:uid="{00000000-0005-0000-0000-000071030000}"/>
    <cellStyle name="Followed Hyperlink 2" xfId="2784" hidden="1" xr:uid="{00000000-0005-0000-0000-000072030000}"/>
    <cellStyle name="Followed Hyperlink 2" xfId="2788" hidden="1" xr:uid="{00000000-0005-0000-0000-000073030000}"/>
    <cellStyle name="Followed Hyperlink 2" xfId="2796" hidden="1" xr:uid="{00000000-0005-0000-0000-000074030000}"/>
    <cellStyle name="Followed Hyperlink 2" xfId="2793" hidden="1" xr:uid="{00000000-0005-0000-0000-000075030000}"/>
    <cellStyle name="Followed Hyperlink 2" xfId="2791" hidden="1" xr:uid="{00000000-0005-0000-0000-000076030000}"/>
    <cellStyle name="Followed Hyperlink 2" xfId="2792" hidden="1" xr:uid="{00000000-0005-0000-0000-000077030000}"/>
    <cellStyle name="Followed Hyperlink 2" xfId="2802" hidden="1" xr:uid="{00000000-0005-0000-0000-000078030000}"/>
    <cellStyle name="Followed Hyperlink 2" xfId="2805" hidden="1" xr:uid="{00000000-0005-0000-0000-000079030000}"/>
    <cellStyle name="Followed Hyperlink 2" xfId="2808" hidden="1" xr:uid="{00000000-0005-0000-0000-00007A030000}"/>
    <cellStyle name="Followed Hyperlink 2" xfId="2812" hidden="1" xr:uid="{00000000-0005-0000-0000-00007B030000}"/>
    <cellStyle name="Followed Hyperlink 2" xfId="2849" hidden="1" xr:uid="{00000000-0005-0000-0000-00007C030000}"/>
    <cellStyle name="Followed Hyperlink 2" xfId="2846" hidden="1" xr:uid="{00000000-0005-0000-0000-00007D030000}"/>
    <cellStyle name="Followed Hyperlink 2" xfId="2844" hidden="1" xr:uid="{00000000-0005-0000-0000-00007E030000}"/>
    <cellStyle name="Followed Hyperlink 2" xfId="2845" hidden="1" xr:uid="{00000000-0005-0000-0000-00007F030000}"/>
    <cellStyle name="Followed Hyperlink 2" xfId="2855" hidden="1" xr:uid="{00000000-0005-0000-0000-000080030000}"/>
    <cellStyle name="Followed Hyperlink 2" xfId="2858" hidden="1" xr:uid="{00000000-0005-0000-0000-000081030000}"/>
    <cellStyle name="Followed Hyperlink 2" xfId="2861" hidden="1" xr:uid="{00000000-0005-0000-0000-000082030000}"/>
    <cellStyle name="Followed Hyperlink 2" xfId="2865" hidden="1" xr:uid="{00000000-0005-0000-0000-000083030000}"/>
    <cellStyle name="Followed Hyperlink 2" xfId="2873" hidden="1" xr:uid="{00000000-0005-0000-0000-000084030000}"/>
    <cellStyle name="Followed Hyperlink 2" xfId="2870" hidden="1" xr:uid="{00000000-0005-0000-0000-000085030000}"/>
    <cellStyle name="Followed Hyperlink 2" xfId="2868" hidden="1" xr:uid="{00000000-0005-0000-0000-000086030000}"/>
    <cellStyle name="Followed Hyperlink 2" xfId="2869" hidden="1" xr:uid="{00000000-0005-0000-0000-000087030000}"/>
    <cellStyle name="Followed Hyperlink 2" xfId="2879" hidden="1" xr:uid="{00000000-0005-0000-0000-000088030000}"/>
    <cellStyle name="Followed Hyperlink 2" xfId="2882" hidden="1" xr:uid="{00000000-0005-0000-0000-000089030000}"/>
    <cellStyle name="Followed Hyperlink 2" xfId="2885" hidden="1" xr:uid="{00000000-0005-0000-0000-00008A030000}"/>
    <cellStyle name="Followed Hyperlink 2" xfId="2889" hidden="1" xr:uid="{00000000-0005-0000-0000-00008B030000}"/>
    <cellStyle name="Followed Hyperlink 2" xfId="2899" hidden="1" xr:uid="{00000000-0005-0000-0000-00008C030000}"/>
    <cellStyle name="Followed Hyperlink 2" xfId="2896" hidden="1" xr:uid="{00000000-0005-0000-0000-00008D030000}"/>
    <cellStyle name="Followed Hyperlink 2" xfId="2894" hidden="1" xr:uid="{00000000-0005-0000-0000-00008E030000}"/>
    <cellStyle name="Followed Hyperlink 2" xfId="2895" hidden="1" xr:uid="{00000000-0005-0000-0000-00008F030000}"/>
    <cellStyle name="Followed Hyperlink 2" xfId="2905" hidden="1" xr:uid="{00000000-0005-0000-0000-000090030000}"/>
    <cellStyle name="Followed Hyperlink 2" xfId="2908" hidden="1" xr:uid="{00000000-0005-0000-0000-000091030000}"/>
    <cellStyle name="Followed Hyperlink 2" xfId="2911" hidden="1" xr:uid="{00000000-0005-0000-0000-000092030000}"/>
    <cellStyle name="Followed Hyperlink 2" xfId="2915" hidden="1" xr:uid="{00000000-0005-0000-0000-000093030000}"/>
    <cellStyle name="Followed Hyperlink 2" xfId="2923" hidden="1" xr:uid="{00000000-0005-0000-0000-000094030000}"/>
    <cellStyle name="Followed Hyperlink 2" xfId="2920" hidden="1" xr:uid="{00000000-0005-0000-0000-000095030000}"/>
    <cellStyle name="Followed Hyperlink 2" xfId="2918" hidden="1" xr:uid="{00000000-0005-0000-0000-000096030000}"/>
    <cellStyle name="Followed Hyperlink 2" xfId="2919" hidden="1" xr:uid="{00000000-0005-0000-0000-000097030000}"/>
    <cellStyle name="Followed Hyperlink 2" xfId="2929" hidden="1" xr:uid="{00000000-0005-0000-0000-000098030000}"/>
    <cellStyle name="Followed Hyperlink 2" xfId="2932" hidden="1" xr:uid="{00000000-0005-0000-0000-000099030000}"/>
    <cellStyle name="Followed Hyperlink 2" xfId="2935" hidden="1" xr:uid="{00000000-0005-0000-0000-00009A030000}"/>
    <cellStyle name="Followed Hyperlink 2" xfId="2939" hidden="1" xr:uid="{00000000-0005-0000-0000-00009B030000}"/>
    <cellStyle name="Followed Hyperlink 2" xfId="2976" hidden="1" xr:uid="{00000000-0005-0000-0000-00009C030000}"/>
    <cellStyle name="Followed Hyperlink 2" xfId="2973" hidden="1" xr:uid="{00000000-0005-0000-0000-00009D030000}"/>
    <cellStyle name="Followed Hyperlink 2" xfId="2971" hidden="1" xr:uid="{00000000-0005-0000-0000-00009E030000}"/>
    <cellStyle name="Followed Hyperlink 2" xfId="2972" hidden="1" xr:uid="{00000000-0005-0000-0000-00009F030000}"/>
    <cellStyle name="Followed Hyperlink 2" xfId="2982" hidden="1" xr:uid="{00000000-0005-0000-0000-0000A0030000}"/>
    <cellStyle name="Followed Hyperlink 2" xfId="2985" hidden="1" xr:uid="{00000000-0005-0000-0000-0000A1030000}"/>
    <cellStyle name="Followed Hyperlink 2" xfId="2988" hidden="1" xr:uid="{00000000-0005-0000-0000-0000A2030000}"/>
    <cellStyle name="Followed Hyperlink 2" xfId="2992" hidden="1" xr:uid="{00000000-0005-0000-0000-0000A3030000}"/>
    <cellStyle name="Followed Hyperlink 2" xfId="3000" hidden="1" xr:uid="{00000000-0005-0000-0000-0000A4030000}"/>
    <cellStyle name="Followed Hyperlink 2" xfId="2997" hidden="1" xr:uid="{00000000-0005-0000-0000-0000A5030000}"/>
    <cellStyle name="Followed Hyperlink 2" xfId="2995" hidden="1" xr:uid="{00000000-0005-0000-0000-0000A6030000}"/>
    <cellStyle name="Followed Hyperlink 2" xfId="2996" hidden="1" xr:uid="{00000000-0005-0000-0000-0000A7030000}"/>
    <cellStyle name="Followed Hyperlink 2" xfId="3006" hidden="1" xr:uid="{00000000-0005-0000-0000-0000A8030000}"/>
    <cellStyle name="Followed Hyperlink 2" xfId="3009" hidden="1" xr:uid="{00000000-0005-0000-0000-0000A9030000}"/>
    <cellStyle name="Followed Hyperlink 2" xfId="3012" hidden="1" xr:uid="{00000000-0005-0000-0000-0000AA030000}"/>
    <cellStyle name="Followed Hyperlink 2" xfId="3016" hidden="1" xr:uid="{00000000-0005-0000-0000-0000AB030000}"/>
    <cellStyle name="Followed Hyperlink 2" xfId="3026" hidden="1" xr:uid="{00000000-0005-0000-0000-0000AC030000}"/>
    <cellStyle name="Followed Hyperlink 2" xfId="3023" hidden="1" xr:uid="{00000000-0005-0000-0000-0000AD030000}"/>
    <cellStyle name="Followed Hyperlink 2" xfId="3021" hidden="1" xr:uid="{00000000-0005-0000-0000-0000AE030000}"/>
    <cellStyle name="Followed Hyperlink 2" xfId="3022" hidden="1" xr:uid="{00000000-0005-0000-0000-0000AF030000}"/>
    <cellStyle name="Followed Hyperlink 2" xfId="3032" hidden="1" xr:uid="{00000000-0005-0000-0000-0000B0030000}"/>
    <cellStyle name="Followed Hyperlink 2" xfId="3035" hidden="1" xr:uid="{00000000-0005-0000-0000-0000B1030000}"/>
    <cellStyle name="Followed Hyperlink 2" xfId="3038" hidden="1" xr:uid="{00000000-0005-0000-0000-0000B2030000}"/>
    <cellStyle name="Followed Hyperlink 2" xfId="3042" hidden="1" xr:uid="{00000000-0005-0000-0000-0000B3030000}"/>
    <cellStyle name="Followed Hyperlink 2" xfId="3050" hidden="1" xr:uid="{00000000-0005-0000-0000-0000B4030000}"/>
    <cellStyle name="Followed Hyperlink 2" xfId="3047" hidden="1" xr:uid="{00000000-0005-0000-0000-0000B5030000}"/>
    <cellStyle name="Followed Hyperlink 2" xfId="3045" hidden="1" xr:uid="{00000000-0005-0000-0000-0000B6030000}"/>
    <cellStyle name="Followed Hyperlink 2" xfId="3046" hidden="1" xr:uid="{00000000-0005-0000-0000-0000B7030000}"/>
    <cellStyle name="Followed Hyperlink 2" xfId="3056" hidden="1" xr:uid="{00000000-0005-0000-0000-0000B8030000}"/>
    <cellStyle name="Followed Hyperlink 2" xfId="3059" hidden="1" xr:uid="{00000000-0005-0000-0000-0000B9030000}"/>
    <cellStyle name="Followed Hyperlink 2" xfId="3062" hidden="1" xr:uid="{00000000-0005-0000-0000-0000BA030000}"/>
    <cellStyle name="Followed Hyperlink 2" xfId="3066" hidden="1" xr:uid="{00000000-0005-0000-0000-0000BB030000}"/>
    <cellStyle name="Followed Hyperlink 2" xfId="2943" hidden="1" xr:uid="{00000000-0005-0000-0000-0000BC030000}"/>
    <cellStyle name="Followed Hyperlink 2" xfId="2947" hidden="1" xr:uid="{00000000-0005-0000-0000-0000BD030000}"/>
    <cellStyle name="Followed Hyperlink 2" xfId="2942" hidden="1" xr:uid="{00000000-0005-0000-0000-0000BE030000}"/>
    <cellStyle name="Followed Hyperlink 2" xfId="2948" hidden="1" xr:uid="{00000000-0005-0000-0000-0000BF030000}"/>
    <cellStyle name="Followed Hyperlink 2" xfId="3069" hidden="1" xr:uid="{00000000-0005-0000-0000-0000C0030000}"/>
    <cellStyle name="Followed Hyperlink 2" xfId="3072" hidden="1" xr:uid="{00000000-0005-0000-0000-0000C1030000}"/>
    <cellStyle name="Followed Hyperlink 2" xfId="3075" hidden="1" xr:uid="{00000000-0005-0000-0000-0000C2030000}"/>
    <cellStyle name="Followed Hyperlink 2" xfId="3079" hidden="1" xr:uid="{00000000-0005-0000-0000-0000C3030000}"/>
    <cellStyle name="Followed Hyperlink 2" xfId="3087" hidden="1" xr:uid="{00000000-0005-0000-0000-0000C4030000}"/>
    <cellStyle name="Followed Hyperlink 2" xfId="3084" hidden="1" xr:uid="{00000000-0005-0000-0000-0000C5030000}"/>
    <cellStyle name="Followed Hyperlink 2" xfId="3082" hidden="1" xr:uid="{00000000-0005-0000-0000-0000C6030000}"/>
    <cellStyle name="Followed Hyperlink 2" xfId="3083" hidden="1" xr:uid="{00000000-0005-0000-0000-0000C7030000}"/>
    <cellStyle name="Followed Hyperlink 2" xfId="3093" hidden="1" xr:uid="{00000000-0005-0000-0000-0000C8030000}"/>
    <cellStyle name="Followed Hyperlink 2" xfId="3096" hidden="1" xr:uid="{00000000-0005-0000-0000-0000C9030000}"/>
    <cellStyle name="Followed Hyperlink 2" xfId="3099" hidden="1" xr:uid="{00000000-0005-0000-0000-0000CA030000}"/>
    <cellStyle name="Followed Hyperlink 2" xfId="3103" hidden="1" xr:uid="{00000000-0005-0000-0000-0000CB030000}"/>
    <cellStyle name="Followed Hyperlink 2" xfId="3112" hidden="1" xr:uid="{00000000-0005-0000-0000-0000CC030000}"/>
    <cellStyle name="Followed Hyperlink 2" xfId="3109" hidden="1" xr:uid="{00000000-0005-0000-0000-0000CD030000}"/>
    <cellStyle name="Followed Hyperlink 2" xfId="3107" hidden="1" xr:uid="{00000000-0005-0000-0000-0000CE030000}"/>
    <cellStyle name="Followed Hyperlink 2" xfId="3108" hidden="1" xr:uid="{00000000-0005-0000-0000-0000CF030000}"/>
    <cellStyle name="Followed Hyperlink 2" xfId="3118" hidden="1" xr:uid="{00000000-0005-0000-0000-0000D0030000}"/>
    <cellStyle name="Followed Hyperlink 2" xfId="3121" hidden="1" xr:uid="{00000000-0005-0000-0000-0000D1030000}"/>
    <cellStyle name="Followed Hyperlink 2" xfId="3124" hidden="1" xr:uid="{00000000-0005-0000-0000-0000D2030000}"/>
    <cellStyle name="Followed Hyperlink 2" xfId="3128" hidden="1" xr:uid="{00000000-0005-0000-0000-0000D3030000}"/>
    <cellStyle name="Followed Hyperlink 2" xfId="3136" hidden="1" xr:uid="{00000000-0005-0000-0000-0000D4030000}"/>
    <cellStyle name="Followed Hyperlink 2" xfId="3133" hidden="1" xr:uid="{00000000-0005-0000-0000-0000D5030000}"/>
    <cellStyle name="Followed Hyperlink 2" xfId="3131" hidden="1" xr:uid="{00000000-0005-0000-0000-0000D6030000}"/>
    <cellStyle name="Followed Hyperlink 2" xfId="3132" hidden="1" xr:uid="{00000000-0005-0000-0000-0000D7030000}"/>
    <cellStyle name="Followed Hyperlink 2" xfId="3142" hidden="1" xr:uid="{00000000-0005-0000-0000-0000D8030000}"/>
    <cellStyle name="Followed Hyperlink 2" xfId="3145" hidden="1" xr:uid="{00000000-0005-0000-0000-0000D9030000}"/>
    <cellStyle name="Followed Hyperlink 2" xfId="3148" hidden="1" xr:uid="{00000000-0005-0000-0000-0000DA030000}"/>
    <cellStyle name="Followed Hyperlink 2" xfId="3152" hidden="1" xr:uid="{00000000-0005-0000-0000-0000DB030000}"/>
    <cellStyle name="Followed Hyperlink 2" xfId="2961" hidden="1" xr:uid="{00000000-0005-0000-0000-0000DC030000}"/>
    <cellStyle name="Followed Hyperlink 2" xfId="2958" hidden="1" xr:uid="{00000000-0005-0000-0000-0000DD030000}"/>
    <cellStyle name="Followed Hyperlink 2" xfId="2952" hidden="1" xr:uid="{00000000-0005-0000-0000-0000DE030000}"/>
    <cellStyle name="Followed Hyperlink 2" xfId="2957" hidden="1" xr:uid="{00000000-0005-0000-0000-0000DF030000}"/>
    <cellStyle name="Followed Hyperlink 2" xfId="3155" hidden="1" xr:uid="{00000000-0005-0000-0000-0000E0030000}"/>
    <cellStyle name="Followed Hyperlink 2" xfId="3158" hidden="1" xr:uid="{00000000-0005-0000-0000-0000E1030000}"/>
    <cellStyle name="Followed Hyperlink 2" xfId="3161" hidden="1" xr:uid="{00000000-0005-0000-0000-0000E2030000}"/>
    <cellStyle name="Followed Hyperlink 2" xfId="3165" hidden="1" xr:uid="{00000000-0005-0000-0000-0000E3030000}"/>
    <cellStyle name="Followed Hyperlink 2" xfId="3173" hidden="1" xr:uid="{00000000-0005-0000-0000-0000E4030000}"/>
    <cellStyle name="Followed Hyperlink 2" xfId="3170" hidden="1" xr:uid="{00000000-0005-0000-0000-0000E5030000}"/>
    <cellStyle name="Followed Hyperlink 2" xfId="3168" hidden="1" xr:uid="{00000000-0005-0000-0000-0000E6030000}"/>
    <cellStyle name="Followed Hyperlink 2" xfId="3169" hidden="1" xr:uid="{00000000-0005-0000-0000-0000E7030000}"/>
    <cellStyle name="Followed Hyperlink 2" xfId="3179" hidden="1" xr:uid="{00000000-0005-0000-0000-0000E8030000}"/>
    <cellStyle name="Followed Hyperlink 2" xfId="3182" hidden="1" xr:uid="{00000000-0005-0000-0000-0000E9030000}"/>
    <cellStyle name="Followed Hyperlink 2" xfId="3185" hidden="1" xr:uid="{00000000-0005-0000-0000-0000EA030000}"/>
    <cellStyle name="Followed Hyperlink 2" xfId="3189" hidden="1" xr:uid="{00000000-0005-0000-0000-0000EB030000}"/>
    <cellStyle name="Followed Hyperlink 2" xfId="3198" hidden="1" xr:uid="{00000000-0005-0000-0000-0000EC030000}"/>
    <cellStyle name="Followed Hyperlink 2" xfId="3195" hidden="1" xr:uid="{00000000-0005-0000-0000-0000ED030000}"/>
    <cellStyle name="Followed Hyperlink 2" xfId="3193" hidden="1" xr:uid="{00000000-0005-0000-0000-0000EE030000}"/>
    <cellStyle name="Followed Hyperlink 2" xfId="3194" hidden="1" xr:uid="{00000000-0005-0000-0000-0000EF030000}"/>
    <cellStyle name="Followed Hyperlink 2" xfId="3204" hidden="1" xr:uid="{00000000-0005-0000-0000-0000F0030000}"/>
    <cellStyle name="Followed Hyperlink 2" xfId="3207" hidden="1" xr:uid="{00000000-0005-0000-0000-0000F1030000}"/>
    <cellStyle name="Followed Hyperlink 2" xfId="3210" hidden="1" xr:uid="{00000000-0005-0000-0000-0000F2030000}"/>
    <cellStyle name="Followed Hyperlink 2" xfId="3214" hidden="1" xr:uid="{00000000-0005-0000-0000-0000F3030000}"/>
    <cellStyle name="Followed Hyperlink 2" xfId="3222" hidden="1" xr:uid="{00000000-0005-0000-0000-0000F4030000}"/>
    <cellStyle name="Followed Hyperlink 2" xfId="3219" hidden="1" xr:uid="{00000000-0005-0000-0000-0000F5030000}"/>
    <cellStyle name="Followed Hyperlink 2" xfId="3217" hidden="1" xr:uid="{00000000-0005-0000-0000-0000F6030000}"/>
    <cellStyle name="Followed Hyperlink 2" xfId="3218" hidden="1" xr:uid="{00000000-0005-0000-0000-0000F7030000}"/>
    <cellStyle name="Followed Hyperlink 2" xfId="3228" hidden="1" xr:uid="{00000000-0005-0000-0000-0000F8030000}"/>
    <cellStyle name="Followed Hyperlink 2" xfId="3231" hidden="1" xr:uid="{00000000-0005-0000-0000-0000F9030000}"/>
    <cellStyle name="Followed Hyperlink 2" xfId="3234" hidden="1" xr:uid="{00000000-0005-0000-0000-0000FA030000}"/>
    <cellStyle name="Followed Hyperlink 2" xfId="3238" hidden="1" xr:uid="{00000000-0005-0000-0000-0000FB030000}"/>
    <cellStyle name="Followed Hyperlink 2" xfId="2969" hidden="1" xr:uid="{00000000-0005-0000-0000-0000FC030000}"/>
    <cellStyle name="Followed Hyperlink 2" xfId="2965" hidden="1" xr:uid="{00000000-0005-0000-0000-0000FD030000}"/>
    <cellStyle name="Followed Hyperlink 2" xfId="2966" hidden="1" xr:uid="{00000000-0005-0000-0000-0000FE030000}"/>
    <cellStyle name="Followed Hyperlink 2" xfId="2953" hidden="1" xr:uid="{00000000-0005-0000-0000-0000FF030000}"/>
    <cellStyle name="Followed Hyperlink 2" xfId="3241" hidden="1" xr:uid="{00000000-0005-0000-0000-000000040000}"/>
    <cellStyle name="Followed Hyperlink 2" xfId="3244" hidden="1" xr:uid="{00000000-0005-0000-0000-000001040000}"/>
    <cellStyle name="Followed Hyperlink 2" xfId="3247" hidden="1" xr:uid="{00000000-0005-0000-0000-000002040000}"/>
    <cellStyle name="Followed Hyperlink 2" xfId="3251" hidden="1" xr:uid="{00000000-0005-0000-0000-000003040000}"/>
    <cellStyle name="Followed Hyperlink 2" xfId="3259" hidden="1" xr:uid="{00000000-0005-0000-0000-000004040000}"/>
    <cellStyle name="Followed Hyperlink 2" xfId="3256" hidden="1" xr:uid="{00000000-0005-0000-0000-000005040000}"/>
    <cellStyle name="Followed Hyperlink 2" xfId="3254" hidden="1" xr:uid="{00000000-0005-0000-0000-000006040000}"/>
    <cellStyle name="Followed Hyperlink 2" xfId="3255" hidden="1" xr:uid="{00000000-0005-0000-0000-000007040000}"/>
    <cellStyle name="Followed Hyperlink 2" xfId="3265" hidden="1" xr:uid="{00000000-0005-0000-0000-000008040000}"/>
    <cellStyle name="Followed Hyperlink 2" xfId="3268" hidden="1" xr:uid="{00000000-0005-0000-0000-000009040000}"/>
    <cellStyle name="Followed Hyperlink 2" xfId="3271" hidden="1" xr:uid="{00000000-0005-0000-0000-00000A040000}"/>
    <cellStyle name="Followed Hyperlink 2" xfId="3275" hidden="1" xr:uid="{00000000-0005-0000-0000-00000B040000}"/>
    <cellStyle name="Followed Hyperlink 2" xfId="3283" hidden="1" xr:uid="{00000000-0005-0000-0000-00000C040000}"/>
    <cellStyle name="Followed Hyperlink 2" xfId="3280" hidden="1" xr:uid="{00000000-0005-0000-0000-00000D040000}"/>
    <cellStyle name="Followed Hyperlink 2" xfId="3278" hidden="1" xr:uid="{00000000-0005-0000-0000-00000E040000}"/>
    <cellStyle name="Followed Hyperlink 2" xfId="3279" hidden="1" xr:uid="{00000000-0005-0000-0000-00000F040000}"/>
    <cellStyle name="Followed Hyperlink 2" xfId="3289" hidden="1" xr:uid="{00000000-0005-0000-0000-000010040000}"/>
    <cellStyle name="Followed Hyperlink 2" xfId="3292" hidden="1" xr:uid="{00000000-0005-0000-0000-000011040000}"/>
    <cellStyle name="Followed Hyperlink 2" xfId="3295" hidden="1" xr:uid="{00000000-0005-0000-0000-000012040000}"/>
    <cellStyle name="Followed Hyperlink 2" xfId="3299" hidden="1" xr:uid="{00000000-0005-0000-0000-000013040000}"/>
    <cellStyle name="Followed Hyperlink 2" xfId="3307" hidden="1" xr:uid="{00000000-0005-0000-0000-000014040000}"/>
    <cellStyle name="Followed Hyperlink 2" xfId="3304" hidden="1" xr:uid="{00000000-0005-0000-0000-000015040000}"/>
    <cellStyle name="Followed Hyperlink 2" xfId="3302" hidden="1" xr:uid="{00000000-0005-0000-0000-000016040000}"/>
    <cellStyle name="Followed Hyperlink 2" xfId="3303" hidden="1" xr:uid="{00000000-0005-0000-0000-000017040000}"/>
    <cellStyle name="Followed Hyperlink 2" xfId="3313" hidden="1" xr:uid="{00000000-0005-0000-0000-000018040000}"/>
    <cellStyle name="Followed Hyperlink 2" xfId="3316" hidden="1" xr:uid="{00000000-0005-0000-0000-000019040000}"/>
    <cellStyle name="Followed Hyperlink 2" xfId="3319" hidden="1" xr:uid="{00000000-0005-0000-0000-00001A040000}"/>
    <cellStyle name="Followed Hyperlink 2" xfId="3323" hidden="1" xr:uid="{00000000-0005-0000-0000-00001B040000}"/>
    <cellStyle name="Followed Hyperlink 2" xfId="2816" hidden="1" xr:uid="{00000000-0005-0000-0000-00001C040000}"/>
    <cellStyle name="Followed Hyperlink 2" xfId="2820" hidden="1" xr:uid="{00000000-0005-0000-0000-00001D040000}"/>
    <cellStyle name="Followed Hyperlink 2" xfId="2815" hidden="1" xr:uid="{00000000-0005-0000-0000-00001E040000}"/>
    <cellStyle name="Followed Hyperlink 2" xfId="2821" hidden="1" xr:uid="{00000000-0005-0000-0000-00001F040000}"/>
    <cellStyle name="Followed Hyperlink 2" xfId="3326" hidden="1" xr:uid="{00000000-0005-0000-0000-000020040000}"/>
    <cellStyle name="Followed Hyperlink 2" xfId="3329" hidden="1" xr:uid="{00000000-0005-0000-0000-000021040000}"/>
    <cellStyle name="Followed Hyperlink 2" xfId="3332" hidden="1" xr:uid="{00000000-0005-0000-0000-000022040000}"/>
    <cellStyle name="Followed Hyperlink 2" xfId="3336" hidden="1" xr:uid="{00000000-0005-0000-0000-000023040000}"/>
    <cellStyle name="Followed Hyperlink 2" xfId="3344" hidden="1" xr:uid="{00000000-0005-0000-0000-000024040000}"/>
    <cellStyle name="Followed Hyperlink 2" xfId="3341" hidden="1" xr:uid="{00000000-0005-0000-0000-000025040000}"/>
    <cellStyle name="Followed Hyperlink 2" xfId="3339" hidden="1" xr:uid="{00000000-0005-0000-0000-000026040000}"/>
    <cellStyle name="Followed Hyperlink 2" xfId="3340" hidden="1" xr:uid="{00000000-0005-0000-0000-000027040000}"/>
    <cellStyle name="Followed Hyperlink 2" xfId="3350" hidden="1" xr:uid="{00000000-0005-0000-0000-000028040000}"/>
    <cellStyle name="Followed Hyperlink 2" xfId="3353" hidden="1" xr:uid="{00000000-0005-0000-0000-000029040000}"/>
    <cellStyle name="Followed Hyperlink 2" xfId="3356" hidden="1" xr:uid="{00000000-0005-0000-0000-00002A040000}"/>
    <cellStyle name="Followed Hyperlink 2" xfId="3360" hidden="1" xr:uid="{00000000-0005-0000-0000-00002B040000}"/>
    <cellStyle name="Followed Hyperlink 2" xfId="3369" hidden="1" xr:uid="{00000000-0005-0000-0000-00002C040000}"/>
    <cellStyle name="Followed Hyperlink 2" xfId="3366" hidden="1" xr:uid="{00000000-0005-0000-0000-00002D040000}"/>
    <cellStyle name="Followed Hyperlink 2" xfId="3364" hidden="1" xr:uid="{00000000-0005-0000-0000-00002E040000}"/>
    <cellStyle name="Followed Hyperlink 2" xfId="3365" hidden="1" xr:uid="{00000000-0005-0000-0000-00002F040000}"/>
    <cellStyle name="Followed Hyperlink 2" xfId="3375" hidden="1" xr:uid="{00000000-0005-0000-0000-000030040000}"/>
    <cellStyle name="Followed Hyperlink 2" xfId="3378" hidden="1" xr:uid="{00000000-0005-0000-0000-000031040000}"/>
    <cellStyle name="Followed Hyperlink 2" xfId="3381" hidden="1" xr:uid="{00000000-0005-0000-0000-000032040000}"/>
    <cellStyle name="Followed Hyperlink 2" xfId="3385" hidden="1" xr:uid="{00000000-0005-0000-0000-000033040000}"/>
    <cellStyle name="Followed Hyperlink 2" xfId="3393" hidden="1" xr:uid="{00000000-0005-0000-0000-000034040000}"/>
    <cellStyle name="Followed Hyperlink 2" xfId="3390" hidden="1" xr:uid="{00000000-0005-0000-0000-000035040000}"/>
    <cellStyle name="Followed Hyperlink 2" xfId="3388" hidden="1" xr:uid="{00000000-0005-0000-0000-000036040000}"/>
    <cellStyle name="Followed Hyperlink 2" xfId="3389" hidden="1" xr:uid="{00000000-0005-0000-0000-000037040000}"/>
    <cellStyle name="Followed Hyperlink 2" xfId="3399" hidden="1" xr:uid="{00000000-0005-0000-0000-000038040000}"/>
    <cellStyle name="Followed Hyperlink 2" xfId="3402" hidden="1" xr:uid="{00000000-0005-0000-0000-000039040000}"/>
    <cellStyle name="Followed Hyperlink 2" xfId="3405" hidden="1" xr:uid="{00000000-0005-0000-0000-00003A040000}"/>
    <cellStyle name="Followed Hyperlink 2" xfId="3409" hidden="1" xr:uid="{00000000-0005-0000-0000-00003B040000}"/>
    <cellStyle name="Followed Hyperlink 2" xfId="3446" hidden="1" xr:uid="{00000000-0005-0000-0000-00003C040000}"/>
    <cellStyle name="Followed Hyperlink 2" xfId="3443" hidden="1" xr:uid="{00000000-0005-0000-0000-00003D040000}"/>
    <cellStyle name="Followed Hyperlink 2" xfId="3441" hidden="1" xr:uid="{00000000-0005-0000-0000-00003E040000}"/>
    <cellStyle name="Followed Hyperlink 2" xfId="3442" hidden="1" xr:uid="{00000000-0005-0000-0000-00003F040000}"/>
    <cellStyle name="Followed Hyperlink 2" xfId="3452" hidden="1" xr:uid="{00000000-0005-0000-0000-000040040000}"/>
    <cellStyle name="Followed Hyperlink 2" xfId="3455" hidden="1" xr:uid="{00000000-0005-0000-0000-000041040000}"/>
    <cellStyle name="Followed Hyperlink 2" xfId="3458" hidden="1" xr:uid="{00000000-0005-0000-0000-000042040000}"/>
    <cellStyle name="Followed Hyperlink 2" xfId="3462" hidden="1" xr:uid="{00000000-0005-0000-0000-000043040000}"/>
    <cellStyle name="Followed Hyperlink 2" xfId="3470" hidden="1" xr:uid="{00000000-0005-0000-0000-000044040000}"/>
    <cellStyle name="Followed Hyperlink 2" xfId="3467" hidden="1" xr:uid="{00000000-0005-0000-0000-000045040000}"/>
    <cellStyle name="Followed Hyperlink 2" xfId="3465" hidden="1" xr:uid="{00000000-0005-0000-0000-000046040000}"/>
    <cellStyle name="Followed Hyperlink 2" xfId="3466" hidden="1" xr:uid="{00000000-0005-0000-0000-000047040000}"/>
    <cellStyle name="Followed Hyperlink 2" xfId="3476" hidden="1" xr:uid="{00000000-0005-0000-0000-000048040000}"/>
    <cellStyle name="Followed Hyperlink 2" xfId="3479" hidden="1" xr:uid="{00000000-0005-0000-0000-000049040000}"/>
    <cellStyle name="Followed Hyperlink 2" xfId="3482" hidden="1" xr:uid="{00000000-0005-0000-0000-00004A040000}"/>
    <cellStyle name="Followed Hyperlink 2" xfId="3486" hidden="1" xr:uid="{00000000-0005-0000-0000-00004B040000}"/>
    <cellStyle name="Followed Hyperlink 2" xfId="3496" hidden="1" xr:uid="{00000000-0005-0000-0000-00004C040000}"/>
    <cellStyle name="Followed Hyperlink 2" xfId="3493" hidden="1" xr:uid="{00000000-0005-0000-0000-00004D040000}"/>
    <cellStyle name="Followed Hyperlink 2" xfId="3491" hidden="1" xr:uid="{00000000-0005-0000-0000-00004E040000}"/>
    <cellStyle name="Followed Hyperlink 2" xfId="3492" hidden="1" xr:uid="{00000000-0005-0000-0000-00004F040000}"/>
    <cellStyle name="Followed Hyperlink 2" xfId="3502" hidden="1" xr:uid="{00000000-0005-0000-0000-000050040000}"/>
    <cellStyle name="Followed Hyperlink 2" xfId="3505" hidden="1" xr:uid="{00000000-0005-0000-0000-000051040000}"/>
    <cellStyle name="Followed Hyperlink 2" xfId="3508" hidden="1" xr:uid="{00000000-0005-0000-0000-000052040000}"/>
    <cellStyle name="Followed Hyperlink 2" xfId="3512" hidden="1" xr:uid="{00000000-0005-0000-0000-000053040000}"/>
    <cellStyle name="Followed Hyperlink 2" xfId="3520" hidden="1" xr:uid="{00000000-0005-0000-0000-000054040000}"/>
    <cellStyle name="Followed Hyperlink 2" xfId="3517" hidden="1" xr:uid="{00000000-0005-0000-0000-000055040000}"/>
    <cellStyle name="Followed Hyperlink 2" xfId="3515" hidden="1" xr:uid="{00000000-0005-0000-0000-000056040000}"/>
    <cellStyle name="Followed Hyperlink 2" xfId="3516" hidden="1" xr:uid="{00000000-0005-0000-0000-000057040000}"/>
    <cellStyle name="Followed Hyperlink 2" xfId="3526" hidden="1" xr:uid="{00000000-0005-0000-0000-000058040000}"/>
    <cellStyle name="Followed Hyperlink 2" xfId="3529" hidden="1" xr:uid="{00000000-0005-0000-0000-000059040000}"/>
    <cellStyle name="Followed Hyperlink 2" xfId="3532" hidden="1" xr:uid="{00000000-0005-0000-0000-00005A040000}"/>
    <cellStyle name="Followed Hyperlink 2" xfId="3536" hidden="1" xr:uid="{00000000-0005-0000-0000-00005B040000}"/>
    <cellStyle name="Followed Hyperlink 2" xfId="3413" hidden="1" xr:uid="{00000000-0005-0000-0000-00005C040000}"/>
    <cellStyle name="Followed Hyperlink 2" xfId="3417" hidden="1" xr:uid="{00000000-0005-0000-0000-00005D040000}"/>
    <cellStyle name="Followed Hyperlink 2" xfId="3412" hidden="1" xr:uid="{00000000-0005-0000-0000-00005E040000}"/>
    <cellStyle name="Followed Hyperlink 2" xfId="3418" hidden="1" xr:uid="{00000000-0005-0000-0000-00005F040000}"/>
    <cellStyle name="Followed Hyperlink 2" xfId="3539" hidden="1" xr:uid="{00000000-0005-0000-0000-000060040000}"/>
    <cellStyle name="Followed Hyperlink 2" xfId="3542" hidden="1" xr:uid="{00000000-0005-0000-0000-000061040000}"/>
    <cellStyle name="Followed Hyperlink 2" xfId="3545" hidden="1" xr:uid="{00000000-0005-0000-0000-000062040000}"/>
    <cellStyle name="Followed Hyperlink 2" xfId="3549" hidden="1" xr:uid="{00000000-0005-0000-0000-000063040000}"/>
    <cellStyle name="Followed Hyperlink 2" xfId="3557" hidden="1" xr:uid="{00000000-0005-0000-0000-000064040000}"/>
    <cellStyle name="Followed Hyperlink 2" xfId="3554" hidden="1" xr:uid="{00000000-0005-0000-0000-000065040000}"/>
    <cellStyle name="Followed Hyperlink 2" xfId="3552" hidden="1" xr:uid="{00000000-0005-0000-0000-000066040000}"/>
    <cellStyle name="Followed Hyperlink 2" xfId="3553" hidden="1" xr:uid="{00000000-0005-0000-0000-000067040000}"/>
    <cellStyle name="Followed Hyperlink 2" xfId="3563" hidden="1" xr:uid="{00000000-0005-0000-0000-000068040000}"/>
    <cellStyle name="Followed Hyperlink 2" xfId="3566" hidden="1" xr:uid="{00000000-0005-0000-0000-000069040000}"/>
    <cellStyle name="Followed Hyperlink 2" xfId="3569" hidden="1" xr:uid="{00000000-0005-0000-0000-00006A040000}"/>
    <cellStyle name="Followed Hyperlink 2" xfId="3573" hidden="1" xr:uid="{00000000-0005-0000-0000-00006B040000}"/>
    <cellStyle name="Followed Hyperlink 2" xfId="3582" hidden="1" xr:uid="{00000000-0005-0000-0000-00006C040000}"/>
    <cellStyle name="Followed Hyperlink 2" xfId="3579" hidden="1" xr:uid="{00000000-0005-0000-0000-00006D040000}"/>
    <cellStyle name="Followed Hyperlink 2" xfId="3577" hidden="1" xr:uid="{00000000-0005-0000-0000-00006E040000}"/>
    <cellStyle name="Followed Hyperlink 2" xfId="3578" hidden="1" xr:uid="{00000000-0005-0000-0000-00006F040000}"/>
    <cellStyle name="Followed Hyperlink 2" xfId="3588" hidden="1" xr:uid="{00000000-0005-0000-0000-000070040000}"/>
    <cellStyle name="Followed Hyperlink 2" xfId="3591" hidden="1" xr:uid="{00000000-0005-0000-0000-000071040000}"/>
    <cellStyle name="Followed Hyperlink 2" xfId="3594" hidden="1" xr:uid="{00000000-0005-0000-0000-000072040000}"/>
    <cellStyle name="Followed Hyperlink 2" xfId="3598" hidden="1" xr:uid="{00000000-0005-0000-0000-000073040000}"/>
    <cellStyle name="Followed Hyperlink 2" xfId="3606" hidden="1" xr:uid="{00000000-0005-0000-0000-000074040000}"/>
    <cellStyle name="Followed Hyperlink 2" xfId="3603" hidden="1" xr:uid="{00000000-0005-0000-0000-000075040000}"/>
    <cellStyle name="Followed Hyperlink 2" xfId="3601" hidden="1" xr:uid="{00000000-0005-0000-0000-000076040000}"/>
    <cellStyle name="Followed Hyperlink 2" xfId="3602" hidden="1" xr:uid="{00000000-0005-0000-0000-000077040000}"/>
    <cellStyle name="Followed Hyperlink 2" xfId="3612" hidden="1" xr:uid="{00000000-0005-0000-0000-000078040000}"/>
    <cellStyle name="Followed Hyperlink 2" xfId="3615" hidden="1" xr:uid="{00000000-0005-0000-0000-000079040000}"/>
    <cellStyle name="Followed Hyperlink 2" xfId="3618" hidden="1" xr:uid="{00000000-0005-0000-0000-00007A040000}"/>
    <cellStyle name="Followed Hyperlink 2" xfId="3622" hidden="1" xr:uid="{00000000-0005-0000-0000-00007B040000}"/>
    <cellStyle name="Followed Hyperlink 2" xfId="3431" hidden="1" xr:uid="{00000000-0005-0000-0000-00007C040000}"/>
    <cellStyle name="Followed Hyperlink 2" xfId="3428" hidden="1" xr:uid="{00000000-0005-0000-0000-00007D040000}"/>
    <cellStyle name="Followed Hyperlink 2" xfId="3422" hidden="1" xr:uid="{00000000-0005-0000-0000-00007E040000}"/>
    <cellStyle name="Followed Hyperlink 2" xfId="3427" hidden="1" xr:uid="{00000000-0005-0000-0000-00007F040000}"/>
    <cellStyle name="Followed Hyperlink 2" xfId="3625" hidden="1" xr:uid="{00000000-0005-0000-0000-000080040000}"/>
    <cellStyle name="Followed Hyperlink 2" xfId="3628" hidden="1" xr:uid="{00000000-0005-0000-0000-000081040000}"/>
    <cellStyle name="Followed Hyperlink 2" xfId="3631" hidden="1" xr:uid="{00000000-0005-0000-0000-000082040000}"/>
    <cellStyle name="Followed Hyperlink 2" xfId="3635" hidden="1" xr:uid="{00000000-0005-0000-0000-000083040000}"/>
    <cellStyle name="Followed Hyperlink 2" xfId="3643" hidden="1" xr:uid="{00000000-0005-0000-0000-000084040000}"/>
    <cellStyle name="Followed Hyperlink 2" xfId="3640" hidden="1" xr:uid="{00000000-0005-0000-0000-000085040000}"/>
    <cellStyle name="Followed Hyperlink 2" xfId="3638" hidden="1" xr:uid="{00000000-0005-0000-0000-000086040000}"/>
    <cellStyle name="Followed Hyperlink 2" xfId="3639" hidden="1" xr:uid="{00000000-0005-0000-0000-000087040000}"/>
    <cellStyle name="Followed Hyperlink 2" xfId="3649" hidden="1" xr:uid="{00000000-0005-0000-0000-000088040000}"/>
    <cellStyle name="Followed Hyperlink 2" xfId="3652" hidden="1" xr:uid="{00000000-0005-0000-0000-000089040000}"/>
    <cellStyle name="Followed Hyperlink 2" xfId="3655" hidden="1" xr:uid="{00000000-0005-0000-0000-00008A040000}"/>
    <cellStyle name="Followed Hyperlink 2" xfId="3659" hidden="1" xr:uid="{00000000-0005-0000-0000-00008B040000}"/>
    <cellStyle name="Followed Hyperlink 2" xfId="3668" hidden="1" xr:uid="{00000000-0005-0000-0000-00008C040000}"/>
    <cellStyle name="Followed Hyperlink 2" xfId="3665" hidden="1" xr:uid="{00000000-0005-0000-0000-00008D040000}"/>
    <cellStyle name="Followed Hyperlink 2" xfId="3663" hidden="1" xr:uid="{00000000-0005-0000-0000-00008E040000}"/>
    <cellStyle name="Followed Hyperlink 2" xfId="3664" hidden="1" xr:uid="{00000000-0005-0000-0000-00008F040000}"/>
    <cellStyle name="Followed Hyperlink 2" xfId="3674" hidden="1" xr:uid="{00000000-0005-0000-0000-000090040000}"/>
    <cellStyle name="Followed Hyperlink 2" xfId="3677" hidden="1" xr:uid="{00000000-0005-0000-0000-000091040000}"/>
    <cellStyle name="Followed Hyperlink 2" xfId="3680" hidden="1" xr:uid="{00000000-0005-0000-0000-000092040000}"/>
    <cellStyle name="Followed Hyperlink 2" xfId="3684" hidden="1" xr:uid="{00000000-0005-0000-0000-000093040000}"/>
    <cellStyle name="Followed Hyperlink 2" xfId="3692" hidden="1" xr:uid="{00000000-0005-0000-0000-000094040000}"/>
    <cellStyle name="Followed Hyperlink 2" xfId="3689" hidden="1" xr:uid="{00000000-0005-0000-0000-000095040000}"/>
    <cellStyle name="Followed Hyperlink 2" xfId="3687" hidden="1" xr:uid="{00000000-0005-0000-0000-000096040000}"/>
    <cellStyle name="Followed Hyperlink 2" xfId="3688" hidden="1" xr:uid="{00000000-0005-0000-0000-000097040000}"/>
    <cellStyle name="Followed Hyperlink 2" xfId="3698" hidden="1" xr:uid="{00000000-0005-0000-0000-000098040000}"/>
    <cellStyle name="Followed Hyperlink 2" xfId="3701" hidden="1" xr:uid="{00000000-0005-0000-0000-000099040000}"/>
    <cellStyle name="Followed Hyperlink 2" xfId="3704" hidden="1" xr:uid="{00000000-0005-0000-0000-00009A040000}"/>
    <cellStyle name="Followed Hyperlink 2" xfId="3708" hidden="1" xr:uid="{00000000-0005-0000-0000-00009B040000}"/>
    <cellStyle name="Followed Hyperlink 2" xfId="3439" hidden="1" xr:uid="{00000000-0005-0000-0000-00009C040000}"/>
    <cellStyle name="Followed Hyperlink 2" xfId="3435" hidden="1" xr:uid="{00000000-0005-0000-0000-00009D040000}"/>
    <cellStyle name="Followed Hyperlink 2" xfId="3436" hidden="1" xr:uid="{00000000-0005-0000-0000-00009E040000}"/>
    <cellStyle name="Followed Hyperlink 2" xfId="3423" hidden="1" xr:uid="{00000000-0005-0000-0000-00009F040000}"/>
    <cellStyle name="Followed Hyperlink 2" xfId="3711" hidden="1" xr:uid="{00000000-0005-0000-0000-0000A0040000}"/>
    <cellStyle name="Followed Hyperlink 2" xfId="3714" hidden="1" xr:uid="{00000000-0005-0000-0000-0000A1040000}"/>
    <cellStyle name="Followed Hyperlink 2" xfId="3717" hidden="1" xr:uid="{00000000-0005-0000-0000-0000A2040000}"/>
    <cellStyle name="Followed Hyperlink 2" xfId="3721" hidden="1" xr:uid="{00000000-0005-0000-0000-0000A3040000}"/>
    <cellStyle name="Followed Hyperlink 2" xfId="3729" hidden="1" xr:uid="{00000000-0005-0000-0000-0000A4040000}"/>
    <cellStyle name="Followed Hyperlink 2" xfId="3726" hidden="1" xr:uid="{00000000-0005-0000-0000-0000A5040000}"/>
    <cellStyle name="Followed Hyperlink 2" xfId="3724" hidden="1" xr:uid="{00000000-0005-0000-0000-0000A6040000}"/>
    <cellStyle name="Followed Hyperlink 2" xfId="3725" hidden="1" xr:uid="{00000000-0005-0000-0000-0000A7040000}"/>
    <cellStyle name="Followed Hyperlink 2" xfId="3735" hidden="1" xr:uid="{00000000-0005-0000-0000-0000A8040000}"/>
    <cellStyle name="Followed Hyperlink 2" xfId="3738" hidden="1" xr:uid="{00000000-0005-0000-0000-0000A9040000}"/>
    <cellStyle name="Followed Hyperlink 2" xfId="3741" hidden="1" xr:uid="{00000000-0005-0000-0000-0000AA040000}"/>
    <cellStyle name="Followed Hyperlink 2" xfId="3745" hidden="1" xr:uid="{00000000-0005-0000-0000-0000AB040000}"/>
    <cellStyle name="Followed Hyperlink 2" xfId="3753" hidden="1" xr:uid="{00000000-0005-0000-0000-0000AC040000}"/>
    <cellStyle name="Followed Hyperlink 2" xfId="3750" hidden="1" xr:uid="{00000000-0005-0000-0000-0000AD040000}"/>
    <cellStyle name="Followed Hyperlink 2" xfId="3748" hidden="1" xr:uid="{00000000-0005-0000-0000-0000AE040000}"/>
    <cellStyle name="Followed Hyperlink 2" xfId="3749" hidden="1" xr:uid="{00000000-0005-0000-0000-0000AF040000}"/>
    <cellStyle name="Followed Hyperlink 2" xfId="3759" hidden="1" xr:uid="{00000000-0005-0000-0000-0000B0040000}"/>
    <cellStyle name="Followed Hyperlink 2" xfId="3762" hidden="1" xr:uid="{00000000-0005-0000-0000-0000B1040000}"/>
    <cellStyle name="Followed Hyperlink 2" xfId="3765" hidden="1" xr:uid="{00000000-0005-0000-0000-0000B2040000}"/>
    <cellStyle name="Followed Hyperlink 2" xfId="3769" hidden="1" xr:uid="{00000000-0005-0000-0000-0000B3040000}"/>
    <cellStyle name="Followed Hyperlink 2" xfId="3777" hidden="1" xr:uid="{00000000-0005-0000-0000-0000B4040000}"/>
    <cellStyle name="Followed Hyperlink 2" xfId="3774" hidden="1" xr:uid="{00000000-0005-0000-0000-0000B5040000}"/>
    <cellStyle name="Followed Hyperlink 2" xfId="3772" hidden="1" xr:uid="{00000000-0005-0000-0000-0000B6040000}"/>
    <cellStyle name="Followed Hyperlink 2" xfId="3773" hidden="1" xr:uid="{00000000-0005-0000-0000-0000B7040000}"/>
    <cellStyle name="Followed Hyperlink 2" xfId="3783" hidden="1" xr:uid="{00000000-0005-0000-0000-0000B8040000}"/>
    <cellStyle name="Followed Hyperlink 2" xfId="3786" hidden="1" xr:uid="{00000000-0005-0000-0000-0000B9040000}"/>
    <cellStyle name="Followed Hyperlink 2" xfId="3789" hidden="1" xr:uid="{00000000-0005-0000-0000-0000BA040000}"/>
    <cellStyle name="Followed Hyperlink 2" xfId="3793" hidden="1" xr:uid="{00000000-0005-0000-0000-0000BB040000}"/>
    <cellStyle name="Followed Hyperlink 2" xfId="2834" hidden="1" xr:uid="{00000000-0005-0000-0000-0000BC040000}"/>
    <cellStyle name="Followed Hyperlink 2" xfId="2831" hidden="1" xr:uid="{00000000-0005-0000-0000-0000BD040000}"/>
    <cellStyle name="Followed Hyperlink 2" xfId="2825" hidden="1" xr:uid="{00000000-0005-0000-0000-0000BE040000}"/>
    <cellStyle name="Followed Hyperlink 2" xfId="2830" hidden="1" xr:uid="{00000000-0005-0000-0000-0000BF040000}"/>
    <cellStyle name="Followed Hyperlink 2" xfId="3796" hidden="1" xr:uid="{00000000-0005-0000-0000-0000C0040000}"/>
    <cellStyle name="Followed Hyperlink 2" xfId="3799" hidden="1" xr:uid="{00000000-0005-0000-0000-0000C1040000}"/>
    <cellStyle name="Followed Hyperlink 2" xfId="3802" hidden="1" xr:uid="{00000000-0005-0000-0000-0000C2040000}"/>
    <cellStyle name="Followed Hyperlink 2" xfId="3806" hidden="1" xr:uid="{00000000-0005-0000-0000-0000C3040000}"/>
    <cellStyle name="Followed Hyperlink 2" xfId="3814" hidden="1" xr:uid="{00000000-0005-0000-0000-0000C4040000}"/>
    <cellStyle name="Followed Hyperlink 2" xfId="3811" hidden="1" xr:uid="{00000000-0005-0000-0000-0000C5040000}"/>
    <cellStyle name="Followed Hyperlink 2" xfId="3809" hidden="1" xr:uid="{00000000-0005-0000-0000-0000C6040000}"/>
    <cellStyle name="Followed Hyperlink 2" xfId="3810" hidden="1" xr:uid="{00000000-0005-0000-0000-0000C7040000}"/>
    <cellStyle name="Followed Hyperlink 2" xfId="3820" hidden="1" xr:uid="{00000000-0005-0000-0000-0000C8040000}"/>
    <cellStyle name="Followed Hyperlink 2" xfId="3823" hidden="1" xr:uid="{00000000-0005-0000-0000-0000C9040000}"/>
    <cellStyle name="Followed Hyperlink 2" xfId="3826" hidden="1" xr:uid="{00000000-0005-0000-0000-0000CA040000}"/>
    <cellStyle name="Followed Hyperlink 2" xfId="3830" hidden="1" xr:uid="{00000000-0005-0000-0000-0000CB040000}"/>
    <cellStyle name="Followed Hyperlink 2" xfId="3839" hidden="1" xr:uid="{00000000-0005-0000-0000-0000CC040000}"/>
    <cellStyle name="Followed Hyperlink 2" xfId="3836" hidden="1" xr:uid="{00000000-0005-0000-0000-0000CD040000}"/>
    <cellStyle name="Followed Hyperlink 2" xfId="3834" hidden="1" xr:uid="{00000000-0005-0000-0000-0000CE040000}"/>
    <cellStyle name="Followed Hyperlink 2" xfId="3835" hidden="1" xr:uid="{00000000-0005-0000-0000-0000CF040000}"/>
    <cellStyle name="Followed Hyperlink 2" xfId="3845" hidden="1" xr:uid="{00000000-0005-0000-0000-0000D0040000}"/>
    <cellStyle name="Followed Hyperlink 2" xfId="3848" hidden="1" xr:uid="{00000000-0005-0000-0000-0000D1040000}"/>
    <cellStyle name="Followed Hyperlink 2" xfId="3851" hidden="1" xr:uid="{00000000-0005-0000-0000-0000D2040000}"/>
    <cellStyle name="Followed Hyperlink 2" xfId="3855" hidden="1" xr:uid="{00000000-0005-0000-0000-0000D3040000}"/>
    <cellStyle name="Followed Hyperlink 2" xfId="3863" hidden="1" xr:uid="{00000000-0005-0000-0000-0000D4040000}"/>
    <cellStyle name="Followed Hyperlink 2" xfId="3860" hidden="1" xr:uid="{00000000-0005-0000-0000-0000D5040000}"/>
    <cellStyle name="Followed Hyperlink 2" xfId="3858" hidden="1" xr:uid="{00000000-0005-0000-0000-0000D6040000}"/>
    <cellStyle name="Followed Hyperlink 2" xfId="3859" hidden="1" xr:uid="{00000000-0005-0000-0000-0000D7040000}"/>
    <cellStyle name="Followed Hyperlink 2" xfId="3869" hidden="1" xr:uid="{00000000-0005-0000-0000-0000D8040000}"/>
    <cellStyle name="Followed Hyperlink 2" xfId="3872" hidden="1" xr:uid="{00000000-0005-0000-0000-0000D9040000}"/>
    <cellStyle name="Followed Hyperlink 2" xfId="3875" hidden="1" xr:uid="{00000000-0005-0000-0000-0000DA040000}"/>
    <cellStyle name="Followed Hyperlink 2" xfId="3879" hidden="1" xr:uid="{00000000-0005-0000-0000-0000DB040000}"/>
    <cellStyle name="Followed Hyperlink 2" xfId="3916" hidden="1" xr:uid="{00000000-0005-0000-0000-0000DC040000}"/>
    <cellStyle name="Followed Hyperlink 2" xfId="3913" hidden="1" xr:uid="{00000000-0005-0000-0000-0000DD040000}"/>
    <cellStyle name="Followed Hyperlink 2" xfId="3911" hidden="1" xr:uid="{00000000-0005-0000-0000-0000DE040000}"/>
    <cellStyle name="Followed Hyperlink 2" xfId="3912" hidden="1" xr:uid="{00000000-0005-0000-0000-0000DF040000}"/>
    <cellStyle name="Followed Hyperlink 2" xfId="3922" hidden="1" xr:uid="{00000000-0005-0000-0000-0000E0040000}"/>
    <cellStyle name="Followed Hyperlink 2" xfId="3925" hidden="1" xr:uid="{00000000-0005-0000-0000-0000E1040000}"/>
    <cellStyle name="Followed Hyperlink 2" xfId="3928" hidden="1" xr:uid="{00000000-0005-0000-0000-0000E2040000}"/>
    <cellStyle name="Followed Hyperlink 2" xfId="3932" hidden="1" xr:uid="{00000000-0005-0000-0000-0000E3040000}"/>
    <cellStyle name="Followed Hyperlink 2" xfId="3940" hidden="1" xr:uid="{00000000-0005-0000-0000-0000E4040000}"/>
    <cellStyle name="Followed Hyperlink 2" xfId="3937" hidden="1" xr:uid="{00000000-0005-0000-0000-0000E5040000}"/>
    <cellStyle name="Followed Hyperlink 2" xfId="3935" hidden="1" xr:uid="{00000000-0005-0000-0000-0000E6040000}"/>
    <cellStyle name="Followed Hyperlink 2" xfId="3936" hidden="1" xr:uid="{00000000-0005-0000-0000-0000E7040000}"/>
    <cellStyle name="Followed Hyperlink 2" xfId="3946" hidden="1" xr:uid="{00000000-0005-0000-0000-0000E8040000}"/>
    <cellStyle name="Followed Hyperlink 2" xfId="3949" hidden="1" xr:uid="{00000000-0005-0000-0000-0000E9040000}"/>
    <cellStyle name="Followed Hyperlink 2" xfId="3952" hidden="1" xr:uid="{00000000-0005-0000-0000-0000EA040000}"/>
    <cellStyle name="Followed Hyperlink 2" xfId="3956" hidden="1" xr:uid="{00000000-0005-0000-0000-0000EB040000}"/>
    <cellStyle name="Followed Hyperlink 2" xfId="3966" hidden="1" xr:uid="{00000000-0005-0000-0000-0000EC040000}"/>
    <cellStyle name="Followed Hyperlink 2" xfId="3963" hidden="1" xr:uid="{00000000-0005-0000-0000-0000ED040000}"/>
    <cellStyle name="Followed Hyperlink 2" xfId="3961" hidden="1" xr:uid="{00000000-0005-0000-0000-0000EE040000}"/>
    <cellStyle name="Followed Hyperlink 2" xfId="3962" hidden="1" xr:uid="{00000000-0005-0000-0000-0000EF040000}"/>
    <cellStyle name="Followed Hyperlink 2" xfId="3972" hidden="1" xr:uid="{00000000-0005-0000-0000-0000F0040000}"/>
    <cellStyle name="Followed Hyperlink 2" xfId="3975" hidden="1" xr:uid="{00000000-0005-0000-0000-0000F1040000}"/>
    <cellStyle name="Followed Hyperlink 2" xfId="3978" hidden="1" xr:uid="{00000000-0005-0000-0000-0000F2040000}"/>
    <cellStyle name="Followed Hyperlink 2" xfId="3982" hidden="1" xr:uid="{00000000-0005-0000-0000-0000F3040000}"/>
    <cellStyle name="Followed Hyperlink 2" xfId="3990" hidden="1" xr:uid="{00000000-0005-0000-0000-0000F4040000}"/>
    <cellStyle name="Followed Hyperlink 2" xfId="3987" hidden="1" xr:uid="{00000000-0005-0000-0000-0000F5040000}"/>
    <cellStyle name="Followed Hyperlink 2" xfId="3985" hidden="1" xr:uid="{00000000-0005-0000-0000-0000F6040000}"/>
    <cellStyle name="Followed Hyperlink 2" xfId="3986" hidden="1" xr:uid="{00000000-0005-0000-0000-0000F7040000}"/>
    <cellStyle name="Followed Hyperlink 2" xfId="3996" hidden="1" xr:uid="{00000000-0005-0000-0000-0000F8040000}"/>
    <cellStyle name="Followed Hyperlink 2" xfId="3999" hidden="1" xr:uid="{00000000-0005-0000-0000-0000F9040000}"/>
    <cellStyle name="Followed Hyperlink 2" xfId="4002" hidden="1" xr:uid="{00000000-0005-0000-0000-0000FA040000}"/>
    <cellStyle name="Followed Hyperlink 2" xfId="4006" hidden="1" xr:uid="{00000000-0005-0000-0000-0000FB040000}"/>
    <cellStyle name="Followed Hyperlink 2" xfId="3883" hidden="1" xr:uid="{00000000-0005-0000-0000-0000FC040000}"/>
    <cellStyle name="Followed Hyperlink 2" xfId="3887" hidden="1" xr:uid="{00000000-0005-0000-0000-0000FD040000}"/>
    <cellStyle name="Followed Hyperlink 2" xfId="3882" hidden="1" xr:uid="{00000000-0005-0000-0000-0000FE040000}"/>
    <cellStyle name="Followed Hyperlink 2" xfId="3888" hidden="1" xr:uid="{00000000-0005-0000-0000-0000FF040000}"/>
    <cellStyle name="Followed Hyperlink 2" xfId="4009" hidden="1" xr:uid="{00000000-0005-0000-0000-000000050000}"/>
    <cellStyle name="Followed Hyperlink 2" xfId="4012" hidden="1" xr:uid="{00000000-0005-0000-0000-000001050000}"/>
    <cellStyle name="Followed Hyperlink 2" xfId="4015" hidden="1" xr:uid="{00000000-0005-0000-0000-000002050000}"/>
    <cellStyle name="Followed Hyperlink 2" xfId="4019" hidden="1" xr:uid="{00000000-0005-0000-0000-000003050000}"/>
    <cellStyle name="Followed Hyperlink 2" xfId="4027" hidden="1" xr:uid="{00000000-0005-0000-0000-000004050000}"/>
    <cellStyle name="Followed Hyperlink 2" xfId="4024" hidden="1" xr:uid="{00000000-0005-0000-0000-000005050000}"/>
    <cellStyle name="Followed Hyperlink 2" xfId="4022" hidden="1" xr:uid="{00000000-0005-0000-0000-000006050000}"/>
    <cellStyle name="Followed Hyperlink 2" xfId="4023" hidden="1" xr:uid="{00000000-0005-0000-0000-000007050000}"/>
    <cellStyle name="Followed Hyperlink 2" xfId="4033" hidden="1" xr:uid="{00000000-0005-0000-0000-000008050000}"/>
    <cellStyle name="Followed Hyperlink 2" xfId="4036" hidden="1" xr:uid="{00000000-0005-0000-0000-000009050000}"/>
    <cellStyle name="Followed Hyperlink 2" xfId="4039" hidden="1" xr:uid="{00000000-0005-0000-0000-00000A050000}"/>
    <cellStyle name="Followed Hyperlink 2" xfId="4043" hidden="1" xr:uid="{00000000-0005-0000-0000-00000B050000}"/>
    <cellStyle name="Followed Hyperlink 2" xfId="4052" hidden="1" xr:uid="{00000000-0005-0000-0000-00000C050000}"/>
    <cellStyle name="Followed Hyperlink 2" xfId="4049" hidden="1" xr:uid="{00000000-0005-0000-0000-00000D050000}"/>
    <cellStyle name="Followed Hyperlink 2" xfId="4047" hidden="1" xr:uid="{00000000-0005-0000-0000-00000E050000}"/>
    <cellStyle name="Followed Hyperlink 2" xfId="4048" hidden="1" xr:uid="{00000000-0005-0000-0000-00000F050000}"/>
    <cellStyle name="Followed Hyperlink 2" xfId="4058" hidden="1" xr:uid="{00000000-0005-0000-0000-000010050000}"/>
    <cellStyle name="Followed Hyperlink 2" xfId="4061" hidden="1" xr:uid="{00000000-0005-0000-0000-000011050000}"/>
    <cellStyle name="Followed Hyperlink 2" xfId="4064" hidden="1" xr:uid="{00000000-0005-0000-0000-000012050000}"/>
    <cellStyle name="Followed Hyperlink 2" xfId="4068" hidden="1" xr:uid="{00000000-0005-0000-0000-000013050000}"/>
    <cellStyle name="Followed Hyperlink 2" xfId="4076" hidden="1" xr:uid="{00000000-0005-0000-0000-000014050000}"/>
    <cellStyle name="Followed Hyperlink 2" xfId="4073" hidden="1" xr:uid="{00000000-0005-0000-0000-000015050000}"/>
    <cellStyle name="Followed Hyperlink 2" xfId="4071" hidden="1" xr:uid="{00000000-0005-0000-0000-000016050000}"/>
    <cellStyle name="Followed Hyperlink 2" xfId="4072" hidden="1" xr:uid="{00000000-0005-0000-0000-000017050000}"/>
    <cellStyle name="Followed Hyperlink 2" xfId="4082" hidden="1" xr:uid="{00000000-0005-0000-0000-000018050000}"/>
    <cellStyle name="Followed Hyperlink 2" xfId="4085" hidden="1" xr:uid="{00000000-0005-0000-0000-000019050000}"/>
    <cellStyle name="Followed Hyperlink 2" xfId="4088" hidden="1" xr:uid="{00000000-0005-0000-0000-00001A050000}"/>
    <cellStyle name="Followed Hyperlink 2" xfId="4092" hidden="1" xr:uid="{00000000-0005-0000-0000-00001B050000}"/>
    <cellStyle name="Followed Hyperlink 2" xfId="3901" hidden="1" xr:uid="{00000000-0005-0000-0000-00001C050000}"/>
    <cellStyle name="Followed Hyperlink 2" xfId="3898" hidden="1" xr:uid="{00000000-0005-0000-0000-00001D050000}"/>
    <cellStyle name="Followed Hyperlink 2" xfId="3892" hidden="1" xr:uid="{00000000-0005-0000-0000-00001E050000}"/>
    <cellStyle name="Followed Hyperlink 2" xfId="3897" hidden="1" xr:uid="{00000000-0005-0000-0000-00001F050000}"/>
    <cellStyle name="Followed Hyperlink 2" xfId="4095" hidden="1" xr:uid="{00000000-0005-0000-0000-000020050000}"/>
    <cellStyle name="Followed Hyperlink 2" xfId="4098" hidden="1" xr:uid="{00000000-0005-0000-0000-000021050000}"/>
    <cellStyle name="Followed Hyperlink 2" xfId="4101" hidden="1" xr:uid="{00000000-0005-0000-0000-000022050000}"/>
    <cellStyle name="Followed Hyperlink 2" xfId="4105" hidden="1" xr:uid="{00000000-0005-0000-0000-000023050000}"/>
    <cellStyle name="Followed Hyperlink 2" xfId="4113" hidden="1" xr:uid="{00000000-0005-0000-0000-000024050000}"/>
    <cellStyle name="Followed Hyperlink 2" xfId="4110" hidden="1" xr:uid="{00000000-0005-0000-0000-000025050000}"/>
    <cellStyle name="Followed Hyperlink 2" xfId="4108" hidden="1" xr:uid="{00000000-0005-0000-0000-000026050000}"/>
    <cellStyle name="Followed Hyperlink 2" xfId="4109" hidden="1" xr:uid="{00000000-0005-0000-0000-000027050000}"/>
    <cellStyle name="Followed Hyperlink 2" xfId="4119" hidden="1" xr:uid="{00000000-0005-0000-0000-000028050000}"/>
    <cellStyle name="Followed Hyperlink 2" xfId="4122" hidden="1" xr:uid="{00000000-0005-0000-0000-000029050000}"/>
    <cellStyle name="Followed Hyperlink 2" xfId="4125" hidden="1" xr:uid="{00000000-0005-0000-0000-00002A050000}"/>
    <cellStyle name="Followed Hyperlink 2" xfId="4129" hidden="1" xr:uid="{00000000-0005-0000-0000-00002B050000}"/>
    <cellStyle name="Followed Hyperlink 2" xfId="4138" hidden="1" xr:uid="{00000000-0005-0000-0000-00002C050000}"/>
    <cellStyle name="Followed Hyperlink 2" xfId="4135" hidden="1" xr:uid="{00000000-0005-0000-0000-00002D050000}"/>
    <cellStyle name="Followed Hyperlink 2" xfId="4133" hidden="1" xr:uid="{00000000-0005-0000-0000-00002E050000}"/>
    <cellStyle name="Followed Hyperlink 2" xfId="4134" hidden="1" xr:uid="{00000000-0005-0000-0000-00002F050000}"/>
    <cellStyle name="Followed Hyperlink 2" xfId="4144" hidden="1" xr:uid="{00000000-0005-0000-0000-000030050000}"/>
    <cellStyle name="Followed Hyperlink 2" xfId="4147" hidden="1" xr:uid="{00000000-0005-0000-0000-000031050000}"/>
    <cellStyle name="Followed Hyperlink 2" xfId="4150" hidden="1" xr:uid="{00000000-0005-0000-0000-000032050000}"/>
    <cellStyle name="Followed Hyperlink 2" xfId="4154" hidden="1" xr:uid="{00000000-0005-0000-0000-000033050000}"/>
    <cellStyle name="Followed Hyperlink 2" xfId="4162" hidden="1" xr:uid="{00000000-0005-0000-0000-000034050000}"/>
    <cellStyle name="Followed Hyperlink 2" xfId="4159" hidden="1" xr:uid="{00000000-0005-0000-0000-000035050000}"/>
    <cellStyle name="Followed Hyperlink 2" xfId="4157" hidden="1" xr:uid="{00000000-0005-0000-0000-000036050000}"/>
    <cellStyle name="Followed Hyperlink 2" xfId="4158" hidden="1" xr:uid="{00000000-0005-0000-0000-000037050000}"/>
    <cellStyle name="Followed Hyperlink 2" xfId="4168" hidden="1" xr:uid="{00000000-0005-0000-0000-000038050000}"/>
    <cellStyle name="Followed Hyperlink 2" xfId="4171" hidden="1" xr:uid="{00000000-0005-0000-0000-000039050000}"/>
    <cellStyle name="Followed Hyperlink 2" xfId="4174" hidden="1" xr:uid="{00000000-0005-0000-0000-00003A050000}"/>
    <cellStyle name="Followed Hyperlink 2" xfId="4178" hidden="1" xr:uid="{00000000-0005-0000-0000-00003B050000}"/>
    <cellStyle name="Followed Hyperlink 2" xfId="3909" hidden="1" xr:uid="{00000000-0005-0000-0000-00003C050000}"/>
    <cellStyle name="Followed Hyperlink 2" xfId="3905" hidden="1" xr:uid="{00000000-0005-0000-0000-00003D050000}"/>
    <cellStyle name="Followed Hyperlink 2" xfId="3906" hidden="1" xr:uid="{00000000-0005-0000-0000-00003E050000}"/>
    <cellStyle name="Followed Hyperlink 2" xfId="3893" hidden="1" xr:uid="{00000000-0005-0000-0000-00003F050000}"/>
    <cellStyle name="Followed Hyperlink 2" xfId="4181" hidden="1" xr:uid="{00000000-0005-0000-0000-000040050000}"/>
    <cellStyle name="Followed Hyperlink 2" xfId="4184" hidden="1" xr:uid="{00000000-0005-0000-0000-000041050000}"/>
    <cellStyle name="Followed Hyperlink 2" xfId="4187" hidden="1" xr:uid="{00000000-0005-0000-0000-000042050000}"/>
    <cellStyle name="Followed Hyperlink 2" xfId="4191" hidden="1" xr:uid="{00000000-0005-0000-0000-000043050000}"/>
    <cellStyle name="Followed Hyperlink 2" xfId="4199" hidden="1" xr:uid="{00000000-0005-0000-0000-000044050000}"/>
    <cellStyle name="Followed Hyperlink 2" xfId="4196" hidden="1" xr:uid="{00000000-0005-0000-0000-000045050000}"/>
    <cellStyle name="Followed Hyperlink 2" xfId="4194" hidden="1" xr:uid="{00000000-0005-0000-0000-000046050000}"/>
    <cellStyle name="Followed Hyperlink 2" xfId="4195" hidden="1" xr:uid="{00000000-0005-0000-0000-000047050000}"/>
    <cellStyle name="Followed Hyperlink 2" xfId="4205" hidden="1" xr:uid="{00000000-0005-0000-0000-000048050000}"/>
    <cellStyle name="Followed Hyperlink 2" xfId="4208" hidden="1" xr:uid="{00000000-0005-0000-0000-000049050000}"/>
    <cellStyle name="Followed Hyperlink 2" xfId="4211" hidden="1" xr:uid="{00000000-0005-0000-0000-00004A050000}"/>
    <cellStyle name="Followed Hyperlink 2" xfId="4215" hidden="1" xr:uid="{00000000-0005-0000-0000-00004B050000}"/>
    <cellStyle name="Followed Hyperlink 2" xfId="4223" hidden="1" xr:uid="{00000000-0005-0000-0000-00004C050000}"/>
    <cellStyle name="Followed Hyperlink 2" xfId="4220" hidden="1" xr:uid="{00000000-0005-0000-0000-00004D050000}"/>
    <cellStyle name="Followed Hyperlink 2" xfId="4218" hidden="1" xr:uid="{00000000-0005-0000-0000-00004E050000}"/>
    <cellStyle name="Followed Hyperlink 2" xfId="4219" hidden="1" xr:uid="{00000000-0005-0000-0000-00004F050000}"/>
    <cellStyle name="Followed Hyperlink 2" xfId="4229" hidden="1" xr:uid="{00000000-0005-0000-0000-000050050000}"/>
    <cellStyle name="Followed Hyperlink 2" xfId="4232" hidden="1" xr:uid="{00000000-0005-0000-0000-000051050000}"/>
    <cellStyle name="Followed Hyperlink 2" xfId="4235" hidden="1" xr:uid="{00000000-0005-0000-0000-000052050000}"/>
    <cellStyle name="Followed Hyperlink 2" xfId="4239" hidden="1" xr:uid="{00000000-0005-0000-0000-000053050000}"/>
    <cellStyle name="Followed Hyperlink 2" xfId="4247" hidden="1" xr:uid="{00000000-0005-0000-0000-000054050000}"/>
    <cellStyle name="Followed Hyperlink 2" xfId="4244" hidden="1" xr:uid="{00000000-0005-0000-0000-000055050000}"/>
    <cellStyle name="Followed Hyperlink 2" xfId="4242" hidden="1" xr:uid="{00000000-0005-0000-0000-000056050000}"/>
    <cellStyle name="Followed Hyperlink 2" xfId="4243" hidden="1" xr:uid="{00000000-0005-0000-0000-000057050000}"/>
    <cellStyle name="Followed Hyperlink 2" xfId="4253" hidden="1" xr:uid="{00000000-0005-0000-0000-000058050000}"/>
    <cellStyle name="Followed Hyperlink 2" xfId="4256" hidden="1" xr:uid="{00000000-0005-0000-0000-000059050000}"/>
    <cellStyle name="Followed Hyperlink 2" xfId="4259" hidden="1" xr:uid="{00000000-0005-0000-0000-00005A050000}"/>
    <cellStyle name="Followed Hyperlink 2" xfId="4263" hidden="1" xr:uid="{00000000-0005-0000-0000-00005B050000}"/>
    <cellStyle name="Followed Hyperlink 2" xfId="2842" hidden="1" xr:uid="{00000000-0005-0000-0000-00005C050000}"/>
    <cellStyle name="Followed Hyperlink 2" xfId="2838" hidden="1" xr:uid="{00000000-0005-0000-0000-00005D050000}"/>
    <cellStyle name="Followed Hyperlink 2" xfId="2839" hidden="1" xr:uid="{00000000-0005-0000-0000-00005E050000}"/>
    <cellStyle name="Followed Hyperlink 2" xfId="2826" hidden="1" xr:uid="{00000000-0005-0000-0000-00005F050000}"/>
    <cellStyle name="Followed Hyperlink 2" xfId="4266" hidden="1" xr:uid="{00000000-0005-0000-0000-000060050000}"/>
    <cellStyle name="Followed Hyperlink 2" xfId="4269" hidden="1" xr:uid="{00000000-0005-0000-0000-000061050000}"/>
    <cellStyle name="Followed Hyperlink 2" xfId="4272" hidden="1" xr:uid="{00000000-0005-0000-0000-000062050000}"/>
    <cellStyle name="Followed Hyperlink 2" xfId="4276" hidden="1" xr:uid="{00000000-0005-0000-0000-000063050000}"/>
    <cellStyle name="Followed Hyperlink 2" xfId="4284" hidden="1" xr:uid="{00000000-0005-0000-0000-000064050000}"/>
    <cellStyle name="Followed Hyperlink 2" xfId="4281" hidden="1" xr:uid="{00000000-0005-0000-0000-000065050000}"/>
    <cellStyle name="Followed Hyperlink 2" xfId="4279" hidden="1" xr:uid="{00000000-0005-0000-0000-000066050000}"/>
    <cellStyle name="Followed Hyperlink 2" xfId="4280" hidden="1" xr:uid="{00000000-0005-0000-0000-000067050000}"/>
    <cellStyle name="Followed Hyperlink 2" xfId="4290" hidden="1" xr:uid="{00000000-0005-0000-0000-000068050000}"/>
    <cellStyle name="Followed Hyperlink 2" xfId="4293" hidden="1" xr:uid="{00000000-0005-0000-0000-000069050000}"/>
    <cellStyle name="Followed Hyperlink 2" xfId="4296" hidden="1" xr:uid="{00000000-0005-0000-0000-00006A050000}"/>
    <cellStyle name="Followed Hyperlink 2" xfId="4300" hidden="1" xr:uid="{00000000-0005-0000-0000-00006B050000}"/>
    <cellStyle name="Followed Hyperlink 2" xfId="4308" hidden="1" xr:uid="{00000000-0005-0000-0000-00006C050000}"/>
    <cellStyle name="Followed Hyperlink 2" xfId="4305" hidden="1" xr:uid="{00000000-0005-0000-0000-00006D050000}"/>
    <cellStyle name="Followed Hyperlink 2" xfId="4303" hidden="1" xr:uid="{00000000-0005-0000-0000-00006E050000}"/>
    <cellStyle name="Followed Hyperlink 2" xfId="4304" hidden="1" xr:uid="{00000000-0005-0000-0000-00006F050000}"/>
    <cellStyle name="Followed Hyperlink 2" xfId="4314" hidden="1" xr:uid="{00000000-0005-0000-0000-000070050000}"/>
    <cellStyle name="Followed Hyperlink 2" xfId="4317" hidden="1" xr:uid="{00000000-0005-0000-0000-000071050000}"/>
    <cellStyle name="Followed Hyperlink 2" xfId="4320" hidden="1" xr:uid="{00000000-0005-0000-0000-000072050000}"/>
    <cellStyle name="Followed Hyperlink 2" xfId="4324" hidden="1" xr:uid="{00000000-0005-0000-0000-000073050000}"/>
    <cellStyle name="Followed Hyperlink 2" xfId="4332" hidden="1" xr:uid="{00000000-0005-0000-0000-000074050000}"/>
    <cellStyle name="Followed Hyperlink 2" xfId="4329" hidden="1" xr:uid="{00000000-0005-0000-0000-000075050000}"/>
    <cellStyle name="Followed Hyperlink 2" xfId="4327" hidden="1" xr:uid="{00000000-0005-0000-0000-000076050000}"/>
    <cellStyle name="Followed Hyperlink 2" xfId="4328" hidden="1" xr:uid="{00000000-0005-0000-0000-000077050000}"/>
    <cellStyle name="Followed Hyperlink 2" xfId="4338" hidden="1" xr:uid="{00000000-0005-0000-0000-000078050000}"/>
    <cellStyle name="Followed Hyperlink 2" xfId="4341" hidden="1" xr:uid="{00000000-0005-0000-0000-000079050000}"/>
    <cellStyle name="Followed Hyperlink 2" xfId="4344" hidden="1" xr:uid="{00000000-0005-0000-0000-00007A050000}"/>
    <cellStyle name="Followed Hyperlink 2" xfId="4348" hidden="1" xr:uid="{00000000-0005-0000-0000-00007B050000}"/>
    <cellStyle name="Followed Hyperlink 2" xfId="4385" hidden="1" xr:uid="{00000000-0005-0000-0000-00007C050000}"/>
    <cellStyle name="Followed Hyperlink 2" xfId="4382" hidden="1" xr:uid="{00000000-0005-0000-0000-00007D050000}"/>
    <cellStyle name="Followed Hyperlink 2" xfId="4380" hidden="1" xr:uid="{00000000-0005-0000-0000-00007E050000}"/>
    <cellStyle name="Followed Hyperlink 2" xfId="4381" hidden="1" xr:uid="{00000000-0005-0000-0000-00007F050000}"/>
    <cellStyle name="Followed Hyperlink 2" xfId="4391" hidden="1" xr:uid="{00000000-0005-0000-0000-000080050000}"/>
    <cellStyle name="Followed Hyperlink 2" xfId="4394" hidden="1" xr:uid="{00000000-0005-0000-0000-000081050000}"/>
    <cellStyle name="Followed Hyperlink 2" xfId="4397" hidden="1" xr:uid="{00000000-0005-0000-0000-000082050000}"/>
    <cellStyle name="Followed Hyperlink 2" xfId="4401" hidden="1" xr:uid="{00000000-0005-0000-0000-000083050000}"/>
    <cellStyle name="Followed Hyperlink 2" xfId="4409" hidden="1" xr:uid="{00000000-0005-0000-0000-000084050000}"/>
    <cellStyle name="Followed Hyperlink 2" xfId="4406" hidden="1" xr:uid="{00000000-0005-0000-0000-000085050000}"/>
    <cellStyle name="Followed Hyperlink 2" xfId="4404" hidden="1" xr:uid="{00000000-0005-0000-0000-000086050000}"/>
    <cellStyle name="Followed Hyperlink 2" xfId="4405" hidden="1" xr:uid="{00000000-0005-0000-0000-000087050000}"/>
    <cellStyle name="Followed Hyperlink 2" xfId="4415" hidden="1" xr:uid="{00000000-0005-0000-0000-000088050000}"/>
    <cellStyle name="Followed Hyperlink 2" xfId="4418" hidden="1" xr:uid="{00000000-0005-0000-0000-000089050000}"/>
    <cellStyle name="Followed Hyperlink 2" xfId="4421" hidden="1" xr:uid="{00000000-0005-0000-0000-00008A050000}"/>
    <cellStyle name="Followed Hyperlink 2" xfId="4425" hidden="1" xr:uid="{00000000-0005-0000-0000-00008B050000}"/>
    <cellStyle name="Followed Hyperlink 2" xfId="4435" hidden="1" xr:uid="{00000000-0005-0000-0000-00008C050000}"/>
    <cellStyle name="Followed Hyperlink 2" xfId="4432" hidden="1" xr:uid="{00000000-0005-0000-0000-00008D050000}"/>
    <cellStyle name="Followed Hyperlink 2" xfId="4430" hidden="1" xr:uid="{00000000-0005-0000-0000-00008E050000}"/>
    <cellStyle name="Followed Hyperlink 2" xfId="4431" hidden="1" xr:uid="{00000000-0005-0000-0000-00008F050000}"/>
    <cellStyle name="Followed Hyperlink 2" xfId="4441" hidden="1" xr:uid="{00000000-0005-0000-0000-000090050000}"/>
    <cellStyle name="Followed Hyperlink 2" xfId="4444" hidden="1" xr:uid="{00000000-0005-0000-0000-000091050000}"/>
    <cellStyle name="Followed Hyperlink 2" xfId="4447" hidden="1" xr:uid="{00000000-0005-0000-0000-000092050000}"/>
    <cellStyle name="Followed Hyperlink 2" xfId="4451" hidden="1" xr:uid="{00000000-0005-0000-0000-000093050000}"/>
    <cellStyle name="Followed Hyperlink 2" xfId="4459" hidden="1" xr:uid="{00000000-0005-0000-0000-000094050000}"/>
    <cellStyle name="Followed Hyperlink 2" xfId="4456" hidden="1" xr:uid="{00000000-0005-0000-0000-000095050000}"/>
    <cellStyle name="Followed Hyperlink 2" xfId="4454" hidden="1" xr:uid="{00000000-0005-0000-0000-000096050000}"/>
    <cellStyle name="Followed Hyperlink 2" xfId="4455" hidden="1" xr:uid="{00000000-0005-0000-0000-000097050000}"/>
    <cellStyle name="Followed Hyperlink 2" xfId="4465" hidden="1" xr:uid="{00000000-0005-0000-0000-000098050000}"/>
    <cellStyle name="Followed Hyperlink 2" xfId="4468" hidden="1" xr:uid="{00000000-0005-0000-0000-000099050000}"/>
    <cellStyle name="Followed Hyperlink 2" xfId="4471" hidden="1" xr:uid="{00000000-0005-0000-0000-00009A050000}"/>
    <cellStyle name="Followed Hyperlink 2" xfId="4475" hidden="1" xr:uid="{00000000-0005-0000-0000-00009B050000}"/>
    <cellStyle name="Followed Hyperlink 2" xfId="4352" hidden="1" xr:uid="{00000000-0005-0000-0000-00009C050000}"/>
    <cellStyle name="Followed Hyperlink 2" xfId="4356" hidden="1" xr:uid="{00000000-0005-0000-0000-00009D050000}"/>
    <cellStyle name="Followed Hyperlink 2" xfId="4351" hidden="1" xr:uid="{00000000-0005-0000-0000-00009E050000}"/>
    <cellStyle name="Followed Hyperlink 2" xfId="4357" hidden="1" xr:uid="{00000000-0005-0000-0000-00009F050000}"/>
    <cellStyle name="Followed Hyperlink 2" xfId="4478" hidden="1" xr:uid="{00000000-0005-0000-0000-0000A0050000}"/>
    <cellStyle name="Followed Hyperlink 2" xfId="4481" hidden="1" xr:uid="{00000000-0005-0000-0000-0000A1050000}"/>
    <cellStyle name="Followed Hyperlink 2" xfId="4484" hidden="1" xr:uid="{00000000-0005-0000-0000-0000A2050000}"/>
    <cellStyle name="Followed Hyperlink 2" xfId="4488" hidden="1" xr:uid="{00000000-0005-0000-0000-0000A3050000}"/>
    <cellStyle name="Followed Hyperlink 2" xfId="4496" hidden="1" xr:uid="{00000000-0005-0000-0000-0000A4050000}"/>
    <cellStyle name="Followed Hyperlink 2" xfId="4493" hidden="1" xr:uid="{00000000-0005-0000-0000-0000A5050000}"/>
    <cellStyle name="Followed Hyperlink 2" xfId="4491" hidden="1" xr:uid="{00000000-0005-0000-0000-0000A6050000}"/>
    <cellStyle name="Followed Hyperlink 2" xfId="4492" hidden="1" xr:uid="{00000000-0005-0000-0000-0000A7050000}"/>
    <cellStyle name="Followed Hyperlink 2" xfId="4502" hidden="1" xr:uid="{00000000-0005-0000-0000-0000A8050000}"/>
    <cellStyle name="Followed Hyperlink 2" xfId="4505" hidden="1" xr:uid="{00000000-0005-0000-0000-0000A9050000}"/>
    <cellStyle name="Followed Hyperlink 2" xfId="4508" hidden="1" xr:uid="{00000000-0005-0000-0000-0000AA050000}"/>
    <cellStyle name="Followed Hyperlink 2" xfId="4512" hidden="1" xr:uid="{00000000-0005-0000-0000-0000AB050000}"/>
    <cellStyle name="Followed Hyperlink 2" xfId="4521" hidden="1" xr:uid="{00000000-0005-0000-0000-0000AC050000}"/>
    <cellStyle name="Followed Hyperlink 2" xfId="4518" hidden="1" xr:uid="{00000000-0005-0000-0000-0000AD050000}"/>
    <cellStyle name="Followed Hyperlink 2" xfId="4516" hidden="1" xr:uid="{00000000-0005-0000-0000-0000AE050000}"/>
    <cellStyle name="Followed Hyperlink 2" xfId="4517" hidden="1" xr:uid="{00000000-0005-0000-0000-0000AF050000}"/>
    <cellStyle name="Followed Hyperlink 2" xfId="4527" hidden="1" xr:uid="{00000000-0005-0000-0000-0000B0050000}"/>
    <cellStyle name="Followed Hyperlink 2" xfId="4530" hidden="1" xr:uid="{00000000-0005-0000-0000-0000B1050000}"/>
    <cellStyle name="Followed Hyperlink 2" xfId="4533" hidden="1" xr:uid="{00000000-0005-0000-0000-0000B2050000}"/>
    <cellStyle name="Followed Hyperlink 2" xfId="4537" hidden="1" xr:uid="{00000000-0005-0000-0000-0000B3050000}"/>
    <cellStyle name="Followed Hyperlink 2" xfId="4545" hidden="1" xr:uid="{00000000-0005-0000-0000-0000B4050000}"/>
    <cellStyle name="Followed Hyperlink 2" xfId="4542" hidden="1" xr:uid="{00000000-0005-0000-0000-0000B5050000}"/>
    <cellStyle name="Followed Hyperlink 2" xfId="4540" hidden="1" xr:uid="{00000000-0005-0000-0000-0000B6050000}"/>
    <cellStyle name="Followed Hyperlink 2" xfId="4541" hidden="1" xr:uid="{00000000-0005-0000-0000-0000B7050000}"/>
    <cellStyle name="Followed Hyperlink 2" xfId="4551" hidden="1" xr:uid="{00000000-0005-0000-0000-0000B8050000}"/>
    <cellStyle name="Followed Hyperlink 2" xfId="4554" hidden="1" xr:uid="{00000000-0005-0000-0000-0000B9050000}"/>
    <cellStyle name="Followed Hyperlink 2" xfId="4557" hidden="1" xr:uid="{00000000-0005-0000-0000-0000BA050000}"/>
    <cellStyle name="Followed Hyperlink 2" xfId="4561" hidden="1" xr:uid="{00000000-0005-0000-0000-0000BB050000}"/>
    <cellStyle name="Followed Hyperlink 2" xfId="4370" hidden="1" xr:uid="{00000000-0005-0000-0000-0000BC050000}"/>
    <cellStyle name="Followed Hyperlink 2" xfId="4367" hidden="1" xr:uid="{00000000-0005-0000-0000-0000BD050000}"/>
    <cellStyle name="Followed Hyperlink 2" xfId="4361" hidden="1" xr:uid="{00000000-0005-0000-0000-0000BE050000}"/>
    <cellStyle name="Followed Hyperlink 2" xfId="4366" hidden="1" xr:uid="{00000000-0005-0000-0000-0000BF050000}"/>
    <cellStyle name="Followed Hyperlink 2" xfId="4564" hidden="1" xr:uid="{00000000-0005-0000-0000-0000C0050000}"/>
    <cellStyle name="Followed Hyperlink 2" xfId="4567" hidden="1" xr:uid="{00000000-0005-0000-0000-0000C1050000}"/>
    <cellStyle name="Followed Hyperlink 2" xfId="4570" hidden="1" xr:uid="{00000000-0005-0000-0000-0000C2050000}"/>
    <cellStyle name="Followed Hyperlink 2" xfId="4574" hidden="1" xr:uid="{00000000-0005-0000-0000-0000C3050000}"/>
    <cellStyle name="Followed Hyperlink 2" xfId="4582" hidden="1" xr:uid="{00000000-0005-0000-0000-0000C4050000}"/>
    <cellStyle name="Followed Hyperlink 2" xfId="4579" hidden="1" xr:uid="{00000000-0005-0000-0000-0000C5050000}"/>
    <cellStyle name="Followed Hyperlink 2" xfId="4577" hidden="1" xr:uid="{00000000-0005-0000-0000-0000C6050000}"/>
    <cellStyle name="Followed Hyperlink 2" xfId="4578" hidden="1" xr:uid="{00000000-0005-0000-0000-0000C7050000}"/>
    <cellStyle name="Followed Hyperlink 2" xfId="4588" hidden="1" xr:uid="{00000000-0005-0000-0000-0000C8050000}"/>
    <cellStyle name="Followed Hyperlink 2" xfId="4591" hidden="1" xr:uid="{00000000-0005-0000-0000-0000C9050000}"/>
    <cellStyle name="Followed Hyperlink 2" xfId="4594" hidden="1" xr:uid="{00000000-0005-0000-0000-0000CA050000}"/>
    <cellStyle name="Followed Hyperlink 2" xfId="4598" hidden="1" xr:uid="{00000000-0005-0000-0000-0000CB050000}"/>
    <cellStyle name="Followed Hyperlink 2" xfId="4607" hidden="1" xr:uid="{00000000-0005-0000-0000-0000CC050000}"/>
    <cellStyle name="Followed Hyperlink 2" xfId="4604" hidden="1" xr:uid="{00000000-0005-0000-0000-0000CD050000}"/>
    <cellStyle name="Followed Hyperlink 2" xfId="4602" hidden="1" xr:uid="{00000000-0005-0000-0000-0000CE050000}"/>
    <cellStyle name="Followed Hyperlink 2" xfId="4603" hidden="1" xr:uid="{00000000-0005-0000-0000-0000CF050000}"/>
    <cellStyle name="Followed Hyperlink 2" xfId="4613" hidden="1" xr:uid="{00000000-0005-0000-0000-0000D0050000}"/>
    <cellStyle name="Followed Hyperlink 2" xfId="4616" hidden="1" xr:uid="{00000000-0005-0000-0000-0000D1050000}"/>
    <cellStyle name="Followed Hyperlink 2" xfId="4619" hidden="1" xr:uid="{00000000-0005-0000-0000-0000D2050000}"/>
    <cellStyle name="Followed Hyperlink 2" xfId="4623" hidden="1" xr:uid="{00000000-0005-0000-0000-0000D3050000}"/>
    <cellStyle name="Followed Hyperlink 2" xfId="4631" hidden="1" xr:uid="{00000000-0005-0000-0000-0000D4050000}"/>
    <cellStyle name="Followed Hyperlink 2" xfId="4628" hidden="1" xr:uid="{00000000-0005-0000-0000-0000D5050000}"/>
    <cellStyle name="Followed Hyperlink 2" xfId="4626" hidden="1" xr:uid="{00000000-0005-0000-0000-0000D6050000}"/>
    <cellStyle name="Followed Hyperlink 2" xfId="4627" hidden="1" xr:uid="{00000000-0005-0000-0000-0000D7050000}"/>
    <cellStyle name="Followed Hyperlink 2" xfId="4637" hidden="1" xr:uid="{00000000-0005-0000-0000-0000D8050000}"/>
    <cellStyle name="Followed Hyperlink 2" xfId="4640" hidden="1" xr:uid="{00000000-0005-0000-0000-0000D9050000}"/>
    <cellStyle name="Followed Hyperlink 2" xfId="4643" hidden="1" xr:uid="{00000000-0005-0000-0000-0000DA050000}"/>
    <cellStyle name="Followed Hyperlink 2" xfId="4647" hidden="1" xr:uid="{00000000-0005-0000-0000-0000DB050000}"/>
    <cellStyle name="Followed Hyperlink 2" xfId="4378" hidden="1" xr:uid="{00000000-0005-0000-0000-0000DC050000}"/>
    <cellStyle name="Followed Hyperlink 2" xfId="4374" hidden="1" xr:uid="{00000000-0005-0000-0000-0000DD050000}"/>
    <cellStyle name="Followed Hyperlink 2" xfId="4375" hidden="1" xr:uid="{00000000-0005-0000-0000-0000DE050000}"/>
    <cellStyle name="Followed Hyperlink 2" xfId="4362" hidden="1" xr:uid="{00000000-0005-0000-0000-0000DF050000}"/>
    <cellStyle name="Followed Hyperlink 2" xfId="4650" hidden="1" xr:uid="{00000000-0005-0000-0000-0000E0050000}"/>
    <cellStyle name="Followed Hyperlink 2" xfId="4653" hidden="1" xr:uid="{00000000-0005-0000-0000-0000E1050000}"/>
    <cellStyle name="Followed Hyperlink 2" xfId="4656" hidden="1" xr:uid="{00000000-0005-0000-0000-0000E2050000}"/>
    <cellStyle name="Followed Hyperlink 2" xfId="4660" hidden="1" xr:uid="{00000000-0005-0000-0000-0000E3050000}"/>
    <cellStyle name="Followed Hyperlink 2" xfId="4668" hidden="1" xr:uid="{00000000-0005-0000-0000-0000E4050000}"/>
    <cellStyle name="Followed Hyperlink 2" xfId="4665" hidden="1" xr:uid="{00000000-0005-0000-0000-0000E5050000}"/>
    <cellStyle name="Followed Hyperlink 2" xfId="4663" hidden="1" xr:uid="{00000000-0005-0000-0000-0000E6050000}"/>
    <cellStyle name="Followed Hyperlink 2" xfId="4664" hidden="1" xr:uid="{00000000-0005-0000-0000-0000E7050000}"/>
    <cellStyle name="Followed Hyperlink 2" xfId="4674" hidden="1" xr:uid="{00000000-0005-0000-0000-0000E8050000}"/>
    <cellStyle name="Followed Hyperlink 2" xfId="4677" hidden="1" xr:uid="{00000000-0005-0000-0000-0000E9050000}"/>
    <cellStyle name="Followed Hyperlink 2" xfId="4680" hidden="1" xr:uid="{00000000-0005-0000-0000-0000EA050000}"/>
    <cellStyle name="Followed Hyperlink 2" xfId="4684" hidden="1" xr:uid="{00000000-0005-0000-0000-0000EB050000}"/>
    <cellStyle name="Followed Hyperlink 2" xfId="4692" hidden="1" xr:uid="{00000000-0005-0000-0000-0000EC050000}"/>
    <cellStyle name="Followed Hyperlink 2" xfId="4689" hidden="1" xr:uid="{00000000-0005-0000-0000-0000ED050000}"/>
    <cellStyle name="Followed Hyperlink 2" xfId="4687" hidden="1" xr:uid="{00000000-0005-0000-0000-0000EE050000}"/>
    <cellStyle name="Followed Hyperlink 2" xfId="4688" hidden="1" xr:uid="{00000000-0005-0000-0000-0000EF050000}"/>
    <cellStyle name="Followed Hyperlink 2" xfId="4698" hidden="1" xr:uid="{00000000-0005-0000-0000-0000F0050000}"/>
    <cellStyle name="Followed Hyperlink 2" xfId="4701" hidden="1" xr:uid="{00000000-0005-0000-0000-0000F1050000}"/>
    <cellStyle name="Followed Hyperlink 2" xfId="4704" hidden="1" xr:uid="{00000000-0005-0000-0000-0000F2050000}"/>
    <cellStyle name="Followed Hyperlink 2" xfId="4708" hidden="1" xr:uid="{00000000-0005-0000-0000-0000F3050000}"/>
    <cellStyle name="Followed Hyperlink 2" xfId="4716" hidden="1" xr:uid="{00000000-0005-0000-0000-0000F4050000}"/>
    <cellStyle name="Followed Hyperlink 2" xfId="4713" hidden="1" xr:uid="{00000000-0005-0000-0000-0000F5050000}"/>
    <cellStyle name="Followed Hyperlink 2" xfId="4711" hidden="1" xr:uid="{00000000-0005-0000-0000-0000F6050000}"/>
    <cellStyle name="Followed Hyperlink 2" xfId="4712" hidden="1" xr:uid="{00000000-0005-0000-0000-0000F7050000}"/>
    <cellStyle name="Followed Hyperlink 2" xfId="4722" hidden="1" xr:uid="{00000000-0005-0000-0000-0000F8050000}"/>
    <cellStyle name="Followed Hyperlink 2" xfId="4725" hidden="1" xr:uid="{00000000-0005-0000-0000-0000F9050000}"/>
    <cellStyle name="Followed Hyperlink 2" xfId="4728" hidden="1" xr:uid="{00000000-0005-0000-0000-0000FA050000}"/>
    <cellStyle name="Followed Hyperlink 2" xfId="4732" hidden="1" xr:uid="{00000000-0005-0000-0000-0000FB050000}"/>
    <cellStyle name="Followed Hyperlink 2" xfId="701" hidden="1" xr:uid="{00000000-0005-0000-0000-0000FC050000}"/>
    <cellStyle name="Followed Hyperlink 2" xfId="698" hidden="1" xr:uid="{00000000-0005-0000-0000-0000FD050000}"/>
    <cellStyle name="Followed Hyperlink 2" xfId="692" hidden="1" xr:uid="{00000000-0005-0000-0000-0000FE050000}"/>
    <cellStyle name="Followed Hyperlink 2" xfId="697" hidden="1" xr:uid="{00000000-0005-0000-0000-0000FF050000}"/>
    <cellStyle name="Followed Hyperlink 2" xfId="4735" hidden="1" xr:uid="{00000000-0005-0000-0000-000000060000}"/>
    <cellStyle name="Followed Hyperlink 2" xfId="4738" hidden="1" xr:uid="{00000000-0005-0000-0000-000001060000}"/>
    <cellStyle name="Followed Hyperlink 2" xfId="4741" hidden="1" xr:uid="{00000000-0005-0000-0000-000002060000}"/>
    <cellStyle name="Followed Hyperlink 2" xfId="4745" hidden="1" xr:uid="{00000000-0005-0000-0000-000003060000}"/>
    <cellStyle name="Followed Hyperlink 2" xfId="4753" hidden="1" xr:uid="{00000000-0005-0000-0000-000004060000}"/>
    <cellStyle name="Followed Hyperlink 2" xfId="4750" hidden="1" xr:uid="{00000000-0005-0000-0000-000005060000}"/>
    <cellStyle name="Followed Hyperlink 2" xfId="4748" hidden="1" xr:uid="{00000000-0005-0000-0000-000006060000}"/>
    <cellStyle name="Followed Hyperlink 2" xfId="4749" hidden="1" xr:uid="{00000000-0005-0000-0000-000007060000}"/>
    <cellStyle name="Followed Hyperlink 2" xfId="4759" hidden="1" xr:uid="{00000000-0005-0000-0000-000008060000}"/>
    <cellStyle name="Followed Hyperlink 2" xfId="4762" hidden="1" xr:uid="{00000000-0005-0000-0000-000009060000}"/>
    <cellStyle name="Followed Hyperlink 2" xfId="4765" hidden="1" xr:uid="{00000000-0005-0000-0000-00000A060000}"/>
    <cellStyle name="Followed Hyperlink 2" xfId="4769" hidden="1" xr:uid="{00000000-0005-0000-0000-00000B060000}"/>
    <cellStyle name="Followed Hyperlink 2" xfId="4778" hidden="1" xr:uid="{00000000-0005-0000-0000-00000C060000}"/>
    <cellStyle name="Followed Hyperlink 2" xfId="4775" hidden="1" xr:uid="{00000000-0005-0000-0000-00000D060000}"/>
    <cellStyle name="Followed Hyperlink 2" xfId="4773" hidden="1" xr:uid="{00000000-0005-0000-0000-00000E060000}"/>
    <cellStyle name="Followed Hyperlink 2" xfId="4774" hidden="1" xr:uid="{00000000-0005-0000-0000-00000F060000}"/>
    <cellStyle name="Followed Hyperlink 2" xfId="4784" hidden="1" xr:uid="{00000000-0005-0000-0000-000010060000}"/>
    <cellStyle name="Followed Hyperlink 2" xfId="4787" hidden="1" xr:uid="{00000000-0005-0000-0000-000011060000}"/>
    <cellStyle name="Followed Hyperlink 2" xfId="4790" hidden="1" xr:uid="{00000000-0005-0000-0000-000012060000}"/>
    <cellStyle name="Followed Hyperlink 2" xfId="4794" hidden="1" xr:uid="{00000000-0005-0000-0000-000013060000}"/>
    <cellStyle name="Followed Hyperlink 2" xfId="4802" hidden="1" xr:uid="{00000000-0005-0000-0000-000014060000}"/>
    <cellStyle name="Followed Hyperlink 2" xfId="4799" hidden="1" xr:uid="{00000000-0005-0000-0000-000015060000}"/>
    <cellStyle name="Followed Hyperlink 2" xfId="4797" hidden="1" xr:uid="{00000000-0005-0000-0000-000016060000}"/>
    <cellStyle name="Followed Hyperlink 2" xfId="4798" hidden="1" xr:uid="{00000000-0005-0000-0000-000017060000}"/>
    <cellStyle name="Followed Hyperlink 2" xfId="4808" hidden="1" xr:uid="{00000000-0005-0000-0000-000018060000}"/>
    <cellStyle name="Followed Hyperlink 2" xfId="4811" hidden="1" xr:uid="{00000000-0005-0000-0000-000019060000}"/>
    <cellStyle name="Followed Hyperlink 2" xfId="4814" hidden="1" xr:uid="{00000000-0005-0000-0000-00001A060000}"/>
    <cellStyle name="Followed Hyperlink 2" xfId="4818" hidden="1" xr:uid="{00000000-0005-0000-0000-00001B060000}"/>
    <cellStyle name="Followed Hyperlink 2" xfId="4855" hidden="1" xr:uid="{00000000-0005-0000-0000-00001C060000}"/>
    <cellStyle name="Followed Hyperlink 2" xfId="4852" hidden="1" xr:uid="{00000000-0005-0000-0000-00001D060000}"/>
    <cellStyle name="Followed Hyperlink 2" xfId="4850" hidden="1" xr:uid="{00000000-0005-0000-0000-00001E060000}"/>
    <cellStyle name="Followed Hyperlink 2" xfId="4851" hidden="1" xr:uid="{00000000-0005-0000-0000-00001F060000}"/>
    <cellStyle name="Followed Hyperlink 2" xfId="4861" hidden="1" xr:uid="{00000000-0005-0000-0000-000020060000}"/>
    <cellStyle name="Followed Hyperlink 2" xfId="4864" hidden="1" xr:uid="{00000000-0005-0000-0000-000021060000}"/>
    <cellStyle name="Followed Hyperlink 2" xfId="4867" hidden="1" xr:uid="{00000000-0005-0000-0000-000022060000}"/>
    <cellStyle name="Followed Hyperlink 2" xfId="4871" hidden="1" xr:uid="{00000000-0005-0000-0000-000023060000}"/>
    <cellStyle name="Followed Hyperlink 2" xfId="4879" hidden="1" xr:uid="{00000000-0005-0000-0000-000024060000}"/>
    <cellStyle name="Followed Hyperlink 2" xfId="4876" hidden="1" xr:uid="{00000000-0005-0000-0000-000025060000}"/>
    <cellStyle name="Followed Hyperlink 2" xfId="4874" hidden="1" xr:uid="{00000000-0005-0000-0000-000026060000}"/>
    <cellStyle name="Followed Hyperlink 2" xfId="4875" hidden="1" xr:uid="{00000000-0005-0000-0000-000027060000}"/>
    <cellStyle name="Followed Hyperlink 2" xfId="4885" hidden="1" xr:uid="{00000000-0005-0000-0000-000028060000}"/>
    <cellStyle name="Followed Hyperlink 2" xfId="4888" hidden="1" xr:uid="{00000000-0005-0000-0000-000029060000}"/>
    <cellStyle name="Followed Hyperlink 2" xfId="4891" hidden="1" xr:uid="{00000000-0005-0000-0000-00002A060000}"/>
    <cellStyle name="Followed Hyperlink 2" xfId="4895" hidden="1" xr:uid="{00000000-0005-0000-0000-00002B060000}"/>
    <cellStyle name="Followed Hyperlink 2" xfId="4905" hidden="1" xr:uid="{00000000-0005-0000-0000-00002C060000}"/>
    <cellStyle name="Followed Hyperlink 2" xfId="4902" hidden="1" xr:uid="{00000000-0005-0000-0000-00002D060000}"/>
    <cellStyle name="Followed Hyperlink 2" xfId="4900" hidden="1" xr:uid="{00000000-0005-0000-0000-00002E060000}"/>
    <cellStyle name="Followed Hyperlink 2" xfId="4901" hidden="1" xr:uid="{00000000-0005-0000-0000-00002F060000}"/>
    <cellStyle name="Followed Hyperlink 2" xfId="4911" hidden="1" xr:uid="{00000000-0005-0000-0000-000030060000}"/>
    <cellStyle name="Followed Hyperlink 2" xfId="4914" hidden="1" xr:uid="{00000000-0005-0000-0000-000031060000}"/>
    <cellStyle name="Followed Hyperlink 2" xfId="4917" hidden="1" xr:uid="{00000000-0005-0000-0000-000032060000}"/>
    <cellStyle name="Followed Hyperlink 2" xfId="4921" hidden="1" xr:uid="{00000000-0005-0000-0000-000033060000}"/>
    <cellStyle name="Followed Hyperlink 2" xfId="4929" hidden="1" xr:uid="{00000000-0005-0000-0000-000034060000}"/>
    <cellStyle name="Followed Hyperlink 2" xfId="4926" hidden="1" xr:uid="{00000000-0005-0000-0000-000035060000}"/>
    <cellStyle name="Followed Hyperlink 2" xfId="4924" hidden="1" xr:uid="{00000000-0005-0000-0000-000036060000}"/>
    <cellStyle name="Followed Hyperlink 2" xfId="4925" hidden="1" xr:uid="{00000000-0005-0000-0000-000037060000}"/>
    <cellStyle name="Followed Hyperlink 2" xfId="4935" hidden="1" xr:uid="{00000000-0005-0000-0000-000038060000}"/>
    <cellStyle name="Followed Hyperlink 2" xfId="4938" hidden="1" xr:uid="{00000000-0005-0000-0000-000039060000}"/>
    <cellStyle name="Followed Hyperlink 2" xfId="4941" hidden="1" xr:uid="{00000000-0005-0000-0000-00003A060000}"/>
    <cellStyle name="Followed Hyperlink 2" xfId="4945" hidden="1" xr:uid="{00000000-0005-0000-0000-00003B060000}"/>
    <cellStyle name="Followed Hyperlink 2" xfId="4982" hidden="1" xr:uid="{00000000-0005-0000-0000-00003C060000}"/>
    <cellStyle name="Followed Hyperlink 2" xfId="4979" hidden="1" xr:uid="{00000000-0005-0000-0000-00003D060000}"/>
    <cellStyle name="Followed Hyperlink 2" xfId="4977" hidden="1" xr:uid="{00000000-0005-0000-0000-00003E060000}"/>
    <cellStyle name="Followed Hyperlink 2" xfId="4978" hidden="1" xr:uid="{00000000-0005-0000-0000-00003F060000}"/>
    <cellStyle name="Followed Hyperlink 2" xfId="4988" hidden="1" xr:uid="{00000000-0005-0000-0000-000040060000}"/>
    <cellStyle name="Followed Hyperlink 2" xfId="4991" hidden="1" xr:uid="{00000000-0005-0000-0000-000041060000}"/>
    <cellStyle name="Followed Hyperlink 2" xfId="4994" hidden="1" xr:uid="{00000000-0005-0000-0000-000042060000}"/>
    <cellStyle name="Followed Hyperlink 2" xfId="4998" hidden="1" xr:uid="{00000000-0005-0000-0000-000043060000}"/>
    <cellStyle name="Followed Hyperlink 2" xfId="5006" hidden="1" xr:uid="{00000000-0005-0000-0000-000044060000}"/>
    <cellStyle name="Followed Hyperlink 2" xfId="5003" hidden="1" xr:uid="{00000000-0005-0000-0000-000045060000}"/>
    <cellStyle name="Followed Hyperlink 2" xfId="5001" hidden="1" xr:uid="{00000000-0005-0000-0000-000046060000}"/>
    <cellStyle name="Followed Hyperlink 2" xfId="5002" hidden="1" xr:uid="{00000000-0005-0000-0000-000047060000}"/>
    <cellStyle name="Followed Hyperlink 2" xfId="5012" hidden="1" xr:uid="{00000000-0005-0000-0000-000048060000}"/>
    <cellStyle name="Followed Hyperlink 2" xfId="5015" hidden="1" xr:uid="{00000000-0005-0000-0000-000049060000}"/>
    <cellStyle name="Followed Hyperlink 2" xfId="5018" hidden="1" xr:uid="{00000000-0005-0000-0000-00004A060000}"/>
    <cellStyle name="Followed Hyperlink 2" xfId="5022" hidden="1" xr:uid="{00000000-0005-0000-0000-00004B060000}"/>
    <cellStyle name="Followed Hyperlink 2" xfId="5032" hidden="1" xr:uid="{00000000-0005-0000-0000-00004C060000}"/>
    <cellStyle name="Followed Hyperlink 2" xfId="5029" hidden="1" xr:uid="{00000000-0005-0000-0000-00004D060000}"/>
    <cellStyle name="Followed Hyperlink 2" xfId="5027" hidden="1" xr:uid="{00000000-0005-0000-0000-00004E060000}"/>
    <cellStyle name="Followed Hyperlink 2" xfId="5028" hidden="1" xr:uid="{00000000-0005-0000-0000-00004F060000}"/>
    <cellStyle name="Followed Hyperlink 2" xfId="5038" hidden="1" xr:uid="{00000000-0005-0000-0000-000050060000}"/>
    <cellStyle name="Followed Hyperlink 2" xfId="5041" hidden="1" xr:uid="{00000000-0005-0000-0000-000051060000}"/>
    <cellStyle name="Followed Hyperlink 2" xfId="5044" hidden="1" xr:uid="{00000000-0005-0000-0000-000052060000}"/>
    <cellStyle name="Followed Hyperlink 2" xfId="5048" hidden="1" xr:uid="{00000000-0005-0000-0000-000053060000}"/>
    <cellStyle name="Followed Hyperlink 2" xfId="5056" hidden="1" xr:uid="{00000000-0005-0000-0000-000054060000}"/>
    <cellStyle name="Followed Hyperlink 2" xfId="5053" hidden="1" xr:uid="{00000000-0005-0000-0000-000055060000}"/>
    <cellStyle name="Followed Hyperlink 2" xfId="5051" hidden="1" xr:uid="{00000000-0005-0000-0000-000056060000}"/>
    <cellStyle name="Followed Hyperlink 2" xfId="5052" hidden="1" xr:uid="{00000000-0005-0000-0000-000057060000}"/>
    <cellStyle name="Followed Hyperlink 2" xfId="5062" hidden="1" xr:uid="{00000000-0005-0000-0000-000058060000}"/>
    <cellStyle name="Followed Hyperlink 2" xfId="5065" hidden="1" xr:uid="{00000000-0005-0000-0000-000059060000}"/>
    <cellStyle name="Followed Hyperlink 2" xfId="5068" hidden="1" xr:uid="{00000000-0005-0000-0000-00005A060000}"/>
    <cellStyle name="Followed Hyperlink 2" xfId="5072" hidden="1" xr:uid="{00000000-0005-0000-0000-00005B060000}"/>
    <cellStyle name="Followed Hyperlink 2" xfId="4949" hidden="1" xr:uid="{00000000-0005-0000-0000-00005C060000}"/>
    <cellStyle name="Followed Hyperlink 2" xfId="4953" hidden="1" xr:uid="{00000000-0005-0000-0000-00005D060000}"/>
    <cellStyle name="Followed Hyperlink 2" xfId="4948" hidden="1" xr:uid="{00000000-0005-0000-0000-00005E060000}"/>
    <cellStyle name="Followed Hyperlink 2" xfId="4954" hidden="1" xr:uid="{00000000-0005-0000-0000-00005F060000}"/>
    <cellStyle name="Followed Hyperlink 2" xfId="5075" hidden="1" xr:uid="{00000000-0005-0000-0000-000060060000}"/>
    <cellStyle name="Followed Hyperlink 2" xfId="5078" hidden="1" xr:uid="{00000000-0005-0000-0000-000061060000}"/>
    <cellStyle name="Followed Hyperlink 2" xfId="5081" hidden="1" xr:uid="{00000000-0005-0000-0000-000062060000}"/>
    <cellStyle name="Followed Hyperlink 2" xfId="5085" hidden="1" xr:uid="{00000000-0005-0000-0000-000063060000}"/>
    <cellStyle name="Followed Hyperlink 2" xfId="5093" hidden="1" xr:uid="{00000000-0005-0000-0000-000064060000}"/>
    <cellStyle name="Followed Hyperlink 2" xfId="5090" hidden="1" xr:uid="{00000000-0005-0000-0000-000065060000}"/>
    <cellStyle name="Followed Hyperlink 2" xfId="5088" hidden="1" xr:uid="{00000000-0005-0000-0000-000066060000}"/>
    <cellStyle name="Followed Hyperlink 2" xfId="5089" hidden="1" xr:uid="{00000000-0005-0000-0000-000067060000}"/>
    <cellStyle name="Followed Hyperlink 2" xfId="5099" hidden="1" xr:uid="{00000000-0005-0000-0000-000068060000}"/>
    <cellStyle name="Followed Hyperlink 2" xfId="5102" hidden="1" xr:uid="{00000000-0005-0000-0000-000069060000}"/>
    <cellStyle name="Followed Hyperlink 2" xfId="5105" hidden="1" xr:uid="{00000000-0005-0000-0000-00006A060000}"/>
    <cellStyle name="Followed Hyperlink 2" xfId="5109" hidden="1" xr:uid="{00000000-0005-0000-0000-00006B060000}"/>
    <cellStyle name="Followed Hyperlink 2" xfId="5118" hidden="1" xr:uid="{00000000-0005-0000-0000-00006C060000}"/>
    <cellStyle name="Followed Hyperlink 2" xfId="5115" hidden="1" xr:uid="{00000000-0005-0000-0000-00006D060000}"/>
    <cellStyle name="Followed Hyperlink 2" xfId="5113" hidden="1" xr:uid="{00000000-0005-0000-0000-00006E060000}"/>
    <cellStyle name="Followed Hyperlink 2" xfId="5114" hidden="1" xr:uid="{00000000-0005-0000-0000-00006F060000}"/>
    <cellStyle name="Followed Hyperlink 2" xfId="5124" hidden="1" xr:uid="{00000000-0005-0000-0000-000070060000}"/>
    <cellStyle name="Followed Hyperlink 2" xfId="5127" hidden="1" xr:uid="{00000000-0005-0000-0000-000071060000}"/>
    <cellStyle name="Followed Hyperlink 2" xfId="5130" hidden="1" xr:uid="{00000000-0005-0000-0000-000072060000}"/>
    <cellStyle name="Followed Hyperlink 2" xfId="5134" hidden="1" xr:uid="{00000000-0005-0000-0000-000073060000}"/>
    <cellStyle name="Followed Hyperlink 2" xfId="5142" hidden="1" xr:uid="{00000000-0005-0000-0000-000074060000}"/>
    <cellStyle name="Followed Hyperlink 2" xfId="5139" hidden="1" xr:uid="{00000000-0005-0000-0000-000075060000}"/>
    <cellStyle name="Followed Hyperlink 2" xfId="5137" hidden="1" xr:uid="{00000000-0005-0000-0000-000076060000}"/>
    <cellStyle name="Followed Hyperlink 2" xfId="5138" hidden="1" xr:uid="{00000000-0005-0000-0000-000077060000}"/>
    <cellStyle name="Followed Hyperlink 2" xfId="5148" hidden="1" xr:uid="{00000000-0005-0000-0000-000078060000}"/>
    <cellStyle name="Followed Hyperlink 2" xfId="5151" hidden="1" xr:uid="{00000000-0005-0000-0000-000079060000}"/>
    <cellStyle name="Followed Hyperlink 2" xfId="5154" hidden="1" xr:uid="{00000000-0005-0000-0000-00007A060000}"/>
    <cellStyle name="Followed Hyperlink 2" xfId="5158" hidden="1" xr:uid="{00000000-0005-0000-0000-00007B060000}"/>
    <cellStyle name="Followed Hyperlink 2" xfId="4967" hidden="1" xr:uid="{00000000-0005-0000-0000-00007C060000}"/>
    <cellStyle name="Followed Hyperlink 2" xfId="4964" hidden="1" xr:uid="{00000000-0005-0000-0000-00007D060000}"/>
    <cellStyle name="Followed Hyperlink 2" xfId="4958" hidden="1" xr:uid="{00000000-0005-0000-0000-00007E060000}"/>
    <cellStyle name="Followed Hyperlink 2" xfId="4963" hidden="1" xr:uid="{00000000-0005-0000-0000-00007F060000}"/>
    <cellStyle name="Followed Hyperlink 2" xfId="5161" hidden="1" xr:uid="{00000000-0005-0000-0000-000080060000}"/>
    <cellStyle name="Followed Hyperlink 2" xfId="5164" hidden="1" xr:uid="{00000000-0005-0000-0000-000081060000}"/>
    <cellStyle name="Followed Hyperlink 2" xfId="5167" hidden="1" xr:uid="{00000000-0005-0000-0000-000082060000}"/>
    <cellStyle name="Followed Hyperlink 2" xfId="5171" hidden="1" xr:uid="{00000000-0005-0000-0000-000083060000}"/>
    <cellStyle name="Followed Hyperlink 2" xfId="5179" hidden="1" xr:uid="{00000000-0005-0000-0000-000084060000}"/>
    <cellStyle name="Followed Hyperlink 2" xfId="5176" hidden="1" xr:uid="{00000000-0005-0000-0000-000085060000}"/>
    <cellStyle name="Followed Hyperlink 2" xfId="5174" hidden="1" xr:uid="{00000000-0005-0000-0000-000086060000}"/>
    <cellStyle name="Followed Hyperlink 2" xfId="5175" hidden="1" xr:uid="{00000000-0005-0000-0000-000087060000}"/>
    <cellStyle name="Followed Hyperlink 2" xfId="5185" hidden="1" xr:uid="{00000000-0005-0000-0000-000088060000}"/>
    <cellStyle name="Followed Hyperlink 2" xfId="5188" hidden="1" xr:uid="{00000000-0005-0000-0000-000089060000}"/>
    <cellStyle name="Followed Hyperlink 2" xfId="5191" hidden="1" xr:uid="{00000000-0005-0000-0000-00008A060000}"/>
    <cellStyle name="Followed Hyperlink 2" xfId="5195" hidden="1" xr:uid="{00000000-0005-0000-0000-00008B060000}"/>
    <cellStyle name="Followed Hyperlink 2" xfId="5204" hidden="1" xr:uid="{00000000-0005-0000-0000-00008C060000}"/>
    <cellStyle name="Followed Hyperlink 2" xfId="5201" hidden="1" xr:uid="{00000000-0005-0000-0000-00008D060000}"/>
    <cellStyle name="Followed Hyperlink 2" xfId="5199" hidden="1" xr:uid="{00000000-0005-0000-0000-00008E060000}"/>
    <cellStyle name="Followed Hyperlink 2" xfId="5200" hidden="1" xr:uid="{00000000-0005-0000-0000-00008F060000}"/>
    <cellStyle name="Followed Hyperlink 2" xfId="5210" hidden="1" xr:uid="{00000000-0005-0000-0000-000090060000}"/>
    <cellStyle name="Followed Hyperlink 2" xfId="5213" hidden="1" xr:uid="{00000000-0005-0000-0000-000091060000}"/>
    <cellStyle name="Followed Hyperlink 2" xfId="5216" hidden="1" xr:uid="{00000000-0005-0000-0000-000092060000}"/>
    <cellStyle name="Followed Hyperlink 2" xfId="5220" hidden="1" xr:uid="{00000000-0005-0000-0000-000093060000}"/>
    <cellStyle name="Followed Hyperlink 2" xfId="5228" hidden="1" xr:uid="{00000000-0005-0000-0000-000094060000}"/>
    <cellStyle name="Followed Hyperlink 2" xfId="5225" hidden="1" xr:uid="{00000000-0005-0000-0000-000095060000}"/>
    <cellStyle name="Followed Hyperlink 2" xfId="5223" hidden="1" xr:uid="{00000000-0005-0000-0000-000096060000}"/>
    <cellStyle name="Followed Hyperlink 2" xfId="5224" hidden="1" xr:uid="{00000000-0005-0000-0000-000097060000}"/>
    <cellStyle name="Followed Hyperlink 2" xfId="5234" hidden="1" xr:uid="{00000000-0005-0000-0000-000098060000}"/>
    <cellStyle name="Followed Hyperlink 2" xfId="5237" hidden="1" xr:uid="{00000000-0005-0000-0000-000099060000}"/>
    <cellStyle name="Followed Hyperlink 2" xfId="5240" hidden="1" xr:uid="{00000000-0005-0000-0000-00009A060000}"/>
    <cellStyle name="Followed Hyperlink 2" xfId="5244" hidden="1" xr:uid="{00000000-0005-0000-0000-00009B060000}"/>
    <cellStyle name="Followed Hyperlink 2" xfId="4975" hidden="1" xr:uid="{00000000-0005-0000-0000-00009C060000}"/>
    <cellStyle name="Followed Hyperlink 2" xfId="4971" hidden="1" xr:uid="{00000000-0005-0000-0000-00009D060000}"/>
    <cellStyle name="Followed Hyperlink 2" xfId="4972" hidden="1" xr:uid="{00000000-0005-0000-0000-00009E060000}"/>
    <cellStyle name="Followed Hyperlink 2" xfId="4959" hidden="1" xr:uid="{00000000-0005-0000-0000-00009F060000}"/>
    <cellStyle name="Followed Hyperlink 2" xfId="5247" hidden="1" xr:uid="{00000000-0005-0000-0000-0000A0060000}"/>
    <cellStyle name="Followed Hyperlink 2" xfId="5250" hidden="1" xr:uid="{00000000-0005-0000-0000-0000A1060000}"/>
    <cellStyle name="Followed Hyperlink 2" xfId="5253" hidden="1" xr:uid="{00000000-0005-0000-0000-0000A2060000}"/>
    <cellStyle name="Followed Hyperlink 2" xfId="5257" hidden="1" xr:uid="{00000000-0005-0000-0000-0000A3060000}"/>
    <cellStyle name="Followed Hyperlink 2" xfId="5265" hidden="1" xr:uid="{00000000-0005-0000-0000-0000A4060000}"/>
    <cellStyle name="Followed Hyperlink 2" xfId="5262" hidden="1" xr:uid="{00000000-0005-0000-0000-0000A5060000}"/>
    <cellStyle name="Followed Hyperlink 2" xfId="5260" hidden="1" xr:uid="{00000000-0005-0000-0000-0000A6060000}"/>
    <cellStyle name="Followed Hyperlink 2" xfId="5261" hidden="1" xr:uid="{00000000-0005-0000-0000-0000A7060000}"/>
    <cellStyle name="Followed Hyperlink 2" xfId="5271" hidden="1" xr:uid="{00000000-0005-0000-0000-0000A8060000}"/>
    <cellStyle name="Followed Hyperlink 2" xfId="5274" hidden="1" xr:uid="{00000000-0005-0000-0000-0000A9060000}"/>
    <cellStyle name="Followed Hyperlink 2" xfId="5277" hidden="1" xr:uid="{00000000-0005-0000-0000-0000AA060000}"/>
    <cellStyle name="Followed Hyperlink 2" xfId="5281" hidden="1" xr:uid="{00000000-0005-0000-0000-0000AB060000}"/>
    <cellStyle name="Followed Hyperlink 2" xfId="5289" hidden="1" xr:uid="{00000000-0005-0000-0000-0000AC060000}"/>
    <cellStyle name="Followed Hyperlink 2" xfId="5286" hidden="1" xr:uid="{00000000-0005-0000-0000-0000AD060000}"/>
    <cellStyle name="Followed Hyperlink 2" xfId="5284" hidden="1" xr:uid="{00000000-0005-0000-0000-0000AE060000}"/>
    <cellStyle name="Followed Hyperlink 2" xfId="5285" hidden="1" xr:uid="{00000000-0005-0000-0000-0000AF060000}"/>
    <cellStyle name="Followed Hyperlink 2" xfId="5295" hidden="1" xr:uid="{00000000-0005-0000-0000-0000B0060000}"/>
    <cellStyle name="Followed Hyperlink 2" xfId="5298" hidden="1" xr:uid="{00000000-0005-0000-0000-0000B1060000}"/>
    <cellStyle name="Followed Hyperlink 2" xfId="5301" hidden="1" xr:uid="{00000000-0005-0000-0000-0000B2060000}"/>
    <cellStyle name="Followed Hyperlink 2" xfId="5305" hidden="1" xr:uid="{00000000-0005-0000-0000-0000B3060000}"/>
    <cellStyle name="Followed Hyperlink 2" xfId="5313" hidden="1" xr:uid="{00000000-0005-0000-0000-0000B4060000}"/>
    <cellStyle name="Followed Hyperlink 2" xfId="5310" hidden="1" xr:uid="{00000000-0005-0000-0000-0000B5060000}"/>
    <cellStyle name="Followed Hyperlink 2" xfId="5308" hidden="1" xr:uid="{00000000-0005-0000-0000-0000B6060000}"/>
    <cellStyle name="Followed Hyperlink 2" xfId="5309" hidden="1" xr:uid="{00000000-0005-0000-0000-0000B7060000}"/>
    <cellStyle name="Followed Hyperlink 2" xfId="5319" hidden="1" xr:uid="{00000000-0005-0000-0000-0000B8060000}"/>
    <cellStyle name="Followed Hyperlink 2" xfId="5322" hidden="1" xr:uid="{00000000-0005-0000-0000-0000B9060000}"/>
    <cellStyle name="Followed Hyperlink 2" xfId="5325" hidden="1" xr:uid="{00000000-0005-0000-0000-0000BA060000}"/>
    <cellStyle name="Followed Hyperlink 2" xfId="5329" hidden="1" xr:uid="{00000000-0005-0000-0000-0000BB060000}"/>
    <cellStyle name="Followed Hyperlink 2" xfId="4822" hidden="1" xr:uid="{00000000-0005-0000-0000-0000BC060000}"/>
    <cellStyle name="Followed Hyperlink 2" xfId="4826" hidden="1" xr:uid="{00000000-0005-0000-0000-0000BD060000}"/>
    <cellStyle name="Followed Hyperlink 2" xfId="4821" hidden="1" xr:uid="{00000000-0005-0000-0000-0000BE060000}"/>
    <cellStyle name="Followed Hyperlink 2" xfId="4827" hidden="1" xr:uid="{00000000-0005-0000-0000-0000BF060000}"/>
    <cellStyle name="Followed Hyperlink 2" xfId="5332" hidden="1" xr:uid="{00000000-0005-0000-0000-0000C0060000}"/>
    <cellStyle name="Followed Hyperlink 2" xfId="5335" hidden="1" xr:uid="{00000000-0005-0000-0000-0000C1060000}"/>
    <cellStyle name="Followed Hyperlink 2" xfId="5338" hidden="1" xr:uid="{00000000-0005-0000-0000-0000C2060000}"/>
    <cellStyle name="Followed Hyperlink 2" xfId="5342" hidden="1" xr:uid="{00000000-0005-0000-0000-0000C3060000}"/>
    <cellStyle name="Followed Hyperlink 2" xfId="5350" hidden="1" xr:uid="{00000000-0005-0000-0000-0000C4060000}"/>
    <cellStyle name="Followed Hyperlink 2" xfId="5347" hidden="1" xr:uid="{00000000-0005-0000-0000-0000C5060000}"/>
    <cellStyle name="Followed Hyperlink 2" xfId="5345" hidden="1" xr:uid="{00000000-0005-0000-0000-0000C6060000}"/>
    <cellStyle name="Followed Hyperlink 2" xfId="5346" hidden="1" xr:uid="{00000000-0005-0000-0000-0000C7060000}"/>
    <cellStyle name="Followed Hyperlink 2" xfId="5356" hidden="1" xr:uid="{00000000-0005-0000-0000-0000C8060000}"/>
    <cellStyle name="Followed Hyperlink 2" xfId="5359" hidden="1" xr:uid="{00000000-0005-0000-0000-0000C9060000}"/>
    <cellStyle name="Followed Hyperlink 2" xfId="5362" hidden="1" xr:uid="{00000000-0005-0000-0000-0000CA060000}"/>
    <cellStyle name="Followed Hyperlink 2" xfId="5366" hidden="1" xr:uid="{00000000-0005-0000-0000-0000CB060000}"/>
    <cellStyle name="Followed Hyperlink 2" xfId="5375" hidden="1" xr:uid="{00000000-0005-0000-0000-0000CC060000}"/>
    <cellStyle name="Followed Hyperlink 2" xfId="5372" hidden="1" xr:uid="{00000000-0005-0000-0000-0000CD060000}"/>
    <cellStyle name="Followed Hyperlink 2" xfId="5370" hidden="1" xr:uid="{00000000-0005-0000-0000-0000CE060000}"/>
    <cellStyle name="Followed Hyperlink 2" xfId="5371" hidden="1" xr:uid="{00000000-0005-0000-0000-0000CF060000}"/>
    <cellStyle name="Followed Hyperlink 2" xfId="5381" hidden="1" xr:uid="{00000000-0005-0000-0000-0000D0060000}"/>
    <cellStyle name="Followed Hyperlink 2" xfId="5384" hidden="1" xr:uid="{00000000-0005-0000-0000-0000D1060000}"/>
    <cellStyle name="Followed Hyperlink 2" xfId="5387" hidden="1" xr:uid="{00000000-0005-0000-0000-0000D2060000}"/>
    <cellStyle name="Followed Hyperlink 2" xfId="5391" hidden="1" xr:uid="{00000000-0005-0000-0000-0000D3060000}"/>
    <cellStyle name="Followed Hyperlink 2" xfId="5399" hidden="1" xr:uid="{00000000-0005-0000-0000-0000D4060000}"/>
    <cellStyle name="Followed Hyperlink 2" xfId="5396" hidden="1" xr:uid="{00000000-0005-0000-0000-0000D5060000}"/>
    <cellStyle name="Followed Hyperlink 2" xfId="5394" hidden="1" xr:uid="{00000000-0005-0000-0000-0000D6060000}"/>
    <cellStyle name="Followed Hyperlink 2" xfId="5395" hidden="1" xr:uid="{00000000-0005-0000-0000-0000D7060000}"/>
    <cellStyle name="Followed Hyperlink 2" xfId="5405" hidden="1" xr:uid="{00000000-0005-0000-0000-0000D8060000}"/>
    <cellStyle name="Followed Hyperlink 2" xfId="5408" hidden="1" xr:uid="{00000000-0005-0000-0000-0000D9060000}"/>
    <cellStyle name="Followed Hyperlink 2" xfId="5411" hidden="1" xr:uid="{00000000-0005-0000-0000-0000DA060000}"/>
    <cellStyle name="Followed Hyperlink 2" xfId="5415" hidden="1" xr:uid="{00000000-0005-0000-0000-0000DB060000}"/>
    <cellStyle name="Followed Hyperlink 2" xfId="5452" hidden="1" xr:uid="{00000000-0005-0000-0000-0000DC060000}"/>
    <cellStyle name="Followed Hyperlink 2" xfId="5449" hidden="1" xr:uid="{00000000-0005-0000-0000-0000DD060000}"/>
    <cellStyle name="Followed Hyperlink 2" xfId="5447" hidden="1" xr:uid="{00000000-0005-0000-0000-0000DE060000}"/>
    <cellStyle name="Followed Hyperlink 2" xfId="5448" hidden="1" xr:uid="{00000000-0005-0000-0000-0000DF060000}"/>
    <cellStyle name="Followed Hyperlink 2" xfId="5458" hidden="1" xr:uid="{00000000-0005-0000-0000-0000E0060000}"/>
    <cellStyle name="Followed Hyperlink 2" xfId="5461" hidden="1" xr:uid="{00000000-0005-0000-0000-0000E1060000}"/>
    <cellStyle name="Followed Hyperlink 2" xfId="5464" hidden="1" xr:uid="{00000000-0005-0000-0000-0000E2060000}"/>
    <cellStyle name="Followed Hyperlink 2" xfId="5468" hidden="1" xr:uid="{00000000-0005-0000-0000-0000E3060000}"/>
    <cellStyle name="Followed Hyperlink 2" xfId="5476" hidden="1" xr:uid="{00000000-0005-0000-0000-0000E4060000}"/>
    <cellStyle name="Followed Hyperlink 2" xfId="5473" hidden="1" xr:uid="{00000000-0005-0000-0000-0000E5060000}"/>
    <cellStyle name="Followed Hyperlink 2" xfId="5471" hidden="1" xr:uid="{00000000-0005-0000-0000-0000E6060000}"/>
    <cellStyle name="Followed Hyperlink 2" xfId="5472" hidden="1" xr:uid="{00000000-0005-0000-0000-0000E7060000}"/>
    <cellStyle name="Followed Hyperlink 2" xfId="5482" hidden="1" xr:uid="{00000000-0005-0000-0000-0000E8060000}"/>
    <cellStyle name="Followed Hyperlink 2" xfId="5485" hidden="1" xr:uid="{00000000-0005-0000-0000-0000E9060000}"/>
    <cellStyle name="Followed Hyperlink 2" xfId="5488" hidden="1" xr:uid="{00000000-0005-0000-0000-0000EA060000}"/>
    <cellStyle name="Followed Hyperlink 2" xfId="5492" hidden="1" xr:uid="{00000000-0005-0000-0000-0000EB060000}"/>
    <cellStyle name="Followed Hyperlink 2" xfId="5502" hidden="1" xr:uid="{00000000-0005-0000-0000-0000EC060000}"/>
    <cellStyle name="Followed Hyperlink 2" xfId="5499" hidden="1" xr:uid="{00000000-0005-0000-0000-0000ED060000}"/>
    <cellStyle name="Followed Hyperlink 2" xfId="5497" hidden="1" xr:uid="{00000000-0005-0000-0000-0000EE060000}"/>
    <cellStyle name="Followed Hyperlink 2" xfId="5498" hidden="1" xr:uid="{00000000-0005-0000-0000-0000EF060000}"/>
    <cellStyle name="Followed Hyperlink 2" xfId="5508" hidden="1" xr:uid="{00000000-0005-0000-0000-0000F0060000}"/>
    <cellStyle name="Followed Hyperlink 2" xfId="5511" hidden="1" xr:uid="{00000000-0005-0000-0000-0000F1060000}"/>
    <cellStyle name="Followed Hyperlink 2" xfId="5514" hidden="1" xr:uid="{00000000-0005-0000-0000-0000F2060000}"/>
    <cellStyle name="Followed Hyperlink 2" xfId="5518" hidden="1" xr:uid="{00000000-0005-0000-0000-0000F3060000}"/>
    <cellStyle name="Followed Hyperlink 2" xfId="5526" hidden="1" xr:uid="{00000000-0005-0000-0000-0000F4060000}"/>
    <cellStyle name="Followed Hyperlink 2" xfId="5523" hidden="1" xr:uid="{00000000-0005-0000-0000-0000F5060000}"/>
    <cellStyle name="Followed Hyperlink 2" xfId="5521" hidden="1" xr:uid="{00000000-0005-0000-0000-0000F6060000}"/>
    <cellStyle name="Followed Hyperlink 2" xfId="5522" hidden="1" xr:uid="{00000000-0005-0000-0000-0000F7060000}"/>
    <cellStyle name="Followed Hyperlink 2" xfId="5532" hidden="1" xr:uid="{00000000-0005-0000-0000-0000F8060000}"/>
    <cellStyle name="Followed Hyperlink 2" xfId="5535" hidden="1" xr:uid="{00000000-0005-0000-0000-0000F9060000}"/>
    <cellStyle name="Followed Hyperlink 2" xfId="5538" hidden="1" xr:uid="{00000000-0005-0000-0000-0000FA060000}"/>
    <cellStyle name="Followed Hyperlink 2" xfId="5542" hidden="1" xr:uid="{00000000-0005-0000-0000-0000FB060000}"/>
    <cellStyle name="Followed Hyperlink 2" xfId="5419" hidden="1" xr:uid="{00000000-0005-0000-0000-0000FC060000}"/>
    <cellStyle name="Followed Hyperlink 2" xfId="5423" hidden="1" xr:uid="{00000000-0005-0000-0000-0000FD060000}"/>
    <cellStyle name="Followed Hyperlink 2" xfId="5418" hidden="1" xr:uid="{00000000-0005-0000-0000-0000FE060000}"/>
    <cellStyle name="Followed Hyperlink 2" xfId="5424" hidden="1" xr:uid="{00000000-0005-0000-0000-0000FF060000}"/>
    <cellStyle name="Followed Hyperlink 2" xfId="5545" hidden="1" xr:uid="{00000000-0005-0000-0000-000000070000}"/>
    <cellStyle name="Followed Hyperlink 2" xfId="5548" hidden="1" xr:uid="{00000000-0005-0000-0000-000001070000}"/>
    <cellStyle name="Followed Hyperlink 2" xfId="5551" hidden="1" xr:uid="{00000000-0005-0000-0000-000002070000}"/>
    <cellStyle name="Followed Hyperlink 2" xfId="5555" hidden="1" xr:uid="{00000000-0005-0000-0000-000003070000}"/>
    <cellStyle name="Followed Hyperlink 2" xfId="5563" hidden="1" xr:uid="{00000000-0005-0000-0000-000004070000}"/>
    <cellStyle name="Followed Hyperlink 2" xfId="5560" hidden="1" xr:uid="{00000000-0005-0000-0000-000005070000}"/>
    <cellStyle name="Followed Hyperlink 2" xfId="5558" hidden="1" xr:uid="{00000000-0005-0000-0000-000006070000}"/>
    <cellStyle name="Followed Hyperlink 2" xfId="5559" hidden="1" xr:uid="{00000000-0005-0000-0000-000007070000}"/>
    <cellStyle name="Followed Hyperlink 2" xfId="5569" hidden="1" xr:uid="{00000000-0005-0000-0000-000008070000}"/>
    <cellStyle name="Followed Hyperlink 2" xfId="5572" hidden="1" xr:uid="{00000000-0005-0000-0000-000009070000}"/>
    <cellStyle name="Followed Hyperlink 2" xfId="5575" hidden="1" xr:uid="{00000000-0005-0000-0000-00000A070000}"/>
    <cellStyle name="Followed Hyperlink 2" xfId="5579" hidden="1" xr:uid="{00000000-0005-0000-0000-00000B070000}"/>
    <cellStyle name="Followed Hyperlink 2" xfId="5588" hidden="1" xr:uid="{00000000-0005-0000-0000-00000C070000}"/>
    <cellStyle name="Followed Hyperlink 2" xfId="5585" hidden="1" xr:uid="{00000000-0005-0000-0000-00000D070000}"/>
    <cellStyle name="Followed Hyperlink 2" xfId="5583" hidden="1" xr:uid="{00000000-0005-0000-0000-00000E070000}"/>
    <cellStyle name="Followed Hyperlink 2" xfId="5584" hidden="1" xr:uid="{00000000-0005-0000-0000-00000F070000}"/>
    <cellStyle name="Followed Hyperlink 2" xfId="5594" hidden="1" xr:uid="{00000000-0005-0000-0000-000010070000}"/>
    <cellStyle name="Followed Hyperlink 2" xfId="5597" hidden="1" xr:uid="{00000000-0005-0000-0000-000011070000}"/>
    <cellStyle name="Followed Hyperlink 2" xfId="5600" hidden="1" xr:uid="{00000000-0005-0000-0000-000012070000}"/>
    <cellStyle name="Followed Hyperlink 2" xfId="5604" hidden="1" xr:uid="{00000000-0005-0000-0000-000013070000}"/>
    <cellStyle name="Followed Hyperlink 2" xfId="5612" hidden="1" xr:uid="{00000000-0005-0000-0000-000014070000}"/>
    <cellStyle name="Followed Hyperlink 2" xfId="5609" hidden="1" xr:uid="{00000000-0005-0000-0000-000015070000}"/>
    <cellStyle name="Followed Hyperlink 2" xfId="5607" hidden="1" xr:uid="{00000000-0005-0000-0000-000016070000}"/>
    <cellStyle name="Followed Hyperlink 2" xfId="5608" hidden="1" xr:uid="{00000000-0005-0000-0000-000017070000}"/>
    <cellStyle name="Followed Hyperlink 2" xfId="5618" hidden="1" xr:uid="{00000000-0005-0000-0000-000018070000}"/>
    <cellStyle name="Followed Hyperlink 2" xfId="5621" hidden="1" xr:uid="{00000000-0005-0000-0000-000019070000}"/>
    <cellStyle name="Followed Hyperlink 2" xfId="5624" hidden="1" xr:uid="{00000000-0005-0000-0000-00001A070000}"/>
    <cellStyle name="Followed Hyperlink 2" xfId="5628" hidden="1" xr:uid="{00000000-0005-0000-0000-00001B070000}"/>
    <cellStyle name="Followed Hyperlink 2" xfId="5437" hidden="1" xr:uid="{00000000-0005-0000-0000-00001C070000}"/>
    <cellStyle name="Followed Hyperlink 2" xfId="5434" hidden="1" xr:uid="{00000000-0005-0000-0000-00001D070000}"/>
    <cellStyle name="Followed Hyperlink 2" xfId="5428" hidden="1" xr:uid="{00000000-0005-0000-0000-00001E070000}"/>
    <cellStyle name="Followed Hyperlink 2" xfId="5433" hidden="1" xr:uid="{00000000-0005-0000-0000-00001F070000}"/>
    <cellStyle name="Followed Hyperlink 2" xfId="5631" hidden="1" xr:uid="{00000000-0005-0000-0000-000020070000}"/>
    <cellStyle name="Followed Hyperlink 2" xfId="5634" hidden="1" xr:uid="{00000000-0005-0000-0000-000021070000}"/>
    <cellStyle name="Followed Hyperlink 2" xfId="5637" hidden="1" xr:uid="{00000000-0005-0000-0000-000022070000}"/>
    <cellStyle name="Followed Hyperlink 2" xfId="5641" hidden="1" xr:uid="{00000000-0005-0000-0000-000023070000}"/>
    <cellStyle name="Followed Hyperlink 2" xfId="5649" hidden="1" xr:uid="{00000000-0005-0000-0000-000024070000}"/>
    <cellStyle name="Followed Hyperlink 2" xfId="5646" hidden="1" xr:uid="{00000000-0005-0000-0000-000025070000}"/>
    <cellStyle name="Followed Hyperlink 2" xfId="5644" hidden="1" xr:uid="{00000000-0005-0000-0000-000026070000}"/>
    <cellStyle name="Followed Hyperlink 2" xfId="5645" hidden="1" xr:uid="{00000000-0005-0000-0000-000027070000}"/>
    <cellStyle name="Followed Hyperlink 2" xfId="5655" hidden="1" xr:uid="{00000000-0005-0000-0000-000028070000}"/>
    <cellStyle name="Followed Hyperlink 2" xfId="5658" hidden="1" xr:uid="{00000000-0005-0000-0000-000029070000}"/>
    <cellStyle name="Followed Hyperlink 2" xfId="5661" hidden="1" xr:uid="{00000000-0005-0000-0000-00002A070000}"/>
    <cellStyle name="Followed Hyperlink 2" xfId="5665" hidden="1" xr:uid="{00000000-0005-0000-0000-00002B070000}"/>
    <cellStyle name="Followed Hyperlink 2" xfId="5674" hidden="1" xr:uid="{00000000-0005-0000-0000-00002C070000}"/>
    <cellStyle name="Followed Hyperlink 2" xfId="5671" hidden="1" xr:uid="{00000000-0005-0000-0000-00002D070000}"/>
    <cellStyle name="Followed Hyperlink 2" xfId="5669" hidden="1" xr:uid="{00000000-0005-0000-0000-00002E070000}"/>
    <cellStyle name="Followed Hyperlink 2" xfId="5670" hidden="1" xr:uid="{00000000-0005-0000-0000-00002F070000}"/>
    <cellStyle name="Followed Hyperlink 2" xfId="5680" hidden="1" xr:uid="{00000000-0005-0000-0000-000030070000}"/>
    <cellStyle name="Followed Hyperlink 2" xfId="5683" hidden="1" xr:uid="{00000000-0005-0000-0000-000031070000}"/>
    <cellStyle name="Followed Hyperlink 2" xfId="5686" hidden="1" xr:uid="{00000000-0005-0000-0000-000032070000}"/>
    <cellStyle name="Followed Hyperlink 2" xfId="5690" hidden="1" xr:uid="{00000000-0005-0000-0000-000033070000}"/>
    <cellStyle name="Followed Hyperlink 2" xfId="5698" hidden="1" xr:uid="{00000000-0005-0000-0000-000034070000}"/>
    <cellStyle name="Followed Hyperlink 2" xfId="5695" hidden="1" xr:uid="{00000000-0005-0000-0000-000035070000}"/>
    <cellStyle name="Followed Hyperlink 2" xfId="5693" hidden="1" xr:uid="{00000000-0005-0000-0000-000036070000}"/>
    <cellStyle name="Followed Hyperlink 2" xfId="5694" hidden="1" xr:uid="{00000000-0005-0000-0000-000037070000}"/>
    <cellStyle name="Followed Hyperlink 2" xfId="5704" hidden="1" xr:uid="{00000000-0005-0000-0000-000038070000}"/>
    <cellStyle name="Followed Hyperlink 2" xfId="5707" hidden="1" xr:uid="{00000000-0005-0000-0000-000039070000}"/>
    <cellStyle name="Followed Hyperlink 2" xfId="5710" hidden="1" xr:uid="{00000000-0005-0000-0000-00003A070000}"/>
    <cellStyle name="Followed Hyperlink 2" xfId="5714" hidden="1" xr:uid="{00000000-0005-0000-0000-00003B070000}"/>
    <cellStyle name="Followed Hyperlink 2" xfId="5445" hidden="1" xr:uid="{00000000-0005-0000-0000-00003C070000}"/>
    <cellStyle name="Followed Hyperlink 2" xfId="5441" hidden="1" xr:uid="{00000000-0005-0000-0000-00003D070000}"/>
    <cellStyle name="Followed Hyperlink 2" xfId="5442" hidden="1" xr:uid="{00000000-0005-0000-0000-00003E070000}"/>
    <cellStyle name="Followed Hyperlink 2" xfId="5429" hidden="1" xr:uid="{00000000-0005-0000-0000-00003F070000}"/>
    <cellStyle name="Followed Hyperlink 2" xfId="5717" hidden="1" xr:uid="{00000000-0005-0000-0000-000040070000}"/>
    <cellStyle name="Followed Hyperlink 2" xfId="5720" hidden="1" xr:uid="{00000000-0005-0000-0000-000041070000}"/>
    <cellStyle name="Followed Hyperlink 2" xfId="5723" hidden="1" xr:uid="{00000000-0005-0000-0000-000042070000}"/>
    <cellStyle name="Followed Hyperlink 2" xfId="5727" hidden="1" xr:uid="{00000000-0005-0000-0000-000043070000}"/>
    <cellStyle name="Followed Hyperlink 2" xfId="5735" hidden="1" xr:uid="{00000000-0005-0000-0000-000044070000}"/>
    <cellStyle name="Followed Hyperlink 2" xfId="5732" hidden="1" xr:uid="{00000000-0005-0000-0000-000045070000}"/>
    <cellStyle name="Followed Hyperlink 2" xfId="5730" hidden="1" xr:uid="{00000000-0005-0000-0000-000046070000}"/>
    <cellStyle name="Followed Hyperlink 2" xfId="5731" hidden="1" xr:uid="{00000000-0005-0000-0000-000047070000}"/>
    <cellStyle name="Followed Hyperlink 2" xfId="5741" hidden="1" xr:uid="{00000000-0005-0000-0000-000048070000}"/>
    <cellStyle name="Followed Hyperlink 2" xfId="5744" hidden="1" xr:uid="{00000000-0005-0000-0000-000049070000}"/>
    <cellStyle name="Followed Hyperlink 2" xfId="5747" hidden="1" xr:uid="{00000000-0005-0000-0000-00004A070000}"/>
    <cellStyle name="Followed Hyperlink 2" xfId="5751" hidden="1" xr:uid="{00000000-0005-0000-0000-00004B070000}"/>
    <cellStyle name="Followed Hyperlink 2" xfId="5759" hidden="1" xr:uid="{00000000-0005-0000-0000-00004C070000}"/>
    <cellStyle name="Followed Hyperlink 2" xfId="5756" hidden="1" xr:uid="{00000000-0005-0000-0000-00004D070000}"/>
    <cellStyle name="Followed Hyperlink 2" xfId="5754" hidden="1" xr:uid="{00000000-0005-0000-0000-00004E070000}"/>
    <cellStyle name="Followed Hyperlink 2" xfId="5755" hidden="1" xr:uid="{00000000-0005-0000-0000-00004F070000}"/>
    <cellStyle name="Followed Hyperlink 2" xfId="5765" hidden="1" xr:uid="{00000000-0005-0000-0000-000050070000}"/>
    <cellStyle name="Followed Hyperlink 2" xfId="5768" hidden="1" xr:uid="{00000000-0005-0000-0000-000051070000}"/>
    <cellStyle name="Followed Hyperlink 2" xfId="5771" hidden="1" xr:uid="{00000000-0005-0000-0000-000052070000}"/>
    <cellStyle name="Followed Hyperlink 2" xfId="5775" hidden="1" xr:uid="{00000000-0005-0000-0000-000053070000}"/>
    <cellStyle name="Followed Hyperlink 2" xfId="5783" hidden="1" xr:uid="{00000000-0005-0000-0000-000054070000}"/>
    <cellStyle name="Followed Hyperlink 2" xfId="5780" hidden="1" xr:uid="{00000000-0005-0000-0000-000055070000}"/>
    <cellStyle name="Followed Hyperlink 2" xfId="5778" hidden="1" xr:uid="{00000000-0005-0000-0000-000056070000}"/>
    <cellStyle name="Followed Hyperlink 2" xfId="5779" hidden="1" xr:uid="{00000000-0005-0000-0000-000057070000}"/>
    <cellStyle name="Followed Hyperlink 2" xfId="5789" hidden="1" xr:uid="{00000000-0005-0000-0000-000058070000}"/>
    <cellStyle name="Followed Hyperlink 2" xfId="5792" hidden="1" xr:uid="{00000000-0005-0000-0000-000059070000}"/>
    <cellStyle name="Followed Hyperlink 2" xfId="5795" hidden="1" xr:uid="{00000000-0005-0000-0000-00005A070000}"/>
    <cellStyle name="Followed Hyperlink 2" xfId="5799" hidden="1" xr:uid="{00000000-0005-0000-0000-00005B070000}"/>
    <cellStyle name="Followed Hyperlink 2" xfId="4840" hidden="1" xr:uid="{00000000-0005-0000-0000-00005C070000}"/>
    <cellStyle name="Followed Hyperlink 2" xfId="4837" hidden="1" xr:uid="{00000000-0005-0000-0000-00005D070000}"/>
    <cellStyle name="Followed Hyperlink 2" xfId="4831" hidden="1" xr:uid="{00000000-0005-0000-0000-00005E070000}"/>
    <cellStyle name="Followed Hyperlink 2" xfId="4836" hidden="1" xr:uid="{00000000-0005-0000-0000-00005F070000}"/>
    <cellStyle name="Followed Hyperlink 2" xfId="5802" hidden="1" xr:uid="{00000000-0005-0000-0000-000060070000}"/>
    <cellStyle name="Followed Hyperlink 2" xfId="5805" hidden="1" xr:uid="{00000000-0005-0000-0000-000061070000}"/>
    <cellStyle name="Followed Hyperlink 2" xfId="5808" hidden="1" xr:uid="{00000000-0005-0000-0000-000062070000}"/>
    <cellStyle name="Followed Hyperlink 2" xfId="5812" hidden="1" xr:uid="{00000000-0005-0000-0000-000063070000}"/>
    <cellStyle name="Followed Hyperlink 2" xfId="5820" hidden="1" xr:uid="{00000000-0005-0000-0000-000064070000}"/>
    <cellStyle name="Followed Hyperlink 2" xfId="5817" hidden="1" xr:uid="{00000000-0005-0000-0000-000065070000}"/>
    <cellStyle name="Followed Hyperlink 2" xfId="5815" hidden="1" xr:uid="{00000000-0005-0000-0000-000066070000}"/>
    <cellStyle name="Followed Hyperlink 2" xfId="5816" hidden="1" xr:uid="{00000000-0005-0000-0000-000067070000}"/>
    <cellStyle name="Followed Hyperlink 2" xfId="5826" hidden="1" xr:uid="{00000000-0005-0000-0000-000068070000}"/>
    <cellStyle name="Followed Hyperlink 2" xfId="5829" hidden="1" xr:uid="{00000000-0005-0000-0000-000069070000}"/>
    <cellStyle name="Followed Hyperlink 2" xfId="5832" hidden="1" xr:uid="{00000000-0005-0000-0000-00006A070000}"/>
    <cellStyle name="Followed Hyperlink 2" xfId="5836" hidden="1" xr:uid="{00000000-0005-0000-0000-00006B070000}"/>
    <cellStyle name="Followed Hyperlink 2" xfId="5845" hidden="1" xr:uid="{00000000-0005-0000-0000-00006C070000}"/>
    <cellStyle name="Followed Hyperlink 2" xfId="5842" hidden="1" xr:uid="{00000000-0005-0000-0000-00006D070000}"/>
    <cellStyle name="Followed Hyperlink 2" xfId="5840" hidden="1" xr:uid="{00000000-0005-0000-0000-00006E070000}"/>
    <cellStyle name="Followed Hyperlink 2" xfId="5841" hidden="1" xr:uid="{00000000-0005-0000-0000-00006F070000}"/>
    <cellStyle name="Followed Hyperlink 2" xfId="5851" hidden="1" xr:uid="{00000000-0005-0000-0000-000070070000}"/>
    <cellStyle name="Followed Hyperlink 2" xfId="5854" hidden="1" xr:uid="{00000000-0005-0000-0000-000071070000}"/>
    <cellStyle name="Followed Hyperlink 2" xfId="5857" hidden="1" xr:uid="{00000000-0005-0000-0000-000072070000}"/>
    <cellStyle name="Followed Hyperlink 2" xfId="5861" hidden="1" xr:uid="{00000000-0005-0000-0000-000073070000}"/>
    <cellStyle name="Followed Hyperlink 2" xfId="5869" hidden="1" xr:uid="{00000000-0005-0000-0000-000074070000}"/>
    <cellStyle name="Followed Hyperlink 2" xfId="5866" hidden="1" xr:uid="{00000000-0005-0000-0000-000075070000}"/>
    <cellStyle name="Followed Hyperlink 2" xfId="5864" hidden="1" xr:uid="{00000000-0005-0000-0000-000076070000}"/>
    <cellStyle name="Followed Hyperlink 2" xfId="5865" hidden="1" xr:uid="{00000000-0005-0000-0000-000077070000}"/>
    <cellStyle name="Followed Hyperlink 2" xfId="5875" hidden="1" xr:uid="{00000000-0005-0000-0000-000078070000}"/>
    <cellStyle name="Followed Hyperlink 2" xfId="5878" hidden="1" xr:uid="{00000000-0005-0000-0000-000079070000}"/>
    <cellStyle name="Followed Hyperlink 2" xfId="5881" hidden="1" xr:uid="{00000000-0005-0000-0000-00007A070000}"/>
    <cellStyle name="Followed Hyperlink 2" xfId="5885" hidden="1" xr:uid="{00000000-0005-0000-0000-00007B070000}"/>
    <cellStyle name="Followed Hyperlink 2" xfId="5922" hidden="1" xr:uid="{00000000-0005-0000-0000-00007C070000}"/>
    <cellStyle name="Followed Hyperlink 2" xfId="5919" hidden="1" xr:uid="{00000000-0005-0000-0000-00007D070000}"/>
    <cellStyle name="Followed Hyperlink 2" xfId="5917" hidden="1" xr:uid="{00000000-0005-0000-0000-00007E070000}"/>
    <cellStyle name="Followed Hyperlink 2" xfId="5918" hidden="1" xr:uid="{00000000-0005-0000-0000-00007F070000}"/>
    <cellStyle name="Followed Hyperlink 2" xfId="5928" hidden="1" xr:uid="{00000000-0005-0000-0000-000080070000}"/>
    <cellStyle name="Followed Hyperlink 2" xfId="5931" hidden="1" xr:uid="{00000000-0005-0000-0000-000081070000}"/>
    <cellStyle name="Followed Hyperlink 2" xfId="5934" hidden="1" xr:uid="{00000000-0005-0000-0000-000082070000}"/>
    <cellStyle name="Followed Hyperlink 2" xfId="5938" hidden="1" xr:uid="{00000000-0005-0000-0000-000083070000}"/>
    <cellStyle name="Followed Hyperlink 2" xfId="5946" hidden="1" xr:uid="{00000000-0005-0000-0000-000084070000}"/>
    <cellStyle name="Followed Hyperlink 2" xfId="5943" hidden="1" xr:uid="{00000000-0005-0000-0000-000085070000}"/>
    <cellStyle name="Followed Hyperlink 2" xfId="5941" hidden="1" xr:uid="{00000000-0005-0000-0000-000086070000}"/>
    <cellStyle name="Followed Hyperlink 2" xfId="5942" hidden="1" xr:uid="{00000000-0005-0000-0000-000087070000}"/>
    <cellStyle name="Followed Hyperlink 2" xfId="5952" hidden="1" xr:uid="{00000000-0005-0000-0000-000088070000}"/>
    <cellStyle name="Followed Hyperlink 2" xfId="5955" hidden="1" xr:uid="{00000000-0005-0000-0000-000089070000}"/>
    <cellStyle name="Followed Hyperlink 2" xfId="5958" hidden="1" xr:uid="{00000000-0005-0000-0000-00008A070000}"/>
    <cellStyle name="Followed Hyperlink 2" xfId="5962" hidden="1" xr:uid="{00000000-0005-0000-0000-00008B070000}"/>
    <cellStyle name="Followed Hyperlink 2" xfId="5972" hidden="1" xr:uid="{00000000-0005-0000-0000-00008C070000}"/>
    <cellStyle name="Followed Hyperlink 2" xfId="5969" hidden="1" xr:uid="{00000000-0005-0000-0000-00008D070000}"/>
    <cellStyle name="Followed Hyperlink 2" xfId="5967" hidden="1" xr:uid="{00000000-0005-0000-0000-00008E070000}"/>
    <cellStyle name="Followed Hyperlink 2" xfId="5968" hidden="1" xr:uid="{00000000-0005-0000-0000-00008F070000}"/>
    <cellStyle name="Followed Hyperlink 2" xfId="5978" hidden="1" xr:uid="{00000000-0005-0000-0000-000090070000}"/>
    <cellStyle name="Followed Hyperlink 2" xfId="5981" hidden="1" xr:uid="{00000000-0005-0000-0000-000091070000}"/>
    <cellStyle name="Followed Hyperlink 2" xfId="5984" hidden="1" xr:uid="{00000000-0005-0000-0000-000092070000}"/>
    <cellStyle name="Followed Hyperlink 2" xfId="5988" hidden="1" xr:uid="{00000000-0005-0000-0000-000093070000}"/>
    <cellStyle name="Followed Hyperlink 2" xfId="5996" hidden="1" xr:uid="{00000000-0005-0000-0000-000094070000}"/>
    <cellStyle name="Followed Hyperlink 2" xfId="5993" hidden="1" xr:uid="{00000000-0005-0000-0000-000095070000}"/>
    <cellStyle name="Followed Hyperlink 2" xfId="5991" hidden="1" xr:uid="{00000000-0005-0000-0000-000096070000}"/>
    <cellStyle name="Followed Hyperlink 2" xfId="5992" hidden="1" xr:uid="{00000000-0005-0000-0000-000097070000}"/>
    <cellStyle name="Followed Hyperlink 2" xfId="6002" hidden="1" xr:uid="{00000000-0005-0000-0000-000098070000}"/>
    <cellStyle name="Followed Hyperlink 2" xfId="6005" hidden="1" xr:uid="{00000000-0005-0000-0000-000099070000}"/>
    <cellStyle name="Followed Hyperlink 2" xfId="6008" hidden="1" xr:uid="{00000000-0005-0000-0000-00009A070000}"/>
    <cellStyle name="Followed Hyperlink 2" xfId="6012" hidden="1" xr:uid="{00000000-0005-0000-0000-00009B070000}"/>
    <cellStyle name="Followed Hyperlink 2" xfId="5889" hidden="1" xr:uid="{00000000-0005-0000-0000-00009C070000}"/>
    <cellStyle name="Followed Hyperlink 2" xfId="5893" hidden="1" xr:uid="{00000000-0005-0000-0000-00009D070000}"/>
    <cellStyle name="Followed Hyperlink 2" xfId="5888" hidden="1" xr:uid="{00000000-0005-0000-0000-00009E070000}"/>
    <cellStyle name="Followed Hyperlink 2" xfId="5894" hidden="1" xr:uid="{00000000-0005-0000-0000-00009F070000}"/>
    <cellStyle name="Followed Hyperlink 2" xfId="6015" hidden="1" xr:uid="{00000000-0005-0000-0000-0000A0070000}"/>
    <cellStyle name="Followed Hyperlink 2" xfId="6018" hidden="1" xr:uid="{00000000-0005-0000-0000-0000A1070000}"/>
    <cellStyle name="Followed Hyperlink 2" xfId="6021" hidden="1" xr:uid="{00000000-0005-0000-0000-0000A2070000}"/>
    <cellStyle name="Followed Hyperlink 2" xfId="6025" hidden="1" xr:uid="{00000000-0005-0000-0000-0000A3070000}"/>
    <cellStyle name="Followed Hyperlink 2" xfId="6033" hidden="1" xr:uid="{00000000-0005-0000-0000-0000A4070000}"/>
    <cellStyle name="Followed Hyperlink 2" xfId="6030" hidden="1" xr:uid="{00000000-0005-0000-0000-0000A5070000}"/>
    <cellStyle name="Followed Hyperlink 2" xfId="6028" hidden="1" xr:uid="{00000000-0005-0000-0000-0000A6070000}"/>
    <cellStyle name="Followed Hyperlink 2" xfId="6029" hidden="1" xr:uid="{00000000-0005-0000-0000-0000A7070000}"/>
    <cellStyle name="Followed Hyperlink 2" xfId="6039" hidden="1" xr:uid="{00000000-0005-0000-0000-0000A8070000}"/>
    <cellStyle name="Followed Hyperlink 2" xfId="6042" hidden="1" xr:uid="{00000000-0005-0000-0000-0000A9070000}"/>
    <cellStyle name="Followed Hyperlink 2" xfId="6045" hidden="1" xr:uid="{00000000-0005-0000-0000-0000AA070000}"/>
    <cellStyle name="Followed Hyperlink 2" xfId="6049" hidden="1" xr:uid="{00000000-0005-0000-0000-0000AB070000}"/>
    <cellStyle name="Followed Hyperlink 2" xfId="6058" hidden="1" xr:uid="{00000000-0005-0000-0000-0000AC070000}"/>
    <cellStyle name="Followed Hyperlink 2" xfId="6055" hidden="1" xr:uid="{00000000-0005-0000-0000-0000AD070000}"/>
    <cellStyle name="Followed Hyperlink 2" xfId="6053" hidden="1" xr:uid="{00000000-0005-0000-0000-0000AE070000}"/>
    <cellStyle name="Followed Hyperlink 2" xfId="6054" hidden="1" xr:uid="{00000000-0005-0000-0000-0000AF070000}"/>
    <cellStyle name="Followed Hyperlink 2" xfId="6064" hidden="1" xr:uid="{00000000-0005-0000-0000-0000B0070000}"/>
    <cellStyle name="Followed Hyperlink 2" xfId="6067" hidden="1" xr:uid="{00000000-0005-0000-0000-0000B1070000}"/>
    <cellStyle name="Followed Hyperlink 2" xfId="6070" hidden="1" xr:uid="{00000000-0005-0000-0000-0000B2070000}"/>
    <cellStyle name="Followed Hyperlink 2" xfId="6074" hidden="1" xr:uid="{00000000-0005-0000-0000-0000B3070000}"/>
    <cellStyle name="Followed Hyperlink 2" xfId="6082" hidden="1" xr:uid="{00000000-0005-0000-0000-0000B4070000}"/>
    <cellStyle name="Followed Hyperlink 2" xfId="6079" hidden="1" xr:uid="{00000000-0005-0000-0000-0000B5070000}"/>
    <cellStyle name="Followed Hyperlink 2" xfId="6077" hidden="1" xr:uid="{00000000-0005-0000-0000-0000B6070000}"/>
    <cellStyle name="Followed Hyperlink 2" xfId="6078" hidden="1" xr:uid="{00000000-0005-0000-0000-0000B7070000}"/>
    <cellStyle name="Followed Hyperlink 2" xfId="6088" hidden="1" xr:uid="{00000000-0005-0000-0000-0000B8070000}"/>
    <cellStyle name="Followed Hyperlink 2" xfId="6091" hidden="1" xr:uid="{00000000-0005-0000-0000-0000B9070000}"/>
    <cellStyle name="Followed Hyperlink 2" xfId="6094" hidden="1" xr:uid="{00000000-0005-0000-0000-0000BA070000}"/>
    <cellStyle name="Followed Hyperlink 2" xfId="6098" hidden="1" xr:uid="{00000000-0005-0000-0000-0000BB070000}"/>
    <cellStyle name="Followed Hyperlink 2" xfId="5907" hidden="1" xr:uid="{00000000-0005-0000-0000-0000BC070000}"/>
    <cellStyle name="Followed Hyperlink 2" xfId="5904" hidden="1" xr:uid="{00000000-0005-0000-0000-0000BD070000}"/>
    <cellStyle name="Followed Hyperlink 2" xfId="5898" hidden="1" xr:uid="{00000000-0005-0000-0000-0000BE070000}"/>
    <cellStyle name="Followed Hyperlink 2" xfId="5903" hidden="1" xr:uid="{00000000-0005-0000-0000-0000BF070000}"/>
    <cellStyle name="Followed Hyperlink 2" xfId="6101" hidden="1" xr:uid="{00000000-0005-0000-0000-0000C0070000}"/>
    <cellStyle name="Followed Hyperlink 2" xfId="6104" hidden="1" xr:uid="{00000000-0005-0000-0000-0000C1070000}"/>
    <cellStyle name="Followed Hyperlink 2" xfId="6107" hidden="1" xr:uid="{00000000-0005-0000-0000-0000C2070000}"/>
    <cellStyle name="Followed Hyperlink 2" xfId="6111" hidden="1" xr:uid="{00000000-0005-0000-0000-0000C3070000}"/>
    <cellStyle name="Followed Hyperlink 2" xfId="6119" hidden="1" xr:uid="{00000000-0005-0000-0000-0000C4070000}"/>
    <cellStyle name="Followed Hyperlink 2" xfId="6116" hidden="1" xr:uid="{00000000-0005-0000-0000-0000C5070000}"/>
    <cellStyle name="Followed Hyperlink 2" xfId="6114" hidden="1" xr:uid="{00000000-0005-0000-0000-0000C6070000}"/>
    <cellStyle name="Followed Hyperlink 2" xfId="6115" hidden="1" xr:uid="{00000000-0005-0000-0000-0000C7070000}"/>
    <cellStyle name="Followed Hyperlink 2" xfId="6125" hidden="1" xr:uid="{00000000-0005-0000-0000-0000C8070000}"/>
    <cellStyle name="Followed Hyperlink 2" xfId="6128" hidden="1" xr:uid="{00000000-0005-0000-0000-0000C9070000}"/>
    <cellStyle name="Followed Hyperlink 2" xfId="6131" hidden="1" xr:uid="{00000000-0005-0000-0000-0000CA070000}"/>
    <cellStyle name="Followed Hyperlink 2" xfId="6135" hidden="1" xr:uid="{00000000-0005-0000-0000-0000CB070000}"/>
    <cellStyle name="Followed Hyperlink 2" xfId="6144" hidden="1" xr:uid="{00000000-0005-0000-0000-0000CC070000}"/>
    <cellStyle name="Followed Hyperlink 2" xfId="6141" hidden="1" xr:uid="{00000000-0005-0000-0000-0000CD070000}"/>
    <cellStyle name="Followed Hyperlink 2" xfId="6139" hidden="1" xr:uid="{00000000-0005-0000-0000-0000CE070000}"/>
    <cellStyle name="Followed Hyperlink 2" xfId="6140" hidden="1" xr:uid="{00000000-0005-0000-0000-0000CF070000}"/>
    <cellStyle name="Followed Hyperlink 2" xfId="6150" hidden="1" xr:uid="{00000000-0005-0000-0000-0000D0070000}"/>
    <cellStyle name="Followed Hyperlink 2" xfId="6153" hidden="1" xr:uid="{00000000-0005-0000-0000-0000D1070000}"/>
    <cellStyle name="Followed Hyperlink 2" xfId="6156" hidden="1" xr:uid="{00000000-0005-0000-0000-0000D2070000}"/>
    <cellStyle name="Followed Hyperlink 2" xfId="6160" hidden="1" xr:uid="{00000000-0005-0000-0000-0000D3070000}"/>
    <cellStyle name="Followed Hyperlink 2" xfId="6168" hidden="1" xr:uid="{00000000-0005-0000-0000-0000D4070000}"/>
    <cellStyle name="Followed Hyperlink 2" xfId="6165" hidden="1" xr:uid="{00000000-0005-0000-0000-0000D5070000}"/>
    <cellStyle name="Followed Hyperlink 2" xfId="6163" hidden="1" xr:uid="{00000000-0005-0000-0000-0000D6070000}"/>
    <cellStyle name="Followed Hyperlink 2" xfId="6164" hidden="1" xr:uid="{00000000-0005-0000-0000-0000D7070000}"/>
    <cellStyle name="Followed Hyperlink 2" xfId="6174" hidden="1" xr:uid="{00000000-0005-0000-0000-0000D8070000}"/>
    <cellStyle name="Followed Hyperlink 2" xfId="6177" hidden="1" xr:uid="{00000000-0005-0000-0000-0000D9070000}"/>
    <cellStyle name="Followed Hyperlink 2" xfId="6180" hidden="1" xr:uid="{00000000-0005-0000-0000-0000DA070000}"/>
    <cellStyle name="Followed Hyperlink 2" xfId="6184" hidden="1" xr:uid="{00000000-0005-0000-0000-0000DB070000}"/>
    <cellStyle name="Followed Hyperlink 2" xfId="5915" hidden="1" xr:uid="{00000000-0005-0000-0000-0000DC070000}"/>
    <cellStyle name="Followed Hyperlink 2" xfId="5911" hidden="1" xr:uid="{00000000-0005-0000-0000-0000DD070000}"/>
    <cellStyle name="Followed Hyperlink 2" xfId="5912" hidden="1" xr:uid="{00000000-0005-0000-0000-0000DE070000}"/>
    <cellStyle name="Followed Hyperlink 2" xfId="5899" hidden="1" xr:uid="{00000000-0005-0000-0000-0000DF070000}"/>
    <cellStyle name="Followed Hyperlink 2" xfId="6187" hidden="1" xr:uid="{00000000-0005-0000-0000-0000E0070000}"/>
    <cellStyle name="Followed Hyperlink 2" xfId="6190" hidden="1" xr:uid="{00000000-0005-0000-0000-0000E1070000}"/>
    <cellStyle name="Followed Hyperlink 2" xfId="6193" hidden="1" xr:uid="{00000000-0005-0000-0000-0000E2070000}"/>
    <cellStyle name="Followed Hyperlink 2" xfId="6197" hidden="1" xr:uid="{00000000-0005-0000-0000-0000E3070000}"/>
    <cellStyle name="Followed Hyperlink 2" xfId="6205" hidden="1" xr:uid="{00000000-0005-0000-0000-0000E4070000}"/>
    <cellStyle name="Followed Hyperlink 2" xfId="6202" hidden="1" xr:uid="{00000000-0005-0000-0000-0000E5070000}"/>
    <cellStyle name="Followed Hyperlink 2" xfId="6200" hidden="1" xr:uid="{00000000-0005-0000-0000-0000E6070000}"/>
    <cellStyle name="Followed Hyperlink 2" xfId="6201" hidden="1" xr:uid="{00000000-0005-0000-0000-0000E7070000}"/>
    <cellStyle name="Followed Hyperlink 2" xfId="6211" hidden="1" xr:uid="{00000000-0005-0000-0000-0000E8070000}"/>
    <cellStyle name="Followed Hyperlink 2" xfId="6214" hidden="1" xr:uid="{00000000-0005-0000-0000-0000E9070000}"/>
    <cellStyle name="Followed Hyperlink 2" xfId="6217" hidden="1" xr:uid="{00000000-0005-0000-0000-0000EA070000}"/>
    <cellStyle name="Followed Hyperlink 2" xfId="6221" hidden="1" xr:uid="{00000000-0005-0000-0000-0000EB070000}"/>
    <cellStyle name="Followed Hyperlink 2" xfId="6229" hidden="1" xr:uid="{00000000-0005-0000-0000-0000EC070000}"/>
    <cellStyle name="Followed Hyperlink 2" xfId="6226" hidden="1" xr:uid="{00000000-0005-0000-0000-0000ED070000}"/>
    <cellStyle name="Followed Hyperlink 2" xfId="6224" hidden="1" xr:uid="{00000000-0005-0000-0000-0000EE070000}"/>
    <cellStyle name="Followed Hyperlink 2" xfId="6225" hidden="1" xr:uid="{00000000-0005-0000-0000-0000EF070000}"/>
    <cellStyle name="Followed Hyperlink 2" xfId="6235" hidden="1" xr:uid="{00000000-0005-0000-0000-0000F0070000}"/>
    <cellStyle name="Followed Hyperlink 2" xfId="6238" hidden="1" xr:uid="{00000000-0005-0000-0000-0000F1070000}"/>
    <cellStyle name="Followed Hyperlink 2" xfId="6241" hidden="1" xr:uid="{00000000-0005-0000-0000-0000F2070000}"/>
    <cellStyle name="Followed Hyperlink 2" xfId="6245" hidden="1" xr:uid="{00000000-0005-0000-0000-0000F3070000}"/>
    <cellStyle name="Followed Hyperlink 2" xfId="6253" hidden="1" xr:uid="{00000000-0005-0000-0000-0000F4070000}"/>
    <cellStyle name="Followed Hyperlink 2" xfId="6250" hidden="1" xr:uid="{00000000-0005-0000-0000-0000F5070000}"/>
    <cellStyle name="Followed Hyperlink 2" xfId="6248" hidden="1" xr:uid="{00000000-0005-0000-0000-0000F6070000}"/>
    <cellStyle name="Followed Hyperlink 2" xfId="6249" hidden="1" xr:uid="{00000000-0005-0000-0000-0000F7070000}"/>
    <cellStyle name="Followed Hyperlink 2" xfId="6259" hidden="1" xr:uid="{00000000-0005-0000-0000-0000F8070000}"/>
    <cellStyle name="Followed Hyperlink 2" xfId="6262" hidden="1" xr:uid="{00000000-0005-0000-0000-0000F9070000}"/>
    <cellStyle name="Followed Hyperlink 2" xfId="6265" hidden="1" xr:uid="{00000000-0005-0000-0000-0000FA070000}"/>
    <cellStyle name="Followed Hyperlink 2" xfId="6269" hidden="1" xr:uid="{00000000-0005-0000-0000-0000FB070000}"/>
    <cellStyle name="Followed Hyperlink 2" xfId="4848" hidden="1" xr:uid="{00000000-0005-0000-0000-0000FC070000}"/>
    <cellStyle name="Followed Hyperlink 2" xfId="4844" hidden="1" xr:uid="{00000000-0005-0000-0000-0000FD070000}"/>
    <cellStyle name="Followed Hyperlink 2" xfId="4845" hidden="1" xr:uid="{00000000-0005-0000-0000-0000FE070000}"/>
    <cellStyle name="Followed Hyperlink 2" xfId="4832" hidden="1" xr:uid="{00000000-0005-0000-0000-0000FF070000}"/>
    <cellStyle name="Followed Hyperlink 2" xfId="6272" hidden="1" xr:uid="{00000000-0005-0000-0000-000000080000}"/>
    <cellStyle name="Followed Hyperlink 2" xfId="6275" hidden="1" xr:uid="{00000000-0005-0000-0000-000001080000}"/>
    <cellStyle name="Followed Hyperlink 2" xfId="6278" hidden="1" xr:uid="{00000000-0005-0000-0000-000002080000}"/>
    <cellStyle name="Followed Hyperlink 2" xfId="6282" hidden="1" xr:uid="{00000000-0005-0000-0000-000003080000}"/>
    <cellStyle name="Followed Hyperlink 2" xfId="6290" hidden="1" xr:uid="{00000000-0005-0000-0000-000004080000}"/>
    <cellStyle name="Followed Hyperlink 2" xfId="6287" hidden="1" xr:uid="{00000000-0005-0000-0000-000005080000}"/>
    <cellStyle name="Followed Hyperlink 2" xfId="6285" hidden="1" xr:uid="{00000000-0005-0000-0000-000006080000}"/>
    <cellStyle name="Followed Hyperlink 2" xfId="6286" hidden="1" xr:uid="{00000000-0005-0000-0000-000007080000}"/>
    <cellStyle name="Followed Hyperlink 2" xfId="6296" hidden="1" xr:uid="{00000000-0005-0000-0000-000008080000}"/>
    <cellStyle name="Followed Hyperlink 2" xfId="6299" hidden="1" xr:uid="{00000000-0005-0000-0000-000009080000}"/>
    <cellStyle name="Followed Hyperlink 2" xfId="6302" hidden="1" xr:uid="{00000000-0005-0000-0000-00000A080000}"/>
    <cellStyle name="Followed Hyperlink 2" xfId="6306" hidden="1" xr:uid="{00000000-0005-0000-0000-00000B080000}"/>
    <cellStyle name="Followed Hyperlink 2" xfId="6314" hidden="1" xr:uid="{00000000-0005-0000-0000-00000C080000}"/>
    <cellStyle name="Followed Hyperlink 2" xfId="6311" hidden="1" xr:uid="{00000000-0005-0000-0000-00000D080000}"/>
    <cellStyle name="Followed Hyperlink 2" xfId="6309" hidden="1" xr:uid="{00000000-0005-0000-0000-00000E080000}"/>
    <cellStyle name="Followed Hyperlink 2" xfId="6310" hidden="1" xr:uid="{00000000-0005-0000-0000-00000F080000}"/>
    <cellStyle name="Followed Hyperlink 2" xfId="6320" hidden="1" xr:uid="{00000000-0005-0000-0000-000010080000}"/>
    <cellStyle name="Followed Hyperlink 2" xfId="6323" hidden="1" xr:uid="{00000000-0005-0000-0000-000011080000}"/>
    <cellStyle name="Followed Hyperlink 2" xfId="6326" hidden="1" xr:uid="{00000000-0005-0000-0000-000012080000}"/>
    <cellStyle name="Followed Hyperlink 2" xfId="6330" hidden="1" xr:uid="{00000000-0005-0000-0000-000013080000}"/>
    <cellStyle name="Followed Hyperlink 2" xfId="6338" hidden="1" xr:uid="{00000000-0005-0000-0000-000014080000}"/>
    <cellStyle name="Followed Hyperlink 2" xfId="6335" hidden="1" xr:uid="{00000000-0005-0000-0000-000015080000}"/>
    <cellStyle name="Followed Hyperlink 2" xfId="6333" hidden="1" xr:uid="{00000000-0005-0000-0000-000016080000}"/>
    <cellStyle name="Followed Hyperlink 2" xfId="6334" hidden="1" xr:uid="{00000000-0005-0000-0000-000017080000}"/>
    <cellStyle name="Followed Hyperlink 2" xfId="6344" hidden="1" xr:uid="{00000000-0005-0000-0000-000018080000}"/>
    <cellStyle name="Followed Hyperlink 2" xfId="6347" hidden="1" xr:uid="{00000000-0005-0000-0000-000019080000}"/>
    <cellStyle name="Followed Hyperlink 2" xfId="6350" hidden="1" xr:uid="{00000000-0005-0000-0000-00001A080000}"/>
    <cellStyle name="Followed Hyperlink 2" xfId="6354" hidden="1" xr:uid="{00000000-0005-0000-0000-00001B080000}"/>
    <cellStyle name="Followed Hyperlink 2" xfId="6391" hidden="1" xr:uid="{00000000-0005-0000-0000-00001C080000}"/>
    <cellStyle name="Followed Hyperlink 2" xfId="6388" hidden="1" xr:uid="{00000000-0005-0000-0000-00001D080000}"/>
    <cellStyle name="Followed Hyperlink 2" xfId="6386" hidden="1" xr:uid="{00000000-0005-0000-0000-00001E080000}"/>
    <cellStyle name="Followed Hyperlink 2" xfId="6387" hidden="1" xr:uid="{00000000-0005-0000-0000-00001F080000}"/>
    <cellStyle name="Followed Hyperlink 2" xfId="6397" hidden="1" xr:uid="{00000000-0005-0000-0000-000020080000}"/>
    <cellStyle name="Followed Hyperlink 2" xfId="6400" hidden="1" xr:uid="{00000000-0005-0000-0000-000021080000}"/>
    <cellStyle name="Followed Hyperlink 2" xfId="6403" hidden="1" xr:uid="{00000000-0005-0000-0000-000022080000}"/>
    <cellStyle name="Followed Hyperlink 2" xfId="6407" hidden="1" xr:uid="{00000000-0005-0000-0000-000023080000}"/>
    <cellStyle name="Followed Hyperlink 2" xfId="6415" hidden="1" xr:uid="{00000000-0005-0000-0000-000024080000}"/>
    <cellStyle name="Followed Hyperlink 2" xfId="6412" hidden="1" xr:uid="{00000000-0005-0000-0000-000025080000}"/>
    <cellStyle name="Followed Hyperlink 2" xfId="6410" hidden="1" xr:uid="{00000000-0005-0000-0000-000026080000}"/>
    <cellStyle name="Followed Hyperlink 2" xfId="6411" hidden="1" xr:uid="{00000000-0005-0000-0000-000027080000}"/>
    <cellStyle name="Followed Hyperlink 2" xfId="6421" hidden="1" xr:uid="{00000000-0005-0000-0000-000028080000}"/>
    <cellStyle name="Followed Hyperlink 2" xfId="6424" hidden="1" xr:uid="{00000000-0005-0000-0000-000029080000}"/>
    <cellStyle name="Followed Hyperlink 2" xfId="6427" hidden="1" xr:uid="{00000000-0005-0000-0000-00002A080000}"/>
    <cellStyle name="Followed Hyperlink 2" xfId="6431" hidden="1" xr:uid="{00000000-0005-0000-0000-00002B080000}"/>
    <cellStyle name="Followed Hyperlink 2" xfId="6441" hidden="1" xr:uid="{00000000-0005-0000-0000-00002C080000}"/>
    <cellStyle name="Followed Hyperlink 2" xfId="6438" hidden="1" xr:uid="{00000000-0005-0000-0000-00002D080000}"/>
    <cellStyle name="Followed Hyperlink 2" xfId="6436" hidden="1" xr:uid="{00000000-0005-0000-0000-00002E080000}"/>
    <cellStyle name="Followed Hyperlink 2" xfId="6437" hidden="1" xr:uid="{00000000-0005-0000-0000-00002F080000}"/>
    <cellStyle name="Followed Hyperlink 2" xfId="6447" hidden="1" xr:uid="{00000000-0005-0000-0000-000030080000}"/>
    <cellStyle name="Followed Hyperlink 2" xfId="6450" hidden="1" xr:uid="{00000000-0005-0000-0000-000031080000}"/>
    <cellStyle name="Followed Hyperlink 2" xfId="6453" hidden="1" xr:uid="{00000000-0005-0000-0000-000032080000}"/>
    <cellStyle name="Followed Hyperlink 2" xfId="6457" hidden="1" xr:uid="{00000000-0005-0000-0000-000033080000}"/>
    <cellStyle name="Followed Hyperlink 2" xfId="6465" hidden="1" xr:uid="{00000000-0005-0000-0000-000034080000}"/>
    <cellStyle name="Followed Hyperlink 2" xfId="6462" hidden="1" xr:uid="{00000000-0005-0000-0000-000035080000}"/>
    <cellStyle name="Followed Hyperlink 2" xfId="6460" hidden="1" xr:uid="{00000000-0005-0000-0000-000036080000}"/>
    <cellStyle name="Followed Hyperlink 2" xfId="6461" hidden="1" xr:uid="{00000000-0005-0000-0000-000037080000}"/>
    <cellStyle name="Followed Hyperlink 2" xfId="6471" hidden="1" xr:uid="{00000000-0005-0000-0000-000038080000}"/>
    <cellStyle name="Followed Hyperlink 2" xfId="6474" hidden="1" xr:uid="{00000000-0005-0000-0000-000039080000}"/>
    <cellStyle name="Followed Hyperlink 2" xfId="6477" hidden="1" xr:uid="{00000000-0005-0000-0000-00003A080000}"/>
    <cellStyle name="Followed Hyperlink 2" xfId="6481" hidden="1" xr:uid="{00000000-0005-0000-0000-00003B080000}"/>
    <cellStyle name="Followed Hyperlink 2" xfId="6358" hidden="1" xr:uid="{00000000-0005-0000-0000-00003C080000}"/>
    <cellStyle name="Followed Hyperlink 2" xfId="6362" hidden="1" xr:uid="{00000000-0005-0000-0000-00003D080000}"/>
    <cellStyle name="Followed Hyperlink 2" xfId="6357" hidden="1" xr:uid="{00000000-0005-0000-0000-00003E080000}"/>
    <cellStyle name="Followed Hyperlink 2" xfId="6363" hidden="1" xr:uid="{00000000-0005-0000-0000-00003F080000}"/>
    <cellStyle name="Followed Hyperlink 2" xfId="6484" hidden="1" xr:uid="{00000000-0005-0000-0000-000040080000}"/>
    <cellStyle name="Followed Hyperlink 2" xfId="6487" hidden="1" xr:uid="{00000000-0005-0000-0000-000041080000}"/>
    <cellStyle name="Followed Hyperlink 2" xfId="6490" hidden="1" xr:uid="{00000000-0005-0000-0000-000042080000}"/>
    <cellStyle name="Followed Hyperlink 2" xfId="6494" hidden="1" xr:uid="{00000000-0005-0000-0000-000043080000}"/>
    <cellStyle name="Followed Hyperlink 2" xfId="6502" hidden="1" xr:uid="{00000000-0005-0000-0000-000044080000}"/>
    <cellStyle name="Followed Hyperlink 2" xfId="6499" hidden="1" xr:uid="{00000000-0005-0000-0000-000045080000}"/>
    <cellStyle name="Followed Hyperlink 2" xfId="6497" hidden="1" xr:uid="{00000000-0005-0000-0000-000046080000}"/>
    <cellStyle name="Followed Hyperlink 2" xfId="6498" hidden="1" xr:uid="{00000000-0005-0000-0000-000047080000}"/>
    <cellStyle name="Followed Hyperlink 2" xfId="6508" hidden="1" xr:uid="{00000000-0005-0000-0000-000048080000}"/>
    <cellStyle name="Followed Hyperlink 2" xfId="6511" hidden="1" xr:uid="{00000000-0005-0000-0000-000049080000}"/>
    <cellStyle name="Followed Hyperlink 2" xfId="6514" hidden="1" xr:uid="{00000000-0005-0000-0000-00004A080000}"/>
    <cellStyle name="Followed Hyperlink 2" xfId="6518" hidden="1" xr:uid="{00000000-0005-0000-0000-00004B080000}"/>
    <cellStyle name="Followed Hyperlink 2" xfId="6527" hidden="1" xr:uid="{00000000-0005-0000-0000-00004C080000}"/>
    <cellStyle name="Followed Hyperlink 2" xfId="6524" hidden="1" xr:uid="{00000000-0005-0000-0000-00004D080000}"/>
    <cellStyle name="Followed Hyperlink 2" xfId="6522" hidden="1" xr:uid="{00000000-0005-0000-0000-00004E080000}"/>
    <cellStyle name="Followed Hyperlink 2" xfId="6523" hidden="1" xr:uid="{00000000-0005-0000-0000-00004F080000}"/>
    <cellStyle name="Followed Hyperlink 2" xfId="6533" hidden="1" xr:uid="{00000000-0005-0000-0000-000050080000}"/>
    <cellStyle name="Followed Hyperlink 2" xfId="6536" hidden="1" xr:uid="{00000000-0005-0000-0000-000051080000}"/>
    <cellStyle name="Followed Hyperlink 2" xfId="6539" hidden="1" xr:uid="{00000000-0005-0000-0000-000052080000}"/>
    <cellStyle name="Followed Hyperlink 2" xfId="6543" hidden="1" xr:uid="{00000000-0005-0000-0000-000053080000}"/>
    <cellStyle name="Followed Hyperlink 2" xfId="6551" hidden="1" xr:uid="{00000000-0005-0000-0000-000054080000}"/>
    <cellStyle name="Followed Hyperlink 2" xfId="6548" hidden="1" xr:uid="{00000000-0005-0000-0000-000055080000}"/>
    <cellStyle name="Followed Hyperlink 2" xfId="6546" hidden="1" xr:uid="{00000000-0005-0000-0000-000056080000}"/>
    <cellStyle name="Followed Hyperlink 2" xfId="6547" hidden="1" xr:uid="{00000000-0005-0000-0000-000057080000}"/>
    <cellStyle name="Followed Hyperlink 2" xfId="6557" hidden="1" xr:uid="{00000000-0005-0000-0000-000058080000}"/>
    <cellStyle name="Followed Hyperlink 2" xfId="6560" hidden="1" xr:uid="{00000000-0005-0000-0000-000059080000}"/>
    <cellStyle name="Followed Hyperlink 2" xfId="6563" hidden="1" xr:uid="{00000000-0005-0000-0000-00005A080000}"/>
    <cellStyle name="Followed Hyperlink 2" xfId="6567" hidden="1" xr:uid="{00000000-0005-0000-0000-00005B080000}"/>
    <cellStyle name="Followed Hyperlink 2" xfId="6376" hidden="1" xr:uid="{00000000-0005-0000-0000-00005C080000}"/>
    <cellStyle name="Followed Hyperlink 2" xfId="6373" hidden="1" xr:uid="{00000000-0005-0000-0000-00005D080000}"/>
    <cellStyle name="Followed Hyperlink 2" xfId="6367" hidden="1" xr:uid="{00000000-0005-0000-0000-00005E080000}"/>
    <cellStyle name="Followed Hyperlink 2" xfId="6372" hidden="1" xr:uid="{00000000-0005-0000-0000-00005F080000}"/>
    <cellStyle name="Followed Hyperlink 2" xfId="6570" hidden="1" xr:uid="{00000000-0005-0000-0000-000060080000}"/>
    <cellStyle name="Followed Hyperlink 2" xfId="6573" hidden="1" xr:uid="{00000000-0005-0000-0000-000061080000}"/>
    <cellStyle name="Followed Hyperlink 2" xfId="6576" hidden="1" xr:uid="{00000000-0005-0000-0000-000062080000}"/>
    <cellStyle name="Followed Hyperlink 2" xfId="6580" hidden="1" xr:uid="{00000000-0005-0000-0000-000063080000}"/>
    <cellStyle name="Followed Hyperlink 2" xfId="6588" hidden="1" xr:uid="{00000000-0005-0000-0000-000064080000}"/>
    <cellStyle name="Followed Hyperlink 2" xfId="6585" hidden="1" xr:uid="{00000000-0005-0000-0000-000065080000}"/>
    <cellStyle name="Followed Hyperlink 2" xfId="6583" hidden="1" xr:uid="{00000000-0005-0000-0000-000066080000}"/>
    <cellStyle name="Followed Hyperlink 2" xfId="6584" hidden="1" xr:uid="{00000000-0005-0000-0000-000067080000}"/>
    <cellStyle name="Followed Hyperlink 2" xfId="6594" hidden="1" xr:uid="{00000000-0005-0000-0000-000068080000}"/>
    <cellStyle name="Followed Hyperlink 2" xfId="6597" hidden="1" xr:uid="{00000000-0005-0000-0000-000069080000}"/>
    <cellStyle name="Followed Hyperlink 2" xfId="6600" hidden="1" xr:uid="{00000000-0005-0000-0000-00006A080000}"/>
    <cellStyle name="Followed Hyperlink 2" xfId="6604" hidden="1" xr:uid="{00000000-0005-0000-0000-00006B080000}"/>
    <cellStyle name="Followed Hyperlink 2" xfId="6613" hidden="1" xr:uid="{00000000-0005-0000-0000-00006C080000}"/>
    <cellStyle name="Followed Hyperlink 2" xfId="6610" hidden="1" xr:uid="{00000000-0005-0000-0000-00006D080000}"/>
    <cellStyle name="Followed Hyperlink 2" xfId="6608" hidden="1" xr:uid="{00000000-0005-0000-0000-00006E080000}"/>
    <cellStyle name="Followed Hyperlink 2" xfId="6609" hidden="1" xr:uid="{00000000-0005-0000-0000-00006F080000}"/>
    <cellStyle name="Followed Hyperlink 2" xfId="6619" hidden="1" xr:uid="{00000000-0005-0000-0000-000070080000}"/>
    <cellStyle name="Followed Hyperlink 2" xfId="6622" hidden="1" xr:uid="{00000000-0005-0000-0000-000071080000}"/>
    <cellStyle name="Followed Hyperlink 2" xfId="6625" hidden="1" xr:uid="{00000000-0005-0000-0000-000072080000}"/>
    <cellStyle name="Followed Hyperlink 2" xfId="6629" hidden="1" xr:uid="{00000000-0005-0000-0000-000073080000}"/>
    <cellStyle name="Followed Hyperlink 2" xfId="6637" hidden="1" xr:uid="{00000000-0005-0000-0000-000074080000}"/>
    <cellStyle name="Followed Hyperlink 2" xfId="6634" hidden="1" xr:uid="{00000000-0005-0000-0000-000075080000}"/>
    <cellStyle name="Followed Hyperlink 2" xfId="6632" hidden="1" xr:uid="{00000000-0005-0000-0000-000076080000}"/>
    <cellStyle name="Followed Hyperlink 2" xfId="6633" hidden="1" xr:uid="{00000000-0005-0000-0000-000077080000}"/>
    <cellStyle name="Followed Hyperlink 2" xfId="6643" hidden="1" xr:uid="{00000000-0005-0000-0000-000078080000}"/>
    <cellStyle name="Followed Hyperlink 2" xfId="6646" hidden="1" xr:uid="{00000000-0005-0000-0000-000079080000}"/>
    <cellStyle name="Followed Hyperlink 2" xfId="6649" hidden="1" xr:uid="{00000000-0005-0000-0000-00007A080000}"/>
    <cellStyle name="Followed Hyperlink 2" xfId="6653" hidden="1" xr:uid="{00000000-0005-0000-0000-00007B080000}"/>
    <cellStyle name="Followed Hyperlink 2" xfId="6384" hidden="1" xr:uid="{00000000-0005-0000-0000-00007C080000}"/>
    <cellStyle name="Followed Hyperlink 2" xfId="6380" hidden="1" xr:uid="{00000000-0005-0000-0000-00007D080000}"/>
    <cellStyle name="Followed Hyperlink 2" xfId="6381" hidden="1" xr:uid="{00000000-0005-0000-0000-00007E080000}"/>
    <cellStyle name="Followed Hyperlink 2" xfId="6368" hidden="1" xr:uid="{00000000-0005-0000-0000-00007F080000}"/>
    <cellStyle name="Followed Hyperlink 2" xfId="6656" hidden="1" xr:uid="{00000000-0005-0000-0000-000080080000}"/>
    <cellStyle name="Followed Hyperlink 2" xfId="6659" hidden="1" xr:uid="{00000000-0005-0000-0000-000081080000}"/>
    <cellStyle name="Followed Hyperlink 2" xfId="6662" hidden="1" xr:uid="{00000000-0005-0000-0000-000082080000}"/>
    <cellStyle name="Followed Hyperlink 2" xfId="6666" hidden="1" xr:uid="{00000000-0005-0000-0000-000083080000}"/>
    <cellStyle name="Followed Hyperlink 2" xfId="6674" hidden="1" xr:uid="{00000000-0005-0000-0000-000084080000}"/>
    <cellStyle name="Followed Hyperlink 2" xfId="6671" hidden="1" xr:uid="{00000000-0005-0000-0000-000085080000}"/>
    <cellStyle name="Followed Hyperlink 2" xfId="6669" hidden="1" xr:uid="{00000000-0005-0000-0000-000086080000}"/>
    <cellStyle name="Followed Hyperlink 2" xfId="6670" hidden="1" xr:uid="{00000000-0005-0000-0000-000087080000}"/>
    <cellStyle name="Followed Hyperlink 2" xfId="6680" hidden="1" xr:uid="{00000000-0005-0000-0000-000088080000}"/>
    <cellStyle name="Followed Hyperlink 2" xfId="6683" hidden="1" xr:uid="{00000000-0005-0000-0000-000089080000}"/>
    <cellStyle name="Followed Hyperlink 2" xfId="6686" hidden="1" xr:uid="{00000000-0005-0000-0000-00008A080000}"/>
    <cellStyle name="Followed Hyperlink 2" xfId="6690" hidden="1" xr:uid="{00000000-0005-0000-0000-00008B080000}"/>
    <cellStyle name="Followed Hyperlink 2" xfId="6698" hidden="1" xr:uid="{00000000-0005-0000-0000-00008C080000}"/>
    <cellStyle name="Followed Hyperlink 2" xfId="6695" hidden="1" xr:uid="{00000000-0005-0000-0000-00008D080000}"/>
    <cellStyle name="Followed Hyperlink 2" xfId="6693" hidden="1" xr:uid="{00000000-0005-0000-0000-00008E080000}"/>
    <cellStyle name="Followed Hyperlink 2" xfId="6694" hidden="1" xr:uid="{00000000-0005-0000-0000-00008F080000}"/>
    <cellStyle name="Followed Hyperlink 2" xfId="6704" hidden="1" xr:uid="{00000000-0005-0000-0000-000090080000}"/>
    <cellStyle name="Followed Hyperlink 2" xfId="6707" hidden="1" xr:uid="{00000000-0005-0000-0000-000091080000}"/>
    <cellStyle name="Followed Hyperlink 2" xfId="6710" hidden="1" xr:uid="{00000000-0005-0000-0000-000092080000}"/>
    <cellStyle name="Followed Hyperlink 2" xfId="6714" hidden="1" xr:uid="{00000000-0005-0000-0000-000093080000}"/>
    <cellStyle name="Followed Hyperlink 2" xfId="6722" hidden="1" xr:uid="{00000000-0005-0000-0000-000094080000}"/>
    <cellStyle name="Followed Hyperlink 2" xfId="6719" hidden="1" xr:uid="{00000000-0005-0000-0000-000095080000}"/>
    <cellStyle name="Followed Hyperlink 2" xfId="6717" hidden="1" xr:uid="{00000000-0005-0000-0000-000096080000}"/>
    <cellStyle name="Followed Hyperlink 2" xfId="6718" hidden="1" xr:uid="{00000000-0005-0000-0000-000097080000}"/>
    <cellStyle name="Followed Hyperlink 2" xfId="6728" hidden="1" xr:uid="{00000000-0005-0000-0000-000098080000}"/>
    <cellStyle name="Followed Hyperlink 2" xfId="6731" hidden="1" xr:uid="{00000000-0005-0000-0000-000099080000}"/>
    <cellStyle name="Followed Hyperlink 2" xfId="6734" hidden="1" xr:uid="{00000000-0005-0000-0000-00009A080000}"/>
    <cellStyle name="Followed Hyperlink 2" xfId="6738" hidden="1" xr:uid="{00000000-0005-0000-0000-00009B080000}"/>
    <cellStyle name="Followed Hyperlink 2" xfId="709" hidden="1" xr:uid="{00000000-0005-0000-0000-00009C080000}"/>
    <cellStyle name="Followed Hyperlink 2" xfId="705" hidden="1" xr:uid="{00000000-0005-0000-0000-00009D080000}"/>
    <cellStyle name="Followed Hyperlink 2" xfId="706" hidden="1" xr:uid="{00000000-0005-0000-0000-00009E080000}"/>
    <cellStyle name="Followed Hyperlink 2" xfId="693" hidden="1" xr:uid="{00000000-0005-0000-0000-00009F080000}"/>
    <cellStyle name="Followed Hyperlink 2" xfId="6741" hidden="1" xr:uid="{00000000-0005-0000-0000-0000A0080000}"/>
    <cellStyle name="Followed Hyperlink 2" xfId="6744" hidden="1" xr:uid="{00000000-0005-0000-0000-0000A1080000}"/>
    <cellStyle name="Followed Hyperlink 2" xfId="6747" hidden="1" xr:uid="{00000000-0005-0000-0000-0000A2080000}"/>
    <cellStyle name="Followed Hyperlink 2" xfId="6751" hidden="1" xr:uid="{00000000-0005-0000-0000-0000A3080000}"/>
    <cellStyle name="Followed Hyperlink 2" xfId="6759" hidden="1" xr:uid="{00000000-0005-0000-0000-0000A4080000}"/>
    <cellStyle name="Followed Hyperlink 2" xfId="6756" hidden="1" xr:uid="{00000000-0005-0000-0000-0000A5080000}"/>
    <cellStyle name="Followed Hyperlink 2" xfId="6754" hidden="1" xr:uid="{00000000-0005-0000-0000-0000A6080000}"/>
    <cellStyle name="Followed Hyperlink 2" xfId="6755" hidden="1" xr:uid="{00000000-0005-0000-0000-0000A7080000}"/>
    <cellStyle name="Followed Hyperlink 2" xfId="6765" hidden="1" xr:uid="{00000000-0005-0000-0000-0000A8080000}"/>
    <cellStyle name="Followed Hyperlink 2" xfId="6768" hidden="1" xr:uid="{00000000-0005-0000-0000-0000A9080000}"/>
    <cellStyle name="Followed Hyperlink 2" xfId="6771" hidden="1" xr:uid="{00000000-0005-0000-0000-0000AA080000}"/>
    <cellStyle name="Followed Hyperlink 2" xfId="6775" hidden="1" xr:uid="{00000000-0005-0000-0000-0000AB080000}"/>
    <cellStyle name="Followed Hyperlink 2" xfId="6783" hidden="1" xr:uid="{00000000-0005-0000-0000-0000AC080000}"/>
    <cellStyle name="Followed Hyperlink 2" xfId="6780" hidden="1" xr:uid="{00000000-0005-0000-0000-0000AD080000}"/>
    <cellStyle name="Followed Hyperlink 2" xfId="6778" hidden="1" xr:uid="{00000000-0005-0000-0000-0000AE080000}"/>
    <cellStyle name="Followed Hyperlink 2" xfId="6779" hidden="1" xr:uid="{00000000-0005-0000-0000-0000AF080000}"/>
    <cellStyle name="Followed Hyperlink 2" xfId="6789" hidden="1" xr:uid="{00000000-0005-0000-0000-0000B0080000}"/>
    <cellStyle name="Followed Hyperlink 2" xfId="6792" hidden="1" xr:uid="{00000000-0005-0000-0000-0000B1080000}"/>
    <cellStyle name="Followed Hyperlink 2" xfId="6795" hidden="1" xr:uid="{00000000-0005-0000-0000-0000B2080000}"/>
    <cellStyle name="Followed Hyperlink 2" xfId="6799" hidden="1" xr:uid="{00000000-0005-0000-0000-0000B3080000}"/>
    <cellStyle name="Followed Hyperlink 2" xfId="6807" hidden="1" xr:uid="{00000000-0005-0000-0000-0000B4080000}"/>
    <cellStyle name="Followed Hyperlink 2" xfId="6804" hidden="1" xr:uid="{00000000-0005-0000-0000-0000B5080000}"/>
    <cellStyle name="Followed Hyperlink 2" xfId="6802" hidden="1" xr:uid="{00000000-0005-0000-0000-0000B6080000}"/>
    <cellStyle name="Followed Hyperlink 2" xfId="6803" hidden="1" xr:uid="{00000000-0005-0000-0000-0000B7080000}"/>
    <cellStyle name="Followed Hyperlink 2" xfId="6813" hidden="1" xr:uid="{00000000-0005-0000-0000-0000B8080000}"/>
    <cellStyle name="Followed Hyperlink 2" xfId="6816" hidden="1" xr:uid="{00000000-0005-0000-0000-0000B9080000}"/>
    <cellStyle name="Followed Hyperlink 2" xfId="6819" hidden="1" xr:uid="{00000000-0005-0000-0000-0000BA080000}"/>
    <cellStyle name="Followed Hyperlink 2" xfId="6823" hidden="1" xr:uid="{00000000-0005-0000-0000-0000BB080000}"/>
    <cellStyle name="Followed Hyperlink 2" xfId="6860" hidden="1" xr:uid="{00000000-0005-0000-0000-0000BC080000}"/>
    <cellStyle name="Followed Hyperlink 2" xfId="6857" hidden="1" xr:uid="{00000000-0005-0000-0000-0000BD080000}"/>
    <cellStyle name="Followed Hyperlink 2" xfId="6855" hidden="1" xr:uid="{00000000-0005-0000-0000-0000BE080000}"/>
    <cellStyle name="Followed Hyperlink 2" xfId="6856" hidden="1" xr:uid="{00000000-0005-0000-0000-0000BF080000}"/>
    <cellStyle name="Followed Hyperlink 2" xfId="6866" hidden="1" xr:uid="{00000000-0005-0000-0000-0000C0080000}"/>
    <cellStyle name="Followed Hyperlink 2" xfId="6869" hidden="1" xr:uid="{00000000-0005-0000-0000-0000C1080000}"/>
    <cellStyle name="Followed Hyperlink 2" xfId="6872" hidden="1" xr:uid="{00000000-0005-0000-0000-0000C2080000}"/>
    <cellStyle name="Followed Hyperlink 2" xfId="6876" hidden="1" xr:uid="{00000000-0005-0000-0000-0000C3080000}"/>
    <cellStyle name="Followed Hyperlink 2" xfId="6884" hidden="1" xr:uid="{00000000-0005-0000-0000-0000C4080000}"/>
    <cellStyle name="Followed Hyperlink 2" xfId="6881" hidden="1" xr:uid="{00000000-0005-0000-0000-0000C5080000}"/>
    <cellStyle name="Followed Hyperlink 2" xfId="6879" hidden="1" xr:uid="{00000000-0005-0000-0000-0000C6080000}"/>
    <cellStyle name="Followed Hyperlink 2" xfId="6880" hidden="1" xr:uid="{00000000-0005-0000-0000-0000C7080000}"/>
    <cellStyle name="Followed Hyperlink 2" xfId="6890" hidden="1" xr:uid="{00000000-0005-0000-0000-0000C8080000}"/>
    <cellStyle name="Followed Hyperlink 2" xfId="6893" hidden="1" xr:uid="{00000000-0005-0000-0000-0000C9080000}"/>
    <cellStyle name="Followed Hyperlink 2" xfId="6896" hidden="1" xr:uid="{00000000-0005-0000-0000-0000CA080000}"/>
    <cellStyle name="Followed Hyperlink 2" xfId="6900" hidden="1" xr:uid="{00000000-0005-0000-0000-0000CB080000}"/>
    <cellStyle name="Followed Hyperlink 2" xfId="6910" hidden="1" xr:uid="{00000000-0005-0000-0000-0000CC080000}"/>
    <cellStyle name="Followed Hyperlink 2" xfId="6907" hidden="1" xr:uid="{00000000-0005-0000-0000-0000CD080000}"/>
    <cellStyle name="Followed Hyperlink 2" xfId="6905" hidden="1" xr:uid="{00000000-0005-0000-0000-0000CE080000}"/>
    <cellStyle name="Followed Hyperlink 2" xfId="6906" hidden="1" xr:uid="{00000000-0005-0000-0000-0000CF080000}"/>
    <cellStyle name="Followed Hyperlink 2" xfId="6916" hidden="1" xr:uid="{00000000-0005-0000-0000-0000D0080000}"/>
    <cellStyle name="Followed Hyperlink 2" xfId="6919" hidden="1" xr:uid="{00000000-0005-0000-0000-0000D1080000}"/>
    <cellStyle name="Followed Hyperlink 2" xfId="6922" hidden="1" xr:uid="{00000000-0005-0000-0000-0000D2080000}"/>
    <cellStyle name="Followed Hyperlink 2" xfId="6926" hidden="1" xr:uid="{00000000-0005-0000-0000-0000D3080000}"/>
    <cellStyle name="Followed Hyperlink 2" xfId="6934" hidden="1" xr:uid="{00000000-0005-0000-0000-0000D4080000}"/>
    <cellStyle name="Followed Hyperlink 2" xfId="6931" hidden="1" xr:uid="{00000000-0005-0000-0000-0000D5080000}"/>
    <cellStyle name="Followed Hyperlink 2" xfId="6929" hidden="1" xr:uid="{00000000-0005-0000-0000-0000D6080000}"/>
    <cellStyle name="Followed Hyperlink 2" xfId="6930" hidden="1" xr:uid="{00000000-0005-0000-0000-0000D7080000}"/>
    <cellStyle name="Followed Hyperlink 2" xfId="6940" hidden="1" xr:uid="{00000000-0005-0000-0000-0000D8080000}"/>
    <cellStyle name="Followed Hyperlink 2" xfId="6943" hidden="1" xr:uid="{00000000-0005-0000-0000-0000D9080000}"/>
    <cellStyle name="Followed Hyperlink 2" xfId="6946" hidden="1" xr:uid="{00000000-0005-0000-0000-0000DA080000}"/>
    <cellStyle name="Followed Hyperlink 2" xfId="6950" hidden="1" xr:uid="{00000000-0005-0000-0000-0000DB080000}"/>
    <cellStyle name="Followed Hyperlink 2" xfId="6987" hidden="1" xr:uid="{00000000-0005-0000-0000-0000DC080000}"/>
    <cellStyle name="Followed Hyperlink 2" xfId="6984" hidden="1" xr:uid="{00000000-0005-0000-0000-0000DD080000}"/>
    <cellStyle name="Followed Hyperlink 2" xfId="6982" hidden="1" xr:uid="{00000000-0005-0000-0000-0000DE080000}"/>
    <cellStyle name="Followed Hyperlink 2" xfId="6983" hidden="1" xr:uid="{00000000-0005-0000-0000-0000DF080000}"/>
    <cellStyle name="Followed Hyperlink 2" xfId="6993" hidden="1" xr:uid="{00000000-0005-0000-0000-0000E0080000}"/>
    <cellStyle name="Followed Hyperlink 2" xfId="6996" hidden="1" xr:uid="{00000000-0005-0000-0000-0000E1080000}"/>
    <cellStyle name="Followed Hyperlink 2" xfId="6999" hidden="1" xr:uid="{00000000-0005-0000-0000-0000E2080000}"/>
    <cellStyle name="Followed Hyperlink 2" xfId="7003" hidden="1" xr:uid="{00000000-0005-0000-0000-0000E3080000}"/>
    <cellStyle name="Followed Hyperlink 2" xfId="7011" hidden="1" xr:uid="{00000000-0005-0000-0000-0000E4080000}"/>
    <cellStyle name="Followed Hyperlink 2" xfId="7008" hidden="1" xr:uid="{00000000-0005-0000-0000-0000E5080000}"/>
    <cellStyle name="Followed Hyperlink 2" xfId="7006" hidden="1" xr:uid="{00000000-0005-0000-0000-0000E6080000}"/>
    <cellStyle name="Followed Hyperlink 2" xfId="7007" hidden="1" xr:uid="{00000000-0005-0000-0000-0000E7080000}"/>
    <cellStyle name="Followed Hyperlink 2" xfId="7017" hidden="1" xr:uid="{00000000-0005-0000-0000-0000E8080000}"/>
    <cellStyle name="Followed Hyperlink 2" xfId="7020" hidden="1" xr:uid="{00000000-0005-0000-0000-0000E9080000}"/>
    <cellStyle name="Followed Hyperlink 2" xfId="7023" hidden="1" xr:uid="{00000000-0005-0000-0000-0000EA080000}"/>
    <cellStyle name="Followed Hyperlink 2" xfId="7027" hidden="1" xr:uid="{00000000-0005-0000-0000-0000EB080000}"/>
    <cellStyle name="Followed Hyperlink 2" xfId="7037" hidden="1" xr:uid="{00000000-0005-0000-0000-0000EC080000}"/>
    <cellStyle name="Followed Hyperlink 2" xfId="7034" hidden="1" xr:uid="{00000000-0005-0000-0000-0000ED080000}"/>
    <cellStyle name="Followed Hyperlink 2" xfId="7032" hidden="1" xr:uid="{00000000-0005-0000-0000-0000EE080000}"/>
    <cellStyle name="Followed Hyperlink 2" xfId="7033" hidden="1" xr:uid="{00000000-0005-0000-0000-0000EF080000}"/>
    <cellStyle name="Followed Hyperlink 2" xfId="7043" hidden="1" xr:uid="{00000000-0005-0000-0000-0000F0080000}"/>
    <cellStyle name="Followed Hyperlink 2" xfId="7046" hidden="1" xr:uid="{00000000-0005-0000-0000-0000F1080000}"/>
    <cellStyle name="Followed Hyperlink 2" xfId="7049" hidden="1" xr:uid="{00000000-0005-0000-0000-0000F2080000}"/>
    <cellStyle name="Followed Hyperlink 2" xfId="7053" hidden="1" xr:uid="{00000000-0005-0000-0000-0000F3080000}"/>
    <cellStyle name="Followed Hyperlink 2" xfId="7061" hidden="1" xr:uid="{00000000-0005-0000-0000-0000F4080000}"/>
    <cellStyle name="Followed Hyperlink 2" xfId="7058" hidden="1" xr:uid="{00000000-0005-0000-0000-0000F5080000}"/>
    <cellStyle name="Followed Hyperlink 2" xfId="7056" hidden="1" xr:uid="{00000000-0005-0000-0000-0000F6080000}"/>
    <cellStyle name="Followed Hyperlink 2" xfId="7057" hidden="1" xr:uid="{00000000-0005-0000-0000-0000F7080000}"/>
    <cellStyle name="Followed Hyperlink 2" xfId="7067" hidden="1" xr:uid="{00000000-0005-0000-0000-0000F8080000}"/>
    <cellStyle name="Followed Hyperlink 2" xfId="7070" hidden="1" xr:uid="{00000000-0005-0000-0000-0000F9080000}"/>
    <cellStyle name="Followed Hyperlink 2" xfId="7073" hidden="1" xr:uid="{00000000-0005-0000-0000-0000FA080000}"/>
    <cellStyle name="Followed Hyperlink 2" xfId="7077" hidden="1" xr:uid="{00000000-0005-0000-0000-0000FB080000}"/>
    <cellStyle name="Followed Hyperlink 2" xfId="6954" hidden="1" xr:uid="{00000000-0005-0000-0000-0000FC080000}"/>
    <cellStyle name="Followed Hyperlink 2" xfId="6958" hidden="1" xr:uid="{00000000-0005-0000-0000-0000FD080000}"/>
    <cellStyle name="Followed Hyperlink 2" xfId="6953" hidden="1" xr:uid="{00000000-0005-0000-0000-0000FE080000}"/>
    <cellStyle name="Followed Hyperlink 2" xfId="6959" hidden="1" xr:uid="{00000000-0005-0000-0000-0000FF080000}"/>
    <cellStyle name="Followed Hyperlink 2" xfId="7080" hidden="1" xr:uid="{00000000-0005-0000-0000-000000090000}"/>
    <cellStyle name="Followed Hyperlink 2" xfId="7083" hidden="1" xr:uid="{00000000-0005-0000-0000-000001090000}"/>
    <cellStyle name="Followed Hyperlink 2" xfId="7086" hidden="1" xr:uid="{00000000-0005-0000-0000-000002090000}"/>
    <cellStyle name="Followed Hyperlink 2" xfId="7090" hidden="1" xr:uid="{00000000-0005-0000-0000-000003090000}"/>
    <cellStyle name="Followed Hyperlink 2" xfId="7098" hidden="1" xr:uid="{00000000-0005-0000-0000-000004090000}"/>
    <cellStyle name="Followed Hyperlink 2" xfId="7095" hidden="1" xr:uid="{00000000-0005-0000-0000-000005090000}"/>
    <cellStyle name="Followed Hyperlink 2" xfId="7093" hidden="1" xr:uid="{00000000-0005-0000-0000-000006090000}"/>
    <cellStyle name="Followed Hyperlink 2" xfId="7094" hidden="1" xr:uid="{00000000-0005-0000-0000-000007090000}"/>
    <cellStyle name="Followed Hyperlink 2" xfId="7104" hidden="1" xr:uid="{00000000-0005-0000-0000-000008090000}"/>
    <cellStyle name="Followed Hyperlink 2" xfId="7107" hidden="1" xr:uid="{00000000-0005-0000-0000-000009090000}"/>
    <cellStyle name="Followed Hyperlink 2" xfId="7110" hidden="1" xr:uid="{00000000-0005-0000-0000-00000A090000}"/>
    <cellStyle name="Followed Hyperlink 2" xfId="7114" hidden="1" xr:uid="{00000000-0005-0000-0000-00000B090000}"/>
    <cellStyle name="Followed Hyperlink 2" xfId="7123" hidden="1" xr:uid="{00000000-0005-0000-0000-00000C090000}"/>
    <cellStyle name="Followed Hyperlink 2" xfId="7120" hidden="1" xr:uid="{00000000-0005-0000-0000-00000D090000}"/>
    <cellStyle name="Followed Hyperlink 2" xfId="7118" hidden="1" xr:uid="{00000000-0005-0000-0000-00000E090000}"/>
    <cellStyle name="Followed Hyperlink 2" xfId="7119" hidden="1" xr:uid="{00000000-0005-0000-0000-00000F090000}"/>
    <cellStyle name="Followed Hyperlink 2" xfId="7129" hidden="1" xr:uid="{00000000-0005-0000-0000-000010090000}"/>
    <cellStyle name="Followed Hyperlink 2" xfId="7132" hidden="1" xr:uid="{00000000-0005-0000-0000-000011090000}"/>
    <cellStyle name="Followed Hyperlink 2" xfId="7135" hidden="1" xr:uid="{00000000-0005-0000-0000-000012090000}"/>
    <cellStyle name="Followed Hyperlink 2" xfId="7139" hidden="1" xr:uid="{00000000-0005-0000-0000-000013090000}"/>
    <cellStyle name="Followed Hyperlink 2" xfId="7147" hidden="1" xr:uid="{00000000-0005-0000-0000-000014090000}"/>
    <cellStyle name="Followed Hyperlink 2" xfId="7144" hidden="1" xr:uid="{00000000-0005-0000-0000-000015090000}"/>
    <cellStyle name="Followed Hyperlink 2" xfId="7142" hidden="1" xr:uid="{00000000-0005-0000-0000-000016090000}"/>
    <cellStyle name="Followed Hyperlink 2" xfId="7143" hidden="1" xr:uid="{00000000-0005-0000-0000-000017090000}"/>
    <cellStyle name="Followed Hyperlink 2" xfId="7153" hidden="1" xr:uid="{00000000-0005-0000-0000-000018090000}"/>
    <cellStyle name="Followed Hyperlink 2" xfId="7156" hidden="1" xr:uid="{00000000-0005-0000-0000-000019090000}"/>
    <cellStyle name="Followed Hyperlink 2" xfId="7159" hidden="1" xr:uid="{00000000-0005-0000-0000-00001A090000}"/>
    <cellStyle name="Followed Hyperlink 2" xfId="7163" hidden="1" xr:uid="{00000000-0005-0000-0000-00001B090000}"/>
    <cellStyle name="Followed Hyperlink 2" xfId="6972" hidden="1" xr:uid="{00000000-0005-0000-0000-00001C090000}"/>
    <cellStyle name="Followed Hyperlink 2" xfId="6969" hidden="1" xr:uid="{00000000-0005-0000-0000-00001D090000}"/>
    <cellStyle name="Followed Hyperlink 2" xfId="6963" hidden="1" xr:uid="{00000000-0005-0000-0000-00001E090000}"/>
    <cellStyle name="Followed Hyperlink 2" xfId="6968" hidden="1" xr:uid="{00000000-0005-0000-0000-00001F090000}"/>
    <cellStyle name="Followed Hyperlink 2" xfId="7166" hidden="1" xr:uid="{00000000-0005-0000-0000-000020090000}"/>
    <cellStyle name="Followed Hyperlink 2" xfId="7169" hidden="1" xr:uid="{00000000-0005-0000-0000-000021090000}"/>
    <cellStyle name="Followed Hyperlink 2" xfId="7172" hidden="1" xr:uid="{00000000-0005-0000-0000-000022090000}"/>
    <cellStyle name="Followed Hyperlink 2" xfId="7176" hidden="1" xr:uid="{00000000-0005-0000-0000-000023090000}"/>
    <cellStyle name="Followed Hyperlink 2" xfId="7184" hidden="1" xr:uid="{00000000-0005-0000-0000-000024090000}"/>
    <cellStyle name="Followed Hyperlink 2" xfId="7181" hidden="1" xr:uid="{00000000-0005-0000-0000-000025090000}"/>
    <cellStyle name="Followed Hyperlink 2" xfId="7179" hidden="1" xr:uid="{00000000-0005-0000-0000-000026090000}"/>
    <cellStyle name="Followed Hyperlink 2" xfId="7180" hidden="1" xr:uid="{00000000-0005-0000-0000-000027090000}"/>
    <cellStyle name="Followed Hyperlink 2" xfId="7190" hidden="1" xr:uid="{00000000-0005-0000-0000-000028090000}"/>
    <cellStyle name="Followed Hyperlink 2" xfId="7193" hidden="1" xr:uid="{00000000-0005-0000-0000-000029090000}"/>
    <cellStyle name="Followed Hyperlink 2" xfId="7196" hidden="1" xr:uid="{00000000-0005-0000-0000-00002A090000}"/>
    <cellStyle name="Followed Hyperlink 2" xfId="7200" hidden="1" xr:uid="{00000000-0005-0000-0000-00002B090000}"/>
    <cellStyle name="Followed Hyperlink 2" xfId="7209" hidden="1" xr:uid="{00000000-0005-0000-0000-00002C090000}"/>
    <cellStyle name="Followed Hyperlink 2" xfId="7206" hidden="1" xr:uid="{00000000-0005-0000-0000-00002D090000}"/>
    <cellStyle name="Followed Hyperlink 2" xfId="7204" hidden="1" xr:uid="{00000000-0005-0000-0000-00002E090000}"/>
    <cellStyle name="Followed Hyperlink 2" xfId="7205" hidden="1" xr:uid="{00000000-0005-0000-0000-00002F090000}"/>
    <cellStyle name="Followed Hyperlink 2" xfId="7215" hidden="1" xr:uid="{00000000-0005-0000-0000-000030090000}"/>
    <cellStyle name="Followed Hyperlink 2" xfId="7218" hidden="1" xr:uid="{00000000-0005-0000-0000-000031090000}"/>
    <cellStyle name="Followed Hyperlink 2" xfId="7221" hidden="1" xr:uid="{00000000-0005-0000-0000-000032090000}"/>
    <cellStyle name="Followed Hyperlink 2" xfId="7225" hidden="1" xr:uid="{00000000-0005-0000-0000-000033090000}"/>
    <cellStyle name="Followed Hyperlink 2" xfId="7233" hidden="1" xr:uid="{00000000-0005-0000-0000-000034090000}"/>
    <cellStyle name="Followed Hyperlink 2" xfId="7230" hidden="1" xr:uid="{00000000-0005-0000-0000-000035090000}"/>
    <cellStyle name="Followed Hyperlink 2" xfId="7228" hidden="1" xr:uid="{00000000-0005-0000-0000-000036090000}"/>
    <cellStyle name="Followed Hyperlink 2" xfId="7229" hidden="1" xr:uid="{00000000-0005-0000-0000-000037090000}"/>
    <cellStyle name="Followed Hyperlink 2" xfId="7239" hidden="1" xr:uid="{00000000-0005-0000-0000-000038090000}"/>
    <cellStyle name="Followed Hyperlink 2" xfId="7242" hidden="1" xr:uid="{00000000-0005-0000-0000-000039090000}"/>
    <cellStyle name="Followed Hyperlink 2" xfId="7245" hidden="1" xr:uid="{00000000-0005-0000-0000-00003A090000}"/>
    <cellStyle name="Followed Hyperlink 2" xfId="7249" hidden="1" xr:uid="{00000000-0005-0000-0000-00003B090000}"/>
    <cellStyle name="Followed Hyperlink 2" xfId="6980" hidden="1" xr:uid="{00000000-0005-0000-0000-00003C090000}"/>
    <cellStyle name="Followed Hyperlink 2" xfId="6976" hidden="1" xr:uid="{00000000-0005-0000-0000-00003D090000}"/>
    <cellStyle name="Followed Hyperlink 2" xfId="6977" hidden="1" xr:uid="{00000000-0005-0000-0000-00003E090000}"/>
    <cellStyle name="Followed Hyperlink 2" xfId="6964" hidden="1" xr:uid="{00000000-0005-0000-0000-00003F090000}"/>
    <cellStyle name="Followed Hyperlink 2" xfId="7252" hidden="1" xr:uid="{00000000-0005-0000-0000-000040090000}"/>
    <cellStyle name="Followed Hyperlink 2" xfId="7255" hidden="1" xr:uid="{00000000-0005-0000-0000-000041090000}"/>
    <cellStyle name="Followed Hyperlink 2" xfId="7258" hidden="1" xr:uid="{00000000-0005-0000-0000-000042090000}"/>
    <cellStyle name="Followed Hyperlink 2" xfId="7262" hidden="1" xr:uid="{00000000-0005-0000-0000-000043090000}"/>
    <cellStyle name="Followed Hyperlink 2" xfId="7270" hidden="1" xr:uid="{00000000-0005-0000-0000-000044090000}"/>
    <cellStyle name="Followed Hyperlink 2" xfId="7267" hidden="1" xr:uid="{00000000-0005-0000-0000-000045090000}"/>
    <cellStyle name="Followed Hyperlink 2" xfId="7265" hidden="1" xr:uid="{00000000-0005-0000-0000-000046090000}"/>
    <cellStyle name="Followed Hyperlink 2" xfId="7266" hidden="1" xr:uid="{00000000-0005-0000-0000-000047090000}"/>
    <cellStyle name="Followed Hyperlink 2" xfId="7276" hidden="1" xr:uid="{00000000-0005-0000-0000-000048090000}"/>
    <cellStyle name="Followed Hyperlink 2" xfId="7279" hidden="1" xr:uid="{00000000-0005-0000-0000-000049090000}"/>
    <cellStyle name="Followed Hyperlink 2" xfId="7282" hidden="1" xr:uid="{00000000-0005-0000-0000-00004A090000}"/>
    <cellStyle name="Followed Hyperlink 2" xfId="7286" hidden="1" xr:uid="{00000000-0005-0000-0000-00004B090000}"/>
    <cellStyle name="Followed Hyperlink 2" xfId="7294" hidden="1" xr:uid="{00000000-0005-0000-0000-00004C090000}"/>
    <cellStyle name="Followed Hyperlink 2" xfId="7291" hidden="1" xr:uid="{00000000-0005-0000-0000-00004D090000}"/>
    <cellStyle name="Followed Hyperlink 2" xfId="7289" hidden="1" xr:uid="{00000000-0005-0000-0000-00004E090000}"/>
    <cellStyle name="Followed Hyperlink 2" xfId="7290" hidden="1" xr:uid="{00000000-0005-0000-0000-00004F090000}"/>
    <cellStyle name="Followed Hyperlink 2" xfId="7300" hidden="1" xr:uid="{00000000-0005-0000-0000-000050090000}"/>
    <cellStyle name="Followed Hyperlink 2" xfId="7303" hidden="1" xr:uid="{00000000-0005-0000-0000-000051090000}"/>
    <cellStyle name="Followed Hyperlink 2" xfId="7306" hidden="1" xr:uid="{00000000-0005-0000-0000-000052090000}"/>
    <cellStyle name="Followed Hyperlink 2" xfId="7310" hidden="1" xr:uid="{00000000-0005-0000-0000-000053090000}"/>
    <cellStyle name="Followed Hyperlink 2" xfId="7318" hidden="1" xr:uid="{00000000-0005-0000-0000-000054090000}"/>
    <cellStyle name="Followed Hyperlink 2" xfId="7315" hidden="1" xr:uid="{00000000-0005-0000-0000-000055090000}"/>
    <cellStyle name="Followed Hyperlink 2" xfId="7313" hidden="1" xr:uid="{00000000-0005-0000-0000-000056090000}"/>
    <cellStyle name="Followed Hyperlink 2" xfId="7314" hidden="1" xr:uid="{00000000-0005-0000-0000-000057090000}"/>
    <cellStyle name="Followed Hyperlink 2" xfId="7324" hidden="1" xr:uid="{00000000-0005-0000-0000-000058090000}"/>
    <cellStyle name="Followed Hyperlink 2" xfId="7327" hidden="1" xr:uid="{00000000-0005-0000-0000-000059090000}"/>
    <cellStyle name="Followed Hyperlink 2" xfId="7330" hidden="1" xr:uid="{00000000-0005-0000-0000-00005A090000}"/>
    <cellStyle name="Followed Hyperlink 2" xfId="7334" hidden="1" xr:uid="{00000000-0005-0000-0000-00005B090000}"/>
    <cellStyle name="Followed Hyperlink 2" xfId="6827" hidden="1" xr:uid="{00000000-0005-0000-0000-00005C090000}"/>
    <cellStyle name="Followed Hyperlink 2" xfId="6831" hidden="1" xr:uid="{00000000-0005-0000-0000-00005D090000}"/>
    <cellStyle name="Followed Hyperlink 2" xfId="6826" hidden="1" xr:uid="{00000000-0005-0000-0000-00005E090000}"/>
    <cellStyle name="Followed Hyperlink 2" xfId="6832" hidden="1" xr:uid="{00000000-0005-0000-0000-00005F090000}"/>
    <cellStyle name="Followed Hyperlink 2" xfId="7337" hidden="1" xr:uid="{00000000-0005-0000-0000-000060090000}"/>
    <cellStyle name="Followed Hyperlink 2" xfId="7340" hidden="1" xr:uid="{00000000-0005-0000-0000-000061090000}"/>
    <cellStyle name="Followed Hyperlink 2" xfId="7343" hidden="1" xr:uid="{00000000-0005-0000-0000-000062090000}"/>
    <cellStyle name="Followed Hyperlink 2" xfId="7347" hidden="1" xr:uid="{00000000-0005-0000-0000-000063090000}"/>
    <cellStyle name="Followed Hyperlink 2" xfId="7355" hidden="1" xr:uid="{00000000-0005-0000-0000-000064090000}"/>
    <cellStyle name="Followed Hyperlink 2" xfId="7352" hidden="1" xr:uid="{00000000-0005-0000-0000-000065090000}"/>
    <cellStyle name="Followed Hyperlink 2" xfId="7350" hidden="1" xr:uid="{00000000-0005-0000-0000-000066090000}"/>
    <cellStyle name="Followed Hyperlink 2" xfId="7351" hidden="1" xr:uid="{00000000-0005-0000-0000-000067090000}"/>
    <cellStyle name="Followed Hyperlink 2" xfId="7361" hidden="1" xr:uid="{00000000-0005-0000-0000-000068090000}"/>
    <cellStyle name="Followed Hyperlink 2" xfId="7364" hidden="1" xr:uid="{00000000-0005-0000-0000-000069090000}"/>
    <cellStyle name="Followed Hyperlink 2" xfId="7367" hidden="1" xr:uid="{00000000-0005-0000-0000-00006A090000}"/>
    <cellStyle name="Followed Hyperlink 2" xfId="7371" hidden="1" xr:uid="{00000000-0005-0000-0000-00006B090000}"/>
    <cellStyle name="Followed Hyperlink 2" xfId="7380" hidden="1" xr:uid="{00000000-0005-0000-0000-00006C090000}"/>
    <cellStyle name="Followed Hyperlink 2" xfId="7377" hidden="1" xr:uid="{00000000-0005-0000-0000-00006D090000}"/>
    <cellStyle name="Followed Hyperlink 2" xfId="7375" hidden="1" xr:uid="{00000000-0005-0000-0000-00006E090000}"/>
    <cellStyle name="Followed Hyperlink 2" xfId="7376" hidden="1" xr:uid="{00000000-0005-0000-0000-00006F090000}"/>
    <cellStyle name="Followed Hyperlink 2" xfId="7386" hidden="1" xr:uid="{00000000-0005-0000-0000-000070090000}"/>
    <cellStyle name="Followed Hyperlink 2" xfId="7389" hidden="1" xr:uid="{00000000-0005-0000-0000-000071090000}"/>
    <cellStyle name="Followed Hyperlink 2" xfId="7392" hidden="1" xr:uid="{00000000-0005-0000-0000-000072090000}"/>
    <cellStyle name="Followed Hyperlink 2" xfId="7396" hidden="1" xr:uid="{00000000-0005-0000-0000-000073090000}"/>
    <cellStyle name="Followed Hyperlink 2" xfId="7404" hidden="1" xr:uid="{00000000-0005-0000-0000-000074090000}"/>
    <cellStyle name="Followed Hyperlink 2" xfId="7401" hidden="1" xr:uid="{00000000-0005-0000-0000-000075090000}"/>
    <cellStyle name="Followed Hyperlink 2" xfId="7399" hidden="1" xr:uid="{00000000-0005-0000-0000-000076090000}"/>
    <cellStyle name="Followed Hyperlink 2" xfId="7400" hidden="1" xr:uid="{00000000-0005-0000-0000-000077090000}"/>
    <cellStyle name="Followed Hyperlink 2" xfId="7410" hidden="1" xr:uid="{00000000-0005-0000-0000-000078090000}"/>
    <cellStyle name="Followed Hyperlink 2" xfId="7413" hidden="1" xr:uid="{00000000-0005-0000-0000-000079090000}"/>
    <cellStyle name="Followed Hyperlink 2" xfId="7416" hidden="1" xr:uid="{00000000-0005-0000-0000-00007A090000}"/>
    <cellStyle name="Followed Hyperlink 2" xfId="7420" hidden="1" xr:uid="{00000000-0005-0000-0000-00007B090000}"/>
    <cellStyle name="Followed Hyperlink 2" xfId="7457" hidden="1" xr:uid="{00000000-0005-0000-0000-00007C090000}"/>
    <cellStyle name="Followed Hyperlink 2" xfId="7454" hidden="1" xr:uid="{00000000-0005-0000-0000-00007D090000}"/>
    <cellStyle name="Followed Hyperlink 2" xfId="7452" hidden="1" xr:uid="{00000000-0005-0000-0000-00007E090000}"/>
    <cellStyle name="Followed Hyperlink 2" xfId="7453" hidden="1" xr:uid="{00000000-0005-0000-0000-00007F090000}"/>
    <cellStyle name="Followed Hyperlink 2" xfId="7463" hidden="1" xr:uid="{00000000-0005-0000-0000-000080090000}"/>
    <cellStyle name="Followed Hyperlink 2" xfId="7466" hidden="1" xr:uid="{00000000-0005-0000-0000-000081090000}"/>
    <cellStyle name="Followed Hyperlink 2" xfId="7469" hidden="1" xr:uid="{00000000-0005-0000-0000-000082090000}"/>
    <cellStyle name="Followed Hyperlink 2" xfId="7473" hidden="1" xr:uid="{00000000-0005-0000-0000-000083090000}"/>
    <cellStyle name="Followed Hyperlink 2" xfId="7481" hidden="1" xr:uid="{00000000-0005-0000-0000-000084090000}"/>
    <cellStyle name="Followed Hyperlink 2" xfId="7478" hidden="1" xr:uid="{00000000-0005-0000-0000-000085090000}"/>
    <cellStyle name="Followed Hyperlink 2" xfId="7476" hidden="1" xr:uid="{00000000-0005-0000-0000-000086090000}"/>
    <cellStyle name="Followed Hyperlink 2" xfId="7477" hidden="1" xr:uid="{00000000-0005-0000-0000-000087090000}"/>
    <cellStyle name="Followed Hyperlink 2" xfId="7487" hidden="1" xr:uid="{00000000-0005-0000-0000-000088090000}"/>
    <cellStyle name="Followed Hyperlink 2" xfId="7490" hidden="1" xr:uid="{00000000-0005-0000-0000-000089090000}"/>
    <cellStyle name="Followed Hyperlink 2" xfId="7493" hidden="1" xr:uid="{00000000-0005-0000-0000-00008A090000}"/>
    <cellStyle name="Followed Hyperlink 2" xfId="7497" hidden="1" xr:uid="{00000000-0005-0000-0000-00008B090000}"/>
    <cellStyle name="Followed Hyperlink 2" xfId="7507" hidden="1" xr:uid="{00000000-0005-0000-0000-00008C090000}"/>
    <cellStyle name="Followed Hyperlink 2" xfId="7504" hidden="1" xr:uid="{00000000-0005-0000-0000-00008D090000}"/>
    <cellStyle name="Followed Hyperlink 2" xfId="7502" hidden="1" xr:uid="{00000000-0005-0000-0000-00008E090000}"/>
    <cellStyle name="Followed Hyperlink 2" xfId="7503" hidden="1" xr:uid="{00000000-0005-0000-0000-00008F090000}"/>
    <cellStyle name="Followed Hyperlink 2" xfId="7513" hidden="1" xr:uid="{00000000-0005-0000-0000-000090090000}"/>
    <cellStyle name="Followed Hyperlink 2" xfId="7516" hidden="1" xr:uid="{00000000-0005-0000-0000-000091090000}"/>
    <cellStyle name="Followed Hyperlink 2" xfId="7519" hidden="1" xr:uid="{00000000-0005-0000-0000-000092090000}"/>
    <cellStyle name="Followed Hyperlink 2" xfId="7523" hidden="1" xr:uid="{00000000-0005-0000-0000-000093090000}"/>
    <cellStyle name="Followed Hyperlink 2" xfId="7531" hidden="1" xr:uid="{00000000-0005-0000-0000-000094090000}"/>
    <cellStyle name="Followed Hyperlink 2" xfId="7528" hidden="1" xr:uid="{00000000-0005-0000-0000-000095090000}"/>
    <cellStyle name="Followed Hyperlink 2" xfId="7526" hidden="1" xr:uid="{00000000-0005-0000-0000-000096090000}"/>
    <cellStyle name="Followed Hyperlink 2" xfId="7527" hidden="1" xr:uid="{00000000-0005-0000-0000-000097090000}"/>
    <cellStyle name="Followed Hyperlink 2" xfId="7537" hidden="1" xr:uid="{00000000-0005-0000-0000-000098090000}"/>
    <cellStyle name="Followed Hyperlink 2" xfId="7540" hidden="1" xr:uid="{00000000-0005-0000-0000-000099090000}"/>
    <cellStyle name="Followed Hyperlink 2" xfId="7543" hidden="1" xr:uid="{00000000-0005-0000-0000-00009A090000}"/>
    <cellStyle name="Followed Hyperlink 2" xfId="7547" hidden="1" xr:uid="{00000000-0005-0000-0000-00009B090000}"/>
    <cellStyle name="Followed Hyperlink 2" xfId="7424" hidden="1" xr:uid="{00000000-0005-0000-0000-00009C090000}"/>
    <cellStyle name="Followed Hyperlink 2" xfId="7428" hidden="1" xr:uid="{00000000-0005-0000-0000-00009D090000}"/>
    <cellStyle name="Followed Hyperlink 2" xfId="7423" hidden="1" xr:uid="{00000000-0005-0000-0000-00009E090000}"/>
    <cellStyle name="Followed Hyperlink 2" xfId="7429" hidden="1" xr:uid="{00000000-0005-0000-0000-00009F090000}"/>
    <cellStyle name="Followed Hyperlink 2" xfId="7550" hidden="1" xr:uid="{00000000-0005-0000-0000-0000A0090000}"/>
    <cellStyle name="Followed Hyperlink 2" xfId="7553" hidden="1" xr:uid="{00000000-0005-0000-0000-0000A1090000}"/>
    <cellStyle name="Followed Hyperlink 2" xfId="7556" hidden="1" xr:uid="{00000000-0005-0000-0000-0000A2090000}"/>
    <cellStyle name="Followed Hyperlink 2" xfId="7560" hidden="1" xr:uid="{00000000-0005-0000-0000-0000A3090000}"/>
    <cellStyle name="Followed Hyperlink 2" xfId="7568" hidden="1" xr:uid="{00000000-0005-0000-0000-0000A4090000}"/>
    <cellStyle name="Followed Hyperlink 2" xfId="7565" hidden="1" xr:uid="{00000000-0005-0000-0000-0000A5090000}"/>
    <cellStyle name="Followed Hyperlink 2" xfId="7563" hidden="1" xr:uid="{00000000-0005-0000-0000-0000A6090000}"/>
    <cellStyle name="Followed Hyperlink 2" xfId="7564" hidden="1" xr:uid="{00000000-0005-0000-0000-0000A7090000}"/>
    <cellStyle name="Followed Hyperlink 2" xfId="7574" hidden="1" xr:uid="{00000000-0005-0000-0000-0000A8090000}"/>
    <cellStyle name="Followed Hyperlink 2" xfId="7577" hidden="1" xr:uid="{00000000-0005-0000-0000-0000A9090000}"/>
    <cellStyle name="Followed Hyperlink 2" xfId="7580" hidden="1" xr:uid="{00000000-0005-0000-0000-0000AA090000}"/>
    <cellStyle name="Followed Hyperlink 2" xfId="7584" hidden="1" xr:uid="{00000000-0005-0000-0000-0000AB090000}"/>
    <cellStyle name="Followed Hyperlink 2" xfId="7593" hidden="1" xr:uid="{00000000-0005-0000-0000-0000AC090000}"/>
    <cellStyle name="Followed Hyperlink 2" xfId="7590" hidden="1" xr:uid="{00000000-0005-0000-0000-0000AD090000}"/>
    <cellStyle name="Followed Hyperlink 2" xfId="7588" hidden="1" xr:uid="{00000000-0005-0000-0000-0000AE090000}"/>
    <cellStyle name="Followed Hyperlink 2" xfId="7589" hidden="1" xr:uid="{00000000-0005-0000-0000-0000AF090000}"/>
    <cellStyle name="Followed Hyperlink 2" xfId="7599" hidden="1" xr:uid="{00000000-0005-0000-0000-0000B0090000}"/>
    <cellStyle name="Followed Hyperlink 2" xfId="7602" hidden="1" xr:uid="{00000000-0005-0000-0000-0000B1090000}"/>
    <cellStyle name="Followed Hyperlink 2" xfId="7605" hidden="1" xr:uid="{00000000-0005-0000-0000-0000B2090000}"/>
    <cellStyle name="Followed Hyperlink 2" xfId="7609" hidden="1" xr:uid="{00000000-0005-0000-0000-0000B3090000}"/>
    <cellStyle name="Followed Hyperlink 2" xfId="7617" hidden="1" xr:uid="{00000000-0005-0000-0000-0000B4090000}"/>
    <cellStyle name="Followed Hyperlink 2" xfId="7614" hidden="1" xr:uid="{00000000-0005-0000-0000-0000B5090000}"/>
    <cellStyle name="Followed Hyperlink 2" xfId="7612" hidden="1" xr:uid="{00000000-0005-0000-0000-0000B6090000}"/>
    <cellStyle name="Followed Hyperlink 2" xfId="7613" hidden="1" xr:uid="{00000000-0005-0000-0000-0000B7090000}"/>
    <cellStyle name="Followed Hyperlink 2" xfId="7623" hidden="1" xr:uid="{00000000-0005-0000-0000-0000B8090000}"/>
    <cellStyle name="Followed Hyperlink 2" xfId="7626" hidden="1" xr:uid="{00000000-0005-0000-0000-0000B9090000}"/>
    <cellStyle name="Followed Hyperlink 2" xfId="7629" hidden="1" xr:uid="{00000000-0005-0000-0000-0000BA090000}"/>
    <cellStyle name="Followed Hyperlink 2" xfId="7633" hidden="1" xr:uid="{00000000-0005-0000-0000-0000BB090000}"/>
    <cellStyle name="Followed Hyperlink 2" xfId="7442" hidden="1" xr:uid="{00000000-0005-0000-0000-0000BC090000}"/>
    <cellStyle name="Followed Hyperlink 2" xfId="7439" hidden="1" xr:uid="{00000000-0005-0000-0000-0000BD090000}"/>
    <cellStyle name="Followed Hyperlink 2" xfId="7433" hidden="1" xr:uid="{00000000-0005-0000-0000-0000BE090000}"/>
    <cellStyle name="Followed Hyperlink 2" xfId="7438" hidden="1" xr:uid="{00000000-0005-0000-0000-0000BF090000}"/>
    <cellStyle name="Followed Hyperlink 2" xfId="7636" hidden="1" xr:uid="{00000000-0005-0000-0000-0000C0090000}"/>
    <cellStyle name="Followed Hyperlink 2" xfId="7639" hidden="1" xr:uid="{00000000-0005-0000-0000-0000C1090000}"/>
    <cellStyle name="Followed Hyperlink 2" xfId="7642" hidden="1" xr:uid="{00000000-0005-0000-0000-0000C2090000}"/>
    <cellStyle name="Followed Hyperlink 2" xfId="7646" hidden="1" xr:uid="{00000000-0005-0000-0000-0000C3090000}"/>
    <cellStyle name="Followed Hyperlink 2" xfId="7654" hidden="1" xr:uid="{00000000-0005-0000-0000-0000C4090000}"/>
    <cellStyle name="Followed Hyperlink 2" xfId="7651" hidden="1" xr:uid="{00000000-0005-0000-0000-0000C5090000}"/>
    <cellStyle name="Followed Hyperlink 2" xfId="7649" hidden="1" xr:uid="{00000000-0005-0000-0000-0000C6090000}"/>
    <cellStyle name="Followed Hyperlink 2" xfId="7650" hidden="1" xr:uid="{00000000-0005-0000-0000-0000C7090000}"/>
    <cellStyle name="Followed Hyperlink 2" xfId="7660" hidden="1" xr:uid="{00000000-0005-0000-0000-0000C8090000}"/>
    <cellStyle name="Followed Hyperlink 2" xfId="7663" hidden="1" xr:uid="{00000000-0005-0000-0000-0000C9090000}"/>
    <cellStyle name="Followed Hyperlink 2" xfId="7666" hidden="1" xr:uid="{00000000-0005-0000-0000-0000CA090000}"/>
    <cellStyle name="Followed Hyperlink 2" xfId="7670" hidden="1" xr:uid="{00000000-0005-0000-0000-0000CB090000}"/>
    <cellStyle name="Followed Hyperlink 2" xfId="7679" hidden="1" xr:uid="{00000000-0005-0000-0000-0000CC090000}"/>
    <cellStyle name="Followed Hyperlink 2" xfId="7676" hidden="1" xr:uid="{00000000-0005-0000-0000-0000CD090000}"/>
    <cellStyle name="Followed Hyperlink 2" xfId="7674" hidden="1" xr:uid="{00000000-0005-0000-0000-0000CE090000}"/>
    <cellStyle name="Followed Hyperlink 2" xfId="7675" hidden="1" xr:uid="{00000000-0005-0000-0000-0000CF090000}"/>
    <cellStyle name="Followed Hyperlink 2" xfId="7685" hidden="1" xr:uid="{00000000-0005-0000-0000-0000D0090000}"/>
    <cellStyle name="Followed Hyperlink 2" xfId="7688" hidden="1" xr:uid="{00000000-0005-0000-0000-0000D1090000}"/>
    <cellStyle name="Followed Hyperlink 2" xfId="7691" hidden="1" xr:uid="{00000000-0005-0000-0000-0000D2090000}"/>
    <cellStyle name="Followed Hyperlink 2" xfId="7695" hidden="1" xr:uid="{00000000-0005-0000-0000-0000D3090000}"/>
    <cellStyle name="Followed Hyperlink 2" xfId="7703" hidden="1" xr:uid="{00000000-0005-0000-0000-0000D4090000}"/>
    <cellStyle name="Followed Hyperlink 2" xfId="7700" hidden="1" xr:uid="{00000000-0005-0000-0000-0000D5090000}"/>
    <cellStyle name="Followed Hyperlink 2" xfId="7698" hidden="1" xr:uid="{00000000-0005-0000-0000-0000D6090000}"/>
    <cellStyle name="Followed Hyperlink 2" xfId="7699" hidden="1" xr:uid="{00000000-0005-0000-0000-0000D7090000}"/>
    <cellStyle name="Followed Hyperlink 2" xfId="7709" hidden="1" xr:uid="{00000000-0005-0000-0000-0000D8090000}"/>
    <cellStyle name="Followed Hyperlink 2" xfId="7712" hidden="1" xr:uid="{00000000-0005-0000-0000-0000D9090000}"/>
    <cellStyle name="Followed Hyperlink 2" xfId="7715" hidden="1" xr:uid="{00000000-0005-0000-0000-0000DA090000}"/>
    <cellStyle name="Followed Hyperlink 2" xfId="7719" hidden="1" xr:uid="{00000000-0005-0000-0000-0000DB090000}"/>
    <cellStyle name="Followed Hyperlink 2" xfId="7450" hidden="1" xr:uid="{00000000-0005-0000-0000-0000DC090000}"/>
    <cellStyle name="Followed Hyperlink 2" xfId="7446" hidden="1" xr:uid="{00000000-0005-0000-0000-0000DD090000}"/>
    <cellStyle name="Followed Hyperlink 2" xfId="7447" hidden="1" xr:uid="{00000000-0005-0000-0000-0000DE090000}"/>
    <cellStyle name="Followed Hyperlink 2" xfId="7434" hidden="1" xr:uid="{00000000-0005-0000-0000-0000DF090000}"/>
    <cellStyle name="Followed Hyperlink 2" xfId="7722" hidden="1" xr:uid="{00000000-0005-0000-0000-0000E0090000}"/>
    <cellStyle name="Followed Hyperlink 2" xfId="7725" hidden="1" xr:uid="{00000000-0005-0000-0000-0000E1090000}"/>
    <cellStyle name="Followed Hyperlink 2" xfId="7728" hidden="1" xr:uid="{00000000-0005-0000-0000-0000E2090000}"/>
    <cellStyle name="Followed Hyperlink 2" xfId="7732" hidden="1" xr:uid="{00000000-0005-0000-0000-0000E3090000}"/>
    <cellStyle name="Followed Hyperlink 2" xfId="7740" hidden="1" xr:uid="{00000000-0005-0000-0000-0000E4090000}"/>
    <cellStyle name="Followed Hyperlink 2" xfId="7737" hidden="1" xr:uid="{00000000-0005-0000-0000-0000E5090000}"/>
    <cellStyle name="Followed Hyperlink 2" xfId="7735" hidden="1" xr:uid="{00000000-0005-0000-0000-0000E6090000}"/>
    <cellStyle name="Followed Hyperlink 2" xfId="7736" hidden="1" xr:uid="{00000000-0005-0000-0000-0000E7090000}"/>
    <cellStyle name="Followed Hyperlink 2" xfId="7746" hidden="1" xr:uid="{00000000-0005-0000-0000-0000E8090000}"/>
    <cellStyle name="Followed Hyperlink 2" xfId="7749" hidden="1" xr:uid="{00000000-0005-0000-0000-0000E9090000}"/>
    <cellStyle name="Followed Hyperlink 2" xfId="7752" hidden="1" xr:uid="{00000000-0005-0000-0000-0000EA090000}"/>
    <cellStyle name="Followed Hyperlink 2" xfId="7756" hidden="1" xr:uid="{00000000-0005-0000-0000-0000EB090000}"/>
    <cellStyle name="Followed Hyperlink 2" xfId="7764" hidden="1" xr:uid="{00000000-0005-0000-0000-0000EC090000}"/>
    <cellStyle name="Followed Hyperlink 2" xfId="7761" hidden="1" xr:uid="{00000000-0005-0000-0000-0000ED090000}"/>
    <cellStyle name="Followed Hyperlink 2" xfId="7759" hidden="1" xr:uid="{00000000-0005-0000-0000-0000EE090000}"/>
    <cellStyle name="Followed Hyperlink 2" xfId="7760" hidden="1" xr:uid="{00000000-0005-0000-0000-0000EF090000}"/>
    <cellStyle name="Followed Hyperlink 2" xfId="7770" hidden="1" xr:uid="{00000000-0005-0000-0000-0000F0090000}"/>
    <cellStyle name="Followed Hyperlink 2" xfId="7773" hidden="1" xr:uid="{00000000-0005-0000-0000-0000F1090000}"/>
    <cellStyle name="Followed Hyperlink 2" xfId="7776" hidden="1" xr:uid="{00000000-0005-0000-0000-0000F2090000}"/>
    <cellStyle name="Followed Hyperlink 2" xfId="7780" hidden="1" xr:uid="{00000000-0005-0000-0000-0000F3090000}"/>
    <cellStyle name="Followed Hyperlink 2" xfId="7788" hidden="1" xr:uid="{00000000-0005-0000-0000-0000F4090000}"/>
    <cellStyle name="Followed Hyperlink 2" xfId="7785" hidden="1" xr:uid="{00000000-0005-0000-0000-0000F5090000}"/>
    <cellStyle name="Followed Hyperlink 2" xfId="7783" hidden="1" xr:uid="{00000000-0005-0000-0000-0000F6090000}"/>
    <cellStyle name="Followed Hyperlink 2" xfId="7784" hidden="1" xr:uid="{00000000-0005-0000-0000-0000F7090000}"/>
    <cellStyle name="Followed Hyperlink 2" xfId="7794" hidden="1" xr:uid="{00000000-0005-0000-0000-0000F8090000}"/>
    <cellStyle name="Followed Hyperlink 2" xfId="7797" hidden="1" xr:uid="{00000000-0005-0000-0000-0000F9090000}"/>
    <cellStyle name="Followed Hyperlink 2" xfId="7800" hidden="1" xr:uid="{00000000-0005-0000-0000-0000FA090000}"/>
    <cellStyle name="Followed Hyperlink 2" xfId="7804" hidden="1" xr:uid="{00000000-0005-0000-0000-0000FB090000}"/>
    <cellStyle name="Followed Hyperlink 2" xfId="6845" hidden="1" xr:uid="{00000000-0005-0000-0000-0000FC090000}"/>
    <cellStyle name="Followed Hyperlink 2" xfId="6842" hidden="1" xr:uid="{00000000-0005-0000-0000-0000FD090000}"/>
    <cellStyle name="Followed Hyperlink 2" xfId="6836" hidden="1" xr:uid="{00000000-0005-0000-0000-0000FE090000}"/>
    <cellStyle name="Followed Hyperlink 2" xfId="6841" hidden="1" xr:uid="{00000000-0005-0000-0000-0000FF090000}"/>
    <cellStyle name="Followed Hyperlink 2" xfId="7807" hidden="1" xr:uid="{00000000-0005-0000-0000-0000000A0000}"/>
    <cellStyle name="Followed Hyperlink 2" xfId="7810" hidden="1" xr:uid="{00000000-0005-0000-0000-0000010A0000}"/>
    <cellStyle name="Followed Hyperlink 2" xfId="7813" hidden="1" xr:uid="{00000000-0005-0000-0000-0000020A0000}"/>
    <cellStyle name="Followed Hyperlink 2" xfId="7817" hidden="1" xr:uid="{00000000-0005-0000-0000-0000030A0000}"/>
    <cellStyle name="Followed Hyperlink 2" xfId="7825" hidden="1" xr:uid="{00000000-0005-0000-0000-0000040A0000}"/>
    <cellStyle name="Followed Hyperlink 2" xfId="7822" hidden="1" xr:uid="{00000000-0005-0000-0000-0000050A0000}"/>
    <cellStyle name="Followed Hyperlink 2" xfId="7820" hidden="1" xr:uid="{00000000-0005-0000-0000-0000060A0000}"/>
    <cellStyle name="Followed Hyperlink 2" xfId="7821" hidden="1" xr:uid="{00000000-0005-0000-0000-0000070A0000}"/>
    <cellStyle name="Followed Hyperlink 2" xfId="7831" hidden="1" xr:uid="{00000000-0005-0000-0000-0000080A0000}"/>
    <cellStyle name="Followed Hyperlink 2" xfId="7834" hidden="1" xr:uid="{00000000-0005-0000-0000-0000090A0000}"/>
    <cellStyle name="Followed Hyperlink 2" xfId="7837" hidden="1" xr:uid="{00000000-0005-0000-0000-00000A0A0000}"/>
    <cellStyle name="Followed Hyperlink 2" xfId="7841" hidden="1" xr:uid="{00000000-0005-0000-0000-00000B0A0000}"/>
    <cellStyle name="Followed Hyperlink 2" xfId="7850" hidden="1" xr:uid="{00000000-0005-0000-0000-00000C0A0000}"/>
    <cellStyle name="Followed Hyperlink 2" xfId="7847" hidden="1" xr:uid="{00000000-0005-0000-0000-00000D0A0000}"/>
    <cellStyle name="Followed Hyperlink 2" xfId="7845" hidden="1" xr:uid="{00000000-0005-0000-0000-00000E0A0000}"/>
    <cellStyle name="Followed Hyperlink 2" xfId="7846" hidden="1" xr:uid="{00000000-0005-0000-0000-00000F0A0000}"/>
    <cellStyle name="Followed Hyperlink 2" xfId="7856" hidden="1" xr:uid="{00000000-0005-0000-0000-0000100A0000}"/>
    <cellStyle name="Followed Hyperlink 2" xfId="7859" hidden="1" xr:uid="{00000000-0005-0000-0000-0000110A0000}"/>
    <cellStyle name="Followed Hyperlink 2" xfId="7862" hidden="1" xr:uid="{00000000-0005-0000-0000-0000120A0000}"/>
    <cellStyle name="Followed Hyperlink 2" xfId="7866" hidden="1" xr:uid="{00000000-0005-0000-0000-0000130A0000}"/>
    <cellStyle name="Followed Hyperlink 2" xfId="7874" hidden="1" xr:uid="{00000000-0005-0000-0000-0000140A0000}"/>
    <cellStyle name="Followed Hyperlink 2" xfId="7871" hidden="1" xr:uid="{00000000-0005-0000-0000-0000150A0000}"/>
    <cellStyle name="Followed Hyperlink 2" xfId="7869" hidden="1" xr:uid="{00000000-0005-0000-0000-0000160A0000}"/>
    <cellStyle name="Followed Hyperlink 2" xfId="7870" hidden="1" xr:uid="{00000000-0005-0000-0000-0000170A0000}"/>
    <cellStyle name="Followed Hyperlink 2" xfId="7880" hidden="1" xr:uid="{00000000-0005-0000-0000-0000180A0000}"/>
    <cellStyle name="Followed Hyperlink 2" xfId="7883" hidden="1" xr:uid="{00000000-0005-0000-0000-0000190A0000}"/>
    <cellStyle name="Followed Hyperlink 2" xfId="7886" hidden="1" xr:uid="{00000000-0005-0000-0000-00001A0A0000}"/>
    <cellStyle name="Followed Hyperlink 2" xfId="7890" hidden="1" xr:uid="{00000000-0005-0000-0000-00001B0A0000}"/>
    <cellStyle name="Followed Hyperlink 2" xfId="7927" hidden="1" xr:uid="{00000000-0005-0000-0000-00001C0A0000}"/>
    <cellStyle name="Followed Hyperlink 2" xfId="7924" hidden="1" xr:uid="{00000000-0005-0000-0000-00001D0A0000}"/>
    <cellStyle name="Followed Hyperlink 2" xfId="7922" hidden="1" xr:uid="{00000000-0005-0000-0000-00001E0A0000}"/>
    <cellStyle name="Followed Hyperlink 2" xfId="7923" hidden="1" xr:uid="{00000000-0005-0000-0000-00001F0A0000}"/>
    <cellStyle name="Followed Hyperlink 2" xfId="7933" hidden="1" xr:uid="{00000000-0005-0000-0000-0000200A0000}"/>
    <cellStyle name="Followed Hyperlink 2" xfId="7936" hidden="1" xr:uid="{00000000-0005-0000-0000-0000210A0000}"/>
    <cellStyle name="Followed Hyperlink 2" xfId="7939" hidden="1" xr:uid="{00000000-0005-0000-0000-0000220A0000}"/>
    <cellStyle name="Followed Hyperlink 2" xfId="7943" hidden="1" xr:uid="{00000000-0005-0000-0000-0000230A0000}"/>
    <cellStyle name="Followed Hyperlink 2" xfId="7951" hidden="1" xr:uid="{00000000-0005-0000-0000-0000240A0000}"/>
    <cellStyle name="Followed Hyperlink 2" xfId="7948" hidden="1" xr:uid="{00000000-0005-0000-0000-0000250A0000}"/>
    <cellStyle name="Followed Hyperlink 2" xfId="7946" hidden="1" xr:uid="{00000000-0005-0000-0000-0000260A0000}"/>
    <cellStyle name="Followed Hyperlink 2" xfId="7947" hidden="1" xr:uid="{00000000-0005-0000-0000-0000270A0000}"/>
    <cellStyle name="Followed Hyperlink 2" xfId="7957" hidden="1" xr:uid="{00000000-0005-0000-0000-0000280A0000}"/>
    <cellStyle name="Followed Hyperlink 2" xfId="7960" hidden="1" xr:uid="{00000000-0005-0000-0000-0000290A0000}"/>
    <cellStyle name="Followed Hyperlink 2" xfId="7963" hidden="1" xr:uid="{00000000-0005-0000-0000-00002A0A0000}"/>
    <cellStyle name="Followed Hyperlink 2" xfId="7967" hidden="1" xr:uid="{00000000-0005-0000-0000-00002B0A0000}"/>
    <cellStyle name="Followed Hyperlink 2" xfId="7977" hidden="1" xr:uid="{00000000-0005-0000-0000-00002C0A0000}"/>
    <cellStyle name="Followed Hyperlink 2" xfId="7974" hidden="1" xr:uid="{00000000-0005-0000-0000-00002D0A0000}"/>
    <cellStyle name="Followed Hyperlink 2" xfId="7972" hidden="1" xr:uid="{00000000-0005-0000-0000-00002E0A0000}"/>
    <cellStyle name="Followed Hyperlink 2" xfId="7973" hidden="1" xr:uid="{00000000-0005-0000-0000-00002F0A0000}"/>
    <cellStyle name="Followed Hyperlink 2" xfId="7983" hidden="1" xr:uid="{00000000-0005-0000-0000-0000300A0000}"/>
    <cellStyle name="Followed Hyperlink 2" xfId="7986" hidden="1" xr:uid="{00000000-0005-0000-0000-0000310A0000}"/>
    <cellStyle name="Followed Hyperlink 2" xfId="7989" hidden="1" xr:uid="{00000000-0005-0000-0000-0000320A0000}"/>
    <cellStyle name="Followed Hyperlink 2" xfId="7993" hidden="1" xr:uid="{00000000-0005-0000-0000-0000330A0000}"/>
    <cellStyle name="Followed Hyperlink 2" xfId="8001" hidden="1" xr:uid="{00000000-0005-0000-0000-0000340A0000}"/>
    <cellStyle name="Followed Hyperlink 2" xfId="7998" hidden="1" xr:uid="{00000000-0005-0000-0000-0000350A0000}"/>
    <cellStyle name="Followed Hyperlink 2" xfId="7996" hidden="1" xr:uid="{00000000-0005-0000-0000-0000360A0000}"/>
    <cellStyle name="Followed Hyperlink 2" xfId="7997" hidden="1" xr:uid="{00000000-0005-0000-0000-0000370A0000}"/>
    <cellStyle name="Followed Hyperlink 2" xfId="8007" hidden="1" xr:uid="{00000000-0005-0000-0000-0000380A0000}"/>
    <cellStyle name="Followed Hyperlink 2" xfId="8010" hidden="1" xr:uid="{00000000-0005-0000-0000-0000390A0000}"/>
    <cellStyle name="Followed Hyperlink 2" xfId="8013" hidden="1" xr:uid="{00000000-0005-0000-0000-00003A0A0000}"/>
    <cellStyle name="Followed Hyperlink 2" xfId="8017" hidden="1" xr:uid="{00000000-0005-0000-0000-00003B0A0000}"/>
    <cellStyle name="Followed Hyperlink 2" xfId="7894" hidden="1" xr:uid="{00000000-0005-0000-0000-00003C0A0000}"/>
    <cellStyle name="Followed Hyperlink 2" xfId="7898" hidden="1" xr:uid="{00000000-0005-0000-0000-00003D0A0000}"/>
    <cellStyle name="Followed Hyperlink 2" xfId="7893" hidden="1" xr:uid="{00000000-0005-0000-0000-00003E0A0000}"/>
    <cellStyle name="Followed Hyperlink 2" xfId="7899" hidden="1" xr:uid="{00000000-0005-0000-0000-00003F0A0000}"/>
    <cellStyle name="Followed Hyperlink 2" xfId="8020" hidden="1" xr:uid="{00000000-0005-0000-0000-0000400A0000}"/>
    <cellStyle name="Followed Hyperlink 2" xfId="8023" hidden="1" xr:uid="{00000000-0005-0000-0000-0000410A0000}"/>
    <cellStyle name="Followed Hyperlink 2" xfId="8026" hidden="1" xr:uid="{00000000-0005-0000-0000-0000420A0000}"/>
    <cellStyle name="Followed Hyperlink 2" xfId="8030" hidden="1" xr:uid="{00000000-0005-0000-0000-0000430A0000}"/>
    <cellStyle name="Followed Hyperlink 2" xfId="8038" hidden="1" xr:uid="{00000000-0005-0000-0000-0000440A0000}"/>
    <cellStyle name="Followed Hyperlink 2" xfId="8035" hidden="1" xr:uid="{00000000-0005-0000-0000-0000450A0000}"/>
    <cellStyle name="Followed Hyperlink 2" xfId="8033" hidden="1" xr:uid="{00000000-0005-0000-0000-0000460A0000}"/>
    <cellStyle name="Followed Hyperlink 2" xfId="8034" hidden="1" xr:uid="{00000000-0005-0000-0000-0000470A0000}"/>
    <cellStyle name="Followed Hyperlink 2" xfId="8044" hidden="1" xr:uid="{00000000-0005-0000-0000-0000480A0000}"/>
    <cellStyle name="Followed Hyperlink 2" xfId="8047" hidden="1" xr:uid="{00000000-0005-0000-0000-0000490A0000}"/>
    <cellStyle name="Followed Hyperlink 2" xfId="8050" hidden="1" xr:uid="{00000000-0005-0000-0000-00004A0A0000}"/>
    <cellStyle name="Followed Hyperlink 2" xfId="8054" hidden="1" xr:uid="{00000000-0005-0000-0000-00004B0A0000}"/>
    <cellStyle name="Followed Hyperlink 2" xfId="8063" hidden="1" xr:uid="{00000000-0005-0000-0000-00004C0A0000}"/>
    <cellStyle name="Followed Hyperlink 2" xfId="8060" hidden="1" xr:uid="{00000000-0005-0000-0000-00004D0A0000}"/>
    <cellStyle name="Followed Hyperlink 2" xfId="8058" hidden="1" xr:uid="{00000000-0005-0000-0000-00004E0A0000}"/>
    <cellStyle name="Followed Hyperlink 2" xfId="8059" hidden="1" xr:uid="{00000000-0005-0000-0000-00004F0A0000}"/>
    <cellStyle name="Followed Hyperlink 2" xfId="8069" hidden="1" xr:uid="{00000000-0005-0000-0000-0000500A0000}"/>
    <cellStyle name="Followed Hyperlink 2" xfId="8072" hidden="1" xr:uid="{00000000-0005-0000-0000-0000510A0000}"/>
    <cellStyle name="Followed Hyperlink 2" xfId="8075" hidden="1" xr:uid="{00000000-0005-0000-0000-0000520A0000}"/>
    <cellStyle name="Followed Hyperlink 2" xfId="8079" hidden="1" xr:uid="{00000000-0005-0000-0000-0000530A0000}"/>
    <cellStyle name="Followed Hyperlink 2" xfId="8087" hidden="1" xr:uid="{00000000-0005-0000-0000-0000540A0000}"/>
    <cellStyle name="Followed Hyperlink 2" xfId="8084" hidden="1" xr:uid="{00000000-0005-0000-0000-0000550A0000}"/>
    <cellStyle name="Followed Hyperlink 2" xfId="8082" hidden="1" xr:uid="{00000000-0005-0000-0000-0000560A0000}"/>
    <cellStyle name="Followed Hyperlink 2" xfId="8083" hidden="1" xr:uid="{00000000-0005-0000-0000-0000570A0000}"/>
    <cellStyle name="Followed Hyperlink 2" xfId="8093" hidden="1" xr:uid="{00000000-0005-0000-0000-0000580A0000}"/>
    <cellStyle name="Followed Hyperlink 2" xfId="8096" hidden="1" xr:uid="{00000000-0005-0000-0000-0000590A0000}"/>
    <cellStyle name="Followed Hyperlink 2" xfId="8099" hidden="1" xr:uid="{00000000-0005-0000-0000-00005A0A0000}"/>
    <cellStyle name="Followed Hyperlink 2" xfId="8103" hidden="1" xr:uid="{00000000-0005-0000-0000-00005B0A0000}"/>
    <cellStyle name="Followed Hyperlink 2" xfId="7912" hidden="1" xr:uid="{00000000-0005-0000-0000-00005C0A0000}"/>
    <cellStyle name="Followed Hyperlink 2" xfId="7909" hidden="1" xr:uid="{00000000-0005-0000-0000-00005D0A0000}"/>
    <cellStyle name="Followed Hyperlink 2" xfId="7903" hidden="1" xr:uid="{00000000-0005-0000-0000-00005E0A0000}"/>
    <cellStyle name="Followed Hyperlink 2" xfId="7908" hidden="1" xr:uid="{00000000-0005-0000-0000-00005F0A0000}"/>
    <cellStyle name="Followed Hyperlink 2" xfId="8106" hidden="1" xr:uid="{00000000-0005-0000-0000-0000600A0000}"/>
    <cellStyle name="Followed Hyperlink 2" xfId="8109" hidden="1" xr:uid="{00000000-0005-0000-0000-0000610A0000}"/>
    <cellStyle name="Followed Hyperlink 2" xfId="8112" hidden="1" xr:uid="{00000000-0005-0000-0000-0000620A0000}"/>
    <cellStyle name="Followed Hyperlink 2" xfId="8116" hidden="1" xr:uid="{00000000-0005-0000-0000-0000630A0000}"/>
    <cellStyle name="Followed Hyperlink 2" xfId="8124" hidden="1" xr:uid="{00000000-0005-0000-0000-0000640A0000}"/>
    <cellStyle name="Followed Hyperlink 2" xfId="8121" hidden="1" xr:uid="{00000000-0005-0000-0000-0000650A0000}"/>
    <cellStyle name="Followed Hyperlink 2" xfId="8119" hidden="1" xr:uid="{00000000-0005-0000-0000-0000660A0000}"/>
    <cellStyle name="Followed Hyperlink 2" xfId="8120" hidden="1" xr:uid="{00000000-0005-0000-0000-0000670A0000}"/>
    <cellStyle name="Followed Hyperlink 2" xfId="8130" hidden="1" xr:uid="{00000000-0005-0000-0000-0000680A0000}"/>
    <cellStyle name="Followed Hyperlink 2" xfId="8133" hidden="1" xr:uid="{00000000-0005-0000-0000-0000690A0000}"/>
    <cellStyle name="Followed Hyperlink 2" xfId="8136" hidden="1" xr:uid="{00000000-0005-0000-0000-00006A0A0000}"/>
    <cellStyle name="Followed Hyperlink 2" xfId="8140" hidden="1" xr:uid="{00000000-0005-0000-0000-00006B0A0000}"/>
    <cellStyle name="Followed Hyperlink 2" xfId="8149" hidden="1" xr:uid="{00000000-0005-0000-0000-00006C0A0000}"/>
    <cellStyle name="Followed Hyperlink 2" xfId="8146" hidden="1" xr:uid="{00000000-0005-0000-0000-00006D0A0000}"/>
    <cellStyle name="Followed Hyperlink 2" xfId="8144" hidden="1" xr:uid="{00000000-0005-0000-0000-00006E0A0000}"/>
    <cellStyle name="Followed Hyperlink 2" xfId="8145" hidden="1" xr:uid="{00000000-0005-0000-0000-00006F0A0000}"/>
    <cellStyle name="Followed Hyperlink 2" xfId="8155" hidden="1" xr:uid="{00000000-0005-0000-0000-0000700A0000}"/>
    <cellStyle name="Followed Hyperlink 2" xfId="8158" hidden="1" xr:uid="{00000000-0005-0000-0000-0000710A0000}"/>
    <cellStyle name="Followed Hyperlink 2" xfId="8161" hidden="1" xr:uid="{00000000-0005-0000-0000-0000720A0000}"/>
    <cellStyle name="Followed Hyperlink 2" xfId="8165" hidden="1" xr:uid="{00000000-0005-0000-0000-0000730A0000}"/>
    <cellStyle name="Followed Hyperlink 2" xfId="8173" hidden="1" xr:uid="{00000000-0005-0000-0000-0000740A0000}"/>
    <cellStyle name="Followed Hyperlink 2" xfId="8170" hidden="1" xr:uid="{00000000-0005-0000-0000-0000750A0000}"/>
    <cellStyle name="Followed Hyperlink 2" xfId="8168" hidden="1" xr:uid="{00000000-0005-0000-0000-0000760A0000}"/>
    <cellStyle name="Followed Hyperlink 2" xfId="8169" hidden="1" xr:uid="{00000000-0005-0000-0000-0000770A0000}"/>
    <cellStyle name="Followed Hyperlink 2" xfId="8179" hidden="1" xr:uid="{00000000-0005-0000-0000-0000780A0000}"/>
    <cellStyle name="Followed Hyperlink 2" xfId="8182" hidden="1" xr:uid="{00000000-0005-0000-0000-0000790A0000}"/>
    <cellStyle name="Followed Hyperlink 2" xfId="8185" hidden="1" xr:uid="{00000000-0005-0000-0000-00007A0A0000}"/>
    <cellStyle name="Followed Hyperlink 2" xfId="8189" hidden="1" xr:uid="{00000000-0005-0000-0000-00007B0A0000}"/>
    <cellStyle name="Followed Hyperlink 2" xfId="7920" hidden="1" xr:uid="{00000000-0005-0000-0000-00007C0A0000}"/>
    <cellStyle name="Followed Hyperlink 2" xfId="7916" hidden="1" xr:uid="{00000000-0005-0000-0000-00007D0A0000}"/>
    <cellStyle name="Followed Hyperlink 2" xfId="7917" hidden="1" xr:uid="{00000000-0005-0000-0000-00007E0A0000}"/>
    <cellStyle name="Followed Hyperlink 2" xfId="7904" hidden="1" xr:uid="{00000000-0005-0000-0000-00007F0A0000}"/>
    <cellStyle name="Followed Hyperlink 2" xfId="8192" hidden="1" xr:uid="{00000000-0005-0000-0000-0000800A0000}"/>
    <cellStyle name="Followed Hyperlink 2" xfId="8195" hidden="1" xr:uid="{00000000-0005-0000-0000-0000810A0000}"/>
    <cellStyle name="Followed Hyperlink 2" xfId="8198" hidden="1" xr:uid="{00000000-0005-0000-0000-0000820A0000}"/>
    <cellStyle name="Followed Hyperlink 2" xfId="8202" hidden="1" xr:uid="{00000000-0005-0000-0000-0000830A0000}"/>
    <cellStyle name="Followed Hyperlink 2" xfId="8210" hidden="1" xr:uid="{00000000-0005-0000-0000-0000840A0000}"/>
    <cellStyle name="Followed Hyperlink 2" xfId="8207" hidden="1" xr:uid="{00000000-0005-0000-0000-0000850A0000}"/>
    <cellStyle name="Followed Hyperlink 2" xfId="8205" hidden="1" xr:uid="{00000000-0005-0000-0000-0000860A0000}"/>
    <cellStyle name="Followed Hyperlink 2" xfId="8206" hidden="1" xr:uid="{00000000-0005-0000-0000-0000870A0000}"/>
    <cellStyle name="Followed Hyperlink 2" xfId="8216" hidden="1" xr:uid="{00000000-0005-0000-0000-0000880A0000}"/>
    <cellStyle name="Followed Hyperlink 2" xfId="8219" hidden="1" xr:uid="{00000000-0005-0000-0000-0000890A0000}"/>
    <cellStyle name="Followed Hyperlink 2" xfId="8222" hidden="1" xr:uid="{00000000-0005-0000-0000-00008A0A0000}"/>
    <cellStyle name="Followed Hyperlink 2" xfId="8226" hidden="1" xr:uid="{00000000-0005-0000-0000-00008B0A0000}"/>
    <cellStyle name="Followed Hyperlink 2" xfId="8234" hidden="1" xr:uid="{00000000-0005-0000-0000-00008C0A0000}"/>
    <cellStyle name="Followed Hyperlink 2" xfId="8231" hidden="1" xr:uid="{00000000-0005-0000-0000-00008D0A0000}"/>
    <cellStyle name="Followed Hyperlink 2" xfId="8229" hidden="1" xr:uid="{00000000-0005-0000-0000-00008E0A0000}"/>
    <cellStyle name="Followed Hyperlink 2" xfId="8230" hidden="1" xr:uid="{00000000-0005-0000-0000-00008F0A0000}"/>
    <cellStyle name="Followed Hyperlink 2" xfId="8240" hidden="1" xr:uid="{00000000-0005-0000-0000-0000900A0000}"/>
    <cellStyle name="Followed Hyperlink 2" xfId="8243" hidden="1" xr:uid="{00000000-0005-0000-0000-0000910A0000}"/>
    <cellStyle name="Followed Hyperlink 2" xfId="8246" hidden="1" xr:uid="{00000000-0005-0000-0000-0000920A0000}"/>
    <cellStyle name="Followed Hyperlink 2" xfId="8250" hidden="1" xr:uid="{00000000-0005-0000-0000-0000930A0000}"/>
    <cellStyle name="Followed Hyperlink 2" xfId="8258" hidden="1" xr:uid="{00000000-0005-0000-0000-0000940A0000}"/>
    <cellStyle name="Followed Hyperlink 2" xfId="8255" hidden="1" xr:uid="{00000000-0005-0000-0000-0000950A0000}"/>
    <cellStyle name="Followed Hyperlink 2" xfId="8253" hidden="1" xr:uid="{00000000-0005-0000-0000-0000960A0000}"/>
    <cellStyle name="Followed Hyperlink 2" xfId="8254" hidden="1" xr:uid="{00000000-0005-0000-0000-0000970A0000}"/>
    <cellStyle name="Followed Hyperlink 2" xfId="8264" hidden="1" xr:uid="{00000000-0005-0000-0000-0000980A0000}"/>
    <cellStyle name="Followed Hyperlink 2" xfId="8267" hidden="1" xr:uid="{00000000-0005-0000-0000-0000990A0000}"/>
    <cellStyle name="Followed Hyperlink 2" xfId="8270" hidden="1" xr:uid="{00000000-0005-0000-0000-00009A0A0000}"/>
    <cellStyle name="Followed Hyperlink 2" xfId="8274" hidden="1" xr:uid="{00000000-0005-0000-0000-00009B0A0000}"/>
    <cellStyle name="Followed Hyperlink 2" xfId="6853" hidden="1" xr:uid="{00000000-0005-0000-0000-00009C0A0000}"/>
    <cellStyle name="Followed Hyperlink 2" xfId="6849" hidden="1" xr:uid="{00000000-0005-0000-0000-00009D0A0000}"/>
    <cellStyle name="Followed Hyperlink 2" xfId="6850" hidden="1" xr:uid="{00000000-0005-0000-0000-00009E0A0000}"/>
    <cellStyle name="Followed Hyperlink 2" xfId="6837" hidden="1" xr:uid="{00000000-0005-0000-0000-00009F0A0000}"/>
    <cellStyle name="Followed Hyperlink 2" xfId="8277" hidden="1" xr:uid="{00000000-0005-0000-0000-0000A00A0000}"/>
    <cellStyle name="Followed Hyperlink 2" xfId="8280" hidden="1" xr:uid="{00000000-0005-0000-0000-0000A10A0000}"/>
    <cellStyle name="Followed Hyperlink 2" xfId="8283" hidden="1" xr:uid="{00000000-0005-0000-0000-0000A20A0000}"/>
    <cellStyle name="Followed Hyperlink 2" xfId="8287" hidden="1" xr:uid="{00000000-0005-0000-0000-0000A30A0000}"/>
    <cellStyle name="Followed Hyperlink 2" xfId="8295" hidden="1" xr:uid="{00000000-0005-0000-0000-0000A40A0000}"/>
    <cellStyle name="Followed Hyperlink 2" xfId="8292" hidden="1" xr:uid="{00000000-0005-0000-0000-0000A50A0000}"/>
    <cellStyle name="Followed Hyperlink 2" xfId="8290" hidden="1" xr:uid="{00000000-0005-0000-0000-0000A60A0000}"/>
    <cellStyle name="Followed Hyperlink 2" xfId="8291" hidden="1" xr:uid="{00000000-0005-0000-0000-0000A70A0000}"/>
    <cellStyle name="Followed Hyperlink 2" xfId="8301" hidden="1" xr:uid="{00000000-0005-0000-0000-0000A80A0000}"/>
    <cellStyle name="Followed Hyperlink 2" xfId="8304" hidden="1" xr:uid="{00000000-0005-0000-0000-0000A90A0000}"/>
    <cellStyle name="Followed Hyperlink 2" xfId="8307" hidden="1" xr:uid="{00000000-0005-0000-0000-0000AA0A0000}"/>
    <cellStyle name="Followed Hyperlink 2" xfId="8311" hidden="1" xr:uid="{00000000-0005-0000-0000-0000AB0A0000}"/>
    <cellStyle name="Followed Hyperlink 2" xfId="8319" hidden="1" xr:uid="{00000000-0005-0000-0000-0000AC0A0000}"/>
    <cellStyle name="Followed Hyperlink 2" xfId="8316" hidden="1" xr:uid="{00000000-0005-0000-0000-0000AD0A0000}"/>
    <cellStyle name="Followed Hyperlink 2" xfId="8314" hidden="1" xr:uid="{00000000-0005-0000-0000-0000AE0A0000}"/>
    <cellStyle name="Followed Hyperlink 2" xfId="8315" hidden="1" xr:uid="{00000000-0005-0000-0000-0000AF0A0000}"/>
    <cellStyle name="Followed Hyperlink 2" xfId="8325" hidden="1" xr:uid="{00000000-0005-0000-0000-0000B00A0000}"/>
    <cellStyle name="Followed Hyperlink 2" xfId="8328" hidden="1" xr:uid="{00000000-0005-0000-0000-0000B10A0000}"/>
    <cellStyle name="Followed Hyperlink 2" xfId="8331" hidden="1" xr:uid="{00000000-0005-0000-0000-0000B20A0000}"/>
    <cellStyle name="Followed Hyperlink 2" xfId="8335" hidden="1" xr:uid="{00000000-0005-0000-0000-0000B30A0000}"/>
    <cellStyle name="Followed Hyperlink 2" xfId="8343" hidden="1" xr:uid="{00000000-0005-0000-0000-0000B40A0000}"/>
    <cellStyle name="Followed Hyperlink 2" xfId="8340" hidden="1" xr:uid="{00000000-0005-0000-0000-0000B50A0000}"/>
    <cellStyle name="Followed Hyperlink 2" xfId="8338" hidden="1" xr:uid="{00000000-0005-0000-0000-0000B60A0000}"/>
    <cellStyle name="Followed Hyperlink 2" xfId="8339" hidden="1" xr:uid="{00000000-0005-0000-0000-0000B70A0000}"/>
    <cellStyle name="Followed Hyperlink 2" xfId="8349" hidden="1" xr:uid="{00000000-0005-0000-0000-0000B80A0000}"/>
    <cellStyle name="Followed Hyperlink 2" xfId="8352" hidden="1" xr:uid="{00000000-0005-0000-0000-0000B90A0000}"/>
    <cellStyle name="Followed Hyperlink 2" xfId="8355" hidden="1" xr:uid="{00000000-0005-0000-0000-0000BA0A0000}"/>
    <cellStyle name="Followed Hyperlink 2" xfId="8359" hidden="1" xr:uid="{00000000-0005-0000-0000-0000BB0A0000}"/>
    <cellStyle name="Followed Hyperlink 2" xfId="8396" hidden="1" xr:uid="{00000000-0005-0000-0000-0000BC0A0000}"/>
    <cellStyle name="Followed Hyperlink 2" xfId="8393" hidden="1" xr:uid="{00000000-0005-0000-0000-0000BD0A0000}"/>
    <cellStyle name="Followed Hyperlink 2" xfId="8391" hidden="1" xr:uid="{00000000-0005-0000-0000-0000BE0A0000}"/>
    <cellStyle name="Followed Hyperlink 2" xfId="8392" hidden="1" xr:uid="{00000000-0005-0000-0000-0000BF0A0000}"/>
    <cellStyle name="Followed Hyperlink 2" xfId="8402" hidden="1" xr:uid="{00000000-0005-0000-0000-0000C00A0000}"/>
    <cellStyle name="Followed Hyperlink 2" xfId="8405" hidden="1" xr:uid="{00000000-0005-0000-0000-0000C10A0000}"/>
    <cellStyle name="Followed Hyperlink 2" xfId="8408" hidden="1" xr:uid="{00000000-0005-0000-0000-0000C20A0000}"/>
    <cellStyle name="Followed Hyperlink 2" xfId="8412" hidden="1" xr:uid="{00000000-0005-0000-0000-0000C30A0000}"/>
    <cellStyle name="Followed Hyperlink 2" xfId="8420" hidden="1" xr:uid="{00000000-0005-0000-0000-0000C40A0000}"/>
    <cellStyle name="Followed Hyperlink 2" xfId="8417" hidden="1" xr:uid="{00000000-0005-0000-0000-0000C50A0000}"/>
    <cellStyle name="Followed Hyperlink 2" xfId="8415" hidden="1" xr:uid="{00000000-0005-0000-0000-0000C60A0000}"/>
    <cellStyle name="Followed Hyperlink 2" xfId="8416" hidden="1" xr:uid="{00000000-0005-0000-0000-0000C70A0000}"/>
    <cellStyle name="Followed Hyperlink 2" xfId="8426" hidden="1" xr:uid="{00000000-0005-0000-0000-0000C80A0000}"/>
    <cellStyle name="Followed Hyperlink 2" xfId="8429" hidden="1" xr:uid="{00000000-0005-0000-0000-0000C90A0000}"/>
    <cellStyle name="Followed Hyperlink 2" xfId="8432" hidden="1" xr:uid="{00000000-0005-0000-0000-0000CA0A0000}"/>
    <cellStyle name="Followed Hyperlink 2" xfId="8436" hidden="1" xr:uid="{00000000-0005-0000-0000-0000CB0A0000}"/>
    <cellStyle name="Followed Hyperlink 2" xfId="8446" hidden="1" xr:uid="{00000000-0005-0000-0000-0000CC0A0000}"/>
    <cellStyle name="Followed Hyperlink 2" xfId="8443" hidden="1" xr:uid="{00000000-0005-0000-0000-0000CD0A0000}"/>
    <cellStyle name="Followed Hyperlink 2" xfId="8441" hidden="1" xr:uid="{00000000-0005-0000-0000-0000CE0A0000}"/>
    <cellStyle name="Followed Hyperlink 2" xfId="8442" hidden="1" xr:uid="{00000000-0005-0000-0000-0000CF0A0000}"/>
    <cellStyle name="Followed Hyperlink 2" xfId="8452" hidden="1" xr:uid="{00000000-0005-0000-0000-0000D00A0000}"/>
    <cellStyle name="Followed Hyperlink 2" xfId="8455" hidden="1" xr:uid="{00000000-0005-0000-0000-0000D10A0000}"/>
    <cellStyle name="Followed Hyperlink 2" xfId="8458" hidden="1" xr:uid="{00000000-0005-0000-0000-0000D20A0000}"/>
    <cellStyle name="Followed Hyperlink 2" xfId="8462" hidden="1" xr:uid="{00000000-0005-0000-0000-0000D30A0000}"/>
    <cellStyle name="Followed Hyperlink 2" xfId="8470" hidden="1" xr:uid="{00000000-0005-0000-0000-0000D40A0000}"/>
    <cellStyle name="Followed Hyperlink 2" xfId="8467" hidden="1" xr:uid="{00000000-0005-0000-0000-0000D50A0000}"/>
    <cellStyle name="Followed Hyperlink 2" xfId="8465" hidden="1" xr:uid="{00000000-0005-0000-0000-0000D60A0000}"/>
    <cellStyle name="Followed Hyperlink 2" xfId="8466" hidden="1" xr:uid="{00000000-0005-0000-0000-0000D70A0000}"/>
    <cellStyle name="Followed Hyperlink 2" xfId="8476" hidden="1" xr:uid="{00000000-0005-0000-0000-0000D80A0000}"/>
    <cellStyle name="Followed Hyperlink 2" xfId="8479" hidden="1" xr:uid="{00000000-0005-0000-0000-0000D90A0000}"/>
    <cellStyle name="Followed Hyperlink 2" xfId="8482" hidden="1" xr:uid="{00000000-0005-0000-0000-0000DA0A0000}"/>
    <cellStyle name="Followed Hyperlink 2" xfId="8486" hidden="1" xr:uid="{00000000-0005-0000-0000-0000DB0A0000}"/>
    <cellStyle name="Followed Hyperlink 2" xfId="8363" hidden="1" xr:uid="{00000000-0005-0000-0000-0000DC0A0000}"/>
    <cellStyle name="Followed Hyperlink 2" xfId="8367" hidden="1" xr:uid="{00000000-0005-0000-0000-0000DD0A0000}"/>
    <cellStyle name="Followed Hyperlink 2" xfId="8362" hidden="1" xr:uid="{00000000-0005-0000-0000-0000DE0A0000}"/>
    <cellStyle name="Followed Hyperlink 2" xfId="8368" hidden="1" xr:uid="{00000000-0005-0000-0000-0000DF0A0000}"/>
    <cellStyle name="Followed Hyperlink 2" xfId="8489" hidden="1" xr:uid="{00000000-0005-0000-0000-0000E00A0000}"/>
    <cellStyle name="Followed Hyperlink 2" xfId="8492" hidden="1" xr:uid="{00000000-0005-0000-0000-0000E10A0000}"/>
    <cellStyle name="Followed Hyperlink 2" xfId="8495" hidden="1" xr:uid="{00000000-0005-0000-0000-0000E20A0000}"/>
    <cellStyle name="Followed Hyperlink 2" xfId="8499" hidden="1" xr:uid="{00000000-0005-0000-0000-0000E30A0000}"/>
    <cellStyle name="Followed Hyperlink 2" xfId="8507" hidden="1" xr:uid="{00000000-0005-0000-0000-0000E40A0000}"/>
    <cellStyle name="Followed Hyperlink 2" xfId="8504" hidden="1" xr:uid="{00000000-0005-0000-0000-0000E50A0000}"/>
    <cellStyle name="Followed Hyperlink 2" xfId="8502" hidden="1" xr:uid="{00000000-0005-0000-0000-0000E60A0000}"/>
    <cellStyle name="Followed Hyperlink 2" xfId="8503" hidden="1" xr:uid="{00000000-0005-0000-0000-0000E70A0000}"/>
    <cellStyle name="Followed Hyperlink 2" xfId="8513" hidden="1" xr:uid="{00000000-0005-0000-0000-0000E80A0000}"/>
    <cellStyle name="Followed Hyperlink 2" xfId="8516" hidden="1" xr:uid="{00000000-0005-0000-0000-0000E90A0000}"/>
    <cellStyle name="Followed Hyperlink 2" xfId="8519" hidden="1" xr:uid="{00000000-0005-0000-0000-0000EA0A0000}"/>
    <cellStyle name="Followed Hyperlink 2" xfId="8523" hidden="1" xr:uid="{00000000-0005-0000-0000-0000EB0A0000}"/>
    <cellStyle name="Followed Hyperlink 2" xfId="8532" hidden="1" xr:uid="{00000000-0005-0000-0000-0000EC0A0000}"/>
    <cellStyle name="Followed Hyperlink 2" xfId="8529" hidden="1" xr:uid="{00000000-0005-0000-0000-0000ED0A0000}"/>
    <cellStyle name="Followed Hyperlink 2" xfId="8527" hidden="1" xr:uid="{00000000-0005-0000-0000-0000EE0A0000}"/>
    <cellStyle name="Followed Hyperlink 2" xfId="8528" hidden="1" xr:uid="{00000000-0005-0000-0000-0000EF0A0000}"/>
    <cellStyle name="Followed Hyperlink 2" xfId="8538" hidden="1" xr:uid="{00000000-0005-0000-0000-0000F00A0000}"/>
    <cellStyle name="Followed Hyperlink 2" xfId="8541" hidden="1" xr:uid="{00000000-0005-0000-0000-0000F10A0000}"/>
    <cellStyle name="Followed Hyperlink 2" xfId="8544" hidden="1" xr:uid="{00000000-0005-0000-0000-0000F20A0000}"/>
    <cellStyle name="Followed Hyperlink 2" xfId="8548" hidden="1" xr:uid="{00000000-0005-0000-0000-0000F30A0000}"/>
    <cellStyle name="Followed Hyperlink 2" xfId="8556" hidden="1" xr:uid="{00000000-0005-0000-0000-0000F40A0000}"/>
    <cellStyle name="Followed Hyperlink 2" xfId="8553" hidden="1" xr:uid="{00000000-0005-0000-0000-0000F50A0000}"/>
    <cellStyle name="Followed Hyperlink 2" xfId="8551" hidden="1" xr:uid="{00000000-0005-0000-0000-0000F60A0000}"/>
    <cellStyle name="Followed Hyperlink 2" xfId="8552" hidden="1" xr:uid="{00000000-0005-0000-0000-0000F70A0000}"/>
    <cellStyle name="Followed Hyperlink 2" xfId="8562" hidden="1" xr:uid="{00000000-0005-0000-0000-0000F80A0000}"/>
    <cellStyle name="Followed Hyperlink 2" xfId="8565" hidden="1" xr:uid="{00000000-0005-0000-0000-0000F90A0000}"/>
    <cellStyle name="Followed Hyperlink 2" xfId="8568" hidden="1" xr:uid="{00000000-0005-0000-0000-0000FA0A0000}"/>
    <cellStyle name="Followed Hyperlink 2" xfId="8572" hidden="1" xr:uid="{00000000-0005-0000-0000-0000FB0A0000}"/>
    <cellStyle name="Followed Hyperlink 2" xfId="8381" hidden="1" xr:uid="{00000000-0005-0000-0000-0000FC0A0000}"/>
    <cellStyle name="Followed Hyperlink 2" xfId="8378" hidden="1" xr:uid="{00000000-0005-0000-0000-0000FD0A0000}"/>
    <cellStyle name="Followed Hyperlink 2" xfId="8372" hidden="1" xr:uid="{00000000-0005-0000-0000-0000FE0A0000}"/>
    <cellStyle name="Followed Hyperlink 2" xfId="8377" hidden="1" xr:uid="{00000000-0005-0000-0000-0000FF0A0000}"/>
    <cellStyle name="Followed Hyperlink 2" xfId="8575" hidden="1" xr:uid="{00000000-0005-0000-0000-0000000B0000}"/>
    <cellStyle name="Followed Hyperlink 2" xfId="8578" hidden="1" xr:uid="{00000000-0005-0000-0000-0000010B0000}"/>
    <cellStyle name="Followed Hyperlink 2" xfId="8581" hidden="1" xr:uid="{00000000-0005-0000-0000-0000020B0000}"/>
    <cellStyle name="Followed Hyperlink 2" xfId="8585" hidden="1" xr:uid="{00000000-0005-0000-0000-0000030B0000}"/>
    <cellStyle name="Followed Hyperlink 2" xfId="8593" hidden="1" xr:uid="{00000000-0005-0000-0000-0000040B0000}"/>
    <cellStyle name="Followed Hyperlink 2" xfId="8590" hidden="1" xr:uid="{00000000-0005-0000-0000-0000050B0000}"/>
    <cellStyle name="Followed Hyperlink 2" xfId="8588" hidden="1" xr:uid="{00000000-0005-0000-0000-0000060B0000}"/>
    <cellStyle name="Followed Hyperlink 2" xfId="8589" hidden="1" xr:uid="{00000000-0005-0000-0000-0000070B0000}"/>
    <cellStyle name="Followed Hyperlink 2" xfId="8599" hidden="1" xr:uid="{00000000-0005-0000-0000-0000080B0000}"/>
    <cellStyle name="Followed Hyperlink 2" xfId="8602" hidden="1" xr:uid="{00000000-0005-0000-0000-0000090B0000}"/>
    <cellStyle name="Followed Hyperlink 2" xfId="8605" hidden="1" xr:uid="{00000000-0005-0000-0000-00000A0B0000}"/>
    <cellStyle name="Followed Hyperlink 2" xfId="8609" hidden="1" xr:uid="{00000000-0005-0000-0000-00000B0B0000}"/>
    <cellStyle name="Followed Hyperlink 2" xfId="8618" hidden="1" xr:uid="{00000000-0005-0000-0000-00000C0B0000}"/>
    <cellStyle name="Followed Hyperlink 2" xfId="8615" hidden="1" xr:uid="{00000000-0005-0000-0000-00000D0B0000}"/>
    <cellStyle name="Followed Hyperlink 2" xfId="8613" hidden="1" xr:uid="{00000000-0005-0000-0000-00000E0B0000}"/>
    <cellStyle name="Followed Hyperlink 2" xfId="8614" hidden="1" xr:uid="{00000000-0005-0000-0000-00000F0B0000}"/>
    <cellStyle name="Followed Hyperlink 2" xfId="8624" hidden="1" xr:uid="{00000000-0005-0000-0000-0000100B0000}"/>
    <cellStyle name="Followed Hyperlink 2" xfId="8627" hidden="1" xr:uid="{00000000-0005-0000-0000-0000110B0000}"/>
    <cellStyle name="Followed Hyperlink 2" xfId="8630" hidden="1" xr:uid="{00000000-0005-0000-0000-0000120B0000}"/>
    <cellStyle name="Followed Hyperlink 2" xfId="8634" hidden="1" xr:uid="{00000000-0005-0000-0000-0000130B0000}"/>
    <cellStyle name="Followed Hyperlink 2" xfId="8642" hidden="1" xr:uid="{00000000-0005-0000-0000-0000140B0000}"/>
    <cellStyle name="Followed Hyperlink 2" xfId="8639" hidden="1" xr:uid="{00000000-0005-0000-0000-0000150B0000}"/>
    <cellStyle name="Followed Hyperlink 2" xfId="8637" hidden="1" xr:uid="{00000000-0005-0000-0000-0000160B0000}"/>
    <cellStyle name="Followed Hyperlink 2" xfId="8638" hidden="1" xr:uid="{00000000-0005-0000-0000-0000170B0000}"/>
    <cellStyle name="Followed Hyperlink 2" xfId="8648" hidden="1" xr:uid="{00000000-0005-0000-0000-0000180B0000}"/>
    <cellStyle name="Followed Hyperlink 2" xfId="8651" hidden="1" xr:uid="{00000000-0005-0000-0000-0000190B0000}"/>
    <cellStyle name="Followed Hyperlink 2" xfId="8654" hidden="1" xr:uid="{00000000-0005-0000-0000-00001A0B0000}"/>
    <cellStyle name="Followed Hyperlink 2" xfId="8658" hidden="1" xr:uid="{00000000-0005-0000-0000-00001B0B0000}"/>
    <cellStyle name="Followed Hyperlink 2" xfId="8389" hidden="1" xr:uid="{00000000-0005-0000-0000-00001C0B0000}"/>
    <cellStyle name="Followed Hyperlink 2" xfId="8385" hidden="1" xr:uid="{00000000-0005-0000-0000-00001D0B0000}"/>
    <cellStyle name="Followed Hyperlink 2" xfId="8386" hidden="1" xr:uid="{00000000-0005-0000-0000-00001E0B0000}"/>
    <cellStyle name="Followed Hyperlink 2" xfId="8373" hidden="1" xr:uid="{00000000-0005-0000-0000-00001F0B0000}"/>
    <cellStyle name="Followed Hyperlink 2" xfId="8661" hidden="1" xr:uid="{00000000-0005-0000-0000-0000200B0000}"/>
    <cellStyle name="Followed Hyperlink 2" xfId="8664" hidden="1" xr:uid="{00000000-0005-0000-0000-0000210B0000}"/>
    <cellStyle name="Followed Hyperlink 2" xfId="8667" hidden="1" xr:uid="{00000000-0005-0000-0000-0000220B0000}"/>
    <cellStyle name="Followed Hyperlink 2" xfId="8671" hidden="1" xr:uid="{00000000-0005-0000-0000-0000230B0000}"/>
    <cellStyle name="Followed Hyperlink 2" xfId="8679" hidden="1" xr:uid="{00000000-0005-0000-0000-0000240B0000}"/>
    <cellStyle name="Followed Hyperlink 2" xfId="8676" hidden="1" xr:uid="{00000000-0005-0000-0000-0000250B0000}"/>
    <cellStyle name="Followed Hyperlink 2" xfId="8674" hidden="1" xr:uid="{00000000-0005-0000-0000-0000260B0000}"/>
    <cellStyle name="Followed Hyperlink 2" xfId="8675" hidden="1" xr:uid="{00000000-0005-0000-0000-0000270B0000}"/>
    <cellStyle name="Followed Hyperlink 2" xfId="8685" hidden="1" xr:uid="{00000000-0005-0000-0000-0000280B0000}"/>
    <cellStyle name="Followed Hyperlink 2" xfId="8688" hidden="1" xr:uid="{00000000-0005-0000-0000-0000290B0000}"/>
    <cellStyle name="Followed Hyperlink 2" xfId="8691" hidden="1" xr:uid="{00000000-0005-0000-0000-00002A0B0000}"/>
    <cellStyle name="Followed Hyperlink 2" xfId="8695" hidden="1" xr:uid="{00000000-0005-0000-0000-00002B0B0000}"/>
    <cellStyle name="Followed Hyperlink 2" xfId="8703" hidden="1" xr:uid="{00000000-0005-0000-0000-00002C0B0000}"/>
    <cellStyle name="Followed Hyperlink 2" xfId="8700" hidden="1" xr:uid="{00000000-0005-0000-0000-00002D0B0000}"/>
    <cellStyle name="Followed Hyperlink 2" xfId="8698" hidden="1" xr:uid="{00000000-0005-0000-0000-00002E0B0000}"/>
    <cellStyle name="Followed Hyperlink 2" xfId="8699" hidden="1" xr:uid="{00000000-0005-0000-0000-00002F0B0000}"/>
    <cellStyle name="Followed Hyperlink 2" xfId="8709" hidden="1" xr:uid="{00000000-0005-0000-0000-0000300B0000}"/>
    <cellStyle name="Followed Hyperlink 2" xfId="8712" hidden="1" xr:uid="{00000000-0005-0000-0000-0000310B0000}"/>
    <cellStyle name="Followed Hyperlink 2" xfId="8715" hidden="1" xr:uid="{00000000-0005-0000-0000-0000320B0000}"/>
    <cellStyle name="Followed Hyperlink 2" xfId="8719" hidden="1" xr:uid="{00000000-0005-0000-0000-0000330B0000}"/>
    <cellStyle name="Followed Hyperlink 2" xfId="8727" hidden="1" xr:uid="{00000000-0005-0000-0000-0000340B0000}"/>
    <cellStyle name="Followed Hyperlink 2" xfId="8724" hidden="1" xr:uid="{00000000-0005-0000-0000-0000350B0000}"/>
    <cellStyle name="Followed Hyperlink 2" xfId="8722" hidden="1" xr:uid="{00000000-0005-0000-0000-0000360B0000}"/>
    <cellStyle name="Followed Hyperlink 2" xfId="8723" hidden="1" xr:uid="{00000000-0005-0000-0000-0000370B0000}"/>
    <cellStyle name="Followed Hyperlink 2" xfId="8733" hidden="1" xr:uid="{00000000-0005-0000-0000-0000380B0000}"/>
    <cellStyle name="Followed Hyperlink 2" xfId="8736" hidden="1" xr:uid="{00000000-0005-0000-0000-0000390B0000}"/>
    <cellStyle name="Followed Hyperlink 2" xfId="8739" hidden="1" xr:uid="{00000000-0005-0000-0000-00003A0B0000}"/>
    <cellStyle name="Followed Hyperlink 2" xfId="8743" hidden="1" xr:uid="{00000000-0005-0000-0000-00003B0B0000}"/>
    <cellStyle name="Followed Hyperlink 2" xfId="541" hidden="1" xr:uid="{00000000-0005-0000-0000-00003C0B0000}"/>
    <cellStyle name="Followed Hyperlink 2" xfId="545" hidden="1" xr:uid="{00000000-0005-0000-0000-00003D0B0000}"/>
    <cellStyle name="Followed Hyperlink 2" xfId="540" hidden="1" xr:uid="{00000000-0005-0000-0000-00003E0B0000}"/>
    <cellStyle name="Followed Hyperlink 2" xfId="546" hidden="1" xr:uid="{00000000-0005-0000-0000-00003F0B0000}"/>
    <cellStyle name="Followed Hyperlink 2" xfId="8754" hidden="1" xr:uid="{00000000-0005-0000-0000-0000400B0000}"/>
    <cellStyle name="Followed Hyperlink 2" xfId="8757" hidden="1" xr:uid="{00000000-0005-0000-0000-0000410B0000}"/>
    <cellStyle name="Followed Hyperlink 2" xfId="8760" hidden="1" xr:uid="{00000000-0005-0000-0000-0000420B0000}"/>
    <cellStyle name="Followed Hyperlink 2" xfId="8764" hidden="1" xr:uid="{00000000-0005-0000-0000-0000430B0000}"/>
    <cellStyle name="Followed Hyperlink 2" xfId="8772" hidden="1" xr:uid="{00000000-0005-0000-0000-0000440B0000}"/>
    <cellStyle name="Followed Hyperlink 2" xfId="8769" hidden="1" xr:uid="{00000000-0005-0000-0000-0000450B0000}"/>
    <cellStyle name="Followed Hyperlink 2" xfId="8767" hidden="1" xr:uid="{00000000-0005-0000-0000-0000460B0000}"/>
    <cellStyle name="Followed Hyperlink 2" xfId="8768" hidden="1" xr:uid="{00000000-0005-0000-0000-0000470B0000}"/>
    <cellStyle name="Followed Hyperlink 2" xfId="8778" hidden="1" xr:uid="{00000000-0005-0000-0000-0000480B0000}"/>
    <cellStyle name="Followed Hyperlink 2" xfId="8781" hidden="1" xr:uid="{00000000-0005-0000-0000-0000490B0000}"/>
    <cellStyle name="Followed Hyperlink 2" xfId="8784" hidden="1" xr:uid="{00000000-0005-0000-0000-00004A0B0000}"/>
    <cellStyle name="Followed Hyperlink 2" xfId="8788" hidden="1" xr:uid="{00000000-0005-0000-0000-00004B0B0000}"/>
    <cellStyle name="Followed Hyperlink 2" xfId="8798" hidden="1" xr:uid="{00000000-0005-0000-0000-00004C0B0000}"/>
    <cellStyle name="Followed Hyperlink 2" xfId="8795" hidden="1" xr:uid="{00000000-0005-0000-0000-00004D0B0000}"/>
    <cellStyle name="Followed Hyperlink 2" xfId="8793" hidden="1" xr:uid="{00000000-0005-0000-0000-00004E0B0000}"/>
    <cellStyle name="Followed Hyperlink 2" xfId="8794" hidden="1" xr:uid="{00000000-0005-0000-0000-00004F0B0000}"/>
    <cellStyle name="Followed Hyperlink 2" xfId="8804" hidden="1" xr:uid="{00000000-0005-0000-0000-0000500B0000}"/>
    <cellStyle name="Followed Hyperlink 2" xfId="8807" hidden="1" xr:uid="{00000000-0005-0000-0000-0000510B0000}"/>
    <cellStyle name="Followed Hyperlink 2" xfId="8810" hidden="1" xr:uid="{00000000-0005-0000-0000-0000520B0000}"/>
    <cellStyle name="Followed Hyperlink 2" xfId="8814" hidden="1" xr:uid="{00000000-0005-0000-0000-0000530B0000}"/>
    <cellStyle name="Followed Hyperlink 2" xfId="8822" hidden="1" xr:uid="{00000000-0005-0000-0000-0000540B0000}"/>
    <cellStyle name="Followed Hyperlink 2" xfId="8819" hidden="1" xr:uid="{00000000-0005-0000-0000-0000550B0000}"/>
    <cellStyle name="Followed Hyperlink 2" xfId="8817" hidden="1" xr:uid="{00000000-0005-0000-0000-0000560B0000}"/>
    <cellStyle name="Followed Hyperlink 2" xfId="8818" hidden="1" xr:uid="{00000000-0005-0000-0000-0000570B0000}"/>
    <cellStyle name="Followed Hyperlink 2" xfId="8828" hidden="1" xr:uid="{00000000-0005-0000-0000-0000580B0000}"/>
    <cellStyle name="Followed Hyperlink 2" xfId="8831" hidden="1" xr:uid="{00000000-0005-0000-0000-0000590B0000}"/>
    <cellStyle name="Followed Hyperlink 2" xfId="8834" hidden="1" xr:uid="{00000000-0005-0000-0000-00005A0B0000}"/>
    <cellStyle name="Followed Hyperlink 2" xfId="8838" hidden="1" xr:uid="{00000000-0005-0000-0000-00005B0B0000}"/>
    <cellStyle name="Followed Hyperlink 2" xfId="8875" hidden="1" xr:uid="{00000000-0005-0000-0000-00005C0B0000}"/>
    <cellStyle name="Followed Hyperlink 2" xfId="8872" hidden="1" xr:uid="{00000000-0005-0000-0000-00005D0B0000}"/>
    <cellStyle name="Followed Hyperlink 2" xfId="8870" hidden="1" xr:uid="{00000000-0005-0000-0000-00005E0B0000}"/>
    <cellStyle name="Followed Hyperlink 2" xfId="8871" hidden="1" xr:uid="{00000000-0005-0000-0000-00005F0B0000}"/>
    <cellStyle name="Followed Hyperlink 2" xfId="8881" hidden="1" xr:uid="{00000000-0005-0000-0000-0000600B0000}"/>
    <cellStyle name="Followed Hyperlink 2" xfId="8884" hidden="1" xr:uid="{00000000-0005-0000-0000-0000610B0000}"/>
    <cellStyle name="Followed Hyperlink 2" xfId="8887" hidden="1" xr:uid="{00000000-0005-0000-0000-0000620B0000}"/>
    <cellStyle name="Followed Hyperlink 2" xfId="8891" hidden="1" xr:uid="{00000000-0005-0000-0000-0000630B0000}"/>
    <cellStyle name="Followed Hyperlink 2" xfId="8899" hidden="1" xr:uid="{00000000-0005-0000-0000-0000640B0000}"/>
    <cellStyle name="Followed Hyperlink 2" xfId="8896" hidden="1" xr:uid="{00000000-0005-0000-0000-0000650B0000}"/>
    <cellStyle name="Followed Hyperlink 2" xfId="8894" hidden="1" xr:uid="{00000000-0005-0000-0000-0000660B0000}"/>
    <cellStyle name="Followed Hyperlink 2" xfId="8895" hidden="1" xr:uid="{00000000-0005-0000-0000-0000670B0000}"/>
    <cellStyle name="Followed Hyperlink 2" xfId="8905" hidden="1" xr:uid="{00000000-0005-0000-0000-0000680B0000}"/>
    <cellStyle name="Followed Hyperlink 2" xfId="8908" hidden="1" xr:uid="{00000000-0005-0000-0000-0000690B0000}"/>
    <cellStyle name="Followed Hyperlink 2" xfId="8911" hidden="1" xr:uid="{00000000-0005-0000-0000-00006A0B0000}"/>
    <cellStyle name="Followed Hyperlink 2" xfId="8915" hidden="1" xr:uid="{00000000-0005-0000-0000-00006B0B0000}"/>
    <cellStyle name="Followed Hyperlink 2" xfId="8925" hidden="1" xr:uid="{00000000-0005-0000-0000-00006C0B0000}"/>
    <cellStyle name="Followed Hyperlink 2" xfId="8922" hidden="1" xr:uid="{00000000-0005-0000-0000-00006D0B0000}"/>
    <cellStyle name="Followed Hyperlink 2" xfId="8920" hidden="1" xr:uid="{00000000-0005-0000-0000-00006E0B0000}"/>
    <cellStyle name="Followed Hyperlink 2" xfId="8921" hidden="1" xr:uid="{00000000-0005-0000-0000-00006F0B0000}"/>
    <cellStyle name="Followed Hyperlink 2" xfId="8931" hidden="1" xr:uid="{00000000-0005-0000-0000-0000700B0000}"/>
    <cellStyle name="Followed Hyperlink 2" xfId="8934" hidden="1" xr:uid="{00000000-0005-0000-0000-0000710B0000}"/>
    <cellStyle name="Followed Hyperlink 2" xfId="8937" hidden="1" xr:uid="{00000000-0005-0000-0000-0000720B0000}"/>
    <cellStyle name="Followed Hyperlink 2" xfId="8941" hidden="1" xr:uid="{00000000-0005-0000-0000-0000730B0000}"/>
    <cellStyle name="Followed Hyperlink 2" xfId="8949" hidden="1" xr:uid="{00000000-0005-0000-0000-0000740B0000}"/>
    <cellStyle name="Followed Hyperlink 2" xfId="8946" hidden="1" xr:uid="{00000000-0005-0000-0000-0000750B0000}"/>
    <cellStyle name="Followed Hyperlink 2" xfId="8944" hidden="1" xr:uid="{00000000-0005-0000-0000-0000760B0000}"/>
    <cellStyle name="Followed Hyperlink 2" xfId="8945" hidden="1" xr:uid="{00000000-0005-0000-0000-0000770B0000}"/>
    <cellStyle name="Followed Hyperlink 2" xfId="8955" hidden="1" xr:uid="{00000000-0005-0000-0000-0000780B0000}"/>
    <cellStyle name="Followed Hyperlink 2" xfId="8958" hidden="1" xr:uid="{00000000-0005-0000-0000-0000790B0000}"/>
    <cellStyle name="Followed Hyperlink 2" xfId="8961" hidden="1" xr:uid="{00000000-0005-0000-0000-00007A0B0000}"/>
    <cellStyle name="Followed Hyperlink 2" xfId="8965" hidden="1" xr:uid="{00000000-0005-0000-0000-00007B0B0000}"/>
    <cellStyle name="Followed Hyperlink 2" xfId="9002" hidden="1" xr:uid="{00000000-0005-0000-0000-00007C0B0000}"/>
    <cellStyle name="Followed Hyperlink 2" xfId="8999" hidden="1" xr:uid="{00000000-0005-0000-0000-00007D0B0000}"/>
    <cellStyle name="Followed Hyperlink 2" xfId="8997" hidden="1" xr:uid="{00000000-0005-0000-0000-00007E0B0000}"/>
    <cellStyle name="Followed Hyperlink 2" xfId="8998" hidden="1" xr:uid="{00000000-0005-0000-0000-00007F0B0000}"/>
    <cellStyle name="Followed Hyperlink 2" xfId="9008" hidden="1" xr:uid="{00000000-0005-0000-0000-0000800B0000}"/>
    <cellStyle name="Followed Hyperlink 2" xfId="9011" hidden="1" xr:uid="{00000000-0005-0000-0000-0000810B0000}"/>
    <cellStyle name="Followed Hyperlink 2" xfId="9014" hidden="1" xr:uid="{00000000-0005-0000-0000-0000820B0000}"/>
    <cellStyle name="Followed Hyperlink 2" xfId="9018" hidden="1" xr:uid="{00000000-0005-0000-0000-0000830B0000}"/>
    <cellStyle name="Followed Hyperlink 2" xfId="9026" hidden="1" xr:uid="{00000000-0005-0000-0000-0000840B0000}"/>
    <cellStyle name="Followed Hyperlink 2" xfId="9023" hidden="1" xr:uid="{00000000-0005-0000-0000-0000850B0000}"/>
    <cellStyle name="Followed Hyperlink 2" xfId="9021" hidden="1" xr:uid="{00000000-0005-0000-0000-0000860B0000}"/>
    <cellStyle name="Followed Hyperlink 2" xfId="9022" hidden="1" xr:uid="{00000000-0005-0000-0000-0000870B0000}"/>
    <cellStyle name="Followed Hyperlink 2" xfId="9032" hidden="1" xr:uid="{00000000-0005-0000-0000-0000880B0000}"/>
    <cellStyle name="Followed Hyperlink 2" xfId="9035" hidden="1" xr:uid="{00000000-0005-0000-0000-0000890B0000}"/>
    <cellStyle name="Followed Hyperlink 2" xfId="9038" hidden="1" xr:uid="{00000000-0005-0000-0000-00008A0B0000}"/>
    <cellStyle name="Followed Hyperlink 2" xfId="9042" hidden="1" xr:uid="{00000000-0005-0000-0000-00008B0B0000}"/>
    <cellStyle name="Followed Hyperlink 2" xfId="9052" hidden="1" xr:uid="{00000000-0005-0000-0000-00008C0B0000}"/>
    <cellStyle name="Followed Hyperlink 2" xfId="9049" hidden="1" xr:uid="{00000000-0005-0000-0000-00008D0B0000}"/>
    <cellStyle name="Followed Hyperlink 2" xfId="9047" hidden="1" xr:uid="{00000000-0005-0000-0000-00008E0B0000}"/>
    <cellStyle name="Followed Hyperlink 2" xfId="9048" hidden="1" xr:uid="{00000000-0005-0000-0000-00008F0B0000}"/>
    <cellStyle name="Followed Hyperlink 2" xfId="9058" hidden="1" xr:uid="{00000000-0005-0000-0000-0000900B0000}"/>
    <cellStyle name="Followed Hyperlink 2" xfId="9061" hidden="1" xr:uid="{00000000-0005-0000-0000-0000910B0000}"/>
    <cellStyle name="Followed Hyperlink 2" xfId="9064" hidden="1" xr:uid="{00000000-0005-0000-0000-0000920B0000}"/>
    <cellStyle name="Followed Hyperlink 2" xfId="9068" hidden="1" xr:uid="{00000000-0005-0000-0000-0000930B0000}"/>
    <cellStyle name="Followed Hyperlink 2" xfId="9076" hidden="1" xr:uid="{00000000-0005-0000-0000-0000940B0000}"/>
    <cellStyle name="Followed Hyperlink 2" xfId="9073" hidden="1" xr:uid="{00000000-0005-0000-0000-0000950B0000}"/>
    <cellStyle name="Followed Hyperlink 2" xfId="9071" hidden="1" xr:uid="{00000000-0005-0000-0000-0000960B0000}"/>
    <cellStyle name="Followed Hyperlink 2" xfId="9072" hidden="1" xr:uid="{00000000-0005-0000-0000-0000970B0000}"/>
    <cellStyle name="Followed Hyperlink 2" xfId="9082" hidden="1" xr:uid="{00000000-0005-0000-0000-0000980B0000}"/>
    <cellStyle name="Followed Hyperlink 2" xfId="9085" hidden="1" xr:uid="{00000000-0005-0000-0000-0000990B0000}"/>
    <cellStyle name="Followed Hyperlink 2" xfId="9088" hidden="1" xr:uid="{00000000-0005-0000-0000-00009A0B0000}"/>
    <cellStyle name="Followed Hyperlink 2" xfId="9092" hidden="1" xr:uid="{00000000-0005-0000-0000-00009B0B0000}"/>
    <cellStyle name="Followed Hyperlink 2" xfId="9129" hidden="1" xr:uid="{00000000-0005-0000-0000-00009C0B0000}"/>
    <cellStyle name="Followed Hyperlink 2" xfId="9126" hidden="1" xr:uid="{00000000-0005-0000-0000-00009D0B0000}"/>
    <cellStyle name="Followed Hyperlink 2" xfId="9124" hidden="1" xr:uid="{00000000-0005-0000-0000-00009E0B0000}"/>
    <cellStyle name="Followed Hyperlink 2" xfId="9125" hidden="1" xr:uid="{00000000-0005-0000-0000-00009F0B0000}"/>
    <cellStyle name="Followed Hyperlink 2" xfId="9135" hidden="1" xr:uid="{00000000-0005-0000-0000-0000A00B0000}"/>
    <cellStyle name="Followed Hyperlink 2" xfId="9138" hidden="1" xr:uid="{00000000-0005-0000-0000-0000A10B0000}"/>
    <cellStyle name="Followed Hyperlink 2" xfId="9141" hidden="1" xr:uid="{00000000-0005-0000-0000-0000A20B0000}"/>
    <cellStyle name="Followed Hyperlink 2" xfId="9145" hidden="1" xr:uid="{00000000-0005-0000-0000-0000A30B0000}"/>
    <cellStyle name="Followed Hyperlink 2" xfId="9153" hidden="1" xr:uid="{00000000-0005-0000-0000-0000A40B0000}"/>
    <cellStyle name="Followed Hyperlink 2" xfId="9150" hidden="1" xr:uid="{00000000-0005-0000-0000-0000A50B0000}"/>
    <cellStyle name="Followed Hyperlink 2" xfId="9148" hidden="1" xr:uid="{00000000-0005-0000-0000-0000A60B0000}"/>
    <cellStyle name="Followed Hyperlink 2" xfId="9149" hidden="1" xr:uid="{00000000-0005-0000-0000-0000A70B0000}"/>
    <cellStyle name="Followed Hyperlink 2" xfId="9159" hidden="1" xr:uid="{00000000-0005-0000-0000-0000A80B0000}"/>
    <cellStyle name="Followed Hyperlink 2" xfId="9162" hidden="1" xr:uid="{00000000-0005-0000-0000-0000A90B0000}"/>
    <cellStyle name="Followed Hyperlink 2" xfId="9165" hidden="1" xr:uid="{00000000-0005-0000-0000-0000AA0B0000}"/>
    <cellStyle name="Followed Hyperlink 2" xfId="9169" hidden="1" xr:uid="{00000000-0005-0000-0000-0000AB0B0000}"/>
    <cellStyle name="Followed Hyperlink 2" xfId="9179" hidden="1" xr:uid="{00000000-0005-0000-0000-0000AC0B0000}"/>
    <cellStyle name="Followed Hyperlink 2" xfId="9176" hidden="1" xr:uid="{00000000-0005-0000-0000-0000AD0B0000}"/>
    <cellStyle name="Followed Hyperlink 2" xfId="9174" hidden="1" xr:uid="{00000000-0005-0000-0000-0000AE0B0000}"/>
    <cellStyle name="Followed Hyperlink 2" xfId="9175" hidden="1" xr:uid="{00000000-0005-0000-0000-0000AF0B0000}"/>
    <cellStyle name="Followed Hyperlink 2" xfId="9185" hidden="1" xr:uid="{00000000-0005-0000-0000-0000B00B0000}"/>
    <cellStyle name="Followed Hyperlink 2" xfId="9188" hidden="1" xr:uid="{00000000-0005-0000-0000-0000B10B0000}"/>
    <cellStyle name="Followed Hyperlink 2" xfId="9191" hidden="1" xr:uid="{00000000-0005-0000-0000-0000B20B0000}"/>
    <cellStyle name="Followed Hyperlink 2" xfId="9195" hidden="1" xr:uid="{00000000-0005-0000-0000-0000B30B0000}"/>
    <cellStyle name="Followed Hyperlink 2" xfId="9203" hidden="1" xr:uid="{00000000-0005-0000-0000-0000B40B0000}"/>
    <cellStyle name="Followed Hyperlink 2" xfId="9200" hidden="1" xr:uid="{00000000-0005-0000-0000-0000B50B0000}"/>
    <cellStyle name="Followed Hyperlink 2" xfId="9198" hidden="1" xr:uid="{00000000-0005-0000-0000-0000B60B0000}"/>
    <cellStyle name="Followed Hyperlink 2" xfId="9199" hidden="1" xr:uid="{00000000-0005-0000-0000-0000B70B0000}"/>
    <cellStyle name="Followed Hyperlink 2" xfId="9209" hidden="1" xr:uid="{00000000-0005-0000-0000-0000B80B0000}"/>
    <cellStyle name="Followed Hyperlink 2" xfId="9212" hidden="1" xr:uid="{00000000-0005-0000-0000-0000B90B0000}"/>
    <cellStyle name="Followed Hyperlink 2" xfId="9215" hidden="1" xr:uid="{00000000-0005-0000-0000-0000BA0B0000}"/>
    <cellStyle name="Followed Hyperlink 2" xfId="9219" hidden="1" xr:uid="{00000000-0005-0000-0000-0000BB0B0000}"/>
    <cellStyle name="Followed Hyperlink 2" xfId="9096" hidden="1" xr:uid="{00000000-0005-0000-0000-0000BC0B0000}"/>
    <cellStyle name="Followed Hyperlink 2" xfId="9100" hidden="1" xr:uid="{00000000-0005-0000-0000-0000BD0B0000}"/>
    <cellStyle name="Followed Hyperlink 2" xfId="9095" hidden="1" xr:uid="{00000000-0005-0000-0000-0000BE0B0000}"/>
    <cellStyle name="Followed Hyperlink 2" xfId="9101" hidden="1" xr:uid="{00000000-0005-0000-0000-0000BF0B0000}"/>
    <cellStyle name="Followed Hyperlink 2" xfId="9222" hidden="1" xr:uid="{00000000-0005-0000-0000-0000C00B0000}"/>
    <cellStyle name="Followed Hyperlink 2" xfId="9225" hidden="1" xr:uid="{00000000-0005-0000-0000-0000C10B0000}"/>
    <cellStyle name="Followed Hyperlink 2" xfId="9228" hidden="1" xr:uid="{00000000-0005-0000-0000-0000C20B0000}"/>
    <cellStyle name="Followed Hyperlink 2" xfId="9232" hidden="1" xr:uid="{00000000-0005-0000-0000-0000C30B0000}"/>
    <cellStyle name="Followed Hyperlink 2" xfId="9240" hidden="1" xr:uid="{00000000-0005-0000-0000-0000C40B0000}"/>
    <cellStyle name="Followed Hyperlink 2" xfId="9237" hidden="1" xr:uid="{00000000-0005-0000-0000-0000C50B0000}"/>
    <cellStyle name="Followed Hyperlink 2" xfId="9235" hidden="1" xr:uid="{00000000-0005-0000-0000-0000C60B0000}"/>
    <cellStyle name="Followed Hyperlink 2" xfId="9236" hidden="1" xr:uid="{00000000-0005-0000-0000-0000C70B0000}"/>
    <cellStyle name="Followed Hyperlink 2" xfId="9246" hidden="1" xr:uid="{00000000-0005-0000-0000-0000C80B0000}"/>
    <cellStyle name="Followed Hyperlink 2" xfId="9249" hidden="1" xr:uid="{00000000-0005-0000-0000-0000C90B0000}"/>
    <cellStyle name="Followed Hyperlink 2" xfId="9252" hidden="1" xr:uid="{00000000-0005-0000-0000-0000CA0B0000}"/>
    <cellStyle name="Followed Hyperlink 2" xfId="9256" hidden="1" xr:uid="{00000000-0005-0000-0000-0000CB0B0000}"/>
    <cellStyle name="Followed Hyperlink 2" xfId="9265" hidden="1" xr:uid="{00000000-0005-0000-0000-0000CC0B0000}"/>
    <cellStyle name="Followed Hyperlink 2" xfId="9262" hidden="1" xr:uid="{00000000-0005-0000-0000-0000CD0B0000}"/>
    <cellStyle name="Followed Hyperlink 2" xfId="9260" hidden="1" xr:uid="{00000000-0005-0000-0000-0000CE0B0000}"/>
    <cellStyle name="Followed Hyperlink 2" xfId="9261" hidden="1" xr:uid="{00000000-0005-0000-0000-0000CF0B0000}"/>
    <cellStyle name="Followed Hyperlink 2" xfId="9271" hidden="1" xr:uid="{00000000-0005-0000-0000-0000D00B0000}"/>
    <cellStyle name="Followed Hyperlink 2" xfId="9274" hidden="1" xr:uid="{00000000-0005-0000-0000-0000D10B0000}"/>
    <cellStyle name="Followed Hyperlink 2" xfId="9277" hidden="1" xr:uid="{00000000-0005-0000-0000-0000D20B0000}"/>
    <cellStyle name="Followed Hyperlink 2" xfId="9281" hidden="1" xr:uid="{00000000-0005-0000-0000-0000D30B0000}"/>
    <cellStyle name="Followed Hyperlink 2" xfId="9289" hidden="1" xr:uid="{00000000-0005-0000-0000-0000D40B0000}"/>
    <cellStyle name="Followed Hyperlink 2" xfId="9286" hidden="1" xr:uid="{00000000-0005-0000-0000-0000D50B0000}"/>
    <cellStyle name="Followed Hyperlink 2" xfId="9284" hidden="1" xr:uid="{00000000-0005-0000-0000-0000D60B0000}"/>
    <cellStyle name="Followed Hyperlink 2" xfId="9285" hidden="1" xr:uid="{00000000-0005-0000-0000-0000D70B0000}"/>
    <cellStyle name="Followed Hyperlink 2" xfId="9295" hidden="1" xr:uid="{00000000-0005-0000-0000-0000D80B0000}"/>
    <cellStyle name="Followed Hyperlink 2" xfId="9298" hidden="1" xr:uid="{00000000-0005-0000-0000-0000D90B0000}"/>
    <cellStyle name="Followed Hyperlink 2" xfId="9301" hidden="1" xr:uid="{00000000-0005-0000-0000-0000DA0B0000}"/>
    <cellStyle name="Followed Hyperlink 2" xfId="9305" hidden="1" xr:uid="{00000000-0005-0000-0000-0000DB0B0000}"/>
    <cellStyle name="Followed Hyperlink 2" xfId="9114" hidden="1" xr:uid="{00000000-0005-0000-0000-0000DC0B0000}"/>
    <cellStyle name="Followed Hyperlink 2" xfId="9111" hidden="1" xr:uid="{00000000-0005-0000-0000-0000DD0B0000}"/>
    <cellStyle name="Followed Hyperlink 2" xfId="9105" hidden="1" xr:uid="{00000000-0005-0000-0000-0000DE0B0000}"/>
    <cellStyle name="Followed Hyperlink 2" xfId="9110" hidden="1" xr:uid="{00000000-0005-0000-0000-0000DF0B0000}"/>
    <cellStyle name="Followed Hyperlink 2" xfId="9308" hidden="1" xr:uid="{00000000-0005-0000-0000-0000E00B0000}"/>
    <cellStyle name="Followed Hyperlink 2" xfId="9311" hidden="1" xr:uid="{00000000-0005-0000-0000-0000E10B0000}"/>
    <cellStyle name="Followed Hyperlink 2" xfId="9314" hidden="1" xr:uid="{00000000-0005-0000-0000-0000E20B0000}"/>
    <cellStyle name="Followed Hyperlink 2" xfId="9318" hidden="1" xr:uid="{00000000-0005-0000-0000-0000E30B0000}"/>
    <cellStyle name="Followed Hyperlink 2" xfId="9326" hidden="1" xr:uid="{00000000-0005-0000-0000-0000E40B0000}"/>
    <cellStyle name="Followed Hyperlink 2" xfId="9323" hidden="1" xr:uid="{00000000-0005-0000-0000-0000E50B0000}"/>
    <cellStyle name="Followed Hyperlink 2" xfId="9321" hidden="1" xr:uid="{00000000-0005-0000-0000-0000E60B0000}"/>
    <cellStyle name="Followed Hyperlink 2" xfId="9322" hidden="1" xr:uid="{00000000-0005-0000-0000-0000E70B0000}"/>
    <cellStyle name="Followed Hyperlink 2" xfId="9332" hidden="1" xr:uid="{00000000-0005-0000-0000-0000E80B0000}"/>
    <cellStyle name="Followed Hyperlink 2" xfId="9335" hidden="1" xr:uid="{00000000-0005-0000-0000-0000E90B0000}"/>
    <cellStyle name="Followed Hyperlink 2" xfId="9338" hidden="1" xr:uid="{00000000-0005-0000-0000-0000EA0B0000}"/>
    <cellStyle name="Followed Hyperlink 2" xfId="9342" hidden="1" xr:uid="{00000000-0005-0000-0000-0000EB0B0000}"/>
    <cellStyle name="Followed Hyperlink 2" xfId="9351" hidden="1" xr:uid="{00000000-0005-0000-0000-0000EC0B0000}"/>
    <cellStyle name="Followed Hyperlink 2" xfId="9348" hidden="1" xr:uid="{00000000-0005-0000-0000-0000ED0B0000}"/>
    <cellStyle name="Followed Hyperlink 2" xfId="9346" hidden="1" xr:uid="{00000000-0005-0000-0000-0000EE0B0000}"/>
    <cellStyle name="Followed Hyperlink 2" xfId="9347" hidden="1" xr:uid="{00000000-0005-0000-0000-0000EF0B0000}"/>
    <cellStyle name="Followed Hyperlink 2" xfId="9357" hidden="1" xr:uid="{00000000-0005-0000-0000-0000F00B0000}"/>
    <cellStyle name="Followed Hyperlink 2" xfId="9360" hidden="1" xr:uid="{00000000-0005-0000-0000-0000F10B0000}"/>
    <cellStyle name="Followed Hyperlink 2" xfId="9363" hidden="1" xr:uid="{00000000-0005-0000-0000-0000F20B0000}"/>
    <cellStyle name="Followed Hyperlink 2" xfId="9367" hidden="1" xr:uid="{00000000-0005-0000-0000-0000F30B0000}"/>
    <cellStyle name="Followed Hyperlink 2" xfId="9375" hidden="1" xr:uid="{00000000-0005-0000-0000-0000F40B0000}"/>
    <cellStyle name="Followed Hyperlink 2" xfId="9372" hidden="1" xr:uid="{00000000-0005-0000-0000-0000F50B0000}"/>
    <cellStyle name="Followed Hyperlink 2" xfId="9370" hidden="1" xr:uid="{00000000-0005-0000-0000-0000F60B0000}"/>
    <cellStyle name="Followed Hyperlink 2" xfId="9371" hidden="1" xr:uid="{00000000-0005-0000-0000-0000F70B0000}"/>
    <cellStyle name="Followed Hyperlink 2" xfId="9381" hidden="1" xr:uid="{00000000-0005-0000-0000-0000F80B0000}"/>
    <cellStyle name="Followed Hyperlink 2" xfId="9384" hidden="1" xr:uid="{00000000-0005-0000-0000-0000F90B0000}"/>
    <cellStyle name="Followed Hyperlink 2" xfId="9387" hidden="1" xr:uid="{00000000-0005-0000-0000-0000FA0B0000}"/>
    <cellStyle name="Followed Hyperlink 2" xfId="9391" hidden="1" xr:uid="{00000000-0005-0000-0000-0000FB0B0000}"/>
    <cellStyle name="Followed Hyperlink 2" xfId="9122" hidden="1" xr:uid="{00000000-0005-0000-0000-0000FC0B0000}"/>
    <cellStyle name="Followed Hyperlink 2" xfId="9118" hidden="1" xr:uid="{00000000-0005-0000-0000-0000FD0B0000}"/>
    <cellStyle name="Followed Hyperlink 2" xfId="9119" hidden="1" xr:uid="{00000000-0005-0000-0000-0000FE0B0000}"/>
    <cellStyle name="Followed Hyperlink 2" xfId="9106" hidden="1" xr:uid="{00000000-0005-0000-0000-0000FF0B0000}"/>
    <cellStyle name="Followed Hyperlink 2" xfId="9394" hidden="1" xr:uid="{00000000-0005-0000-0000-0000000C0000}"/>
    <cellStyle name="Followed Hyperlink 2" xfId="9397" hidden="1" xr:uid="{00000000-0005-0000-0000-0000010C0000}"/>
    <cellStyle name="Followed Hyperlink 2" xfId="9400" hidden="1" xr:uid="{00000000-0005-0000-0000-0000020C0000}"/>
    <cellStyle name="Followed Hyperlink 2" xfId="9404" hidden="1" xr:uid="{00000000-0005-0000-0000-0000030C0000}"/>
    <cellStyle name="Followed Hyperlink 2" xfId="9412" hidden="1" xr:uid="{00000000-0005-0000-0000-0000040C0000}"/>
    <cellStyle name="Followed Hyperlink 2" xfId="9409" hidden="1" xr:uid="{00000000-0005-0000-0000-0000050C0000}"/>
    <cellStyle name="Followed Hyperlink 2" xfId="9407" hidden="1" xr:uid="{00000000-0005-0000-0000-0000060C0000}"/>
    <cellStyle name="Followed Hyperlink 2" xfId="9408" hidden="1" xr:uid="{00000000-0005-0000-0000-0000070C0000}"/>
    <cellStyle name="Followed Hyperlink 2" xfId="9418" hidden="1" xr:uid="{00000000-0005-0000-0000-0000080C0000}"/>
    <cellStyle name="Followed Hyperlink 2" xfId="9421" hidden="1" xr:uid="{00000000-0005-0000-0000-0000090C0000}"/>
    <cellStyle name="Followed Hyperlink 2" xfId="9424" hidden="1" xr:uid="{00000000-0005-0000-0000-00000A0C0000}"/>
    <cellStyle name="Followed Hyperlink 2" xfId="9428" hidden="1" xr:uid="{00000000-0005-0000-0000-00000B0C0000}"/>
    <cellStyle name="Followed Hyperlink 2" xfId="9436" hidden="1" xr:uid="{00000000-0005-0000-0000-00000C0C0000}"/>
    <cellStyle name="Followed Hyperlink 2" xfId="9433" hidden="1" xr:uid="{00000000-0005-0000-0000-00000D0C0000}"/>
    <cellStyle name="Followed Hyperlink 2" xfId="9431" hidden="1" xr:uid="{00000000-0005-0000-0000-00000E0C0000}"/>
    <cellStyle name="Followed Hyperlink 2" xfId="9432" hidden="1" xr:uid="{00000000-0005-0000-0000-00000F0C0000}"/>
    <cellStyle name="Followed Hyperlink 2" xfId="9442" hidden="1" xr:uid="{00000000-0005-0000-0000-0000100C0000}"/>
    <cellStyle name="Followed Hyperlink 2" xfId="9445" hidden="1" xr:uid="{00000000-0005-0000-0000-0000110C0000}"/>
    <cellStyle name="Followed Hyperlink 2" xfId="9448" hidden="1" xr:uid="{00000000-0005-0000-0000-0000120C0000}"/>
    <cellStyle name="Followed Hyperlink 2" xfId="9452" hidden="1" xr:uid="{00000000-0005-0000-0000-0000130C0000}"/>
    <cellStyle name="Followed Hyperlink 2" xfId="9460" hidden="1" xr:uid="{00000000-0005-0000-0000-0000140C0000}"/>
    <cellStyle name="Followed Hyperlink 2" xfId="9457" hidden="1" xr:uid="{00000000-0005-0000-0000-0000150C0000}"/>
    <cellStyle name="Followed Hyperlink 2" xfId="9455" hidden="1" xr:uid="{00000000-0005-0000-0000-0000160C0000}"/>
    <cellStyle name="Followed Hyperlink 2" xfId="9456" hidden="1" xr:uid="{00000000-0005-0000-0000-0000170C0000}"/>
    <cellStyle name="Followed Hyperlink 2" xfId="9466" hidden="1" xr:uid="{00000000-0005-0000-0000-0000180C0000}"/>
    <cellStyle name="Followed Hyperlink 2" xfId="9469" hidden="1" xr:uid="{00000000-0005-0000-0000-0000190C0000}"/>
    <cellStyle name="Followed Hyperlink 2" xfId="9472" hidden="1" xr:uid="{00000000-0005-0000-0000-00001A0C0000}"/>
    <cellStyle name="Followed Hyperlink 2" xfId="9476" hidden="1" xr:uid="{00000000-0005-0000-0000-00001B0C0000}"/>
    <cellStyle name="Followed Hyperlink 2" xfId="8969" hidden="1" xr:uid="{00000000-0005-0000-0000-00001C0C0000}"/>
    <cellStyle name="Followed Hyperlink 2" xfId="8973" hidden="1" xr:uid="{00000000-0005-0000-0000-00001D0C0000}"/>
    <cellStyle name="Followed Hyperlink 2" xfId="8968" hidden="1" xr:uid="{00000000-0005-0000-0000-00001E0C0000}"/>
    <cellStyle name="Followed Hyperlink 2" xfId="8974" hidden="1" xr:uid="{00000000-0005-0000-0000-00001F0C0000}"/>
    <cellStyle name="Followed Hyperlink 2" xfId="9479" hidden="1" xr:uid="{00000000-0005-0000-0000-0000200C0000}"/>
    <cellStyle name="Followed Hyperlink 2" xfId="9482" hidden="1" xr:uid="{00000000-0005-0000-0000-0000210C0000}"/>
    <cellStyle name="Followed Hyperlink 2" xfId="9485" hidden="1" xr:uid="{00000000-0005-0000-0000-0000220C0000}"/>
    <cellStyle name="Followed Hyperlink 2" xfId="9489" hidden="1" xr:uid="{00000000-0005-0000-0000-0000230C0000}"/>
    <cellStyle name="Followed Hyperlink 2" xfId="9497" hidden="1" xr:uid="{00000000-0005-0000-0000-0000240C0000}"/>
    <cellStyle name="Followed Hyperlink 2" xfId="9494" hidden="1" xr:uid="{00000000-0005-0000-0000-0000250C0000}"/>
    <cellStyle name="Followed Hyperlink 2" xfId="9492" hidden="1" xr:uid="{00000000-0005-0000-0000-0000260C0000}"/>
    <cellStyle name="Followed Hyperlink 2" xfId="9493" hidden="1" xr:uid="{00000000-0005-0000-0000-0000270C0000}"/>
    <cellStyle name="Followed Hyperlink 2" xfId="9503" hidden="1" xr:uid="{00000000-0005-0000-0000-0000280C0000}"/>
    <cellStyle name="Followed Hyperlink 2" xfId="9506" hidden="1" xr:uid="{00000000-0005-0000-0000-0000290C0000}"/>
    <cellStyle name="Followed Hyperlink 2" xfId="9509" hidden="1" xr:uid="{00000000-0005-0000-0000-00002A0C0000}"/>
    <cellStyle name="Followed Hyperlink 2" xfId="9513" hidden="1" xr:uid="{00000000-0005-0000-0000-00002B0C0000}"/>
    <cellStyle name="Followed Hyperlink 2" xfId="9522" hidden="1" xr:uid="{00000000-0005-0000-0000-00002C0C0000}"/>
    <cellStyle name="Followed Hyperlink 2" xfId="9519" hidden="1" xr:uid="{00000000-0005-0000-0000-00002D0C0000}"/>
    <cellStyle name="Followed Hyperlink 2" xfId="9517" hidden="1" xr:uid="{00000000-0005-0000-0000-00002E0C0000}"/>
    <cellStyle name="Followed Hyperlink 2" xfId="9518" hidden="1" xr:uid="{00000000-0005-0000-0000-00002F0C0000}"/>
    <cellStyle name="Followed Hyperlink 2" xfId="9528" hidden="1" xr:uid="{00000000-0005-0000-0000-0000300C0000}"/>
    <cellStyle name="Followed Hyperlink 2" xfId="9531" hidden="1" xr:uid="{00000000-0005-0000-0000-0000310C0000}"/>
    <cellStyle name="Followed Hyperlink 2" xfId="9534" hidden="1" xr:uid="{00000000-0005-0000-0000-0000320C0000}"/>
    <cellStyle name="Followed Hyperlink 2" xfId="9538" hidden="1" xr:uid="{00000000-0005-0000-0000-0000330C0000}"/>
    <cellStyle name="Followed Hyperlink 2" xfId="9546" hidden="1" xr:uid="{00000000-0005-0000-0000-0000340C0000}"/>
    <cellStyle name="Followed Hyperlink 2" xfId="9543" hidden="1" xr:uid="{00000000-0005-0000-0000-0000350C0000}"/>
    <cellStyle name="Followed Hyperlink 2" xfId="9541" hidden="1" xr:uid="{00000000-0005-0000-0000-0000360C0000}"/>
    <cellStyle name="Followed Hyperlink 2" xfId="9542" hidden="1" xr:uid="{00000000-0005-0000-0000-0000370C0000}"/>
    <cellStyle name="Followed Hyperlink 2" xfId="9552" hidden="1" xr:uid="{00000000-0005-0000-0000-0000380C0000}"/>
    <cellStyle name="Followed Hyperlink 2" xfId="9555" hidden="1" xr:uid="{00000000-0005-0000-0000-0000390C0000}"/>
    <cellStyle name="Followed Hyperlink 2" xfId="9558" hidden="1" xr:uid="{00000000-0005-0000-0000-00003A0C0000}"/>
    <cellStyle name="Followed Hyperlink 2" xfId="9562" hidden="1" xr:uid="{00000000-0005-0000-0000-00003B0C0000}"/>
    <cellStyle name="Followed Hyperlink 2" xfId="9599" hidden="1" xr:uid="{00000000-0005-0000-0000-00003C0C0000}"/>
    <cellStyle name="Followed Hyperlink 2" xfId="9596" hidden="1" xr:uid="{00000000-0005-0000-0000-00003D0C0000}"/>
    <cellStyle name="Followed Hyperlink 2" xfId="9594" hidden="1" xr:uid="{00000000-0005-0000-0000-00003E0C0000}"/>
    <cellStyle name="Followed Hyperlink 2" xfId="9595" hidden="1" xr:uid="{00000000-0005-0000-0000-00003F0C0000}"/>
    <cellStyle name="Followed Hyperlink 2" xfId="9605" hidden="1" xr:uid="{00000000-0005-0000-0000-0000400C0000}"/>
    <cellStyle name="Followed Hyperlink 2" xfId="9608" hidden="1" xr:uid="{00000000-0005-0000-0000-0000410C0000}"/>
    <cellStyle name="Followed Hyperlink 2" xfId="9611" hidden="1" xr:uid="{00000000-0005-0000-0000-0000420C0000}"/>
    <cellStyle name="Followed Hyperlink 2" xfId="9615" hidden="1" xr:uid="{00000000-0005-0000-0000-0000430C0000}"/>
    <cellStyle name="Followed Hyperlink 2" xfId="9623" hidden="1" xr:uid="{00000000-0005-0000-0000-0000440C0000}"/>
    <cellStyle name="Followed Hyperlink 2" xfId="9620" hidden="1" xr:uid="{00000000-0005-0000-0000-0000450C0000}"/>
    <cellStyle name="Followed Hyperlink 2" xfId="9618" hidden="1" xr:uid="{00000000-0005-0000-0000-0000460C0000}"/>
    <cellStyle name="Followed Hyperlink 2" xfId="9619" hidden="1" xr:uid="{00000000-0005-0000-0000-0000470C0000}"/>
    <cellStyle name="Followed Hyperlink 2" xfId="9629" hidden="1" xr:uid="{00000000-0005-0000-0000-0000480C0000}"/>
    <cellStyle name="Followed Hyperlink 2" xfId="9632" hidden="1" xr:uid="{00000000-0005-0000-0000-0000490C0000}"/>
    <cellStyle name="Followed Hyperlink 2" xfId="9635" hidden="1" xr:uid="{00000000-0005-0000-0000-00004A0C0000}"/>
    <cellStyle name="Followed Hyperlink 2" xfId="9639" hidden="1" xr:uid="{00000000-0005-0000-0000-00004B0C0000}"/>
    <cellStyle name="Followed Hyperlink 2" xfId="9649" hidden="1" xr:uid="{00000000-0005-0000-0000-00004C0C0000}"/>
    <cellStyle name="Followed Hyperlink 2" xfId="9646" hidden="1" xr:uid="{00000000-0005-0000-0000-00004D0C0000}"/>
    <cellStyle name="Followed Hyperlink 2" xfId="9644" hidden="1" xr:uid="{00000000-0005-0000-0000-00004E0C0000}"/>
    <cellStyle name="Followed Hyperlink 2" xfId="9645" hidden="1" xr:uid="{00000000-0005-0000-0000-00004F0C0000}"/>
    <cellStyle name="Followed Hyperlink 2" xfId="9655" hidden="1" xr:uid="{00000000-0005-0000-0000-0000500C0000}"/>
    <cellStyle name="Followed Hyperlink 2" xfId="9658" hidden="1" xr:uid="{00000000-0005-0000-0000-0000510C0000}"/>
    <cellStyle name="Followed Hyperlink 2" xfId="9661" hidden="1" xr:uid="{00000000-0005-0000-0000-0000520C0000}"/>
    <cellStyle name="Followed Hyperlink 2" xfId="9665" hidden="1" xr:uid="{00000000-0005-0000-0000-0000530C0000}"/>
    <cellStyle name="Followed Hyperlink 2" xfId="9673" hidden="1" xr:uid="{00000000-0005-0000-0000-0000540C0000}"/>
    <cellStyle name="Followed Hyperlink 2" xfId="9670" hidden="1" xr:uid="{00000000-0005-0000-0000-0000550C0000}"/>
    <cellStyle name="Followed Hyperlink 2" xfId="9668" hidden="1" xr:uid="{00000000-0005-0000-0000-0000560C0000}"/>
    <cellStyle name="Followed Hyperlink 2" xfId="9669" hidden="1" xr:uid="{00000000-0005-0000-0000-0000570C0000}"/>
    <cellStyle name="Followed Hyperlink 2" xfId="9679" hidden="1" xr:uid="{00000000-0005-0000-0000-0000580C0000}"/>
    <cellStyle name="Followed Hyperlink 2" xfId="9682" hidden="1" xr:uid="{00000000-0005-0000-0000-0000590C0000}"/>
    <cellStyle name="Followed Hyperlink 2" xfId="9685" hidden="1" xr:uid="{00000000-0005-0000-0000-00005A0C0000}"/>
    <cellStyle name="Followed Hyperlink 2" xfId="9689" hidden="1" xr:uid="{00000000-0005-0000-0000-00005B0C0000}"/>
    <cellStyle name="Followed Hyperlink 2" xfId="9566" hidden="1" xr:uid="{00000000-0005-0000-0000-00005C0C0000}"/>
    <cellStyle name="Followed Hyperlink 2" xfId="9570" hidden="1" xr:uid="{00000000-0005-0000-0000-00005D0C0000}"/>
    <cellStyle name="Followed Hyperlink 2" xfId="9565" hidden="1" xr:uid="{00000000-0005-0000-0000-00005E0C0000}"/>
    <cellStyle name="Followed Hyperlink 2" xfId="9571" hidden="1" xr:uid="{00000000-0005-0000-0000-00005F0C0000}"/>
    <cellStyle name="Followed Hyperlink 2" xfId="9692" hidden="1" xr:uid="{00000000-0005-0000-0000-0000600C0000}"/>
    <cellStyle name="Followed Hyperlink 2" xfId="9695" hidden="1" xr:uid="{00000000-0005-0000-0000-0000610C0000}"/>
    <cellStyle name="Followed Hyperlink 2" xfId="9698" hidden="1" xr:uid="{00000000-0005-0000-0000-0000620C0000}"/>
    <cellStyle name="Followed Hyperlink 2" xfId="9702" hidden="1" xr:uid="{00000000-0005-0000-0000-0000630C0000}"/>
    <cellStyle name="Followed Hyperlink 2" xfId="9710" hidden="1" xr:uid="{00000000-0005-0000-0000-0000640C0000}"/>
    <cellStyle name="Followed Hyperlink 2" xfId="9707" hidden="1" xr:uid="{00000000-0005-0000-0000-0000650C0000}"/>
    <cellStyle name="Followed Hyperlink 2" xfId="9705" hidden="1" xr:uid="{00000000-0005-0000-0000-0000660C0000}"/>
    <cellStyle name="Followed Hyperlink 2" xfId="9706" hidden="1" xr:uid="{00000000-0005-0000-0000-0000670C0000}"/>
    <cellStyle name="Followed Hyperlink 2" xfId="9716" hidden="1" xr:uid="{00000000-0005-0000-0000-0000680C0000}"/>
    <cellStyle name="Followed Hyperlink 2" xfId="9719" hidden="1" xr:uid="{00000000-0005-0000-0000-0000690C0000}"/>
    <cellStyle name="Followed Hyperlink 2" xfId="9722" hidden="1" xr:uid="{00000000-0005-0000-0000-00006A0C0000}"/>
    <cellStyle name="Followed Hyperlink 2" xfId="9726" hidden="1" xr:uid="{00000000-0005-0000-0000-00006B0C0000}"/>
    <cellStyle name="Followed Hyperlink 2" xfId="9735" hidden="1" xr:uid="{00000000-0005-0000-0000-00006C0C0000}"/>
    <cellStyle name="Followed Hyperlink 2" xfId="9732" hidden="1" xr:uid="{00000000-0005-0000-0000-00006D0C0000}"/>
    <cellStyle name="Followed Hyperlink 2" xfId="9730" hidden="1" xr:uid="{00000000-0005-0000-0000-00006E0C0000}"/>
    <cellStyle name="Followed Hyperlink 2" xfId="9731" hidden="1" xr:uid="{00000000-0005-0000-0000-00006F0C0000}"/>
    <cellStyle name="Followed Hyperlink 2" xfId="9741" hidden="1" xr:uid="{00000000-0005-0000-0000-0000700C0000}"/>
    <cellStyle name="Followed Hyperlink 2" xfId="9744" hidden="1" xr:uid="{00000000-0005-0000-0000-0000710C0000}"/>
    <cellStyle name="Followed Hyperlink 2" xfId="9747" hidden="1" xr:uid="{00000000-0005-0000-0000-0000720C0000}"/>
    <cellStyle name="Followed Hyperlink 2" xfId="9751" hidden="1" xr:uid="{00000000-0005-0000-0000-0000730C0000}"/>
    <cellStyle name="Followed Hyperlink 2" xfId="9759" hidden="1" xr:uid="{00000000-0005-0000-0000-0000740C0000}"/>
    <cellStyle name="Followed Hyperlink 2" xfId="9756" hidden="1" xr:uid="{00000000-0005-0000-0000-0000750C0000}"/>
    <cellStyle name="Followed Hyperlink 2" xfId="9754" hidden="1" xr:uid="{00000000-0005-0000-0000-0000760C0000}"/>
    <cellStyle name="Followed Hyperlink 2" xfId="9755" hidden="1" xr:uid="{00000000-0005-0000-0000-0000770C0000}"/>
    <cellStyle name="Followed Hyperlink 2" xfId="9765" hidden="1" xr:uid="{00000000-0005-0000-0000-0000780C0000}"/>
    <cellStyle name="Followed Hyperlink 2" xfId="9768" hidden="1" xr:uid="{00000000-0005-0000-0000-0000790C0000}"/>
    <cellStyle name="Followed Hyperlink 2" xfId="9771" hidden="1" xr:uid="{00000000-0005-0000-0000-00007A0C0000}"/>
    <cellStyle name="Followed Hyperlink 2" xfId="9775" hidden="1" xr:uid="{00000000-0005-0000-0000-00007B0C0000}"/>
    <cellStyle name="Followed Hyperlink 2" xfId="9584" hidden="1" xr:uid="{00000000-0005-0000-0000-00007C0C0000}"/>
    <cellStyle name="Followed Hyperlink 2" xfId="9581" hidden="1" xr:uid="{00000000-0005-0000-0000-00007D0C0000}"/>
    <cellStyle name="Followed Hyperlink 2" xfId="9575" hidden="1" xr:uid="{00000000-0005-0000-0000-00007E0C0000}"/>
    <cellStyle name="Followed Hyperlink 2" xfId="9580" hidden="1" xr:uid="{00000000-0005-0000-0000-00007F0C0000}"/>
    <cellStyle name="Followed Hyperlink 2" xfId="9778" hidden="1" xr:uid="{00000000-0005-0000-0000-0000800C0000}"/>
    <cellStyle name="Followed Hyperlink 2" xfId="9781" hidden="1" xr:uid="{00000000-0005-0000-0000-0000810C0000}"/>
    <cellStyle name="Followed Hyperlink 2" xfId="9784" hidden="1" xr:uid="{00000000-0005-0000-0000-0000820C0000}"/>
    <cellStyle name="Followed Hyperlink 2" xfId="9788" hidden="1" xr:uid="{00000000-0005-0000-0000-0000830C0000}"/>
    <cellStyle name="Followed Hyperlink 2" xfId="9796" hidden="1" xr:uid="{00000000-0005-0000-0000-0000840C0000}"/>
    <cellStyle name="Followed Hyperlink 2" xfId="9793" hidden="1" xr:uid="{00000000-0005-0000-0000-0000850C0000}"/>
    <cellStyle name="Followed Hyperlink 2" xfId="9791" hidden="1" xr:uid="{00000000-0005-0000-0000-0000860C0000}"/>
    <cellStyle name="Followed Hyperlink 2" xfId="9792" hidden="1" xr:uid="{00000000-0005-0000-0000-0000870C0000}"/>
    <cellStyle name="Followed Hyperlink 2" xfId="9802" hidden="1" xr:uid="{00000000-0005-0000-0000-0000880C0000}"/>
    <cellStyle name="Followed Hyperlink 2" xfId="9805" hidden="1" xr:uid="{00000000-0005-0000-0000-0000890C0000}"/>
    <cellStyle name="Followed Hyperlink 2" xfId="9808" hidden="1" xr:uid="{00000000-0005-0000-0000-00008A0C0000}"/>
    <cellStyle name="Followed Hyperlink 2" xfId="9812" hidden="1" xr:uid="{00000000-0005-0000-0000-00008B0C0000}"/>
    <cellStyle name="Followed Hyperlink 2" xfId="9821" hidden="1" xr:uid="{00000000-0005-0000-0000-00008C0C0000}"/>
    <cellStyle name="Followed Hyperlink 2" xfId="9818" hidden="1" xr:uid="{00000000-0005-0000-0000-00008D0C0000}"/>
    <cellStyle name="Followed Hyperlink 2" xfId="9816" hidden="1" xr:uid="{00000000-0005-0000-0000-00008E0C0000}"/>
    <cellStyle name="Followed Hyperlink 2" xfId="9817" hidden="1" xr:uid="{00000000-0005-0000-0000-00008F0C0000}"/>
    <cellStyle name="Followed Hyperlink 2" xfId="9827" hidden="1" xr:uid="{00000000-0005-0000-0000-0000900C0000}"/>
    <cellStyle name="Followed Hyperlink 2" xfId="9830" hidden="1" xr:uid="{00000000-0005-0000-0000-0000910C0000}"/>
    <cellStyle name="Followed Hyperlink 2" xfId="9833" hidden="1" xr:uid="{00000000-0005-0000-0000-0000920C0000}"/>
    <cellStyle name="Followed Hyperlink 2" xfId="9837" hidden="1" xr:uid="{00000000-0005-0000-0000-0000930C0000}"/>
    <cellStyle name="Followed Hyperlink 2" xfId="9845" hidden="1" xr:uid="{00000000-0005-0000-0000-0000940C0000}"/>
    <cellStyle name="Followed Hyperlink 2" xfId="9842" hidden="1" xr:uid="{00000000-0005-0000-0000-0000950C0000}"/>
    <cellStyle name="Followed Hyperlink 2" xfId="9840" hidden="1" xr:uid="{00000000-0005-0000-0000-0000960C0000}"/>
    <cellStyle name="Followed Hyperlink 2" xfId="9841" hidden="1" xr:uid="{00000000-0005-0000-0000-0000970C0000}"/>
    <cellStyle name="Followed Hyperlink 2" xfId="9851" hidden="1" xr:uid="{00000000-0005-0000-0000-0000980C0000}"/>
    <cellStyle name="Followed Hyperlink 2" xfId="9854" hidden="1" xr:uid="{00000000-0005-0000-0000-0000990C0000}"/>
    <cellStyle name="Followed Hyperlink 2" xfId="9857" hidden="1" xr:uid="{00000000-0005-0000-0000-00009A0C0000}"/>
    <cellStyle name="Followed Hyperlink 2" xfId="9861" hidden="1" xr:uid="{00000000-0005-0000-0000-00009B0C0000}"/>
    <cellStyle name="Followed Hyperlink 2" xfId="9592" hidden="1" xr:uid="{00000000-0005-0000-0000-00009C0C0000}"/>
    <cellStyle name="Followed Hyperlink 2" xfId="9588" hidden="1" xr:uid="{00000000-0005-0000-0000-00009D0C0000}"/>
    <cellStyle name="Followed Hyperlink 2" xfId="9589" hidden="1" xr:uid="{00000000-0005-0000-0000-00009E0C0000}"/>
    <cellStyle name="Followed Hyperlink 2" xfId="9576" hidden="1" xr:uid="{00000000-0005-0000-0000-00009F0C0000}"/>
    <cellStyle name="Followed Hyperlink 2" xfId="9864" hidden="1" xr:uid="{00000000-0005-0000-0000-0000A00C0000}"/>
    <cellStyle name="Followed Hyperlink 2" xfId="9867" hidden="1" xr:uid="{00000000-0005-0000-0000-0000A10C0000}"/>
    <cellStyle name="Followed Hyperlink 2" xfId="9870" hidden="1" xr:uid="{00000000-0005-0000-0000-0000A20C0000}"/>
    <cellStyle name="Followed Hyperlink 2" xfId="9874" hidden="1" xr:uid="{00000000-0005-0000-0000-0000A30C0000}"/>
    <cellStyle name="Followed Hyperlink 2" xfId="9882" hidden="1" xr:uid="{00000000-0005-0000-0000-0000A40C0000}"/>
    <cellStyle name="Followed Hyperlink 2" xfId="9879" hidden="1" xr:uid="{00000000-0005-0000-0000-0000A50C0000}"/>
    <cellStyle name="Followed Hyperlink 2" xfId="9877" hidden="1" xr:uid="{00000000-0005-0000-0000-0000A60C0000}"/>
    <cellStyle name="Followed Hyperlink 2" xfId="9878" hidden="1" xr:uid="{00000000-0005-0000-0000-0000A70C0000}"/>
    <cellStyle name="Followed Hyperlink 2" xfId="9888" hidden="1" xr:uid="{00000000-0005-0000-0000-0000A80C0000}"/>
    <cellStyle name="Followed Hyperlink 2" xfId="9891" hidden="1" xr:uid="{00000000-0005-0000-0000-0000A90C0000}"/>
    <cellStyle name="Followed Hyperlink 2" xfId="9894" hidden="1" xr:uid="{00000000-0005-0000-0000-0000AA0C0000}"/>
    <cellStyle name="Followed Hyperlink 2" xfId="9898" hidden="1" xr:uid="{00000000-0005-0000-0000-0000AB0C0000}"/>
    <cellStyle name="Followed Hyperlink 2" xfId="9906" hidden="1" xr:uid="{00000000-0005-0000-0000-0000AC0C0000}"/>
    <cellStyle name="Followed Hyperlink 2" xfId="9903" hidden="1" xr:uid="{00000000-0005-0000-0000-0000AD0C0000}"/>
    <cellStyle name="Followed Hyperlink 2" xfId="9901" hidden="1" xr:uid="{00000000-0005-0000-0000-0000AE0C0000}"/>
    <cellStyle name="Followed Hyperlink 2" xfId="9902" hidden="1" xr:uid="{00000000-0005-0000-0000-0000AF0C0000}"/>
    <cellStyle name="Followed Hyperlink 2" xfId="9912" hidden="1" xr:uid="{00000000-0005-0000-0000-0000B00C0000}"/>
    <cellStyle name="Followed Hyperlink 2" xfId="9915" hidden="1" xr:uid="{00000000-0005-0000-0000-0000B10C0000}"/>
    <cellStyle name="Followed Hyperlink 2" xfId="9918" hidden="1" xr:uid="{00000000-0005-0000-0000-0000B20C0000}"/>
    <cellStyle name="Followed Hyperlink 2" xfId="9922" hidden="1" xr:uid="{00000000-0005-0000-0000-0000B30C0000}"/>
    <cellStyle name="Followed Hyperlink 2" xfId="9930" hidden="1" xr:uid="{00000000-0005-0000-0000-0000B40C0000}"/>
    <cellStyle name="Followed Hyperlink 2" xfId="9927" hidden="1" xr:uid="{00000000-0005-0000-0000-0000B50C0000}"/>
    <cellStyle name="Followed Hyperlink 2" xfId="9925" hidden="1" xr:uid="{00000000-0005-0000-0000-0000B60C0000}"/>
    <cellStyle name="Followed Hyperlink 2" xfId="9926" hidden="1" xr:uid="{00000000-0005-0000-0000-0000B70C0000}"/>
    <cellStyle name="Followed Hyperlink 2" xfId="9936" hidden="1" xr:uid="{00000000-0005-0000-0000-0000B80C0000}"/>
    <cellStyle name="Followed Hyperlink 2" xfId="9939" hidden="1" xr:uid="{00000000-0005-0000-0000-0000B90C0000}"/>
    <cellStyle name="Followed Hyperlink 2" xfId="9942" hidden="1" xr:uid="{00000000-0005-0000-0000-0000BA0C0000}"/>
    <cellStyle name="Followed Hyperlink 2" xfId="9946" hidden="1" xr:uid="{00000000-0005-0000-0000-0000BB0C0000}"/>
    <cellStyle name="Followed Hyperlink 2" xfId="8987" hidden="1" xr:uid="{00000000-0005-0000-0000-0000BC0C0000}"/>
    <cellStyle name="Followed Hyperlink 2" xfId="8984" hidden="1" xr:uid="{00000000-0005-0000-0000-0000BD0C0000}"/>
    <cellStyle name="Followed Hyperlink 2" xfId="8978" hidden="1" xr:uid="{00000000-0005-0000-0000-0000BE0C0000}"/>
    <cellStyle name="Followed Hyperlink 2" xfId="8983" hidden="1" xr:uid="{00000000-0005-0000-0000-0000BF0C0000}"/>
    <cellStyle name="Followed Hyperlink 2" xfId="9949" hidden="1" xr:uid="{00000000-0005-0000-0000-0000C00C0000}"/>
    <cellStyle name="Followed Hyperlink 2" xfId="9952" hidden="1" xr:uid="{00000000-0005-0000-0000-0000C10C0000}"/>
    <cellStyle name="Followed Hyperlink 2" xfId="9955" hidden="1" xr:uid="{00000000-0005-0000-0000-0000C20C0000}"/>
    <cellStyle name="Followed Hyperlink 2" xfId="9959" hidden="1" xr:uid="{00000000-0005-0000-0000-0000C30C0000}"/>
    <cellStyle name="Followed Hyperlink 2" xfId="9967" hidden="1" xr:uid="{00000000-0005-0000-0000-0000C40C0000}"/>
    <cellStyle name="Followed Hyperlink 2" xfId="9964" hidden="1" xr:uid="{00000000-0005-0000-0000-0000C50C0000}"/>
    <cellStyle name="Followed Hyperlink 2" xfId="9962" hidden="1" xr:uid="{00000000-0005-0000-0000-0000C60C0000}"/>
    <cellStyle name="Followed Hyperlink 2" xfId="9963" hidden="1" xr:uid="{00000000-0005-0000-0000-0000C70C0000}"/>
    <cellStyle name="Followed Hyperlink 2" xfId="9973" hidden="1" xr:uid="{00000000-0005-0000-0000-0000C80C0000}"/>
    <cellStyle name="Followed Hyperlink 2" xfId="9976" hidden="1" xr:uid="{00000000-0005-0000-0000-0000C90C0000}"/>
    <cellStyle name="Followed Hyperlink 2" xfId="9979" hidden="1" xr:uid="{00000000-0005-0000-0000-0000CA0C0000}"/>
    <cellStyle name="Followed Hyperlink 2" xfId="9983" hidden="1" xr:uid="{00000000-0005-0000-0000-0000CB0C0000}"/>
    <cellStyle name="Followed Hyperlink 2" xfId="9992" hidden="1" xr:uid="{00000000-0005-0000-0000-0000CC0C0000}"/>
    <cellStyle name="Followed Hyperlink 2" xfId="9989" hidden="1" xr:uid="{00000000-0005-0000-0000-0000CD0C0000}"/>
    <cellStyle name="Followed Hyperlink 2" xfId="9987" hidden="1" xr:uid="{00000000-0005-0000-0000-0000CE0C0000}"/>
    <cellStyle name="Followed Hyperlink 2" xfId="9988" hidden="1" xr:uid="{00000000-0005-0000-0000-0000CF0C0000}"/>
    <cellStyle name="Followed Hyperlink 2" xfId="9998" hidden="1" xr:uid="{00000000-0005-0000-0000-0000D00C0000}"/>
    <cellStyle name="Followed Hyperlink 2" xfId="10001" hidden="1" xr:uid="{00000000-0005-0000-0000-0000D10C0000}"/>
    <cellStyle name="Followed Hyperlink 2" xfId="10004" hidden="1" xr:uid="{00000000-0005-0000-0000-0000D20C0000}"/>
    <cellStyle name="Followed Hyperlink 2" xfId="10008" hidden="1" xr:uid="{00000000-0005-0000-0000-0000D30C0000}"/>
    <cellStyle name="Followed Hyperlink 2" xfId="10016" hidden="1" xr:uid="{00000000-0005-0000-0000-0000D40C0000}"/>
    <cellStyle name="Followed Hyperlink 2" xfId="10013" hidden="1" xr:uid="{00000000-0005-0000-0000-0000D50C0000}"/>
    <cellStyle name="Followed Hyperlink 2" xfId="10011" hidden="1" xr:uid="{00000000-0005-0000-0000-0000D60C0000}"/>
    <cellStyle name="Followed Hyperlink 2" xfId="10012" hidden="1" xr:uid="{00000000-0005-0000-0000-0000D70C0000}"/>
    <cellStyle name="Followed Hyperlink 2" xfId="10022" hidden="1" xr:uid="{00000000-0005-0000-0000-0000D80C0000}"/>
    <cellStyle name="Followed Hyperlink 2" xfId="10025" hidden="1" xr:uid="{00000000-0005-0000-0000-0000D90C0000}"/>
    <cellStyle name="Followed Hyperlink 2" xfId="10028" hidden="1" xr:uid="{00000000-0005-0000-0000-0000DA0C0000}"/>
    <cellStyle name="Followed Hyperlink 2" xfId="10032" hidden="1" xr:uid="{00000000-0005-0000-0000-0000DB0C0000}"/>
    <cellStyle name="Followed Hyperlink 2" xfId="10069" hidden="1" xr:uid="{00000000-0005-0000-0000-0000DC0C0000}"/>
    <cellStyle name="Followed Hyperlink 2" xfId="10066" hidden="1" xr:uid="{00000000-0005-0000-0000-0000DD0C0000}"/>
    <cellStyle name="Followed Hyperlink 2" xfId="10064" hidden="1" xr:uid="{00000000-0005-0000-0000-0000DE0C0000}"/>
    <cellStyle name="Followed Hyperlink 2" xfId="10065" hidden="1" xr:uid="{00000000-0005-0000-0000-0000DF0C0000}"/>
    <cellStyle name="Followed Hyperlink 2" xfId="10075" hidden="1" xr:uid="{00000000-0005-0000-0000-0000E00C0000}"/>
    <cellStyle name="Followed Hyperlink 2" xfId="10078" hidden="1" xr:uid="{00000000-0005-0000-0000-0000E10C0000}"/>
    <cellStyle name="Followed Hyperlink 2" xfId="10081" hidden="1" xr:uid="{00000000-0005-0000-0000-0000E20C0000}"/>
    <cellStyle name="Followed Hyperlink 2" xfId="10085" hidden="1" xr:uid="{00000000-0005-0000-0000-0000E30C0000}"/>
    <cellStyle name="Followed Hyperlink 2" xfId="10093" hidden="1" xr:uid="{00000000-0005-0000-0000-0000E40C0000}"/>
    <cellStyle name="Followed Hyperlink 2" xfId="10090" hidden="1" xr:uid="{00000000-0005-0000-0000-0000E50C0000}"/>
    <cellStyle name="Followed Hyperlink 2" xfId="10088" hidden="1" xr:uid="{00000000-0005-0000-0000-0000E60C0000}"/>
    <cellStyle name="Followed Hyperlink 2" xfId="10089" hidden="1" xr:uid="{00000000-0005-0000-0000-0000E70C0000}"/>
    <cellStyle name="Followed Hyperlink 2" xfId="10099" hidden="1" xr:uid="{00000000-0005-0000-0000-0000E80C0000}"/>
    <cellStyle name="Followed Hyperlink 2" xfId="10102" hidden="1" xr:uid="{00000000-0005-0000-0000-0000E90C0000}"/>
    <cellStyle name="Followed Hyperlink 2" xfId="10105" hidden="1" xr:uid="{00000000-0005-0000-0000-0000EA0C0000}"/>
    <cellStyle name="Followed Hyperlink 2" xfId="10109" hidden="1" xr:uid="{00000000-0005-0000-0000-0000EB0C0000}"/>
    <cellStyle name="Followed Hyperlink 2" xfId="10119" hidden="1" xr:uid="{00000000-0005-0000-0000-0000EC0C0000}"/>
    <cellStyle name="Followed Hyperlink 2" xfId="10116" hidden="1" xr:uid="{00000000-0005-0000-0000-0000ED0C0000}"/>
    <cellStyle name="Followed Hyperlink 2" xfId="10114" hidden="1" xr:uid="{00000000-0005-0000-0000-0000EE0C0000}"/>
    <cellStyle name="Followed Hyperlink 2" xfId="10115" hidden="1" xr:uid="{00000000-0005-0000-0000-0000EF0C0000}"/>
    <cellStyle name="Followed Hyperlink 2" xfId="10125" hidden="1" xr:uid="{00000000-0005-0000-0000-0000F00C0000}"/>
    <cellStyle name="Followed Hyperlink 2" xfId="10128" hidden="1" xr:uid="{00000000-0005-0000-0000-0000F10C0000}"/>
    <cellStyle name="Followed Hyperlink 2" xfId="10131" hidden="1" xr:uid="{00000000-0005-0000-0000-0000F20C0000}"/>
    <cellStyle name="Followed Hyperlink 2" xfId="10135" hidden="1" xr:uid="{00000000-0005-0000-0000-0000F30C0000}"/>
    <cellStyle name="Followed Hyperlink 2" xfId="10143" hidden="1" xr:uid="{00000000-0005-0000-0000-0000F40C0000}"/>
    <cellStyle name="Followed Hyperlink 2" xfId="10140" hidden="1" xr:uid="{00000000-0005-0000-0000-0000F50C0000}"/>
    <cellStyle name="Followed Hyperlink 2" xfId="10138" hidden="1" xr:uid="{00000000-0005-0000-0000-0000F60C0000}"/>
    <cellStyle name="Followed Hyperlink 2" xfId="10139" hidden="1" xr:uid="{00000000-0005-0000-0000-0000F70C0000}"/>
    <cellStyle name="Followed Hyperlink 2" xfId="10149" hidden="1" xr:uid="{00000000-0005-0000-0000-0000F80C0000}"/>
    <cellStyle name="Followed Hyperlink 2" xfId="10152" hidden="1" xr:uid="{00000000-0005-0000-0000-0000F90C0000}"/>
    <cellStyle name="Followed Hyperlink 2" xfId="10155" hidden="1" xr:uid="{00000000-0005-0000-0000-0000FA0C0000}"/>
    <cellStyle name="Followed Hyperlink 2" xfId="10159" hidden="1" xr:uid="{00000000-0005-0000-0000-0000FB0C0000}"/>
    <cellStyle name="Followed Hyperlink 2" xfId="10036" hidden="1" xr:uid="{00000000-0005-0000-0000-0000FC0C0000}"/>
    <cellStyle name="Followed Hyperlink 2" xfId="10040" hidden="1" xr:uid="{00000000-0005-0000-0000-0000FD0C0000}"/>
    <cellStyle name="Followed Hyperlink 2" xfId="10035" hidden="1" xr:uid="{00000000-0005-0000-0000-0000FE0C0000}"/>
    <cellStyle name="Followed Hyperlink 2" xfId="10041" hidden="1" xr:uid="{00000000-0005-0000-0000-0000FF0C0000}"/>
    <cellStyle name="Followed Hyperlink 2" xfId="10162" hidden="1" xr:uid="{00000000-0005-0000-0000-0000000D0000}"/>
    <cellStyle name="Followed Hyperlink 2" xfId="10165" hidden="1" xr:uid="{00000000-0005-0000-0000-0000010D0000}"/>
    <cellStyle name="Followed Hyperlink 2" xfId="10168" hidden="1" xr:uid="{00000000-0005-0000-0000-0000020D0000}"/>
    <cellStyle name="Followed Hyperlink 2" xfId="10172" hidden="1" xr:uid="{00000000-0005-0000-0000-0000030D0000}"/>
    <cellStyle name="Followed Hyperlink 2" xfId="10180" hidden="1" xr:uid="{00000000-0005-0000-0000-0000040D0000}"/>
    <cellStyle name="Followed Hyperlink 2" xfId="10177" hidden="1" xr:uid="{00000000-0005-0000-0000-0000050D0000}"/>
    <cellStyle name="Followed Hyperlink 2" xfId="10175" hidden="1" xr:uid="{00000000-0005-0000-0000-0000060D0000}"/>
    <cellStyle name="Followed Hyperlink 2" xfId="10176" hidden="1" xr:uid="{00000000-0005-0000-0000-0000070D0000}"/>
    <cellStyle name="Followed Hyperlink 2" xfId="10186" hidden="1" xr:uid="{00000000-0005-0000-0000-0000080D0000}"/>
    <cellStyle name="Followed Hyperlink 2" xfId="10189" hidden="1" xr:uid="{00000000-0005-0000-0000-0000090D0000}"/>
    <cellStyle name="Followed Hyperlink 2" xfId="10192" hidden="1" xr:uid="{00000000-0005-0000-0000-00000A0D0000}"/>
    <cellStyle name="Followed Hyperlink 2" xfId="10196" hidden="1" xr:uid="{00000000-0005-0000-0000-00000B0D0000}"/>
    <cellStyle name="Followed Hyperlink 2" xfId="10205" hidden="1" xr:uid="{00000000-0005-0000-0000-00000C0D0000}"/>
    <cellStyle name="Followed Hyperlink 2" xfId="10202" hidden="1" xr:uid="{00000000-0005-0000-0000-00000D0D0000}"/>
    <cellStyle name="Followed Hyperlink 2" xfId="10200" hidden="1" xr:uid="{00000000-0005-0000-0000-00000E0D0000}"/>
    <cellStyle name="Followed Hyperlink 2" xfId="10201" hidden="1" xr:uid="{00000000-0005-0000-0000-00000F0D0000}"/>
    <cellStyle name="Followed Hyperlink 2" xfId="10211" hidden="1" xr:uid="{00000000-0005-0000-0000-0000100D0000}"/>
    <cellStyle name="Followed Hyperlink 2" xfId="10214" hidden="1" xr:uid="{00000000-0005-0000-0000-0000110D0000}"/>
    <cellStyle name="Followed Hyperlink 2" xfId="10217" hidden="1" xr:uid="{00000000-0005-0000-0000-0000120D0000}"/>
    <cellStyle name="Followed Hyperlink 2" xfId="10221" hidden="1" xr:uid="{00000000-0005-0000-0000-0000130D0000}"/>
    <cellStyle name="Followed Hyperlink 2" xfId="10229" hidden="1" xr:uid="{00000000-0005-0000-0000-0000140D0000}"/>
    <cellStyle name="Followed Hyperlink 2" xfId="10226" hidden="1" xr:uid="{00000000-0005-0000-0000-0000150D0000}"/>
    <cellStyle name="Followed Hyperlink 2" xfId="10224" hidden="1" xr:uid="{00000000-0005-0000-0000-0000160D0000}"/>
    <cellStyle name="Followed Hyperlink 2" xfId="10225" hidden="1" xr:uid="{00000000-0005-0000-0000-0000170D0000}"/>
    <cellStyle name="Followed Hyperlink 2" xfId="10235" hidden="1" xr:uid="{00000000-0005-0000-0000-0000180D0000}"/>
    <cellStyle name="Followed Hyperlink 2" xfId="10238" hidden="1" xr:uid="{00000000-0005-0000-0000-0000190D0000}"/>
    <cellStyle name="Followed Hyperlink 2" xfId="10241" hidden="1" xr:uid="{00000000-0005-0000-0000-00001A0D0000}"/>
    <cellStyle name="Followed Hyperlink 2" xfId="10245" hidden="1" xr:uid="{00000000-0005-0000-0000-00001B0D0000}"/>
    <cellStyle name="Followed Hyperlink 2" xfId="10054" hidden="1" xr:uid="{00000000-0005-0000-0000-00001C0D0000}"/>
    <cellStyle name="Followed Hyperlink 2" xfId="10051" hidden="1" xr:uid="{00000000-0005-0000-0000-00001D0D0000}"/>
    <cellStyle name="Followed Hyperlink 2" xfId="10045" hidden="1" xr:uid="{00000000-0005-0000-0000-00001E0D0000}"/>
    <cellStyle name="Followed Hyperlink 2" xfId="10050" hidden="1" xr:uid="{00000000-0005-0000-0000-00001F0D0000}"/>
    <cellStyle name="Followed Hyperlink 2" xfId="10248" hidden="1" xr:uid="{00000000-0005-0000-0000-0000200D0000}"/>
    <cellStyle name="Followed Hyperlink 2" xfId="10251" hidden="1" xr:uid="{00000000-0005-0000-0000-0000210D0000}"/>
    <cellStyle name="Followed Hyperlink 2" xfId="10254" hidden="1" xr:uid="{00000000-0005-0000-0000-0000220D0000}"/>
    <cellStyle name="Followed Hyperlink 2" xfId="10258" hidden="1" xr:uid="{00000000-0005-0000-0000-0000230D0000}"/>
    <cellStyle name="Followed Hyperlink 2" xfId="10266" hidden="1" xr:uid="{00000000-0005-0000-0000-0000240D0000}"/>
    <cellStyle name="Followed Hyperlink 2" xfId="10263" hidden="1" xr:uid="{00000000-0005-0000-0000-0000250D0000}"/>
    <cellStyle name="Followed Hyperlink 2" xfId="10261" hidden="1" xr:uid="{00000000-0005-0000-0000-0000260D0000}"/>
    <cellStyle name="Followed Hyperlink 2" xfId="10262" hidden="1" xr:uid="{00000000-0005-0000-0000-0000270D0000}"/>
    <cellStyle name="Followed Hyperlink 2" xfId="10272" hidden="1" xr:uid="{00000000-0005-0000-0000-0000280D0000}"/>
    <cellStyle name="Followed Hyperlink 2" xfId="10275" hidden="1" xr:uid="{00000000-0005-0000-0000-0000290D0000}"/>
    <cellStyle name="Followed Hyperlink 2" xfId="10278" hidden="1" xr:uid="{00000000-0005-0000-0000-00002A0D0000}"/>
    <cellStyle name="Followed Hyperlink 2" xfId="10282" hidden="1" xr:uid="{00000000-0005-0000-0000-00002B0D0000}"/>
    <cellStyle name="Followed Hyperlink 2" xfId="10291" hidden="1" xr:uid="{00000000-0005-0000-0000-00002C0D0000}"/>
    <cellStyle name="Followed Hyperlink 2" xfId="10288" hidden="1" xr:uid="{00000000-0005-0000-0000-00002D0D0000}"/>
    <cellStyle name="Followed Hyperlink 2" xfId="10286" hidden="1" xr:uid="{00000000-0005-0000-0000-00002E0D0000}"/>
    <cellStyle name="Followed Hyperlink 2" xfId="10287" hidden="1" xr:uid="{00000000-0005-0000-0000-00002F0D0000}"/>
    <cellStyle name="Followed Hyperlink 2" xfId="10297" hidden="1" xr:uid="{00000000-0005-0000-0000-0000300D0000}"/>
    <cellStyle name="Followed Hyperlink 2" xfId="10300" hidden="1" xr:uid="{00000000-0005-0000-0000-0000310D0000}"/>
    <cellStyle name="Followed Hyperlink 2" xfId="10303" hidden="1" xr:uid="{00000000-0005-0000-0000-0000320D0000}"/>
    <cellStyle name="Followed Hyperlink 2" xfId="10307" hidden="1" xr:uid="{00000000-0005-0000-0000-0000330D0000}"/>
    <cellStyle name="Followed Hyperlink 2" xfId="10315" hidden="1" xr:uid="{00000000-0005-0000-0000-0000340D0000}"/>
    <cellStyle name="Followed Hyperlink 2" xfId="10312" hidden="1" xr:uid="{00000000-0005-0000-0000-0000350D0000}"/>
    <cellStyle name="Followed Hyperlink 2" xfId="10310" hidden="1" xr:uid="{00000000-0005-0000-0000-0000360D0000}"/>
    <cellStyle name="Followed Hyperlink 2" xfId="10311" hidden="1" xr:uid="{00000000-0005-0000-0000-0000370D0000}"/>
    <cellStyle name="Followed Hyperlink 2" xfId="10321" hidden="1" xr:uid="{00000000-0005-0000-0000-0000380D0000}"/>
    <cellStyle name="Followed Hyperlink 2" xfId="10324" hidden="1" xr:uid="{00000000-0005-0000-0000-0000390D0000}"/>
    <cellStyle name="Followed Hyperlink 2" xfId="10327" hidden="1" xr:uid="{00000000-0005-0000-0000-00003A0D0000}"/>
    <cellStyle name="Followed Hyperlink 2" xfId="10331" hidden="1" xr:uid="{00000000-0005-0000-0000-00003B0D0000}"/>
    <cellStyle name="Followed Hyperlink 2" xfId="10062" hidden="1" xr:uid="{00000000-0005-0000-0000-00003C0D0000}"/>
    <cellStyle name="Followed Hyperlink 2" xfId="10058" hidden="1" xr:uid="{00000000-0005-0000-0000-00003D0D0000}"/>
    <cellStyle name="Followed Hyperlink 2" xfId="10059" hidden="1" xr:uid="{00000000-0005-0000-0000-00003E0D0000}"/>
    <cellStyle name="Followed Hyperlink 2" xfId="10046" hidden="1" xr:uid="{00000000-0005-0000-0000-00003F0D0000}"/>
    <cellStyle name="Followed Hyperlink 2" xfId="10334" hidden="1" xr:uid="{00000000-0005-0000-0000-0000400D0000}"/>
    <cellStyle name="Followed Hyperlink 2" xfId="10337" hidden="1" xr:uid="{00000000-0005-0000-0000-0000410D0000}"/>
    <cellStyle name="Followed Hyperlink 2" xfId="10340" hidden="1" xr:uid="{00000000-0005-0000-0000-0000420D0000}"/>
    <cellStyle name="Followed Hyperlink 2" xfId="10344" hidden="1" xr:uid="{00000000-0005-0000-0000-0000430D0000}"/>
    <cellStyle name="Followed Hyperlink 2" xfId="10352" hidden="1" xr:uid="{00000000-0005-0000-0000-0000440D0000}"/>
    <cellStyle name="Followed Hyperlink 2" xfId="10349" hidden="1" xr:uid="{00000000-0005-0000-0000-0000450D0000}"/>
    <cellStyle name="Followed Hyperlink 2" xfId="10347" hidden="1" xr:uid="{00000000-0005-0000-0000-0000460D0000}"/>
    <cellStyle name="Followed Hyperlink 2" xfId="10348" hidden="1" xr:uid="{00000000-0005-0000-0000-0000470D0000}"/>
    <cellStyle name="Followed Hyperlink 2" xfId="10358" hidden="1" xr:uid="{00000000-0005-0000-0000-0000480D0000}"/>
    <cellStyle name="Followed Hyperlink 2" xfId="10361" hidden="1" xr:uid="{00000000-0005-0000-0000-0000490D0000}"/>
    <cellStyle name="Followed Hyperlink 2" xfId="10364" hidden="1" xr:uid="{00000000-0005-0000-0000-00004A0D0000}"/>
    <cellStyle name="Followed Hyperlink 2" xfId="10368" hidden="1" xr:uid="{00000000-0005-0000-0000-00004B0D0000}"/>
    <cellStyle name="Followed Hyperlink 2" xfId="10376" hidden="1" xr:uid="{00000000-0005-0000-0000-00004C0D0000}"/>
    <cellStyle name="Followed Hyperlink 2" xfId="10373" hidden="1" xr:uid="{00000000-0005-0000-0000-00004D0D0000}"/>
    <cellStyle name="Followed Hyperlink 2" xfId="10371" hidden="1" xr:uid="{00000000-0005-0000-0000-00004E0D0000}"/>
    <cellStyle name="Followed Hyperlink 2" xfId="10372" hidden="1" xr:uid="{00000000-0005-0000-0000-00004F0D0000}"/>
    <cellStyle name="Followed Hyperlink 2" xfId="10382" hidden="1" xr:uid="{00000000-0005-0000-0000-0000500D0000}"/>
    <cellStyle name="Followed Hyperlink 2" xfId="10385" hidden="1" xr:uid="{00000000-0005-0000-0000-0000510D0000}"/>
    <cellStyle name="Followed Hyperlink 2" xfId="10388" hidden="1" xr:uid="{00000000-0005-0000-0000-0000520D0000}"/>
    <cellStyle name="Followed Hyperlink 2" xfId="10392" hidden="1" xr:uid="{00000000-0005-0000-0000-0000530D0000}"/>
    <cellStyle name="Followed Hyperlink 2" xfId="10400" hidden="1" xr:uid="{00000000-0005-0000-0000-0000540D0000}"/>
    <cellStyle name="Followed Hyperlink 2" xfId="10397" hidden="1" xr:uid="{00000000-0005-0000-0000-0000550D0000}"/>
    <cellStyle name="Followed Hyperlink 2" xfId="10395" hidden="1" xr:uid="{00000000-0005-0000-0000-0000560D0000}"/>
    <cellStyle name="Followed Hyperlink 2" xfId="10396" hidden="1" xr:uid="{00000000-0005-0000-0000-0000570D0000}"/>
    <cellStyle name="Followed Hyperlink 2" xfId="10406" hidden="1" xr:uid="{00000000-0005-0000-0000-0000580D0000}"/>
    <cellStyle name="Followed Hyperlink 2" xfId="10409" hidden="1" xr:uid="{00000000-0005-0000-0000-0000590D0000}"/>
    <cellStyle name="Followed Hyperlink 2" xfId="10412" hidden="1" xr:uid="{00000000-0005-0000-0000-00005A0D0000}"/>
    <cellStyle name="Followed Hyperlink 2" xfId="10416" hidden="1" xr:uid="{00000000-0005-0000-0000-00005B0D0000}"/>
    <cellStyle name="Followed Hyperlink 2" xfId="8995" hidden="1" xr:uid="{00000000-0005-0000-0000-00005C0D0000}"/>
    <cellStyle name="Followed Hyperlink 2" xfId="8991" hidden="1" xr:uid="{00000000-0005-0000-0000-00005D0D0000}"/>
    <cellStyle name="Followed Hyperlink 2" xfId="8992" hidden="1" xr:uid="{00000000-0005-0000-0000-00005E0D0000}"/>
    <cellStyle name="Followed Hyperlink 2" xfId="8979" hidden="1" xr:uid="{00000000-0005-0000-0000-00005F0D0000}"/>
    <cellStyle name="Followed Hyperlink 2" xfId="10419" hidden="1" xr:uid="{00000000-0005-0000-0000-0000600D0000}"/>
    <cellStyle name="Followed Hyperlink 2" xfId="10422" hidden="1" xr:uid="{00000000-0005-0000-0000-0000610D0000}"/>
    <cellStyle name="Followed Hyperlink 2" xfId="10425" hidden="1" xr:uid="{00000000-0005-0000-0000-0000620D0000}"/>
    <cellStyle name="Followed Hyperlink 2" xfId="10429" hidden="1" xr:uid="{00000000-0005-0000-0000-0000630D0000}"/>
    <cellStyle name="Followed Hyperlink 2" xfId="10437" hidden="1" xr:uid="{00000000-0005-0000-0000-0000640D0000}"/>
    <cellStyle name="Followed Hyperlink 2" xfId="10434" hidden="1" xr:uid="{00000000-0005-0000-0000-0000650D0000}"/>
    <cellStyle name="Followed Hyperlink 2" xfId="10432" hidden="1" xr:uid="{00000000-0005-0000-0000-0000660D0000}"/>
    <cellStyle name="Followed Hyperlink 2" xfId="10433" hidden="1" xr:uid="{00000000-0005-0000-0000-0000670D0000}"/>
    <cellStyle name="Followed Hyperlink 2" xfId="10443" hidden="1" xr:uid="{00000000-0005-0000-0000-0000680D0000}"/>
    <cellStyle name="Followed Hyperlink 2" xfId="10446" hidden="1" xr:uid="{00000000-0005-0000-0000-0000690D0000}"/>
    <cellStyle name="Followed Hyperlink 2" xfId="10449" hidden="1" xr:uid="{00000000-0005-0000-0000-00006A0D0000}"/>
    <cellStyle name="Followed Hyperlink 2" xfId="10453" hidden="1" xr:uid="{00000000-0005-0000-0000-00006B0D0000}"/>
    <cellStyle name="Followed Hyperlink 2" xfId="10461" hidden="1" xr:uid="{00000000-0005-0000-0000-00006C0D0000}"/>
    <cellStyle name="Followed Hyperlink 2" xfId="10458" hidden="1" xr:uid="{00000000-0005-0000-0000-00006D0D0000}"/>
    <cellStyle name="Followed Hyperlink 2" xfId="10456" hidden="1" xr:uid="{00000000-0005-0000-0000-00006E0D0000}"/>
    <cellStyle name="Followed Hyperlink 2" xfId="10457" hidden="1" xr:uid="{00000000-0005-0000-0000-00006F0D0000}"/>
    <cellStyle name="Followed Hyperlink 2" xfId="10467" hidden="1" xr:uid="{00000000-0005-0000-0000-0000700D0000}"/>
    <cellStyle name="Followed Hyperlink 2" xfId="10470" hidden="1" xr:uid="{00000000-0005-0000-0000-0000710D0000}"/>
    <cellStyle name="Followed Hyperlink 2" xfId="10473" hidden="1" xr:uid="{00000000-0005-0000-0000-0000720D0000}"/>
    <cellStyle name="Followed Hyperlink 2" xfId="10477" hidden="1" xr:uid="{00000000-0005-0000-0000-0000730D0000}"/>
    <cellStyle name="Followed Hyperlink 2" xfId="10485" hidden="1" xr:uid="{00000000-0005-0000-0000-0000740D0000}"/>
    <cellStyle name="Followed Hyperlink 2" xfId="10482" hidden="1" xr:uid="{00000000-0005-0000-0000-0000750D0000}"/>
    <cellStyle name="Followed Hyperlink 2" xfId="10480" hidden="1" xr:uid="{00000000-0005-0000-0000-0000760D0000}"/>
    <cellStyle name="Followed Hyperlink 2" xfId="10481" hidden="1" xr:uid="{00000000-0005-0000-0000-0000770D0000}"/>
    <cellStyle name="Followed Hyperlink 2" xfId="10491" hidden="1" xr:uid="{00000000-0005-0000-0000-0000780D0000}"/>
    <cellStyle name="Followed Hyperlink 2" xfId="10494" hidden="1" xr:uid="{00000000-0005-0000-0000-0000790D0000}"/>
    <cellStyle name="Followed Hyperlink 2" xfId="10497" hidden="1" xr:uid="{00000000-0005-0000-0000-00007A0D0000}"/>
    <cellStyle name="Followed Hyperlink 2" xfId="10501" hidden="1" xr:uid="{00000000-0005-0000-0000-00007B0D0000}"/>
    <cellStyle name="Followed Hyperlink 2" xfId="10538" hidden="1" xr:uid="{00000000-0005-0000-0000-00007C0D0000}"/>
    <cellStyle name="Followed Hyperlink 2" xfId="10535" hidden="1" xr:uid="{00000000-0005-0000-0000-00007D0D0000}"/>
    <cellStyle name="Followed Hyperlink 2" xfId="10533" hidden="1" xr:uid="{00000000-0005-0000-0000-00007E0D0000}"/>
    <cellStyle name="Followed Hyperlink 2" xfId="10534" hidden="1" xr:uid="{00000000-0005-0000-0000-00007F0D0000}"/>
    <cellStyle name="Followed Hyperlink 2" xfId="10544" hidden="1" xr:uid="{00000000-0005-0000-0000-0000800D0000}"/>
    <cellStyle name="Followed Hyperlink 2" xfId="10547" hidden="1" xr:uid="{00000000-0005-0000-0000-0000810D0000}"/>
    <cellStyle name="Followed Hyperlink 2" xfId="10550" hidden="1" xr:uid="{00000000-0005-0000-0000-0000820D0000}"/>
    <cellStyle name="Followed Hyperlink 2" xfId="10554" hidden="1" xr:uid="{00000000-0005-0000-0000-0000830D0000}"/>
    <cellStyle name="Followed Hyperlink 2" xfId="10562" hidden="1" xr:uid="{00000000-0005-0000-0000-0000840D0000}"/>
    <cellStyle name="Followed Hyperlink 2" xfId="10559" hidden="1" xr:uid="{00000000-0005-0000-0000-0000850D0000}"/>
    <cellStyle name="Followed Hyperlink 2" xfId="10557" hidden="1" xr:uid="{00000000-0005-0000-0000-0000860D0000}"/>
    <cellStyle name="Followed Hyperlink 2" xfId="10558" hidden="1" xr:uid="{00000000-0005-0000-0000-0000870D0000}"/>
    <cellStyle name="Followed Hyperlink 2" xfId="10568" hidden="1" xr:uid="{00000000-0005-0000-0000-0000880D0000}"/>
    <cellStyle name="Followed Hyperlink 2" xfId="10571" hidden="1" xr:uid="{00000000-0005-0000-0000-0000890D0000}"/>
    <cellStyle name="Followed Hyperlink 2" xfId="10574" hidden="1" xr:uid="{00000000-0005-0000-0000-00008A0D0000}"/>
    <cellStyle name="Followed Hyperlink 2" xfId="10578" hidden="1" xr:uid="{00000000-0005-0000-0000-00008B0D0000}"/>
    <cellStyle name="Followed Hyperlink 2" xfId="10588" hidden="1" xr:uid="{00000000-0005-0000-0000-00008C0D0000}"/>
    <cellStyle name="Followed Hyperlink 2" xfId="10585" hidden="1" xr:uid="{00000000-0005-0000-0000-00008D0D0000}"/>
    <cellStyle name="Followed Hyperlink 2" xfId="10583" hidden="1" xr:uid="{00000000-0005-0000-0000-00008E0D0000}"/>
    <cellStyle name="Followed Hyperlink 2" xfId="10584" hidden="1" xr:uid="{00000000-0005-0000-0000-00008F0D0000}"/>
    <cellStyle name="Followed Hyperlink 2" xfId="10594" hidden="1" xr:uid="{00000000-0005-0000-0000-0000900D0000}"/>
    <cellStyle name="Followed Hyperlink 2" xfId="10597" hidden="1" xr:uid="{00000000-0005-0000-0000-0000910D0000}"/>
    <cellStyle name="Followed Hyperlink 2" xfId="10600" hidden="1" xr:uid="{00000000-0005-0000-0000-0000920D0000}"/>
    <cellStyle name="Followed Hyperlink 2" xfId="10604" hidden="1" xr:uid="{00000000-0005-0000-0000-0000930D0000}"/>
    <cellStyle name="Followed Hyperlink 2" xfId="10612" hidden="1" xr:uid="{00000000-0005-0000-0000-0000940D0000}"/>
    <cellStyle name="Followed Hyperlink 2" xfId="10609" hidden="1" xr:uid="{00000000-0005-0000-0000-0000950D0000}"/>
    <cellStyle name="Followed Hyperlink 2" xfId="10607" hidden="1" xr:uid="{00000000-0005-0000-0000-0000960D0000}"/>
    <cellStyle name="Followed Hyperlink 2" xfId="10608" hidden="1" xr:uid="{00000000-0005-0000-0000-0000970D0000}"/>
    <cellStyle name="Followed Hyperlink 2" xfId="10618" hidden="1" xr:uid="{00000000-0005-0000-0000-0000980D0000}"/>
    <cellStyle name="Followed Hyperlink 2" xfId="10621" hidden="1" xr:uid="{00000000-0005-0000-0000-0000990D0000}"/>
    <cellStyle name="Followed Hyperlink 2" xfId="10624" hidden="1" xr:uid="{00000000-0005-0000-0000-00009A0D0000}"/>
    <cellStyle name="Followed Hyperlink 2" xfId="10628" hidden="1" xr:uid="{00000000-0005-0000-0000-00009B0D0000}"/>
    <cellStyle name="Followed Hyperlink 2" xfId="10505" hidden="1" xr:uid="{00000000-0005-0000-0000-00009C0D0000}"/>
    <cellStyle name="Followed Hyperlink 2" xfId="10509" hidden="1" xr:uid="{00000000-0005-0000-0000-00009D0D0000}"/>
    <cellStyle name="Followed Hyperlink 2" xfId="10504" hidden="1" xr:uid="{00000000-0005-0000-0000-00009E0D0000}"/>
    <cellStyle name="Followed Hyperlink 2" xfId="10510" hidden="1" xr:uid="{00000000-0005-0000-0000-00009F0D0000}"/>
    <cellStyle name="Followed Hyperlink 2" xfId="10631" hidden="1" xr:uid="{00000000-0005-0000-0000-0000A00D0000}"/>
    <cellStyle name="Followed Hyperlink 2" xfId="10634" hidden="1" xr:uid="{00000000-0005-0000-0000-0000A10D0000}"/>
    <cellStyle name="Followed Hyperlink 2" xfId="10637" hidden="1" xr:uid="{00000000-0005-0000-0000-0000A20D0000}"/>
    <cellStyle name="Followed Hyperlink 2" xfId="10641" hidden="1" xr:uid="{00000000-0005-0000-0000-0000A30D0000}"/>
    <cellStyle name="Followed Hyperlink 2" xfId="10649" hidden="1" xr:uid="{00000000-0005-0000-0000-0000A40D0000}"/>
    <cellStyle name="Followed Hyperlink 2" xfId="10646" hidden="1" xr:uid="{00000000-0005-0000-0000-0000A50D0000}"/>
    <cellStyle name="Followed Hyperlink 2" xfId="10644" hidden="1" xr:uid="{00000000-0005-0000-0000-0000A60D0000}"/>
    <cellStyle name="Followed Hyperlink 2" xfId="10645" hidden="1" xr:uid="{00000000-0005-0000-0000-0000A70D0000}"/>
    <cellStyle name="Followed Hyperlink 2" xfId="10655" hidden="1" xr:uid="{00000000-0005-0000-0000-0000A80D0000}"/>
    <cellStyle name="Followed Hyperlink 2" xfId="10658" hidden="1" xr:uid="{00000000-0005-0000-0000-0000A90D0000}"/>
    <cellStyle name="Followed Hyperlink 2" xfId="10661" hidden="1" xr:uid="{00000000-0005-0000-0000-0000AA0D0000}"/>
    <cellStyle name="Followed Hyperlink 2" xfId="10665" hidden="1" xr:uid="{00000000-0005-0000-0000-0000AB0D0000}"/>
    <cellStyle name="Followed Hyperlink 2" xfId="10674" hidden="1" xr:uid="{00000000-0005-0000-0000-0000AC0D0000}"/>
    <cellStyle name="Followed Hyperlink 2" xfId="10671" hidden="1" xr:uid="{00000000-0005-0000-0000-0000AD0D0000}"/>
    <cellStyle name="Followed Hyperlink 2" xfId="10669" hidden="1" xr:uid="{00000000-0005-0000-0000-0000AE0D0000}"/>
    <cellStyle name="Followed Hyperlink 2" xfId="10670" hidden="1" xr:uid="{00000000-0005-0000-0000-0000AF0D0000}"/>
    <cellStyle name="Followed Hyperlink 2" xfId="10680" hidden="1" xr:uid="{00000000-0005-0000-0000-0000B00D0000}"/>
    <cellStyle name="Followed Hyperlink 2" xfId="10683" hidden="1" xr:uid="{00000000-0005-0000-0000-0000B10D0000}"/>
    <cellStyle name="Followed Hyperlink 2" xfId="10686" hidden="1" xr:uid="{00000000-0005-0000-0000-0000B20D0000}"/>
    <cellStyle name="Followed Hyperlink 2" xfId="10690" hidden="1" xr:uid="{00000000-0005-0000-0000-0000B30D0000}"/>
    <cellStyle name="Followed Hyperlink 2" xfId="10698" hidden="1" xr:uid="{00000000-0005-0000-0000-0000B40D0000}"/>
    <cellStyle name="Followed Hyperlink 2" xfId="10695" hidden="1" xr:uid="{00000000-0005-0000-0000-0000B50D0000}"/>
    <cellStyle name="Followed Hyperlink 2" xfId="10693" hidden="1" xr:uid="{00000000-0005-0000-0000-0000B60D0000}"/>
    <cellStyle name="Followed Hyperlink 2" xfId="10694" hidden="1" xr:uid="{00000000-0005-0000-0000-0000B70D0000}"/>
    <cellStyle name="Followed Hyperlink 2" xfId="10704" hidden="1" xr:uid="{00000000-0005-0000-0000-0000B80D0000}"/>
    <cellStyle name="Followed Hyperlink 2" xfId="10707" hidden="1" xr:uid="{00000000-0005-0000-0000-0000B90D0000}"/>
    <cellStyle name="Followed Hyperlink 2" xfId="10710" hidden="1" xr:uid="{00000000-0005-0000-0000-0000BA0D0000}"/>
    <cellStyle name="Followed Hyperlink 2" xfId="10714" hidden="1" xr:uid="{00000000-0005-0000-0000-0000BB0D0000}"/>
    <cellStyle name="Followed Hyperlink 2" xfId="10523" hidden="1" xr:uid="{00000000-0005-0000-0000-0000BC0D0000}"/>
    <cellStyle name="Followed Hyperlink 2" xfId="10520" hidden="1" xr:uid="{00000000-0005-0000-0000-0000BD0D0000}"/>
    <cellStyle name="Followed Hyperlink 2" xfId="10514" hidden="1" xr:uid="{00000000-0005-0000-0000-0000BE0D0000}"/>
    <cellStyle name="Followed Hyperlink 2" xfId="10519" hidden="1" xr:uid="{00000000-0005-0000-0000-0000BF0D0000}"/>
    <cellStyle name="Followed Hyperlink 2" xfId="10717" hidden="1" xr:uid="{00000000-0005-0000-0000-0000C00D0000}"/>
    <cellStyle name="Followed Hyperlink 2" xfId="10720" hidden="1" xr:uid="{00000000-0005-0000-0000-0000C10D0000}"/>
    <cellStyle name="Followed Hyperlink 2" xfId="10723" hidden="1" xr:uid="{00000000-0005-0000-0000-0000C20D0000}"/>
    <cellStyle name="Followed Hyperlink 2" xfId="10727" hidden="1" xr:uid="{00000000-0005-0000-0000-0000C30D0000}"/>
    <cellStyle name="Followed Hyperlink 2" xfId="10735" hidden="1" xr:uid="{00000000-0005-0000-0000-0000C40D0000}"/>
    <cellStyle name="Followed Hyperlink 2" xfId="10732" hidden="1" xr:uid="{00000000-0005-0000-0000-0000C50D0000}"/>
    <cellStyle name="Followed Hyperlink 2" xfId="10730" hidden="1" xr:uid="{00000000-0005-0000-0000-0000C60D0000}"/>
    <cellStyle name="Followed Hyperlink 2" xfId="10731" hidden="1" xr:uid="{00000000-0005-0000-0000-0000C70D0000}"/>
    <cellStyle name="Followed Hyperlink 2" xfId="10741" hidden="1" xr:uid="{00000000-0005-0000-0000-0000C80D0000}"/>
    <cellStyle name="Followed Hyperlink 2" xfId="10744" hidden="1" xr:uid="{00000000-0005-0000-0000-0000C90D0000}"/>
    <cellStyle name="Followed Hyperlink 2" xfId="10747" hidden="1" xr:uid="{00000000-0005-0000-0000-0000CA0D0000}"/>
    <cellStyle name="Followed Hyperlink 2" xfId="10751" hidden="1" xr:uid="{00000000-0005-0000-0000-0000CB0D0000}"/>
    <cellStyle name="Followed Hyperlink 2" xfId="10760" hidden="1" xr:uid="{00000000-0005-0000-0000-0000CC0D0000}"/>
    <cellStyle name="Followed Hyperlink 2" xfId="10757" hidden="1" xr:uid="{00000000-0005-0000-0000-0000CD0D0000}"/>
    <cellStyle name="Followed Hyperlink 2" xfId="10755" hidden="1" xr:uid="{00000000-0005-0000-0000-0000CE0D0000}"/>
    <cellStyle name="Followed Hyperlink 2" xfId="10756" hidden="1" xr:uid="{00000000-0005-0000-0000-0000CF0D0000}"/>
    <cellStyle name="Followed Hyperlink 2" xfId="10766" hidden="1" xr:uid="{00000000-0005-0000-0000-0000D00D0000}"/>
    <cellStyle name="Followed Hyperlink 2" xfId="10769" hidden="1" xr:uid="{00000000-0005-0000-0000-0000D10D0000}"/>
    <cellStyle name="Followed Hyperlink 2" xfId="10772" hidden="1" xr:uid="{00000000-0005-0000-0000-0000D20D0000}"/>
    <cellStyle name="Followed Hyperlink 2" xfId="10776" hidden="1" xr:uid="{00000000-0005-0000-0000-0000D30D0000}"/>
    <cellStyle name="Followed Hyperlink 2" xfId="10784" hidden="1" xr:uid="{00000000-0005-0000-0000-0000D40D0000}"/>
    <cellStyle name="Followed Hyperlink 2" xfId="10781" hidden="1" xr:uid="{00000000-0005-0000-0000-0000D50D0000}"/>
    <cellStyle name="Followed Hyperlink 2" xfId="10779" hidden="1" xr:uid="{00000000-0005-0000-0000-0000D60D0000}"/>
    <cellStyle name="Followed Hyperlink 2" xfId="10780" hidden="1" xr:uid="{00000000-0005-0000-0000-0000D70D0000}"/>
    <cellStyle name="Followed Hyperlink 2" xfId="10790" hidden="1" xr:uid="{00000000-0005-0000-0000-0000D80D0000}"/>
    <cellStyle name="Followed Hyperlink 2" xfId="10793" hidden="1" xr:uid="{00000000-0005-0000-0000-0000D90D0000}"/>
    <cellStyle name="Followed Hyperlink 2" xfId="10796" hidden="1" xr:uid="{00000000-0005-0000-0000-0000DA0D0000}"/>
    <cellStyle name="Followed Hyperlink 2" xfId="10800" hidden="1" xr:uid="{00000000-0005-0000-0000-0000DB0D0000}"/>
    <cellStyle name="Followed Hyperlink 2" xfId="10531" hidden="1" xr:uid="{00000000-0005-0000-0000-0000DC0D0000}"/>
    <cellStyle name="Followed Hyperlink 2" xfId="10527" hidden="1" xr:uid="{00000000-0005-0000-0000-0000DD0D0000}"/>
    <cellStyle name="Followed Hyperlink 2" xfId="10528" hidden="1" xr:uid="{00000000-0005-0000-0000-0000DE0D0000}"/>
    <cellStyle name="Followed Hyperlink 2" xfId="10515" hidden="1" xr:uid="{00000000-0005-0000-0000-0000DF0D0000}"/>
    <cellStyle name="Followed Hyperlink 2" xfId="10803" hidden="1" xr:uid="{00000000-0005-0000-0000-0000E00D0000}"/>
    <cellStyle name="Followed Hyperlink 2" xfId="10806" hidden="1" xr:uid="{00000000-0005-0000-0000-0000E10D0000}"/>
    <cellStyle name="Followed Hyperlink 2" xfId="10809" hidden="1" xr:uid="{00000000-0005-0000-0000-0000E20D0000}"/>
    <cellStyle name="Followed Hyperlink 2" xfId="10813" hidden="1" xr:uid="{00000000-0005-0000-0000-0000E30D0000}"/>
    <cellStyle name="Followed Hyperlink 2" xfId="10821" hidden="1" xr:uid="{00000000-0005-0000-0000-0000E40D0000}"/>
    <cellStyle name="Followed Hyperlink 2" xfId="10818" hidden="1" xr:uid="{00000000-0005-0000-0000-0000E50D0000}"/>
    <cellStyle name="Followed Hyperlink 2" xfId="10816" hidden="1" xr:uid="{00000000-0005-0000-0000-0000E60D0000}"/>
    <cellStyle name="Followed Hyperlink 2" xfId="10817" hidden="1" xr:uid="{00000000-0005-0000-0000-0000E70D0000}"/>
    <cellStyle name="Followed Hyperlink 2" xfId="10827" hidden="1" xr:uid="{00000000-0005-0000-0000-0000E80D0000}"/>
    <cellStyle name="Followed Hyperlink 2" xfId="10830" hidden="1" xr:uid="{00000000-0005-0000-0000-0000E90D0000}"/>
    <cellStyle name="Followed Hyperlink 2" xfId="10833" hidden="1" xr:uid="{00000000-0005-0000-0000-0000EA0D0000}"/>
    <cellStyle name="Followed Hyperlink 2" xfId="10837" hidden="1" xr:uid="{00000000-0005-0000-0000-0000EB0D0000}"/>
    <cellStyle name="Followed Hyperlink 2" xfId="10845" hidden="1" xr:uid="{00000000-0005-0000-0000-0000EC0D0000}"/>
    <cellStyle name="Followed Hyperlink 2" xfId="10842" hidden="1" xr:uid="{00000000-0005-0000-0000-0000ED0D0000}"/>
    <cellStyle name="Followed Hyperlink 2" xfId="10840" hidden="1" xr:uid="{00000000-0005-0000-0000-0000EE0D0000}"/>
    <cellStyle name="Followed Hyperlink 2" xfId="10841" hidden="1" xr:uid="{00000000-0005-0000-0000-0000EF0D0000}"/>
    <cellStyle name="Followed Hyperlink 2" xfId="10851" hidden="1" xr:uid="{00000000-0005-0000-0000-0000F00D0000}"/>
    <cellStyle name="Followed Hyperlink 2" xfId="10854" hidden="1" xr:uid="{00000000-0005-0000-0000-0000F10D0000}"/>
    <cellStyle name="Followed Hyperlink 2" xfId="10857" hidden="1" xr:uid="{00000000-0005-0000-0000-0000F20D0000}"/>
    <cellStyle name="Followed Hyperlink 2" xfId="10861" hidden="1" xr:uid="{00000000-0005-0000-0000-0000F30D0000}"/>
    <cellStyle name="Followed Hyperlink 2" xfId="10869" hidden="1" xr:uid="{00000000-0005-0000-0000-0000F40D0000}"/>
    <cellStyle name="Followed Hyperlink 2" xfId="10866" hidden="1" xr:uid="{00000000-0005-0000-0000-0000F50D0000}"/>
    <cellStyle name="Followed Hyperlink 2" xfId="10864" hidden="1" xr:uid="{00000000-0005-0000-0000-0000F60D0000}"/>
    <cellStyle name="Followed Hyperlink 2" xfId="10865" hidden="1" xr:uid="{00000000-0005-0000-0000-0000F70D0000}"/>
    <cellStyle name="Followed Hyperlink 2" xfId="10875" hidden="1" xr:uid="{00000000-0005-0000-0000-0000F80D0000}"/>
    <cellStyle name="Followed Hyperlink 2" xfId="10878" hidden="1" xr:uid="{00000000-0005-0000-0000-0000F90D0000}"/>
    <cellStyle name="Followed Hyperlink 2" xfId="10881" hidden="1" xr:uid="{00000000-0005-0000-0000-0000FA0D0000}"/>
    <cellStyle name="Followed Hyperlink 2" xfId="10885" hidden="1" xr:uid="{00000000-0005-0000-0000-0000FB0D0000}"/>
    <cellStyle name="Followed Hyperlink 2" xfId="8842" hidden="1" xr:uid="{00000000-0005-0000-0000-0000FC0D0000}"/>
    <cellStyle name="Followed Hyperlink 2" xfId="8846" hidden="1" xr:uid="{00000000-0005-0000-0000-0000FD0D0000}"/>
    <cellStyle name="Followed Hyperlink 2" xfId="8841" hidden="1" xr:uid="{00000000-0005-0000-0000-0000FE0D0000}"/>
    <cellStyle name="Followed Hyperlink 2" xfId="8847" hidden="1" xr:uid="{00000000-0005-0000-0000-0000FF0D0000}"/>
    <cellStyle name="Followed Hyperlink 2" xfId="10888" hidden="1" xr:uid="{00000000-0005-0000-0000-0000000E0000}"/>
    <cellStyle name="Followed Hyperlink 2" xfId="10891" hidden="1" xr:uid="{00000000-0005-0000-0000-0000010E0000}"/>
    <cellStyle name="Followed Hyperlink 2" xfId="10894" hidden="1" xr:uid="{00000000-0005-0000-0000-0000020E0000}"/>
    <cellStyle name="Followed Hyperlink 2" xfId="10898" hidden="1" xr:uid="{00000000-0005-0000-0000-0000030E0000}"/>
    <cellStyle name="Followed Hyperlink 2" xfId="10906" hidden="1" xr:uid="{00000000-0005-0000-0000-0000040E0000}"/>
    <cellStyle name="Followed Hyperlink 2" xfId="10903" hidden="1" xr:uid="{00000000-0005-0000-0000-0000050E0000}"/>
    <cellStyle name="Followed Hyperlink 2" xfId="10901" hidden="1" xr:uid="{00000000-0005-0000-0000-0000060E0000}"/>
    <cellStyle name="Followed Hyperlink 2" xfId="10902" hidden="1" xr:uid="{00000000-0005-0000-0000-0000070E0000}"/>
    <cellStyle name="Followed Hyperlink 2" xfId="10912" hidden="1" xr:uid="{00000000-0005-0000-0000-0000080E0000}"/>
    <cellStyle name="Followed Hyperlink 2" xfId="10915" hidden="1" xr:uid="{00000000-0005-0000-0000-0000090E0000}"/>
    <cellStyle name="Followed Hyperlink 2" xfId="10918" hidden="1" xr:uid="{00000000-0005-0000-0000-00000A0E0000}"/>
    <cellStyle name="Followed Hyperlink 2" xfId="10922" hidden="1" xr:uid="{00000000-0005-0000-0000-00000B0E0000}"/>
    <cellStyle name="Followed Hyperlink 2" xfId="10931" hidden="1" xr:uid="{00000000-0005-0000-0000-00000C0E0000}"/>
    <cellStyle name="Followed Hyperlink 2" xfId="10928" hidden="1" xr:uid="{00000000-0005-0000-0000-00000D0E0000}"/>
    <cellStyle name="Followed Hyperlink 2" xfId="10926" hidden="1" xr:uid="{00000000-0005-0000-0000-00000E0E0000}"/>
    <cellStyle name="Followed Hyperlink 2" xfId="10927" hidden="1" xr:uid="{00000000-0005-0000-0000-00000F0E0000}"/>
    <cellStyle name="Followed Hyperlink 2" xfId="10937" hidden="1" xr:uid="{00000000-0005-0000-0000-0000100E0000}"/>
    <cellStyle name="Followed Hyperlink 2" xfId="10940" hidden="1" xr:uid="{00000000-0005-0000-0000-0000110E0000}"/>
    <cellStyle name="Followed Hyperlink 2" xfId="10943" hidden="1" xr:uid="{00000000-0005-0000-0000-0000120E0000}"/>
    <cellStyle name="Followed Hyperlink 2" xfId="10947" hidden="1" xr:uid="{00000000-0005-0000-0000-0000130E0000}"/>
    <cellStyle name="Followed Hyperlink 2" xfId="10955" hidden="1" xr:uid="{00000000-0005-0000-0000-0000140E0000}"/>
    <cellStyle name="Followed Hyperlink 2" xfId="10952" hidden="1" xr:uid="{00000000-0005-0000-0000-0000150E0000}"/>
    <cellStyle name="Followed Hyperlink 2" xfId="10950" hidden="1" xr:uid="{00000000-0005-0000-0000-0000160E0000}"/>
    <cellStyle name="Followed Hyperlink 2" xfId="10951" hidden="1" xr:uid="{00000000-0005-0000-0000-0000170E0000}"/>
    <cellStyle name="Followed Hyperlink 2" xfId="10961" hidden="1" xr:uid="{00000000-0005-0000-0000-0000180E0000}"/>
    <cellStyle name="Followed Hyperlink 2" xfId="10964" hidden="1" xr:uid="{00000000-0005-0000-0000-0000190E0000}"/>
    <cellStyle name="Followed Hyperlink 2" xfId="10967" hidden="1" xr:uid="{00000000-0005-0000-0000-00001A0E0000}"/>
    <cellStyle name="Followed Hyperlink 2" xfId="10971" hidden="1" xr:uid="{00000000-0005-0000-0000-00001B0E0000}"/>
    <cellStyle name="Followed Hyperlink 2" xfId="11008" hidden="1" xr:uid="{00000000-0005-0000-0000-00001C0E0000}"/>
    <cellStyle name="Followed Hyperlink 2" xfId="11005" hidden="1" xr:uid="{00000000-0005-0000-0000-00001D0E0000}"/>
    <cellStyle name="Followed Hyperlink 2" xfId="11003" hidden="1" xr:uid="{00000000-0005-0000-0000-00001E0E0000}"/>
    <cellStyle name="Followed Hyperlink 2" xfId="11004" hidden="1" xr:uid="{00000000-0005-0000-0000-00001F0E0000}"/>
    <cellStyle name="Followed Hyperlink 2" xfId="11014" hidden="1" xr:uid="{00000000-0005-0000-0000-0000200E0000}"/>
    <cellStyle name="Followed Hyperlink 2" xfId="11017" hidden="1" xr:uid="{00000000-0005-0000-0000-0000210E0000}"/>
    <cellStyle name="Followed Hyperlink 2" xfId="11020" hidden="1" xr:uid="{00000000-0005-0000-0000-0000220E0000}"/>
    <cellStyle name="Followed Hyperlink 2" xfId="11024" hidden="1" xr:uid="{00000000-0005-0000-0000-0000230E0000}"/>
    <cellStyle name="Followed Hyperlink 2" xfId="11032" hidden="1" xr:uid="{00000000-0005-0000-0000-0000240E0000}"/>
    <cellStyle name="Followed Hyperlink 2" xfId="11029" hidden="1" xr:uid="{00000000-0005-0000-0000-0000250E0000}"/>
    <cellStyle name="Followed Hyperlink 2" xfId="11027" hidden="1" xr:uid="{00000000-0005-0000-0000-0000260E0000}"/>
    <cellStyle name="Followed Hyperlink 2" xfId="11028" hidden="1" xr:uid="{00000000-0005-0000-0000-0000270E0000}"/>
    <cellStyle name="Followed Hyperlink 2" xfId="11038" hidden="1" xr:uid="{00000000-0005-0000-0000-0000280E0000}"/>
    <cellStyle name="Followed Hyperlink 2" xfId="11041" hidden="1" xr:uid="{00000000-0005-0000-0000-0000290E0000}"/>
    <cellStyle name="Followed Hyperlink 2" xfId="11044" hidden="1" xr:uid="{00000000-0005-0000-0000-00002A0E0000}"/>
    <cellStyle name="Followed Hyperlink 2" xfId="11048" hidden="1" xr:uid="{00000000-0005-0000-0000-00002B0E0000}"/>
    <cellStyle name="Followed Hyperlink 2" xfId="11058" hidden="1" xr:uid="{00000000-0005-0000-0000-00002C0E0000}"/>
    <cellStyle name="Followed Hyperlink 2" xfId="11055" hidden="1" xr:uid="{00000000-0005-0000-0000-00002D0E0000}"/>
    <cellStyle name="Followed Hyperlink 2" xfId="11053" hidden="1" xr:uid="{00000000-0005-0000-0000-00002E0E0000}"/>
    <cellStyle name="Followed Hyperlink 2" xfId="11054" hidden="1" xr:uid="{00000000-0005-0000-0000-00002F0E0000}"/>
    <cellStyle name="Followed Hyperlink 2" xfId="11064" hidden="1" xr:uid="{00000000-0005-0000-0000-0000300E0000}"/>
    <cellStyle name="Followed Hyperlink 2" xfId="11067" hidden="1" xr:uid="{00000000-0005-0000-0000-0000310E0000}"/>
    <cellStyle name="Followed Hyperlink 2" xfId="11070" hidden="1" xr:uid="{00000000-0005-0000-0000-0000320E0000}"/>
    <cellStyle name="Followed Hyperlink 2" xfId="11074" hidden="1" xr:uid="{00000000-0005-0000-0000-0000330E0000}"/>
    <cellStyle name="Followed Hyperlink 2" xfId="11082" hidden="1" xr:uid="{00000000-0005-0000-0000-0000340E0000}"/>
    <cellStyle name="Followed Hyperlink 2" xfId="11079" hidden="1" xr:uid="{00000000-0005-0000-0000-0000350E0000}"/>
    <cellStyle name="Followed Hyperlink 2" xfId="11077" hidden="1" xr:uid="{00000000-0005-0000-0000-0000360E0000}"/>
    <cellStyle name="Followed Hyperlink 2" xfId="11078" hidden="1" xr:uid="{00000000-0005-0000-0000-0000370E0000}"/>
    <cellStyle name="Followed Hyperlink 2" xfId="11088" hidden="1" xr:uid="{00000000-0005-0000-0000-0000380E0000}"/>
    <cellStyle name="Followed Hyperlink 2" xfId="11091" hidden="1" xr:uid="{00000000-0005-0000-0000-0000390E0000}"/>
    <cellStyle name="Followed Hyperlink 2" xfId="11094" hidden="1" xr:uid="{00000000-0005-0000-0000-00003A0E0000}"/>
    <cellStyle name="Followed Hyperlink 2" xfId="11098" hidden="1" xr:uid="{00000000-0005-0000-0000-00003B0E0000}"/>
    <cellStyle name="Followed Hyperlink 2" xfId="11135" hidden="1" xr:uid="{00000000-0005-0000-0000-00003C0E0000}"/>
    <cellStyle name="Followed Hyperlink 2" xfId="11132" hidden="1" xr:uid="{00000000-0005-0000-0000-00003D0E0000}"/>
    <cellStyle name="Followed Hyperlink 2" xfId="11130" hidden="1" xr:uid="{00000000-0005-0000-0000-00003E0E0000}"/>
    <cellStyle name="Followed Hyperlink 2" xfId="11131" hidden="1" xr:uid="{00000000-0005-0000-0000-00003F0E0000}"/>
    <cellStyle name="Followed Hyperlink 2" xfId="11141" hidden="1" xr:uid="{00000000-0005-0000-0000-0000400E0000}"/>
    <cellStyle name="Followed Hyperlink 2" xfId="11144" hidden="1" xr:uid="{00000000-0005-0000-0000-0000410E0000}"/>
    <cellStyle name="Followed Hyperlink 2" xfId="11147" hidden="1" xr:uid="{00000000-0005-0000-0000-0000420E0000}"/>
    <cellStyle name="Followed Hyperlink 2" xfId="11151" hidden="1" xr:uid="{00000000-0005-0000-0000-0000430E0000}"/>
    <cellStyle name="Followed Hyperlink 2" xfId="11159" hidden="1" xr:uid="{00000000-0005-0000-0000-0000440E0000}"/>
    <cellStyle name="Followed Hyperlink 2" xfId="11156" hidden="1" xr:uid="{00000000-0005-0000-0000-0000450E0000}"/>
    <cellStyle name="Followed Hyperlink 2" xfId="11154" hidden="1" xr:uid="{00000000-0005-0000-0000-0000460E0000}"/>
    <cellStyle name="Followed Hyperlink 2" xfId="11155" hidden="1" xr:uid="{00000000-0005-0000-0000-0000470E0000}"/>
    <cellStyle name="Followed Hyperlink 2" xfId="11165" hidden="1" xr:uid="{00000000-0005-0000-0000-0000480E0000}"/>
    <cellStyle name="Followed Hyperlink 2" xfId="11168" hidden="1" xr:uid="{00000000-0005-0000-0000-0000490E0000}"/>
    <cellStyle name="Followed Hyperlink 2" xfId="11171" hidden="1" xr:uid="{00000000-0005-0000-0000-00004A0E0000}"/>
    <cellStyle name="Followed Hyperlink 2" xfId="11175" hidden="1" xr:uid="{00000000-0005-0000-0000-00004B0E0000}"/>
    <cellStyle name="Followed Hyperlink 2" xfId="11185" hidden="1" xr:uid="{00000000-0005-0000-0000-00004C0E0000}"/>
    <cellStyle name="Followed Hyperlink 2" xfId="11182" hidden="1" xr:uid="{00000000-0005-0000-0000-00004D0E0000}"/>
    <cellStyle name="Followed Hyperlink 2" xfId="11180" hidden="1" xr:uid="{00000000-0005-0000-0000-00004E0E0000}"/>
    <cellStyle name="Followed Hyperlink 2" xfId="11181" hidden="1" xr:uid="{00000000-0005-0000-0000-00004F0E0000}"/>
    <cellStyle name="Followed Hyperlink 2" xfId="11191" hidden="1" xr:uid="{00000000-0005-0000-0000-0000500E0000}"/>
    <cellStyle name="Followed Hyperlink 2" xfId="11194" hidden="1" xr:uid="{00000000-0005-0000-0000-0000510E0000}"/>
    <cellStyle name="Followed Hyperlink 2" xfId="11197" hidden="1" xr:uid="{00000000-0005-0000-0000-0000520E0000}"/>
    <cellStyle name="Followed Hyperlink 2" xfId="11201" hidden="1" xr:uid="{00000000-0005-0000-0000-0000530E0000}"/>
    <cellStyle name="Followed Hyperlink 2" xfId="11209" hidden="1" xr:uid="{00000000-0005-0000-0000-0000540E0000}"/>
    <cellStyle name="Followed Hyperlink 2" xfId="11206" hidden="1" xr:uid="{00000000-0005-0000-0000-0000550E0000}"/>
    <cellStyle name="Followed Hyperlink 2" xfId="11204" hidden="1" xr:uid="{00000000-0005-0000-0000-0000560E0000}"/>
    <cellStyle name="Followed Hyperlink 2" xfId="11205" hidden="1" xr:uid="{00000000-0005-0000-0000-0000570E0000}"/>
    <cellStyle name="Followed Hyperlink 2" xfId="11215" hidden="1" xr:uid="{00000000-0005-0000-0000-0000580E0000}"/>
    <cellStyle name="Followed Hyperlink 2" xfId="11218" hidden="1" xr:uid="{00000000-0005-0000-0000-0000590E0000}"/>
    <cellStyle name="Followed Hyperlink 2" xfId="11221" hidden="1" xr:uid="{00000000-0005-0000-0000-00005A0E0000}"/>
    <cellStyle name="Followed Hyperlink 2" xfId="11225" hidden="1" xr:uid="{00000000-0005-0000-0000-00005B0E0000}"/>
    <cellStyle name="Followed Hyperlink 2" xfId="11102" hidden="1" xr:uid="{00000000-0005-0000-0000-00005C0E0000}"/>
    <cellStyle name="Followed Hyperlink 2" xfId="11106" hidden="1" xr:uid="{00000000-0005-0000-0000-00005D0E0000}"/>
    <cellStyle name="Followed Hyperlink 2" xfId="11101" hidden="1" xr:uid="{00000000-0005-0000-0000-00005E0E0000}"/>
    <cellStyle name="Followed Hyperlink 2" xfId="11107" hidden="1" xr:uid="{00000000-0005-0000-0000-00005F0E0000}"/>
    <cellStyle name="Followed Hyperlink 2" xfId="11228" hidden="1" xr:uid="{00000000-0005-0000-0000-0000600E0000}"/>
    <cellStyle name="Followed Hyperlink 2" xfId="11231" hidden="1" xr:uid="{00000000-0005-0000-0000-0000610E0000}"/>
    <cellStyle name="Followed Hyperlink 2" xfId="11234" hidden="1" xr:uid="{00000000-0005-0000-0000-0000620E0000}"/>
    <cellStyle name="Followed Hyperlink 2" xfId="11238" hidden="1" xr:uid="{00000000-0005-0000-0000-0000630E0000}"/>
    <cellStyle name="Followed Hyperlink 2" xfId="11246" hidden="1" xr:uid="{00000000-0005-0000-0000-0000640E0000}"/>
    <cellStyle name="Followed Hyperlink 2" xfId="11243" hidden="1" xr:uid="{00000000-0005-0000-0000-0000650E0000}"/>
    <cellStyle name="Followed Hyperlink 2" xfId="11241" hidden="1" xr:uid="{00000000-0005-0000-0000-0000660E0000}"/>
    <cellStyle name="Followed Hyperlink 2" xfId="11242" hidden="1" xr:uid="{00000000-0005-0000-0000-0000670E0000}"/>
    <cellStyle name="Followed Hyperlink 2" xfId="11252" hidden="1" xr:uid="{00000000-0005-0000-0000-0000680E0000}"/>
    <cellStyle name="Followed Hyperlink 2" xfId="11255" hidden="1" xr:uid="{00000000-0005-0000-0000-0000690E0000}"/>
    <cellStyle name="Followed Hyperlink 2" xfId="11258" hidden="1" xr:uid="{00000000-0005-0000-0000-00006A0E0000}"/>
    <cellStyle name="Followed Hyperlink 2" xfId="11262" hidden="1" xr:uid="{00000000-0005-0000-0000-00006B0E0000}"/>
    <cellStyle name="Followed Hyperlink 2" xfId="11271" hidden="1" xr:uid="{00000000-0005-0000-0000-00006C0E0000}"/>
    <cellStyle name="Followed Hyperlink 2" xfId="11268" hidden="1" xr:uid="{00000000-0005-0000-0000-00006D0E0000}"/>
    <cellStyle name="Followed Hyperlink 2" xfId="11266" hidden="1" xr:uid="{00000000-0005-0000-0000-00006E0E0000}"/>
    <cellStyle name="Followed Hyperlink 2" xfId="11267" hidden="1" xr:uid="{00000000-0005-0000-0000-00006F0E0000}"/>
    <cellStyle name="Followed Hyperlink 2" xfId="11277" hidden="1" xr:uid="{00000000-0005-0000-0000-0000700E0000}"/>
    <cellStyle name="Followed Hyperlink 2" xfId="11280" hidden="1" xr:uid="{00000000-0005-0000-0000-0000710E0000}"/>
    <cellStyle name="Followed Hyperlink 2" xfId="11283" hidden="1" xr:uid="{00000000-0005-0000-0000-0000720E0000}"/>
    <cellStyle name="Followed Hyperlink 2" xfId="11287" hidden="1" xr:uid="{00000000-0005-0000-0000-0000730E0000}"/>
    <cellStyle name="Followed Hyperlink 2" xfId="11295" hidden="1" xr:uid="{00000000-0005-0000-0000-0000740E0000}"/>
    <cellStyle name="Followed Hyperlink 2" xfId="11292" hidden="1" xr:uid="{00000000-0005-0000-0000-0000750E0000}"/>
    <cellStyle name="Followed Hyperlink 2" xfId="11290" hidden="1" xr:uid="{00000000-0005-0000-0000-0000760E0000}"/>
    <cellStyle name="Followed Hyperlink 2" xfId="11291" hidden="1" xr:uid="{00000000-0005-0000-0000-0000770E0000}"/>
    <cellStyle name="Followed Hyperlink 2" xfId="11301" hidden="1" xr:uid="{00000000-0005-0000-0000-0000780E0000}"/>
    <cellStyle name="Followed Hyperlink 2" xfId="11304" hidden="1" xr:uid="{00000000-0005-0000-0000-0000790E0000}"/>
    <cellStyle name="Followed Hyperlink 2" xfId="11307" hidden="1" xr:uid="{00000000-0005-0000-0000-00007A0E0000}"/>
    <cellStyle name="Followed Hyperlink 2" xfId="11311" hidden="1" xr:uid="{00000000-0005-0000-0000-00007B0E0000}"/>
    <cellStyle name="Followed Hyperlink 2" xfId="11120" hidden="1" xr:uid="{00000000-0005-0000-0000-00007C0E0000}"/>
    <cellStyle name="Followed Hyperlink 2" xfId="11117" hidden="1" xr:uid="{00000000-0005-0000-0000-00007D0E0000}"/>
    <cellStyle name="Followed Hyperlink 2" xfId="11111" hidden="1" xr:uid="{00000000-0005-0000-0000-00007E0E0000}"/>
    <cellStyle name="Followed Hyperlink 2" xfId="11116" hidden="1" xr:uid="{00000000-0005-0000-0000-00007F0E0000}"/>
    <cellStyle name="Followed Hyperlink 2" xfId="11314" hidden="1" xr:uid="{00000000-0005-0000-0000-0000800E0000}"/>
    <cellStyle name="Followed Hyperlink 2" xfId="11317" hidden="1" xr:uid="{00000000-0005-0000-0000-0000810E0000}"/>
    <cellStyle name="Followed Hyperlink 2" xfId="11320" hidden="1" xr:uid="{00000000-0005-0000-0000-0000820E0000}"/>
    <cellStyle name="Followed Hyperlink 2" xfId="11324" hidden="1" xr:uid="{00000000-0005-0000-0000-0000830E0000}"/>
    <cellStyle name="Followed Hyperlink 2" xfId="11332" hidden="1" xr:uid="{00000000-0005-0000-0000-0000840E0000}"/>
    <cellStyle name="Followed Hyperlink 2" xfId="11329" hidden="1" xr:uid="{00000000-0005-0000-0000-0000850E0000}"/>
    <cellStyle name="Followed Hyperlink 2" xfId="11327" hidden="1" xr:uid="{00000000-0005-0000-0000-0000860E0000}"/>
    <cellStyle name="Followed Hyperlink 2" xfId="11328" hidden="1" xr:uid="{00000000-0005-0000-0000-0000870E0000}"/>
    <cellStyle name="Followed Hyperlink 2" xfId="11338" hidden="1" xr:uid="{00000000-0005-0000-0000-0000880E0000}"/>
    <cellStyle name="Followed Hyperlink 2" xfId="11341" hidden="1" xr:uid="{00000000-0005-0000-0000-0000890E0000}"/>
    <cellStyle name="Followed Hyperlink 2" xfId="11344" hidden="1" xr:uid="{00000000-0005-0000-0000-00008A0E0000}"/>
    <cellStyle name="Followed Hyperlink 2" xfId="11348" hidden="1" xr:uid="{00000000-0005-0000-0000-00008B0E0000}"/>
    <cellStyle name="Followed Hyperlink 2" xfId="11357" hidden="1" xr:uid="{00000000-0005-0000-0000-00008C0E0000}"/>
    <cellStyle name="Followed Hyperlink 2" xfId="11354" hidden="1" xr:uid="{00000000-0005-0000-0000-00008D0E0000}"/>
    <cellStyle name="Followed Hyperlink 2" xfId="11352" hidden="1" xr:uid="{00000000-0005-0000-0000-00008E0E0000}"/>
    <cellStyle name="Followed Hyperlink 2" xfId="11353" hidden="1" xr:uid="{00000000-0005-0000-0000-00008F0E0000}"/>
    <cellStyle name="Followed Hyperlink 2" xfId="11363" hidden="1" xr:uid="{00000000-0005-0000-0000-0000900E0000}"/>
    <cellStyle name="Followed Hyperlink 2" xfId="11366" hidden="1" xr:uid="{00000000-0005-0000-0000-0000910E0000}"/>
    <cellStyle name="Followed Hyperlink 2" xfId="11369" hidden="1" xr:uid="{00000000-0005-0000-0000-0000920E0000}"/>
    <cellStyle name="Followed Hyperlink 2" xfId="11373" hidden="1" xr:uid="{00000000-0005-0000-0000-0000930E0000}"/>
    <cellStyle name="Followed Hyperlink 2" xfId="11381" hidden="1" xr:uid="{00000000-0005-0000-0000-0000940E0000}"/>
    <cellStyle name="Followed Hyperlink 2" xfId="11378" hidden="1" xr:uid="{00000000-0005-0000-0000-0000950E0000}"/>
    <cellStyle name="Followed Hyperlink 2" xfId="11376" hidden="1" xr:uid="{00000000-0005-0000-0000-0000960E0000}"/>
    <cellStyle name="Followed Hyperlink 2" xfId="11377" hidden="1" xr:uid="{00000000-0005-0000-0000-0000970E0000}"/>
    <cellStyle name="Followed Hyperlink 2" xfId="11387" hidden="1" xr:uid="{00000000-0005-0000-0000-0000980E0000}"/>
    <cellStyle name="Followed Hyperlink 2" xfId="11390" hidden="1" xr:uid="{00000000-0005-0000-0000-0000990E0000}"/>
    <cellStyle name="Followed Hyperlink 2" xfId="11393" hidden="1" xr:uid="{00000000-0005-0000-0000-00009A0E0000}"/>
    <cellStyle name="Followed Hyperlink 2" xfId="11397" hidden="1" xr:uid="{00000000-0005-0000-0000-00009B0E0000}"/>
    <cellStyle name="Followed Hyperlink 2" xfId="11128" hidden="1" xr:uid="{00000000-0005-0000-0000-00009C0E0000}"/>
    <cellStyle name="Followed Hyperlink 2" xfId="11124" hidden="1" xr:uid="{00000000-0005-0000-0000-00009D0E0000}"/>
    <cellStyle name="Followed Hyperlink 2" xfId="11125" hidden="1" xr:uid="{00000000-0005-0000-0000-00009E0E0000}"/>
    <cellStyle name="Followed Hyperlink 2" xfId="11112" hidden="1" xr:uid="{00000000-0005-0000-0000-00009F0E0000}"/>
    <cellStyle name="Followed Hyperlink 2" xfId="11400" hidden="1" xr:uid="{00000000-0005-0000-0000-0000A00E0000}"/>
    <cellStyle name="Followed Hyperlink 2" xfId="11403" hidden="1" xr:uid="{00000000-0005-0000-0000-0000A10E0000}"/>
    <cellStyle name="Followed Hyperlink 2" xfId="11406" hidden="1" xr:uid="{00000000-0005-0000-0000-0000A20E0000}"/>
    <cellStyle name="Followed Hyperlink 2" xfId="11410" hidden="1" xr:uid="{00000000-0005-0000-0000-0000A30E0000}"/>
    <cellStyle name="Followed Hyperlink 2" xfId="11418" hidden="1" xr:uid="{00000000-0005-0000-0000-0000A40E0000}"/>
    <cellStyle name="Followed Hyperlink 2" xfId="11415" hidden="1" xr:uid="{00000000-0005-0000-0000-0000A50E0000}"/>
    <cellStyle name="Followed Hyperlink 2" xfId="11413" hidden="1" xr:uid="{00000000-0005-0000-0000-0000A60E0000}"/>
    <cellStyle name="Followed Hyperlink 2" xfId="11414" hidden="1" xr:uid="{00000000-0005-0000-0000-0000A70E0000}"/>
    <cellStyle name="Followed Hyperlink 2" xfId="11424" hidden="1" xr:uid="{00000000-0005-0000-0000-0000A80E0000}"/>
    <cellStyle name="Followed Hyperlink 2" xfId="11427" hidden="1" xr:uid="{00000000-0005-0000-0000-0000A90E0000}"/>
    <cellStyle name="Followed Hyperlink 2" xfId="11430" hidden="1" xr:uid="{00000000-0005-0000-0000-0000AA0E0000}"/>
    <cellStyle name="Followed Hyperlink 2" xfId="11434" hidden="1" xr:uid="{00000000-0005-0000-0000-0000AB0E0000}"/>
    <cellStyle name="Followed Hyperlink 2" xfId="11442" hidden="1" xr:uid="{00000000-0005-0000-0000-0000AC0E0000}"/>
    <cellStyle name="Followed Hyperlink 2" xfId="11439" hidden="1" xr:uid="{00000000-0005-0000-0000-0000AD0E0000}"/>
    <cellStyle name="Followed Hyperlink 2" xfId="11437" hidden="1" xr:uid="{00000000-0005-0000-0000-0000AE0E0000}"/>
    <cellStyle name="Followed Hyperlink 2" xfId="11438" hidden="1" xr:uid="{00000000-0005-0000-0000-0000AF0E0000}"/>
    <cellStyle name="Followed Hyperlink 2" xfId="11448" hidden="1" xr:uid="{00000000-0005-0000-0000-0000B00E0000}"/>
    <cellStyle name="Followed Hyperlink 2" xfId="11451" hidden="1" xr:uid="{00000000-0005-0000-0000-0000B10E0000}"/>
    <cellStyle name="Followed Hyperlink 2" xfId="11454" hidden="1" xr:uid="{00000000-0005-0000-0000-0000B20E0000}"/>
    <cellStyle name="Followed Hyperlink 2" xfId="11458" hidden="1" xr:uid="{00000000-0005-0000-0000-0000B30E0000}"/>
    <cellStyle name="Followed Hyperlink 2" xfId="11466" hidden="1" xr:uid="{00000000-0005-0000-0000-0000B40E0000}"/>
    <cellStyle name="Followed Hyperlink 2" xfId="11463" hidden="1" xr:uid="{00000000-0005-0000-0000-0000B50E0000}"/>
    <cellStyle name="Followed Hyperlink 2" xfId="11461" hidden="1" xr:uid="{00000000-0005-0000-0000-0000B60E0000}"/>
    <cellStyle name="Followed Hyperlink 2" xfId="11462" hidden="1" xr:uid="{00000000-0005-0000-0000-0000B70E0000}"/>
    <cellStyle name="Followed Hyperlink 2" xfId="11472" hidden="1" xr:uid="{00000000-0005-0000-0000-0000B80E0000}"/>
    <cellStyle name="Followed Hyperlink 2" xfId="11475" hidden="1" xr:uid="{00000000-0005-0000-0000-0000B90E0000}"/>
    <cellStyle name="Followed Hyperlink 2" xfId="11478" hidden="1" xr:uid="{00000000-0005-0000-0000-0000BA0E0000}"/>
    <cellStyle name="Followed Hyperlink 2" xfId="11482" hidden="1" xr:uid="{00000000-0005-0000-0000-0000BB0E0000}"/>
    <cellStyle name="Followed Hyperlink 2" xfId="10975" hidden="1" xr:uid="{00000000-0005-0000-0000-0000BC0E0000}"/>
    <cellStyle name="Followed Hyperlink 2" xfId="10979" hidden="1" xr:uid="{00000000-0005-0000-0000-0000BD0E0000}"/>
    <cellStyle name="Followed Hyperlink 2" xfId="10974" hidden="1" xr:uid="{00000000-0005-0000-0000-0000BE0E0000}"/>
    <cellStyle name="Followed Hyperlink 2" xfId="10980" hidden="1" xr:uid="{00000000-0005-0000-0000-0000BF0E0000}"/>
    <cellStyle name="Followed Hyperlink 2" xfId="11485" hidden="1" xr:uid="{00000000-0005-0000-0000-0000C00E0000}"/>
    <cellStyle name="Followed Hyperlink 2" xfId="11488" hidden="1" xr:uid="{00000000-0005-0000-0000-0000C10E0000}"/>
    <cellStyle name="Followed Hyperlink 2" xfId="11491" hidden="1" xr:uid="{00000000-0005-0000-0000-0000C20E0000}"/>
    <cellStyle name="Followed Hyperlink 2" xfId="11495" hidden="1" xr:uid="{00000000-0005-0000-0000-0000C30E0000}"/>
    <cellStyle name="Followed Hyperlink 2" xfId="11503" hidden="1" xr:uid="{00000000-0005-0000-0000-0000C40E0000}"/>
    <cellStyle name="Followed Hyperlink 2" xfId="11500" hidden="1" xr:uid="{00000000-0005-0000-0000-0000C50E0000}"/>
    <cellStyle name="Followed Hyperlink 2" xfId="11498" hidden="1" xr:uid="{00000000-0005-0000-0000-0000C60E0000}"/>
    <cellStyle name="Followed Hyperlink 2" xfId="11499" hidden="1" xr:uid="{00000000-0005-0000-0000-0000C70E0000}"/>
    <cellStyle name="Followed Hyperlink 2" xfId="11509" hidden="1" xr:uid="{00000000-0005-0000-0000-0000C80E0000}"/>
    <cellStyle name="Followed Hyperlink 2" xfId="11512" hidden="1" xr:uid="{00000000-0005-0000-0000-0000C90E0000}"/>
    <cellStyle name="Followed Hyperlink 2" xfId="11515" hidden="1" xr:uid="{00000000-0005-0000-0000-0000CA0E0000}"/>
    <cellStyle name="Followed Hyperlink 2" xfId="11519" hidden="1" xr:uid="{00000000-0005-0000-0000-0000CB0E0000}"/>
    <cellStyle name="Followed Hyperlink 2" xfId="11528" hidden="1" xr:uid="{00000000-0005-0000-0000-0000CC0E0000}"/>
    <cellStyle name="Followed Hyperlink 2" xfId="11525" hidden="1" xr:uid="{00000000-0005-0000-0000-0000CD0E0000}"/>
    <cellStyle name="Followed Hyperlink 2" xfId="11523" hidden="1" xr:uid="{00000000-0005-0000-0000-0000CE0E0000}"/>
    <cellStyle name="Followed Hyperlink 2" xfId="11524" hidden="1" xr:uid="{00000000-0005-0000-0000-0000CF0E0000}"/>
    <cellStyle name="Followed Hyperlink 2" xfId="11534" hidden="1" xr:uid="{00000000-0005-0000-0000-0000D00E0000}"/>
    <cellStyle name="Followed Hyperlink 2" xfId="11537" hidden="1" xr:uid="{00000000-0005-0000-0000-0000D10E0000}"/>
    <cellStyle name="Followed Hyperlink 2" xfId="11540" hidden="1" xr:uid="{00000000-0005-0000-0000-0000D20E0000}"/>
    <cellStyle name="Followed Hyperlink 2" xfId="11544" hidden="1" xr:uid="{00000000-0005-0000-0000-0000D30E0000}"/>
    <cellStyle name="Followed Hyperlink 2" xfId="11552" hidden="1" xr:uid="{00000000-0005-0000-0000-0000D40E0000}"/>
    <cellStyle name="Followed Hyperlink 2" xfId="11549" hidden="1" xr:uid="{00000000-0005-0000-0000-0000D50E0000}"/>
    <cellStyle name="Followed Hyperlink 2" xfId="11547" hidden="1" xr:uid="{00000000-0005-0000-0000-0000D60E0000}"/>
    <cellStyle name="Followed Hyperlink 2" xfId="11548" hidden="1" xr:uid="{00000000-0005-0000-0000-0000D70E0000}"/>
    <cellStyle name="Followed Hyperlink 2" xfId="11558" hidden="1" xr:uid="{00000000-0005-0000-0000-0000D80E0000}"/>
    <cellStyle name="Followed Hyperlink 2" xfId="11561" hidden="1" xr:uid="{00000000-0005-0000-0000-0000D90E0000}"/>
    <cellStyle name="Followed Hyperlink 2" xfId="11564" hidden="1" xr:uid="{00000000-0005-0000-0000-0000DA0E0000}"/>
    <cellStyle name="Followed Hyperlink 2" xfId="11568" hidden="1" xr:uid="{00000000-0005-0000-0000-0000DB0E0000}"/>
    <cellStyle name="Followed Hyperlink 2" xfId="11605" hidden="1" xr:uid="{00000000-0005-0000-0000-0000DC0E0000}"/>
    <cellStyle name="Followed Hyperlink 2" xfId="11602" hidden="1" xr:uid="{00000000-0005-0000-0000-0000DD0E0000}"/>
    <cellStyle name="Followed Hyperlink 2" xfId="11600" hidden="1" xr:uid="{00000000-0005-0000-0000-0000DE0E0000}"/>
    <cellStyle name="Followed Hyperlink 2" xfId="11601" hidden="1" xr:uid="{00000000-0005-0000-0000-0000DF0E0000}"/>
    <cellStyle name="Followed Hyperlink 2" xfId="11611" hidden="1" xr:uid="{00000000-0005-0000-0000-0000E00E0000}"/>
    <cellStyle name="Followed Hyperlink 2" xfId="11614" hidden="1" xr:uid="{00000000-0005-0000-0000-0000E10E0000}"/>
    <cellStyle name="Followed Hyperlink 2" xfId="11617" hidden="1" xr:uid="{00000000-0005-0000-0000-0000E20E0000}"/>
    <cellStyle name="Followed Hyperlink 2" xfId="11621" hidden="1" xr:uid="{00000000-0005-0000-0000-0000E30E0000}"/>
    <cellStyle name="Followed Hyperlink 2" xfId="11629" hidden="1" xr:uid="{00000000-0005-0000-0000-0000E40E0000}"/>
    <cellStyle name="Followed Hyperlink 2" xfId="11626" hidden="1" xr:uid="{00000000-0005-0000-0000-0000E50E0000}"/>
    <cellStyle name="Followed Hyperlink 2" xfId="11624" hidden="1" xr:uid="{00000000-0005-0000-0000-0000E60E0000}"/>
    <cellStyle name="Followed Hyperlink 2" xfId="11625" hidden="1" xr:uid="{00000000-0005-0000-0000-0000E70E0000}"/>
    <cellStyle name="Followed Hyperlink 2" xfId="11635" hidden="1" xr:uid="{00000000-0005-0000-0000-0000E80E0000}"/>
    <cellStyle name="Followed Hyperlink 2" xfId="11638" hidden="1" xr:uid="{00000000-0005-0000-0000-0000E90E0000}"/>
    <cellStyle name="Followed Hyperlink 2" xfId="11641" hidden="1" xr:uid="{00000000-0005-0000-0000-0000EA0E0000}"/>
    <cellStyle name="Followed Hyperlink 2" xfId="11645" hidden="1" xr:uid="{00000000-0005-0000-0000-0000EB0E0000}"/>
    <cellStyle name="Followed Hyperlink 2" xfId="11655" hidden="1" xr:uid="{00000000-0005-0000-0000-0000EC0E0000}"/>
    <cellStyle name="Followed Hyperlink 2" xfId="11652" hidden="1" xr:uid="{00000000-0005-0000-0000-0000ED0E0000}"/>
    <cellStyle name="Followed Hyperlink 2" xfId="11650" hidden="1" xr:uid="{00000000-0005-0000-0000-0000EE0E0000}"/>
    <cellStyle name="Followed Hyperlink 2" xfId="11651" hidden="1" xr:uid="{00000000-0005-0000-0000-0000EF0E0000}"/>
    <cellStyle name="Followed Hyperlink 2" xfId="11661" hidden="1" xr:uid="{00000000-0005-0000-0000-0000F00E0000}"/>
    <cellStyle name="Followed Hyperlink 2" xfId="11664" hidden="1" xr:uid="{00000000-0005-0000-0000-0000F10E0000}"/>
    <cellStyle name="Followed Hyperlink 2" xfId="11667" hidden="1" xr:uid="{00000000-0005-0000-0000-0000F20E0000}"/>
    <cellStyle name="Followed Hyperlink 2" xfId="11671" hidden="1" xr:uid="{00000000-0005-0000-0000-0000F30E0000}"/>
    <cellStyle name="Followed Hyperlink 2" xfId="11679" hidden="1" xr:uid="{00000000-0005-0000-0000-0000F40E0000}"/>
    <cellStyle name="Followed Hyperlink 2" xfId="11676" hidden="1" xr:uid="{00000000-0005-0000-0000-0000F50E0000}"/>
    <cellStyle name="Followed Hyperlink 2" xfId="11674" hidden="1" xr:uid="{00000000-0005-0000-0000-0000F60E0000}"/>
    <cellStyle name="Followed Hyperlink 2" xfId="11675" hidden="1" xr:uid="{00000000-0005-0000-0000-0000F70E0000}"/>
    <cellStyle name="Followed Hyperlink 2" xfId="11685" hidden="1" xr:uid="{00000000-0005-0000-0000-0000F80E0000}"/>
    <cellStyle name="Followed Hyperlink 2" xfId="11688" hidden="1" xr:uid="{00000000-0005-0000-0000-0000F90E0000}"/>
    <cellStyle name="Followed Hyperlink 2" xfId="11691" hidden="1" xr:uid="{00000000-0005-0000-0000-0000FA0E0000}"/>
    <cellStyle name="Followed Hyperlink 2" xfId="11695" hidden="1" xr:uid="{00000000-0005-0000-0000-0000FB0E0000}"/>
    <cellStyle name="Followed Hyperlink 2" xfId="11572" hidden="1" xr:uid="{00000000-0005-0000-0000-0000FC0E0000}"/>
    <cellStyle name="Followed Hyperlink 2" xfId="11576" hidden="1" xr:uid="{00000000-0005-0000-0000-0000FD0E0000}"/>
    <cellStyle name="Followed Hyperlink 2" xfId="11571" hidden="1" xr:uid="{00000000-0005-0000-0000-0000FE0E0000}"/>
    <cellStyle name="Followed Hyperlink 2" xfId="11577" hidden="1" xr:uid="{00000000-0005-0000-0000-0000FF0E0000}"/>
    <cellStyle name="Followed Hyperlink 2" xfId="11698" hidden="1" xr:uid="{00000000-0005-0000-0000-0000000F0000}"/>
    <cellStyle name="Followed Hyperlink 2" xfId="11701" hidden="1" xr:uid="{00000000-0005-0000-0000-0000010F0000}"/>
    <cellStyle name="Followed Hyperlink 2" xfId="11704" hidden="1" xr:uid="{00000000-0005-0000-0000-0000020F0000}"/>
    <cellStyle name="Followed Hyperlink 2" xfId="11708" hidden="1" xr:uid="{00000000-0005-0000-0000-0000030F0000}"/>
    <cellStyle name="Followed Hyperlink 2" xfId="11716" hidden="1" xr:uid="{00000000-0005-0000-0000-0000040F0000}"/>
    <cellStyle name="Followed Hyperlink 2" xfId="11713" hidden="1" xr:uid="{00000000-0005-0000-0000-0000050F0000}"/>
    <cellStyle name="Followed Hyperlink 2" xfId="11711" hidden="1" xr:uid="{00000000-0005-0000-0000-0000060F0000}"/>
    <cellStyle name="Followed Hyperlink 2" xfId="11712" hidden="1" xr:uid="{00000000-0005-0000-0000-0000070F0000}"/>
    <cellStyle name="Followed Hyperlink 2" xfId="11722" hidden="1" xr:uid="{00000000-0005-0000-0000-0000080F0000}"/>
    <cellStyle name="Followed Hyperlink 2" xfId="11725" hidden="1" xr:uid="{00000000-0005-0000-0000-0000090F0000}"/>
    <cellStyle name="Followed Hyperlink 2" xfId="11728" hidden="1" xr:uid="{00000000-0005-0000-0000-00000A0F0000}"/>
    <cellStyle name="Followed Hyperlink 2" xfId="11732" hidden="1" xr:uid="{00000000-0005-0000-0000-00000B0F0000}"/>
    <cellStyle name="Followed Hyperlink 2" xfId="11741" hidden="1" xr:uid="{00000000-0005-0000-0000-00000C0F0000}"/>
    <cellStyle name="Followed Hyperlink 2" xfId="11738" hidden="1" xr:uid="{00000000-0005-0000-0000-00000D0F0000}"/>
    <cellStyle name="Followed Hyperlink 2" xfId="11736" hidden="1" xr:uid="{00000000-0005-0000-0000-00000E0F0000}"/>
    <cellStyle name="Followed Hyperlink 2" xfId="11737" hidden="1" xr:uid="{00000000-0005-0000-0000-00000F0F0000}"/>
    <cellStyle name="Followed Hyperlink 2" xfId="11747" hidden="1" xr:uid="{00000000-0005-0000-0000-0000100F0000}"/>
    <cellStyle name="Followed Hyperlink 2" xfId="11750" hidden="1" xr:uid="{00000000-0005-0000-0000-0000110F0000}"/>
    <cellStyle name="Followed Hyperlink 2" xfId="11753" hidden="1" xr:uid="{00000000-0005-0000-0000-0000120F0000}"/>
    <cellStyle name="Followed Hyperlink 2" xfId="11757" hidden="1" xr:uid="{00000000-0005-0000-0000-0000130F0000}"/>
    <cellStyle name="Followed Hyperlink 2" xfId="11765" hidden="1" xr:uid="{00000000-0005-0000-0000-0000140F0000}"/>
    <cellStyle name="Followed Hyperlink 2" xfId="11762" hidden="1" xr:uid="{00000000-0005-0000-0000-0000150F0000}"/>
    <cellStyle name="Followed Hyperlink 2" xfId="11760" hidden="1" xr:uid="{00000000-0005-0000-0000-0000160F0000}"/>
    <cellStyle name="Followed Hyperlink 2" xfId="11761" hidden="1" xr:uid="{00000000-0005-0000-0000-0000170F0000}"/>
    <cellStyle name="Followed Hyperlink 2" xfId="11771" hidden="1" xr:uid="{00000000-0005-0000-0000-0000180F0000}"/>
    <cellStyle name="Followed Hyperlink 2" xfId="11774" hidden="1" xr:uid="{00000000-0005-0000-0000-0000190F0000}"/>
    <cellStyle name="Followed Hyperlink 2" xfId="11777" hidden="1" xr:uid="{00000000-0005-0000-0000-00001A0F0000}"/>
    <cellStyle name="Followed Hyperlink 2" xfId="11781" hidden="1" xr:uid="{00000000-0005-0000-0000-00001B0F0000}"/>
    <cellStyle name="Followed Hyperlink 2" xfId="11590" hidden="1" xr:uid="{00000000-0005-0000-0000-00001C0F0000}"/>
    <cellStyle name="Followed Hyperlink 2" xfId="11587" hidden="1" xr:uid="{00000000-0005-0000-0000-00001D0F0000}"/>
    <cellStyle name="Followed Hyperlink 2" xfId="11581" hidden="1" xr:uid="{00000000-0005-0000-0000-00001E0F0000}"/>
    <cellStyle name="Followed Hyperlink 2" xfId="11586" hidden="1" xr:uid="{00000000-0005-0000-0000-00001F0F0000}"/>
    <cellStyle name="Followed Hyperlink 2" xfId="11784" hidden="1" xr:uid="{00000000-0005-0000-0000-0000200F0000}"/>
    <cellStyle name="Followed Hyperlink 2" xfId="11787" hidden="1" xr:uid="{00000000-0005-0000-0000-0000210F0000}"/>
    <cellStyle name="Followed Hyperlink 2" xfId="11790" hidden="1" xr:uid="{00000000-0005-0000-0000-0000220F0000}"/>
    <cellStyle name="Followed Hyperlink 2" xfId="11794" hidden="1" xr:uid="{00000000-0005-0000-0000-0000230F0000}"/>
    <cellStyle name="Followed Hyperlink 2" xfId="11802" hidden="1" xr:uid="{00000000-0005-0000-0000-0000240F0000}"/>
    <cellStyle name="Followed Hyperlink 2" xfId="11799" hidden="1" xr:uid="{00000000-0005-0000-0000-0000250F0000}"/>
    <cellStyle name="Followed Hyperlink 2" xfId="11797" hidden="1" xr:uid="{00000000-0005-0000-0000-0000260F0000}"/>
    <cellStyle name="Followed Hyperlink 2" xfId="11798" hidden="1" xr:uid="{00000000-0005-0000-0000-0000270F0000}"/>
    <cellStyle name="Followed Hyperlink 2" xfId="11808" hidden="1" xr:uid="{00000000-0005-0000-0000-0000280F0000}"/>
    <cellStyle name="Followed Hyperlink 2" xfId="11811" hidden="1" xr:uid="{00000000-0005-0000-0000-0000290F0000}"/>
    <cellStyle name="Followed Hyperlink 2" xfId="11814" hidden="1" xr:uid="{00000000-0005-0000-0000-00002A0F0000}"/>
    <cellStyle name="Followed Hyperlink 2" xfId="11818" hidden="1" xr:uid="{00000000-0005-0000-0000-00002B0F0000}"/>
    <cellStyle name="Followed Hyperlink 2" xfId="11827" hidden="1" xr:uid="{00000000-0005-0000-0000-00002C0F0000}"/>
    <cellStyle name="Followed Hyperlink 2" xfId="11824" hidden="1" xr:uid="{00000000-0005-0000-0000-00002D0F0000}"/>
    <cellStyle name="Followed Hyperlink 2" xfId="11822" hidden="1" xr:uid="{00000000-0005-0000-0000-00002E0F0000}"/>
    <cellStyle name="Followed Hyperlink 2" xfId="11823" hidden="1" xr:uid="{00000000-0005-0000-0000-00002F0F0000}"/>
    <cellStyle name="Followed Hyperlink 2" xfId="11833" hidden="1" xr:uid="{00000000-0005-0000-0000-0000300F0000}"/>
    <cellStyle name="Followed Hyperlink 2" xfId="11836" hidden="1" xr:uid="{00000000-0005-0000-0000-0000310F0000}"/>
    <cellStyle name="Followed Hyperlink 2" xfId="11839" hidden="1" xr:uid="{00000000-0005-0000-0000-0000320F0000}"/>
    <cellStyle name="Followed Hyperlink 2" xfId="11843" hidden="1" xr:uid="{00000000-0005-0000-0000-0000330F0000}"/>
    <cellStyle name="Followed Hyperlink 2" xfId="11851" hidden="1" xr:uid="{00000000-0005-0000-0000-0000340F0000}"/>
    <cellStyle name="Followed Hyperlink 2" xfId="11848" hidden="1" xr:uid="{00000000-0005-0000-0000-0000350F0000}"/>
    <cellStyle name="Followed Hyperlink 2" xfId="11846" hidden="1" xr:uid="{00000000-0005-0000-0000-0000360F0000}"/>
    <cellStyle name="Followed Hyperlink 2" xfId="11847" hidden="1" xr:uid="{00000000-0005-0000-0000-0000370F0000}"/>
    <cellStyle name="Followed Hyperlink 2" xfId="11857" hidden="1" xr:uid="{00000000-0005-0000-0000-0000380F0000}"/>
    <cellStyle name="Followed Hyperlink 2" xfId="11860" hidden="1" xr:uid="{00000000-0005-0000-0000-0000390F0000}"/>
    <cellStyle name="Followed Hyperlink 2" xfId="11863" hidden="1" xr:uid="{00000000-0005-0000-0000-00003A0F0000}"/>
    <cellStyle name="Followed Hyperlink 2" xfId="11867" hidden="1" xr:uid="{00000000-0005-0000-0000-00003B0F0000}"/>
    <cellStyle name="Followed Hyperlink 2" xfId="11598" hidden="1" xr:uid="{00000000-0005-0000-0000-00003C0F0000}"/>
    <cellStyle name="Followed Hyperlink 2" xfId="11594" hidden="1" xr:uid="{00000000-0005-0000-0000-00003D0F0000}"/>
    <cellStyle name="Followed Hyperlink 2" xfId="11595" hidden="1" xr:uid="{00000000-0005-0000-0000-00003E0F0000}"/>
    <cellStyle name="Followed Hyperlink 2" xfId="11582" hidden="1" xr:uid="{00000000-0005-0000-0000-00003F0F0000}"/>
    <cellStyle name="Followed Hyperlink 2" xfId="11870" hidden="1" xr:uid="{00000000-0005-0000-0000-0000400F0000}"/>
    <cellStyle name="Followed Hyperlink 2" xfId="11873" hidden="1" xr:uid="{00000000-0005-0000-0000-0000410F0000}"/>
    <cellStyle name="Followed Hyperlink 2" xfId="11876" hidden="1" xr:uid="{00000000-0005-0000-0000-0000420F0000}"/>
    <cellStyle name="Followed Hyperlink 2" xfId="11880" hidden="1" xr:uid="{00000000-0005-0000-0000-0000430F0000}"/>
    <cellStyle name="Followed Hyperlink 2" xfId="11888" hidden="1" xr:uid="{00000000-0005-0000-0000-0000440F0000}"/>
    <cellStyle name="Followed Hyperlink 2" xfId="11885" hidden="1" xr:uid="{00000000-0005-0000-0000-0000450F0000}"/>
    <cellStyle name="Followed Hyperlink 2" xfId="11883" hidden="1" xr:uid="{00000000-0005-0000-0000-0000460F0000}"/>
    <cellStyle name="Followed Hyperlink 2" xfId="11884" hidden="1" xr:uid="{00000000-0005-0000-0000-0000470F0000}"/>
    <cellStyle name="Followed Hyperlink 2" xfId="11894" hidden="1" xr:uid="{00000000-0005-0000-0000-0000480F0000}"/>
    <cellStyle name="Followed Hyperlink 2" xfId="11897" hidden="1" xr:uid="{00000000-0005-0000-0000-0000490F0000}"/>
    <cellStyle name="Followed Hyperlink 2" xfId="11900" hidden="1" xr:uid="{00000000-0005-0000-0000-00004A0F0000}"/>
    <cellStyle name="Followed Hyperlink 2" xfId="11904" hidden="1" xr:uid="{00000000-0005-0000-0000-00004B0F0000}"/>
    <cellStyle name="Followed Hyperlink 2" xfId="11912" hidden="1" xr:uid="{00000000-0005-0000-0000-00004C0F0000}"/>
    <cellStyle name="Followed Hyperlink 2" xfId="11909" hidden="1" xr:uid="{00000000-0005-0000-0000-00004D0F0000}"/>
    <cellStyle name="Followed Hyperlink 2" xfId="11907" hidden="1" xr:uid="{00000000-0005-0000-0000-00004E0F0000}"/>
    <cellStyle name="Followed Hyperlink 2" xfId="11908" hidden="1" xr:uid="{00000000-0005-0000-0000-00004F0F0000}"/>
    <cellStyle name="Followed Hyperlink 2" xfId="11918" hidden="1" xr:uid="{00000000-0005-0000-0000-0000500F0000}"/>
    <cellStyle name="Followed Hyperlink 2" xfId="11921" hidden="1" xr:uid="{00000000-0005-0000-0000-0000510F0000}"/>
    <cellStyle name="Followed Hyperlink 2" xfId="11924" hidden="1" xr:uid="{00000000-0005-0000-0000-0000520F0000}"/>
    <cellStyle name="Followed Hyperlink 2" xfId="11928" hidden="1" xr:uid="{00000000-0005-0000-0000-0000530F0000}"/>
    <cellStyle name="Followed Hyperlink 2" xfId="11936" hidden="1" xr:uid="{00000000-0005-0000-0000-0000540F0000}"/>
    <cellStyle name="Followed Hyperlink 2" xfId="11933" hidden="1" xr:uid="{00000000-0005-0000-0000-0000550F0000}"/>
    <cellStyle name="Followed Hyperlink 2" xfId="11931" hidden="1" xr:uid="{00000000-0005-0000-0000-0000560F0000}"/>
    <cellStyle name="Followed Hyperlink 2" xfId="11932" hidden="1" xr:uid="{00000000-0005-0000-0000-0000570F0000}"/>
    <cellStyle name="Followed Hyperlink 2" xfId="11942" hidden="1" xr:uid="{00000000-0005-0000-0000-0000580F0000}"/>
    <cellStyle name="Followed Hyperlink 2" xfId="11945" hidden="1" xr:uid="{00000000-0005-0000-0000-0000590F0000}"/>
    <cellStyle name="Followed Hyperlink 2" xfId="11948" hidden="1" xr:uid="{00000000-0005-0000-0000-00005A0F0000}"/>
    <cellStyle name="Followed Hyperlink 2" xfId="11952" hidden="1" xr:uid="{00000000-0005-0000-0000-00005B0F0000}"/>
    <cellStyle name="Followed Hyperlink 2" xfId="10993" hidden="1" xr:uid="{00000000-0005-0000-0000-00005C0F0000}"/>
    <cellStyle name="Followed Hyperlink 2" xfId="10990" hidden="1" xr:uid="{00000000-0005-0000-0000-00005D0F0000}"/>
    <cellStyle name="Followed Hyperlink 2" xfId="10984" hidden="1" xr:uid="{00000000-0005-0000-0000-00005E0F0000}"/>
    <cellStyle name="Followed Hyperlink 2" xfId="10989" hidden="1" xr:uid="{00000000-0005-0000-0000-00005F0F0000}"/>
    <cellStyle name="Followed Hyperlink 2" xfId="11955" hidden="1" xr:uid="{00000000-0005-0000-0000-0000600F0000}"/>
    <cellStyle name="Followed Hyperlink 2" xfId="11958" hidden="1" xr:uid="{00000000-0005-0000-0000-0000610F0000}"/>
    <cellStyle name="Followed Hyperlink 2" xfId="11961" hidden="1" xr:uid="{00000000-0005-0000-0000-0000620F0000}"/>
    <cellStyle name="Followed Hyperlink 2" xfId="11965" hidden="1" xr:uid="{00000000-0005-0000-0000-0000630F0000}"/>
    <cellStyle name="Followed Hyperlink 2" xfId="11973" hidden="1" xr:uid="{00000000-0005-0000-0000-0000640F0000}"/>
    <cellStyle name="Followed Hyperlink 2" xfId="11970" hidden="1" xr:uid="{00000000-0005-0000-0000-0000650F0000}"/>
    <cellStyle name="Followed Hyperlink 2" xfId="11968" hidden="1" xr:uid="{00000000-0005-0000-0000-0000660F0000}"/>
    <cellStyle name="Followed Hyperlink 2" xfId="11969" hidden="1" xr:uid="{00000000-0005-0000-0000-0000670F0000}"/>
    <cellStyle name="Followed Hyperlink 2" xfId="11979" hidden="1" xr:uid="{00000000-0005-0000-0000-0000680F0000}"/>
    <cellStyle name="Followed Hyperlink 2" xfId="11982" hidden="1" xr:uid="{00000000-0005-0000-0000-0000690F0000}"/>
    <cellStyle name="Followed Hyperlink 2" xfId="11985" hidden="1" xr:uid="{00000000-0005-0000-0000-00006A0F0000}"/>
    <cellStyle name="Followed Hyperlink 2" xfId="11989" hidden="1" xr:uid="{00000000-0005-0000-0000-00006B0F0000}"/>
    <cellStyle name="Followed Hyperlink 2" xfId="11998" hidden="1" xr:uid="{00000000-0005-0000-0000-00006C0F0000}"/>
    <cellStyle name="Followed Hyperlink 2" xfId="11995" hidden="1" xr:uid="{00000000-0005-0000-0000-00006D0F0000}"/>
    <cellStyle name="Followed Hyperlink 2" xfId="11993" hidden="1" xr:uid="{00000000-0005-0000-0000-00006E0F0000}"/>
    <cellStyle name="Followed Hyperlink 2" xfId="11994" hidden="1" xr:uid="{00000000-0005-0000-0000-00006F0F0000}"/>
    <cellStyle name="Followed Hyperlink 2" xfId="12004" hidden="1" xr:uid="{00000000-0005-0000-0000-0000700F0000}"/>
    <cellStyle name="Followed Hyperlink 2" xfId="12007" hidden="1" xr:uid="{00000000-0005-0000-0000-0000710F0000}"/>
    <cellStyle name="Followed Hyperlink 2" xfId="12010" hidden="1" xr:uid="{00000000-0005-0000-0000-0000720F0000}"/>
    <cellStyle name="Followed Hyperlink 2" xfId="12014" hidden="1" xr:uid="{00000000-0005-0000-0000-0000730F0000}"/>
    <cellStyle name="Followed Hyperlink 2" xfId="12022" hidden="1" xr:uid="{00000000-0005-0000-0000-0000740F0000}"/>
    <cellStyle name="Followed Hyperlink 2" xfId="12019" hidden="1" xr:uid="{00000000-0005-0000-0000-0000750F0000}"/>
    <cellStyle name="Followed Hyperlink 2" xfId="12017" hidden="1" xr:uid="{00000000-0005-0000-0000-0000760F0000}"/>
    <cellStyle name="Followed Hyperlink 2" xfId="12018" hidden="1" xr:uid="{00000000-0005-0000-0000-0000770F0000}"/>
    <cellStyle name="Followed Hyperlink 2" xfId="12028" hidden="1" xr:uid="{00000000-0005-0000-0000-0000780F0000}"/>
    <cellStyle name="Followed Hyperlink 2" xfId="12031" hidden="1" xr:uid="{00000000-0005-0000-0000-0000790F0000}"/>
    <cellStyle name="Followed Hyperlink 2" xfId="12034" hidden="1" xr:uid="{00000000-0005-0000-0000-00007A0F0000}"/>
    <cellStyle name="Followed Hyperlink 2" xfId="12038" hidden="1" xr:uid="{00000000-0005-0000-0000-00007B0F0000}"/>
    <cellStyle name="Followed Hyperlink 2" xfId="12075" hidden="1" xr:uid="{00000000-0005-0000-0000-00007C0F0000}"/>
    <cellStyle name="Followed Hyperlink 2" xfId="12072" hidden="1" xr:uid="{00000000-0005-0000-0000-00007D0F0000}"/>
    <cellStyle name="Followed Hyperlink 2" xfId="12070" hidden="1" xr:uid="{00000000-0005-0000-0000-00007E0F0000}"/>
    <cellStyle name="Followed Hyperlink 2" xfId="12071" hidden="1" xr:uid="{00000000-0005-0000-0000-00007F0F0000}"/>
    <cellStyle name="Followed Hyperlink 2" xfId="12081" hidden="1" xr:uid="{00000000-0005-0000-0000-0000800F0000}"/>
    <cellStyle name="Followed Hyperlink 2" xfId="12084" hidden="1" xr:uid="{00000000-0005-0000-0000-0000810F0000}"/>
    <cellStyle name="Followed Hyperlink 2" xfId="12087" hidden="1" xr:uid="{00000000-0005-0000-0000-0000820F0000}"/>
    <cellStyle name="Followed Hyperlink 2" xfId="12091" hidden="1" xr:uid="{00000000-0005-0000-0000-0000830F0000}"/>
    <cellStyle name="Followed Hyperlink 2" xfId="12099" hidden="1" xr:uid="{00000000-0005-0000-0000-0000840F0000}"/>
    <cellStyle name="Followed Hyperlink 2" xfId="12096" hidden="1" xr:uid="{00000000-0005-0000-0000-0000850F0000}"/>
    <cellStyle name="Followed Hyperlink 2" xfId="12094" hidden="1" xr:uid="{00000000-0005-0000-0000-0000860F0000}"/>
    <cellStyle name="Followed Hyperlink 2" xfId="12095" hidden="1" xr:uid="{00000000-0005-0000-0000-0000870F0000}"/>
    <cellStyle name="Followed Hyperlink 2" xfId="12105" hidden="1" xr:uid="{00000000-0005-0000-0000-0000880F0000}"/>
    <cellStyle name="Followed Hyperlink 2" xfId="12108" hidden="1" xr:uid="{00000000-0005-0000-0000-0000890F0000}"/>
    <cellStyle name="Followed Hyperlink 2" xfId="12111" hidden="1" xr:uid="{00000000-0005-0000-0000-00008A0F0000}"/>
    <cellStyle name="Followed Hyperlink 2" xfId="12115" hidden="1" xr:uid="{00000000-0005-0000-0000-00008B0F0000}"/>
    <cellStyle name="Followed Hyperlink 2" xfId="12125" hidden="1" xr:uid="{00000000-0005-0000-0000-00008C0F0000}"/>
    <cellStyle name="Followed Hyperlink 2" xfId="12122" hidden="1" xr:uid="{00000000-0005-0000-0000-00008D0F0000}"/>
    <cellStyle name="Followed Hyperlink 2" xfId="12120" hidden="1" xr:uid="{00000000-0005-0000-0000-00008E0F0000}"/>
    <cellStyle name="Followed Hyperlink 2" xfId="12121" hidden="1" xr:uid="{00000000-0005-0000-0000-00008F0F0000}"/>
    <cellStyle name="Followed Hyperlink 2" xfId="12131" hidden="1" xr:uid="{00000000-0005-0000-0000-0000900F0000}"/>
    <cellStyle name="Followed Hyperlink 2" xfId="12134" hidden="1" xr:uid="{00000000-0005-0000-0000-0000910F0000}"/>
    <cellStyle name="Followed Hyperlink 2" xfId="12137" hidden="1" xr:uid="{00000000-0005-0000-0000-0000920F0000}"/>
    <cellStyle name="Followed Hyperlink 2" xfId="12141" hidden="1" xr:uid="{00000000-0005-0000-0000-0000930F0000}"/>
    <cellStyle name="Followed Hyperlink 2" xfId="12149" hidden="1" xr:uid="{00000000-0005-0000-0000-0000940F0000}"/>
    <cellStyle name="Followed Hyperlink 2" xfId="12146" hidden="1" xr:uid="{00000000-0005-0000-0000-0000950F0000}"/>
    <cellStyle name="Followed Hyperlink 2" xfId="12144" hidden="1" xr:uid="{00000000-0005-0000-0000-0000960F0000}"/>
    <cellStyle name="Followed Hyperlink 2" xfId="12145" hidden="1" xr:uid="{00000000-0005-0000-0000-0000970F0000}"/>
    <cellStyle name="Followed Hyperlink 2" xfId="12155" hidden="1" xr:uid="{00000000-0005-0000-0000-0000980F0000}"/>
    <cellStyle name="Followed Hyperlink 2" xfId="12158" hidden="1" xr:uid="{00000000-0005-0000-0000-0000990F0000}"/>
    <cellStyle name="Followed Hyperlink 2" xfId="12161" hidden="1" xr:uid="{00000000-0005-0000-0000-00009A0F0000}"/>
    <cellStyle name="Followed Hyperlink 2" xfId="12165" hidden="1" xr:uid="{00000000-0005-0000-0000-00009B0F0000}"/>
    <cellStyle name="Followed Hyperlink 2" xfId="12042" hidden="1" xr:uid="{00000000-0005-0000-0000-00009C0F0000}"/>
    <cellStyle name="Followed Hyperlink 2" xfId="12046" hidden="1" xr:uid="{00000000-0005-0000-0000-00009D0F0000}"/>
    <cellStyle name="Followed Hyperlink 2" xfId="12041" hidden="1" xr:uid="{00000000-0005-0000-0000-00009E0F0000}"/>
    <cellStyle name="Followed Hyperlink 2" xfId="12047" hidden="1" xr:uid="{00000000-0005-0000-0000-00009F0F0000}"/>
    <cellStyle name="Followed Hyperlink 2" xfId="12168" hidden="1" xr:uid="{00000000-0005-0000-0000-0000A00F0000}"/>
    <cellStyle name="Followed Hyperlink 2" xfId="12171" hidden="1" xr:uid="{00000000-0005-0000-0000-0000A10F0000}"/>
    <cellStyle name="Followed Hyperlink 2" xfId="12174" hidden="1" xr:uid="{00000000-0005-0000-0000-0000A20F0000}"/>
    <cellStyle name="Followed Hyperlink 2" xfId="12178" hidden="1" xr:uid="{00000000-0005-0000-0000-0000A30F0000}"/>
    <cellStyle name="Followed Hyperlink 2" xfId="12186" hidden="1" xr:uid="{00000000-0005-0000-0000-0000A40F0000}"/>
    <cellStyle name="Followed Hyperlink 2" xfId="12183" hidden="1" xr:uid="{00000000-0005-0000-0000-0000A50F0000}"/>
    <cellStyle name="Followed Hyperlink 2" xfId="12181" hidden="1" xr:uid="{00000000-0005-0000-0000-0000A60F0000}"/>
    <cellStyle name="Followed Hyperlink 2" xfId="12182" hidden="1" xr:uid="{00000000-0005-0000-0000-0000A70F0000}"/>
    <cellStyle name="Followed Hyperlink 2" xfId="12192" hidden="1" xr:uid="{00000000-0005-0000-0000-0000A80F0000}"/>
    <cellStyle name="Followed Hyperlink 2" xfId="12195" hidden="1" xr:uid="{00000000-0005-0000-0000-0000A90F0000}"/>
    <cellStyle name="Followed Hyperlink 2" xfId="12198" hidden="1" xr:uid="{00000000-0005-0000-0000-0000AA0F0000}"/>
    <cellStyle name="Followed Hyperlink 2" xfId="12202" hidden="1" xr:uid="{00000000-0005-0000-0000-0000AB0F0000}"/>
    <cellStyle name="Followed Hyperlink 2" xfId="12211" hidden="1" xr:uid="{00000000-0005-0000-0000-0000AC0F0000}"/>
    <cellStyle name="Followed Hyperlink 2" xfId="12208" hidden="1" xr:uid="{00000000-0005-0000-0000-0000AD0F0000}"/>
    <cellStyle name="Followed Hyperlink 2" xfId="12206" hidden="1" xr:uid="{00000000-0005-0000-0000-0000AE0F0000}"/>
    <cellStyle name="Followed Hyperlink 2" xfId="12207" hidden="1" xr:uid="{00000000-0005-0000-0000-0000AF0F0000}"/>
    <cellStyle name="Followed Hyperlink 2" xfId="12217" hidden="1" xr:uid="{00000000-0005-0000-0000-0000B00F0000}"/>
    <cellStyle name="Followed Hyperlink 2" xfId="12220" hidden="1" xr:uid="{00000000-0005-0000-0000-0000B10F0000}"/>
    <cellStyle name="Followed Hyperlink 2" xfId="12223" hidden="1" xr:uid="{00000000-0005-0000-0000-0000B20F0000}"/>
    <cellStyle name="Followed Hyperlink 2" xfId="12227" hidden="1" xr:uid="{00000000-0005-0000-0000-0000B30F0000}"/>
    <cellStyle name="Followed Hyperlink 2" xfId="12235" hidden="1" xr:uid="{00000000-0005-0000-0000-0000B40F0000}"/>
    <cellStyle name="Followed Hyperlink 2" xfId="12232" hidden="1" xr:uid="{00000000-0005-0000-0000-0000B50F0000}"/>
    <cellStyle name="Followed Hyperlink 2" xfId="12230" hidden="1" xr:uid="{00000000-0005-0000-0000-0000B60F0000}"/>
    <cellStyle name="Followed Hyperlink 2" xfId="12231" hidden="1" xr:uid="{00000000-0005-0000-0000-0000B70F0000}"/>
    <cellStyle name="Followed Hyperlink 2" xfId="12241" hidden="1" xr:uid="{00000000-0005-0000-0000-0000B80F0000}"/>
    <cellStyle name="Followed Hyperlink 2" xfId="12244" hidden="1" xr:uid="{00000000-0005-0000-0000-0000B90F0000}"/>
    <cellStyle name="Followed Hyperlink 2" xfId="12247" hidden="1" xr:uid="{00000000-0005-0000-0000-0000BA0F0000}"/>
    <cellStyle name="Followed Hyperlink 2" xfId="12251" hidden="1" xr:uid="{00000000-0005-0000-0000-0000BB0F0000}"/>
    <cellStyle name="Followed Hyperlink 2" xfId="12060" hidden="1" xr:uid="{00000000-0005-0000-0000-0000BC0F0000}"/>
    <cellStyle name="Followed Hyperlink 2" xfId="12057" hidden="1" xr:uid="{00000000-0005-0000-0000-0000BD0F0000}"/>
    <cellStyle name="Followed Hyperlink 2" xfId="12051" hidden="1" xr:uid="{00000000-0005-0000-0000-0000BE0F0000}"/>
    <cellStyle name="Followed Hyperlink 2" xfId="12056" hidden="1" xr:uid="{00000000-0005-0000-0000-0000BF0F0000}"/>
    <cellStyle name="Followed Hyperlink 2" xfId="12254" hidden="1" xr:uid="{00000000-0005-0000-0000-0000C00F0000}"/>
    <cellStyle name="Followed Hyperlink 2" xfId="12257" hidden="1" xr:uid="{00000000-0005-0000-0000-0000C10F0000}"/>
    <cellStyle name="Followed Hyperlink 2" xfId="12260" hidden="1" xr:uid="{00000000-0005-0000-0000-0000C20F0000}"/>
    <cellStyle name="Followed Hyperlink 2" xfId="12264" hidden="1" xr:uid="{00000000-0005-0000-0000-0000C30F0000}"/>
    <cellStyle name="Followed Hyperlink 2" xfId="12272" hidden="1" xr:uid="{00000000-0005-0000-0000-0000C40F0000}"/>
    <cellStyle name="Followed Hyperlink 2" xfId="12269" hidden="1" xr:uid="{00000000-0005-0000-0000-0000C50F0000}"/>
    <cellStyle name="Followed Hyperlink 2" xfId="12267" hidden="1" xr:uid="{00000000-0005-0000-0000-0000C60F0000}"/>
    <cellStyle name="Followed Hyperlink 2" xfId="12268" hidden="1" xr:uid="{00000000-0005-0000-0000-0000C70F0000}"/>
    <cellStyle name="Followed Hyperlink 2" xfId="12278" hidden="1" xr:uid="{00000000-0005-0000-0000-0000C80F0000}"/>
    <cellStyle name="Followed Hyperlink 2" xfId="12281" hidden="1" xr:uid="{00000000-0005-0000-0000-0000C90F0000}"/>
    <cellStyle name="Followed Hyperlink 2" xfId="12284" hidden="1" xr:uid="{00000000-0005-0000-0000-0000CA0F0000}"/>
    <cellStyle name="Followed Hyperlink 2" xfId="12288" hidden="1" xr:uid="{00000000-0005-0000-0000-0000CB0F0000}"/>
    <cellStyle name="Followed Hyperlink 2" xfId="12297" hidden="1" xr:uid="{00000000-0005-0000-0000-0000CC0F0000}"/>
    <cellStyle name="Followed Hyperlink 2" xfId="12294" hidden="1" xr:uid="{00000000-0005-0000-0000-0000CD0F0000}"/>
    <cellStyle name="Followed Hyperlink 2" xfId="12292" hidden="1" xr:uid="{00000000-0005-0000-0000-0000CE0F0000}"/>
    <cellStyle name="Followed Hyperlink 2" xfId="12293" hidden="1" xr:uid="{00000000-0005-0000-0000-0000CF0F0000}"/>
    <cellStyle name="Followed Hyperlink 2" xfId="12303" hidden="1" xr:uid="{00000000-0005-0000-0000-0000D00F0000}"/>
    <cellStyle name="Followed Hyperlink 2" xfId="12306" hidden="1" xr:uid="{00000000-0005-0000-0000-0000D10F0000}"/>
    <cellStyle name="Followed Hyperlink 2" xfId="12309" hidden="1" xr:uid="{00000000-0005-0000-0000-0000D20F0000}"/>
    <cellStyle name="Followed Hyperlink 2" xfId="12313" hidden="1" xr:uid="{00000000-0005-0000-0000-0000D30F0000}"/>
    <cellStyle name="Followed Hyperlink 2" xfId="12321" hidden="1" xr:uid="{00000000-0005-0000-0000-0000D40F0000}"/>
    <cellStyle name="Followed Hyperlink 2" xfId="12318" hidden="1" xr:uid="{00000000-0005-0000-0000-0000D50F0000}"/>
    <cellStyle name="Followed Hyperlink 2" xfId="12316" hidden="1" xr:uid="{00000000-0005-0000-0000-0000D60F0000}"/>
    <cellStyle name="Followed Hyperlink 2" xfId="12317" hidden="1" xr:uid="{00000000-0005-0000-0000-0000D70F0000}"/>
    <cellStyle name="Followed Hyperlink 2" xfId="12327" hidden="1" xr:uid="{00000000-0005-0000-0000-0000D80F0000}"/>
    <cellStyle name="Followed Hyperlink 2" xfId="12330" hidden="1" xr:uid="{00000000-0005-0000-0000-0000D90F0000}"/>
    <cellStyle name="Followed Hyperlink 2" xfId="12333" hidden="1" xr:uid="{00000000-0005-0000-0000-0000DA0F0000}"/>
    <cellStyle name="Followed Hyperlink 2" xfId="12337" hidden="1" xr:uid="{00000000-0005-0000-0000-0000DB0F0000}"/>
    <cellStyle name="Followed Hyperlink 2" xfId="12068" hidden="1" xr:uid="{00000000-0005-0000-0000-0000DC0F0000}"/>
    <cellStyle name="Followed Hyperlink 2" xfId="12064" hidden="1" xr:uid="{00000000-0005-0000-0000-0000DD0F0000}"/>
    <cellStyle name="Followed Hyperlink 2" xfId="12065" hidden="1" xr:uid="{00000000-0005-0000-0000-0000DE0F0000}"/>
    <cellStyle name="Followed Hyperlink 2" xfId="12052" hidden="1" xr:uid="{00000000-0005-0000-0000-0000DF0F0000}"/>
    <cellStyle name="Followed Hyperlink 2" xfId="12340" hidden="1" xr:uid="{00000000-0005-0000-0000-0000E00F0000}"/>
    <cellStyle name="Followed Hyperlink 2" xfId="12343" hidden="1" xr:uid="{00000000-0005-0000-0000-0000E10F0000}"/>
    <cellStyle name="Followed Hyperlink 2" xfId="12346" hidden="1" xr:uid="{00000000-0005-0000-0000-0000E20F0000}"/>
    <cellStyle name="Followed Hyperlink 2" xfId="12350" hidden="1" xr:uid="{00000000-0005-0000-0000-0000E30F0000}"/>
    <cellStyle name="Followed Hyperlink 2" xfId="12358" hidden="1" xr:uid="{00000000-0005-0000-0000-0000E40F0000}"/>
    <cellStyle name="Followed Hyperlink 2" xfId="12355" hidden="1" xr:uid="{00000000-0005-0000-0000-0000E50F0000}"/>
    <cellStyle name="Followed Hyperlink 2" xfId="12353" hidden="1" xr:uid="{00000000-0005-0000-0000-0000E60F0000}"/>
    <cellStyle name="Followed Hyperlink 2" xfId="12354" hidden="1" xr:uid="{00000000-0005-0000-0000-0000E70F0000}"/>
    <cellStyle name="Followed Hyperlink 2" xfId="12364" hidden="1" xr:uid="{00000000-0005-0000-0000-0000E80F0000}"/>
    <cellStyle name="Followed Hyperlink 2" xfId="12367" hidden="1" xr:uid="{00000000-0005-0000-0000-0000E90F0000}"/>
    <cellStyle name="Followed Hyperlink 2" xfId="12370" hidden="1" xr:uid="{00000000-0005-0000-0000-0000EA0F0000}"/>
    <cellStyle name="Followed Hyperlink 2" xfId="12374" hidden="1" xr:uid="{00000000-0005-0000-0000-0000EB0F0000}"/>
    <cellStyle name="Followed Hyperlink 2" xfId="12382" hidden="1" xr:uid="{00000000-0005-0000-0000-0000EC0F0000}"/>
    <cellStyle name="Followed Hyperlink 2" xfId="12379" hidden="1" xr:uid="{00000000-0005-0000-0000-0000ED0F0000}"/>
    <cellStyle name="Followed Hyperlink 2" xfId="12377" hidden="1" xr:uid="{00000000-0005-0000-0000-0000EE0F0000}"/>
    <cellStyle name="Followed Hyperlink 2" xfId="12378" hidden="1" xr:uid="{00000000-0005-0000-0000-0000EF0F0000}"/>
    <cellStyle name="Followed Hyperlink 2" xfId="12388" hidden="1" xr:uid="{00000000-0005-0000-0000-0000F00F0000}"/>
    <cellStyle name="Followed Hyperlink 2" xfId="12391" hidden="1" xr:uid="{00000000-0005-0000-0000-0000F10F0000}"/>
    <cellStyle name="Followed Hyperlink 2" xfId="12394" hidden="1" xr:uid="{00000000-0005-0000-0000-0000F20F0000}"/>
    <cellStyle name="Followed Hyperlink 2" xfId="12398" hidden="1" xr:uid="{00000000-0005-0000-0000-0000F30F0000}"/>
    <cellStyle name="Followed Hyperlink 2" xfId="12406" hidden="1" xr:uid="{00000000-0005-0000-0000-0000F40F0000}"/>
    <cellStyle name="Followed Hyperlink 2" xfId="12403" hidden="1" xr:uid="{00000000-0005-0000-0000-0000F50F0000}"/>
    <cellStyle name="Followed Hyperlink 2" xfId="12401" hidden="1" xr:uid="{00000000-0005-0000-0000-0000F60F0000}"/>
    <cellStyle name="Followed Hyperlink 2" xfId="12402" hidden="1" xr:uid="{00000000-0005-0000-0000-0000F70F0000}"/>
    <cellStyle name="Followed Hyperlink 2" xfId="12412" hidden="1" xr:uid="{00000000-0005-0000-0000-0000F80F0000}"/>
    <cellStyle name="Followed Hyperlink 2" xfId="12415" hidden="1" xr:uid="{00000000-0005-0000-0000-0000F90F0000}"/>
    <cellStyle name="Followed Hyperlink 2" xfId="12418" hidden="1" xr:uid="{00000000-0005-0000-0000-0000FA0F0000}"/>
    <cellStyle name="Followed Hyperlink 2" xfId="12422" hidden="1" xr:uid="{00000000-0005-0000-0000-0000FB0F0000}"/>
    <cellStyle name="Followed Hyperlink 2" xfId="11001" hidden="1" xr:uid="{00000000-0005-0000-0000-0000FC0F0000}"/>
    <cellStyle name="Followed Hyperlink 2" xfId="10997" hidden="1" xr:uid="{00000000-0005-0000-0000-0000FD0F0000}"/>
    <cellStyle name="Followed Hyperlink 2" xfId="10998" hidden="1" xr:uid="{00000000-0005-0000-0000-0000FE0F0000}"/>
    <cellStyle name="Followed Hyperlink 2" xfId="10985" hidden="1" xr:uid="{00000000-0005-0000-0000-0000FF0F0000}"/>
    <cellStyle name="Followed Hyperlink 2" xfId="12425" hidden="1" xr:uid="{00000000-0005-0000-0000-000000100000}"/>
    <cellStyle name="Followed Hyperlink 2" xfId="12428" hidden="1" xr:uid="{00000000-0005-0000-0000-000001100000}"/>
    <cellStyle name="Followed Hyperlink 2" xfId="12431" hidden="1" xr:uid="{00000000-0005-0000-0000-000002100000}"/>
    <cellStyle name="Followed Hyperlink 2" xfId="12435" hidden="1" xr:uid="{00000000-0005-0000-0000-000003100000}"/>
    <cellStyle name="Followed Hyperlink 2" xfId="12443" hidden="1" xr:uid="{00000000-0005-0000-0000-000004100000}"/>
    <cellStyle name="Followed Hyperlink 2" xfId="12440" hidden="1" xr:uid="{00000000-0005-0000-0000-000005100000}"/>
    <cellStyle name="Followed Hyperlink 2" xfId="12438" hidden="1" xr:uid="{00000000-0005-0000-0000-000006100000}"/>
    <cellStyle name="Followed Hyperlink 2" xfId="12439" hidden="1" xr:uid="{00000000-0005-0000-0000-000007100000}"/>
    <cellStyle name="Followed Hyperlink 2" xfId="12449" hidden="1" xr:uid="{00000000-0005-0000-0000-000008100000}"/>
    <cellStyle name="Followed Hyperlink 2" xfId="12452" hidden="1" xr:uid="{00000000-0005-0000-0000-000009100000}"/>
    <cellStyle name="Followed Hyperlink 2" xfId="12455" hidden="1" xr:uid="{00000000-0005-0000-0000-00000A100000}"/>
    <cellStyle name="Followed Hyperlink 2" xfId="12459" hidden="1" xr:uid="{00000000-0005-0000-0000-00000B100000}"/>
    <cellStyle name="Followed Hyperlink 2" xfId="12467" hidden="1" xr:uid="{00000000-0005-0000-0000-00000C100000}"/>
    <cellStyle name="Followed Hyperlink 2" xfId="12464" hidden="1" xr:uid="{00000000-0005-0000-0000-00000D100000}"/>
    <cellStyle name="Followed Hyperlink 2" xfId="12462" hidden="1" xr:uid="{00000000-0005-0000-0000-00000E100000}"/>
    <cellStyle name="Followed Hyperlink 2" xfId="12463" hidden="1" xr:uid="{00000000-0005-0000-0000-00000F100000}"/>
    <cellStyle name="Followed Hyperlink 2" xfId="12473" hidden="1" xr:uid="{00000000-0005-0000-0000-000010100000}"/>
    <cellStyle name="Followed Hyperlink 2" xfId="12476" hidden="1" xr:uid="{00000000-0005-0000-0000-000011100000}"/>
    <cellStyle name="Followed Hyperlink 2" xfId="12479" hidden="1" xr:uid="{00000000-0005-0000-0000-000012100000}"/>
    <cellStyle name="Followed Hyperlink 2" xfId="12483" hidden="1" xr:uid="{00000000-0005-0000-0000-000013100000}"/>
    <cellStyle name="Followed Hyperlink 2" xfId="12491" hidden="1" xr:uid="{00000000-0005-0000-0000-000014100000}"/>
    <cellStyle name="Followed Hyperlink 2" xfId="12488" hidden="1" xr:uid="{00000000-0005-0000-0000-000015100000}"/>
    <cellStyle name="Followed Hyperlink 2" xfId="12486" hidden="1" xr:uid="{00000000-0005-0000-0000-000016100000}"/>
    <cellStyle name="Followed Hyperlink 2" xfId="12487" hidden="1" xr:uid="{00000000-0005-0000-0000-000017100000}"/>
    <cellStyle name="Followed Hyperlink 2" xfId="12497" hidden="1" xr:uid="{00000000-0005-0000-0000-000018100000}"/>
    <cellStyle name="Followed Hyperlink 2" xfId="12500" hidden="1" xr:uid="{00000000-0005-0000-0000-000019100000}"/>
    <cellStyle name="Followed Hyperlink 2" xfId="12503" hidden="1" xr:uid="{00000000-0005-0000-0000-00001A100000}"/>
    <cellStyle name="Followed Hyperlink 2" xfId="12507" hidden="1" xr:uid="{00000000-0005-0000-0000-00001B100000}"/>
    <cellStyle name="Followed Hyperlink 2" xfId="12544" hidden="1" xr:uid="{00000000-0005-0000-0000-00001C100000}"/>
    <cellStyle name="Followed Hyperlink 2" xfId="12541" hidden="1" xr:uid="{00000000-0005-0000-0000-00001D100000}"/>
    <cellStyle name="Followed Hyperlink 2" xfId="12539" hidden="1" xr:uid="{00000000-0005-0000-0000-00001E100000}"/>
    <cellStyle name="Followed Hyperlink 2" xfId="12540" hidden="1" xr:uid="{00000000-0005-0000-0000-00001F100000}"/>
    <cellStyle name="Followed Hyperlink 2" xfId="12550" hidden="1" xr:uid="{00000000-0005-0000-0000-000020100000}"/>
    <cellStyle name="Followed Hyperlink 2" xfId="12553" hidden="1" xr:uid="{00000000-0005-0000-0000-000021100000}"/>
    <cellStyle name="Followed Hyperlink 2" xfId="12556" hidden="1" xr:uid="{00000000-0005-0000-0000-000022100000}"/>
    <cellStyle name="Followed Hyperlink 2" xfId="12560" hidden="1" xr:uid="{00000000-0005-0000-0000-000023100000}"/>
    <cellStyle name="Followed Hyperlink 2" xfId="12568" hidden="1" xr:uid="{00000000-0005-0000-0000-000024100000}"/>
    <cellStyle name="Followed Hyperlink 2" xfId="12565" hidden="1" xr:uid="{00000000-0005-0000-0000-000025100000}"/>
    <cellStyle name="Followed Hyperlink 2" xfId="12563" hidden="1" xr:uid="{00000000-0005-0000-0000-000026100000}"/>
    <cellStyle name="Followed Hyperlink 2" xfId="12564" hidden="1" xr:uid="{00000000-0005-0000-0000-000027100000}"/>
    <cellStyle name="Followed Hyperlink 2" xfId="12574" hidden="1" xr:uid="{00000000-0005-0000-0000-000028100000}"/>
    <cellStyle name="Followed Hyperlink 2" xfId="12577" hidden="1" xr:uid="{00000000-0005-0000-0000-000029100000}"/>
    <cellStyle name="Followed Hyperlink 2" xfId="12580" hidden="1" xr:uid="{00000000-0005-0000-0000-00002A100000}"/>
    <cellStyle name="Followed Hyperlink 2" xfId="12584" hidden="1" xr:uid="{00000000-0005-0000-0000-00002B100000}"/>
    <cellStyle name="Followed Hyperlink 2" xfId="12594" hidden="1" xr:uid="{00000000-0005-0000-0000-00002C100000}"/>
    <cellStyle name="Followed Hyperlink 2" xfId="12591" hidden="1" xr:uid="{00000000-0005-0000-0000-00002D100000}"/>
    <cellStyle name="Followed Hyperlink 2" xfId="12589" hidden="1" xr:uid="{00000000-0005-0000-0000-00002E100000}"/>
    <cellStyle name="Followed Hyperlink 2" xfId="12590" hidden="1" xr:uid="{00000000-0005-0000-0000-00002F100000}"/>
    <cellStyle name="Followed Hyperlink 2" xfId="12600" hidden="1" xr:uid="{00000000-0005-0000-0000-000030100000}"/>
    <cellStyle name="Followed Hyperlink 2" xfId="12603" hidden="1" xr:uid="{00000000-0005-0000-0000-000031100000}"/>
    <cellStyle name="Followed Hyperlink 2" xfId="12606" hidden="1" xr:uid="{00000000-0005-0000-0000-000032100000}"/>
    <cellStyle name="Followed Hyperlink 2" xfId="12610" hidden="1" xr:uid="{00000000-0005-0000-0000-000033100000}"/>
    <cellStyle name="Followed Hyperlink 2" xfId="12618" hidden="1" xr:uid="{00000000-0005-0000-0000-000034100000}"/>
    <cellStyle name="Followed Hyperlink 2" xfId="12615" hidden="1" xr:uid="{00000000-0005-0000-0000-000035100000}"/>
    <cellStyle name="Followed Hyperlink 2" xfId="12613" hidden="1" xr:uid="{00000000-0005-0000-0000-000036100000}"/>
    <cellStyle name="Followed Hyperlink 2" xfId="12614" hidden="1" xr:uid="{00000000-0005-0000-0000-000037100000}"/>
    <cellStyle name="Followed Hyperlink 2" xfId="12624" hidden="1" xr:uid="{00000000-0005-0000-0000-000038100000}"/>
    <cellStyle name="Followed Hyperlink 2" xfId="12627" hidden="1" xr:uid="{00000000-0005-0000-0000-000039100000}"/>
    <cellStyle name="Followed Hyperlink 2" xfId="12630" hidden="1" xr:uid="{00000000-0005-0000-0000-00003A100000}"/>
    <cellStyle name="Followed Hyperlink 2" xfId="12634" hidden="1" xr:uid="{00000000-0005-0000-0000-00003B100000}"/>
    <cellStyle name="Followed Hyperlink 2" xfId="12511" hidden="1" xr:uid="{00000000-0005-0000-0000-00003C100000}"/>
    <cellStyle name="Followed Hyperlink 2" xfId="12515" hidden="1" xr:uid="{00000000-0005-0000-0000-00003D100000}"/>
    <cellStyle name="Followed Hyperlink 2" xfId="12510" hidden="1" xr:uid="{00000000-0005-0000-0000-00003E100000}"/>
    <cellStyle name="Followed Hyperlink 2" xfId="12516" hidden="1" xr:uid="{00000000-0005-0000-0000-00003F100000}"/>
    <cellStyle name="Followed Hyperlink 2" xfId="12637" hidden="1" xr:uid="{00000000-0005-0000-0000-000040100000}"/>
    <cellStyle name="Followed Hyperlink 2" xfId="12640" hidden="1" xr:uid="{00000000-0005-0000-0000-000041100000}"/>
    <cellStyle name="Followed Hyperlink 2" xfId="12643" hidden="1" xr:uid="{00000000-0005-0000-0000-000042100000}"/>
    <cellStyle name="Followed Hyperlink 2" xfId="12647" hidden="1" xr:uid="{00000000-0005-0000-0000-000043100000}"/>
    <cellStyle name="Followed Hyperlink 2" xfId="12655" hidden="1" xr:uid="{00000000-0005-0000-0000-000044100000}"/>
    <cellStyle name="Followed Hyperlink 2" xfId="12652" hidden="1" xr:uid="{00000000-0005-0000-0000-000045100000}"/>
    <cellStyle name="Followed Hyperlink 2" xfId="12650" hidden="1" xr:uid="{00000000-0005-0000-0000-000046100000}"/>
    <cellStyle name="Followed Hyperlink 2" xfId="12651" hidden="1" xr:uid="{00000000-0005-0000-0000-000047100000}"/>
    <cellStyle name="Followed Hyperlink 2" xfId="12661" hidden="1" xr:uid="{00000000-0005-0000-0000-000048100000}"/>
    <cellStyle name="Followed Hyperlink 2" xfId="12664" hidden="1" xr:uid="{00000000-0005-0000-0000-000049100000}"/>
    <cellStyle name="Followed Hyperlink 2" xfId="12667" hidden="1" xr:uid="{00000000-0005-0000-0000-00004A100000}"/>
    <cellStyle name="Followed Hyperlink 2" xfId="12671" hidden="1" xr:uid="{00000000-0005-0000-0000-00004B100000}"/>
    <cellStyle name="Followed Hyperlink 2" xfId="12680" hidden="1" xr:uid="{00000000-0005-0000-0000-00004C100000}"/>
    <cellStyle name="Followed Hyperlink 2" xfId="12677" hidden="1" xr:uid="{00000000-0005-0000-0000-00004D100000}"/>
    <cellStyle name="Followed Hyperlink 2" xfId="12675" hidden="1" xr:uid="{00000000-0005-0000-0000-00004E100000}"/>
    <cellStyle name="Followed Hyperlink 2" xfId="12676" hidden="1" xr:uid="{00000000-0005-0000-0000-00004F100000}"/>
    <cellStyle name="Followed Hyperlink 2" xfId="12686" hidden="1" xr:uid="{00000000-0005-0000-0000-000050100000}"/>
    <cellStyle name="Followed Hyperlink 2" xfId="12689" hidden="1" xr:uid="{00000000-0005-0000-0000-000051100000}"/>
    <cellStyle name="Followed Hyperlink 2" xfId="12692" hidden="1" xr:uid="{00000000-0005-0000-0000-000052100000}"/>
    <cellStyle name="Followed Hyperlink 2" xfId="12696" hidden="1" xr:uid="{00000000-0005-0000-0000-000053100000}"/>
    <cellStyle name="Followed Hyperlink 2" xfId="12704" hidden="1" xr:uid="{00000000-0005-0000-0000-000054100000}"/>
    <cellStyle name="Followed Hyperlink 2" xfId="12701" hidden="1" xr:uid="{00000000-0005-0000-0000-000055100000}"/>
    <cellStyle name="Followed Hyperlink 2" xfId="12699" hidden="1" xr:uid="{00000000-0005-0000-0000-000056100000}"/>
    <cellStyle name="Followed Hyperlink 2" xfId="12700" hidden="1" xr:uid="{00000000-0005-0000-0000-000057100000}"/>
    <cellStyle name="Followed Hyperlink 2" xfId="12710" hidden="1" xr:uid="{00000000-0005-0000-0000-000058100000}"/>
    <cellStyle name="Followed Hyperlink 2" xfId="12713" hidden="1" xr:uid="{00000000-0005-0000-0000-000059100000}"/>
    <cellStyle name="Followed Hyperlink 2" xfId="12716" hidden="1" xr:uid="{00000000-0005-0000-0000-00005A100000}"/>
    <cellStyle name="Followed Hyperlink 2" xfId="12720" hidden="1" xr:uid="{00000000-0005-0000-0000-00005B100000}"/>
    <cellStyle name="Followed Hyperlink 2" xfId="12529" hidden="1" xr:uid="{00000000-0005-0000-0000-00005C100000}"/>
    <cellStyle name="Followed Hyperlink 2" xfId="12526" hidden="1" xr:uid="{00000000-0005-0000-0000-00005D100000}"/>
    <cellStyle name="Followed Hyperlink 2" xfId="12520" hidden="1" xr:uid="{00000000-0005-0000-0000-00005E100000}"/>
    <cellStyle name="Followed Hyperlink 2" xfId="12525" hidden="1" xr:uid="{00000000-0005-0000-0000-00005F100000}"/>
    <cellStyle name="Followed Hyperlink 2" xfId="12723" hidden="1" xr:uid="{00000000-0005-0000-0000-000060100000}"/>
    <cellStyle name="Followed Hyperlink 2" xfId="12726" hidden="1" xr:uid="{00000000-0005-0000-0000-000061100000}"/>
    <cellStyle name="Followed Hyperlink 2" xfId="12729" hidden="1" xr:uid="{00000000-0005-0000-0000-000062100000}"/>
    <cellStyle name="Followed Hyperlink 2" xfId="12733" hidden="1" xr:uid="{00000000-0005-0000-0000-000063100000}"/>
    <cellStyle name="Followed Hyperlink 2" xfId="12741" hidden="1" xr:uid="{00000000-0005-0000-0000-000064100000}"/>
    <cellStyle name="Followed Hyperlink 2" xfId="12738" hidden="1" xr:uid="{00000000-0005-0000-0000-000065100000}"/>
    <cellStyle name="Followed Hyperlink 2" xfId="12736" hidden="1" xr:uid="{00000000-0005-0000-0000-000066100000}"/>
    <cellStyle name="Followed Hyperlink 2" xfId="12737" hidden="1" xr:uid="{00000000-0005-0000-0000-000067100000}"/>
    <cellStyle name="Followed Hyperlink 2" xfId="12747" hidden="1" xr:uid="{00000000-0005-0000-0000-000068100000}"/>
    <cellStyle name="Followed Hyperlink 2" xfId="12750" hidden="1" xr:uid="{00000000-0005-0000-0000-000069100000}"/>
    <cellStyle name="Followed Hyperlink 2" xfId="12753" hidden="1" xr:uid="{00000000-0005-0000-0000-00006A100000}"/>
    <cellStyle name="Followed Hyperlink 2" xfId="12757" hidden="1" xr:uid="{00000000-0005-0000-0000-00006B100000}"/>
    <cellStyle name="Followed Hyperlink 2" xfId="12766" hidden="1" xr:uid="{00000000-0005-0000-0000-00006C100000}"/>
    <cellStyle name="Followed Hyperlink 2" xfId="12763" hidden="1" xr:uid="{00000000-0005-0000-0000-00006D100000}"/>
    <cellStyle name="Followed Hyperlink 2" xfId="12761" hidden="1" xr:uid="{00000000-0005-0000-0000-00006E100000}"/>
    <cellStyle name="Followed Hyperlink 2" xfId="12762" hidden="1" xr:uid="{00000000-0005-0000-0000-00006F100000}"/>
    <cellStyle name="Followed Hyperlink 2" xfId="12772" hidden="1" xr:uid="{00000000-0005-0000-0000-000070100000}"/>
    <cellStyle name="Followed Hyperlink 2" xfId="12775" hidden="1" xr:uid="{00000000-0005-0000-0000-000071100000}"/>
    <cellStyle name="Followed Hyperlink 2" xfId="12778" hidden="1" xr:uid="{00000000-0005-0000-0000-000072100000}"/>
    <cellStyle name="Followed Hyperlink 2" xfId="12782" hidden="1" xr:uid="{00000000-0005-0000-0000-000073100000}"/>
    <cellStyle name="Followed Hyperlink 2" xfId="12790" hidden="1" xr:uid="{00000000-0005-0000-0000-000074100000}"/>
    <cellStyle name="Followed Hyperlink 2" xfId="12787" hidden="1" xr:uid="{00000000-0005-0000-0000-000075100000}"/>
    <cellStyle name="Followed Hyperlink 2" xfId="12785" hidden="1" xr:uid="{00000000-0005-0000-0000-000076100000}"/>
    <cellStyle name="Followed Hyperlink 2" xfId="12786" hidden="1" xr:uid="{00000000-0005-0000-0000-000077100000}"/>
    <cellStyle name="Followed Hyperlink 2" xfId="12796" hidden="1" xr:uid="{00000000-0005-0000-0000-000078100000}"/>
    <cellStyle name="Followed Hyperlink 2" xfId="12799" hidden="1" xr:uid="{00000000-0005-0000-0000-000079100000}"/>
    <cellStyle name="Followed Hyperlink 2" xfId="12802" hidden="1" xr:uid="{00000000-0005-0000-0000-00007A100000}"/>
    <cellStyle name="Followed Hyperlink 2" xfId="12806" hidden="1" xr:uid="{00000000-0005-0000-0000-00007B100000}"/>
    <cellStyle name="Followed Hyperlink 2" xfId="12537" hidden="1" xr:uid="{00000000-0005-0000-0000-00007C100000}"/>
    <cellStyle name="Followed Hyperlink 2" xfId="12533" hidden="1" xr:uid="{00000000-0005-0000-0000-00007D100000}"/>
    <cellStyle name="Followed Hyperlink 2" xfId="12534" hidden="1" xr:uid="{00000000-0005-0000-0000-00007E100000}"/>
    <cellStyle name="Followed Hyperlink 2" xfId="12521" hidden="1" xr:uid="{00000000-0005-0000-0000-00007F100000}"/>
    <cellStyle name="Followed Hyperlink 2" xfId="12809" hidden="1" xr:uid="{00000000-0005-0000-0000-000080100000}"/>
    <cellStyle name="Followed Hyperlink 2" xfId="12812" hidden="1" xr:uid="{00000000-0005-0000-0000-000081100000}"/>
    <cellStyle name="Followed Hyperlink 2" xfId="12815" hidden="1" xr:uid="{00000000-0005-0000-0000-000082100000}"/>
    <cellStyle name="Followed Hyperlink 2" xfId="12819" hidden="1" xr:uid="{00000000-0005-0000-0000-000083100000}"/>
    <cellStyle name="Followed Hyperlink 2" xfId="12827" hidden="1" xr:uid="{00000000-0005-0000-0000-000084100000}"/>
    <cellStyle name="Followed Hyperlink 2" xfId="12824" hidden="1" xr:uid="{00000000-0005-0000-0000-000085100000}"/>
    <cellStyle name="Followed Hyperlink 2" xfId="12822" hidden="1" xr:uid="{00000000-0005-0000-0000-000086100000}"/>
    <cellStyle name="Followed Hyperlink 2" xfId="12823" hidden="1" xr:uid="{00000000-0005-0000-0000-000087100000}"/>
    <cellStyle name="Followed Hyperlink 2" xfId="12833" hidden="1" xr:uid="{00000000-0005-0000-0000-000088100000}"/>
    <cellStyle name="Followed Hyperlink 2" xfId="12836" hidden="1" xr:uid="{00000000-0005-0000-0000-000089100000}"/>
    <cellStyle name="Followed Hyperlink 2" xfId="12839" hidden="1" xr:uid="{00000000-0005-0000-0000-00008A100000}"/>
    <cellStyle name="Followed Hyperlink 2" xfId="12843" hidden="1" xr:uid="{00000000-0005-0000-0000-00008B100000}"/>
    <cellStyle name="Followed Hyperlink 2" xfId="12851" hidden="1" xr:uid="{00000000-0005-0000-0000-00008C100000}"/>
    <cellStyle name="Followed Hyperlink 2" xfId="12848" hidden="1" xr:uid="{00000000-0005-0000-0000-00008D100000}"/>
    <cellStyle name="Followed Hyperlink 2" xfId="12846" hidden="1" xr:uid="{00000000-0005-0000-0000-00008E100000}"/>
    <cellStyle name="Followed Hyperlink 2" xfId="12847" hidden="1" xr:uid="{00000000-0005-0000-0000-00008F100000}"/>
    <cellStyle name="Followed Hyperlink 2" xfId="12857" hidden="1" xr:uid="{00000000-0005-0000-0000-000090100000}"/>
    <cellStyle name="Followed Hyperlink 2" xfId="12860" hidden="1" xr:uid="{00000000-0005-0000-0000-000091100000}"/>
    <cellStyle name="Followed Hyperlink 2" xfId="12863" hidden="1" xr:uid="{00000000-0005-0000-0000-000092100000}"/>
    <cellStyle name="Followed Hyperlink 2" xfId="12867" hidden="1" xr:uid="{00000000-0005-0000-0000-000093100000}"/>
    <cellStyle name="Followed Hyperlink 2" xfId="12875" hidden="1" xr:uid="{00000000-0005-0000-0000-000094100000}"/>
    <cellStyle name="Followed Hyperlink 2" xfId="12872" hidden="1" xr:uid="{00000000-0005-0000-0000-000095100000}"/>
    <cellStyle name="Followed Hyperlink 2" xfId="12870" hidden="1" xr:uid="{00000000-0005-0000-0000-000096100000}"/>
    <cellStyle name="Followed Hyperlink 2" xfId="12871" hidden="1" xr:uid="{00000000-0005-0000-0000-000097100000}"/>
    <cellStyle name="Followed Hyperlink 2" xfId="12881" hidden="1" xr:uid="{00000000-0005-0000-0000-000098100000}"/>
    <cellStyle name="Followed Hyperlink 2" xfId="12884" hidden="1" xr:uid="{00000000-0005-0000-0000-000099100000}"/>
    <cellStyle name="Followed Hyperlink 2" xfId="12887" hidden="1" xr:uid="{00000000-0005-0000-0000-00009A100000}"/>
    <cellStyle name="Followed Hyperlink 2" xfId="12891" hidden="1" xr:uid="{00000000-0005-0000-0000-00009B100000}"/>
    <cellStyle name="Followed Hyperlink 2" xfId="8860" hidden="1" xr:uid="{00000000-0005-0000-0000-00009C100000}"/>
    <cellStyle name="Followed Hyperlink 2" xfId="8857" hidden="1" xr:uid="{00000000-0005-0000-0000-00009D100000}"/>
    <cellStyle name="Followed Hyperlink 2" xfId="8851" hidden="1" xr:uid="{00000000-0005-0000-0000-00009E100000}"/>
    <cellStyle name="Followed Hyperlink 2" xfId="8856" hidden="1" xr:uid="{00000000-0005-0000-0000-00009F100000}"/>
    <cellStyle name="Followed Hyperlink 2" xfId="12894" hidden="1" xr:uid="{00000000-0005-0000-0000-0000A0100000}"/>
    <cellStyle name="Followed Hyperlink 2" xfId="12897" hidden="1" xr:uid="{00000000-0005-0000-0000-0000A1100000}"/>
    <cellStyle name="Followed Hyperlink 2" xfId="12900" hidden="1" xr:uid="{00000000-0005-0000-0000-0000A2100000}"/>
    <cellStyle name="Followed Hyperlink 2" xfId="12904" hidden="1" xr:uid="{00000000-0005-0000-0000-0000A3100000}"/>
    <cellStyle name="Followed Hyperlink 2" xfId="12912" hidden="1" xr:uid="{00000000-0005-0000-0000-0000A4100000}"/>
    <cellStyle name="Followed Hyperlink 2" xfId="12909" hidden="1" xr:uid="{00000000-0005-0000-0000-0000A5100000}"/>
    <cellStyle name="Followed Hyperlink 2" xfId="12907" hidden="1" xr:uid="{00000000-0005-0000-0000-0000A6100000}"/>
    <cellStyle name="Followed Hyperlink 2" xfId="12908" hidden="1" xr:uid="{00000000-0005-0000-0000-0000A7100000}"/>
    <cellStyle name="Followed Hyperlink 2" xfId="12918" hidden="1" xr:uid="{00000000-0005-0000-0000-0000A8100000}"/>
    <cellStyle name="Followed Hyperlink 2" xfId="12921" hidden="1" xr:uid="{00000000-0005-0000-0000-0000A9100000}"/>
    <cellStyle name="Followed Hyperlink 2" xfId="12924" hidden="1" xr:uid="{00000000-0005-0000-0000-0000AA100000}"/>
    <cellStyle name="Followed Hyperlink 2" xfId="12928" hidden="1" xr:uid="{00000000-0005-0000-0000-0000AB100000}"/>
    <cellStyle name="Followed Hyperlink 2" xfId="12937" hidden="1" xr:uid="{00000000-0005-0000-0000-0000AC100000}"/>
    <cellStyle name="Followed Hyperlink 2" xfId="12934" hidden="1" xr:uid="{00000000-0005-0000-0000-0000AD100000}"/>
    <cellStyle name="Followed Hyperlink 2" xfId="12932" hidden="1" xr:uid="{00000000-0005-0000-0000-0000AE100000}"/>
    <cellStyle name="Followed Hyperlink 2" xfId="12933" hidden="1" xr:uid="{00000000-0005-0000-0000-0000AF100000}"/>
    <cellStyle name="Followed Hyperlink 2" xfId="12943" hidden="1" xr:uid="{00000000-0005-0000-0000-0000B0100000}"/>
    <cellStyle name="Followed Hyperlink 2" xfId="12946" hidden="1" xr:uid="{00000000-0005-0000-0000-0000B1100000}"/>
    <cellStyle name="Followed Hyperlink 2" xfId="12949" hidden="1" xr:uid="{00000000-0005-0000-0000-0000B2100000}"/>
    <cellStyle name="Followed Hyperlink 2" xfId="12953" hidden="1" xr:uid="{00000000-0005-0000-0000-0000B3100000}"/>
    <cellStyle name="Followed Hyperlink 2" xfId="12961" hidden="1" xr:uid="{00000000-0005-0000-0000-0000B4100000}"/>
    <cellStyle name="Followed Hyperlink 2" xfId="12958" hidden="1" xr:uid="{00000000-0005-0000-0000-0000B5100000}"/>
    <cellStyle name="Followed Hyperlink 2" xfId="12956" hidden="1" xr:uid="{00000000-0005-0000-0000-0000B6100000}"/>
    <cellStyle name="Followed Hyperlink 2" xfId="12957" hidden="1" xr:uid="{00000000-0005-0000-0000-0000B7100000}"/>
    <cellStyle name="Followed Hyperlink 2" xfId="12967" hidden="1" xr:uid="{00000000-0005-0000-0000-0000B8100000}"/>
    <cellStyle name="Followed Hyperlink 2" xfId="12970" hidden="1" xr:uid="{00000000-0005-0000-0000-0000B9100000}"/>
    <cellStyle name="Followed Hyperlink 2" xfId="12973" hidden="1" xr:uid="{00000000-0005-0000-0000-0000BA100000}"/>
    <cellStyle name="Followed Hyperlink 2" xfId="12977" hidden="1" xr:uid="{00000000-0005-0000-0000-0000BB100000}"/>
    <cellStyle name="Followed Hyperlink 2" xfId="13014" hidden="1" xr:uid="{00000000-0005-0000-0000-0000BC100000}"/>
    <cellStyle name="Followed Hyperlink 2" xfId="13011" hidden="1" xr:uid="{00000000-0005-0000-0000-0000BD100000}"/>
    <cellStyle name="Followed Hyperlink 2" xfId="13009" hidden="1" xr:uid="{00000000-0005-0000-0000-0000BE100000}"/>
    <cellStyle name="Followed Hyperlink 2" xfId="13010" hidden="1" xr:uid="{00000000-0005-0000-0000-0000BF100000}"/>
    <cellStyle name="Followed Hyperlink 2" xfId="13020" hidden="1" xr:uid="{00000000-0005-0000-0000-0000C0100000}"/>
    <cellStyle name="Followed Hyperlink 2" xfId="13023" hidden="1" xr:uid="{00000000-0005-0000-0000-0000C1100000}"/>
    <cellStyle name="Followed Hyperlink 2" xfId="13026" hidden="1" xr:uid="{00000000-0005-0000-0000-0000C2100000}"/>
    <cellStyle name="Followed Hyperlink 2" xfId="13030" hidden="1" xr:uid="{00000000-0005-0000-0000-0000C3100000}"/>
    <cellStyle name="Followed Hyperlink 2" xfId="13038" hidden="1" xr:uid="{00000000-0005-0000-0000-0000C4100000}"/>
    <cellStyle name="Followed Hyperlink 2" xfId="13035" hidden="1" xr:uid="{00000000-0005-0000-0000-0000C5100000}"/>
    <cellStyle name="Followed Hyperlink 2" xfId="13033" hidden="1" xr:uid="{00000000-0005-0000-0000-0000C6100000}"/>
    <cellStyle name="Followed Hyperlink 2" xfId="13034" hidden="1" xr:uid="{00000000-0005-0000-0000-0000C7100000}"/>
    <cellStyle name="Followed Hyperlink 2" xfId="13044" hidden="1" xr:uid="{00000000-0005-0000-0000-0000C8100000}"/>
    <cellStyle name="Followed Hyperlink 2" xfId="13047" hidden="1" xr:uid="{00000000-0005-0000-0000-0000C9100000}"/>
    <cellStyle name="Followed Hyperlink 2" xfId="13050" hidden="1" xr:uid="{00000000-0005-0000-0000-0000CA100000}"/>
    <cellStyle name="Followed Hyperlink 2" xfId="13054" hidden="1" xr:uid="{00000000-0005-0000-0000-0000CB100000}"/>
    <cellStyle name="Followed Hyperlink 2" xfId="13064" hidden="1" xr:uid="{00000000-0005-0000-0000-0000CC100000}"/>
    <cellStyle name="Followed Hyperlink 2" xfId="13061" hidden="1" xr:uid="{00000000-0005-0000-0000-0000CD100000}"/>
    <cellStyle name="Followed Hyperlink 2" xfId="13059" hidden="1" xr:uid="{00000000-0005-0000-0000-0000CE100000}"/>
    <cellStyle name="Followed Hyperlink 2" xfId="13060" hidden="1" xr:uid="{00000000-0005-0000-0000-0000CF100000}"/>
    <cellStyle name="Followed Hyperlink 2" xfId="13070" hidden="1" xr:uid="{00000000-0005-0000-0000-0000D0100000}"/>
    <cellStyle name="Followed Hyperlink 2" xfId="13073" hidden="1" xr:uid="{00000000-0005-0000-0000-0000D1100000}"/>
    <cellStyle name="Followed Hyperlink 2" xfId="13076" hidden="1" xr:uid="{00000000-0005-0000-0000-0000D2100000}"/>
    <cellStyle name="Followed Hyperlink 2" xfId="13080" hidden="1" xr:uid="{00000000-0005-0000-0000-0000D3100000}"/>
    <cellStyle name="Followed Hyperlink 2" xfId="13088" hidden="1" xr:uid="{00000000-0005-0000-0000-0000D4100000}"/>
    <cellStyle name="Followed Hyperlink 2" xfId="13085" hidden="1" xr:uid="{00000000-0005-0000-0000-0000D5100000}"/>
    <cellStyle name="Followed Hyperlink 2" xfId="13083" hidden="1" xr:uid="{00000000-0005-0000-0000-0000D6100000}"/>
    <cellStyle name="Followed Hyperlink 2" xfId="13084" hidden="1" xr:uid="{00000000-0005-0000-0000-0000D7100000}"/>
    <cellStyle name="Followed Hyperlink 2" xfId="13094" hidden="1" xr:uid="{00000000-0005-0000-0000-0000D8100000}"/>
    <cellStyle name="Followed Hyperlink 2" xfId="13097" hidden="1" xr:uid="{00000000-0005-0000-0000-0000D9100000}"/>
    <cellStyle name="Followed Hyperlink 2" xfId="13100" hidden="1" xr:uid="{00000000-0005-0000-0000-0000DA100000}"/>
    <cellStyle name="Followed Hyperlink 2" xfId="13104" hidden="1" xr:uid="{00000000-0005-0000-0000-0000DB100000}"/>
    <cellStyle name="Followed Hyperlink 2" xfId="13141" hidden="1" xr:uid="{00000000-0005-0000-0000-0000DC100000}"/>
    <cellStyle name="Followed Hyperlink 2" xfId="13138" hidden="1" xr:uid="{00000000-0005-0000-0000-0000DD100000}"/>
    <cellStyle name="Followed Hyperlink 2" xfId="13136" hidden="1" xr:uid="{00000000-0005-0000-0000-0000DE100000}"/>
    <cellStyle name="Followed Hyperlink 2" xfId="13137" hidden="1" xr:uid="{00000000-0005-0000-0000-0000DF100000}"/>
    <cellStyle name="Followed Hyperlink 2" xfId="13147" hidden="1" xr:uid="{00000000-0005-0000-0000-0000E0100000}"/>
    <cellStyle name="Followed Hyperlink 2" xfId="13150" hidden="1" xr:uid="{00000000-0005-0000-0000-0000E1100000}"/>
    <cellStyle name="Followed Hyperlink 2" xfId="13153" hidden="1" xr:uid="{00000000-0005-0000-0000-0000E2100000}"/>
    <cellStyle name="Followed Hyperlink 2" xfId="13157" hidden="1" xr:uid="{00000000-0005-0000-0000-0000E3100000}"/>
    <cellStyle name="Followed Hyperlink 2" xfId="13165" hidden="1" xr:uid="{00000000-0005-0000-0000-0000E4100000}"/>
    <cellStyle name="Followed Hyperlink 2" xfId="13162" hidden="1" xr:uid="{00000000-0005-0000-0000-0000E5100000}"/>
    <cellStyle name="Followed Hyperlink 2" xfId="13160" hidden="1" xr:uid="{00000000-0005-0000-0000-0000E6100000}"/>
    <cellStyle name="Followed Hyperlink 2" xfId="13161" hidden="1" xr:uid="{00000000-0005-0000-0000-0000E7100000}"/>
    <cellStyle name="Followed Hyperlink 2" xfId="13171" hidden="1" xr:uid="{00000000-0005-0000-0000-0000E8100000}"/>
    <cellStyle name="Followed Hyperlink 2" xfId="13174" hidden="1" xr:uid="{00000000-0005-0000-0000-0000E9100000}"/>
    <cellStyle name="Followed Hyperlink 2" xfId="13177" hidden="1" xr:uid="{00000000-0005-0000-0000-0000EA100000}"/>
    <cellStyle name="Followed Hyperlink 2" xfId="13181" hidden="1" xr:uid="{00000000-0005-0000-0000-0000EB100000}"/>
    <cellStyle name="Followed Hyperlink 2" xfId="13191" hidden="1" xr:uid="{00000000-0005-0000-0000-0000EC100000}"/>
    <cellStyle name="Followed Hyperlink 2" xfId="13188" hidden="1" xr:uid="{00000000-0005-0000-0000-0000ED100000}"/>
    <cellStyle name="Followed Hyperlink 2" xfId="13186" hidden="1" xr:uid="{00000000-0005-0000-0000-0000EE100000}"/>
    <cellStyle name="Followed Hyperlink 2" xfId="13187" hidden="1" xr:uid="{00000000-0005-0000-0000-0000EF100000}"/>
    <cellStyle name="Followed Hyperlink 2" xfId="13197" hidden="1" xr:uid="{00000000-0005-0000-0000-0000F0100000}"/>
    <cellStyle name="Followed Hyperlink 2" xfId="13200" hidden="1" xr:uid="{00000000-0005-0000-0000-0000F1100000}"/>
    <cellStyle name="Followed Hyperlink 2" xfId="13203" hidden="1" xr:uid="{00000000-0005-0000-0000-0000F2100000}"/>
    <cellStyle name="Followed Hyperlink 2" xfId="13207" hidden="1" xr:uid="{00000000-0005-0000-0000-0000F3100000}"/>
    <cellStyle name="Followed Hyperlink 2" xfId="13215" hidden="1" xr:uid="{00000000-0005-0000-0000-0000F4100000}"/>
    <cellStyle name="Followed Hyperlink 2" xfId="13212" hidden="1" xr:uid="{00000000-0005-0000-0000-0000F5100000}"/>
    <cellStyle name="Followed Hyperlink 2" xfId="13210" hidden="1" xr:uid="{00000000-0005-0000-0000-0000F6100000}"/>
    <cellStyle name="Followed Hyperlink 2" xfId="13211" hidden="1" xr:uid="{00000000-0005-0000-0000-0000F7100000}"/>
    <cellStyle name="Followed Hyperlink 2" xfId="13221" hidden="1" xr:uid="{00000000-0005-0000-0000-0000F8100000}"/>
    <cellStyle name="Followed Hyperlink 2" xfId="13224" hidden="1" xr:uid="{00000000-0005-0000-0000-0000F9100000}"/>
    <cellStyle name="Followed Hyperlink 2" xfId="13227" hidden="1" xr:uid="{00000000-0005-0000-0000-0000FA100000}"/>
    <cellStyle name="Followed Hyperlink 2" xfId="13231" hidden="1" xr:uid="{00000000-0005-0000-0000-0000FB100000}"/>
    <cellStyle name="Followed Hyperlink 2" xfId="13108" hidden="1" xr:uid="{00000000-0005-0000-0000-0000FC100000}"/>
    <cellStyle name="Followed Hyperlink 2" xfId="13112" hidden="1" xr:uid="{00000000-0005-0000-0000-0000FD100000}"/>
    <cellStyle name="Followed Hyperlink 2" xfId="13107" hidden="1" xr:uid="{00000000-0005-0000-0000-0000FE100000}"/>
    <cellStyle name="Followed Hyperlink 2" xfId="13113" hidden="1" xr:uid="{00000000-0005-0000-0000-0000FF100000}"/>
    <cellStyle name="Followed Hyperlink 2" xfId="13234" hidden="1" xr:uid="{00000000-0005-0000-0000-000000110000}"/>
    <cellStyle name="Followed Hyperlink 2" xfId="13237" hidden="1" xr:uid="{00000000-0005-0000-0000-000001110000}"/>
    <cellStyle name="Followed Hyperlink 2" xfId="13240" hidden="1" xr:uid="{00000000-0005-0000-0000-000002110000}"/>
    <cellStyle name="Followed Hyperlink 2" xfId="13244" hidden="1" xr:uid="{00000000-0005-0000-0000-000003110000}"/>
    <cellStyle name="Followed Hyperlink 2" xfId="13252" hidden="1" xr:uid="{00000000-0005-0000-0000-000004110000}"/>
    <cellStyle name="Followed Hyperlink 2" xfId="13249" hidden="1" xr:uid="{00000000-0005-0000-0000-000005110000}"/>
    <cellStyle name="Followed Hyperlink 2" xfId="13247" hidden="1" xr:uid="{00000000-0005-0000-0000-000006110000}"/>
    <cellStyle name="Followed Hyperlink 2" xfId="13248" hidden="1" xr:uid="{00000000-0005-0000-0000-000007110000}"/>
    <cellStyle name="Followed Hyperlink 2" xfId="13258" hidden="1" xr:uid="{00000000-0005-0000-0000-000008110000}"/>
    <cellStyle name="Followed Hyperlink 2" xfId="13261" hidden="1" xr:uid="{00000000-0005-0000-0000-000009110000}"/>
    <cellStyle name="Followed Hyperlink 2" xfId="13264" hidden="1" xr:uid="{00000000-0005-0000-0000-00000A110000}"/>
    <cellStyle name="Followed Hyperlink 2" xfId="13268" hidden="1" xr:uid="{00000000-0005-0000-0000-00000B110000}"/>
    <cellStyle name="Followed Hyperlink 2" xfId="13277" hidden="1" xr:uid="{00000000-0005-0000-0000-00000C110000}"/>
    <cellStyle name="Followed Hyperlink 2" xfId="13274" hidden="1" xr:uid="{00000000-0005-0000-0000-00000D110000}"/>
    <cellStyle name="Followed Hyperlink 2" xfId="13272" hidden="1" xr:uid="{00000000-0005-0000-0000-00000E110000}"/>
    <cellStyle name="Followed Hyperlink 2" xfId="13273" hidden="1" xr:uid="{00000000-0005-0000-0000-00000F110000}"/>
    <cellStyle name="Followed Hyperlink 2" xfId="13283" hidden="1" xr:uid="{00000000-0005-0000-0000-000010110000}"/>
    <cellStyle name="Followed Hyperlink 2" xfId="13286" hidden="1" xr:uid="{00000000-0005-0000-0000-000011110000}"/>
    <cellStyle name="Followed Hyperlink 2" xfId="13289" hidden="1" xr:uid="{00000000-0005-0000-0000-000012110000}"/>
    <cellStyle name="Followed Hyperlink 2" xfId="13293" hidden="1" xr:uid="{00000000-0005-0000-0000-000013110000}"/>
    <cellStyle name="Followed Hyperlink 2" xfId="13301" hidden="1" xr:uid="{00000000-0005-0000-0000-000014110000}"/>
    <cellStyle name="Followed Hyperlink 2" xfId="13298" hidden="1" xr:uid="{00000000-0005-0000-0000-000015110000}"/>
    <cellStyle name="Followed Hyperlink 2" xfId="13296" hidden="1" xr:uid="{00000000-0005-0000-0000-000016110000}"/>
    <cellStyle name="Followed Hyperlink 2" xfId="13297" hidden="1" xr:uid="{00000000-0005-0000-0000-000017110000}"/>
    <cellStyle name="Followed Hyperlink 2" xfId="13307" hidden="1" xr:uid="{00000000-0005-0000-0000-000018110000}"/>
    <cellStyle name="Followed Hyperlink 2" xfId="13310" hidden="1" xr:uid="{00000000-0005-0000-0000-000019110000}"/>
    <cellStyle name="Followed Hyperlink 2" xfId="13313" hidden="1" xr:uid="{00000000-0005-0000-0000-00001A110000}"/>
    <cellStyle name="Followed Hyperlink 2" xfId="13317" hidden="1" xr:uid="{00000000-0005-0000-0000-00001B110000}"/>
    <cellStyle name="Followed Hyperlink 2" xfId="13126" hidden="1" xr:uid="{00000000-0005-0000-0000-00001C110000}"/>
    <cellStyle name="Followed Hyperlink 2" xfId="13123" hidden="1" xr:uid="{00000000-0005-0000-0000-00001D110000}"/>
    <cellStyle name="Followed Hyperlink 2" xfId="13117" hidden="1" xr:uid="{00000000-0005-0000-0000-00001E110000}"/>
    <cellStyle name="Followed Hyperlink 2" xfId="13122" hidden="1" xr:uid="{00000000-0005-0000-0000-00001F110000}"/>
    <cellStyle name="Followed Hyperlink 2" xfId="13320" hidden="1" xr:uid="{00000000-0005-0000-0000-000020110000}"/>
    <cellStyle name="Followed Hyperlink 2" xfId="13323" hidden="1" xr:uid="{00000000-0005-0000-0000-000021110000}"/>
    <cellStyle name="Followed Hyperlink 2" xfId="13326" hidden="1" xr:uid="{00000000-0005-0000-0000-000022110000}"/>
    <cellStyle name="Followed Hyperlink 2" xfId="13330" hidden="1" xr:uid="{00000000-0005-0000-0000-000023110000}"/>
    <cellStyle name="Followed Hyperlink 2" xfId="13338" hidden="1" xr:uid="{00000000-0005-0000-0000-000024110000}"/>
    <cellStyle name="Followed Hyperlink 2" xfId="13335" hidden="1" xr:uid="{00000000-0005-0000-0000-000025110000}"/>
    <cellStyle name="Followed Hyperlink 2" xfId="13333" hidden="1" xr:uid="{00000000-0005-0000-0000-000026110000}"/>
    <cellStyle name="Followed Hyperlink 2" xfId="13334" hidden="1" xr:uid="{00000000-0005-0000-0000-000027110000}"/>
    <cellStyle name="Followed Hyperlink 2" xfId="13344" hidden="1" xr:uid="{00000000-0005-0000-0000-000028110000}"/>
    <cellStyle name="Followed Hyperlink 2" xfId="13347" hidden="1" xr:uid="{00000000-0005-0000-0000-000029110000}"/>
    <cellStyle name="Followed Hyperlink 2" xfId="13350" hidden="1" xr:uid="{00000000-0005-0000-0000-00002A110000}"/>
    <cellStyle name="Followed Hyperlink 2" xfId="13354" hidden="1" xr:uid="{00000000-0005-0000-0000-00002B110000}"/>
    <cellStyle name="Followed Hyperlink 2" xfId="13363" hidden="1" xr:uid="{00000000-0005-0000-0000-00002C110000}"/>
    <cellStyle name="Followed Hyperlink 2" xfId="13360" hidden="1" xr:uid="{00000000-0005-0000-0000-00002D110000}"/>
    <cellStyle name="Followed Hyperlink 2" xfId="13358" hidden="1" xr:uid="{00000000-0005-0000-0000-00002E110000}"/>
    <cellStyle name="Followed Hyperlink 2" xfId="13359" hidden="1" xr:uid="{00000000-0005-0000-0000-00002F110000}"/>
    <cellStyle name="Followed Hyperlink 2" xfId="13369" hidden="1" xr:uid="{00000000-0005-0000-0000-000030110000}"/>
    <cellStyle name="Followed Hyperlink 2" xfId="13372" hidden="1" xr:uid="{00000000-0005-0000-0000-000031110000}"/>
    <cellStyle name="Followed Hyperlink 2" xfId="13375" hidden="1" xr:uid="{00000000-0005-0000-0000-000032110000}"/>
    <cellStyle name="Followed Hyperlink 2" xfId="13379" hidden="1" xr:uid="{00000000-0005-0000-0000-000033110000}"/>
    <cellStyle name="Followed Hyperlink 2" xfId="13387" hidden="1" xr:uid="{00000000-0005-0000-0000-000034110000}"/>
    <cellStyle name="Followed Hyperlink 2" xfId="13384" hidden="1" xr:uid="{00000000-0005-0000-0000-000035110000}"/>
    <cellStyle name="Followed Hyperlink 2" xfId="13382" hidden="1" xr:uid="{00000000-0005-0000-0000-000036110000}"/>
    <cellStyle name="Followed Hyperlink 2" xfId="13383" hidden="1" xr:uid="{00000000-0005-0000-0000-000037110000}"/>
    <cellStyle name="Followed Hyperlink 2" xfId="13393" hidden="1" xr:uid="{00000000-0005-0000-0000-000038110000}"/>
    <cellStyle name="Followed Hyperlink 2" xfId="13396" hidden="1" xr:uid="{00000000-0005-0000-0000-000039110000}"/>
    <cellStyle name="Followed Hyperlink 2" xfId="13399" hidden="1" xr:uid="{00000000-0005-0000-0000-00003A110000}"/>
    <cellStyle name="Followed Hyperlink 2" xfId="13403" hidden="1" xr:uid="{00000000-0005-0000-0000-00003B110000}"/>
    <cellStyle name="Followed Hyperlink 2" xfId="13134" hidden="1" xr:uid="{00000000-0005-0000-0000-00003C110000}"/>
    <cellStyle name="Followed Hyperlink 2" xfId="13130" hidden="1" xr:uid="{00000000-0005-0000-0000-00003D110000}"/>
    <cellStyle name="Followed Hyperlink 2" xfId="13131" hidden="1" xr:uid="{00000000-0005-0000-0000-00003E110000}"/>
    <cellStyle name="Followed Hyperlink 2" xfId="13118" hidden="1" xr:uid="{00000000-0005-0000-0000-00003F110000}"/>
    <cellStyle name="Followed Hyperlink 2" xfId="13406" hidden="1" xr:uid="{00000000-0005-0000-0000-000040110000}"/>
    <cellStyle name="Followed Hyperlink 2" xfId="13409" hidden="1" xr:uid="{00000000-0005-0000-0000-000041110000}"/>
    <cellStyle name="Followed Hyperlink 2" xfId="13412" hidden="1" xr:uid="{00000000-0005-0000-0000-000042110000}"/>
    <cellStyle name="Followed Hyperlink 2" xfId="13416" hidden="1" xr:uid="{00000000-0005-0000-0000-000043110000}"/>
    <cellStyle name="Followed Hyperlink 2" xfId="13424" hidden="1" xr:uid="{00000000-0005-0000-0000-000044110000}"/>
    <cellStyle name="Followed Hyperlink 2" xfId="13421" hidden="1" xr:uid="{00000000-0005-0000-0000-000045110000}"/>
    <cellStyle name="Followed Hyperlink 2" xfId="13419" hidden="1" xr:uid="{00000000-0005-0000-0000-000046110000}"/>
    <cellStyle name="Followed Hyperlink 2" xfId="13420" hidden="1" xr:uid="{00000000-0005-0000-0000-000047110000}"/>
    <cellStyle name="Followed Hyperlink 2" xfId="13430" hidden="1" xr:uid="{00000000-0005-0000-0000-000048110000}"/>
    <cellStyle name="Followed Hyperlink 2" xfId="13433" hidden="1" xr:uid="{00000000-0005-0000-0000-000049110000}"/>
    <cellStyle name="Followed Hyperlink 2" xfId="13436" hidden="1" xr:uid="{00000000-0005-0000-0000-00004A110000}"/>
    <cellStyle name="Followed Hyperlink 2" xfId="13440" hidden="1" xr:uid="{00000000-0005-0000-0000-00004B110000}"/>
    <cellStyle name="Followed Hyperlink 2" xfId="13448" hidden="1" xr:uid="{00000000-0005-0000-0000-00004C110000}"/>
    <cellStyle name="Followed Hyperlink 2" xfId="13445" hidden="1" xr:uid="{00000000-0005-0000-0000-00004D110000}"/>
    <cellStyle name="Followed Hyperlink 2" xfId="13443" hidden="1" xr:uid="{00000000-0005-0000-0000-00004E110000}"/>
    <cellStyle name="Followed Hyperlink 2" xfId="13444" hidden="1" xr:uid="{00000000-0005-0000-0000-00004F110000}"/>
    <cellStyle name="Followed Hyperlink 2" xfId="13454" hidden="1" xr:uid="{00000000-0005-0000-0000-000050110000}"/>
    <cellStyle name="Followed Hyperlink 2" xfId="13457" hidden="1" xr:uid="{00000000-0005-0000-0000-000051110000}"/>
    <cellStyle name="Followed Hyperlink 2" xfId="13460" hidden="1" xr:uid="{00000000-0005-0000-0000-000052110000}"/>
    <cellStyle name="Followed Hyperlink 2" xfId="13464" hidden="1" xr:uid="{00000000-0005-0000-0000-000053110000}"/>
    <cellStyle name="Followed Hyperlink 2" xfId="13472" hidden="1" xr:uid="{00000000-0005-0000-0000-000054110000}"/>
    <cellStyle name="Followed Hyperlink 2" xfId="13469" hidden="1" xr:uid="{00000000-0005-0000-0000-000055110000}"/>
    <cellStyle name="Followed Hyperlink 2" xfId="13467" hidden="1" xr:uid="{00000000-0005-0000-0000-000056110000}"/>
    <cellStyle name="Followed Hyperlink 2" xfId="13468" hidden="1" xr:uid="{00000000-0005-0000-0000-000057110000}"/>
    <cellStyle name="Followed Hyperlink 2" xfId="13478" hidden="1" xr:uid="{00000000-0005-0000-0000-000058110000}"/>
    <cellStyle name="Followed Hyperlink 2" xfId="13481" hidden="1" xr:uid="{00000000-0005-0000-0000-000059110000}"/>
    <cellStyle name="Followed Hyperlink 2" xfId="13484" hidden="1" xr:uid="{00000000-0005-0000-0000-00005A110000}"/>
    <cellStyle name="Followed Hyperlink 2" xfId="13488" hidden="1" xr:uid="{00000000-0005-0000-0000-00005B110000}"/>
    <cellStyle name="Followed Hyperlink 2" xfId="12981" hidden="1" xr:uid="{00000000-0005-0000-0000-00005C110000}"/>
    <cellStyle name="Followed Hyperlink 2" xfId="12985" hidden="1" xr:uid="{00000000-0005-0000-0000-00005D110000}"/>
    <cellStyle name="Followed Hyperlink 2" xfId="12980" hidden="1" xr:uid="{00000000-0005-0000-0000-00005E110000}"/>
    <cellStyle name="Followed Hyperlink 2" xfId="12986" hidden="1" xr:uid="{00000000-0005-0000-0000-00005F110000}"/>
    <cellStyle name="Followed Hyperlink 2" xfId="13491" hidden="1" xr:uid="{00000000-0005-0000-0000-000060110000}"/>
    <cellStyle name="Followed Hyperlink 2" xfId="13494" hidden="1" xr:uid="{00000000-0005-0000-0000-000061110000}"/>
    <cellStyle name="Followed Hyperlink 2" xfId="13497" hidden="1" xr:uid="{00000000-0005-0000-0000-000062110000}"/>
    <cellStyle name="Followed Hyperlink 2" xfId="13501" hidden="1" xr:uid="{00000000-0005-0000-0000-000063110000}"/>
    <cellStyle name="Followed Hyperlink 2" xfId="13509" hidden="1" xr:uid="{00000000-0005-0000-0000-000064110000}"/>
    <cellStyle name="Followed Hyperlink 2" xfId="13506" hidden="1" xr:uid="{00000000-0005-0000-0000-000065110000}"/>
    <cellStyle name="Followed Hyperlink 2" xfId="13504" hidden="1" xr:uid="{00000000-0005-0000-0000-000066110000}"/>
    <cellStyle name="Followed Hyperlink 2" xfId="13505" hidden="1" xr:uid="{00000000-0005-0000-0000-000067110000}"/>
    <cellStyle name="Followed Hyperlink 2" xfId="13515" hidden="1" xr:uid="{00000000-0005-0000-0000-000068110000}"/>
    <cellStyle name="Followed Hyperlink 2" xfId="13518" hidden="1" xr:uid="{00000000-0005-0000-0000-000069110000}"/>
    <cellStyle name="Followed Hyperlink 2" xfId="13521" hidden="1" xr:uid="{00000000-0005-0000-0000-00006A110000}"/>
    <cellStyle name="Followed Hyperlink 2" xfId="13525" hidden="1" xr:uid="{00000000-0005-0000-0000-00006B110000}"/>
    <cellStyle name="Followed Hyperlink 2" xfId="13534" hidden="1" xr:uid="{00000000-0005-0000-0000-00006C110000}"/>
    <cellStyle name="Followed Hyperlink 2" xfId="13531" hidden="1" xr:uid="{00000000-0005-0000-0000-00006D110000}"/>
    <cellStyle name="Followed Hyperlink 2" xfId="13529" hidden="1" xr:uid="{00000000-0005-0000-0000-00006E110000}"/>
    <cellStyle name="Followed Hyperlink 2" xfId="13530" hidden="1" xr:uid="{00000000-0005-0000-0000-00006F110000}"/>
    <cellStyle name="Followed Hyperlink 2" xfId="13540" hidden="1" xr:uid="{00000000-0005-0000-0000-000070110000}"/>
    <cellStyle name="Followed Hyperlink 2" xfId="13543" hidden="1" xr:uid="{00000000-0005-0000-0000-000071110000}"/>
    <cellStyle name="Followed Hyperlink 2" xfId="13546" hidden="1" xr:uid="{00000000-0005-0000-0000-000072110000}"/>
    <cellStyle name="Followed Hyperlink 2" xfId="13550" hidden="1" xr:uid="{00000000-0005-0000-0000-000073110000}"/>
    <cellStyle name="Followed Hyperlink 2" xfId="13558" hidden="1" xr:uid="{00000000-0005-0000-0000-000074110000}"/>
    <cellStyle name="Followed Hyperlink 2" xfId="13555" hidden="1" xr:uid="{00000000-0005-0000-0000-000075110000}"/>
    <cellStyle name="Followed Hyperlink 2" xfId="13553" hidden="1" xr:uid="{00000000-0005-0000-0000-000076110000}"/>
    <cellStyle name="Followed Hyperlink 2" xfId="13554" hidden="1" xr:uid="{00000000-0005-0000-0000-000077110000}"/>
    <cellStyle name="Followed Hyperlink 2" xfId="13564" hidden="1" xr:uid="{00000000-0005-0000-0000-000078110000}"/>
    <cellStyle name="Followed Hyperlink 2" xfId="13567" hidden="1" xr:uid="{00000000-0005-0000-0000-000079110000}"/>
    <cellStyle name="Followed Hyperlink 2" xfId="13570" hidden="1" xr:uid="{00000000-0005-0000-0000-00007A110000}"/>
    <cellStyle name="Followed Hyperlink 2" xfId="13574" hidden="1" xr:uid="{00000000-0005-0000-0000-00007B110000}"/>
    <cellStyle name="Followed Hyperlink 2" xfId="13611" hidden="1" xr:uid="{00000000-0005-0000-0000-00007C110000}"/>
    <cellStyle name="Followed Hyperlink 2" xfId="13608" hidden="1" xr:uid="{00000000-0005-0000-0000-00007D110000}"/>
    <cellStyle name="Followed Hyperlink 2" xfId="13606" hidden="1" xr:uid="{00000000-0005-0000-0000-00007E110000}"/>
    <cellStyle name="Followed Hyperlink 2" xfId="13607" hidden="1" xr:uid="{00000000-0005-0000-0000-00007F110000}"/>
    <cellStyle name="Followed Hyperlink 2" xfId="13617" hidden="1" xr:uid="{00000000-0005-0000-0000-000080110000}"/>
    <cellStyle name="Followed Hyperlink 2" xfId="13620" hidden="1" xr:uid="{00000000-0005-0000-0000-000081110000}"/>
    <cellStyle name="Followed Hyperlink 2" xfId="13623" hidden="1" xr:uid="{00000000-0005-0000-0000-000082110000}"/>
    <cellStyle name="Followed Hyperlink 2" xfId="13627" hidden="1" xr:uid="{00000000-0005-0000-0000-000083110000}"/>
    <cellStyle name="Followed Hyperlink 2" xfId="13635" hidden="1" xr:uid="{00000000-0005-0000-0000-000084110000}"/>
    <cellStyle name="Followed Hyperlink 2" xfId="13632" hidden="1" xr:uid="{00000000-0005-0000-0000-000085110000}"/>
    <cellStyle name="Followed Hyperlink 2" xfId="13630" hidden="1" xr:uid="{00000000-0005-0000-0000-000086110000}"/>
    <cellStyle name="Followed Hyperlink 2" xfId="13631" hidden="1" xr:uid="{00000000-0005-0000-0000-000087110000}"/>
    <cellStyle name="Followed Hyperlink 2" xfId="13641" hidden="1" xr:uid="{00000000-0005-0000-0000-000088110000}"/>
    <cellStyle name="Followed Hyperlink 2" xfId="13644" hidden="1" xr:uid="{00000000-0005-0000-0000-000089110000}"/>
    <cellStyle name="Followed Hyperlink 2" xfId="13647" hidden="1" xr:uid="{00000000-0005-0000-0000-00008A110000}"/>
    <cellStyle name="Followed Hyperlink 2" xfId="13651" hidden="1" xr:uid="{00000000-0005-0000-0000-00008B110000}"/>
    <cellStyle name="Followed Hyperlink 2" xfId="13661" hidden="1" xr:uid="{00000000-0005-0000-0000-00008C110000}"/>
    <cellStyle name="Followed Hyperlink 2" xfId="13658" hidden="1" xr:uid="{00000000-0005-0000-0000-00008D110000}"/>
    <cellStyle name="Followed Hyperlink 2" xfId="13656" hidden="1" xr:uid="{00000000-0005-0000-0000-00008E110000}"/>
    <cellStyle name="Followed Hyperlink 2" xfId="13657" hidden="1" xr:uid="{00000000-0005-0000-0000-00008F110000}"/>
    <cellStyle name="Followed Hyperlink 2" xfId="13667" hidden="1" xr:uid="{00000000-0005-0000-0000-000090110000}"/>
    <cellStyle name="Followed Hyperlink 2" xfId="13670" hidden="1" xr:uid="{00000000-0005-0000-0000-000091110000}"/>
    <cellStyle name="Followed Hyperlink 2" xfId="13673" hidden="1" xr:uid="{00000000-0005-0000-0000-000092110000}"/>
    <cellStyle name="Followed Hyperlink 2" xfId="13677" hidden="1" xr:uid="{00000000-0005-0000-0000-000093110000}"/>
    <cellStyle name="Followed Hyperlink 2" xfId="13685" hidden="1" xr:uid="{00000000-0005-0000-0000-000094110000}"/>
    <cellStyle name="Followed Hyperlink 2" xfId="13682" hidden="1" xr:uid="{00000000-0005-0000-0000-000095110000}"/>
    <cellStyle name="Followed Hyperlink 2" xfId="13680" hidden="1" xr:uid="{00000000-0005-0000-0000-000096110000}"/>
    <cellStyle name="Followed Hyperlink 2" xfId="13681" hidden="1" xr:uid="{00000000-0005-0000-0000-000097110000}"/>
    <cellStyle name="Followed Hyperlink 2" xfId="13691" hidden="1" xr:uid="{00000000-0005-0000-0000-000098110000}"/>
    <cellStyle name="Followed Hyperlink 2" xfId="13694" hidden="1" xr:uid="{00000000-0005-0000-0000-000099110000}"/>
    <cellStyle name="Followed Hyperlink 2" xfId="13697" hidden="1" xr:uid="{00000000-0005-0000-0000-00009A110000}"/>
    <cellStyle name="Followed Hyperlink 2" xfId="13701" hidden="1" xr:uid="{00000000-0005-0000-0000-00009B110000}"/>
    <cellStyle name="Followed Hyperlink 2" xfId="13578" hidden="1" xr:uid="{00000000-0005-0000-0000-00009C110000}"/>
    <cellStyle name="Followed Hyperlink 2" xfId="13582" hidden="1" xr:uid="{00000000-0005-0000-0000-00009D110000}"/>
    <cellStyle name="Followed Hyperlink 2" xfId="13577" hidden="1" xr:uid="{00000000-0005-0000-0000-00009E110000}"/>
    <cellStyle name="Followed Hyperlink 2" xfId="13583" hidden="1" xr:uid="{00000000-0005-0000-0000-00009F110000}"/>
    <cellStyle name="Followed Hyperlink 2" xfId="13704" hidden="1" xr:uid="{00000000-0005-0000-0000-0000A0110000}"/>
    <cellStyle name="Followed Hyperlink 2" xfId="13707" hidden="1" xr:uid="{00000000-0005-0000-0000-0000A1110000}"/>
    <cellStyle name="Followed Hyperlink 2" xfId="13710" hidden="1" xr:uid="{00000000-0005-0000-0000-0000A2110000}"/>
    <cellStyle name="Followed Hyperlink 2" xfId="13714" hidden="1" xr:uid="{00000000-0005-0000-0000-0000A3110000}"/>
    <cellStyle name="Followed Hyperlink 2" xfId="13722" hidden="1" xr:uid="{00000000-0005-0000-0000-0000A4110000}"/>
    <cellStyle name="Followed Hyperlink 2" xfId="13719" hidden="1" xr:uid="{00000000-0005-0000-0000-0000A5110000}"/>
    <cellStyle name="Followed Hyperlink 2" xfId="13717" hidden="1" xr:uid="{00000000-0005-0000-0000-0000A6110000}"/>
    <cellStyle name="Followed Hyperlink 2" xfId="13718" hidden="1" xr:uid="{00000000-0005-0000-0000-0000A7110000}"/>
    <cellStyle name="Followed Hyperlink 2" xfId="13728" hidden="1" xr:uid="{00000000-0005-0000-0000-0000A8110000}"/>
    <cellStyle name="Followed Hyperlink 2" xfId="13731" hidden="1" xr:uid="{00000000-0005-0000-0000-0000A9110000}"/>
    <cellStyle name="Followed Hyperlink 2" xfId="13734" hidden="1" xr:uid="{00000000-0005-0000-0000-0000AA110000}"/>
    <cellStyle name="Followed Hyperlink 2" xfId="13738" hidden="1" xr:uid="{00000000-0005-0000-0000-0000AB110000}"/>
    <cellStyle name="Followed Hyperlink 2" xfId="13747" hidden="1" xr:uid="{00000000-0005-0000-0000-0000AC110000}"/>
    <cellStyle name="Followed Hyperlink 2" xfId="13744" hidden="1" xr:uid="{00000000-0005-0000-0000-0000AD110000}"/>
    <cellStyle name="Followed Hyperlink 2" xfId="13742" hidden="1" xr:uid="{00000000-0005-0000-0000-0000AE110000}"/>
    <cellStyle name="Followed Hyperlink 2" xfId="13743" hidden="1" xr:uid="{00000000-0005-0000-0000-0000AF110000}"/>
    <cellStyle name="Followed Hyperlink 2" xfId="13753" hidden="1" xr:uid="{00000000-0005-0000-0000-0000B0110000}"/>
    <cellStyle name="Followed Hyperlink 2" xfId="13756" hidden="1" xr:uid="{00000000-0005-0000-0000-0000B1110000}"/>
    <cellStyle name="Followed Hyperlink 2" xfId="13759" hidden="1" xr:uid="{00000000-0005-0000-0000-0000B2110000}"/>
    <cellStyle name="Followed Hyperlink 2" xfId="13763" hidden="1" xr:uid="{00000000-0005-0000-0000-0000B3110000}"/>
    <cellStyle name="Followed Hyperlink 2" xfId="13771" hidden="1" xr:uid="{00000000-0005-0000-0000-0000B4110000}"/>
    <cellStyle name="Followed Hyperlink 2" xfId="13768" hidden="1" xr:uid="{00000000-0005-0000-0000-0000B5110000}"/>
    <cellStyle name="Followed Hyperlink 2" xfId="13766" hidden="1" xr:uid="{00000000-0005-0000-0000-0000B6110000}"/>
    <cellStyle name="Followed Hyperlink 2" xfId="13767" hidden="1" xr:uid="{00000000-0005-0000-0000-0000B7110000}"/>
    <cellStyle name="Followed Hyperlink 2" xfId="13777" hidden="1" xr:uid="{00000000-0005-0000-0000-0000B8110000}"/>
    <cellStyle name="Followed Hyperlink 2" xfId="13780" hidden="1" xr:uid="{00000000-0005-0000-0000-0000B9110000}"/>
    <cellStyle name="Followed Hyperlink 2" xfId="13783" hidden="1" xr:uid="{00000000-0005-0000-0000-0000BA110000}"/>
    <cellStyle name="Followed Hyperlink 2" xfId="13787" hidden="1" xr:uid="{00000000-0005-0000-0000-0000BB110000}"/>
    <cellStyle name="Followed Hyperlink 2" xfId="13596" hidden="1" xr:uid="{00000000-0005-0000-0000-0000BC110000}"/>
    <cellStyle name="Followed Hyperlink 2" xfId="13593" hidden="1" xr:uid="{00000000-0005-0000-0000-0000BD110000}"/>
    <cellStyle name="Followed Hyperlink 2" xfId="13587" hidden="1" xr:uid="{00000000-0005-0000-0000-0000BE110000}"/>
    <cellStyle name="Followed Hyperlink 2" xfId="13592" hidden="1" xr:uid="{00000000-0005-0000-0000-0000BF110000}"/>
    <cellStyle name="Followed Hyperlink 2" xfId="13790" hidden="1" xr:uid="{00000000-0005-0000-0000-0000C0110000}"/>
    <cellStyle name="Followed Hyperlink 2" xfId="13793" hidden="1" xr:uid="{00000000-0005-0000-0000-0000C1110000}"/>
    <cellStyle name="Followed Hyperlink 2" xfId="13796" hidden="1" xr:uid="{00000000-0005-0000-0000-0000C2110000}"/>
    <cellStyle name="Followed Hyperlink 2" xfId="13800" hidden="1" xr:uid="{00000000-0005-0000-0000-0000C3110000}"/>
    <cellStyle name="Followed Hyperlink 2" xfId="13808" hidden="1" xr:uid="{00000000-0005-0000-0000-0000C4110000}"/>
    <cellStyle name="Followed Hyperlink 2" xfId="13805" hidden="1" xr:uid="{00000000-0005-0000-0000-0000C5110000}"/>
    <cellStyle name="Followed Hyperlink 2" xfId="13803" hidden="1" xr:uid="{00000000-0005-0000-0000-0000C6110000}"/>
    <cellStyle name="Followed Hyperlink 2" xfId="13804" hidden="1" xr:uid="{00000000-0005-0000-0000-0000C7110000}"/>
    <cellStyle name="Followed Hyperlink 2" xfId="13814" hidden="1" xr:uid="{00000000-0005-0000-0000-0000C8110000}"/>
    <cellStyle name="Followed Hyperlink 2" xfId="13817" hidden="1" xr:uid="{00000000-0005-0000-0000-0000C9110000}"/>
    <cellStyle name="Followed Hyperlink 2" xfId="13820" hidden="1" xr:uid="{00000000-0005-0000-0000-0000CA110000}"/>
    <cellStyle name="Followed Hyperlink 2" xfId="13824" hidden="1" xr:uid="{00000000-0005-0000-0000-0000CB110000}"/>
    <cellStyle name="Followed Hyperlink 2" xfId="13833" hidden="1" xr:uid="{00000000-0005-0000-0000-0000CC110000}"/>
    <cellStyle name="Followed Hyperlink 2" xfId="13830" hidden="1" xr:uid="{00000000-0005-0000-0000-0000CD110000}"/>
    <cellStyle name="Followed Hyperlink 2" xfId="13828" hidden="1" xr:uid="{00000000-0005-0000-0000-0000CE110000}"/>
    <cellStyle name="Followed Hyperlink 2" xfId="13829" hidden="1" xr:uid="{00000000-0005-0000-0000-0000CF110000}"/>
    <cellStyle name="Followed Hyperlink 2" xfId="13839" hidden="1" xr:uid="{00000000-0005-0000-0000-0000D0110000}"/>
    <cellStyle name="Followed Hyperlink 2" xfId="13842" hidden="1" xr:uid="{00000000-0005-0000-0000-0000D1110000}"/>
    <cellStyle name="Followed Hyperlink 2" xfId="13845" hidden="1" xr:uid="{00000000-0005-0000-0000-0000D2110000}"/>
    <cellStyle name="Followed Hyperlink 2" xfId="13849" hidden="1" xr:uid="{00000000-0005-0000-0000-0000D3110000}"/>
    <cellStyle name="Followed Hyperlink 2" xfId="13857" hidden="1" xr:uid="{00000000-0005-0000-0000-0000D4110000}"/>
    <cellStyle name="Followed Hyperlink 2" xfId="13854" hidden="1" xr:uid="{00000000-0005-0000-0000-0000D5110000}"/>
    <cellStyle name="Followed Hyperlink 2" xfId="13852" hidden="1" xr:uid="{00000000-0005-0000-0000-0000D6110000}"/>
    <cellStyle name="Followed Hyperlink 2" xfId="13853" hidden="1" xr:uid="{00000000-0005-0000-0000-0000D7110000}"/>
    <cellStyle name="Followed Hyperlink 2" xfId="13863" hidden="1" xr:uid="{00000000-0005-0000-0000-0000D8110000}"/>
    <cellStyle name="Followed Hyperlink 2" xfId="13866" hidden="1" xr:uid="{00000000-0005-0000-0000-0000D9110000}"/>
    <cellStyle name="Followed Hyperlink 2" xfId="13869" hidden="1" xr:uid="{00000000-0005-0000-0000-0000DA110000}"/>
    <cellStyle name="Followed Hyperlink 2" xfId="13873" hidden="1" xr:uid="{00000000-0005-0000-0000-0000DB110000}"/>
    <cellStyle name="Followed Hyperlink 2" xfId="13604" hidden="1" xr:uid="{00000000-0005-0000-0000-0000DC110000}"/>
    <cellStyle name="Followed Hyperlink 2" xfId="13600" hidden="1" xr:uid="{00000000-0005-0000-0000-0000DD110000}"/>
    <cellStyle name="Followed Hyperlink 2" xfId="13601" hidden="1" xr:uid="{00000000-0005-0000-0000-0000DE110000}"/>
    <cellStyle name="Followed Hyperlink 2" xfId="13588" hidden="1" xr:uid="{00000000-0005-0000-0000-0000DF110000}"/>
    <cellStyle name="Followed Hyperlink 2" xfId="13876" hidden="1" xr:uid="{00000000-0005-0000-0000-0000E0110000}"/>
    <cellStyle name="Followed Hyperlink 2" xfId="13879" hidden="1" xr:uid="{00000000-0005-0000-0000-0000E1110000}"/>
    <cellStyle name="Followed Hyperlink 2" xfId="13882" hidden="1" xr:uid="{00000000-0005-0000-0000-0000E2110000}"/>
    <cellStyle name="Followed Hyperlink 2" xfId="13886" hidden="1" xr:uid="{00000000-0005-0000-0000-0000E3110000}"/>
    <cellStyle name="Followed Hyperlink 2" xfId="13894" hidden="1" xr:uid="{00000000-0005-0000-0000-0000E4110000}"/>
    <cellStyle name="Followed Hyperlink 2" xfId="13891" hidden="1" xr:uid="{00000000-0005-0000-0000-0000E5110000}"/>
    <cellStyle name="Followed Hyperlink 2" xfId="13889" hidden="1" xr:uid="{00000000-0005-0000-0000-0000E6110000}"/>
    <cellStyle name="Followed Hyperlink 2" xfId="13890" hidden="1" xr:uid="{00000000-0005-0000-0000-0000E7110000}"/>
    <cellStyle name="Followed Hyperlink 2" xfId="13900" hidden="1" xr:uid="{00000000-0005-0000-0000-0000E8110000}"/>
    <cellStyle name="Followed Hyperlink 2" xfId="13903" hidden="1" xr:uid="{00000000-0005-0000-0000-0000E9110000}"/>
    <cellStyle name="Followed Hyperlink 2" xfId="13906" hidden="1" xr:uid="{00000000-0005-0000-0000-0000EA110000}"/>
    <cellStyle name="Followed Hyperlink 2" xfId="13910" hidden="1" xr:uid="{00000000-0005-0000-0000-0000EB110000}"/>
    <cellStyle name="Followed Hyperlink 2" xfId="13918" hidden="1" xr:uid="{00000000-0005-0000-0000-0000EC110000}"/>
    <cellStyle name="Followed Hyperlink 2" xfId="13915" hidden="1" xr:uid="{00000000-0005-0000-0000-0000ED110000}"/>
    <cellStyle name="Followed Hyperlink 2" xfId="13913" hidden="1" xr:uid="{00000000-0005-0000-0000-0000EE110000}"/>
    <cellStyle name="Followed Hyperlink 2" xfId="13914" hidden="1" xr:uid="{00000000-0005-0000-0000-0000EF110000}"/>
    <cellStyle name="Followed Hyperlink 2" xfId="13924" hidden="1" xr:uid="{00000000-0005-0000-0000-0000F0110000}"/>
    <cellStyle name="Followed Hyperlink 2" xfId="13927" hidden="1" xr:uid="{00000000-0005-0000-0000-0000F1110000}"/>
    <cellStyle name="Followed Hyperlink 2" xfId="13930" hidden="1" xr:uid="{00000000-0005-0000-0000-0000F2110000}"/>
    <cellStyle name="Followed Hyperlink 2" xfId="13934" hidden="1" xr:uid="{00000000-0005-0000-0000-0000F3110000}"/>
    <cellStyle name="Followed Hyperlink 2" xfId="13942" hidden="1" xr:uid="{00000000-0005-0000-0000-0000F4110000}"/>
    <cellStyle name="Followed Hyperlink 2" xfId="13939" hidden="1" xr:uid="{00000000-0005-0000-0000-0000F5110000}"/>
    <cellStyle name="Followed Hyperlink 2" xfId="13937" hidden="1" xr:uid="{00000000-0005-0000-0000-0000F6110000}"/>
    <cellStyle name="Followed Hyperlink 2" xfId="13938" hidden="1" xr:uid="{00000000-0005-0000-0000-0000F7110000}"/>
    <cellStyle name="Followed Hyperlink 2" xfId="13948" hidden="1" xr:uid="{00000000-0005-0000-0000-0000F8110000}"/>
    <cellStyle name="Followed Hyperlink 2" xfId="13951" hidden="1" xr:uid="{00000000-0005-0000-0000-0000F9110000}"/>
    <cellStyle name="Followed Hyperlink 2" xfId="13954" hidden="1" xr:uid="{00000000-0005-0000-0000-0000FA110000}"/>
    <cellStyle name="Followed Hyperlink 2" xfId="13958" hidden="1" xr:uid="{00000000-0005-0000-0000-0000FB110000}"/>
    <cellStyle name="Followed Hyperlink 2" xfId="12999" hidden="1" xr:uid="{00000000-0005-0000-0000-0000FC110000}"/>
    <cellStyle name="Followed Hyperlink 2" xfId="12996" hidden="1" xr:uid="{00000000-0005-0000-0000-0000FD110000}"/>
    <cellStyle name="Followed Hyperlink 2" xfId="12990" hidden="1" xr:uid="{00000000-0005-0000-0000-0000FE110000}"/>
    <cellStyle name="Followed Hyperlink 2" xfId="12995" hidden="1" xr:uid="{00000000-0005-0000-0000-0000FF110000}"/>
    <cellStyle name="Followed Hyperlink 2" xfId="13961" hidden="1" xr:uid="{00000000-0005-0000-0000-000000120000}"/>
    <cellStyle name="Followed Hyperlink 2" xfId="13964" hidden="1" xr:uid="{00000000-0005-0000-0000-000001120000}"/>
    <cellStyle name="Followed Hyperlink 2" xfId="13967" hidden="1" xr:uid="{00000000-0005-0000-0000-000002120000}"/>
    <cellStyle name="Followed Hyperlink 2" xfId="13971" hidden="1" xr:uid="{00000000-0005-0000-0000-000003120000}"/>
    <cellStyle name="Followed Hyperlink 2" xfId="13979" hidden="1" xr:uid="{00000000-0005-0000-0000-000004120000}"/>
    <cellStyle name="Followed Hyperlink 2" xfId="13976" hidden="1" xr:uid="{00000000-0005-0000-0000-000005120000}"/>
    <cellStyle name="Followed Hyperlink 2" xfId="13974" hidden="1" xr:uid="{00000000-0005-0000-0000-000006120000}"/>
    <cellStyle name="Followed Hyperlink 2" xfId="13975" hidden="1" xr:uid="{00000000-0005-0000-0000-000007120000}"/>
    <cellStyle name="Followed Hyperlink 2" xfId="13985" hidden="1" xr:uid="{00000000-0005-0000-0000-000008120000}"/>
    <cellStyle name="Followed Hyperlink 2" xfId="13988" hidden="1" xr:uid="{00000000-0005-0000-0000-000009120000}"/>
    <cellStyle name="Followed Hyperlink 2" xfId="13991" hidden="1" xr:uid="{00000000-0005-0000-0000-00000A120000}"/>
    <cellStyle name="Followed Hyperlink 2" xfId="13995" hidden="1" xr:uid="{00000000-0005-0000-0000-00000B120000}"/>
    <cellStyle name="Followed Hyperlink 2" xfId="14004" hidden="1" xr:uid="{00000000-0005-0000-0000-00000C120000}"/>
    <cellStyle name="Followed Hyperlink 2" xfId="14001" hidden="1" xr:uid="{00000000-0005-0000-0000-00000D120000}"/>
    <cellStyle name="Followed Hyperlink 2" xfId="13999" hidden="1" xr:uid="{00000000-0005-0000-0000-00000E120000}"/>
    <cellStyle name="Followed Hyperlink 2" xfId="14000" hidden="1" xr:uid="{00000000-0005-0000-0000-00000F120000}"/>
    <cellStyle name="Followed Hyperlink 2" xfId="14010" hidden="1" xr:uid="{00000000-0005-0000-0000-000010120000}"/>
    <cellStyle name="Followed Hyperlink 2" xfId="14013" hidden="1" xr:uid="{00000000-0005-0000-0000-000011120000}"/>
    <cellStyle name="Followed Hyperlink 2" xfId="14016" hidden="1" xr:uid="{00000000-0005-0000-0000-000012120000}"/>
    <cellStyle name="Followed Hyperlink 2" xfId="14020" hidden="1" xr:uid="{00000000-0005-0000-0000-000013120000}"/>
    <cellStyle name="Followed Hyperlink 2" xfId="14028" hidden="1" xr:uid="{00000000-0005-0000-0000-000014120000}"/>
    <cellStyle name="Followed Hyperlink 2" xfId="14025" hidden="1" xr:uid="{00000000-0005-0000-0000-000015120000}"/>
    <cellStyle name="Followed Hyperlink 2" xfId="14023" hidden="1" xr:uid="{00000000-0005-0000-0000-000016120000}"/>
    <cellStyle name="Followed Hyperlink 2" xfId="14024" hidden="1" xr:uid="{00000000-0005-0000-0000-000017120000}"/>
    <cellStyle name="Followed Hyperlink 2" xfId="14034" hidden="1" xr:uid="{00000000-0005-0000-0000-000018120000}"/>
    <cellStyle name="Followed Hyperlink 2" xfId="14037" hidden="1" xr:uid="{00000000-0005-0000-0000-000019120000}"/>
    <cellStyle name="Followed Hyperlink 2" xfId="14040" hidden="1" xr:uid="{00000000-0005-0000-0000-00001A120000}"/>
    <cellStyle name="Followed Hyperlink 2" xfId="14044" hidden="1" xr:uid="{00000000-0005-0000-0000-00001B120000}"/>
    <cellStyle name="Followed Hyperlink 2" xfId="14081" hidden="1" xr:uid="{00000000-0005-0000-0000-00001C120000}"/>
    <cellStyle name="Followed Hyperlink 2" xfId="14078" hidden="1" xr:uid="{00000000-0005-0000-0000-00001D120000}"/>
    <cellStyle name="Followed Hyperlink 2" xfId="14076" hidden="1" xr:uid="{00000000-0005-0000-0000-00001E120000}"/>
    <cellStyle name="Followed Hyperlink 2" xfId="14077" hidden="1" xr:uid="{00000000-0005-0000-0000-00001F120000}"/>
    <cellStyle name="Followed Hyperlink 2" xfId="14087" hidden="1" xr:uid="{00000000-0005-0000-0000-000020120000}"/>
    <cellStyle name="Followed Hyperlink 2" xfId="14090" hidden="1" xr:uid="{00000000-0005-0000-0000-000021120000}"/>
    <cellStyle name="Followed Hyperlink 2" xfId="14093" hidden="1" xr:uid="{00000000-0005-0000-0000-000022120000}"/>
    <cellStyle name="Followed Hyperlink 2" xfId="14097" hidden="1" xr:uid="{00000000-0005-0000-0000-000023120000}"/>
    <cellStyle name="Followed Hyperlink 2" xfId="14105" hidden="1" xr:uid="{00000000-0005-0000-0000-000024120000}"/>
    <cellStyle name="Followed Hyperlink 2" xfId="14102" hidden="1" xr:uid="{00000000-0005-0000-0000-000025120000}"/>
    <cellStyle name="Followed Hyperlink 2" xfId="14100" hidden="1" xr:uid="{00000000-0005-0000-0000-000026120000}"/>
    <cellStyle name="Followed Hyperlink 2" xfId="14101" hidden="1" xr:uid="{00000000-0005-0000-0000-000027120000}"/>
    <cellStyle name="Followed Hyperlink 2" xfId="14111" hidden="1" xr:uid="{00000000-0005-0000-0000-000028120000}"/>
    <cellStyle name="Followed Hyperlink 2" xfId="14114" hidden="1" xr:uid="{00000000-0005-0000-0000-000029120000}"/>
    <cellStyle name="Followed Hyperlink 2" xfId="14117" hidden="1" xr:uid="{00000000-0005-0000-0000-00002A120000}"/>
    <cellStyle name="Followed Hyperlink 2" xfId="14121" hidden="1" xr:uid="{00000000-0005-0000-0000-00002B120000}"/>
    <cellStyle name="Followed Hyperlink 2" xfId="14131" hidden="1" xr:uid="{00000000-0005-0000-0000-00002C120000}"/>
    <cellStyle name="Followed Hyperlink 2" xfId="14128" hidden="1" xr:uid="{00000000-0005-0000-0000-00002D120000}"/>
    <cellStyle name="Followed Hyperlink 2" xfId="14126" hidden="1" xr:uid="{00000000-0005-0000-0000-00002E120000}"/>
    <cellStyle name="Followed Hyperlink 2" xfId="14127" hidden="1" xr:uid="{00000000-0005-0000-0000-00002F120000}"/>
    <cellStyle name="Followed Hyperlink 2" xfId="14137" hidden="1" xr:uid="{00000000-0005-0000-0000-000030120000}"/>
    <cellStyle name="Followed Hyperlink 2" xfId="14140" hidden="1" xr:uid="{00000000-0005-0000-0000-000031120000}"/>
    <cellStyle name="Followed Hyperlink 2" xfId="14143" hidden="1" xr:uid="{00000000-0005-0000-0000-000032120000}"/>
    <cellStyle name="Followed Hyperlink 2" xfId="14147" hidden="1" xr:uid="{00000000-0005-0000-0000-000033120000}"/>
    <cellStyle name="Followed Hyperlink 2" xfId="14155" hidden="1" xr:uid="{00000000-0005-0000-0000-000034120000}"/>
    <cellStyle name="Followed Hyperlink 2" xfId="14152" hidden="1" xr:uid="{00000000-0005-0000-0000-000035120000}"/>
    <cellStyle name="Followed Hyperlink 2" xfId="14150" hidden="1" xr:uid="{00000000-0005-0000-0000-000036120000}"/>
    <cellStyle name="Followed Hyperlink 2" xfId="14151" hidden="1" xr:uid="{00000000-0005-0000-0000-000037120000}"/>
    <cellStyle name="Followed Hyperlink 2" xfId="14161" hidden="1" xr:uid="{00000000-0005-0000-0000-000038120000}"/>
    <cellStyle name="Followed Hyperlink 2" xfId="14164" hidden="1" xr:uid="{00000000-0005-0000-0000-000039120000}"/>
    <cellStyle name="Followed Hyperlink 2" xfId="14167" hidden="1" xr:uid="{00000000-0005-0000-0000-00003A120000}"/>
    <cellStyle name="Followed Hyperlink 2" xfId="14171" hidden="1" xr:uid="{00000000-0005-0000-0000-00003B120000}"/>
    <cellStyle name="Followed Hyperlink 2" xfId="14048" hidden="1" xr:uid="{00000000-0005-0000-0000-00003C120000}"/>
    <cellStyle name="Followed Hyperlink 2" xfId="14052" hidden="1" xr:uid="{00000000-0005-0000-0000-00003D120000}"/>
    <cellStyle name="Followed Hyperlink 2" xfId="14047" hidden="1" xr:uid="{00000000-0005-0000-0000-00003E120000}"/>
    <cellStyle name="Followed Hyperlink 2" xfId="14053" hidden="1" xr:uid="{00000000-0005-0000-0000-00003F120000}"/>
    <cellStyle name="Followed Hyperlink 2" xfId="14174" hidden="1" xr:uid="{00000000-0005-0000-0000-000040120000}"/>
    <cellStyle name="Followed Hyperlink 2" xfId="14177" hidden="1" xr:uid="{00000000-0005-0000-0000-000041120000}"/>
    <cellStyle name="Followed Hyperlink 2" xfId="14180" hidden="1" xr:uid="{00000000-0005-0000-0000-000042120000}"/>
    <cellStyle name="Followed Hyperlink 2" xfId="14184" hidden="1" xr:uid="{00000000-0005-0000-0000-000043120000}"/>
    <cellStyle name="Followed Hyperlink 2" xfId="14192" hidden="1" xr:uid="{00000000-0005-0000-0000-000044120000}"/>
    <cellStyle name="Followed Hyperlink 2" xfId="14189" hidden="1" xr:uid="{00000000-0005-0000-0000-000045120000}"/>
    <cellStyle name="Followed Hyperlink 2" xfId="14187" hidden="1" xr:uid="{00000000-0005-0000-0000-000046120000}"/>
    <cellStyle name="Followed Hyperlink 2" xfId="14188" hidden="1" xr:uid="{00000000-0005-0000-0000-000047120000}"/>
    <cellStyle name="Followed Hyperlink 2" xfId="14198" hidden="1" xr:uid="{00000000-0005-0000-0000-000048120000}"/>
    <cellStyle name="Followed Hyperlink 2" xfId="14201" hidden="1" xr:uid="{00000000-0005-0000-0000-000049120000}"/>
    <cellStyle name="Followed Hyperlink 2" xfId="14204" hidden="1" xr:uid="{00000000-0005-0000-0000-00004A120000}"/>
    <cellStyle name="Followed Hyperlink 2" xfId="14208" hidden="1" xr:uid="{00000000-0005-0000-0000-00004B120000}"/>
    <cellStyle name="Followed Hyperlink 2" xfId="14217" hidden="1" xr:uid="{00000000-0005-0000-0000-00004C120000}"/>
    <cellStyle name="Followed Hyperlink 2" xfId="14214" hidden="1" xr:uid="{00000000-0005-0000-0000-00004D120000}"/>
    <cellStyle name="Followed Hyperlink 2" xfId="14212" hidden="1" xr:uid="{00000000-0005-0000-0000-00004E120000}"/>
    <cellStyle name="Followed Hyperlink 2" xfId="14213" hidden="1" xr:uid="{00000000-0005-0000-0000-00004F120000}"/>
    <cellStyle name="Followed Hyperlink 2" xfId="14223" hidden="1" xr:uid="{00000000-0005-0000-0000-000050120000}"/>
    <cellStyle name="Followed Hyperlink 2" xfId="14226" hidden="1" xr:uid="{00000000-0005-0000-0000-000051120000}"/>
    <cellStyle name="Followed Hyperlink 2" xfId="14229" hidden="1" xr:uid="{00000000-0005-0000-0000-000052120000}"/>
    <cellStyle name="Followed Hyperlink 2" xfId="14233" hidden="1" xr:uid="{00000000-0005-0000-0000-000053120000}"/>
    <cellStyle name="Followed Hyperlink 2" xfId="14241" hidden="1" xr:uid="{00000000-0005-0000-0000-000054120000}"/>
    <cellStyle name="Followed Hyperlink 2" xfId="14238" hidden="1" xr:uid="{00000000-0005-0000-0000-000055120000}"/>
    <cellStyle name="Followed Hyperlink 2" xfId="14236" hidden="1" xr:uid="{00000000-0005-0000-0000-000056120000}"/>
    <cellStyle name="Followed Hyperlink 2" xfId="14237" hidden="1" xr:uid="{00000000-0005-0000-0000-000057120000}"/>
    <cellStyle name="Followed Hyperlink 2" xfId="14247" hidden="1" xr:uid="{00000000-0005-0000-0000-000058120000}"/>
    <cellStyle name="Followed Hyperlink 2" xfId="14250" hidden="1" xr:uid="{00000000-0005-0000-0000-000059120000}"/>
    <cellStyle name="Followed Hyperlink 2" xfId="14253" hidden="1" xr:uid="{00000000-0005-0000-0000-00005A120000}"/>
    <cellStyle name="Followed Hyperlink 2" xfId="14257" hidden="1" xr:uid="{00000000-0005-0000-0000-00005B120000}"/>
    <cellStyle name="Followed Hyperlink 2" xfId="14066" hidden="1" xr:uid="{00000000-0005-0000-0000-00005C120000}"/>
    <cellStyle name="Followed Hyperlink 2" xfId="14063" hidden="1" xr:uid="{00000000-0005-0000-0000-00005D120000}"/>
    <cellStyle name="Followed Hyperlink 2" xfId="14057" hidden="1" xr:uid="{00000000-0005-0000-0000-00005E120000}"/>
    <cellStyle name="Followed Hyperlink 2" xfId="14062" hidden="1" xr:uid="{00000000-0005-0000-0000-00005F120000}"/>
    <cellStyle name="Followed Hyperlink 2" xfId="14260" hidden="1" xr:uid="{00000000-0005-0000-0000-000060120000}"/>
    <cellStyle name="Followed Hyperlink 2" xfId="14263" hidden="1" xr:uid="{00000000-0005-0000-0000-000061120000}"/>
    <cellStyle name="Followed Hyperlink 2" xfId="14266" hidden="1" xr:uid="{00000000-0005-0000-0000-000062120000}"/>
    <cellStyle name="Followed Hyperlink 2" xfId="14270" hidden="1" xr:uid="{00000000-0005-0000-0000-000063120000}"/>
    <cellStyle name="Followed Hyperlink 2" xfId="14278" hidden="1" xr:uid="{00000000-0005-0000-0000-000064120000}"/>
    <cellStyle name="Followed Hyperlink 2" xfId="14275" hidden="1" xr:uid="{00000000-0005-0000-0000-000065120000}"/>
    <cellStyle name="Followed Hyperlink 2" xfId="14273" hidden="1" xr:uid="{00000000-0005-0000-0000-000066120000}"/>
    <cellStyle name="Followed Hyperlink 2" xfId="14274" hidden="1" xr:uid="{00000000-0005-0000-0000-000067120000}"/>
    <cellStyle name="Followed Hyperlink 2" xfId="14284" hidden="1" xr:uid="{00000000-0005-0000-0000-000068120000}"/>
    <cellStyle name="Followed Hyperlink 2" xfId="14287" hidden="1" xr:uid="{00000000-0005-0000-0000-000069120000}"/>
    <cellStyle name="Followed Hyperlink 2" xfId="14290" hidden="1" xr:uid="{00000000-0005-0000-0000-00006A120000}"/>
    <cellStyle name="Followed Hyperlink 2" xfId="14294" hidden="1" xr:uid="{00000000-0005-0000-0000-00006B120000}"/>
    <cellStyle name="Followed Hyperlink 2" xfId="14303" hidden="1" xr:uid="{00000000-0005-0000-0000-00006C120000}"/>
    <cellStyle name="Followed Hyperlink 2" xfId="14300" hidden="1" xr:uid="{00000000-0005-0000-0000-00006D120000}"/>
    <cellStyle name="Followed Hyperlink 2" xfId="14298" hidden="1" xr:uid="{00000000-0005-0000-0000-00006E120000}"/>
    <cellStyle name="Followed Hyperlink 2" xfId="14299" hidden="1" xr:uid="{00000000-0005-0000-0000-00006F120000}"/>
    <cellStyle name="Followed Hyperlink 2" xfId="14309" hidden="1" xr:uid="{00000000-0005-0000-0000-000070120000}"/>
    <cellStyle name="Followed Hyperlink 2" xfId="14312" hidden="1" xr:uid="{00000000-0005-0000-0000-000071120000}"/>
    <cellStyle name="Followed Hyperlink 2" xfId="14315" hidden="1" xr:uid="{00000000-0005-0000-0000-000072120000}"/>
    <cellStyle name="Followed Hyperlink 2" xfId="14319" hidden="1" xr:uid="{00000000-0005-0000-0000-000073120000}"/>
    <cellStyle name="Followed Hyperlink 2" xfId="14327" hidden="1" xr:uid="{00000000-0005-0000-0000-000074120000}"/>
    <cellStyle name="Followed Hyperlink 2" xfId="14324" hidden="1" xr:uid="{00000000-0005-0000-0000-000075120000}"/>
    <cellStyle name="Followed Hyperlink 2" xfId="14322" hidden="1" xr:uid="{00000000-0005-0000-0000-000076120000}"/>
    <cellStyle name="Followed Hyperlink 2" xfId="14323" hidden="1" xr:uid="{00000000-0005-0000-0000-000077120000}"/>
    <cellStyle name="Followed Hyperlink 2" xfId="14333" hidden="1" xr:uid="{00000000-0005-0000-0000-000078120000}"/>
    <cellStyle name="Followed Hyperlink 2" xfId="14336" hidden="1" xr:uid="{00000000-0005-0000-0000-000079120000}"/>
    <cellStyle name="Followed Hyperlink 2" xfId="14339" hidden="1" xr:uid="{00000000-0005-0000-0000-00007A120000}"/>
    <cellStyle name="Followed Hyperlink 2" xfId="14343" hidden="1" xr:uid="{00000000-0005-0000-0000-00007B120000}"/>
    <cellStyle name="Followed Hyperlink 2" xfId="14074" hidden="1" xr:uid="{00000000-0005-0000-0000-00007C120000}"/>
    <cellStyle name="Followed Hyperlink 2" xfId="14070" hidden="1" xr:uid="{00000000-0005-0000-0000-00007D120000}"/>
    <cellStyle name="Followed Hyperlink 2" xfId="14071" hidden="1" xr:uid="{00000000-0005-0000-0000-00007E120000}"/>
    <cellStyle name="Followed Hyperlink 2" xfId="14058" hidden="1" xr:uid="{00000000-0005-0000-0000-00007F120000}"/>
    <cellStyle name="Followed Hyperlink 2" xfId="14346" hidden="1" xr:uid="{00000000-0005-0000-0000-000080120000}"/>
    <cellStyle name="Followed Hyperlink 2" xfId="14349" hidden="1" xr:uid="{00000000-0005-0000-0000-000081120000}"/>
    <cellStyle name="Followed Hyperlink 2" xfId="14352" hidden="1" xr:uid="{00000000-0005-0000-0000-000082120000}"/>
    <cellStyle name="Followed Hyperlink 2" xfId="14356" hidden="1" xr:uid="{00000000-0005-0000-0000-000083120000}"/>
    <cellStyle name="Followed Hyperlink 2" xfId="14364" hidden="1" xr:uid="{00000000-0005-0000-0000-000084120000}"/>
    <cellStyle name="Followed Hyperlink 2" xfId="14361" hidden="1" xr:uid="{00000000-0005-0000-0000-000085120000}"/>
    <cellStyle name="Followed Hyperlink 2" xfId="14359" hidden="1" xr:uid="{00000000-0005-0000-0000-000086120000}"/>
    <cellStyle name="Followed Hyperlink 2" xfId="14360" hidden="1" xr:uid="{00000000-0005-0000-0000-000087120000}"/>
    <cellStyle name="Followed Hyperlink 2" xfId="14370" hidden="1" xr:uid="{00000000-0005-0000-0000-000088120000}"/>
    <cellStyle name="Followed Hyperlink 2" xfId="14373" hidden="1" xr:uid="{00000000-0005-0000-0000-000089120000}"/>
    <cellStyle name="Followed Hyperlink 2" xfId="14376" hidden="1" xr:uid="{00000000-0005-0000-0000-00008A120000}"/>
    <cellStyle name="Followed Hyperlink 2" xfId="14380" hidden="1" xr:uid="{00000000-0005-0000-0000-00008B120000}"/>
    <cellStyle name="Followed Hyperlink 2" xfId="14388" hidden="1" xr:uid="{00000000-0005-0000-0000-00008C120000}"/>
    <cellStyle name="Followed Hyperlink 2" xfId="14385" hidden="1" xr:uid="{00000000-0005-0000-0000-00008D120000}"/>
    <cellStyle name="Followed Hyperlink 2" xfId="14383" hidden="1" xr:uid="{00000000-0005-0000-0000-00008E120000}"/>
    <cellStyle name="Followed Hyperlink 2" xfId="14384" hidden="1" xr:uid="{00000000-0005-0000-0000-00008F120000}"/>
    <cellStyle name="Followed Hyperlink 2" xfId="14394" hidden="1" xr:uid="{00000000-0005-0000-0000-000090120000}"/>
    <cellStyle name="Followed Hyperlink 2" xfId="14397" hidden="1" xr:uid="{00000000-0005-0000-0000-000091120000}"/>
    <cellStyle name="Followed Hyperlink 2" xfId="14400" hidden="1" xr:uid="{00000000-0005-0000-0000-000092120000}"/>
    <cellStyle name="Followed Hyperlink 2" xfId="14404" hidden="1" xr:uid="{00000000-0005-0000-0000-000093120000}"/>
    <cellStyle name="Followed Hyperlink 2" xfId="14412" hidden="1" xr:uid="{00000000-0005-0000-0000-000094120000}"/>
    <cellStyle name="Followed Hyperlink 2" xfId="14409" hidden="1" xr:uid="{00000000-0005-0000-0000-000095120000}"/>
    <cellStyle name="Followed Hyperlink 2" xfId="14407" hidden="1" xr:uid="{00000000-0005-0000-0000-000096120000}"/>
    <cellStyle name="Followed Hyperlink 2" xfId="14408" hidden="1" xr:uid="{00000000-0005-0000-0000-000097120000}"/>
    <cellStyle name="Followed Hyperlink 2" xfId="14418" hidden="1" xr:uid="{00000000-0005-0000-0000-000098120000}"/>
    <cellStyle name="Followed Hyperlink 2" xfId="14421" hidden="1" xr:uid="{00000000-0005-0000-0000-000099120000}"/>
    <cellStyle name="Followed Hyperlink 2" xfId="14424" hidden="1" xr:uid="{00000000-0005-0000-0000-00009A120000}"/>
    <cellStyle name="Followed Hyperlink 2" xfId="14428" hidden="1" xr:uid="{00000000-0005-0000-0000-00009B120000}"/>
    <cellStyle name="Followed Hyperlink 2" xfId="13007" hidden="1" xr:uid="{00000000-0005-0000-0000-00009C120000}"/>
    <cellStyle name="Followed Hyperlink 2" xfId="13003" hidden="1" xr:uid="{00000000-0005-0000-0000-00009D120000}"/>
    <cellStyle name="Followed Hyperlink 2" xfId="13004" hidden="1" xr:uid="{00000000-0005-0000-0000-00009E120000}"/>
    <cellStyle name="Followed Hyperlink 2" xfId="12991" hidden="1" xr:uid="{00000000-0005-0000-0000-00009F120000}"/>
    <cellStyle name="Followed Hyperlink 2" xfId="14431" hidden="1" xr:uid="{00000000-0005-0000-0000-0000A0120000}"/>
    <cellStyle name="Followed Hyperlink 2" xfId="14434" hidden="1" xr:uid="{00000000-0005-0000-0000-0000A1120000}"/>
    <cellStyle name="Followed Hyperlink 2" xfId="14437" hidden="1" xr:uid="{00000000-0005-0000-0000-0000A2120000}"/>
    <cellStyle name="Followed Hyperlink 2" xfId="14441" hidden="1" xr:uid="{00000000-0005-0000-0000-0000A3120000}"/>
    <cellStyle name="Followed Hyperlink 2" xfId="14449" hidden="1" xr:uid="{00000000-0005-0000-0000-0000A4120000}"/>
    <cellStyle name="Followed Hyperlink 2" xfId="14446" hidden="1" xr:uid="{00000000-0005-0000-0000-0000A5120000}"/>
    <cellStyle name="Followed Hyperlink 2" xfId="14444" hidden="1" xr:uid="{00000000-0005-0000-0000-0000A6120000}"/>
    <cellStyle name="Followed Hyperlink 2" xfId="14445" hidden="1" xr:uid="{00000000-0005-0000-0000-0000A7120000}"/>
    <cellStyle name="Followed Hyperlink 2" xfId="14455" hidden="1" xr:uid="{00000000-0005-0000-0000-0000A8120000}"/>
    <cellStyle name="Followed Hyperlink 2" xfId="14458" hidden="1" xr:uid="{00000000-0005-0000-0000-0000A9120000}"/>
    <cellStyle name="Followed Hyperlink 2" xfId="14461" hidden="1" xr:uid="{00000000-0005-0000-0000-0000AA120000}"/>
    <cellStyle name="Followed Hyperlink 2" xfId="14465" hidden="1" xr:uid="{00000000-0005-0000-0000-0000AB120000}"/>
    <cellStyle name="Followed Hyperlink 2" xfId="14473" hidden="1" xr:uid="{00000000-0005-0000-0000-0000AC120000}"/>
    <cellStyle name="Followed Hyperlink 2" xfId="14470" hidden="1" xr:uid="{00000000-0005-0000-0000-0000AD120000}"/>
    <cellStyle name="Followed Hyperlink 2" xfId="14468" hidden="1" xr:uid="{00000000-0005-0000-0000-0000AE120000}"/>
    <cellStyle name="Followed Hyperlink 2" xfId="14469" hidden="1" xr:uid="{00000000-0005-0000-0000-0000AF120000}"/>
    <cellStyle name="Followed Hyperlink 2" xfId="14479" hidden="1" xr:uid="{00000000-0005-0000-0000-0000B0120000}"/>
    <cellStyle name="Followed Hyperlink 2" xfId="14482" hidden="1" xr:uid="{00000000-0005-0000-0000-0000B1120000}"/>
    <cellStyle name="Followed Hyperlink 2" xfId="14485" hidden="1" xr:uid="{00000000-0005-0000-0000-0000B2120000}"/>
    <cellStyle name="Followed Hyperlink 2" xfId="14489" hidden="1" xr:uid="{00000000-0005-0000-0000-0000B3120000}"/>
    <cellStyle name="Followed Hyperlink 2" xfId="14497" hidden="1" xr:uid="{00000000-0005-0000-0000-0000B4120000}"/>
    <cellStyle name="Followed Hyperlink 2" xfId="14494" hidden="1" xr:uid="{00000000-0005-0000-0000-0000B5120000}"/>
    <cellStyle name="Followed Hyperlink 2" xfId="14492" hidden="1" xr:uid="{00000000-0005-0000-0000-0000B6120000}"/>
    <cellStyle name="Followed Hyperlink 2" xfId="14493" hidden="1" xr:uid="{00000000-0005-0000-0000-0000B7120000}"/>
    <cellStyle name="Followed Hyperlink 2" xfId="14503" hidden="1" xr:uid="{00000000-0005-0000-0000-0000B8120000}"/>
    <cellStyle name="Followed Hyperlink 2" xfId="14506" hidden="1" xr:uid="{00000000-0005-0000-0000-0000B9120000}"/>
    <cellStyle name="Followed Hyperlink 2" xfId="14509" hidden="1" xr:uid="{00000000-0005-0000-0000-0000BA120000}"/>
    <cellStyle name="Followed Hyperlink 2" xfId="14513" hidden="1" xr:uid="{00000000-0005-0000-0000-0000BB120000}"/>
    <cellStyle name="Followed Hyperlink 2" xfId="14550" hidden="1" xr:uid="{00000000-0005-0000-0000-0000BC120000}"/>
    <cellStyle name="Followed Hyperlink 2" xfId="14547" hidden="1" xr:uid="{00000000-0005-0000-0000-0000BD120000}"/>
    <cellStyle name="Followed Hyperlink 2" xfId="14545" hidden="1" xr:uid="{00000000-0005-0000-0000-0000BE120000}"/>
    <cellStyle name="Followed Hyperlink 2" xfId="14546" hidden="1" xr:uid="{00000000-0005-0000-0000-0000BF120000}"/>
    <cellStyle name="Followed Hyperlink 2" xfId="14556" hidden="1" xr:uid="{00000000-0005-0000-0000-0000C0120000}"/>
    <cellStyle name="Followed Hyperlink 2" xfId="14559" hidden="1" xr:uid="{00000000-0005-0000-0000-0000C1120000}"/>
    <cellStyle name="Followed Hyperlink 2" xfId="14562" hidden="1" xr:uid="{00000000-0005-0000-0000-0000C2120000}"/>
    <cellStyle name="Followed Hyperlink 2" xfId="14566" hidden="1" xr:uid="{00000000-0005-0000-0000-0000C3120000}"/>
    <cellStyle name="Followed Hyperlink 2" xfId="14574" hidden="1" xr:uid="{00000000-0005-0000-0000-0000C4120000}"/>
    <cellStyle name="Followed Hyperlink 2" xfId="14571" hidden="1" xr:uid="{00000000-0005-0000-0000-0000C5120000}"/>
    <cellStyle name="Followed Hyperlink 2" xfId="14569" hidden="1" xr:uid="{00000000-0005-0000-0000-0000C6120000}"/>
    <cellStyle name="Followed Hyperlink 2" xfId="14570" hidden="1" xr:uid="{00000000-0005-0000-0000-0000C7120000}"/>
    <cellStyle name="Followed Hyperlink 2" xfId="14580" hidden="1" xr:uid="{00000000-0005-0000-0000-0000C8120000}"/>
    <cellStyle name="Followed Hyperlink 2" xfId="14583" hidden="1" xr:uid="{00000000-0005-0000-0000-0000C9120000}"/>
    <cellStyle name="Followed Hyperlink 2" xfId="14586" hidden="1" xr:uid="{00000000-0005-0000-0000-0000CA120000}"/>
    <cellStyle name="Followed Hyperlink 2" xfId="14590" hidden="1" xr:uid="{00000000-0005-0000-0000-0000CB120000}"/>
    <cellStyle name="Followed Hyperlink 2" xfId="14600" hidden="1" xr:uid="{00000000-0005-0000-0000-0000CC120000}"/>
    <cellStyle name="Followed Hyperlink 2" xfId="14597" hidden="1" xr:uid="{00000000-0005-0000-0000-0000CD120000}"/>
    <cellStyle name="Followed Hyperlink 2" xfId="14595" hidden="1" xr:uid="{00000000-0005-0000-0000-0000CE120000}"/>
    <cellStyle name="Followed Hyperlink 2" xfId="14596" hidden="1" xr:uid="{00000000-0005-0000-0000-0000CF120000}"/>
    <cellStyle name="Followed Hyperlink 2" xfId="14606" hidden="1" xr:uid="{00000000-0005-0000-0000-0000D0120000}"/>
    <cellStyle name="Followed Hyperlink 2" xfId="14609" hidden="1" xr:uid="{00000000-0005-0000-0000-0000D1120000}"/>
    <cellStyle name="Followed Hyperlink 2" xfId="14612" hidden="1" xr:uid="{00000000-0005-0000-0000-0000D2120000}"/>
    <cellStyle name="Followed Hyperlink 2" xfId="14616" hidden="1" xr:uid="{00000000-0005-0000-0000-0000D3120000}"/>
    <cellStyle name="Followed Hyperlink 2" xfId="14624" hidden="1" xr:uid="{00000000-0005-0000-0000-0000D4120000}"/>
    <cellStyle name="Followed Hyperlink 2" xfId="14621" hidden="1" xr:uid="{00000000-0005-0000-0000-0000D5120000}"/>
    <cellStyle name="Followed Hyperlink 2" xfId="14619" hidden="1" xr:uid="{00000000-0005-0000-0000-0000D6120000}"/>
    <cellStyle name="Followed Hyperlink 2" xfId="14620" hidden="1" xr:uid="{00000000-0005-0000-0000-0000D7120000}"/>
    <cellStyle name="Followed Hyperlink 2" xfId="14630" hidden="1" xr:uid="{00000000-0005-0000-0000-0000D8120000}"/>
    <cellStyle name="Followed Hyperlink 2" xfId="14633" hidden="1" xr:uid="{00000000-0005-0000-0000-0000D9120000}"/>
    <cellStyle name="Followed Hyperlink 2" xfId="14636" hidden="1" xr:uid="{00000000-0005-0000-0000-0000DA120000}"/>
    <cellStyle name="Followed Hyperlink 2" xfId="14640" hidden="1" xr:uid="{00000000-0005-0000-0000-0000DB120000}"/>
    <cellStyle name="Followed Hyperlink 2" xfId="14517" hidden="1" xr:uid="{00000000-0005-0000-0000-0000DC120000}"/>
    <cellStyle name="Followed Hyperlink 2" xfId="14521" hidden="1" xr:uid="{00000000-0005-0000-0000-0000DD120000}"/>
    <cellStyle name="Followed Hyperlink 2" xfId="14516" hidden="1" xr:uid="{00000000-0005-0000-0000-0000DE120000}"/>
    <cellStyle name="Followed Hyperlink 2" xfId="14522" hidden="1" xr:uid="{00000000-0005-0000-0000-0000DF120000}"/>
    <cellStyle name="Followed Hyperlink 2" xfId="14643" hidden="1" xr:uid="{00000000-0005-0000-0000-0000E0120000}"/>
    <cellStyle name="Followed Hyperlink 2" xfId="14646" hidden="1" xr:uid="{00000000-0005-0000-0000-0000E1120000}"/>
    <cellStyle name="Followed Hyperlink 2" xfId="14649" hidden="1" xr:uid="{00000000-0005-0000-0000-0000E2120000}"/>
    <cellStyle name="Followed Hyperlink 2" xfId="14653" hidden="1" xr:uid="{00000000-0005-0000-0000-0000E3120000}"/>
    <cellStyle name="Followed Hyperlink 2" xfId="14661" hidden="1" xr:uid="{00000000-0005-0000-0000-0000E4120000}"/>
    <cellStyle name="Followed Hyperlink 2" xfId="14658" hidden="1" xr:uid="{00000000-0005-0000-0000-0000E5120000}"/>
    <cellStyle name="Followed Hyperlink 2" xfId="14656" hidden="1" xr:uid="{00000000-0005-0000-0000-0000E6120000}"/>
    <cellStyle name="Followed Hyperlink 2" xfId="14657" hidden="1" xr:uid="{00000000-0005-0000-0000-0000E7120000}"/>
    <cellStyle name="Followed Hyperlink 2" xfId="14667" hidden="1" xr:uid="{00000000-0005-0000-0000-0000E8120000}"/>
    <cellStyle name="Followed Hyperlink 2" xfId="14670" hidden="1" xr:uid="{00000000-0005-0000-0000-0000E9120000}"/>
    <cellStyle name="Followed Hyperlink 2" xfId="14673" hidden="1" xr:uid="{00000000-0005-0000-0000-0000EA120000}"/>
    <cellStyle name="Followed Hyperlink 2" xfId="14677" hidden="1" xr:uid="{00000000-0005-0000-0000-0000EB120000}"/>
    <cellStyle name="Followed Hyperlink 2" xfId="14686" hidden="1" xr:uid="{00000000-0005-0000-0000-0000EC120000}"/>
    <cellStyle name="Followed Hyperlink 2" xfId="14683" hidden="1" xr:uid="{00000000-0005-0000-0000-0000ED120000}"/>
    <cellStyle name="Followed Hyperlink 2" xfId="14681" hidden="1" xr:uid="{00000000-0005-0000-0000-0000EE120000}"/>
    <cellStyle name="Followed Hyperlink 2" xfId="14682" hidden="1" xr:uid="{00000000-0005-0000-0000-0000EF120000}"/>
    <cellStyle name="Followed Hyperlink 2" xfId="14692" hidden="1" xr:uid="{00000000-0005-0000-0000-0000F0120000}"/>
    <cellStyle name="Followed Hyperlink 2" xfId="14695" hidden="1" xr:uid="{00000000-0005-0000-0000-0000F1120000}"/>
    <cellStyle name="Followed Hyperlink 2" xfId="14698" hidden="1" xr:uid="{00000000-0005-0000-0000-0000F2120000}"/>
    <cellStyle name="Followed Hyperlink 2" xfId="14702" hidden="1" xr:uid="{00000000-0005-0000-0000-0000F3120000}"/>
    <cellStyle name="Followed Hyperlink 2" xfId="14710" hidden="1" xr:uid="{00000000-0005-0000-0000-0000F4120000}"/>
    <cellStyle name="Followed Hyperlink 2" xfId="14707" hidden="1" xr:uid="{00000000-0005-0000-0000-0000F5120000}"/>
    <cellStyle name="Followed Hyperlink 2" xfId="14705" hidden="1" xr:uid="{00000000-0005-0000-0000-0000F6120000}"/>
    <cellStyle name="Followed Hyperlink 2" xfId="14706" hidden="1" xr:uid="{00000000-0005-0000-0000-0000F7120000}"/>
    <cellStyle name="Followed Hyperlink 2" xfId="14716" hidden="1" xr:uid="{00000000-0005-0000-0000-0000F8120000}"/>
    <cellStyle name="Followed Hyperlink 2" xfId="14719" hidden="1" xr:uid="{00000000-0005-0000-0000-0000F9120000}"/>
    <cellStyle name="Followed Hyperlink 2" xfId="14722" hidden="1" xr:uid="{00000000-0005-0000-0000-0000FA120000}"/>
    <cellStyle name="Followed Hyperlink 2" xfId="14726" hidden="1" xr:uid="{00000000-0005-0000-0000-0000FB120000}"/>
    <cellStyle name="Followed Hyperlink 2" xfId="14535" hidden="1" xr:uid="{00000000-0005-0000-0000-0000FC120000}"/>
    <cellStyle name="Followed Hyperlink 2" xfId="14532" hidden="1" xr:uid="{00000000-0005-0000-0000-0000FD120000}"/>
    <cellStyle name="Followed Hyperlink 2" xfId="14526" hidden="1" xr:uid="{00000000-0005-0000-0000-0000FE120000}"/>
    <cellStyle name="Followed Hyperlink 2" xfId="14531" hidden="1" xr:uid="{00000000-0005-0000-0000-0000FF120000}"/>
    <cellStyle name="Followed Hyperlink 2" xfId="14729" hidden="1" xr:uid="{00000000-0005-0000-0000-000000130000}"/>
    <cellStyle name="Followed Hyperlink 2" xfId="14732" hidden="1" xr:uid="{00000000-0005-0000-0000-000001130000}"/>
    <cellStyle name="Followed Hyperlink 2" xfId="14735" hidden="1" xr:uid="{00000000-0005-0000-0000-000002130000}"/>
    <cellStyle name="Followed Hyperlink 2" xfId="14739" hidden="1" xr:uid="{00000000-0005-0000-0000-000003130000}"/>
    <cellStyle name="Followed Hyperlink 2" xfId="14747" hidden="1" xr:uid="{00000000-0005-0000-0000-000004130000}"/>
    <cellStyle name="Followed Hyperlink 2" xfId="14744" hidden="1" xr:uid="{00000000-0005-0000-0000-000005130000}"/>
    <cellStyle name="Followed Hyperlink 2" xfId="14742" hidden="1" xr:uid="{00000000-0005-0000-0000-000006130000}"/>
    <cellStyle name="Followed Hyperlink 2" xfId="14743" hidden="1" xr:uid="{00000000-0005-0000-0000-000007130000}"/>
    <cellStyle name="Followed Hyperlink 2" xfId="14753" hidden="1" xr:uid="{00000000-0005-0000-0000-000008130000}"/>
    <cellStyle name="Followed Hyperlink 2" xfId="14756" hidden="1" xr:uid="{00000000-0005-0000-0000-000009130000}"/>
    <cellStyle name="Followed Hyperlink 2" xfId="14759" hidden="1" xr:uid="{00000000-0005-0000-0000-00000A130000}"/>
    <cellStyle name="Followed Hyperlink 2" xfId="14763" hidden="1" xr:uid="{00000000-0005-0000-0000-00000B130000}"/>
    <cellStyle name="Followed Hyperlink 2" xfId="14772" hidden="1" xr:uid="{00000000-0005-0000-0000-00000C130000}"/>
    <cellStyle name="Followed Hyperlink 2" xfId="14769" hidden="1" xr:uid="{00000000-0005-0000-0000-00000D130000}"/>
    <cellStyle name="Followed Hyperlink 2" xfId="14767" hidden="1" xr:uid="{00000000-0005-0000-0000-00000E130000}"/>
    <cellStyle name="Followed Hyperlink 2" xfId="14768" hidden="1" xr:uid="{00000000-0005-0000-0000-00000F130000}"/>
    <cellStyle name="Followed Hyperlink 2" xfId="14778" hidden="1" xr:uid="{00000000-0005-0000-0000-000010130000}"/>
    <cellStyle name="Followed Hyperlink 2" xfId="14781" hidden="1" xr:uid="{00000000-0005-0000-0000-000011130000}"/>
    <cellStyle name="Followed Hyperlink 2" xfId="14784" hidden="1" xr:uid="{00000000-0005-0000-0000-000012130000}"/>
    <cellStyle name="Followed Hyperlink 2" xfId="14788" hidden="1" xr:uid="{00000000-0005-0000-0000-000013130000}"/>
    <cellStyle name="Followed Hyperlink 2" xfId="14796" hidden="1" xr:uid="{00000000-0005-0000-0000-000014130000}"/>
    <cellStyle name="Followed Hyperlink 2" xfId="14793" hidden="1" xr:uid="{00000000-0005-0000-0000-000015130000}"/>
    <cellStyle name="Followed Hyperlink 2" xfId="14791" hidden="1" xr:uid="{00000000-0005-0000-0000-000016130000}"/>
    <cellStyle name="Followed Hyperlink 2" xfId="14792" hidden="1" xr:uid="{00000000-0005-0000-0000-000017130000}"/>
    <cellStyle name="Followed Hyperlink 2" xfId="14802" hidden="1" xr:uid="{00000000-0005-0000-0000-000018130000}"/>
    <cellStyle name="Followed Hyperlink 2" xfId="14805" hidden="1" xr:uid="{00000000-0005-0000-0000-000019130000}"/>
    <cellStyle name="Followed Hyperlink 2" xfId="14808" hidden="1" xr:uid="{00000000-0005-0000-0000-00001A130000}"/>
    <cellStyle name="Followed Hyperlink 2" xfId="14812" hidden="1" xr:uid="{00000000-0005-0000-0000-00001B130000}"/>
    <cellStyle name="Followed Hyperlink 2" xfId="14543" hidden="1" xr:uid="{00000000-0005-0000-0000-00001C130000}"/>
    <cellStyle name="Followed Hyperlink 2" xfId="14539" hidden="1" xr:uid="{00000000-0005-0000-0000-00001D130000}"/>
    <cellStyle name="Followed Hyperlink 2" xfId="14540" hidden="1" xr:uid="{00000000-0005-0000-0000-00001E130000}"/>
    <cellStyle name="Followed Hyperlink 2" xfId="14527" hidden="1" xr:uid="{00000000-0005-0000-0000-00001F130000}"/>
    <cellStyle name="Followed Hyperlink 2" xfId="14815" hidden="1" xr:uid="{00000000-0005-0000-0000-000020130000}"/>
    <cellStyle name="Followed Hyperlink 2" xfId="14818" hidden="1" xr:uid="{00000000-0005-0000-0000-000021130000}"/>
    <cellStyle name="Followed Hyperlink 2" xfId="14821" hidden="1" xr:uid="{00000000-0005-0000-0000-000022130000}"/>
    <cellStyle name="Followed Hyperlink 2" xfId="14825" hidden="1" xr:uid="{00000000-0005-0000-0000-000023130000}"/>
    <cellStyle name="Followed Hyperlink 2" xfId="14833" hidden="1" xr:uid="{00000000-0005-0000-0000-000024130000}"/>
    <cellStyle name="Followed Hyperlink 2" xfId="14830" hidden="1" xr:uid="{00000000-0005-0000-0000-000025130000}"/>
    <cellStyle name="Followed Hyperlink 2" xfId="14828" hidden="1" xr:uid="{00000000-0005-0000-0000-000026130000}"/>
    <cellStyle name="Followed Hyperlink 2" xfId="14829" hidden="1" xr:uid="{00000000-0005-0000-0000-000027130000}"/>
    <cellStyle name="Followed Hyperlink 2" xfId="14839" hidden="1" xr:uid="{00000000-0005-0000-0000-000028130000}"/>
    <cellStyle name="Followed Hyperlink 2" xfId="14842" hidden="1" xr:uid="{00000000-0005-0000-0000-000029130000}"/>
    <cellStyle name="Followed Hyperlink 2" xfId="14845" hidden="1" xr:uid="{00000000-0005-0000-0000-00002A130000}"/>
    <cellStyle name="Followed Hyperlink 2" xfId="14849" hidden="1" xr:uid="{00000000-0005-0000-0000-00002B130000}"/>
    <cellStyle name="Followed Hyperlink 2" xfId="14857" hidden="1" xr:uid="{00000000-0005-0000-0000-00002C130000}"/>
    <cellStyle name="Followed Hyperlink 2" xfId="14854" hidden="1" xr:uid="{00000000-0005-0000-0000-00002D130000}"/>
    <cellStyle name="Followed Hyperlink 2" xfId="14852" hidden="1" xr:uid="{00000000-0005-0000-0000-00002E130000}"/>
    <cellStyle name="Followed Hyperlink 2" xfId="14853" hidden="1" xr:uid="{00000000-0005-0000-0000-00002F130000}"/>
    <cellStyle name="Followed Hyperlink 2" xfId="14863" hidden="1" xr:uid="{00000000-0005-0000-0000-000030130000}"/>
    <cellStyle name="Followed Hyperlink 2" xfId="14866" hidden="1" xr:uid="{00000000-0005-0000-0000-000031130000}"/>
    <cellStyle name="Followed Hyperlink 2" xfId="14869" hidden="1" xr:uid="{00000000-0005-0000-0000-000032130000}"/>
    <cellStyle name="Followed Hyperlink 2" xfId="14873" hidden="1" xr:uid="{00000000-0005-0000-0000-000033130000}"/>
    <cellStyle name="Followed Hyperlink 2" xfId="14881" hidden="1" xr:uid="{00000000-0005-0000-0000-000034130000}"/>
    <cellStyle name="Followed Hyperlink 2" xfId="14878" hidden="1" xr:uid="{00000000-0005-0000-0000-000035130000}"/>
    <cellStyle name="Followed Hyperlink 2" xfId="14876" hidden="1" xr:uid="{00000000-0005-0000-0000-000036130000}"/>
    <cellStyle name="Followed Hyperlink 2" xfId="14877" hidden="1" xr:uid="{00000000-0005-0000-0000-000037130000}"/>
    <cellStyle name="Followed Hyperlink 2" xfId="14887" hidden="1" xr:uid="{00000000-0005-0000-0000-000038130000}"/>
    <cellStyle name="Followed Hyperlink 2" xfId="14890" hidden="1" xr:uid="{00000000-0005-0000-0000-000039130000}"/>
    <cellStyle name="Followed Hyperlink 2" xfId="14893" hidden="1" xr:uid="{00000000-0005-0000-0000-00003A130000}"/>
    <cellStyle name="Followed Hyperlink 2" xfId="14897" hidden="1" xr:uid="{00000000-0005-0000-0000-00003B130000}"/>
    <cellStyle name="Followed Hyperlink 2" xfId="8868" hidden="1" xr:uid="{00000000-0005-0000-0000-00003C130000}"/>
    <cellStyle name="Followed Hyperlink 2" xfId="8864" hidden="1" xr:uid="{00000000-0005-0000-0000-00003D130000}"/>
    <cellStyle name="Followed Hyperlink 2" xfId="8865" hidden="1" xr:uid="{00000000-0005-0000-0000-00003E130000}"/>
    <cellStyle name="Followed Hyperlink 2" xfId="8852" hidden="1" xr:uid="{00000000-0005-0000-0000-00003F130000}"/>
    <cellStyle name="Followed Hyperlink 2" xfId="14900" hidden="1" xr:uid="{00000000-0005-0000-0000-000040130000}"/>
    <cellStyle name="Followed Hyperlink 2" xfId="14903" hidden="1" xr:uid="{00000000-0005-0000-0000-000041130000}"/>
    <cellStyle name="Followed Hyperlink 2" xfId="14906" hidden="1" xr:uid="{00000000-0005-0000-0000-000042130000}"/>
    <cellStyle name="Followed Hyperlink 2" xfId="14910" hidden="1" xr:uid="{00000000-0005-0000-0000-000043130000}"/>
    <cellStyle name="Followed Hyperlink 2" xfId="14918" hidden="1" xr:uid="{00000000-0005-0000-0000-000044130000}"/>
    <cellStyle name="Followed Hyperlink 2" xfId="14915" hidden="1" xr:uid="{00000000-0005-0000-0000-000045130000}"/>
    <cellStyle name="Followed Hyperlink 2" xfId="14913" hidden="1" xr:uid="{00000000-0005-0000-0000-000046130000}"/>
    <cellStyle name="Followed Hyperlink 2" xfId="14914" hidden="1" xr:uid="{00000000-0005-0000-0000-000047130000}"/>
    <cellStyle name="Followed Hyperlink 2" xfId="14924" hidden="1" xr:uid="{00000000-0005-0000-0000-000048130000}"/>
    <cellStyle name="Followed Hyperlink 2" xfId="14927" hidden="1" xr:uid="{00000000-0005-0000-0000-000049130000}"/>
    <cellStyle name="Followed Hyperlink 2" xfId="14930" hidden="1" xr:uid="{00000000-0005-0000-0000-00004A130000}"/>
    <cellStyle name="Followed Hyperlink 2" xfId="14934" hidden="1" xr:uid="{00000000-0005-0000-0000-00004B130000}"/>
    <cellStyle name="Followed Hyperlink 2" xfId="14942" hidden="1" xr:uid="{00000000-0005-0000-0000-00004C130000}"/>
    <cellStyle name="Followed Hyperlink 2" xfId="14939" hidden="1" xr:uid="{00000000-0005-0000-0000-00004D130000}"/>
    <cellStyle name="Followed Hyperlink 2" xfId="14937" hidden="1" xr:uid="{00000000-0005-0000-0000-00004E130000}"/>
    <cellStyle name="Followed Hyperlink 2" xfId="14938" hidden="1" xr:uid="{00000000-0005-0000-0000-00004F130000}"/>
    <cellStyle name="Followed Hyperlink 2" xfId="14948" hidden="1" xr:uid="{00000000-0005-0000-0000-000050130000}"/>
    <cellStyle name="Followed Hyperlink 2" xfId="14951" hidden="1" xr:uid="{00000000-0005-0000-0000-000051130000}"/>
    <cellStyle name="Followed Hyperlink 2" xfId="14954" hidden="1" xr:uid="{00000000-0005-0000-0000-000052130000}"/>
    <cellStyle name="Followed Hyperlink 2" xfId="14958" hidden="1" xr:uid="{00000000-0005-0000-0000-000053130000}"/>
    <cellStyle name="Followed Hyperlink 2" xfId="14966" hidden="1" xr:uid="{00000000-0005-0000-0000-000054130000}"/>
    <cellStyle name="Followed Hyperlink 2" xfId="14963" hidden="1" xr:uid="{00000000-0005-0000-0000-000055130000}"/>
    <cellStyle name="Followed Hyperlink 2" xfId="14961" hidden="1" xr:uid="{00000000-0005-0000-0000-000056130000}"/>
    <cellStyle name="Followed Hyperlink 2" xfId="14962" hidden="1" xr:uid="{00000000-0005-0000-0000-000057130000}"/>
    <cellStyle name="Followed Hyperlink 2" xfId="14972" hidden="1" xr:uid="{00000000-0005-0000-0000-000058130000}"/>
    <cellStyle name="Followed Hyperlink 2" xfId="14975" hidden="1" xr:uid="{00000000-0005-0000-0000-000059130000}"/>
    <cellStyle name="Followed Hyperlink 2" xfId="14978" hidden="1" xr:uid="{00000000-0005-0000-0000-00005A130000}"/>
    <cellStyle name="Followed Hyperlink 2" xfId="14982" hidden="1" xr:uid="{00000000-0005-0000-0000-00005B130000}"/>
    <cellStyle name="Followed Hyperlink 2" xfId="15019" hidden="1" xr:uid="{00000000-0005-0000-0000-00005C130000}"/>
    <cellStyle name="Followed Hyperlink 2" xfId="15016" hidden="1" xr:uid="{00000000-0005-0000-0000-00005D130000}"/>
    <cellStyle name="Followed Hyperlink 2" xfId="15014" hidden="1" xr:uid="{00000000-0005-0000-0000-00005E130000}"/>
    <cellStyle name="Followed Hyperlink 2" xfId="15015" hidden="1" xr:uid="{00000000-0005-0000-0000-00005F130000}"/>
    <cellStyle name="Followed Hyperlink 2" xfId="15025" hidden="1" xr:uid="{00000000-0005-0000-0000-000060130000}"/>
    <cellStyle name="Followed Hyperlink 2" xfId="15028" hidden="1" xr:uid="{00000000-0005-0000-0000-000061130000}"/>
    <cellStyle name="Followed Hyperlink 2" xfId="15031" hidden="1" xr:uid="{00000000-0005-0000-0000-000062130000}"/>
    <cellStyle name="Followed Hyperlink 2" xfId="15035" hidden="1" xr:uid="{00000000-0005-0000-0000-000063130000}"/>
    <cellStyle name="Followed Hyperlink 2" xfId="15043" hidden="1" xr:uid="{00000000-0005-0000-0000-000064130000}"/>
    <cellStyle name="Followed Hyperlink 2" xfId="15040" hidden="1" xr:uid="{00000000-0005-0000-0000-000065130000}"/>
    <cellStyle name="Followed Hyperlink 2" xfId="15038" hidden="1" xr:uid="{00000000-0005-0000-0000-000066130000}"/>
    <cellStyle name="Followed Hyperlink 2" xfId="15039" hidden="1" xr:uid="{00000000-0005-0000-0000-000067130000}"/>
    <cellStyle name="Followed Hyperlink 2" xfId="15049" hidden="1" xr:uid="{00000000-0005-0000-0000-000068130000}"/>
    <cellStyle name="Followed Hyperlink 2" xfId="15052" hidden="1" xr:uid="{00000000-0005-0000-0000-000069130000}"/>
    <cellStyle name="Followed Hyperlink 2" xfId="15055" hidden="1" xr:uid="{00000000-0005-0000-0000-00006A130000}"/>
    <cellStyle name="Followed Hyperlink 2" xfId="15059" hidden="1" xr:uid="{00000000-0005-0000-0000-00006B130000}"/>
    <cellStyle name="Followed Hyperlink 2" xfId="15069" hidden="1" xr:uid="{00000000-0005-0000-0000-00006C130000}"/>
    <cellStyle name="Followed Hyperlink 2" xfId="15066" hidden="1" xr:uid="{00000000-0005-0000-0000-00006D130000}"/>
    <cellStyle name="Followed Hyperlink 2" xfId="15064" hidden="1" xr:uid="{00000000-0005-0000-0000-00006E130000}"/>
    <cellStyle name="Followed Hyperlink 2" xfId="15065" hidden="1" xr:uid="{00000000-0005-0000-0000-00006F130000}"/>
    <cellStyle name="Followed Hyperlink 2" xfId="15075" hidden="1" xr:uid="{00000000-0005-0000-0000-000070130000}"/>
    <cellStyle name="Followed Hyperlink 2" xfId="15078" hidden="1" xr:uid="{00000000-0005-0000-0000-000071130000}"/>
    <cellStyle name="Followed Hyperlink 2" xfId="15081" hidden="1" xr:uid="{00000000-0005-0000-0000-000072130000}"/>
    <cellStyle name="Followed Hyperlink 2" xfId="15085" hidden="1" xr:uid="{00000000-0005-0000-0000-000073130000}"/>
    <cellStyle name="Followed Hyperlink 2" xfId="15093" hidden="1" xr:uid="{00000000-0005-0000-0000-000074130000}"/>
    <cellStyle name="Followed Hyperlink 2" xfId="15090" hidden="1" xr:uid="{00000000-0005-0000-0000-000075130000}"/>
    <cellStyle name="Followed Hyperlink 2" xfId="15088" hidden="1" xr:uid="{00000000-0005-0000-0000-000076130000}"/>
    <cellStyle name="Followed Hyperlink 2" xfId="15089" hidden="1" xr:uid="{00000000-0005-0000-0000-000077130000}"/>
    <cellStyle name="Followed Hyperlink 2" xfId="15099" hidden="1" xr:uid="{00000000-0005-0000-0000-000078130000}"/>
    <cellStyle name="Followed Hyperlink 2" xfId="15102" hidden="1" xr:uid="{00000000-0005-0000-0000-000079130000}"/>
    <cellStyle name="Followed Hyperlink 2" xfId="15105" hidden="1" xr:uid="{00000000-0005-0000-0000-00007A130000}"/>
    <cellStyle name="Followed Hyperlink 2" xfId="15109" hidden="1" xr:uid="{00000000-0005-0000-0000-00007B130000}"/>
    <cellStyle name="Followed Hyperlink 2" xfId="15146" hidden="1" xr:uid="{00000000-0005-0000-0000-00007C130000}"/>
    <cellStyle name="Followed Hyperlink 2" xfId="15143" hidden="1" xr:uid="{00000000-0005-0000-0000-00007D130000}"/>
    <cellStyle name="Followed Hyperlink 2" xfId="15141" hidden="1" xr:uid="{00000000-0005-0000-0000-00007E130000}"/>
    <cellStyle name="Followed Hyperlink 2" xfId="15142" hidden="1" xr:uid="{00000000-0005-0000-0000-00007F130000}"/>
    <cellStyle name="Followed Hyperlink 2" xfId="15152" hidden="1" xr:uid="{00000000-0005-0000-0000-000080130000}"/>
    <cellStyle name="Followed Hyperlink 2" xfId="15155" hidden="1" xr:uid="{00000000-0005-0000-0000-000081130000}"/>
    <cellStyle name="Followed Hyperlink 2" xfId="15158" hidden="1" xr:uid="{00000000-0005-0000-0000-000082130000}"/>
    <cellStyle name="Followed Hyperlink 2" xfId="15162" hidden="1" xr:uid="{00000000-0005-0000-0000-000083130000}"/>
    <cellStyle name="Followed Hyperlink 2" xfId="15170" hidden="1" xr:uid="{00000000-0005-0000-0000-000084130000}"/>
    <cellStyle name="Followed Hyperlink 2" xfId="15167" hidden="1" xr:uid="{00000000-0005-0000-0000-000085130000}"/>
    <cellStyle name="Followed Hyperlink 2" xfId="15165" hidden="1" xr:uid="{00000000-0005-0000-0000-000086130000}"/>
    <cellStyle name="Followed Hyperlink 2" xfId="15166" hidden="1" xr:uid="{00000000-0005-0000-0000-000087130000}"/>
    <cellStyle name="Followed Hyperlink 2" xfId="15176" hidden="1" xr:uid="{00000000-0005-0000-0000-000088130000}"/>
    <cellStyle name="Followed Hyperlink 2" xfId="15179" hidden="1" xr:uid="{00000000-0005-0000-0000-000089130000}"/>
    <cellStyle name="Followed Hyperlink 2" xfId="15182" hidden="1" xr:uid="{00000000-0005-0000-0000-00008A130000}"/>
    <cellStyle name="Followed Hyperlink 2" xfId="15186" hidden="1" xr:uid="{00000000-0005-0000-0000-00008B130000}"/>
    <cellStyle name="Followed Hyperlink 2" xfId="15196" hidden="1" xr:uid="{00000000-0005-0000-0000-00008C130000}"/>
    <cellStyle name="Followed Hyperlink 2" xfId="15193" hidden="1" xr:uid="{00000000-0005-0000-0000-00008D130000}"/>
    <cellStyle name="Followed Hyperlink 2" xfId="15191" hidden="1" xr:uid="{00000000-0005-0000-0000-00008E130000}"/>
    <cellStyle name="Followed Hyperlink 2" xfId="15192" hidden="1" xr:uid="{00000000-0005-0000-0000-00008F130000}"/>
    <cellStyle name="Followed Hyperlink 2" xfId="15202" hidden="1" xr:uid="{00000000-0005-0000-0000-000090130000}"/>
    <cellStyle name="Followed Hyperlink 2" xfId="15205" hidden="1" xr:uid="{00000000-0005-0000-0000-000091130000}"/>
    <cellStyle name="Followed Hyperlink 2" xfId="15208" hidden="1" xr:uid="{00000000-0005-0000-0000-000092130000}"/>
    <cellStyle name="Followed Hyperlink 2" xfId="15212" hidden="1" xr:uid="{00000000-0005-0000-0000-000093130000}"/>
    <cellStyle name="Followed Hyperlink 2" xfId="15220" hidden="1" xr:uid="{00000000-0005-0000-0000-000094130000}"/>
    <cellStyle name="Followed Hyperlink 2" xfId="15217" hidden="1" xr:uid="{00000000-0005-0000-0000-000095130000}"/>
    <cellStyle name="Followed Hyperlink 2" xfId="15215" hidden="1" xr:uid="{00000000-0005-0000-0000-000096130000}"/>
    <cellStyle name="Followed Hyperlink 2" xfId="15216" hidden="1" xr:uid="{00000000-0005-0000-0000-000097130000}"/>
    <cellStyle name="Followed Hyperlink 2" xfId="15226" hidden="1" xr:uid="{00000000-0005-0000-0000-000098130000}"/>
    <cellStyle name="Followed Hyperlink 2" xfId="15229" hidden="1" xr:uid="{00000000-0005-0000-0000-000099130000}"/>
    <cellStyle name="Followed Hyperlink 2" xfId="15232" hidden="1" xr:uid="{00000000-0005-0000-0000-00009A130000}"/>
    <cellStyle name="Followed Hyperlink 2" xfId="15236" hidden="1" xr:uid="{00000000-0005-0000-0000-00009B130000}"/>
    <cellStyle name="Followed Hyperlink 2" xfId="15113" hidden="1" xr:uid="{00000000-0005-0000-0000-00009C130000}"/>
    <cellStyle name="Followed Hyperlink 2" xfId="15117" hidden="1" xr:uid="{00000000-0005-0000-0000-00009D130000}"/>
    <cellStyle name="Followed Hyperlink 2" xfId="15112" hidden="1" xr:uid="{00000000-0005-0000-0000-00009E130000}"/>
    <cellStyle name="Followed Hyperlink 2" xfId="15118" hidden="1" xr:uid="{00000000-0005-0000-0000-00009F130000}"/>
    <cellStyle name="Followed Hyperlink 2" xfId="15239" hidden="1" xr:uid="{00000000-0005-0000-0000-0000A0130000}"/>
    <cellStyle name="Followed Hyperlink 2" xfId="15242" hidden="1" xr:uid="{00000000-0005-0000-0000-0000A1130000}"/>
    <cellStyle name="Followed Hyperlink 2" xfId="15245" hidden="1" xr:uid="{00000000-0005-0000-0000-0000A2130000}"/>
    <cellStyle name="Followed Hyperlink 2" xfId="15249" hidden="1" xr:uid="{00000000-0005-0000-0000-0000A3130000}"/>
    <cellStyle name="Followed Hyperlink 2" xfId="15257" hidden="1" xr:uid="{00000000-0005-0000-0000-0000A4130000}"/>
    <cellStyle name="Followed Hyperlink 2" xfId="15254" hidden="1" xr:uid="{00000000-0005-0000-0000-0000A5130000}"/>
    <cellStyle name="Followed Hyperlink 2" xfId="15252" hidden="1" xr:uid="{00000000-0005-0000-0000-0000A6130000}"/>
    <cellStyle name="Followed Hyperlink 2" xfId="15253" hidden="1" xr:uid="{00000000-0005-0000-0000-0000A7130000}"/>
    <cellStyle name="Followed Hyperlink 2" xfId="15263" hidden="1" xr:uid="{00000000-0005-0000-0000-0000A8130000}"/>
    <cellStyle name="Followed Hyperlink 2" xfId="15266" hidden="1" xr:uid="{00000000-0005-0000-0000-0000A9130000}"/>
    <cellStyle name="Followed Hyperlink 2" xfId="15269" hidden="1" xr:uid="{00000000-0005-0000-0000-0000AA130000}"/>
    <cellStyle name="Followed Hyperlink 2" xfId="15273" hidden="1" xr:uid="{00000000-0005-0000-0000-0000AB130000}"/>
    <cellStyle name="Followed Hyperlink 2" xfId="15282" hidden="1" xr:uid="{00000000-0005-0000-0000-0000AC130000}"/>
    <cellStyle name="Followed Hyperlink 2" xfId="15279" hidden="1" xr:uid="{00000000-0005-0000-0000-0000AD130000}"/>
    <cellStyle name="Followed Hyperlink 2" xfId="15277" hidden="1" xr:uid="{00000000-0005-0000-0000-0000AE130000}"/>
    <cellStyle name="Followed Hyperlink 2" xfId="15278" hidden="1" xr:uid="{00000000-0005-0000-0000-0000AF130000}"/>
    <cellStyle name="Followed Hyperlink 2" xfId="15288" hidden="1" xr:uid="{00000000-0005-0000-0000-0000B0130000}"/>
    <cellStyle name="Followed Hyperlink 2" xfId="15291" hidden="1" xr:uid="{00000000-0005-0000-0000-0000B1130000}"/>
    <cellStyle name="Followed Hyperlink 2" xfId="15294" hidden="1" xr:uid="{00000000-0005-0000-0000-0000B2130000}"/>
    <cellStyle name="Followed Hyperlink 2" xfId="15298" hidden="1" xr:uid="{00000000-0005-0000-0000-0000B3130000}"/>
    <cellStyle name="Followed Hyperlink 2" xfId="15306" hidden="1" xr:uid="{00000000-0005-0000-0000-0000B4130000}"/>
    <cellStyle name="Followed Hyperlink 2" xfId="15303" hidden="1" xr:uid="{00000000-0005-0000-0000-0000B5130000}"/>
    <cellStyle name="Followed Hyperlink 2" xfId="15301" hidden="1" xr:uid="{00000000-0005-0000-0000-0000B6130000}"/>
    <cellStyle name="Followed Hyperlink 2" xfId="15302" hidden="1" xr:uid="{00000000-0005-0000-0000-0000B7130000}"/>
    <cellStyle name="Followed Hyperlink 2" xfId="15312" hidden="1" xr:uid="{00000000-0005-0000-0000-0000B8130000}"/>
    <cellStyle name="Followed Hyperlink 2" xfId="15315" hidden="1" xr:uid="{00000000-0005-0000-0000-0000B9130000}"/>
    <cellStyle name="Followed Hyperlink 2" xfId="15318" hidden="1" xr:uid="{00000000-0005-0000-0000-0000BA130000}"/>
    <cellStyle name="Followed Hyperlink 2" xfId="15322" hidden="1" xr:uid="{00000000-0005-0000-0000-0000BB130000}"/>
    <cellStyle name="Followed Hyperlink 2" xfId="15131" hidden="1" xr:uid="{00000000-0005-0000-0000-0000BC130000}"/>
    <cellStyle name="Followed Hyperlink 2" xfId="15128" hidden="1" xr:uid="{00000000-0005-0000-0000-0000BD130000}"/>
    <cellStyle name="Followed Hyperlink 2" xfId="15122" hidden="1" xr:uid="{00000000-0005-0000-0000-0000BE130000}"/>
    <cellStyle name="Followed Hyperlink 2" xfId="15127" hidden="1" xr:uid="{00000000-0005-0000-0000-0000BF130000}"/>
    <cellStyle name="Followed Hyperlink 2" xfId="15325" hidden="1" xr:uid="{00000000-0005-0000-0000-0000C0130000}"/>
    <cellStyle name="Followed Hyperlink 2" xfId="15328" hidden="1" xr:uid="{00000000-0005-0000-0000-0000C1130000}"/>
    <cellStyle name="Followed Hyperlink 2" xfId="15331" hidden="1" xr:uid="{00000000-0005-0000-0000-0000C2130000}"/>
    <cellStyle name="Followed Hyperlink 2" xfId="15335" hidden="1" xr:uid="{00000000-0005-0000-0000-0000C3130000}"/>
    <cellStyle name="Followed Hyperlink 2" xfId="15343" hidden="1" xr:uid="{00000000-0005-0000-0000-0000C4130000}"/>
    <cellStyle name="Followed Hyperlink 2" xfId="15340" hidden="1" xr:uid="{00000000-0005-0000-0000-0000C5130000}"/>
    <cellStyle name="Followed Hyperlink 2" xfId="15338" hidden="1" xr:uid="{00000000-0005-0000-0000-0000C6130000}"/>
    <cellStyle name="Followed Hyperlink 2" xfId="15339" hidden="1" xr:uid="{00000000-0005-0000-0000-0000C7130000}"/>
    <cellStyle name="Followed Hyperlink 2" xfId="15349" hidden="1" xr:uid="{00000000-0005-0000-0000-0000C8130000}"/>
    <cellStyle name="Followed Hyperlink 2" xfId="15352" hidden="1" xr:uid="{00000000-0005-0000-0000-0000C9130000}"/>
    <cellStyle name="Followed Hyperlink 2" xfId="15355" hidden="1" xr:uid="{00000000-0005-0000-0000-0000CA130000}"/>
    <cellStyle name="Followed Hyperlink 2" xfId="15359" hidden="1" xr:uid="{00000000-0005-0000-0000-0000CB130000}"/>
    <cellStyle name="Followed Hyperlink 2" xfId="15368" hidden="1" xr:uid="{00000000-0005-0000-0000-0000CC130000}"/>
    <cellStyle name="Followed Hyperlink 2" xfId="15365" hidden="1" xr:uid="{00000000-0005-0000-0000-0000CD130000}"/>
    <cellStyle name="Followed Hyperlink 2" xfId="15363" hidden="1" xr:uid="{00000000-0005-0000-0000-0000CE130000}"/>
    <cellStyle name="Followed Hyperlink 2" xfId="15364" hidden="1" xr:uid="{00000000-0005-0000-0000-0000CF130000}"/>
    <cellStyle name="Followed Hyperlink 2" xfId="15374" hidden="1" xr:uid="{00000000-0005-0000-0000-0000D0130000}"/>
    <cellStyle name="Followed Hyperlink 2" xfId="15377" hidden="1" xr:uid="{00000000-0005-0000-0000-0000D1130000}"/>
    <cellStyle name="Followed Hyperlink 2" xfId="15380" hidden="1" xr:uid="{00000000-0005-0000-0000-0000D2130000}"/>
    <cellStyle name="Followed Hyperlink 2" xfId="15384" hidden="1" xr:uid="{00000000-0005-0000-0000-0000D3130000}"/>
    <cellStyle name="Followed Hyperlink 2" xfId="15392" hidden="1" xr:uid="{00000000-0005-0000-0000-0000D4130000}"/>
    <cellStyle name="Followed Hyperlink 2" xfId="15389" hidden="1" xr:uid="{00000000-0005-0000-0000-0000D5130000}"/>
    <cellStyle name="Followed Hyperlink 2" xfId="15387" hidden="1" xr:uid="{00000000-0005-0000-0000-0000D6130000}"/>
    <cellStyle name="Followed Hyperlink 2" xfId="15388" hidden="1" xr:uid="{00000000-0005-0000-0000-0000D7130000}"/>
    <cellStyle name="Followed Hyperlink 2" xfId="15398" hidden="1" xr:uid="{00000000-0005-0000-0000-0000D8130000}"/>
    <cellStyle name="Followed Hyperlink 2" xfId="15401" hidden="1" xr:uid="{00000000-0005-0000-0000-0000D9130000}"/>
    <cellStyle name="Followed Hyperlink 2" xfId="15404" hidden="1" xr:uid="{00000000-0005-0000-0000-0000DA130000}"/>
    <cellStyle name="Followed Hyperlink 2" xfId="15408" hidden="1" xr:uid="{00000000-0005-0000-0000-0000DB130000}"/>
    <cellStyle name="Followed Hyperlink 2" xfId="15139" hidden="1" xr:uid="{00000000-0005-0000-0000-0000DC130000}"/>
    <cellStyle name="Followed Hyperlink 2" xfId="15135" hidden="1" xr:uid="{00000000-0005-0000-0000-0000DD130000}"/>
    <cellStyle name="Followed Hyperlink 2" xfId="15136" hidden="1" xr:uid="{00000000-0005-0000-0000-0000DE130000}"/>
    <cellStyle name="Followed Hyperlink 2" xfId="15123" hidden="1" xr:uid="{00000000-0005-0000-0000-0000DF130000}"/>
    <cellStyle name="Followed Hyperlink 2" xfId="15411" hidden="1" xr:uid="{00000000-0005-0000-0000-0000E0130000}"/>
    <cellStyle name="Followed Hyperlink 2" xfId="15414" hidden="1" xr:uid="{00000000-0005-0000-0000-0000E1130000}"/>
    <cellStyle name="Followed Hyperlink 2" xfId="15417" hidden="1" xr:uid="{00000000-0005-0000-0000-0000E2130000}"/>
    <cellStyle name="Followed Hyperlink 2" xfId="15421" hidden="1" xr:uid="{00000000-0005-0000-0000-0000E3130000}"/>
    <cellStyle name="Followed Hyperlink 2" xfId="15429" hidden="1" xr:uid="{00000000-0005-0000-0000-0000E4130000}"/>
    <cellStyle name="Followed Hyperlink 2" xfId="15426" hidden="1" xr:uid="{00000000-0005-0000-0000-0000E5130000}"/>
    <cellStyle name="Followed Hyperlink 2" xfId="15424" hidden="1" xr:uid="{00000000-0005-0000-0000-0000E6130000}"/>
    <cellStyle name="Followed Hyperlink 2" xfId="15425" hidden="1" xr:uid="{00000000-0005-0000-0000-0000E7130000}"/>
    <cellStyle name="Followed Hyperlink 2" xfId="15435" hidden="1" xr:uid="{00000000-0005-0000-0000-0000E8130000}"/>
    <cellStyle name="Followed Hyperlink 2" xfId="15438" hidden="1" xr:uid="{00000000-0005-0000-0000-0000E9130000}"/>
    <cellStyle name="Followed Hyperlink 2" xfId="15441" hidden="1" xr:uid="{00000000-0005-0000-0000-0000EA130000}"/>
    <cellStyle name="Followed Hyperlink 2" xfId="15445" hidden="1" xr:uid="{00000000-0005-0000-0000-0000EB130000}"/>
    <cellStyle name="Followed Hyperlink 2" xfId="15453" hidden="1" xr:uid="{00000000-0005-0000-0000-0000EC130000}"/>
    <cellStyle name="Followed Hyperlink 2" xfId="15450" hidden="1" xr:uid="{00000000-0005-0000-0000-0000ED130000}"/>
    <cellStyle name="Followed Hyperlink 2" xfId="15448" hidden="1" xr:uid="{00000000-0005-0000-0000-0000EE130000}"/>
    <cellStyle name="Followed Hyperlink 2" xfId="15449" hidden="1" xr:uid="{00000000-0005-0000-0000-0000EF130000}"/>
    <cellStyle name="Followed Hyperlink 2" xfId="15459" hidden="1" xr:uid="{00000000-0005-0000-0000-0000F0130000}"/>
    <cellStyle name="Followed Hyperlink 2" xfId="15462" hidden="1" xr:uid="{00000000-0005-0000-0000-0000F1130000}"/>
    <cellStyle name="Followed Hyperlink 2" xfId="15465" hidden="1" xr:uid="{00000000-0005-0000-0000-0000F2130000}"/>
    <cellStyle name="Followed Hyperlink 2" xfId="15469" hidden="1" xr:uid="{00000000-0005-0000-0000-0000F3130000}"/>
    <cellStyle name="Followed Hyperlink 2" xfId="15477" hidden="1" xr:uid="{00000000-0005-0000-0000-0000F4130000}"/>
    <cellStyle name="Followed Hyperlink 2" xfId="15474" hidden="1" xr:uid="{00000000-0005-0000-0000-0000F5130000}"/>
    <cellStyle name="Followed Hyperlink 2" xfId="15472" hidden="1" xr:uid="{00000000-0005-0000-0000-0000F6130000}"/>
    <cellStyle name="Followed Hyperlink 2" xfId="15473" hidden="1" xr:uid="{00000000-0005-0000-0000-0000F7130000}"/>
    <cellStyle name="Followed Hyperlink 2" xfId="15483" hidden="1" xr:uid="{00000000-0005-0000-0000-0000F8130000}"/>
    <cellStyle name="Followed Hyperlink 2" xfId="15486" hidden="1" xr:uid="{00000000-0005-0000-0000-0000F9130000}"/>
    <cellStyle name="Followed Hyperlink 2" xfId="15489" hidden="1" xr:uid="{00000000-0005-0000-0000-0000FA130000}"/>
    <cellStyle name="Followed Hyperlink 2" xfId="15493" hidden="1" xr:uid="{00000000-0005-0000-0000-0000FB130000}"/>
    <cellStyle name="Followed Hyperlink 2" xfId="14986" hidden="1" xr:uid="{00000000-0005-0000-0000-0000FC130000}"/>
    <cellStyle name="Followed Hyperlink 2" xfId="14990" hidden="1" xr:uid="{00000000-0005-0000-0000-0000FD130000}"/>
    <cellStyle name="Followed Hyperlink 2" xfId="14985" hidden="1" xr:uid="{00000000-0005-0000-0000-0000FE130000}"/>
    <cellStyle name="Followed Hyperlink 2" xfId="14991" hidden="1" xr:uid="{00000000-0005-0000-0000-0000FF130000}"/>
    <cellStyle name="Followed Hyperlink 2" xfId="15496" hidden="1" xr:uid="{00000000-0005-0000-0000-000000140000}"/>
    <cellStyle name="Followed Hyperlink 2" xfId="15499" hidden="1" xr:uid="{00000000-0005-0000-0000-000001140000}"/>
    <cellStyle name="Followed Hyperlink 2" xfId="15502" hidden="1" xr:uid="{00000000-0005-0000-0000-000002140000}"/>
    <cellStyle name="Followed Hyperlink 2" xfId="15506" hidden="1" xr:uid="{00000000-0005-0000-0000-000003140000}"/>
    <cellStyle name="Followed Hyperlink 2" xfId="15514" hidden="1" xr:uid="{00000000-0005-0000-0000-000004140000}"/>
    <cellStyle name="Followed Hyperlink 2" xfId="15511" hidden="1" xr:uid="{00000000-0005-0000-0000-000005140000}"/>
    <cellStyle name="Followed Hyperlink 2" xfId="15509" hidden="1" xr:uid="{00000000-0005-0000-0000-000006140000}"/>
    <cellStyle name="Followed Hyperlink 2" xfId="15510" hidden="1" xr:uid="{00000000-0005-0000-0000-000007140000}"/>
    <cellStyle name="Followed Hyperlink 2" xfId="15520" hidden="1" xr:uid="{00000000-0005-0000-0000-000008140000}"/>
    <cellStyle name="Followed Hyperlink 2" xfId="15523" hidden="1" xr:uid="{00000000-0005-0000-0000-000009140000}"/>
    <cellStyle name="Followed Hyperlink 2" xfId="15526" hidden="1" xr:uid="{00000000-0005-0000-0000-00000A140000}"/>
    <cellStyle name="Followed Hyperlink 2" xfId="15530" hidden="1" xr:uid="{00000000-0005-0000-0000-00000B140000}"/>
    <cellStyle name="Followed Hyperlink 2" xfId="15539" hidden="1" xr:uid="{00000000-0005-0000-0000-00000C140000}"/>
    <cellStyle name="Followed Hyperlink 2" xfId="15536" hidden="1" xr:uid="{00000000-0005-0000-0000-00000D140000}"/>
    <cellStyle name="Followed Hyperlink 2" xfId="15534" hidden="1" xr:uid="{00000000-0005-0000-0000-00000E140000}"/>
    <cellStyle name="Followed Hyperlink 2" xfId="15535" hidden="1" xr:uid="{00000000-0005-0000-0000-00000F140000}"/>
    <cellStyle name="Followed Hyperlink 2" xfId="15545" hidden="1" xr:uid="{00000000-0005-0000-0000-000010140000}"/>
    <cellStyle name="Followed Hyperlink 2" xfId="15548" hidden="1" xr:uid="{00000000-0005-0000-0000-000011140000}"/>
    <cellStyle name="Followed Hyperlink 2" xfId="15551" hidden="1" xr:uid="{00000000-0005-0000-0000-000012140000}"/>
    <cellStyle name="Followed Hyperlink 2" xfId="15555" hidden="1" xr:uid="{00000000-0005-0000-0000-000013140000}"/>
    <cellStyle name="Followed Hyperlink 2" xfId="15563" hidden="1" xr:uid="{00000000-0005-0000-0000-000014140000}"/>
    <cellStyle name="Followed Hyperlink 2" xfId="15560" hidden="1" xr:uid="{00000000-0005-0000-0000-000015140000}"/>
    <cellStyle name="Followed Hyperlink 2" xfId="15558" hidden="1" xr:uid="{00000000-0005-0000-0000-000016140000}"/>
    <cellStyle name="Followed Hyperlink 2" xfId="15559" hidden="1" xr:uid="{00000000-0005-0000-0000-000017140000}"/>
    <cellStyle name="Followed Hyperlink 2" xfId="15569" hidden="1" xr:uid="{00000000-0005-0000-0000-000018140000}"/>
    <cellStyle name="Followed Hyperlink 2" xfId="15572" hidden="1" xr:uid="{00000000-0005-0000-0000-000019140000}"/>
    <cellStyle name="Followed Hyperlink 2" xfId="15575" hidden="1" xr:uid="{00000000-0005-0000-0000-00001A140000}"/>
    <cellStyle name="Followed Hyperlink 2" xfId="15579" hidden="1" xr:uid="{00000000-0005-0000-0000-00001B140000}"/>
    <cellStyle name="Followed Hyperlink 2" xfId="15616" hidden="1" xr:uid="{00000000-0005-0000-0000-00001C140000}"/>
    <cellStyle name="Followed Hyperlink 2" xfId="15613" hidden="1" xr:uid="{00000000-0005-0000-0000-00001D140000}"/>
    <cellStyle name="Followed Hyperlink 2" xfId="15611" hidden="1" xr:uid="{00000000-0005-0000-0000-00001E140000}"/>
    <cellStyle name="Followed Hyperlink 2" xfId="15612" hidden="1" xr:uid="{00000000-0005-0000-0000-00001F140000}"/>
    <cellStyle name="Followed Hyperlink 2" xfId="15622" hidden="1" xr:uid="{00000000-0005-0000-0000-000020140000}"/>
    <cellStyle name="Followed Hyperlink 2" xfId="15625" hidden="1" xr:uid="{00000000-0005-0000-0000-000021140000}"/>
    <cellStyle name="Followed Hyperlink 2" xfId="15628" hidden="1" xr:uid="{00000000-0005-0000-0000-000022140000}"/>
    <cellStyle name="Followed Hyperlink 2" xfId="15632" hidden="1" xr:uid="{00000000-0005-0000-0000-000023140000}"/>
    <cellStyle name="Followed Hyperlink 2" xfId="15640" hidden="1" xr:uid="{00000000-0005-0000-0000-000024140000}"/>
    <cellStyle name="Followed Hyperlink 2" xfId="15637" hidden="1" xr:uid="{00000000-0005-0000-0000-000025140000}"/>
    <cellStyle name="Followed Hyperlink 2" xfId="15635" hidden="1" xr:uid="{00000000-0005-0000-0000-000026140000}"/>
    <cellStyle name="Followed Hyperlink 2" xfId="15636" hidden="1" xr:uid="{00000000-0005-0000-0000-000027140000}"/>
    <cellStyle name="Followed Hyperlink 2" xfId="15646" hidden="1" xr:uid="{00000000-0005-0000-0000-000028140000}"/>
    <cellStyle name="Followed Hyperlink 2" xfId="15649" hidden="1" xr:uid="{00000000-0005-0000-0000-000029140000}"/>
    <cellStyle name="Followed Hyperlink 2" xfId="15652" hidden="1" xr:uid="{00000000-0005-0000-0000-00002A140000}"/>
    <cellStyle name="Followed Hyperlink 2" xfId="15656" hidden="1" xr:uid="{00000000-0005-0000-0000-00002B140000}"/>
    <cellStyle name="Followed Hyperlink 2" xfId="15666" hidden="1" xr:uid="{00000000-0005-0000-0000-00002C140000}"/>
    <cellStyle name="Followed Hyperlink 2" xfId="15663" hidden="1" xr:uid="{00000000-0005-0000-0000-00002D140000}"/>
    <cellStyle name="Followed Hyperlink 2" xfId="15661" hidden="1" xr:uid="{00000000-0005-0000-0000-00002E140000}"/>
    <cellStyle name="Followed Hyperlink 2" xfId="15662" hidden="1" xr:uid="{00000000-0005-0000-0000-00002F140000}"/>
    <cellStyle name="Followed Hyperlink 2" xfId="15672" hidden="1" xr:uid="{00000000-0005-0000-0000-000030140000}"/>
    <cellStyle name="Followed Hyperlink 2" xfId="15675" hidden="1" xr:uid="{00000000-0005-0000-0000-000031140000}"/>
    <cellStyle name="Followed Hyperlink 2" xfId="15678" hidden="1" xr:uid="{00000000-0005-0000-0000-000032140000}"/>
    <cellStyle name="Followed Hyperlink 2" xfId="15682" hidden="1" xr:uid="{00000000-0005-0000-0000-000033140000}"/>
    <cellStyle name="Followed Hyperlink 2" xfId="15690" hidden="1" xr:uid="{00000000-0005-0000-0000-000034140000}"/>
    <cellStyle name="Followed Hyperlink 2" xfId="15687" hidden="1" xr:uid="{00000000-0005-0000-0000-000035140000}"/>
    <cellStyle name="Followed Hyperlink 2" xfId="15685" hidden="1" xr:uid="{00000000-0005-0000-0000-000036140000}"/>
    <cellStyle name="Followed Hyperlink 2" xfId="15686" hidden="1" xr:uid="{00000000-0005-0000-0000-000037140000}"/>
    <cellStyle name="Followed Hyperlink 2" xfId="15696" hidden="1" xr:uid="{00000000-0005-0000-0000-000038140000}"/>
    <cellStyle name="Followed Hyperlink 2" xfId="15699" hidden="1" xr:uid="{00000000-0005-0000-0000-000039140000}"/>
    <cellStyle name="Followed Hyperlink 2" xfId="15702" hidden="1" xr:uid="{00000000-0005-0000-0000-00003A140000}"/>
    <cellStyle name="Followed Hyperlink 2" xfId="15706" hidden="1" xr:uid="{00000000-0005-0000-0000-00003B140000}"/>
    <cellStyle name="Followed Hyperlink 2" xfId="15583" hidden="1" xr:uid="{00000000-0005-0000-0000-00003C140000}"/>
    <cellStyle name="Followed Hyperlink 2" xfId="15587" hidden="1" xr:uid="{00000000-0005-0000-0000-00003D140000}"/>
    <cellStyle name="Followed Hyperlink 2" xfId="15582" hidden="1" xr:uid="{00000000-0005-0000-0000-00003E140000}"/>
    <cellStyle name="Followed Hyperlink 2" xfId="15588" hidden="1" xr:uid="{00000000-0005-0000-0000-00003F140000}"/>
    <cellStyle name="Followed Hyperlink 2" xfId="15709" hidden="1" xr:uid="{00000000-0005-0000-0000-000040140000}"/>
    <cellStyle name="Followed Hyperlink 2" xfId="15712" hidden="1" xr:uid="{00000000-0005-0000-0000-000041140000}"/>
    <cellStyle name="Followed Hyperlink 2" xfId="15715" hidden="1" xr:uid="{00000000-0005-0000-0000-000042140000}"/>
    <cellStyle name="Followed Hyperlink 2" xfId="15719" hidden="1" xr:uid="{00000000-0005-0000-0000-000043140000}"/>
    <cellStyle name="Followed Hyperlink 2" xfId="15727" hidden="1" xr:uid="{00000000-0005-0000-0000-000044140000}"/>
    <cellStyle name="Followed Hyperlink 2" xfId="15724" hidden="1" xr:uid="{00000000-0005-0000-0000-000045140000}"/>
    <cellStyle name="Followed Hyperlink 2" xfId="15722" hidden="1" xr:uid="{00000000-0005-0000-0000-000046140000}"/>
    <cellStyle name="Followed Hyperlink 2" xfId="15723" hidden="1" xr:uid="{00000000-0005-0000-0000-000047140000}"/>
    <cellStyle name="Followed Hyperlink 2" xfId="15733" hidden="1" xr:uid="{00000000-0005-0000-0000-000048140000}"/>
    <cellStyle name="Followed Hyperlink 2" xfId="15736" hidden="1" xr:uid="{00000000-0005-0000-0000-000049140000}"/>
    <cellStyle name="Followed Hyperlink 2" xfId="15739" hidden="1" xr:uid="{00000000-0005-0000-0000-00004A140000}"/>
    <cellStyle name="Followed Hyperlink 2" xfId="15743" hidden="1" xr:uid="{00000000-0005-0000-0000-00004B140000}"/>
    <cellStyle name="Followed Hyperlink 2" xfId="15752" hidden="1" xr:uid="{00000000-0005-0000-0000-00004C140000}"/>
    <cellStyle name="Followed Hyperlink 2" xfId="15749" hidden="1" xr:uid="{00000000-0005-0000-0000-00004D140000}"/>
    <cellStyle name="Followed Hyperlink 2" xfId="15747" hidden="1" xr:uid="{00000000-0005-0000-0000-00004E140000}"/>
    <cellStyle name="Followed Hyperlink 2" xfId="15748" hidden="1" xr:uid="{00000000-0005-0000-0000-00004F140000}"/>
    <cellStyle name="Followed Hyperlink 2" xfId="15758" hidden="1" xr:uid="{00000000-0005-0000-0000-000050140000}"/>
    <cellStyle name="Followed Hyperlink 2" xfId="15761" hidden="1" xr:uid="{00000000-0005-0000-0000-000051140000}"/>
    <cellStyle name="Followed Hyperlink 2" xfId="15764" hidden="1" xr:uid="{00000000-0005-0000-0000-000052140000}"/>
    <cellStyle name="Followed Hyperlink 2" xfId="15768" hidden="1" xr:uid="{00000000-0005-0000-0000-000053140000}"/>
    <cellStyle name="Followed Hyperlink 2" xfId="15776" hidden="1" xr:uid="{00000000-0005-0000-0000-000054140000}"/>
    <cellStyle name="Followed Hyperlink 2" xfId="15773" hidden="1" xr:uid="{00000000-0005-0000-0000-000055140000}"/>
    <cellStyle name="Followed Hyperlink 2" xfId="15771" hidden="1" xr:uid="{00000000-0005-0000-0000-000056140000}"/>
    <cellStyle name="Followed Hyperlink 2" xfId="15772" hidden="1" xr:uid="{00000000-0005-0000-0000-000057140000}"/>
    <cellStyle name="Followed Hyperlink 2" xfId="15782" hidden="1" xr:uid="{00000000-0005-0000-0000-000058140000}"/>
    <cellStyle name="Followed Hyperlink 2" xfId="15785" hidden="1" xr:uid="{00000000-0005-0000-0000-000059140000}"/>
    <cellStyle name="Followed Hyperlink 2" xfId="15788" hidden="1" xr:uid="{00000000-0005-0000-0000-00005A140000}"/>
    <cellStyle name="Followed Hyperlink 2" xfId="15792" hidden="1" xr:uid="{00000000-0005-0000-0000-00005B140000}"/>
    <cellStyle name="Followed Hyperlink 2" xfId="15601" hidden="1" xr:uid="{00000000-0005-0000-0000-00005C140000}"/>
    <cellStyle name="Followed Hyperlink 2" xfId="15598" hidden="1" xr:uid="{00000000-0005-0000-0000-00005D140000}"/>
    <cellStyle name="Followed Hyperlink 2" xfId="15592" hidden="1" xr:uid="{00000000-0005-0000-0000-00005E140000}"/>
    <cellStyle name="Followed Hyperlink 2" xfId="15597" hidden="1" xr:uid="{00000000-0005-0000-0000-00005F140000}"/>
    <cellStyle name="Followed Hyperlink 2" xfId="15795" hidden="1" xr:uid="{00000000-0005-0000-0000-000060140000}"/>
    <cellStyle name="Followed Hyperlink 2" xfId="15798" hidden="1" xr:uid="{00000000-0005-0000-0000-000061140000}"/>
    <cellStyle name="Followed Hyperlink 2" xfId="15801" hidden="1" xr:uid="{00000000-0005-0000-0000-000062140000}"/>
    <cellStyle name="Followed Hyperlink 2" xfId="15805" hidden="1" xr:uid="{00000000-0005-0000-0000-000063140000}"/>
    <cellStyle name="Followed Hyperlink 2" xfId="15813" hidden="1" xr:uid="{00000000-0005-0000-0000-000064140000}"/>
    <cellStyle name="Followed Hyperlink 2" xfId="15810" hidden="1" xr:uid="{00000000-0005-0000-0000-000065140000}"/>
    <cellStyle name="Followed Hyperlink 2" xfId="15808" hidden="1" xr:uid="{00000000-0005-0000-0000-000066140000}"/>
    <cellStyle name="Followed Hyperlink 2" xfId="15809" hidden="1" xr:uid="{00000000-0005-0000-0000-000067140000}"/>
    <cellStyle name="Followed Hyperlink 2" xfId="15819" hidden="1" xr:uid="{00000000-0005-0000-0000-000068140000}"/>
    <cellStyle name="Followed Hyperlink 2" xfId="15822" hidden="1" xr:uid="{00000000-0005-0000-0000-000069140000}"/>
    <cellStyle name="Followed Hyperlink 2" xfId="15825" hidden="1" xr:uid="{00000000-0005-0000-0000-00006A140000}"/>
    <cellStyle name="Followed Hyperlink 2" xfId="15829" hidden="1" xr:uid="{00000000-0005-0000-0000-00006B140000}"/>
    <cellStyle name="Followed Hyperlink 2" xfId="15838" hidden="1" xr:uid="{00000000-0005-0000-0000-00006C140000}"/>
    <cellStyle name="Followed Hyperlink 2" xfId="15835" hidden="1" xr:uid="{00000000-0005-0000-0000-00006D140000}"/>
    <cellStyle name="Followed Hyperlink 2" xfId="15833" hidden="1" xr:uid="{00000000-0005-0000-0000-00006E140000}"/>
    <cellStyle name="Followed Hyperlink 2" xfId="15834" hidden="1" xr:uid="{00000000-0005-0000-0000-00006F140000}"/>
    <cellStyle name="Followed Hyperlink 2" xfId="15844" hidden="1" xr:uid="{00000000-0005-0000-0000-000070140000}"/>
    <cellStyle name="Followed Hyperlink 2" xfId="15847" hidden="1" xr:uid="{00000000-0005-0000-0000-000071140000}"/>
    <cellStyle name="Followed Hyperlink 2" xfId="15850" hidden="1" xr:uid="{00000000-0005-0000-0000-000072140000}"/>
    <cellStyle name="Followed Hyperlink 2" xfId="15854" hidden="1" xr:uid="{00000000-0005-0000-0000-000073140000}"/>
    <cellStyle name="Followed Hyperlink 2" xfId="15862" hidden="1" xr:uid="{00000000-0005-0000-0000-000074140000}"/>
    <cellStyle name="Followed Hyperlink 2" xfId="15859" hidden="1" xr:uid="{00000000-0005-0000-0000-000075140000}"/>
    <cellStyle name="Followed Hyperlink 2" xfId="15857" hidden="1" xr:uid="{00000000-0005-0000-0000-000076140000}"/>
    <cellStyle name="Followed Hyperlink 2" xfId="15858" hidden="1" xr:uid="{00000000-0005-0000-0000-000077140000}"/>
    <cellStyle name="Followed Hyperlink 2" xfId="15868" hidden="1" xr:uid="{00000000-0005-0000-0000-000078140000}"/>
    <cellStyle name="Followed Hyperlink 2" xfId="15871" hidden="1" xr:uid="{00000000-0005-0000-0000-000079140000}"/>
    <cellStyle name="Followed Hyperlink 2" xfId="15874" hidden="1" xr:uid="{00000000-0005-0000-0000-00007A140000}"/>
    <cellStyle name="Followed Hyperlink 2" xfId="15878" hidden="1" xr:uid="{00000000-0005-0000-0000-00007B140000}"/>
    <cellStyle name="Followed Hyperlink 2" xfId="15609" hidden="1" xr:uid="{00000000-0005-0000-0000-00007C140000}"/>
    <cellStyle name="Followed Hyperlink 2" xfId="15605" hidden="1" xr:uid="{00000000-0005-0000-0000-00007D140000}"/>
    <cellStyle name="Followed Hyperlink 2" xfId="15606" hidden="1" xr:uid="{00000000-0005-0000-0000-00007E140000}"/>
    <cellStyle name="Followed Hyperlink 2" xfId="15593" hidden="1" xr:uid="{00000000-0005-0000-0000-00007F140000}"/>
    <cellStyle name="Followed Hyperlink 2" xfId="15881" hidden="1" xr:uid="{00000000-0005-0000-0000-000080140000}"/>
    <cellStyle name="Followed Hyperlink 2" xfId="15884" hidden="1" xr:uid="{00000000-0005-0000-0000-000081140000}"/>
    <cellStyle name="Followed Hyperlink 2" xfId="15887" hidden="1" xr:uid="{00000000-0005-0000-0000-000082140000}"/>
    <cellStyle name="Followed Hyperlink 2" xfId="15891" hidden="1" xr:uid="{00000000-0005-0000-0000-000083140000}"/>
    <cellStyle name="Followed Hyperlink 2" xfId="15899" hidden="1" xr:uid="{00000000-0005-0000-0000-000084140000}"/>
    <cellStyle name="Followed Hyperlink 2" xfId="15896" hidden="1" xr:uid="{00000000-0005-0000-0000-000085140000}"/>
    <cellStyle name="Followed Hyperlink 2" xfId="15894" hidden="1" xr:uid="{00000000-0005-0000-0000-000086140000}"/>
    <cellStyle name="Followed Hyperlink 2" xfId="15895" hidden="1" xr:uid="{00000000-0005-0000-0000-000087140000}"/>
    <cellStyle name="Followed Hyperlink 2" xfId="15905" hidden="1" xr:uid="{00000000-0005-0000-0000-000088140000}"/>
    <cellStyle name="Followed Hyperlink 2" xfId="15908" hidden="1" xr:uid="{00000000-0005-0000-0000-000089140000}"/>
    <cellStyle name="Followed Hyperlink 2" xfId="15911" hidden="1" xr:uid="{00000000-0005-0000-0000-00008A140000}"/>
    <cellStyle name="Followed Hyperlink 2" xfId="15915" hidden="1" xr:uid="{00000000-0005-0000-0000-00008B140000}"/>
    <cellStyle name="Followed Hyperlink 2" xfId="15923" hidden="1" xr:uid="{00000000-0005-0000-0000-00008C140000}"/>
    <cellStyle name="Followed Hyperlink 2" xfId="15920" hidden="1" xr:uid="{00000000-0005-0000-0000-00008D140000}"/>
    <cellStyle name="Followed Hyperlink 2" xfId="15918" hidden="1" xr:uid="{00000000-0005-0000-0000-00008E140000}"/>
    <cellStyle name="Followed Hyperlink 2" xfId="15919" hidden="1" xr:uid="{00000000-0005-0000-0000-00008F140000}"/>
    <cellStyle name="Followed Hyperlink 2" xfId="15929" hidden="1" xr:uid="{00000000-0005-0000-0000-000090140000}"/>
    <cellStyle name="Followed Hyperlink 2" xfId="15932" hidden="1" xr:uid="{00000000-0005-0000-0000-000091140000}"/>
    <cellStyle name="Followed Hyperlink 2" xfId="15935" hidden="1" xr:uid="{00000000-0005-0000-0000-000092140000}"/>
    <cellStyle name="Followed Hyperlink 2" xfId="15939" hidden="1" xr:uid="{00000000-0005-0000-0000-000093140000}"/>
    <cellStyle name="Followed Hyperlink 2" xfId="15947" hidden="1" xr:uid="{00000000-0005-0000-0000-000094140000}"/>
    <cellStyle name="Followed Hyperlink 2" xfId="15944" hidden="1" xr:uid="{00000000-0005-0000-0000-000095140000}"/>
    <cellStyle name="Followed Hyperlink 2" xfId="15942" hidden="1" xr:uid="{00000000-0005-0000-0000-000096140000}"/>
    <cellStyle name="Followed Hyperlink 2" xfId="15943" hidden="1" xr:uid="{00000000-0005-0000-0000-000097140000}"/>
    <cellStyle name="Followed Hyperlink 2" xfId="15953" hidden="1" xr:uid="{00000000-0005-0000-0000-000098140000}"/>
    <cellStyle name="Followed Hyperlink 2" xfId="15956" hidden="1" xr:uid="{00000000-0005-0000-0000-000099140000}"/>
    <cellStyle name="Followed Hyperlink 2" xfId="15959" hidden="1" xr:uid="{00000000-0005-0000-0000-00009A140000}"/>
    <cellStyle name="Followed Hyperlink 2" xfId="15963" hidden="1" xr:uid="{00000000-0005-0000-0000-00009B140000}"/>
    <cellStyle name="Followed Hyperlink 2" xfId="15004" hidden="1" xr:uid="{00000000-0005-0000-0000-00009C140000}"/>
    <cellStyle name="Followed Hyperlink 2" xfId="15001" hidden="1" xr:uid="{00000000-0005-0000-0000-00009D140000}"/>
    <cellStyle name="Followed Hyperlink 2" xfId="14995" hidden="1" xr:uid="{00000000-0005-0000-0000-00009E140000}"/>
    <cellStyle name="Followed Hyperlink 2" xfId="15000" hidden="1" xr:uid="{00000000-0005-0000-0000-00009F140000}"/>
    <cellStyle name="Followed Hyperlink 2" xfId="15966" hidden="1" xr:uid="{00000000-0005-0000-0000-0000A0140000}"/>
    <cellStyle name="Followed Hyperlink 2" xfId="15969" hidden="1" xr:uid="{00000000-0005-0000-0000-0000A1140000}"/>
    <cellStyle name="Followed Hyperlink 2" xfId="15972" hidden="1" xr:uid="{00000000-0005-0000-0000-0000A2140000}"/>
    <cellStyle name="Followed Hyperlink 2" xfId="15976" hidden="1" xr:uid="{00000000-0005-0000-0000-0000A3140000}"/>
    <cellStyle name="Followed Hyperlink 2" xfId="15984" hidden="1" xr:uid="{00000000-0005-0000-0000-0000A4140000}"/>
    <cellStyle name="Followed Hyperlink 2" xfId="15981" hidden="1" xr:uid="{00000000-0005-0000-0000-0000A5140000}"/>
    <cellStyle name="Followed Hyperlink 2" xfId="15979" hidden="1" xr:uid="{00000000-0005-0000-0000-0000A6140000}"/>
    <cellStyle name="Followed Hyperlink 2" xfId="15980" hidden="1" xr:uid="{00000000-0005-0000-0000-0000A7140000}"/>
    <cellStyle name="Followed Hyperlink 2" xfId="15990" hidden="1" xr:uid="{00000000-0005-0000-0000-0000A8140000}"/>
    <cellStyle name="Followed Hyperlink 2" xfId="15993" hidden="1" xr:uid="{00000000-0005-0000-0000-0000A9140000}"/>
    <cellStyle name="Followed Hyperlink 2" xfId="15996" hidden="1" xr:uid="{00000000-0005-0000-0000-0000AA140000}"/>
    <cellStyle name="Followed Hyperlink 2" xfId="16000" hidden="1" xr:uid="{00000000-0005-0000-0000-0000AB140000}"/>
    <cellStyle name="Followed Hyperlink 2" xfId="16009" hidden="1" xr:uid="{00000000-0005-0000-0000-0000AC140000}"/>
    <cellStyle name="Followed Hyperlink 2" xfId="16006" hidden="1" xr:uid="{00000000-0005-0000-0000-0000AD140000}"/>
    <cellStyle name="Followed Hyperlink 2" xfId="16004" hidden="1" xr:uid="{00000000-0005-0000-0000-0000AE140000}"/>
    <cellStyle name="Followed Hyperlink 2" xfId="16005" hidden="1" xr:uid="{00000000-0005-0000-0000-0000AF140000}"/>
    <cellStyle name="Followed Hyperlink 2" xfId="16015" hidden="1" xr:uid="{00000000-0005-0000-0000-0000B0140000}"/>
    <cellStyle name="Followed Hyperlink 2" xfId="16018" hidden="1" xr:uid="{00000000-0005-0000-0000-0000B1140000}"/>
    <cellStyle name="Followed Hyperlink 2" xfId="16021" hidden="1" xr:uid="{00000000-0005-0000-0000-0000B2140000}"/>
    <cellStyle name="Followed Hyperlink 2" xfId="16025" hidden="1" xr:uid="{00000000-0005-0000-0000-0000B3140000}"/>
    <cellStyle name="Followed Hyperlink 2" xfId="16033" hidden="1" xr:uid="{00000000-0005-0000-0000-0000B4140000}"/>
    <cellStyle name="Followed Hyperlink 2" xfId="16030" hidden="1" xr:uid="{00000000-0005-0000-0000-0000B5140000}"/>
    <cellStyle name="Followed Hyperlink 2" xfId="16028" hidden="1" xr:uid="{00000000-0005-0000-0000-0000B6140000}"/>
    <cellStyle name="Followed Hyperlink 2" xfId="16029" hidden="1" xr:uid="{00000000-0005-0000-0000-0000B7140000}"/>
    <cellStyle name="Followed Hyperlink 2" xfId="16039" hidden="1" xr:uid="{00000000-0005-0000-0000-0000B8140000}"/>
    <cellStyle name="Followed Hyperlink 2" xfId="16042" hidden="1" xr:uid="{00000000-0005-0000-0000-0000B9140000}"/>
    <cellStyle name="Followed Hyperlink 2" xfId="16045" hidden="1" xr:uid="{00000000-0005-0000-0000-0000BA140000}"/>
    <cellStyle name="Followed Hyperlink 2" xfId="16049" hidden="1" xr:uid="{00000000-0005-0000-0000-0000BB140000}"/>
    <cellStyle name="Followed Hyperlink 2" xfId="16086" hidden="1" xr:uid="{00000000-0005-0000-0000-0000BC140000}"/>
    <cellStyle name="Followed Hyperlink 2" xfId="16083" hidden="1" xr:uid="{00000000-0005-0000-0000-0000BD140000}"/>
    <cellStyle name="Followed Hyperlink 2" xfId="16081" hidden="1" xr:uid="{00000000-0005-0000-0000-0000BE140000}"/>
    <cellStyle name="Followed Hyperlink 2" xfId="16082" hidden="1" xr:uid="{00000000-0005-0000-0000-0000BF140000}"/>
    <cellStyle name="Followed Hyperlink 2" xfId="16092" hidden="1" xr:uid="{00000000-0005-0000-0000-0000C0140000}"/>
    <cellStyle name="Followed Hyperlink 2" xfId="16095" hidden="1" xr:uid="{00000000-0005-0000-0000-0000C1140000}"/>
    <cellStyle name="Followed Hyperlink 2" xfId="16098" hidden="1" xr:uid="{00000000-0005-0000-0000-0000C2140000}"/>
    <cellStyle name="Followed Hyperlink 2" xfId="16102" hidden="1" xr:uid="{00000000-0005-0000-0000-0000C3140000}"/>
    <cellStyle name="Followed Hyperlink 2" xfId="16110" hidden="1" xr:uid="{00000000-0005-0000-0000-0000C4140000}"/>
    <cellStyle name="Followed Hyperlink 2" xfId="16107" hidden="1" xr:uid="{00000000-0005-0000-0000-0000C5140000}"/>
    <cellStyle name="Followed Hyperlink 2" xfId="16105" hidden="1" xr:uid="{00000000-0005-0000-0000-0000C6140000}"/>
    <cellStyle name="Followed Hyperlink 2" xfId="16106" hidden="1" xr:uid="{00000000-0005-0000-0000-0000C7140000}"/>
    <cellStyle name="Followed Hyperlink 2" xfId="16116" hidden="1" xr:uid="{00000000-0005-0000-0000-0000C8140000}"/>
    <cellStyle name="Followed Hyperlink 2" xfId="16119" hidden="1" xr:uid="{00000000-0005-0000-0000-0000C9140000}"/>
    <cellStyle name="Followed Hyperlink 2" xfId="16122" hidden="1" xr:uid="{00000000-0005-0000-0000-0000CA140000}"/>
    <cellStyle name="Followed Hyperlink 2" xfId="16126" hidden="1" xr:uid="{00000000-0005-0000-0000-0000CB140000}"/>
    <cellStyle name="Followed Hyperlink 2" xfId="16136" hidden="1" xr:uid="{00000000-0005-0000-0000-0000CC140000}"/>
    <cellStyle name="Followed Hyperlink 2" xfId="16133" hidden="1" xr:uid="{00000000-0005-0000-0000-0000CD140000}"/>
    <cellStyle name="Followed Hyperlink 2" xfId="16131" hidden="1" xr:uid="{00000000-0005-0000-0000-0000CE140000}"/>
    <cellStyle name="Followed Hyperlink 2" xfId="16132" hidden="1" xr:uid="{00000000-0005-0000-0000-0000CF140000}"/>
    <cellStyle name="Followed Hyperlink 2" xfId="16142" hidden="1" xr:uid="{00000000-0005-0000-0000-0000D0140000}"/>
    <cellStyle name="Followed Hyperlink 2" xfId="16145" hidden="1" xr:uid="{00000000-0005-0000-0000-0000D1140000}"/>
    <cellStyle name="Followed Hyperlink 2" xfId="16148" hidden="1" xr:uid="{00000000-0005-0000-0000-0000D2140000}"/>
    <cellStyle name="Followed Hyperlink 2" xfId="16152" hidden="1" xr:uid="{00000000-0005-0000-0000-0000D3140000}"/>
    <cellStyle name="Followed Hyperlink 2" xfId="16160" hidden="1" xr:uid="{00000000-0005-0000-0000-0000D4140000}"/>
    <cellStyle name="Followed Hyperlink 2" xfId="16157" hidden="1" xr:uid="{00000000-0005-0000-0000-0000D5140000}"/>
    <cellStyle name="Followed Hyperlink 2" xfId="16155" hidden="1" xr:uid="{00000000-0005-0000-0000-0000D6140000}"/>
    <cellStyle name="Followed Hyperlink 2" xfId="16156" hidden="1" xr:uid="{00000000-0005-0000-0000-0000D7140000}"/>
    <cellStyle name="Followed Hyperlink 2" xfId="16166" hidden="1" xr:uid="{00000000-0005-0000-0000-0000D8140000}"/>
    <cellStyle name="Followed Hyperlink 2" xfId="16169" hidden="1" xr:uid="{00000000-0005-0000-0000-0000D9140000}"/>
    <cellStyle name="Followed Hyperlink 2" xfId="16172" hidden="1" xr:uid="{00000000-0005-0000-0000-0000DA140000}"/>
    <cellStyle name="Followed Hyperlink 2" xfId="16176" hidden="1" xr:uid="{00000000-0005-0000-0000-0000DB140000}"/>
    <cellStyle name="Followed Hyperlink 2" xfId="16053" hidden="1" xr:uid="{00000000-0005-0000-0000-0000DC140000}"/>
    <cellStyle name="Followed Hyperlink 2" xfId="16057" hidden="1" xr:uid="{00000000-0005-0000-0000-0000DD140000}"/>
    <cellStyle name="Followed Hyperlink 2" xfId="16052" hidden="1" xr:uid="{00000000-0005-0000-0000-0000DE140000}"/>
    <cellStyle name="Followed Hyperlink 2" xfId="16058" hidden="1" xr:uid="{00000000-0005-0000-0000-0000DF140000}"/>
    <cellStyle name="Followed Hyperlink 2" xfId="16179" hidden="1" xr:uid="{00000000-0005-0000-0000-0000E0140000}"/>
    <cellStyle name="Followed Hyperlink 2" xfId="16182" hidden="1" xr:uid="{00000000-0005-0000-0000-0000E1140000}"/>
    <cellStyle name="Followed Hyperlink 2" xfId="16185" hidden="1" xr:uid="{00000000-0005-0000-0000-0000E2140000}"/>
    <cellStyle name="Followed Hyperlink 2" xfId="16189" hidden="1" xr:uid="{00000000-0005-0000-0000-0000E3140000}"/>
    <cellStyle name="Followed Hyperlink 2" xfId="16197" hidden="1" xr:uid="{00000000-0005-0000-0000-0000E4140000}"/>
    <cellStyle name="Followed Hyperlink 2" xfId="16194" hidden="1" xr:uid="{00000000-0005-0000-0000-0000E5140000}"/>
    <cellStyle name="Followed Hyperlink 2" xfId="16192" hidden="1" xr:uid="{00000000-0005-0000-0000-0000E6140000}"/>
    <cellStyle name="Followed Hyperlink 2" xfId="16193" hidden="1" xr:uid="{00000000-0005-0000-0000-0000E7140000}"/>
    <cellStyle name="Followed Hyperlink 2" xfId="16203" hidden="1" xr:uid="{00000000-0005-0000-0000-0000E8140000}"/>
    <cellStyle name="Followed Hyperlink 2" xfId="16206" hidden="1" xr:uid="{00000000-0005-0000-0000-0000E9140000}"/>
    <cellStyle name="Followed Hyperlink 2" xfId="16209" hidden="1" xr:uid="{00000000-0005-0000-0000-0000EA140000}"/>
    <cellStyle name="Followed Hyperlink 2" xfId="16213" hidden="1" xr:uid="{00000000-0005-0000-0000-0000EB140000}"/>
    <cellStyle name="Followed Hyperlink 2" xfId="16222" hidden="1" xr:uid="{00000000-0005-0000-0000-0000EC140000}"/>
    <cellStyle name="Followed Hyperlink 2" xfId="16219" hidden="1" xr:uid="{00000000-0005-0000-0000-0000ED140000}"/>
    <cellStyle name="Followed Hyperlink 2" xfId="16217" hidden="1" xr:uid="{00000000-0005-0000-0000-0000EE140000}"/>
    <cellStyle name="Followed Hyperlink 2" xfId="16218" hidden="1" xr:uid="{00000000-0005-0000-0000-0000EF140000}"/>
    <cellStyle name="Followed Hyperlink 2" xfId="16228" hidden="1" xr:uid="{00000000-0005-0000-0000-0000F0140000}"/>
    <cellStyle name="Followed Hyperlink 2" xfId="16231" hidden="1" xr:uid="{00000000-0005-0000-0000-0000F1140000}"/>
    <cellStyle name="Followed Hyperlink 2" xfId="16234" hidden="1" xr:uid="{00000000-0005-0000-0000-0000F2140000}"/>
    <cellStyle name="Followed Hyperlink 2" xfId="16238" hidden="1" xr:uid="{00000000-0005-0000-0000-0000F3140000}"/>
    <cellStyle name="Followed Hyperlink 2" xfId="16246" hidden="1" xr:uid="{00000000-0005-0000-0000-0000F4140000}"/>
    <cellStyle name="Followed Hyperlink 2" xfId="16243" hidden="1" xr:uid="{00000000-0005-0000-0000-0000F5140000}"/>
    <cellStyle name="Followed Hyperlink 2" xfId="16241" hidden="1" xr:uid="{00000000-0005-0000-0000-0000F6140000}"/>
    <cellStyle name="Followed Hyperlink 2" xfId="16242" hidden="1" xr:uid="{00000000-0005-0000-0000-0000F7140000}"/>
    <cellStyle name="Followed Hyperlink 2" xfId="16252" hidden="1" xr:uid="{00000000-0005-0000-0000-0000F8140000}"/>
    <cellStyle name="Followed Hyperlink 2" xfId="16255" hidden="1" xr:uid="{00000000-0005-0000-0000-0000F9140000}"/>
    <cellStyle name="Followed Hyperlink 2" xfId="16258" hidden="1" xr:uid="{00000000-0005-0000-0000-0000FA140000}"/>
    <cellStyle name="Followed Hyperlink 2" xfId="16262" hidden="1" xr:uid="{00000000-0005-0000-0000-0000FB140000}"/>
    <cellStyle name="Followed Hyperlink 2" xfId="16071" hidden="1" xr:uid="{00000000-0005-0000-0000-0000FC140000}"/>
    <cellStyle name="Followed Hyperlink 2" xfId="16068" hidden="1" xr:uid="{00000000-0005-0000-0000-0000FD140000}"/>
    <cellStyle name="Followed Hyperlink 2" xfId="16062" hidden="1" xr:uid="{00000000-0005-0000-0000-0000FE140000}"/>
    <cellStyle name="Followed Hyperlink 2" xfId="16067" hidden="1" xr:uid="{00000000-0005-0000-0000-0000FF140000}"/>
    <cellStyle name="Followed Hyperlink 2" xfId="16265" hidden="1" xr:uid="{00000000-0005-0000-0000-000000150000}"/>
    <cellStyle name="Followed Hyperlink 2" xfId="16268" hidden="1" xr:uid="{00000000-0005-0000-0000-000001150000}"/>
    <cellStyle name="Followed Hyperlink 2" xfId="16271" hidden="1" xr:uid="{00000000-0005-0000-0000-000002150000}"/>
    <cellStyle name="Followed Hyperlink 2" xfId="16275" hidden="1" xr:uid="{00000000-0005-0000-0000-000003150000}"/>
    <cellStyle name="Followed Hyperlink 2" xfId="16283" hidden="1" xr:uid="{00000000-0005-0000-0000-000004150000}"/>
    <cellStyle name="Followed Hyperlink 2" xfId="16280" hidden="1" xr:uid="{00000000-0005-0000-0000-000005150000}"/>
    <cellStyle name="Followed Hyperlink 2" xfId="16278" hidden="1" xr:uid="{00000000-0005-0000-0000-000006150000}"/>
    <cellStyle name="Followed Hyperlink 2" xfId="16279" hidden="1" xr:uid="{00000000-0005-0000-0000-000007150000}"/>
    <cellStyle name="Followed Hyperlink 2" xfId="16289" hidden="1" xr:uid="{00000000-0005-0000-0000-000008150000}"/>
    <cellStyle name="Followed Hyperlink 2" xfId="16292" hidden="1" xr:uid="{00000000-0005-0000-0000-000009150000}"/>
    <cellStyle name="Followed Hyperlink 2" xfId="16295" hidden="1" xr:uid="{00000000-0005-0000-0000-00000A150000}"/>
    <cellStyle name="Followed Hyperlink 2" xfId="16299" hidden="1" xr:uid="{00000000-0005-0000-0000-00000B150000}"/>
    <cellStyle name="Followed Hyperlink 2" xfId="16308" hidden="1" xr:uid="{00000000-0005-0000-0000-00000C150000}"/>
    <cellStyle name="Followed Hyperlink 2" xfId="16305" hidden="1" xr:uid="{00000000-0005-0000-0000-00000D150000}"/>
    <cellStyle name="Followed Hyperlink 2" xfId="16303" hidden="1" xr:uid="{00000000-0005-0000-0000-00000E150000}"/>
    <cellStyle name="Followed Hyperlink 2" xfId="16304" hidden="1" xr:uid="{00000000-0005-0000-0000-00000F150000}"/>
    <cellStyle name="Followed Hyperlink 2" xfId="16314" hidden="1" xr:uid="{00000000-0005-0000-0000-000010150000}"/>
    <cellStyle name="Followed Hyperlink 2" xfId="16317" hidden="1" xr:uid="{00000000-0005-0000-0000-000011150000}"/>
    <cellStyle name="Followed Hyperlink 2" xfId="16320" hidden="1" xr:uid="{00000000-0005-0000-0000-000012150000}"/>
    <cellStyle name="Followed Hyperlink 2" xfId="16324" hidden="1" xr:uid="{00000000-0005-0000-0000-000013150000}"/>
    <cellStyle name="Followed Hyperlink 2" xfId="16332" hidden="1" xr:uid="{00000000-0005-0000-0000-000014150000}"/>
    <cellStyle name="Followed Hyperlink 2" xfId="16329" hidden="1" xr:uid="{00000000-0005-0000-0000-000015150000}"/>
    <cellStyle name="Followed Hyperlink 2" xfId="16327" hidden="1" xr:uid="{00000000-0005-0000-0000-000016150000}"/>
    <cellStyle name="Followed Hyperlink 2" xfId="16328" hidden="1" xr:uid="{00000000-0005-0000-0000-000017150000}"/>
    <cellStyle name="Followed Hyperlink 2" xfId="16338" hidden="1" xr:uid="{00000000-0005-0000-0000-000018150000}"/>
    <cellStyle name="Followed Hyperlink 2" xfId="16341" hidden="1" xr:uid="{00000000-0005-0000-0000-000019150000}"/>
    <cellStyle name="Followed Hyperlink 2" xfId="16344" hidden="1" xr:uid="{00000000-0005-0000-0000-00001A150000}"/>
    <cellStyle name="Followed Hyperlink 2" xfId="16348" hidden="1" xr:uid="{00000000-0005-0000-0000-00001B150000}"/>
    <cellStyle name="Followed Hyperlink 2" xfId="16079" hidden="1" xr:uid="{00000000-0005-0000-0000-00001C150000}"/>
    <cellStyle name="Followed Hyperlink 2" xfId="16075" hidden="1" xr:uid="{00000000-0005-0000-0000-00001D150000}"/>
    <cellStyle name="Followed Hyperlink 2" xfId="16076" hidden="1" xr:uid="{00000000-0005-0000-0000-00001E150000}"/>
    <cellStyle name="Followed Hyperlink 2" xfId="16063" hidden="1" xr:uid="{00000000-0005-0000-0000-00001F150000}"/>
    <cellStyle name="Followed Hyperlink 2" xfId="16351" hidden="1" xr:uid="{00000000-0005-0000-0000-000020150000}"/>
    <cellStyle name="Followed Hyperlink 2" xfId="16354" hidden="1" xr:uid="{00000000-0005-0000-0000-000021150000}"/>
    <cellStyle name="Followed Hyperlink 2" xfId="16357" hidden="1" xr:uid="{00000000-0005-0000-0000-000022150000}"/>
    <cellStyle name="Followed Hyperlink 2" xfId="16361" hidden="1" xr:uid="{00000000-0005-0000-0000-000023150000}"/>
    <cellStyle name="Followed Hyperlink 2" xfId="16369" hidden="1" xr:uid="{00000000-0005-0000-0000-000024150000}"/>
    <cellStyle name="Followed Hyperlink 2" xfId="16366" hidden="1" xr:uid="{00000000-0005-0000-0000-000025150000}"/>
    <cellStyle name="Followed Hyperlink 2" xfId="16364" hidden="1" xr:uid="{00000000-0005-0000-0000-000026150000}"/>
    <cellStyle name="Followed Hyperlink 2" xfId="16365" hidden="1" xr:uid="{00000000-0005-0000-0000-000027150000}"/>
    <cellStyle name="Followed Hyperlink 2" xfId="16375" hidden="1" xr:uid="{00000000-0005-0000-0000-000028150000}"/>
    <cellStyle name="Followed Hyperlink 2" xfId="16378" hidden="1" xr:uid="{00000000-0005-0000-0000-000029150000}"/>
    <cellStyle name="Followed Hyperlink 2" xfId="16381" hidden="1" xr:uid="{00000000-0005-0000-0000-00002A150000}"/>
    <cellStyle name="Followed Hyperlink 2" xfId="16385" hidden="1" xr:uid="{00000000-0005-0000-0000-00002B150000}"/>
    <cellStyle name="Followed Hyperlink 2" xfId="16393" hidden="1" xr:uid="{00000000-0005-0000-0000-00002C150000}"/>
    <cellStyle name="Followed Hyperlink 2" xfId="16390" hidden="1" xr:uid="{00000000-0005-0000-0000-00002D150000}"/>
    <cellStyle name="Followed Hyperlink 2" xfId="16388" hidden="1" xr:uid="{00000000-0005-0000-0000-00002E150000}"/>
    <cellStyle name="Followed Hyperlink 2" xfId="16389" hidden="1" xr:uid="{00000000-0005-0000-0000-00002F150000}"/>
    <cellStyle name="Followed Hyperlink 2" xfId="16399" hidden="1" xr:uid="{00000000-0005-0000-0000-000030150000}"/>
    <cellStyle name="Followed Hyperlink 2" xfId="16402" hidden="1" xr:uid="{00000000-0005-0000-0000-000031150000}"/>
    <cellStyle name="Followed Hyperlink 2" xfId="16405" hidden="1" xr:uid="{00000000-0005-0000-0000-000032150000}"/>
    <cellStyle name="Followed Hyperlink 2" xfId="16409" hidden="1" xr:uid="{00000000-0005-0000-0000-000033150000}"/>
    <cellStyle name="Followed Hyperlink 2" xfId="16417" hidden="1" xr:uid="{00000000-0005-0000-0000-000034150000}"/>
    <cellStyle name="Followed Hyperlink 2" xfId="16414" hidden="1" xr:uid="{00000000-0005-0000-0000-000035150000}"/>
    <cellStyle name="Followed Hyperlink 2" xfId="16412" hidden="1" xr:uid="{00000000-0005-0000-0000-000036150000}"/>
    <cellStyle name="Followed Hyperlink 2" xfId="16413" hidden="1" xr:uid="{00000000-0005-0000-0000-000037150000}"/>
    <cellStyle name="Followed Hyperlink 2" xfId="16423" hidden="1" xr:uid="{00000000-0005-0000-0000-000038150000}"/>
    <cellStyle name="Followed Hyperlink 2" xfId="16426" hidden="1" xr:uid="{00000000-0005-0000-0000-000039150000}"/>
    <cellStyle name="Followed Hyperlink 2" xfId="16429" hidden="1" xr:uid="{00000000-0005-0000-0000-00003A150000}"/>
    <cellStyle name="Followed Hyperlink 2" xfId="16433" hidden="1" xr:uid="{00000000-0005-0000-0000-00003B150000}"/>
    <cellStyle name="Followed Hyperlink 2" xfId="15012" hidden="1" xr:uid="{00000000-0005-0000-0000-00003C150000}"/>
    <cellStyle name="Followed Hyperlink 2" xfId="15008" hidden="1" xr:uid="{00000000-0005-0000-0000-00003D150000}"/>
    <cellStyle name="Followed Hyperlink 2" xfId="15009" hidden="1" xr:uid="{00000000-0005-0000-0000-00003E150000}"/>
    <cellStyle name="Followed Hyperlink 2" xfId="14996" hidden="1" xr:uid="{00000000-0005-0000-0000-00003F150000}"/>
    <cellStyle name="Followed Hyperlink 2" xfId="16436" hidden="1" xr:uid="{00000000-0005-0000-0000-000040150000}"/>
    <cellStyle name="Followed Hyperlink 2" xfId="16439" hidden="1" xr:uid="{00000000-0005-0000-0000-000041150000}"/>
    <cellStyle name="Followed Hyperlink 2" xfId="16442" hidden="1" xr:uid="{00000000-0005-0000-0000-000042150000}"/>
    <cellStyle name="Followed Hyperlink 2" xfId="16446" hidden="1" xr:uid="{00000000-0005-0000-0000-000043150000}"/>
    <cellStyle name="Followed Hyperlink 2" xfId="16454" hidden="1" xr:uid="{00000000-0005-0000-0000-000044150000}"/>
    <cellStyle name="Followed Hyperlink 2" xfId="16451" hidden="1" xr:uid="{00000000-0005-0000-0000-000045150000}"/>
    <cellStyle name="Followed Hyperlink 2" xfId="16449" hidden="1" xr:uid="{00000000-0005-0000-0000-000046150000}"/>
    <cellStyle name="Followed Hyperlink 2" xfId="16450" hidden="1" xr:uid="{00000000-0005-0000-0000-000047150000}"/>
    <cellStyle name="Followed Hyperlink 2" xfId="16460" hidden="1" xr:uid="{00000000-0005-0000-0000-000048150000}"/>
    <cellStyle name="Followed Hyperlink 2" xfId="16463" hidden="1" xr:uid="{00000000-0005-0000-0000-000049150000}"/>
    <cellStyle name="Followed Hyperlink 2" xfId="16466" hidden="1" xr:uid="{00000000-0005-0000-0000-00004A150000}"/>
    <cellStyle name="Followed Hyperlink 2" xfId="16470" hidden="1" xr:uid="{00000000-0005-0000-0000-00004B150000}"/>
    <cellStyle name="Followed Hyperlink 2" xfId="16478" hidden="1" xr:uid="{00000000-0005-0000-0000-00004C150000}"/>
    <cellStyle name="Followed Hyperlink 2" xfId="16475" hidden="1" xr:uid="{00000000-0005-0000-0000-00004D150000}"/>
    <cellStyle name="Followed Hyperlink 2" xfId="16473" hidden="1" xr:uid="{00000000-0005-0000-0000-00004E150000}"/>
    <cellStyle name="Followed Hyperlink 2" xfId="16474" hidden="1" xr:uid="{00000000-0005-0000-0000-00004F150000}"/>
    <cellStyle name="Followed Hyperlink 2" xfId="16484" hidden="1" xr:uid="{00000000-0005-0000-0000-000050150000}"/>
    <cellStyle name="Followed Hyperlink 2" xfId="16487" hidden="1" xr:uid="{00000000-0005-0000-0000-000051150000}"/>
    <cellStyle name="Followed Hyperlink 2" xfId="16490" hidden="1" xr:uid="{00000000-0005-0000-0000-000052150000}"/>
    <cellStyle name="Followed Hyperlink 2" xfId="16494" hidden="1" xr:uid="{00000000-0005-0000-0000-000053150000}"/>
    <cellStyle name="Followed Hyperlink 2" xfId="16502" hidden="1" xr:uid="{00000000-0005-0000-0000-000054150000}"/>
    <cellStyle name="Followed Hyperlink 2" xfId="16499" hidden="1" xr:uid="{00000000-0005-0000-0000-000055150000}"/>
    <cellStyle name="Followed Hyperlink 2" xfId="16497" hidden="1" xr:uid="{00000000-0005-0000-0000-000056150000}"/>
    <cellStyle name="Followed Hyperlink 2" xfId="16498" hidden="1" xr:uid="{00000000-0005-0000-0000-000057150000}"/>
    <cellStyle name="Followed Hyperlink 2" xfId="16508" hidden="1" xr:uid="{00000000-0005-0000-0000-000058150000}"/>
    <cellStyle name="Followed Hyperlink 2" xfId="16511" hidden="1" xr:uid="{00000000-0005-0000-0000-000059150000}"/>
    <cellStyle name="Followed Hyperlink 2" xfId="16514" hidden="1" xr:uid="{00000000-0005-0000-0000-00005A150000}"/>
    <cellStyle name="Followed Hyperlink 2" xfId="16518" hidden="1" xr:uid="{00000000-0005-0000-0000-00005B150000}"/>
    <cellStyle name="Followed Hyperlink 2" xfId="16555" hidden="1" xr:uid="{00000000-0005-0000-0000-00005C150000}"/>
    <cellStyle name="Followed Hyperlink 2" xfId="16552" hidden="1" xr:uid="{00000000-0005-0000-0000-00005D150000}"/>
    <cellStyle name="Followed Hyperlink 2" xfId="16550" hidden="1" xr:uid="{00000000-0005-0000-0000-00005E150000}"/>
    <cellStyle name="Followed Hyperlink 2" xfId="16551" hidden="1" xr:uid="{00000000-0005-0000-0000-00005F150000}"/>
    <cellStyle name="Followed Hyperlink 2" xfId="16561" hidden="1" xr:uid="{00000000-0005-0000-0000-000060150000}"/>
    <cellStyle name="Followed Hyperlink 2" xfId="16564" hidden="1" xr:uid="{00000000-0005-0000-0000-000061150000}"/>
    <cellStyle name="Followed Hyperlink 2" xfId="16567" hidden="1" xr:uid="{00000000-0005-0000-0000-000062150000}"/>
    <cellStyle name="Followed Hyperlink 2" xfId="16571" hidden="1" xr:uid="{00000000-0005-0000-0000-000063150000}"/>
    <cellStyle name="Followed Hyperlink 2" xfId="16579" hidden="1" xr:uid="{00000000-0005-0000-0000-000064150000}"/>
    <cellStyle name="Followed Hyperlink 2" xfId="16576" hidden="1" xr:uid="{00000000-0005-0000-0000-000065150000}"/>
    <cellStyle name="Followed Hyperlink 2" xfId="16574" hidden="1" xr:uid="{00000000-0005-0000-0000-000066150000}"/>
    <cellStyle name="Followed Hyperlink 2" xfId="16575" hidden="1" xr:uid="{00000000-0005-0000-0000-000067150000}"/>
    <cellStyle name="Followed Hyperlink 2" xfId="16585" hidden="1" xr:uid="{00000000-0005-0000-0000-000068150000}"/>
    <cellStyle name="Followed Hyperlink 2" xfId="16588" hidden="1" xr:uid="{00000000-0005-0000-0000-000069150000}"/>
    <cellStyle name="Followed Hyperlink 2" xfId="16591" hidden="1" xr:uid="{00000000-0005-0000-0000-00006A150000}"/>
    <cellStyle name="Followed Hyperlink 2" xfId="16595" hidden="1" xr:uid="{00000000-0005-0000-0000-00006B150000}"/>
    <cellStyle name="Followed Hyperlink 2" xfId="16605" hidden="1" xr:uid="{00000000-0005-0000-0000-00006C150000}"/>
    <cellStyle name="Followed Hyperlink 2" xfId="16602" hidden="1" xr:uid="{00000000-0005-0000-0000-00006D150000}"/>
    <cellStyle name="Followed Hyperlink 2" xfId="16600" hidden="1" xr:uid="{00000000-0005-0000-0000-00006E150000}"/>
    <cellStyle name="Followed Hyperlink 2" xfId="16601" hidden="1" xr:uid="{00000000-0005-0000-0000-00006F150000}"/>
    <cellStyle name="Followed Hyperlink 2" xfId="16611" hidden="1" xr:uid="{00000000-0005-0000-0000-000070150000}"/>
    <cellStyle name="Followed Hyperlink 2" xfId="16614" hidden="1" xr:uid="{00000000-0005-0000-0000-000071150000}"/>
    <cellStyle name="Followed Hyperlink 2" xfId="16617" hidden="1" xr:uid="{00000000-0005-0000-0000-000072150000}"/>
    <cellStyle name="Followed Hyperlink 2" xfId="16621" hidden="1" xr:uid="{00000000-0005-0000-0000-000073150000}"/>
    <cellStyle name="Followed Hyperlink 2" xfId="16629" hidden="1" xr:uid="{00000000-0005-0000-0000-000074150000}"/>
    <cellStyle name="Followed Hyperlink 2" xfId="16626" hidden="1" xr:uid="{00000000-0005-0000-0000-000075150000}"/>
    <cellStyle name="Followed Hyperlink 2" xfId="16624" hidden="1" xr:uid="{00000000-0005-0000-0000-000076150000}"/>
    <cellStyle name="Followed Hyperlink 2" xfId="16625" hidden="1" xr:uid="{00000000-0005-0000-0000-000077150000}"/>
    <cellStyle name="Followed Hyperlink 2" xfId="16635" hidden="1" xr:uid="{00000000-0005-0000-0000-000078150000}"/>
    <cellStyle name="Followed Hyperlink 2" xfId="16638" hidden="1" xr:uid="{00000000-0005-0000-0000-000079150000}"/>
    <cellStyle name="Followed Hyperlink 2" xfId="16641" hidden="1" xr:uid="{00000000-0005-0000-0000-00007A150000}"/>
    <cellStyle name="Followed Hyperlink 2" xfId="16645" hidden="1" xr:uid="{00000000-0005-0000-0000-00007B150000}"/>
    <cellStyle name="Followed Hyperlink 2" xfId="16522" hidden="1" xr:uid="{00000000-0005-0000-0000-00007C150000}"/>
    <cellStyle name="Followed Hyperlink 2" xfId="16526" hidden="1" xr:uid="{00000000-0005-0000-0000-00007D150000}"/>
    <cellStyle name="Followed Hyperlink 2" xfId="16521" hidden="1" xr:uid="{00000000-0005-0000-0000-00007E150000}"/>
    <cellStyle name="Followed Hyperlink 2" xfId="16527" hidden="1" xr:uid="{00000000-0005-0000-0000-00007F150000}"/>
    <cellStyle name="Followed Hyperlink 2" xfId="16648" hidden="1" xr:uid="{00000000-0005-0000-0000-000080150000}"/>
    <cellStyle name="Followed Hyperlink 2" xfId="16651" hidden="1" xr:uid="{00000000-0005-0000-0000-000081150000}"/>
    <cellStyle name="Followed Hyperlink 2" xfId="16654" hidden="1" xr:uid="{00000000-0005-0000-0000-000082150000}"/>
    <cellStyle name="Followed Hyperlink 2" xfId="16658" hidden="1" xr:uid="{00000000-0005-0000-0000-000083150000}"/>
    <cellStyle name="Followed Hyperlink 2" xfId="16666" hidden="1" xr:uid="{00000000-0005-0000-0000-000084150000}"/>
    <cellStyle name="Followed Hyperlink 2" xfId="16663" hidden="1" xr:uid="{00000000-0005-0000-0000-000085150000}"/>
    <cellStyle name="Followed Hyperlink 2" xfId="16661" hidden="1" xr:uid="{00000000-0005-0000-0000-000086150000}"/>
    <cellStyle name="Followed Hyperlink 2" xfId="16662" hidden="1" xr:uid="{00000000-0005-0000-0000-000087150000}"/>
    <cellStyle name="Followed Hyperlink 2" xfId="16672" hidden="1" xr:uid="{00000000-0005-0000-0000-000088150000}"/>
    <cellStyle name="Followed Hyperlink 2" xfId="16675" hidden="1" xr:uid="{00000000-0005-0000-0000-000089150000}"/>
    <cellStyle name="Followed Hyperlink 2" xfId="16678" hidden="1" xr:uid="{00000000-0005-0000-0000-00008A150000}"/>
    <cellStyle name="Followed Hyperlink 2" xfId="16682" hidden="1" xr:uid="{00000000-0005-0000-0000-00008B150000}"/>
    <cellStyle name="Followed Hyperlink 2" xfId="16691" hidden="1" xr:uid="{00000000-0005-0000-0000-00008C150000}"/>
    <cellStyle name="Followed Hyperlink 2" xfId="16688" hidden="1" xr:uid="{00000000-0005-0000-0000-00008D150000}"/>
    <cellStyle name="Followed Hyperlink 2" xfId="16686" hidden="1" xr:uid="{00000000-0005-0000-0000-00008E150000}"/>
    <cellStyle name="Followed Hyperlink 2" xfId="16687" hidden="1" xr:uid="{00000000-0005-0000-0000-00008F150000}"/>
    <cellStyle name="Followed Hyperlink 2" xfId="16697" hidden="1" xr:uid="{00000000-0005-0000-0000-000090150000}"/>
    <cellStyle name="Followed Hyperlink 2" xfId="16700" hidden="1" xr:uid="{00000000-0005-0000-0000-000091150000}"/>
    <cellStyle name="Followed Hyperlink 2" xfId="16703" hidden="1" xr:uid="{00000000-0005-0000-0000-000092150000}"/>
    <cellStyle name="Followed Hyperlink 2" xfId="16707" hidden="1" xr:uid="{00000000-0005-0000-0000-000093150000}"/>
    <cellStyle name="Followed Hyperlink 2" xfId="16715" hidden="1" xr:uid="{00000000-0005-0000-0000-000094150000}"/>
    <cellStyle name="Followed Hyperlink 2" xfId="16712" hidden="1" xr:uid="{00000000-0005-0000-0000-000095150000}"/>
    <cellStyle name="Followed Hyperlink 2" xfId="16710" hidden="1" xr:uid="{00000000-0005-0000-0000-000096150000}"/>
    <cellStyle name="Followed Hyperlink 2" xfId="16711" hidden="1" xr:uid="{00000000-0005-0000-0000-000097150000}"/>
    <cellStyle name="Followed Hyperlink 2" xfId="16721" hidden="1" xr:uid="{00000000-0005-0000-0000-000098150000}"/>
    <cellStyle name="Followed Hyperlink 2" xfId="16724" hidden="1" xr:uid="{00000000-0005-0000-0000-000099150000}"/>
    <cellStyle name="Followed Hyperlink 2" xfId="16727" hidden="1" xr:uid="{00000000-0005-0000-0000-00009A150000}"/>
    <cellStyle name="Followed Hyperlink 2" xfId="16731" hidden="1" xr:uid="{00000000-0005-0000-0000-00009B150000}"/>
    <cellStyle name="Followed Hyperlink 2" xfId="16540" hidden="1" xr:uid="{00000000-0005-0000-0000-00009C150000}"/>
    <cellStyle name="Followed Hyperlink 2" xfId="16537" hidden="1" xr:uid="{00000000-0005-0000-0000-00009D150000}"/>
    <cellStyle name="Followed Hyperlink 2" xfId="16531" hidden="1" xr:uid="{00000000-0005-0000-0000-00009E150000}"/>
    <cellStyle name="Followed Hyperlink 2" xfId="16536" hidden="1" xr:uid="{00000000-0005-0000-0000-00009F150000}"/>
    <cellStyle name="Followed Hyperlink 2" xfId="16734" hidden="1" xr:uid="{00000000-0005-0000-0000-0000A0150000}"/>
    <cellStyle name="Followed Hyperlink 2" xfId="16737" hidden="1" xr:uid="{00000000-0005-0000-0000-0000A1150000}"/>
    <cellStyle name="Followed Hyperlink 2" xfId="16740" hidden="1" xr:uid="{00000000-0005-0000-0000-0000A2150000}"/>
    <cellStyle name="Followed Hyperlink 2" xfId="16744" hidden="1" xr:uid="{00000000-0005-0000-0000-0000A3150000}"/>
    <cellStyle name="Followed Hyperlink 2" xfId="16752" hidden="1" xr:uid="{00000000-0005-0000-0000-0000A4150000}"/>
    <cellStyle name="Followed Hyperlink 2" xfId="16749" hidden="1" xr:uid="{00000000-0005-0000-0000-0000A5150000}"/>
    <cellStyle name="Followed Hyperlink 2" xfId="16747" hidden="1" xr:uid="{00000000-0005-0000-0000-0000A6150000}"/>
    <cellStyle name="Followed Hyperlink 2" xfId="16748" hidden="1" xr:uid="{00000000-0005-0000-0000-0000A7150000}"/>
    <cellStyle name="Followed Hyperlink 2" xfId="16758" hidden="1" xr:uid="{00000000-0005-0000-0000-0000A8150000}"/>
    <cellStyle name="Followed Hyperlink 2" xfId="16761" hidden="1" xr:uid="{00000000-0005-0000-0000-0000A9150000}"/>
    <cellStyle name="Followed Hyperlink 2" xfId="16764" hidden="1" xr:uid="{00000000-0005-0000-0000-0000AA150000}"/>
    <cellStyle name="Followed Hyperlink 2" xfId="16768" hidden="1" xr:uid="{00000000-0005-0000-0000-0000AB150000}"/>
    <cellStyle name="Followed Hyperlink 2" xfId="16777" hidden="1" xr:uid="{00000000-0005-0000-0000-0000AC150000}"/>
    <cellStyle name="Followed Hyperlink 2" xfId="16774" hidden="1" xr:uid="{00000000-0005-0000-0000-0000AD150000}"/>
    <cellStyle name="Followed Hyperlink 2" xfId="16772" hidden="1" xr:uid="{00000000-0005-0000-0000-0000AE150000}"/>
    <cellStyle name="Followed Hyperlink 2" xfId="16773" hidden="1" xr:uid="{00000000-0005-0000-0000-0000AF150000}"/>
    <cellStyle name="Followed Hyperlink 2" xfId="16783" hidden="1" xr:uid="{00000000-0005-0000-0000-0000B0150000}"/>
    <cellStyle name="Followed Hyperlink 2" xfId="16786" hidden="1" xr:uid="{00000000-0005-0000-0000-0000B1150000}"/>
    <cellStyle name="Followed Hyperlink 2" xfId="16789" hidden="1" xr:uid="{00000000-0005-0000-0000-0000B2150000}"/>
    <cellStyle name="Followed Hyperlink 2" xfId="16793" hidden="1" xr:uid="{00000000-0005-0000-0000-0000B3150000}"/>
    <cellStyle name="Followed Hyperlink 2" xfId="16801" hidden="1" xr:uid="{00000000-0005-0000-0000-0000B4150000}"/>
    <cellStyle name="Followed Hyperlink 2" xfId="16798" hidden="1" xr:uid="{00000000-0005-0000-0000-0000B5150000}"/>
    <cellStyle name="Followed Hyperlink 2" xfId="16796" hidden="1" xr:uid="{00000000-0005-0000-0000-0000B6150000}"/>
    <cellStyle name="Followed Hyperlink 2" xfId="16797" hidden="1" xr:uid="{00000000-0005-0000-0000-0000B7150000}"/>
    <cellStyle name="Followed Hyperlink 2" xfId="16807" hidden="1" xr:uid="{00000000-0005-0000-0000-0000B8150000}"/>
    <cellStyle name="Followed Hyperlink 2" xfId="16810" hidden="1" xr:uid="{00000000-0005-0000-0000-0000B9150000}"/>
    <cellStyle name="Followed Hyperlink 2" xfId="16813" hidden="1" xr:uid="{00000000-0005-0000-0000-0000BA150000}"/>
    <cellStyle name="Followed Hyperlink 2" xfId="16817" hidden="1" xr:uid="{00000000-0005-0000-0000-0000BB150000}"/>
    <cellStyle name="Followed Hyperlink 2" xfId="16548" hidden="1" xr:uid="{00000000-0005-0000-0000-0000BC150000}"/>
    <cellStyle name="Followed Hyperlink 2" xfId="16544" hidden="1" xr:uid="{00000000-0005-0000-0000-0000BD150000}"/>
    <cellStyle name="Followed Hyperlink 2" xfId="16545" hidden="1" xr:uid="{00000000-0005-0000-0000-0000BE150000}"/>
    <cellStyle name="Followed Hyperlink 2" xfId="16532" hidden="1" xr:uid="{00000000-0005-0000-0000-0000BF150000}"/>
    <cellStyle name="Followed Hyperlink 2" xfId="16820" hidden="1" xr:uid="{00000000-0005-0000-0000-0000C0150000}"/>
    <cellStyle name="Followed Hyperlink 2" xfId="16823" hidden="1" xr:uid="{00000000-0005-0000-0000-0000C1150000}"/>
    <cellStyle name="Followed Hyperlink 2" xfId="16826" hidden="1" xr:uid="{00000000-0005-0000-0000-0000C2150000}"/>
    <cellStyle name="Followed Hyperlink 2" xfId="16830" hidden="1" xr:uid="{00000000-0005-0000-0000-0000C3150000}"/>
    <cellStyle name="Followed Hyperlink 2" xfId="16838" hidden="1" xr:uid="{00000000-0005-0000-0000-0000C4150000}"/>
    <cellStyle name="Followed Hyperlink 2" xfId="16835" hidden="1" xr:uid="{00000000-0005-0000-0000-0000C5150000}"/>
    <cellStyle name="Followed Hyperlink 2" xfId="16833" hidden="1" xr:uid="{00000000-0005-0000-0000-0000C6150000}"/>
    <cellStyle name="Followed Hyperlink 2" xfId="16834" hidden="1" xr:uid="{00000000-0005-0000-0000-0000C7150000}"/>
    <cellStyle name="Followed Hyperlink 2" xfId="16844" hidden="1" xr:uid="{00000000-0005-0000-0000-0000C8150000}"/>
    <cellStyle name="Followed Hyperlink 2" xfId="16847" hidden="1" xr:uid="{00000000-0005-0000-0000-0000C9150000}"/>
    <cellStyle name="Followed Hyperlink 2" xfId="16850" hidden="1" xr:uid="{00000000-0005-0000-0000-0000CA150000}"/>
    <cellStyle name="Followed Hyperlink 2" xfId="16854" hidden="1" xr:uid="{00000000-0005-0000-0000-0000CB150000}"/>
    <cellStyle name="Followed Hyperlink 2" xfId="16862" hidden="1" xr:uid="{00000000-0005-0000-0000-0000CC150000}"/>
    <cellStyle name="Followed Hyperlink 2" xfId="16859" hidden="1" xr:uid="{00000000-0005-0000-0000-0000CD150000}"/>
    <cellStyle name="Followed Hyperlink 2" xfId="16857" hidden="1" xr:uid="{00000000-0005-0000-0000-0000CE150000}"/>
    <cellStyle name="Followed Hyperlink 2" xfId="16858" hidden="1" xr:uid="{00000000-0005-0000-0000-0000CF150000}"/>
    <cellStyle name="Followed Hyperlink 2" xfId="16868" hidden="1" xr:uid="{00000000-0005-0000-0000-0000D0150000}"/>
    <cellStyle name="Followed Hyperlink 2" xfId="16871" hidden="1" xr:uid="{00000000-0005-0000-0000-0000D1150000}"/>
    <cellStyle name="Followed Hyperlink 2" xfId="16874" hidden="1" xr:uid="{00000000-0005-0000-0000-0000D2150000}"/>
    <cellStyle name="Followed Hyperlink 2" xfId="16878" hidden="1" xr:uid="{00000000-0005-0000-0000-0000D3150000}"/>
    <cellStyle name="Followed Hyperlink 2" xfId="16886" hidden="1" xr:uid="{00000000-0005-0000-0000-0000D4150000}"/>
    <cellStyle name="Followed Hyperlink 2" xfId="16883" hidden="1" xr:uid="{00000000-0005-0000-0000-0000D5150000}"/>
    <cellStyle name="Followed Hyperlink 2" xfId="16881" hidden="1" xr:uid="{00000000-0005-0000-0000-0000D6150000}"/>
    <cellStyle name="Followed Hyperlink 2" xfId="16882" hidden="1" xr:uid="{00000000-0005-0000-0000-0000D7150000}"/>
    <cellStyle name="Followed Hyperlink 2" xfId="16892" hidden="1" xr:uid="{00000000-0005-0000-0000-0000D8150000}"/>
    <cellStyle name="Followed Hyperlink 2" xfId="16895" hidden="1" xr:uid="{00000000-0005-0000-0000-0000D9150000}"/>
    <cellStyle name="Followed Hyperlink 2" xfId="16898" hidden="1" xr:uid="{00000000-0005-0000-0000-0000DA150000}"/>
    <cellStyle name="Followed Hyperlink 2" xfId="16902" hidden="1" xr:uid="{00000000-0005-0000-0000-0000DB150000}"/>
    <cellStyle name="Followed Hyperlink 2" xfId="560" hidden="1" xr:uid="{00000000-0005-0000-0000-0000DC150000}"/>
    <cellStyle name="Followed Hyperlink 2" xfId="631" hidden="1" xr:uid="{00000000-0005-0000-0000-0000DD150000}"/>
    <cellStyle name="Followed Hyperlink 2" xfId="566" hidden="1" xr:uid="{00000000-0005-0000-0000-0000DE150000}"/>
    <cellStyle name="Followed Hyperlink 2" xfId="567" hidden="1" xr:uid="{00000000-0005-0000-0000-0000DF150000}"/>
    <cellStyle name="Followed Hyperlink 2" xfId="550" hidden="1" xr:uid="{00000000-0005-0000-0000-0000E0150000}"/>
    <cellStyle name="Followed Hyperlink 2" xfId="565" hidden="1" xr:uid="{00000000-0005-0000-0000-0000E1150000}"/>
    <cellStyle name="Followed Hyperlink 2" xfId="554" hidden="1" xr:uid="{00000000-0005-0000-0000-0000E2150000}"/>
    <cellStyle name="Followed Hyperlink 2" xfId="16907" hidden="1" xr:uid="{00000000-0005-0000-0000-0000E3150000}"/>
    <cellStyle name="Followed Hyperlink 2" xfId="16915" hidden="1" xr:uid="{00000000-0005-0000-0000-0000E4150000}"/>
    <cellStyle name="Followed Hyperlink 2" xfId="16912" hidden="1" xr:uid="{00000000-0005-0000-0000-0000E5150000}"/>
    <cellStyle name="Followed Hyperlink 2" xfId="16910" hidden="1" xr:uid="{00000000-0005-0000-0000-0000E6150000}"/>
    <cellStyle name="Followed Hyperlink 2" xfId="16911" hidden="1" xr:uid="{00000000-0005-0000-0000-0000E7150000}"/>
    <cellStyle name="Followed Hyperlink 2" xfId="16921" hidden="1" xr:uid="{00000000-0005-0000-0000-0000E8150000}"/>
    <cellStyle name="Followed Hyperlink 2" xfId="16924" hidden="1" xr:uid="{00000000-0005-0000-0000-0000E9150000}"/>
    <cellStyle name="Followed Hyperlink 2" xfId="16927" hidden="1" xr:uid="{00000000-0005-0000-0000-0000EA150000}"/>
    <cellStyle name="Followed Hyperlink 2" xfId="16931" hidden="1" xr:uid="{00000000-0005-0000-0000-0000EB150000}"/>
    <cellStyle name="Followed Hyperlink 2" xfId="16940" hidden="1" xr:uid="{00000000-0005-0000-0000-0000EC150000}"/>
    <cellStyle name="Followed Hyperlink 2" xfId="16937" hidden="1" xr:uid="{00000000-0005-0000-0000-0000ED150000}"/>
    <cellStyle name="Followed Hyperlink 2" xfId="16935" hidden="1" xr:uid="{00000000-0005-0000-0000-0000EE150000}"/>
    <cellStyle name="Followed Hyperlink 2" xfId="16936" hidden="1" xr:uid="{00000000-0005-0000-0000-0000EF150000}"/>
    <cellStyle name="Followed Hyperlink 2" xfId="16946" hidden="1" xr:uid="{00000000-0005-0000-0000-0000F0150000}"/>
    <cellStyle name="Followed Hyperlink 2" xfId="16949" hidden="1" xr:uid="{00000000-0005-0000-0000-0000F1150000}"/>
    <cellStyle name="Followed Hyperlink 2" xfId="16952" hidden="1" xr:uid="{00000000-0005-0000-0000-0000F2150000}"/>
    <cellStyle name="Followed Hyperlink 2" xfId="16956" hidden="1" xr:uid="{00000000-0005-0000-0000-0000F3150000}"/>
    <cellStyle name="Followed Hyperlink 2" xfId="16964" hidden="1" xr:uid="{00000000-0005-0000-0000-0000F4150000}"/>
    <cellStyle name="Followed Hyperlink 2" xfId="16961" hidden="1" xr:uid="{00000000-0005-0000-0000-0000F5150000}"/>
    <cellStyle name="Followed Hyperlink 2" xfId="16959" hidden="1" xr:uid="{00000000-0005-0000-0000-0000F6150000}"/>
    <cellStyle name="Followed Hyperlink 2" xfId="16960" hidden="1" xr:uid="{00000000-0005-0000-0000-0000F7150000}"/>
    <cellStyle name="Followed Hyperlink 2" xfId="16970" hidden="1" xr:uid="{00000000-0005-0000-0000-0000F8150000}"/>
    <cellStyle name="Followed Hyperlink 2" xfId="16973" hidden="1" xr:uid="{00000000-0005-0000-0000-0000F9150000}"/>
    <cellStyle name="Followed Hyperlink 2" xfId="16976" hidden="1" xr:uid="{00000000-0005-0000-0000-0000FA150000}"/>
    <cellStyle name="Followed Hyperlink 2" xfId="16980" hidden="1" xr:uid="{00000000-0005-0000-0000-0000FB150000}"/>
    <cellStyle name="Followed Hyperlink 2" xfId="17017" hidden="1" xr:uid="{00000000-0005-0000-0000-0000FC150000}"/>
    <cellStyle name="Followed Hyperlink 2" xfId="17014" hidden="1" xr:uid="{00000000-0005-0000-0000-0000FD150000}"/>
    <cellStyle name="Followed Hyperlink 2" xfId="17012" hidden="1" xr:uid="{00000000-0005-0000-0000-0000FE150000}"/>
    <cellStyle name="Followed Hyperlink 2" xfId="17013" hidden="1" xr:uid="{00000000-0005-0000-0000-0000FF150000}"/>
    <cellStyle name="Followed Hyperlink 2" xfId="17023" hidden="1" xr:uid="{00000000-0005-0000-0000-000000160000}"/>
    <cellStyle name="Followed Hyperlink 2" xfId="17026" hidden="1" xr:uid="{00000000-0005-0000-0000-000001160000}"/>
    <cellStyle name="Followed Hyperlink 2" xfId="17029" hidden="1" xr:uid="{00000000-0005-0000-0000-000002160000}"/>
    <cellStyle name="Followed Hyperlink 2" xfId="17033" hidden="1" xr:uid="{00000000-0005-0000-0000-000003160000}"/>
    <cellStyle name="Followed Hyperlink 2" xfId="17041" hidden="1" xr:uid="{00000000-0005-0000-0000-000004160000}"/>
    <cellStyle name="Followed Hyperlink 2" xfId="17038" hidden="1" xr:uid="{00000000-0005-0000-0000-000005160000}"/>
    <cellStyle name="Followed Hyperlink 2" xfId="17036" hidden="1" xr:uid="{00000000-0005-0000-0000-000006160000}"/>
    <cellStyle name="Followed Hyperlink 2" xfId="17037" hidden="1" xr:uid="{00000000-0005-0000-0000-000007160000}"/>
    <cellStyle name="Followed Hyperlink 2" xfId="17047" hidden="1" xr:uid="{00000000-0005-0000-0000-000008160000}"/>
    <cellStyle name="Followed Hyperlink 2" xfId="17050" hidden="1" xr:uid="{00000000-0005-0000-0000-000009160000}"/>
    <cellStyle name="Followed Hyperlink 2" xfId="17053" hidden="1" xr:uid="{00000000-0005-0000-0000-00000A160000}"/>
    <cellStyle name="Followed Hyperlink 2" xfId="17057" hidden="1" xr:uid="{00000000-0005-0000-0000-00000B160000}"/>
    <cellStyle name="Followed Hyperlink 2" xfId="17067" hidden="1" xr:uid="{00000000-0005-0000-0000-00000C160000}"/>
    <cellStyle name="Followed Hyperlink 2" xfId="17064" hidden="1" xr:uid="{00000000-0005-0000-0000-00000D160000}"/>
    <cellStyle name="Followed Hyperlink 2" xfId="17062" hidden="1" xr:uid="{00000000-0005-0000-0000-00000E160000}"/>
    <cellStyle name="Followed Hyperlink 2" xfId="17063" hidden="1" xr:uid="{00000000-0005-0000-0000-00000F160000}"/>
    <cellStyle name="Followed Hyperlink 2" xfId="17073" hidden="1" xr:uid="{00000000-0005-0000-0000-000010160000}"/>
    <cellStyle name="Followed Hyperlink 2" xfId="17076" hidden="1" xr:uid="{00000000-0005-0000-0000-000011160000}"/>
    <cellStyle name="Followed Hyperlink 2" xfId="17079" hidden="1" xr:uid="{00000000-0005-0000-0000-000012160000}"/>
    <cellStyle name="Followed Hyperlink 2" xfId="17083" hidden="1" xr:uid="{00000000-0005-0000-0000-000013160000}"/>
    <cellStyle name="Followed Hyperlink 2" xfId="17091" hidden="1" xr:uid="{00000000-0005-0000-0000-000014160000}"/>
    <cellStyle name="Followed Hyperlink 2" xfId="17088" hidden="1" xr:uid="{00000000-0005-0000-0000-000015160000}"/>
    <cellStyle name="Followed Hyperlink 2" xfId="17086" hidden="1" xr:uid="{00000000-0005-0000-0000-000016160000}"/>
    <cellStyle name="Followed Hyperlink 2" xfId="17087" hidden="1" xr:uid="{00000000-0005-0000-0000-000017160000}"/>
    <cellStyle name="Followed Hyperlink 2" xfId="17097" hidden="1" xr:uid="{00000000-0005-0000-0000-000018160000}"/>
    <cellStyle name="Followed Hyperlink 2" xfId="17100" hidden="1" xr:uid="{00000000-0005-0000-0000-000019160000}"/>
    <cellStyle name="Followed Hyperlink 2" xfId="17103" hidden="1" xr:uid="{00000000-0005-0000-0000-00001A160000}"/>
    <cellStyle name="Followed Hyperlink 2" xfId="17107" hidden="1" xr:uid="{00000000-0005-0000-0000-00001B160000}"/>
    <cellStyle name="Followed Hyperlink 2" xfId="17144" hidden="1" xr:uid="{00000000-0005-0000-0000-00001C160000}"/>
    <cellStyle name="Followed Hyperlink 2" xfId="17141" hidden="1" xr:uid="{00000000-0005-0000-0000-00001D160000}"/>
    <cellStyle name="Followed Hyperlink 2" xfId="17139" hidden="1" xr:uid="{00000000-0005-0000-0000-00001E160000}"/>
    <cellStyle name="Followed Hyperlink 2" xfId="17140" hidden="1" xr:uid="{00000000-0005-0000-0000-00001F160000}"/>
    <cellStyle name="Followed Hyperlink 2" xfId="17150" hidden="1" xr:uid="{00000000-0005-0000-0000-000020160000}"/>
    <cellStyle name="Followed Hyperlink 2" xfId="17153" hidden="1" xr:uid="{00000000-0005-0000-0000-000021160000}"/>
    <cellStyle name="Followed Hyperlink 2" xfId="17156" hidden="1" xr:uid="{00000000-0005-0000-0000-000022160000}"/>
    <cellStyle name="Followed Hyperlink 2" xfId="17160" hidden="1" xr:uid="{00000000-0005-0000-0000-000023160000}"/>
    <cellStyle name="Followed Hyperlink 2" xfId="17168" hidden="1" xr:uid="{00000000-0005-0000-0000-000024160000}"/>
    <cellStyle name="Followed Hyperlink 2" xfId="17165" hidden="1" xr:uid="{00000000-0005-0000-0000-000025160000}"/>
    <cellStyle name="Followed Hyperlink 2" xfId="17163" hidden="1" xr:uid="{00000000-0005-0000-0000-000026160000}"/>
    <cellStyle name="Followed Hyperlink 2" xfId="17164" hidden="1" xr:uid="{00000000-0005-0000-0000-000027160000}"/>
    <cellStyle name="Followed Hyperlink 2" xfId="17174" hidden="1" xr:uid="{00000000-0005-0000-0000-000028160000}"/>
    <cellStyle name="Followed Hyperlink 2" xfId="17177" hidden="1" xr:uid="{00000000-0005-0000-0000-000029160000}"/>
    <cellStyle name="Followed Hyperlink 2" xfId="17180" hidden="1" xr:uid="{00000000-0005-0000-0000-00002A160000}"/>
    <cellStyle name="Followed Hyperlink 2" xfId="17184" hidden="1" xr:uid="{00000000-0005-0000-0000-00002B160000}"/>
    <cellStyle name="Followed Hyperlink 2" xfId="17194" hidden="1" xr:uid="{00000000-0005-0000-0000-00002C160000}"/>
    <cellStyle name="Followed Hyperlink 2" xfId="17191" hidden="1" xr:uid="{00000000-0005-0000-0000-00002D160000}"/>
    <cellStyle name="Followed Hyperlink 2" xfId="17189" hidden="1" xr:uid="{00000000-0005-0000-0000-00002E160000}"/>
    <cellStyle name="Followed Hyperlink 2" xfId="17190" hidden="1" xr:uid="{00000000-0005-0000-0000-00002F160000}"/>
    <cellStyle name="Followed Hyperlink 2" xfId="17200" hidden="1" xr:uid="{00000000-0005-0000-0000-000030160000}"/>
    <cellStyle name="Followed Hyperlink 2" xfId="17203" hidden="1" xr:uid="{00000000-0005-0000-0000-000031160000}"/>
    <cellStyle name="Followed Hyperlink 2" xfId="17206" hidden="1" xr:uid="{00000000-0005-0000-0000-000032160000}"/>
    <cellStyle name="Followed Hyperlink 2" xfId="17210" hidden="1" xr:uid="{00000000-0005-0000-0000-000033160000}"/>
    <cellStyle name="Followed Hyperlink 2" xfId="17218" hidden="1" xr:uid="{00000000-0005-0000-0000-000034160000}"/>
    <cellStyle name="Followed Hyperlink 2" xfId="17215" hidden="1" xr:uid="{00000000-0005-0000-0000-000035160000}"/>
    <cellStyle name="Followed Hyperlink 2" xfId="17213" hidden="1" xr:uid="{00000000-0005-0000-0000-000036160000}"/>
    <cellStyle name="Followed Hyperlink 2" xfId="17214" hidden="1" xr:uid="{00000000-0005-0000-0000-000037160000}"/>
    <cellStyle name="Followed Hyperlink 2" xfId="17224" hidden="1" xr:uid="{00000000-0005-0000-0000-000038160000}"/>
    <cellStyle name="Followed Hyperlink 2" xfId="17227" hidden="1" xr:uid="{00000000-0005-0000-0000-000039160000}"/>
    <cellStyle name="Followed Hyperlink 2" xfId="17230" hidden="1" xr:uid="{00000000-0005-0000-0000-00003A160000}"/>
    <cellStyle name="Followed Hyperlink 2" xfId="17234" hidden="1" xr:uid="{00000000-0005-0000-0000-00003B160000}"/>
    <cellStyle name="Followed Hyperlink 2" xfId="17271" hidden="1" xr:uid="{00000000-0005-0000-0000-00003C160000}"/>
    <cellStyle name="Followed Hyperlink 2" xfId="17268" hidden="1" xr:uid="{00000000-0005-0000-0000-00003D160000}"/>
    <cellStyle name="Followed Hyperlink 2" xfId="17266" hidden="1" xr:uid="{00000000-0005-0000-0000-00003E160000}"/>
    <cellStyle name="Followed Hyperlink 2" xfId="17267" hidden="1" xr:uid="{00000000-0005-0000-0000-00003F160000}"/>
    <cellStyle name="Followed Hyperlink 2" xfId="17277" hidden="1" xr:uid="{00000000-0005-0000-0000-000040160000}"/>
    <cellStyle name="Followed Hyperlink 2" xfId="17280" hidden="1" xr:uid="{00000000-0005-0000-0000-000041160000}"/>
    <cellStyle name="Followed Hyperlink 2" xfId="17283" hidden="1" xr:uid="{00000000-0005-0000-0000-000042160000}"/>
    <cellStyle name="Followed Hyperlink 2" xfId="17287" hidden="1" xr:uid="{00000000-0005-0000-0000-000043160000}"/>
    <cellStyle name="Followed Hyperlink 2" xfId="17295" hidden="1" xr:uid="{00000000-0005-0000-0000-000044160000}"/>
    <cellStyle name="Followed Hyperlink 2" xfId="17292" hidden="1" xr:uid="{00000000-0005-0000-0000-000045160000}"/>
    <cellStyle name="Followed Hyperlink 2" xfId="17290" hidden="1" xr:uid="{00000000-0005-0000-0000-000046160000}"/>
    <cellStyle name="Followed Hyperlink 2" xfId="17291" hidden="1" xr:uid="{00000000-0005-0000-0000-000047160000}"/>
    <cellStyle name="Followed Hyperlink 2" xfId="17301" hidden="1" xr:uid="{00000000-0005-0000-0000-000048160000}"/>
    <cellStyle name="Followed Hyperlink 2" xfId="17304" hidden="1" xr:uid="{00000000-0005-0000-0000-000049160000}"/>
    <cellStyle name="Followed Hyperlink 2" xfId="17307" hidden="1" xr:uid="{00000000-0005-0000-0000-00004A160000}"/>
    <cellStyle name="Followed Hyperlink 2" xfId="17311" hidden="1" xr:uid="{00000000-0005-0000-0000-00004B160000}"/>
    <cellStyle name="Followed Hyperlink 2" xfId="17321" hidden="1" xr:uid="{00000000-0005-0000-0000-00004C160000}"/>
    <cellStyle name="Followed Hyperlink 2" xfId="17318" hidden="1" xr:uid="{00000000-0005-0000-0000-00004D160000}"/>
    <cellStyle name="Followed Hyperlink 2" xfId="17316" hidden="1" xr:uid="{00000000-0005-0000-0000-00004E160000}"/>
    <cellStyle name="Followed Hyperlink 2" xfId="17317" hidden="1" xr:uid="{00000000-0005-0000-0000-00004F160000}"/>
    <cellStyle name="Followed Hyperlink 2" xfId="17327" hidden="1" xr:uid="{00000000-0005-0000-0000-000050160000}"/>
    <cellStyle name="Followed Hyperlink 2" xfId="17330" hidden="1" xr:uid="{00000000-0005-0000-0000-000051160000}"/>
    <cellStyle name="Followed Hyperlink 2" xfId="17333" hidden="1" xr:uid="{00000000-0005-0000-0000-000052160000}"/>
    <cellStyle name="Followed Hyperlink 2" xfId="17337" hidden="1" xr:uid="{00000000-0005-0000-0000-000053160000}"/>
    <cellStyle name="Followed Hyperlink 2" xfId="17345" hidden="1" xr:uid="{00000000-0005-0000-0000-000054160000}"/>
    <cellStyle name="Followed Hyperlink 2" xfId="17342" hidden="1" xr:uid="{00000000-0005-0000-0000-000055160000}"/>
    <cellStyle name="Followed Hyperlink 2" xfId="17340" hidden="1" xr:uid="{00000000-0005-0000-0000-000056160000}"/>
    <cellStyle name="Followed Hyperlink 2" xfId="17341" hidden="1" xr:uid="{00000000-0005-0000-0000-000057160000}"/>
    <cellStyle name="Followed Hyperlink 2" xfId="17351" hidden="1" xr:uid="{00000000-0005-0000-0000-000058160000}"/>
    <cellStyle name="Followed Hyperlink 2" xfId="17354" hidden="1" xr:uid="{00000000-0005-0000-0000-000059160000}"/>
    <cellStyle name="Followed Hyperlink 2" xfId="17357" hidden="1" xr:uid="{00000000-0005-0000-0000-00005A160000}"/>
    <cellStyle name="Followed Hyperlink 2" xfId="17361" hidden="1" xr:uid="{00000000-0005-0000-0000-00005B160000}"/>
    <cellStyle name="Followed Hyperlink 2" xfId="17238" hidden="1" xr:uid="{00000000-0005-0000-0000-00005C160000}"/>
    <cellStyle name="Followed Hyperlink 2" xfId="17242" hidden="1" xr:uid="{00000000-0005-0000-0000-00005D160000}"/>
    <cellStyle name="Followed Hyperlink 2" xfId="17237" hidden="1" xr:uid="{00000000-0005-0000-0000-00005E160000}"/>
    <cellStyle name="Followed Hyperlink 2" xfId="17243" hidden="1" xr:uid="{00000000-0005-0000-0000-00005F160000}"/>
    <cellStyle name="Followed Hyperlink 2" xfId="17364" hidden="1" xr:uid="{00000000-0005-0000-0000-000060160000}"/>
    <cellStyle name="Followed Hyperlink 2" xfId="17367" hidden="1" xr:uid="{00000000-0005-0000-0000-000061160000}"/>
    <cellStyle name="Followed Hyperlink 2" xfId="17370" hidden="1" xr:uid="{00000000-0005-0000-0000-000062160000}"/>
    <cellStyle name="Followed Hyperlink 2" xfId="17374" hidden="1" xr:uid="{00000000-0005-0000-0000-000063160000}"/>
    <cellStyle name="Followed Hyperlink 2" xfId="17382" hidden="1" xr:uid="{00000000-0005-0000-0000-000064160000}"/>
    <cellStyle name="Followed Hyperlink 2" xfId="17379" hidden="1" xr:uid="{00000000-0005-0000-0000-000065160000}"/>
    <cellStyle name="Followed Hyperlink 2" xfId="17377" hidden="1" xr:uid="{00000000-0005-0000-0000-000066160000}"/>
    <cellStyle name="Followed Hyperlink 2" xfId="17378" hidden="1" xr:uid="{00000000-0005-0000-0000-000067160000}"/>
    <cellStyle name="Followed Hyperlink 2" xfId="17388" hidden="1" xr:uid="{00000000-0005-0000-0000-000068160000}"/>
    <cellStyle name="Followed Hyperlink 2" xfId="17391" hidden="1" xr:uid="{00000000-0005-0000-0000-000069160000}"/>
    <cellStyle name="Followed Hyperlink 2" xfId="17394" hidden="1" xr:uid="{00000000-0005-0000-0000-00006A160000}"/>
    <cellStyle name="Followed Hyperlink 2" xfId="17398" hidden="1" xr:uid="{00000000-0005-0000-0000-00006B160000}"/>
    <cellStyle name="Followed Hyperlink 2" xfId="17407" hidden="1" xr:uid="{00000000-0005-0000-0000-00006C160000}"/>
    <cellStyle name="Followed Hyperlink 2" xfId="17404" hidden="1" xr:uid="{00000000-0005-0000-0000-00006D160000}"/>
    <cellStyle name="Followed Hyperlink 2" xfId="17402" hidden="1" xr:uid="{00000000-0005-0000-0000-00006E160000}"/>
    <cellStyle name="Followed Hyperlink 2" xfId="17403" hidden="1" xr:uid="{00000000-0005-0000-0000-00006F160000}"/>
    <cellStyle name="Followed Hyperlink 2" xfId="17413" hidden="1" xr:uid="{00000000-0005-0000-0000-000070160000}"/>
    <cellStyle name="Followed Hyperlink 2" xfId="17416" hidden="1" xr:uid="{00000000-0005-0000-0000-000071160000}"/>
    <cellStyle name="Followed Hyperlink 2" xfId="17419" hidden="1" xr:uid="{00000000-0005-0000-0000-000072160000}"/>
    <cellStyle name="Followed Hyperlink 2" xfId="17423" hidden="1" xr:uid="{00000000-0005-0000-0000-000073160000}"/>
    <cellStyle name="Followed Hyperlink 2" xfId="17431" hidden="1" xr:uid="{00000000-0005-0000-0000-000074160000}"/>
    <cellStyle name="Followed Hyperlink 2" xfId="17428" hidden="1" xr:uid="{00000000-0005-0000-0000-000075160000}"/>
    <cellStyle name="Followed Hyperlink 2" xfId="17426" hidden="1" xr:uid="{00000000-0005-0000-0000-000076160000}"/>
    <cellStyle name="Followed Hyperlink 2" xfId="17427" hidden="1" xr:uid="{00000000-0005-0000-0000-000077160000}"/>
    <cellStyle name="Followed Hyperlink 2" xfId="17437" hidden="1" xr:uid="{00000000-0005-0000-0000-000078160000}"/>
    <cellStyle name="Followed Hyperlink 2" xfId="17440" hidden="1" xr:uid="{00000000-0005-0000-0000-000079160000}"/>
    <cellStyle name="Followed Hyperlink 2" xfId="17443" hidden="1" xr:uid="{00000000-0005-0000-0000-00007A160000}"/>
    <cellStyle name="Followed Hyperlink 2" xfId="17447" hidden="1" xr:uid="{00000000-0005-0000-0000-00007B160000}"/>
    <cellStyle name="Followed Hyperlink 2" xfId="17256" hidden="1" xr:uid="{00000000-0005-0000-0000-00007C160000}"/>
    <cellStyle name="Followed Hyperlink 2" xfId="17253" hidden="1" xr:uid="{00000000-0005-0000-0000-00007D160000}"/>
    <cellStyle name="Followed Hyperlink 2" xfId="17247" hidden="1" xr:uid="{00000000-0005-0000-0000-00007E160000}"/>
    <cellStyle name="Followed Hyperlink 2" xfId="17252" hidden="1" xr:uid="{00000000-0005-0000-0000-00007F160000}"/>
    <cellStyle name="Followed Hyperlink 2" xfId="17450" hidden="1" xr:uid="{00000000-0005-0000-0000-000080160000}"/>
    <cellStyle name="Followed Hyperlink 2" xfId="17453" hidden="1" xr:uid="{00000000-0005-0000-0000-000081160000}"/>
    <cellStyle name="Followed Hyperlink 2" xfId="17456" hidden="1" xr:uid="{00000000-0005-0000-0000-000082160000}"/>
    <cellStyle name="Followed Hyperlink 2" xfId="17460" hidden="1" xr:uid="{00000000-0005-0000-0000-000083160000}"/>
    <cellStyle name="Followed Hyperlink 2" xfId="17468" hidden="1" xr:uid="{00000000-0005-0000-0000-000084160000}"/>
    <cellStyle name="Followed Hyperlink 2" xfId="17465" hidden="1" xr:uid="{00000000-0005-0000-0000-000085160000}"/>
    <cellStyle name="Followed Hyperlink 2" xfId="17463" hidden="1" xr:uid="{00000000-0005-0000-0000-000086160000}"/>
    <cellStyle name="Followed Hyperlink 2" xfId="17464" hidden="1" xr:uid="{00000000-0005-0000-0000-000087160000}"/>
    <cellStyle name="Followed Hyperlink 2" xfId="17474" hidden="1" xr:uid="{00000000-0005-0000-0000-000088160000}"/>
    <cellStyle name="Followed Hyperlink 2" xfId="17477" hidden="1" xr:uid="{00000000-0005-0000-0000-000089160000}"/>
    <cellStyle name="Followed Hyperlink 2" xfId="17480" hidden="1" xr:uid="{00000000-0005-0000-0000-00008A160000}"/>
    <cellStyle name="Followed Hyperlink 2" xfId="17484" hidden="1" xr:uid="{00000000-0005-0000-0000-00008B160000}"/>
    <cellStyle name="Followed Hyperlink 2" xfId="17493" hidden="1" xr:uid="{00000000-0005-0000-0000-00008C160000}"/>
    <cellStyle name="Followed Hyperlink 2" xfId="17490" hidden="1" xr:uid="{00000000-0005-0000-0000-00008D160000}"/>
    <cellStyle name="Followed Hyperlink 2" xfId="17488" hidden="1" xr:uid="{00000000-0005-0000-0000-00008E160000}"/>
    <cellStyle name="Followed Hyperlink 2" xfId="17489" hidden="1" xr:uid="{00000000-0005-0000-0000-00008F160000}"/>
    <cellStyle name="Followed Hyperlink 2" xfId="17499" hidden="1" xr:uid="{00000000-0005-0000-0000-000090160000}"/>
    <cellStyle name="Followed Hyperlink 2" xfId="17502" hidden="1" xr:uid="{00000000-0005-0000-0000-000091160000}"/>
    <cellStyle name="Followed Hyperlink 2" xfId="17505" hidden="1" xr:uid="{00000000-0005-0000-0000-000092160000}"/>
    <cellStyle name="Followed Hyperlink 2" xfId="17509" hidden="1" xr:uid="{00000000-0005-0000-0000-000093160000}"/>
    <cellStyle name="Followed Hyperlink 2" xfId="17517" hidden="1" xr:uid="{00000000-0005-0000-0000-000094160000}"/>
    <cellStyle name="Followed Hyperlink 2" xfId="17514" hidden="1" xr:uid="{00000000-0005-0000-0000-000095160000}"/>
    <cellStyle name="Followed Hyperlink 2" xfId="17512" hidden="1" xr:uid="{00000000-0005-0000-0000-000096160000}"/>
    <cellStyle name="Followed Hyperlink 2" xfId="17513" hidden="1" xr:uid="{00000000-0005-0000-0000-000097160000}"/>
    <cellStyle name="Followed Hyperlink 2" xfId="17523" hidden="1" xr:uid="{00000000-0005-0000-0000-000098160000}"/>
    <cellStyle name="Followed Hyperlink 2" xfId="17526" hidden="1" xr:uid="{00000000-0005-0000-0000-000099160000}"/>
    <cellStyle name="Followed Hyperlink 2" xfId="17529" hidden="1" xr:uid="{00000000-0005-0000-0000-00009A160000}"/>
    <cellStyle name="Followed Hyperlink 2" xfId="17533" hidden="1" xr:uid="{00000000-0005-0000-0000-00009B160000}"/>
    <cellStyle name="Followed Hyperlink 2" xfId="17264" hidden="1" xr:uid="{00000000-0005-0000-0000-00009C160000}"/>
    <cellStyle name="Followed Hyperlink 2" xfId="17260" hidden="1" xr:uid="{00000000-0005-0000-0000-00009D160000}"/>
    <cellStyle name="Followed Hyperlink 2" xfId="17261" hidden="1" xr:uid="{00000000-0005-0000-0000-00009E160000}"/>
    <cellStyle name="Followed Hyperlink 2" xfId="17248" hidden="1" xr:uid="{00000000-0005-0000-0000-00009F160000}"/>
    <cellStyle name="Followed Hyperlink 2" xfId="17536" hidden="1" xr:uid="{00000000-0005-0000-0000-0000A0160000}"/>
    <cellStyle name="Followed Hyperlink 2" xfId="17539" hidden="1" xr:uid="{00000000-0005-0000-0000-0000A1160000}"/>
    <cellStyle name="Followed Hyperlink 2" xfId="17542" hidden="1" xr:uid="{00000000-0005-0000-0000-0000A2160000}"/>
    <cellStyle name="Followed Hyperlink 2" xfId="17546" hidden="1" xr:uid="{00000000-0005-0000-0000-0000A3160000}"/>
    <cellStyle name="Followed Hyperlink 2" xfId="17554" hidden="1" xr:uid="{00000000-0005-0000-0000-0000A4160000}"/>
    <cellStyle name="Followed Hyperlink 2" xfId="17551" hidden="1" xr:uid="{00000000-0005-0000-0000-0000A5160000}"/>
    <cellStyle name="Followed Hyperlink 2" xfId="17549" hidden="1" xr:uid="{00000000-0005-0000-0000-0000A6160000}"/>
    <cellStyle name="Followed Hyperlink 2" xfId="17550" hidden="1" xr:uid="{00000000-0005-0000-0000-0000A7160000}"/>
    <cellStyle name="Followed Hyperlink 2" xfId="17560" hidden="1" xr:uid="{00000000-0005-0000-0000-0000A8160000}"/>
    <cellStyle name="Followed Hyperlink 2" xfId="17563" hidden="1" xr:uid="{00000000-0005-0000-0000-0000A9160000}"/>
    <cellStyle name="Followed Hyperlink 2" xfId="17566" hidden="1" xr:uid="{00000000-0005-0000-0000-0000AA160000}"/>
    <cellStyle name="Followed Hyperlink 2" xfId="17570" hidden="1" xr:uid="{00000000-0005-0000-0000-0000AB160000}"/>
    <cellStyle name="Followed Hyperlink 2" xfId="17578" hidden="1" xr:uid="{00000000-0005-0000-0000-0000AC160000}"/>
    <cellStyle name="Followed Hyperlink 2" xfId="17575" hidden="1" xr:uid="{00000000-0005-0000-0000-0000AD160000}"/>
    <cellStyle name="Followed Hyperlink 2" xfId="17573" hidden="1" xr:uid="{00000000-0005-0000-0000-0000AE160000}"/>
    <cellStyle name="Followed Hyperlink 2" xfId="17574" hidden="1" xr:uid="{00000000-0005-0000-0000-0000AF160000}"/>
    <cellStyle name="Followed Hyperlink 2" xfId="17584" hidden="1" xr:uid="{00000000-0005-0000-0000-0000B0160000}"/>
    <cellStyle name="Followed Hyperlink 2" xfId="17587" hidden="1" xr:uid="{00000000-0005-0000-0000-0000B1160000}"/>
    <cellStyle name="Followed Hyperlink 2" xfId="17590" hidden="1" xr:uid="{00000000-0005-0000-0000-0000B2160000}"/>
    <cellStyle name="Followed Hyperlink 2" xfId="17594" hidden="1" xr:uid="{00000000-0005-0000-0000-0000B3160000}"/>
    <cellStyle name="Followed Hyperlink 2" xfId="17602" hidden="1" xr:uid="{00000000-0005-0000-0000-0000B4160000}"/>
    <cellStyle name="Followed Hyperlink 2" xfId="17599" hidden="1" xr:uid="{00000000-0005-0000-0000-0000B5160000}"/>
    <cellStyle name="Followed Hyperlink 2" xfId="17597" hidden="1" xr:uid="{00000000-0005-0000-0000-0000B6160000}"/>
    <cellStyle name="Followed Hyperlink 2" xfId="17598" hidden="1" xr:uid="{00000000-0005-0000-0000-0000B7160000}"/>
    <cellStyle name="Followed Hyperlink 2" xfId="17608" hidden="1" xr:uid="{00000000-0005-0000-0000-0000B8160000}"/>
    <cellStyle name="Followed Hyperlink 2" xfId="17611" hidden="1" xr:uid="{00000000-0005-0000-0000-0000B9160000}"/>
    <cellStyle name="Followed Hyperlink 2" xfId="17614" hidden="1" xr:uid="{00000000-0005-0000-0000-0000BA160000}"/>
    <cellStyle name="Followed Hyperlink 2" xfId="17618" hidden="1" xr:uid="{00000000-0005-0000-0000-0000BB160000}"/>
    <cellStyle name="Followed Hyperlink 2" xfId="17111" hidden="1" xr:uid="{00000000-0005-0000-0000-0000BC160000}"/>
    <cellStyle name="Followed Hyperlink 2" xfId="17115" hidden="1" xr:uid="{00000000-0005-0000-0000-0000BD160000}"/>
    <cellStyle name="Followed Hyperlink 2" xfId="17110" hidden="1" xr:uid="{00000000-0005-0000-0000-0000BE160000}"/>
    <cellStyle name="Followed Hyperlink 2" xfId="17116" hidden="1" xr:uid="{00000000-0005-0000-0000-0000BF160000}"/>
    <cellStyle name="Followed Hyperlink 2" xfId="17621" hidden="1" xr:uid="{00000000-0005-0000-0000-0000C0160000}"/>
    <cellStyle name="Followed Hyperlink 2" xfId="17624" hidden="1" xr:uid="{00000000-0005-0000-0000-0000C1160000}"/>
    <cellStyle name="Followed Hyperlink 2" xfId="17627" hidden="1" xr:uid="{00000000-0005-0000-0000-0000C2160000}"/>
    <cellStyle name="Followed Hyperlink 2" xfId="17631" hidden="1" xr:uid="{00000000-0005-0000-0000-0000C3160000}"/>
    <cellStyle name="Followed Hyperlink 2" xfId="17639" hidden="1" xr:uid="{00000000-0005-0000-0000-0000C4160000}"/>
    <cellStyle name="Followed Hyperlink 2" xfId="17636" hidden="1" xr:uid="{00000000-0005-0000-0000-0000C5160000}"/>
    <cellStyle name="Followed Hyperlink 2" xfId="17634" hidden="1" xr:uid="{00000000-0005-0000-0000-0000C6160000}"/>
    <cellStyle name="Followed Hyperlink 2" xfId="17635" hidden="1" xr:uid="{00000000-0005-0000-0000-0000C7160000}"/>
    <cellStyle name="Followed Hyperlink 2" xfId="17645" hidden="1" xr:uid="{00000000-0005-0000-0000-0000C8160000}"/>
    <cellStyle name="Followed Hyperlink 2" xfId="17648" hidden="1" xr:uid="{00000000-0005-0000-0000-0000C9160000}"/>
    <cellStyle name="Followed Hyperlink 2" xfId="17651" hidden="1" xr:uid="{00000000-0005-0000-0000-0000CA160000}"/>
    <cellStyle name="Followed Hyperlink 2" xfId="17655" hidden="1" xr:uid="{00000000-0005-0000-0000-0000CB160000}"/>
    <cellStyle name="Followed Hyperlink 2" xfId="17664" hidden="1" xr:uid="{00000000-0005-0000-0000-0000CC160000}"/>
    <cellStyle name="Followed Hyperlink 2" xfId="17661" hidden="1" xr:uid="{00000000-0005-0000-0000-0000CD160000}"/>
    <cellStyle name="Followed Hyperlink 2" xfId="17659" hidden="1" xr:uid="{00000000-0005-0000-0000-0000CE160000}"/>
    <cellStyle name="Followed Hyperlink 2" xfId="17660" hidden="1" xr:uid="{00000000-0005-0000-0000-0000CF160000}"/>
    <cellStyle name="Followed Hyperlink 2" xfId="17670" hidden="1" xr:uid="{00000000-0005-0000-0000-0000D0160000}"/>
    <cellStyle name="Followed Hyperlink 2" xfId="17673" hidden="1" xr:uid="{00000000-0005-0000-0000-0000D1160000}"/>
    <cellStyle name="Followed Hyperlink 2" xfId="17676" hidden="1" xr:uid="{00000000-0005-0000-0000-0000D2160000}"/>
    <cellStyle name="Followed Hyperlink 2" xfId="17680" hidden="1" xr:uid="{00000000-0005-0000-0000-0000D3160000}"/>
    <cellStyle name="Followed Hyperlink 2" xfId="17688" hidden="1" xr:uid="{00000000-0005-0000-0000-0000D4160000}"/>
    <cellStyle name="Followed Hyperlink 2" xfId="17685" hidden="1" xr:uid="{00000000-0005-0000-0000-0000D5160000}"/>
    <cellStyle name="Followed Hyperlink 2" xfId="17683" hidden="1" xr:uid="{00000000-0005-0000-0000-0000D6160000}"/>
    <cellStyle name="Followed Hyperlink 2" xfId="17684" hidden="1" xr:uid="{00000000-0005-0000-0000-0000D7160000}"/>
    <cellStyle name="Followed Hyperlink 2" xfId="17694" hidden="1" xr:uid="{00000000-0005-0000-0000-0000D8160000}"/>
    <cellStyle name="Followed Hyperlink 2" xfId="17697" hidden="1" xr:uid="{00000000-0005-0000-0000-0000D9160000}"/>
    <cellStyle name="Followed Hyperlink 2" xfId="17700" hidden="1" xr:uid="{00000000-0005-0000-0000-0000DA160000}"/>
    <cellStyle name="Followed Hyperlink 2" xfId="17704" hidden="1" xr:uid="{00000000-0005-0000-0000-0000DB160000}"/>
    <cellStyle name="Followed Hyperlink 2" xfId="17741" hidden="1" xr:uid="{00000000-0005-0000-0000-0000DC160000}"/>
    <cellStyle name="Followed Hyperlink 2" xfId="17738" hidden="1" xr:uid="{00000000-0005-0000-0000-0000DD160000}"/>
    <cellStyle name="Followed Hyperlink 2" xfId="17736" hidden="1" xr:uid="{00000000-0005-0000-0000-0000DE160000}"/>
    <cellStyle name="Followed Hyperlink 2" xfId="17737" hidden="1" xr:uid="{00000000-0005-0000-0000-0000DF160000}"/>
    <cellStyle name="Followed Hyperlink 2" xfId="17747" hidden="1" xr:uid="{00000000-0005-0000-0000-0000E0160000}"/>
    <cellStyle name="Followed Hyperlink 2" xfId="17750" hidden="1" xr:uid="{00000000-0005-0000-0000-0000E1160000}"/>
    <cellStyle name="Followed Hyperlink 2" xfId="17753" hidden="1" xr:uid="{00000000-0005-0000-0000-0000E2160000}"/>
    <cellStyle name="Followed Hyperlink 2" xfId="17757" hidden="1" xr:uid="{00000000-0005-0000-0000-0000E3160000}"/>
    <cellStyle name="Followed Hyperlink 2" xfId="17765" hidden="1" xr:uid="{00000000-0005-0000-0000-0000E4160000}"/>
    <cellStyle name="Followed Hyperlink 2" xfId="17762" hidden="1" xr:uid="{00000000-0005-0000-0000-0000E5160000}"/>
    <cellStyle name="Followed Hyperlink 2" xfId="17760" hidden="1" xr:uid="{00000000-0005-0000-0000-0000E6160000}"/>
    <cellStyle name="Followed Hyperlink 2" xfId="17761" hidden="1" xr:uid="{00000000-0005-0000-0000-0000E7160000}"/>
    <cellStyle name="Followed Hyperlink 2" xfId="17771" hidden="1" xr:uid="{00000000-0005-0000-0000-0000E8160000}"/>
    <cellStyle name="Followed Hyperlink 2" xfId="17774" hidden="1" xr:uid="{00000000-0005-0000-0000-0000E9160000}"/>
    <cellStyle name="Followed Hyperlink 2" xfId="17777" hidden="1" xr:uid="{00000000-0005-0000-0000-0000EA160000}"/>
    <cellStyle name="Followed Hyperlink 2" xfId="17781" hidden="1" xr:uid="{00000000-0005-0000-0000-0000EB160000}"/>
    <cellStyle name="Followed Hyperlink 2" xfId="17791" hidden="1" xr:uid="{00000000-0005-0000-0000-0000EC160000}"/>
    <cellStyle name="Followed Hyperlink 2" xfId="17788" hidden="1" xr:uid="{00000000-0005-0000-0000-0000ED160000}"/>
    <cellStyle name="Followed Hyperlink 2" xfId="17786" hidden="1" xr:uid="{00000000-0005-0000-0000-0000EE160000}"/>
    <cellStyle name="Followed Hyperlink 2" xfId="17787" hidden="1" xr:uid="{00000000-0005-0000-0000-0000EF160000}"/>
    <cellStyle name="Followed Hyperlink 2" xfId="17797" hidden="1" xr:uid="{00000000-0005-0000-0000-0000F0160000}"/>
    <cellStyle name="Followed Hyperlink 2" xfId="17800" hidden="1" xr:uid="{00000000-0005-0000-0000-0000F1160000}"/>
    <cellStyle name="Followed Hyperlink 2" xfId="17803" hidden="1" xr:uid="{00000000-0005-0000-0000-0000F2160000}"/>
    <cellStyle name="Followed Hyperlink 2" xfId="17807" hidden="1" xr:uid="{00000000-0005-0000-0000-0000F3160000}"/>
    <cellStyle name="Followed Hyperlink 2" xfId="17815" hidden="1" xr:uid="{00000000-0005-0000-0000-0000F4160000}"/>
    <cellStyle name="Followed Hyperlink 2" xfId="17812" hidden="1" xr:uid="{00000000-0005-0000-0000-0000F5160000}"/>
    <cellStyle name="Followed Hyperlink 2" xfId="17810" hidden="1" xr:uid="{00000000-0005-0000-0000-0000F6160000}"/>
    <cellStyle name="Followed Hyperlink 2" xfId="17811" hidden="1" xr:uid="{00000000-0005-0000-0000-0000F7160000}"/>
    <cellStyle name="Followed Hyperlink 2" xfId="17821" hidden="1" xr:uid="{00000000-0005-0000-0000-0000F8160000}"/>
    <cellStyle name="Followed Hyperlink 2" xfId="17824" hidden="1" xr:uid="{00000000-0005-0000-0000-0000F9160000}"/>
    <cellStyle name="Followed Hyperlink 2" xfId="17827" hidden="1" xr:uid="{00000000-0005-0000-0000-0000FA160000}"/>
    <cellStyle name="Followed Hyperlink 2" xfId="17831" hidden="1" xr:uid="{00000000-0005-0000-0000-0000FB160000}"/>
    <cellStyle name="Followed Hyperlink 2" xfId="17708" hidden="1" xr:uid="{00000000-0005-0000-0000-0000FC160000}"/>
    <cellStyle name="Followed Hyperlink 2" xfId="17712" hidden="1" xr:uid="{00000000-0005-0000-0000-0000FD160000}"/>
    <cellStyle name="Followed Hyperlink 2" xfId="17707" hidden="1" xr:uid="{00000000-0005-0000-0000-0000FE160000}"/>
    <cellStyle name="Followed Hyperlink 2" xfId="17713" hidden="1" xr:uid="{00000000-0005-0000-0000-0000FF160000}"/>
    <cellStyle name="Followed Hyperlink 2" xfId="17834" hidden="1" xr:uid="{00000000-0005-0000-0000-000000170000}"/>
    <cellStyle name="Followed Hyperlink 2" xfId="17837" hidden="1" xr:uid="{00000000-0005-0000-0000-000001170000}"/>
    <cellStyle name="Followed Hyperlink 2" xfId="17840" hidden="1" xr:uid="{00000000-0005-0000-0000-000002170000}"/>
    <cellStyle name="Followed Hyperlink 2" xfId="17844" hidden="1" xr:uid="{00000000-0005-0000-0000-000003170000}"/>
    <cellStyle name="Followed Hyperlink 2" xfId="17852" hidden="1" xr:uid="{00000000-0005-0000-0000-000004170000}"/>
    <cellStyle name="Followed Hyperlink 2" xfId="17849" hidden="1" xr:uid="{00000000-0005-0000-0000-000005170000}"/>
    <cellStyle name="Followed Hyperlink 2" xfId="17847" hidden="1" xr:uid="{00000000-0005-0000-0000-000006170000}"/>
    <cellStyle name="Followed Hyperlink 2" xfId="17848" hidden="1" xr:uid="{00000000-0005-0000-0000-000007170000}"/>
    <cellStyle name="Followed Hyperlink 2" xfId="17858" hidden="1" xr:uid="{00000000-0005-0000-0000-000008170000}"/>
    <cellStyle name="Followed Hyperlink 2" xfId="17861" hidden="1" xr:uid="{00000000-0005-0000-0000-000009170000}"/>
    <cellStyle name="Followed Hyperlink 2" xfId="17864" hidden="1" xr:uid="{00000000-0005-0000-0000-00000A170000}"/>
    <cellStyle name="Followed Hyperlink 2" xfId="17868" hidden="1" xr:uid="{00000000-0005-0000-0000-00000B170000}"/>
    <cellStyle name="Followed Hyperlink 2" xfId="17877" hidden="1" xr:uid="{00000000-0005-0000-0000-00000C170000}"/>
    <cellStyle name="Followed Hyperlink 2" xfId="17874" hidden="1" xr:uid="{00000000-0005-0000-0000-00000D170000}"/>
    <cellStyle name="Followed Hyperlink 2" xfId="17872" hidden="1" xr:uid="{00000000-0005-0000-0000-00000E170000}"/>
    <cellStyle name="Followed Hyperlink 2" xfId="17873" hidden="1" xr:uid="{00000000-0005-0000-0000-00000F170000}"/>
    <cellStyle name="Followed Hyperlink 2" xfId="17883" hidden="1" xr:uid="{00000000-0005-0000-0000-000010170000}"/>
    <cellStyle name="Followed Hyperlink 2" xfId="17886" hidden="1" xr:uid="{00000000-0005-0000-0000-000011170000}"/>
    <cellStyle name="Followed Hyperlink 2" xfId="17889" hidden="1" xr:uid="{00000000-0005-0000-0000-000012170000}"/>
    <cellStyle name="Followed Hyperlink 2" xfId="17893" hidden="1" xr:uid="{00000000-0005-0000-0000-000013170000}"/>
    <cellStyle name="Followed Hyperlink 2" xfId="17901" hidden="1" xr:uid="{00000000-0005-0000-0000-000014170000}"/>
    <cellStyle name="Followed Hyperlink 2" xfId="17898" hidden="1" xr:uid="{00000000-0005-0000-0000-000015170000}"/>
    <cellStyle name="Followed Hyperlink 2" xfId="17896" hidden="1" xr:uid="{00000000-0005-0000-0000-000016170000}"/>
    <cellStyle name="Followed Hyperlink 2" xfId="17897" hidden="1" xr:uid="{00000000-0005-0000-0000-000017170000}"/>
    <cellStyle name="Followed Hyperlink 2" xfId="17907" hidden="1" xr:uid="{00000000-0005-0000-0000-000018170000}"/>
    <cellStyle name="Followed Hyperlink 2" xfId="17910" hidden="1" xr:uid="{00000000-0005-0000-0000-000019170000}"/>
    <cellStyle name="Followed Hyperlink 2" xfId="17913" hidden="1" xr:uid="{00000000-0005-0000-0000-00001A170000}"/>
    <cellStyle name="Followed Hyperlink 2" xfId="17917" hidden="1" xr:uid="{00000000-0005-0000-0000-00001B170000}"/>
    <cellStyle name="Followed Hyperlink 2" xfId="17726" hidden="1" xr:uid="{00000000-0005-0000-0000-00001C170000}"/>
    <cellStyle name="Followed Hyperlink 2" xfId="17723" hidden="1" xr:uid="{00000000-0005-0000-0000-00001D170000}"/>
    <cellStyle name="Followed Hyperlink 2" xfId="17717" hidden="1" xr:uid="{00000000-0005-0000-0000-00001E170000}"/>
    <cellStyle name="Followed Hyperlink 2" xfId="17722" hidden="1" xr:uid="{00000000-0005-0000-0000-00001F170000}"/>
    <cellStyle name="Followed Hyperlink 2" xfId="17920" hidden="1" xr:uid="{00000000-0005-0000-0000-000020170000}"/>
    <cellStyle name="Followed Hyperlink 2" xfId="17923" hidden="1" xr:uid="{00000000-0005-0000-0000-000021170000}"/>
    <cellStyle name="Followed Hyperlink 2" xfId="17926" hidden="1" xr:uid="{00000000-0005-0000-0000-000022170000}"/>
    <cellStyle name="Followed Hyperlink 2" xfId="17930" hidden="1" xr:uid="{00000000-0005-0000-0000-000023170000}"/>
    <cellStyle name="Followed Hyperlink 2" xfId="17938" hidden="1" xr:uid="{00000000-0005-0000-0000-000024170000}"/>
    <cellStyle name="Followed Hyperlink 2" xfId="17935" hidden="1" xr:uid="{00000000-0005-0000-0000-000025170000}"/>
    <cellStyle name="Followed Hyperlink 2" xfId="17933" hidden="1" xr:uid="{00000000-0005-0000-0000-000026170000}"/>
    <cellStyle name="Followed Hyperlink 2" xfId="17934" hidden="1" xr:uid="{00000000-0005-0000-0000-000027170000}"/>
    <cellStyle name="Followed Hyperlink 2" xfId="17944" hidden="1" xr:uid="{00000000-0005-0000-0000-000028170000}"/>
    <cellStyle name="Followed Hyperlink 2" xfId="17947" hidden="1" xr:uid="{00000000-0005-0000-0000-000029170000}"/>
    <cellStyle name="Followed Hyperlink 2" xfId="17950" hidden="1" xr:uid="{00000000-0005-0000-0000-00002A170000}"/>
    <cellStyle name="Followed Hyperlink 2" xfId="17954" hidden="1" xr:uid="{00000000-0005-0000-0000-00002B170000}"/>
    <cellStyle name="Followed Hyperlink 2" xfId="17963" hidden="1" xr:uid="{00000000-0005-0000-0000-00002C170000}"/>
    <cellStyle name="Followed Hyperlink 2" xfId="17960" hidden="1" xr:uid="{00000000-0005-0000-0000-00002D170000}"/>
    <cellStyle name="Followed Hyperlink 2" xfId="17958" hidden="1" xr:uid="{00000000-0005-0000-0000-00002E170000}"/>
    <cellStyle name="Followed Hyperlink 2" xfId="17959" hidden="1" xr:uid="{00000000-0005-0000-0000-00002F170000}"/>
    <cellStyle name="Followed Hyperlink 2" xfId="17969" hidden="1" xr:uid="{00000000-0005-0000-0000-000030170000}"/>
    <cellStyle name="Followed Hyperlink 2" xfId="17972" hidden="1" xr:uid="{00000000-0005-0000-0000-000031170000}"/>
    <cellStyle name="Followed Hyperlink 2" xfId="17975" hidden="1" xr:uid="{00000000-0005-0000-0000-000032170000}"/>
    <cellStyle name="Followed Hyperlink 2" xfId="17979" hidden="1" xr:uid="{00000000-0005-0000-0000-000033170000}"/>
    <cellStyle name="Followed Hyperlink 2" xfId="17987" hidden="1" xr:uid="{00000000-0005-0000-0000-000034170000}"/>
    <cellStyle name="Followed Hyperlink 2" xfId="17984" hidden="1" xr:uid="{00000000-0005-0000-0000-000035170000}"/>
    <cellStyle name="Followed Hyperlink 2" xfId="17982" hidden="1" xr:uid="{00000000-0005-0000-0000-000036170000}"/>
    <cellStyle name="Followed Hyperlink 2" xfId="17983" hidden="1" xr:uid="{00000000-0005-0000-0000-000037170000}"/>
    <cellStyle name="Followed Hyperlink 2" xfId="17993" hidden="1" xr:uid="{00000000-0005-0000-0000-000038170000}"/>
    <cellStyle name="Followed Hyperlink 2" xfId="17996" hidden="1" xr:uid="{00000000-0005-0000-0000-000039170000}"/>
    <cellStyle name="Followed Hyperlink 2" xfId="17999" hidden="1" xr:uid="{00000000-0005-0000-0000-00003A170000}"/>
    <cellStyle name="Followed Hyperlink 2" xfId="18003" hidden="1" xr:uid="{00000000-0005-0000-0000-00003B170000}"/>
    <cellStyle name="Followed Hyperlink 2" xfId="17734" hidden="1" xr:uid="{00000000-0005-0000-0000-00003C170000}"/>
    <cellStyle name="Followed Hyperlink 2" xfId="17730" hidden="1" xr:uid="{00000000-0005-0000-0000-00003D170000}"/>
    <cellStyle name="Followed Hyperlink 2" xfId="17731" hidden="1" xr:uid="{00000000-0005-0000-0000-00003E170000}"/>
    <cellStyle name="Followed Hyperlink 2" xfId="17718" hidden="1" xr:uid="{00000000-0005-0000-0000-00003F170000}"/>
    <cellStyle name="Followed Hyperlink 2" xfId="18006" hidden="1" xr:uid="{00000000-0005-0000-0000-000040170000}"/>
    <cellStyle name="Followed Hyperlink 2" xfId="18009" hidden="1" xr:uid="{00000000-0005-0000-0000-000041170000}"/>
    <cellStyle name="Followed Hyperlink 2" xfId="18012" hidden="1" xr:uid="{00000000-0005-0000-0000-000042170000}"/>
    <cellStyle name="Followed Hyperlink 2" xfId="18016" hidden="1" xr:uid="{00000000-0005-0000-0000-000043170000}"/>
    <cellStyle name="Followed Hyperlink 2" xfId="18024" hidden="1" xr:uid="{00000000-0005-0000-0000-000044170000}"/>
    <cellStyle name="Followed Hyperlink 2" xfId="18021" hidden="1" xr:uid="{00000000-0005-0000-0000-000045170000}"/>
    <cellStyle name="Followed Hyperlink 2" xfId="18019" hidden="1" xr:uid="{00000000-0005-0000-0000-000046170000}"/>
    <cellStyle name="Followed Hyperlink 2" xfId="18020" hidden="1" xr:uid="{00000000-0005-0000-0000-000047170000}"/>
    <cellStyle name="Followed Hyperlink 2" xfId="18030" hidden="1" xr:uid="{00000000-0005-0000-0000-000048170000}"/>
    <cellStyle name="Followed Hyperlink 2" xfId="18033" hidden="1" xr:uid="{00000000-0005-0000-0000-000049170000}"/>
    <cellStyle name="Followed Hyperlink 2" xfId="18036" hidden="1" xr:uid="{00000000-0005-0000-0000-00004A170000}"/>
    <cellStyle name="Followed Hyperlink 2" xfId="18040" hidden="1" xr:uid="{00000000-0005-0000-0000-00004B170000}"/>
    <cellStyle name="Followed Hyperlink 2" xfId="18048" hidden="1" xr:uid="{00000000-0005-0000-0000-00004C170000}"/>
    <cellStyle name="Followed Hyperlink 2" xfId="18045" hidden="1" xr:uid="{00000000-0005-0000-0000-00004D170000}"/>
    <cellStyle name="Followed Hyperlink 2" xfId="18043" hidden="1" xr:uid="{00000000-0005-0000-0000-00004E170000}"/>
    <cellStyle name="Followed Hyperlink 2" xfId="18044" hidden="1" xr:uid="{00000000-0005-0000-0000-00004F170000}"/>
    <cellStyle name="Followed Hyperlink 2" xfId="18054" hidden="1" xr:uid="{00000000-0005-0000-0000-000050170000}"/>
    <cellStyle name="Followed Hyperlink 2" xfId="18057" hidden="1" xr:uid="{00000000-0005-0000-0000-000051170000}"/>
    <cellStyle name="Followed Hyperlink 2" xfId="18060" hidden="1" xr:uid="{00000000-0005-0000-0000-000052170000}"/>
    <cellStyle name="Followed Hyperlink 2" xfId="18064" hidden="1" xr:uid="{00000000-0005-0000-0000-000053170000}"/>
    <cellStyle name="Followed Hyperlink 2" xfId="18072" hidden="1" xr:uid="{00000000-0005-0000-0000-000054170000}"/>
    <cellStyle name="Followed Hyperlink 2" xfId="18069" hidden="1" xr:uid="{00000000-0005-0000-0000-000055170000}"/>
    <cellStyle name="Followed Hyperlink 2" xfId="18067" hidden="1" xr:uid="{00000000-0005-0000-0000-000056170000}"/>
    <cellStyle name="Followed Hyperlink 2" xfId="18068" hidden="1" xr:uid="{00000000-0005-0000-0000-000057170000}"/>
    <cellStyle name="Followed Hyperlink 2" xfId="18078" hidden="1" xr:uid="{00000000-0005-0000-0000-000058170000}"/>
    <cellStyle name="Followed Hyperlink 2" xfId="18081" hidden="1" xr:uid="{00000000-0005-0000-0000-000059170000}"/>
    <cellStyle name="Followed Hyperlink 2" xfId="18084" hidden="1" xr:uid="{00000000-0005-0000-0000-00005A170000}"/>
    <cellStyle name="Followed Hyperlink 2" xfId="18088" hidden="1" xr:uid="{00000000-0005-0000-0000-00005B170000}"/>
    <cellStyle name="Followed Hyperlink 2" xfId="17129" hidden="1" xr:uid="{00000000-0005-0000-0000-00005C170000}"/>
    <cellStyle name="Followed Hyperlink 2" xfId="17126" hidden="1" xr:uid="{00000000-0005-0000-0000-00005D170000}"/>
    <cellStyle name="Followed Hyperlink 2" xfId="17120" hidden="1" xr:uid="{00000000-0005-0000-0000-00005E170000}"/>
    <cellStyle name="Followed Hyperlink 2" xfId="17125" hidden="1" xr:uid="{00000000-0005-0000-0000-00005F170000}"/>
    <cellStyle name="Followed Hyperlink 2" xfId="18091" hidden="1" xr:uid="{00000000-0005-0000-0000-000060170000}"/>
    <cellStyle name="Followed Hyperlink 2" xfId="18094" hidden="1" xr:uid="{00000000-0005-0000-0000-000061170000}"/>
    <cellStyle name="Followed Hyperlink 2" xfId="18097" hidden="1" xr:uid="{00000000-0005-0000-0000-000062170000}"/>
    <cellStyle name="Followed Hyperlink 2" xfId="18101" hidden="1" xr:uid="{00000000-0005-0000-0000-000063170000}"/>
    <cellStyle name="Followed Hyperlink 2" xfId="18109" hidden="1" xr:uid="{00000000-0005-0000-0000-000064170000}"/>
    <cellStyle name="Followed Hyperlink 2" xfId="18106" hidden="1" xr:uid="{00000000-0005-0000-0000-000065170000}"/>
    <cellStyle name="Followed Hyperlink 2" xfId="18104" hidden="1" xr:uid="{00000000-0005-0000-0000-000066170000}"/>
    <cellStyle name="Followed Hyperlink 2" xfId="18105" hidden="1" xr:uid="{00000000-0005-0000-0000-000067170000}"/>
    <cellStyle name="Followed Hyperlink 2" xfId="18115" hidden="1" xr:uid="{00000000-0005-0000-0000-000068170000}"/>
    <cellStyle name="Followed Hyperlink 2" xfId="18118" hidden="1" xr:uid="{00000000-0005-0000-0000-000069170000}"/>
    <cellStyle name="Followed Hyperlink 2" xfId="18121" hidden="1" xr:uid="{00000000-0005-0000-0000-00006A170000}"/>
    <cellStyle name="Followed Hyperlink 2" xfId="18125" hidden="1" xr:uid="{00000000-0005-0000-0000-00006B170000}"/>
    <cellStyle name="Followed Hyperlink 2" xfId="18134" hidden="1" xr:uid="{00000000-0005-0000-0000-00006C170000}"/>
    <cellStyle name="Followed Hyperlink 2" xfId="18131" hidden="1" xr:uid="{00000000-0005-0000-0000-00006D170000}"/>
    <cellStyle name="Followed Hyperlink 2" xfId="18129" hidden="1" xr:uid="{00000000-0005-0000-0000-00006E170000}"/>
    <cellStyle name="Followed Hyperlink 2" xfId="18130" hidden="1" xr:uid="{00000000-0005-0000-0000-00006F170000}"/>
    <cellStyle name="Followed Hyperlink 2" xfId="18140" hidden="1" xr:uid="{00000000-0005-0000-0000-000070170000}"/>
    <cellStyle name="Followed Hyperlink 2" xfId="18143" hidden="1" xr:uid="{00000000-0005-0000-0000-000071170000}"/>
    <cellStyle name="Followed Hyperlink 2" xfId="18146" hidden="1" xr:uid="{00000000-0005-0000-0000-000072170000}"/>
    <cellStyle name="Followed Hyperlink 2" xfId="18150" hidden="1" xr:uid="{00000000-0005-0000-0000-000073170000}"/>
    <cellStyle name="Followed Hyperlink 2" xfId="18158" hidden="1" xr:uid="{00000000-0005-0000-0000-000074170000}"/>
    <cellStyle name="Followed Hyperlink 2" xfId="18155" hidden="1" xr:uid="{00000000-0005-0000-0000-000075170000}"/>
    <cellStyle name="Followed Hyperlink 2" xfId="18153" hidden="1" xr:uid="{00000000-0005-0000-0000-000076170000}"/>
    <cellStyle name="Followed Hyperlink 2" xfId="18154" hidden="1" xr:uid="{00000000-0005-0000-0000-000077170000}"/>
    <cellStyle name="Followed Hyperlink 2" xfId="18164" hidden="1" xr:uid="{00000000-0005-0000-0000-000078170000}"/>
    <cellStyle name="Followed Hyperlink 2" xfId="18167" hidden="1" xr:uid="{00000000-0005-0000-0000-000079170000}"/>
    <cellStyle name="Followed Hyperlink 2" xfId="18170" hidden="1" xr:uid="{00000000-0005-0000-0000-00007A170000}"/>
    <cellStyle name="Followed Hyperlink 2" xfId="18174" hidden="1" xr:uid="{00000000-0005-0000-0000-00007B170000}"/>
    <cellStyle name="Followed Hyperlink 2" xfId="18211" hidden="1" xr:uid="{00000000-0005-0000-0000-00007C170000}"/>
    <cellStyle name="Followed Hyperlink 2" xfId="18208" hidden="1" xr:uid="{00000000-0005-0000-0000-00007D170000}"/>
    <cellStyle name="Followed Hyperlink 2" xfId="18206" hidden="1" xr:uid="{00000000-0005-0000-0000-00007E170000}"/>
    <cellStyle name="Followed Hyperlink 2" xfId="18207" hidden="1" xr:uid="{00000000-0005-0000-0000-00007F170000}"/>
    <cellStyle name="Followed Hyperlink 2" xfId="18217" hidden="1" xr:uid="{00000000-0005-0000-0000-000080170000}"/>
    <cellStyle name="Followed Hyperlink 2" xfId="18220" hidden="1" xr:uid="{00000000-0005-0000-0000-000081170000}"/>
    <cellStyle name="Followed Hyperlink 2" xfId="18223" hidden="1" xr:uid="{00000000-0005-0000-0000-000082170000}"/>
    <cellStyle name="Followed Hyperlink 2" xfId="18227" hidden="1" xr:uid="{00000000-0005-0000-0000-000083170000}"/>
    <cellStyle name="Followed Hyperlink 2" xfId="18235" hidden="1" xr:uid="{00000000-0005-0000-0000-000084170000}"/>
    <cellStyle name="Followed Hyperlink 2" xfId="18232" hidden="1" xr:uid="{00000000-0005-0000-0000-000085170000}"/>
    <cellStyle name="Followed Hyperlink 2" xfId="18230" hidden="1" xr:uid="{00000000-0005-0000-0000-000086170000}"/>
    <cellStyle name="Followed Hyperlink 2" xfId="18231" hidden="1" xr:uid="{00000000-0005-0000-0000-000087170000}"/>
    <cellStyle name="Followed Hyperlink 2" xfId="18241" hidden="1" xr:uid="{00000000-0005-0000-0000-000088170000}"/>
    <cellStyle name="Followed Hyperlink 2" xfId="18244" hidden="1" xr:uid="{00000000-0005-0000-0000-000089170000}"/>
    <cellStyle name="Followed Hyperlink 2" xfId="18247" hidden="1" xr:uid="{00000000-0005-0000-0000-00008A170000}"/>
    <cellStyle name="Followed Hyperlink 2" xfId="18251" hidden="1" xr:uid="{00000000-0005-0000-0000-00008B170000}"/>
    <cellStyle name="Followed Hyperlink 2" xfId="18261" hidden="1" xr:uid="{00000000-0005-0000-0000-00008C170000}"/>
    <cellStyle name="Followed Hyperlink 2" xfId="18258" hidden="1" xr:uid="{00000000-0005-0000-0000-00008D170000}"/>
    <cellStyle name="Followed Hyperlink 2" xfId="18256" hidden="1" xr:uid="{00000000-0005-0000-0000-00008E170000}"/>
    <cellStyle name="Followed Hyperlink 2" xfId="18257" hidden="1" xr:uid="{00000000-0005-0000-0000-00008F170000}"/>
    <cellStyle name="Followed Hyperlink 2" xfId="18267" hidden="1" xr:uid="{00000000-0005-0000-0000-000090170000}"/>
    <cellStyle name="Followed Hyperlink 2" xfId="18270" hidden="1" xr:uid="{00000000-0005-0000-0000-000091170000}"/>
    <cellStyle name="Followed Hyperlink 2" xfId="18273" hidden="1" xr:uid="{00000000-0005-0000-0000-000092170000}"/>
    <cellStyle name="Followed Hyperlink 2" xfId="18277" hidden="1" xr:uid="{00000000-0005-0000-0000-000093170000}"/>
    <cellStyle name="Followed Hyperlink 2" xfId="18285" hidden="1" xr:uid="{00000000-0005-0000-0000-000094170000}"/>
    <cellStyle name="Followed Hyperlink 2" xfId="18282" hidden="1" xr:uid="{00000000-0005-0000-0000-000095170000}"/>
    <cellStyle name="Followed Hyperlink 2" xfId="18280" hidden="1" xr:uid="{00000000-0005-0000-0000-000096170000}"/>
    <cellStyle name="Followed Hyperlink 2" xfId="18281" hidden="1" xr:uid="{00000000-0005-0000-0000-000097170000}"/>
    <cellStyle name="Followed Hyperlink 2" xfId="18291" hidden="1" xr:uid="{00000000-0005-0000-0000-000098170000}"/>
    <cellStyle name="Followed Hyperlink 2" xfId="18294" hidden="1" xr:uid="{00000000-0005-0000-0000-000099170000}"/>
    <cellStyle name="Followed Hyperlink 2" xfId="18297" hidden="1" xr:uid="{00000000-0005-0000-0000-00009A170000}"/>
    <cellStyle name="Followed Hyperlink 2" xfId="18301" hidden="1" xr:uid="{00000000-0005-0000-0000-00009B170000}"/>
    <cellStyle name="Followed Hyperlink 2" xfId="18178" hidden="1" xr:uid="{00000000-0005-0000-0000-00009C170000}"/>
    <cellStyle name="Followed Hyperlink 2" xfId="18182" hidden="1" xr:uid="{00000000-0005-0000-0000-00009D170000}"/>
    <cellStyle name="Followed Hyperlink 2" xfId="18177" hidden="1" xr:uid="{00000000-0005-0000-0000-00009E170000}"/>
    <cellStyle name="Followed Hyperlink 2" xfId="18183" hidden="1" xr:uid="{00000000-0005-0000-0000-00009F170000}"/>
    <cellStyle name="Followed Hyperlink 2" xfId="18304" hidden="1" xr:uid="{00000000-0005-0000-0000-0000A0170000}"/>
    <cellStyle name="Followed Hyperlink 2" xfId="18307" hidden="1" xr:uid="{00000000-0005-0000-0000-0000A1170000}"/>
    <cellStyle name="Followed Hyperlink 2" xfId="18310" hidden="1" xr:uid="{00000000-0005-0000-0000-0000A2170000}"/>
    <cellStyle name="Followed Hyperlink 2" xfId="18314" hidden="1" xr:uid="{00000000-0005-0000-0000-0000A3170000}"/>
    <cellStyle name="Followed Hyperlink 2" xfId="18322" hidden="1" xr:uid="{00000000-0005-0000-0000-0000A4170000}"/>
    <cellStyle name="Followed Hyperlink 2" xfId="18319" hidden="1" xr:uid="{00000000-0005-0000-0000-0000A5170000}"/>
    <cellStyle name="Followed Hyperlink 2" xfId="18317" hidden="1" xr:uid="{00000000-0005-0000-0000-0000A6170000}"/>
    <cellStyle name="Followed Hyperlink 2" xfId="18318" hidden="1" xr:uid="{00000000-0005-0000-0000-0000A7170000}"/>
    <cellStyle name="Followed Hyperlink 2" xfId="18328" hidden="1" xr:uid="{00000000-0005-0000-0000-0000A8170000}"/>
    <cellStyle name="Followed Hyperlink 2" xfId="18331" hidden="1" xr:uid="{00000000-0005-0000-0000-0000A9170000}"/>
    <cellStyle name="Followed Hyperlink 2" xfId="18334" hidden="1" xr:uid="{00000000-0005-0000-0000-0000AA170000}"/>
    <cellStyle name="Followed Hyperlink 2" xfId="18338" hidden="1" xr:uid="{00000000-0005-0000-0000-0000AB170000}"/>
    <cellStyle name="Followed Hyperlink 2" xfId="18347" hidden="1" xr:uid="{00000000-0005-0000-0000-0000AC170000}"/>
    <cellStyle name="Followed Hyperlink 2" xfId="18344" hidden="1" xr:uid="{00000000-0005-0000-0000-0000AD170000}"/>
    <cellStyle name="Followed Hyperlink 2" xfId="18342" hidden="1" xr:uid="{00000000-0005-0000-0000-0000AE170000}"/>
    <cellStyle name="Followed Hyperlink 2" xfId="18343" hidden="1" xr:uid="{00000000-0005-0000-0000-0000AF170000}"/>
    <cellStyle name="Followed Hyperlink 2" xfId="18353" hidden="1" xr:uid="{00000000-0005-0000-0000-0000B0170000}"/>
    <cellStyle name="Followed Hyperlink 2" xfId="18356" hidden="1" xr:uid="{00000000-0005-0000-0000-0000B1170000}"/>
    <cellStyle name="Followed Hyperlink 2" xfId="18359" hidden="1" xr:uid="{00000000-0005-0000-0000-0000B2170000}"/>
    <cellStyle name="Followed Hyperlink 2" xfId="18363" hidden="1" xr:uid="{00000000-0005-0000-0000-0000B3170000}"/>
    <cellStyle name="Followed Hyperlink 2" xfId="18371" hidden="1" xr:uid="{00000000-0005-0000-0000-0000B4170000}"/>
    <cellStyle name="Followed Hyperlink 2" xfId="18368" hidden="1" xr:uid="{00000000-0005-0000-0000-0000B5170000}"/>
    <cellStyle name="Followed Hyperlink 2" xfId="18366" hidden="1" xr:uid="{00000000-0005-0000-0000-0000B6170000}"/>
    <cellStyle name="Followed Hyperlink 2" xfId="18367" hidden="1" xr:uid="{00000000-0005-0000-0000-0000B7170000}"/>
    <cellStyle name="Followed Hyperlink 2" xfId="18377" hidden="1" xr:uid="{00000000-0005-0000-0000-0000B8170000}"/>
    <cellStyle name="Followed Hyperlink 2" xfId="18380" hidden="1" xr:uid="{00000000-0005-0000-0000-0000B9170000}"/>
    <cellStyle name="Followed Hyperlink 2" xfId="18383" hidden="1" xr:uid="{00000000-0005-0000-0000-0000BA170000}"/>
    <cellStyle name="Followed Hyperlink 2" xfId="18387" hidden="1" xr:uid="{00000000-0005-0000-0000-0000BB170000}"/>
    <cellStyle name="Followed Hyperlink 2" xfId="18196" hidden="1" xr:uid="{00000000-0005-0000-0000-0000BC170000}"/>
    <cellStyle name="Followed Hyperlink 2" xfId="18193" hidden="1" xr:uid="{00000000-0005-0000-0000-0000BD170000}"/>
    <cellStyle name="Followed Hyperlink 2" xfId="18187" hidden="1" xr:uid="{00000000-0005-0000-0000-0000BE170000}"/>
    <cellStyle name="Followed Hyperlink 2" xfId="18192" hidden="1" xr:uid="{00000000-0005-0000-0000-0000BF170000}"/>
    <cellStyle name="Followed Hyperlink 2" xfId="18390" hidden="1" xr:uid="{00000000-0005-0000-0000-0000C0170000}"/>
    <cellStyle name="Followed Hyperlink 2" xfId="18393" hidden="1" xr:uid="{00000000-0005-0000-0000-0000C1170000}"/>
    <cellStyle name="Followed Hyperlink 2" xfId="18396" hidden="1" xr:uid="{00000000-0005-0000-0000-0000C2170000}"/>
    <cellStyle name="Followed Hyperlink 2" xfId="18400" hidden="1" xr:uid="{00000000-0005-0000-0000-0000C3170000}"/>
    <cellStyle name="Followed Hyperlink 2" xfId="18408" hidden="1" xr:uid="{00000000-0005-0000-0000-0000C4170000}"/>
    <cellStyle name="Followed Hyperlink 2" xfId="18405" hidden="1" xr:uid="{00000000-0005-0000-0000-0000C5170000}"/>
    <cellStyle name="Followed Hyperlink 2" xfId="18403" hidden="1" xr:uid="{00000000-0005-0000-0000-0000C6170000}"/>
    <cellStyle name="Followed Hyperlink 2" xfId="18404" hidden="1" xr:uid="{00000000-0005-0000-0000-0000C7170000}"/>
    <cellStyle name="Followed Hyperlink 2" xfId="18414" hidden="1" xr:uid="{00000000-0005-0000-0000-0000C8170000}"/>
    <cellStyle name="Followed Hyperlink 2" xfId="18417" hidden="1" xr:uid="{00000000-0005-0000-0000-0000C9170000}"/>
    <cellStyle name="Followed Hyperlink 2" xfId="18420" hidden="1" xr:uid="{00000000-0005-0000-0000-0000CA170000}"/>
    <cellStyle name="Followed Hyperlink 2" xfId="18424" hidden="1" xr:uid="{00000000-0005-0000-0000-0000CB170000}"/>
    <cellStyle name="Followed Hyperlink 2" xfId="18433" hidden="1" xr:uid="{00000000-0005-0000-0000-0000CC170000}"/>
    <cellStyle name="Followed Hyperlink 2" xfId="18430" hidden="1" xr:uid="{00000000-0005-0000-0000-0000CD170000}"/>
    <cellStyle name="Followed Hyperlink 2" xfId="18428" hidden="1" xr:uid="{00000000-0005-0000-0000-0000CE170000}"/>
    <cellStyle name="Followed Hyperlink 2" xfId="18429" hidden="1" xr:uid="{00000000-0005-0000-0000-0000CF170000}"/>
    <cellStyle name="Followed Hyperlink 2" xfId="18439" hidden="1" xr:uid="{00000000-0005-0000-0000-0000D0170000}"/>
    <cellStyle name="Followed Hyperlink 2" xfId="18442" hidden="1" xr:uid="{00000000-0005-0000-0000-0000D1170000}"/>
    <cellStyle name="Followed Hyperlink 2" xfId="18445" hidden="1" xr:uid="{00000000-0005-0000-0000-0000D2170000}"/>
    <cellStyle name="Followed Hyperlink 2" xfId="18449" hidden="1" xr:uid="{00000000-0005-0000-0000-0000D3170000}"/>
    <cellStyle name="Followed Hyperlink 2" xfId="18457" hidden="1" xr:uid="{00000000-0005-0000-0000-0000D4170000}"/>
    <cellStyle name="Followed Hyperlink 2" xfId="18454" hidden="1" xr:uid="{00000000-0005-0000-0000-0000D5170000}"/>
    <cellStyle name="Followed Hyperlink 2" xfId="18452" hidden="1" xr:uid="{00000000-0005-0000-0000-0000D6170000}"/>
    <cellStyle name="Followed Hyperlink 2" xfId="18453" hidden="1" xr:uid="{00000000-0005-0000-0000-0000D7170000}"/>
    <cellStyle name="Followed Hyperlink 2" xfId="18463" hidden="1" xr:uid="{00000000-0005-0000-0000-0000D8170000}"/>
    <cellStyle name="Followed Hyperlink 2" xfId="18466" hidden="1" xr:uid="{00000000-0005-0000-0000-0000D9170000}"/>
    <cellStyle name="Followed Hyperlink 2" xfId="18469" hidden="1" xr:uid="{00000000-0005-0000-0000-0000DA170000}"/>
    <cellStyle name="Followed Hyperlink 2" xfId="18473" hidden="1" xr:uid="{00000000-0005-0000-0000-0000DB170000}"/>
    <cellStyle name="Followed Hyperlink 2" xfId="18204" hidden="1" xr:uid="{00000000-0005-0000-0000-0000DC170000}"/>
    <cellStyle name="Followed Hyperlink 2" xfId="18200" hidden="1" xr:uid="{00000000-0005-0000-0000-0000DD170000}"/>
    <cellStyle name="Followed Hyperlink 2" xfId="18201" hidden="1" xr:uid="{00000000-0005-0000-0000-0000DE170000}"/>
    <cellStyle name="Followed Hyperlink 2" xfId="18188" hidden="1" xr:uid="{00000000-0005-0000-0000-0000DF170000}"/>
    <cellStyle name="Followed Hyperlink 2" xfId="18476" hidden="1" xr:uid="{00000000-0005-0000-0000-0000E0170000}"/>
    <cellStyle name="Followed Hyperlink 2" xfId="18479" hidden="1" xr:uid="{00000000-0005-0000-0000-0000E1170000}"/>
    <cellStyle name="Followed Hyperlink 2" xfId="18482" hidden="1" xr:uid="{00000000-0005-0000-0000-0000E2170000}"/>
    <cellStyle name="Followed Hyperlink 2" xfId="18486" hidden="1" xr:uid="{00000000-0005-0000-0000-0000E3170000}"/>
    <cellStyle name="Followed Hyperlink 2" xfId="18494" hidden="1" xr:uid="{00000000-0005-0000-0000-0000E4170000}"/>
    <cellStyle name="Followed Hyperlink 2" xfId="18491" hidden="1" xr:uid="{00000000-0005-0000-0000-0000E5170000}"/>
    <cellStyle name="Followed Hyperlink 2" xfId="18489" hidden="1" xr:uid="{00000000-0005-0000-0000-0000E6170000}"/>
    <cellStyle name="Followed Hyperlink 2" xfId="18490" hidden="1" xr:uid="{00000000-0005-0000-0000-0000E7170000}"/>
    <cellStyle name="Followed Hyperlink 2" xfId="18500" hidden="1" xr:uid="{00000000-0005-0000-0000-0000E8170000}"/>
    <cellStyle name="Followed Hyperlink 2" xfId="18503" hidden="1" xr:uid="{00000000-0005-0000-0000-0000E9170000}"/>
    <cellStyle name="Followed Hyperlink 2" xfId="18506" hidden="1" xr:uid="{00000000-0005-0000-0000-0000EA170000}"/>
    <cellStyle name="Followed Hyperlink 2" xfId="18510" hidden="1" xr:uid="{00000000-0005-0000-0000-0000EB170000}"/>
    <cellStyle name="Followed Hyperlink 2" xfId="18518" hidden="1" xr:uid="{00000000-0005-0000-0000-0000EC170000}"/>
    <cellStyle name="Followed Hyperlink 2" xfId="18515" hidden="1" xr:uid="{00000000-0005-0000-0000-0000ED170000}"/>
    <cellStyle name="Followed Hyperlink 2" xfId="18513" hidden="1" xr:uid="{00000000-0005-0000-0000-0000EE170000}"/>
    <cellStyle name="Followed Hyperlink 2" xfId="18514" hidden="1" xr:uid="{00000000-0005-0000-0000-0000EF170000}"/>
    <cellStyle name="Followed Hyperlink 2" xfId="18524" hidden="1" xr:uid="{00000000-0005-0000-0000-0000F0170000}"/>
    <cellStyle name="Followed Hyperlink 2" xfId="18527" hidden="1" xr:uid="{00000000-0005-0000-0000-0000F1170000}"/>
    <cellStyle name="Followed Hyperlink 2" xfId="18530" hidden="1" xr:uid="{00000000-0005-0000-0000-0000F2170000}"/>
    <cellStyle name="Followed Hyperlink 2" xfId="18534" hidden="1" xr:uid="{00000000-0005-0000-0000-0000F3170000}"/>
    <cellStyle name="Followed Hyperlink 2" xfId="18542" hidden="1" xr:uid="{00000000-0005-0000-0000-0000F4170000}"/>
    <cellStyle name="Followed Hyperlink 2" xfId="18539" hidden="1" xr:uid="{00000000-0005-0000-0000-0000F5170000}"/>
    <cellStyle name="Followed Hyperlink 2" xfId="18537" hidden="1" xr:uid="{00000000-0005-0000-0000-0000F6170000}"/>
    <cellStyle name="Followed Hyperlink 2" xfId="18538" hidden="1" xr:uid="{00000000-0005-0000-0000-0000F7170000}"/>
    <cellStyle name="Followed Hyperlink 2" xfId="18548" hidden="1" xr:uid="{00000000-0005-0000-0000-0000F8170000}"/>
    <cellStyle name="Followed Hyperlink 2" xfId="18551" hidden="1" xr:uid="{00000000-0005-0000-0000-0000F9170000}"/>
    <cellStyle name="Followed Hyperlink 2" xfId="18554" hidden="1" xr:uid="{00000000-0005-0000-0000-0000FA170000}"/>
    <cellStyle name="Followed Hyperlink 2" xfId="18558" hidden="1" xr:uid="{00000000-0005-0000-0000-0000FB170000}"/>
    <cellStyle name="Followed Hyperlink 2" xfId="17137" hidden="1" xr:uid="{00000000-0005-0000-0000-0000FC170000}"/>
    <cellStyle name="Followed Hyperlink 2" xfId="17133" hidden="1" xr:uid="{00000000-0005-0000-0000-0000FD170000}"/>
    <cellStyle name="Followed Hyperlink 2" xfId="17134" hidden="1" xr:uid="{00000000-0005-0000-0000-0000FE170000}"/>
    <cellStyle name="Followed Hyperlink 2" xfId="17121" hidden="1" xr:uid="{00000000-0005-0000-0000-0000FF170000}"/>
    <cellStyle name="Followed Hyperlink 2" xfId="18561" hidden="1" xr:uid="{00000000-0005-0000-0000-000000180000}"/>
    <cellStyle name="Followed Hyperlink 2" xfId="18564" hidden="1" xr:uid="{00000000-0005-0000-0000-000001180000}"/>
    <cellStyle name="Followed Hyperlink 2" xfId="18567" hidden="1" xr:uid="{00000000-0005-0000-0000-000002180000}"/>
    <cellStyle name="Followed Hyperlink 2" xfId="18571" hidden="1" xr:uid="{00000000-0005-0000-0000-000003180000}"/>
    <cellStyle name="Followed Hyperlink 2" xfId="18579" hidden="1" xr:uid="{00000000-0005-0000-0000-000004180000}"/>
    <cellStyle name="Followed Hyperlink 2" xfId="18576" hidden="1" xr:uid="{00000000-0005-0000-0000-000005180000}"/>
    <cellStyle name="Followed Hyperlink 2" xfId="18574" hidden="1" xr:uid="{00000000-0005-0000-0000-000006180000}"/>
    <cellStyle name="Followed Hyperlink 2" xfId="18575" hidden="1" xr:uid="{00000000-0005-0000-0000-000007180000}"/>
    <cellStyle name="Followed Hyperlink 2" xfId="18585" hidden="1" xr:uid="{00000000-0005-0000-0000-000008180000}"/>
    <cellStyle name="Followed Hyperlink 2" xfId="18588" hidden="1" xr:uid="{00000000-0005-0000-0000-000009180000}"/>
    <cellStyle name="Followed Hyperlink 2" xfId="18591" hidden="1" xr:uid="{00000000-0005-0000-0000-00000A180000}"/>
    <cellStyle name="Followed Hyperlink 2" xfId="18595" hidden="1" xr:uid="{00000000-0005-0000-0000-00000B180000}"/>
    <cellStyle name="Followed Hyperlink 2" xfId="18603" hidden="1" xr:uid="{00000000-0005-0000-0000-00000C180000}"/>
    <cellStyle name="Followed Hyperlink 2" xfId="18600" hidden="1" xr:uid="{00000000-0005-0000-0000-00000D180000}"/>
    <cellStyle name="Followed Hyperlink 2" xfId="18598" hidden="1" xr:uid="{00000000-0005-0000-0000-00000E180000}"/>
    <cellStyle name="Followed Hyperlink 2" xfId="18599" hidden="1" xr:uid="{00000000-0005-0000-0000-00000F180000}"/>
    <cellStyle name="Followed Hyperlink 2" xfId="18609" hidden="1" xr:uid="{00000000-0005-0000-0000-000010180000}"/>
    <cellStyle name="Followed Hyperlink 2" xfId="18612" hidden="1" xr:uid="{00000000-0005-0000-0000-000011180000}"/>
    <cellStyle name="Followed Hyperlink 2" xfId="18615" hidden="1" xr:uid="{00000000-0005-0000-0000-000012180000}"/>
    <cellStyle name="Followed Hyperlink 2" xfId="18619" hidden="1" xr:uid="{00000000-0005-0000-0000-000013180000}"/>
    <cellStyle name="Followed Hyperlink 2" xfId="18627" hidden="1" xr:uid="{00000000-0005-0000-0000-000014180000}"/>
    <cellStyle name="Followed Hyperlink 2" xfId="18624" hidden="1" xr:uid="{00000000-0005-0000-0000-000015180000}"/>
    <cellStyle name="Followed Hyperlink 2" xfId="18622" hidden="1" xr:uid="{00000000-0005-0000-0000-000016180000}"/>
    <cellStyle name="Followed Hyperlink 2" xfId="18623" hidden="1" xr:uid="{00000000-0005-0000-0000-000017180000}"/>
    <cellStyle name="Followed Hyperlink 2" xfId="18633" hidden="1" xr:uid="{00000000-0005-0000-0000-000018180000}"/>
    <cellStyle name="Followed Hyperlink 2" xfId="18636" hidden="1" xr:uid="{00000000-0005-0000-0000-000019180000}"/>
    <cellStyle name="Followed Hyperlink 2" xfId="18639" hidden="1" xr:uid="{00000000-0005-0000-0000-00001A180000}"/>
    <cellStyle name="Followed Hyperlink 2" xfId="18643" hidden="1" xr:uid="{00000000-0005-0000-0000-00001B180000}"/>
    <cellStyle name="Followed Hyperlink 2" xfId="18680" hidden="1" xr:uid="{00000000-0005-0000-0000-00001C180000}"/>
    <cellStyle name="Followed Hyperlink 2" xfId="18677" hidden="1" xr:uid="{00000000-0005-0000-0000-00001D180000}"/>
    <cellStyle name="Followed Hyperlink 2" xfId="18675" hidden="1" xr:uid="{00000000-0005-0000-0000-00001E180000}"/>
    <cellStyle name="Followed Hyperlink 2" xfId="18676" hidden="1" xr:uid="{00000000-0005-0000-0000-00001F180000}"/>
    <cellStyle name="Followed Hyperlink 2" xfId="18686" hidden="1" xr:uid="{00000000-0005-0000-0000-000020180000}"/>
    <cellStyle name="Followed Hyperlink 2" xfId="18689" hidden="1" xr:uid="{00000000-0005-0000-0000-000021180000}"/>
    <cellStyle name="Followed Hyperlink 2" xfId="18692" hidden="1" xr:uid="{00000000-0005-0000-0000-000022180000}"/>
    <cellStyle name="Followed Hyperlink 2" xfId="18696" hidden="1" xr:uid="{00000000-0005-0000-0000-000023180000}"/>
    <cellStyle name="Followed Hyperlink 2" xfId="18704" hidden="1" xr:uid="{00000000-0005-0000-0000-000024180000}"/>
    <cellStyle name="Followed Hyperlink 2" xfId="18701" hidden="1" xr:uid="{00000000-0005-0000-0000-000025180000}"/>
    <cellStyle name="Followed Hyperlink 2" xfId="18699" hidden="1" xr:uid="{00000000-0005-0000-0000-000026180000}"/>
    <cellStyle name="Followed Hyperlink 2" xfId="18700" hidden="1" xr:uid="{00000000-0005-0000-0000-000027180000}"/>
    <cellStyle name="Followed Hyperlink 2" xfId="18710" hidden="1" xr:uid="{00000000-0005-0000-0000-000028180000}"/>
    <cellStyle name="Followed Hyperlink 2" xfId="18713" hidden="1" xr:uid="{00000000-0005-0000-0000-000029180000}"/>
    <cellStyle name="Followed Hyperlink 2" xfId="18716" hidden="1" xr:uid="{00000000-0005-0000-0000-00002A180000}"/>
    <cellStyle name="Followed Hyperlink 2" xfId="18720" hidden="1" xr:uid="{00000000-0005-0000-0000-00002B180000}"/>
    <cellStyle name="Followed Hyperlink 2" xfId="18730" hidden="1" xr:uid="{00000000-0005-0000-0000-00002C180000}"/>
    <cellStyle name="Followed Hyperlink 2" xfId="18727" hidden="1" xr:uid="{00000000-0005-0000-0000-00002D180000}"/>
    <cellStyle name="Followed Hyperlink 2" xfId="18725" hidden="1" xr:uid="{00000000-0005-0000-0000-00002E180000}"/>
    <cellStyle name="Followed Hyperlink 2" xfId="18726" hidden="1" xr:uid="{00000000-0005-0000-0000-00002F180000}"/>
    <cellStyle name="Followed Hyperlink 2" xfId="18736" hidden="1" xr:uid="{00000000-0005-0000-0000-000030180000}"/>
    <cellStyle name="Followed Hyperlink 2" xfId="18739" hidden="1" xr:uid="{00000000-0005-0000-0000-000031180000}"/>
    <cellStyle name="Followed Hyperlink 2" xfId="18742" hidden="1" xr:uid="{00000000-0005-0000-0000-000032180000}"/>
    <cellStyle name="Followed Hyperlink 2" xfId="18746" hidden="1" xr:uid="{00000000-0005-0000-0000-000033180000}"/>
    <cellStyle name="Followed Hyperlink 2" xfId="18754" hidden="1" xr:uid="{00000000-0005-0000-0000-000034180000}"/>
    <cellStyle name="Followed Hyperlink 2" xfId="18751" hidden="1" xr:uid="{00000000-0005-0000-0000-000035180000}"/>
    <cellStyle name="Followed Hyperlink 2" xfId="18749" hidden="1" xr:uid="{00000000-0005-0000-0000-000036180000}"/>
    <cellStyle name="Followed Hyperlink 2" xfId="18750" hidden="1" xr:uid="{00000000-0005-0000-0000-000037180000}"/>
    <cellStyle name="Followed Hyperlink 2" xfId="18760" hidden="1" xr:uid="{00000000-0005-0000-0000-000038180000}"/>
    <cellStyle name="Followed Hyperlink 2" xfId="18763" hidden="1" xr:uid="{00000000-0005-0000-0000-000039180000}"/>
    <cellStyle name="Followed Hyperlink 2" xfId="18766" hidden="1" xr:uid="{00000000-0005-0000-0000-00003A180000}"/>
    <cellStyle name="Followed Hyperlink 2" xfId="18770" hidden="1" xr:uid="{00000000-0005-0000-0000-00003B180000}"/>
    <cellStyle name="Followed Hyperlink 2" xfId="18647" hidden="1" xr:uid="{00000000-0005-0000-0000-00003C180000}"/>
    <cellStyle name="Followed Hyperlink 2" xfId="18651" hidden="1" xr:uid="{00000000-0005-0000-0000-00003D180000}"/>
    <cellStyle name="Followed Hyperlink 2" xfId="18646" hidden="1" xr:uid="{00000000-0005-0000-0000-00003E180000}"/>
    <cellStyle name="Followed Hyperlink 2" xfId="18652" hidden="1" xr:uid="{00000000-0005-0000-0000-00003F180000}"/>
    <cellStyle name="Followed Hyperlink 2" xfId="18773" hidden="1" xr:uid="{00000000-0005-0000-0000-000040180000}"/>
    <cellStyle name="Followed Hyperlink 2" xfId="18776" hidden="1" xr:uid="{00000000-0005-0000-0000-000041180000}"/>
    <cellStyle name="Followed Hyperlink 2" xfId="18779" hidden="1" xr:uid="{00000000-0005-0000-0000-000042180000}"/>
    <cellStyle name="Followed Hyperlink 2" xfId="18783" hidden="1" xr:uid="{00000000-0005-0000-0000-000043180000}"/>
    <cellStyle name="Followed Hyperlink 2" xfId="18791" hidden="1" xr:uid="{00000000-0005-0000-0000-000044180000}"/>
    <cellStyle name="Followed Hyperlink 2" xfId="18788" hidden="1" xr:uid="{00000000-0005-0000-0000-000045180000}"/>
    <cellStyle name="Followed Hyperlink 2" xfId="18786" hidden="1" xr:uid="{00000000-0005-0000-0000-000046180000}"/>
    <cellStyle name="Followed Hyperlink 2" xfId="18787" hidden="1" xr:uid="{00000000-0005-0000-0000-000047180000}"/>
    <cellStyle name="Followed Hyperlink 2" xfId="18797" hidden="1" xr:uid="{00000000-0005-0000-0000-000048180000}"/>
    <cellStyle name="Followed Hyperlink 2" xfId="18800" hidden="1" xr:uid="{00000000-0005-0000-0000-000049180000}"/>
    <cellStyle name="Followed Hyperlink 2" xfId="18803" hidden="1" xr:uid="{00000000-0005-0000-0000-00004A180000}"/>
    <cellStyle name="Followed Hyperlink 2" xfId="18807" hidden="1" xr:uid="{00000000-0005-0000-0000-00004B180000}"/>
    <cellStyle name="Followed Hyperlink 2" xfId="18816" hidden="1" xr:uid="{00000000-0005-0000-0000-00004C180000}"/>
    <cellStyle name="Followed Hyperlink 2" xfId="18813" hidden="1" xr:uid="{00000000-0005-0000-0000-00004D180000}"/>
    <cellStyle name="Followed Hyperlink 2" xfId="18811" hidden="1" xr:uid="{00000000-0005-0000-0000-00004E180000}"/>
    <cellStyle name="Followed Hyperlink 2" xfId="18812" hidden="1" xr:uid="{00000000-0005-0000-0000-00004F180000}"/>
    <cellStyle name="Followed Hyperlink 2" xfId="18822" hidden="1" xr:uid="{00000000-0005-0000-0000-000050180000}"/>
    <cellStyle name="Followed Hyperlink 2" xfId="18825" hidden="1" xr:uid="{00000000-0005-0000-0000-000051180000}"/>
    <cellStyle name="Followed Hyperlink 2" xfId="18828" hidden="1" xr:uid="{00000000-0005-0000-0000-000052180000}"/>
    <cellStyle name="Followed Hyperlink 2" xfId="18832" hidden="1" xr:uid="{00000000-0005-0000-0000-000053180000}"/>
    <cellStyle name="Followed Hyperlink 2" xfId="18840" hidden="1" xr:uid="{00000000-0005-0000-0000-000054180000}"/>
    <cellStyle name="Followed Hyperlink 2" xfId="18837" hidden="1" xr:uid="{00000000-0005-0000-0000-000055180000}"/>
    <cellStyle name="Followed Hyperlink 2" xfId="18835" hidden="1" xr:uid="{00000000-0005-0000-0000-000056180000}"/>
    <cellStyle name="Followed Hyperlink 2" xfId="18836" hidden="1" xr:uid="{00000000-0005-0000-0000-000057180000}"/>
    <cellStyle name="Followed Hyperlink 2" xfId="18846" hidden="1" xr:uid="{00000000-0005-0000-0000-000058180000}"/>
    <cellStyle name="Followed Hyperlink 2" xfId="18849" hidden="1" xr:uid="{00000000-0005-0000-0000-000059180000}"/>
    <cellStyle name="Followed Hyperlink 2" xfId="18852" hidden="1" xr:uid="{00000000-0005-0000-0000-00005A180000}"/>
    <cellStyle name="Followed Hyperlink 2" xfId="18856" hidden="1" xr:uid="{00000000-0005-0000-0000-00005B180000}"/>
    <cellStyle name="Followed Hyperlink 2" xfId="18665" hidden="1" xr:uid="{00000000-0005-0000-0000-00005C180000}"/>
    <cellStyle name="Followed Hyperlink 2" xfId="18662" hidden="1" xr:uid="{00000000-0005-0000-0000-00005D180000}"/>
    <cellStyle name="Followed Hyperlink 2" xfId="18656" hidden="1" xr:uid="{00000000-0005-0000-0000-00005E180000}"/>
    <cellStyle name="Followed Hyperlink 2" xfId="18661" hidden="1" xr:uid="{00000000-0005-0000-0000-00005F180000}"/>
    <cellStyle name="Followed Hyperlink 2" xfId="18859" hidden="1" xr:uid="{00000000-0005-0000-0000-000060180000}"/>
    <cellStyle name="Followed Hyperlink 2" xfId="18862" hidden="1" xr:uid="{00000000-0005-0000-0000-000061180000}"/>
    <cellStyle name="Followed Hyperlink 2" xfId="18865" hidden="1" xr:uid="{00000000-0005-0000-0000-000062180000}"/>
    <cellStyle name="Followed Hyperlink 2" xfId="18869" hidden="1" xr:uid="{00000000-0005-0000-0000-000063180000}"/>
    <cellStyle name="Followed Hyperlink 2" xfId="18877" hidden="1" xr:uid="{00000000-0005-0000-0000-000064180000}"/>
    <cellStyle name="Followed Hyperlink 2" xfId="18874" hidden="1" xr:uid="{00000000-0005-0000-0000-000065180000}"/>
    <cellStyle name="Followed Hyperlink 2" xfId="18872" hidden="1" xr:uid="{00000000-0005-0000-0000-000066180000}"/>
    <cellStyle name="Followed Hyperlink 2" xfId="18873" hidden="1" xr:uid="{00000000-0005-0000-0000-000067180000}"/>
    <cellStyle name="Followed Hyperlink 2" xfId="18883" hidden="1" xr:uid="{00000000-0005-0000-0000-000068180000}"/>
    <cellStyle name="Followed Hyperlink 2" xfId="18886" hidden="1" xr:uid="{00000000-0005-0000-0000-000069180000}"/>
    <cellStyle name="Followed Hyperlink 2" xfId="18889" hidden="1" xr:uid="{00000000-0005-0000-0000-00006A180000}"/>
    <cellStyle name="Followed Hyperlink 2" xfId="18893" hidden="1" xr:uid="{00000000-0005-0000-0000-00006B180000}"/>
    <cellStyle name="Followed Hyperlink 2" xfId="18902" hidden="1" xr:uid="{00000000-0005-0000-0000-00006C180000}"/>
    <cellStyle name="Followed Hyperlink 2" xfId="18899" hidden="1" xr:uid="{00000000-0005-0000-0000-00006D180000}"/>
    <cellStyle name="Followed Hyperlink 2" xfId="18897" hidden="1" xr:uid="{00000000-0005-0000-0000-00006E180000}"/>
    <cellStyle name="Followed Hyperlink 2" xfId="18898" hidden="1" xr:uid="{00000000-0005-0000-0000-00006F180000}"/>
    <cellStyle name="Followed Hyperlink 2" xfId="18908" hidden="1" xr:uid="{00000000-0005-0000-0000-000070180000}"/>
    <cellStyle name="Followed Hyperlink 2" xfId="18911" hidden="1" xr:uid="{00000000-0005-0000-0000-000071180000}"/>
    <cellStyle name="Followed Hyperlink 2" xfId="18914" hidden="1" xr:uid="{00000000-0005-0000-0000-000072180000}"/>
    <cellStyle name="Followed Hyperlink 2" xfId="18918" hidden="1" xr:uid="{00000000-0005-0000-0000-000073180000}"/>
    <cellStyle name="Followed Hyperlink 2" xfId="18926" hidden="1" xr:uid="{00000000-0005-0000-0000-000074180000}"/>
    <cellStyle name="Followed Hyperlink 2" xfId="18923" hidden="1" xr:uid="{00000000-0005-0000-0000-000075180000}"/>
    <cellStyle name="Followed Hyperlink 2" xfId="18921" hidden="1" xr:uid="{00000000-0005-0000-0000-000076180000}"/>
    <cellStyle name="Followed Hyperlink 2" xfId="18922" hidden="1" xr:uid="{00000000-0005-0000-0000-000077180000}"/>
    <cellStyle name="Followed Hyperlink 2" xfId="18932" hidden="1" xr:uid="{00000000-0005-0000-0000-000078180000}"/>
    <cellStyle name="Followed Hyperlink 2" xfId="18935" hidden="1" xr:uid="{00000000-0005-0000-0000-000079180000}"/>
    <cellStyle name="Followed Hyperlink 2" xfId="18938" hidden="1" xr:uid="{00000000-0005-0000-0000-00007A180000}"/>
    <cellStyle name="Followed Hyperlink 2" xfId="18942" hidden="1" xr:uid="{00000000-0005-0000-0000-00007B180000}"/>
    <cellStyle name="Followed Hyperlink 2" xfId="18673" hidden="1" xr:uid="{00000000-0005-0000-0000-00007C180000}"/>
    <cellStyle name="Followed Hyperlink 2" xfId="18669" hidden="1" xr:uid="{00000000-0005-0000-0000-00007D180000}"/>
    <cellStyle name="Followed Hyperlink 2" xfId="18670" hidden="1" xr:uid="{00000000-0005-0000-0000-00007E180000}"/>
    <cellStyle name="Followed Hyperlink 2" xfId="18657" hidden="1" xr:uid="{00000000-0005-0000-0000-00007F180000}"/>
    <cellStyle name="Followed Hyperlink 2" xfId="18945" hidden="1" xr:uid="{00000000-0005-0000-0000-000080180000}"/>
    <cellStyle name="Followed Hyperlink 2" xfId="18948" hidden="1" xr:uid="{00000000-0005-0000-0000-000081180000}"/>
    <cellStyle name="Followed Hyperlink 2" xfId="18951" hidden="1" xr:uid="{00000000-0005-0000-0000-000082180000}"/>
    <cellStyle name="Followed Hyperlink 2" xfId="18955" hidden="1" xr:uid="{00000000-0005-0000-0000-000083180000}"/>
    <cellStyle name="Followed Hyperlink 2" xfId="18963" hidden="1" xr:uid="{00000000-0005-0000-0000-000084180000}"/>
    <cellStyle name="Followed Hyperlink 2" xfId="18960" hidden="1" xr:uid="{00000000-0005-0000-0000-000085180000}"/>
    <cellStyle name="Followed Hyperlink 2" xfId="18958" hidden="1" xr:uid="{00000000-0005-0000-0000-000086180000}"/>
    <cellStyle name="Followed Hyperlink 2" xfId="18959" hidden="1" xr:uid="{00000000-0005-0000-0000-000087180000}"/>
    <cellStyle name="Followed Hyperlink 2" xfId="18969" hidden="1" xr:uid="{00000000-0005-0000-0000-000088180000}"/>
    <cellStyle name="Followed Hyperlink 2" xfId="18972" hidden="1" xr:uid="{00000000-0005-0000-0000-000089180000}"/>
    <cellStyle name="Followed Hyperlink 2" xfId="18975" hidden="1" xr:uid="{00000000-0005-0000-0000-00008A180000}"/>
    <cellStyle name="Followed Hyperlink 2" xfId="18979" hidden="1" xr:uid="{00000000-0005-0000-0000-00008B180000}"/>
    <cellStyle name="Followed Hyperlink 2" xfId="18987" hidden="1" xr:uid="{00000000-0005-0000-0000-00008C180000}"/>
    <cellStyle name="Followed Hyperlink 2" xfId="18984" hidden="1" xr:uid="{00000000-0005-0000-0000-00008D180000}"/>
    <cellStyle name="Followed Hyperlink 2" xfId="18982" hidden="1" xr:uid="{00000000-0005-0000-0000-00008E180000}"/>
    <cellStyle name="Followed Hyperlink 2" xfId="18983" hidden="1" xr:uid="{00000000-0005-0000-0000-00008F180000}"/>
    <cellStyle name="Followed Hyperlink 2" xfId="18993" hidden="1" xr:uid="{00000000-0005-0000-0000-000090180000}"/>
    <cellStyle name="Followed Hyperlink 2" xfId="18996" hidden="1" xr:uid="{00000000-0005-0000-0000-000091180000}"/>
    <cellStyle name="Followed Hyperlink 2" xfId="18999" hidden="1" xr:uid="{00000000-0005-0000-0000-000092180000}"/>
    <cellStyle name="Followed Hyperlink 2" xfId="19003" hidden="1" xr:uid="{00000000-0005-0000-0000-000093180000}"/>
    <cellStyle name="Followed Hyperlink 2" xfId="19011" hidden="1" xr:uid="{00000000-0005-0000-0000-000094180000}"/>
    <cellStyle name="Followed Hyperlink 2" xfId="19008" hidden="1" xr:uid="{00000000-0005-0000-0000-000095180000}"/>
    <cellStyle name="Followed Hyperlink 2" xfId="19006" hidden="1" xr:uid="{00000000-0005-0000-0000-000096180000}"/>
    <cellStyle name="Followed Hyperlink 2" xfId="19007" hidden="1" xr:uid="{00000000-0005-0000-0000-000097180000}"/>
    <cellStyle name="Followed Hyperlink 2" xfId="19017" hidden="1" xr:uid="{00000000-0005-0000-0000-000098180000}"/>
    <cellStyle name="Followed Hyperlink 2" xfId="19020" hidden="1" xr:uid="{00000000-0005-0000-0000-000099180000}"/>
    <cellStyle name="Followed Hyperlink 2" xfId="19023" hidden="1" xr:uid="{00000000-0005-0000-0000-00009A180000}"/>
    <cellStyle name="Followed Hyperlink 2" xfId="19027" hidden="1" xr:uid="{00000000-0005-0000-0000-00009B180000}"/>
    <cellStyle name="Followed Hyperlink 2" xfId="16984" hidden="1" xr:uid="{00000000-0005-0000-0000-00009C180000}"/>
    <cellStyle name="Followed Hyperlink 2" xfId="16988" hidden="1" xr:uid="{00000000-0005-0000-0000-00009D180000}"/>
    <cellStyle name="Followed Hyperlink 2" xfId="16983" hidden="1" xr:uid="{00000000-0005-0000-0000-00009E180000}"/>
    <cellStyle name="Followed Hyperlink 2" xfId="16989" hidden="1" xr:uid="{00000000-0005-0000-0000-00009F180000}"/>
    <cellStyle name="Followed Hyperlink 2" xfId="19030" hidden="1" xr:uid="{00000000-0005-0000-0000-0000A0180000}"/>
    <cellStyle name="Followed Hyperlink 2" xfId="19033" hidden="1" xr:uid="{00000000-0005-0000-0000-0000A1180000}"/>
    <cellStyle name="Followed Hyperlink 2" xfId="19036" hidden="1" xr:uid="{00000000-0005-0000-0000-0000A2180000}"/>
    <cellStyle name="Followed Hyperlink 2" xfId="19040" hidden="1" xr:uid="{00000000-0005-0000-0000-0000A3180000}"/>
    <cellStyle name="Followed Hyperlink 2" xfId="19048" hidden="1" xr:uid="{00000000-0005-0000-0000-0000A4180000}"/>
    <cellStyle name="Followed Hyperlink 2" xfId="19045" hidden="1" xr:uid="{00000000-0005-0000-0000-0000A5180000}"/>
    <cellStyle name="Followed Hyperlink 2" xfId="19043" hidden="1" xr:uid="{00000000-0005-0000-0000-0000A6180000}"/>
    <cellStyle name="Followed Hyperlink 2" xfId="19044" hidden="1" xr:uid="{00000000-0005-0000-0000-0000A7180000}"/>
    <cellStyle name="Followed Hyperlink 2" xfId="19054" hidden="1" xr:uid="{00000000-0005-0000-0000-0000A8180000}"/>
    <cellStyle name="Followed Hyperlink 2" xfId="19057" hidden="1" xr:uid="{00000000-0005-0000-0000-0000A9180000}"/>
    <cellStyle name="Followed Hyperlink 2" xfId="19060" hidden="1" xr:uid="{00000000-0005-0000-0000-0000AA180000}"/>
    <cellStyle name="Followed Hyperlink 2" xfId="19064" hidden="1" xr:uid="{00000000-0005-0000-0000-0000AB180000}"/>
    <cellStyle name="Followed Hyperlink 2" xfId="19073" hidden="1" xr:uid="{00000000-0005-0000-0000-0000AC180000}"/>
    <cellStyle name="Followed Hyperlink 2" xfId="19070" hidden="1" xr:uid="{00000000-0005-0000-0000-0000AD180000}"/>
    <cellStyle name="Followed Hyperlink 2" xfId="19068" hidden="1" xr:uid="{00000000-0005-0000-0000-0000AE180000}"/>
    <cellStyle name="Followed Hyperlink 2" xfId="19069" hidden="1" xr:uid="{00000000-0005-0000-0000-0000AF180000}"/>
    <cellStyle name="Followed Hyperlink 2" xfId="19079" hidden="1" xr:uid="{00000000-0005-0000-0000-0000B0180000}"/>
    <cellStyle name="Followed Hyperlink 2" xfId="19082" hidden="1" xr:uid="{00000000-0005-0000-0000-0000B1180000}"/>
    <cellStyle name="Followed Hyperlink 2" xfId="19085" hidden="1" xr:uid="{00000000-0005-0000-0000-0000B2180000}"/>
    <cellStyle name="Followed Hyperlink 2" xfId="19089" hidden="1" xr:uid="{00000000-0005-0000-0000-0000B3180000}"/>
    <cellStyle name="Followed Hyperlink 2" xfId="19097" hidden="1" xr:uid="{00000000-0005-0000-0000-0000B4180000}"/>
    <cellStyle name="Followed Hyperlink 2" xfId="19094" hidden="1" xr:uid="{00000000-0005-0000-0000-0000B5180000}"/>
    <cellStyle name="Followed Hyperlink 2" xfId="19092" hidden="1" xr:uid="{00000000-0005-0000-0000-0000B6180000}"/>
    <cellStyle name="Followed Hyperlink 2" xfId="19093" hidden="1" xr:uid="{00000000-0005-0000-0000-0000B7180000}"/>
    <cellStyle name="Followed Hyperlink 2" xfId="19103" hidden="1" xr:uid="{00000000-0005-0000-0000-0000B8180000}"/>
    <cellStyle name="Followed Hyperlink 2" xfId="19106" hidden="1" xr:uid="{00000000-0005-0000-0000-0000B9180000}"/>
    <cellStyle name="Followed Hyperlink 2" xfId="19109" hidden="1" xr:uid="{00000000-0005-0000-0000-0000BA180000}"/>
    <cellStyle name="Followed Hyperlink 2" xfId="19113" hidden="1" xr:uid="{00000000-0005-0000-0000-0000BB180000}"/>
    <cellStyle name="Followed Hyperlink 2" xfId="19150" hidden="1" xr:uid="{00000000-0005-0000-0000-0000BC180000}"/>
    <cellStyle name="Followed Hyperlink 2" xfId="19147" hidden="1" xr:uid="{00000000-0005-0000-0000-0000BD180000}"/>
    <cellStyle name="Followed Hyperlink 2" xfId="19145" hidden="1" xr:uid="{00000000-0005-0000-0000-0000BE180000}"/>
    <cellStyle name="Followed Hyperlink 2" xfId="19146" hidden="1" xr:uid="{00000000-0005-0000-0000-0000BF180000}"/>
    <cellStyle name="Followed Hyperlink 2" xfId="19156" hidden="1" xr:uid="{00000000-0005-0000-0000-0000C0180000}"/>
    <cellStyle name="Followed Hyperlink 2" xfId="19159" hidden="1" xr:uid="{00000000-0005-0000-0000-0000C1180000}"/>
    <cellStyle name="Followed Hyperlink 2" xfId="19162" hidden="1" xr:uid="{00000000-0005-0000-0000-0000C2180000}"/>
    <cellStyle name="Followed Hyperlink 2" xfId="19166" hidden="1" xr:uid="{00000000-0005-0000-0000-0000C3180000}"/>
    <cellStyle name="Followed Hyperlink 2" xfId="19174" hidden="1" xr:uid="{00000000-0005-0000-0000-0000C4180000}"/>
    <cellStyle name="Followed Hyperlink 2" xfId="19171" hidden="1" xr:uid="{00000000-0005-0000-0000-0000C5180000}"/>
    <cellStyle name="Followed Hyperlink 2" xfId="19169" hidden="1" xr:uid="{00000000-0005-0000-0000-0000C6180000}"/>
    <cellStyle name="Followed Hyperlink 2" xfId="19170" hidden="1" xr:uid="{00000000-0005-0000-0000-0000C7180000}"/>
    <cellStyle name="Followed Hyperlink 2" xfId="19180" hidden="1" xr:uid="{00000000-0005-0000-0000-0000C8180000}"/>
    <cellStyle name="Followed Hyperlink 2" xfId="19183" hidden="1" xr:uid="{00000000-0005-0000-0000-0000C9180000}"/>
    <cellStyle name="Followed Hyperlink 2" xfId="19186" hidden="1" xr:uid="{00000000-0005-0000-0000-0000CA180000}"/>
    <cellStyle name="Followed Hyperlink 2" xfId="19190" hidden="1" xr:uid="{00000000-0005-0000-0000-0000CB180000}"/>
    <cellStyle name="Followed Hyperlink 2" xfId="19200" hidden="1" xr:uid="{00000000-0005-0000-0000-0000CC180000}"/>
    <cellStyle name="Followed Hyperlink 2" xfId="19197" hidden="1" xr:uid="{00000000-0005-0000-0000-0000CD180000}"/>
    <cellStyle name="Followed Hyperlink 2" xfId="19195" hidden="1" xr:uid="{00000000-0005-0000-0000-0000CE180000}"/>
    <cellStyle name="Followed Hyperlink 2" xfId="19196" hidden="1" xr:uid="{00000000-0005-0000-0000-0000CF180000}"/>
    <cellStyle name="Followed Hyperlink 2" xfId="19206" hidden="1" xr:uid="{00000000-0005-0000-0000-0000D0180000}"/>
    <cellStyle name="Followed Hyperlink 2" xfId="19209" hidden="1" xr:uid="{00000000-0005-0000-0000-0000D1180000}"/>
    <cellStyle name="Followed Hyperlink 2" xfId="19212" hidden="1" xr:uid="{00000000-0005-0000-0000-0000D2180000}"/>
    <cellStyle name="Followed Hyperlink 2" xfId="19216" hidden="1" xr:uid="{00000000-0005-0000-0000-0000D3180000}"/>
    <cellStyle name="Followed Hyperlink 2" xfId="19224" hidden="1" xr:uid="{00000000-0005-0000-0000-0000D4180000}"/>
    <cellStyle name="Followed Hyperlink 2" xfId="19221" hidden="1" xr:uid="{00000000-0005-0000-0000-0000D5180000}"/>
    <cellStyle name="Followed Hyperlink 2" xfId="19219" hidden="1" xr:uid="{00000000-0005-0000-0000-0000D6180000}"/>
    <cellStyle name="Followed Hyperlink 2" xfId="19220" hidden="1" xr:uid="{00000000-0005-0000-0000-0000D7180000}"/>
    <cellStyle name="Followed Hyperlink 2" xfId="19230" hidden="1" xr:uid="{00000000-0005-0000-0000-0000D8180000}"/>
    <cellStyle name="Followed Hyperlink 2" xfId="19233" hidden="1" xr:uid="{00000000-0005-0000-0000-0000D9180000}"/>
    <cellStyle name="Followed Hyperlink 2" xfId="19236" hidden="1" xr:uid="{00000000-0005-0000-0000-0000DA180000}"/>
    <cellStyle name="Followed Hyperlink 2" xfId="19240" hidden="1" xr:uid="{00000000-0005-0000-0000-0000DB180000}"/>
    <cellStyle name="Followed Hyperlink 2" xfId="19277" hidden="1" xr:uid="{00000000-0005-0000-0000-0000DC180000}"/>
    <cellStyle name="Followed Hyperlink 2" xfId="19274" hidden="1" xr:uid="{00000000-0005-0000-0000-0000DD180000}"/>
    <cellStyle name="Followed Hyperlink 2" xfId="19272" hidden="1" xr:uid="{00000000-0005-0000-0000-0000DE180000}"/>
    <cellStyle name="Followed Hyperlink 2" xfId="19273" hidden="1" xr:uid="{00000000-0005-0000-0000-0000DF180000}"/>
    <cellStyle name="Followed Hyperlink 2" xfId="19283" hidden="1" xr:uid="{00000000-0005-0000-0000-0000E0180000}"/>
    <cellStyle name="Followed Hyperlink 2" xfId="19286" hidden="1" xr:uid="{00000000-0005-0000-0000-0000E1180000}"/>
    <cellStyle name="Followed Hyperlink 2" xfId="19289" hidden="1" xr:uid="{00000000-0005-0000-0000-0000E2180000}"/>
    <cellStyle name="Followed Hyperlink 2" xfId="19293" hidden="1" xr:uid="{00000000-0005-0000-0000-0000E3180000}"/>
    <cellStyle name="Followed Hyperlink 2" xfId="19301" hidden="1" xr:uid="{00000000-0005-0000-0000-0000E4180000}"/>
    <cellStyle name="Followed Hyperlink 2" xfId="19298" hidden="1" xr:uid="{00000000-0005-0000-0000-0000E5180000}"/>
    <cellStyle name="Followed Hyperlink 2" xfId="19296" hidden="1" xr:uid="{00000000-0005-0000-0000-0000E6180000}"/>
    <cellStyle name="Followed Hyperlink 2" xfId="19297" hidden="1" xr:uid="{00000000-0005-0000-0000-0000E7180000}"/>
    <cellStyle name="Followed Hyperlink 2" xfId="19307" hidden="1" xr:uid="{00000000-0005-0000-0000-0000E8180000}"/>
    <cellStyle name="Followed Hyperlink 2" xfId="19310" hidden="1" xr:uid="{00000000-0005-0000-0000-0000E9180000}"/>
    <cellStyle name="Followed Hyperlink 2" xfId="19313" hidden="1" xr:uid="{00000000-0005-0000-0000-0000EA180000}"/>
    <cellStyle name="Followed Hyperlink 2" xfId="19317" hidden="1" xr:uid="{00000000-0005-0000-0000-0000EB180000}"/>
    <cellStyle name="Followed Hyperlink 2" xfId="19327" hidden="1" xr:uid="{00000000-0005-0000-0000-0000EC180000}"/>
    <cellStyle name="Followed Hyperlink 2" xfId="19324" hidden="1" xr:uid="{00000000-0005-0000-0000-0000ED180000}"/>
    <cellStyle name="Followed Hyperlink 2" xfId="19322" hidden="1" xr:uid="{00000000-0005-0000-0000-0000EE180000}"/>
    <cellStyle name="Followed Hyperlink 2" xfId="19323" hidden="1" xr:uid="{00000000-0005-0000-0000-0000EF180000}"/>
    <cellStyle name="Followed Hyperlink 2" xfId="19333" hidden="1" xr:uid="{00000000-0005-0000-0000-0000F0180000}"/>
    <cellStyle name="Followed Hyperlink 2" xfId="19336" hidden="1" xr:uid="{00000000-0005-0000-0000-0000F1180000}"/>
    <cellStyle name="Followed Hyperlink 2" xfId="19339" hidden="1" xr:uid="{00000000-0005-0000-0000-0000F2180000}"/>
    <cellStyle name="Followed Hyperlink 2" xfId="19343" hidden="1" xr:uid="{00000000-0005-0000-0000-0000F3180000}"/>
    <cellStyle name="Followed Hyperlink 2" xfId="19351" hidden="1" xr:uid="{00000000-0005-0000-0000-0000F4180000}"/>
    <cellStyle name="Followed Hyperlink 2" xfId="19348" hidden="1" xr:uid="{00000000-0005-0000-0000-0000F5180000}"/>
    <cellStyle name="Followed Hyperlink 2" xfId="19346" hidden="1" xr:uid="{00000000-0005-0000-0000-0000F6180000}"/>
    <cellStyle name="Followed Hyperlink 2" xfId="19347" hidden="1" xr:uid="{00000000-0005-0000-0000-0000F7180000}"/>
    <cellStyle name="Followed Hyperlink 2" xfId="19357" hidden="1" xr:uid="{00000000-0005-0000-0000-0000F8180000}"/>
    <cellStyle name="Followed Hyperlink 2" xfId="19360" hidden="1" xr:uid="{00000000-0005-0000-0000-0000F9180000}"/>
    <cellStyle name="Followed Hyperlink 2" xfId="19363" hidden="1" xr:uid="{00000000-0005-0000-0000-0000FA180000}"/>
    <cellStyle name="Followed Hyperlink 2" xfId="19367" hidden="1" xr:uid="{00000000-0005-0000-0000-0000FB180000}"/>
    <cellStyle name="Followed Hyperlink 2" xfId="19244" hidden="1" xr:uid="{00000000-0005-0000-0000-0000FC180000}"/>
    <cellStyle name="Followed Hyperlink 2" xfId="19248" hidden="1" xr:uid="{00000000-0005-0000-0000-0000FD180000}"/>
    <cellStyle name="Followed Hyperlink 2" xfId="19243" hidden="1" xr:uid="{00000000-0005-0000-0000-0000FE180000}"/>
    <cellStyle name="Followed Hyperlink 2" xfId="19249" hidden="1" xr:uid="{00000000-0005-0000-0000-0000FF180000}"/>
    <cellStyle name="Followed Hyperlink 2" xfId="19370" hidden="1" xr:uid="{00000000-0005-0000-0000-000000190000}"/>
    <cellStyle name="Followed Hyperlink 2" xfId="19373" hidden="1" xr:uid="{00000000-0005-0000-0000-000001190000}"/>
    <cellStyle name="Followed Hyperlink 2" xfId="19376" hidden="1" xr:uid="{00000000-0005-0000-0000-000002190000}"/>
    <cellStyle name="Followed Hyperlink 2" xfId="19380" hidden="1" xr:uid="{00000000-0005-0000-0000-000003190000}"/>
    <cellStyle name="Followed Hyperlink 2" xfId="19388" hidden="1" xr:uid="{00000000-0005-0000-0000-000004190000}"/>
    <cellStyle name="Followed Hyperlink 2" xfId="19385" hidden="1" xr:uid="{00000000-0005-0000-0000-000005190000}"/>
    <cellStyle name="Followed Hyperlink 2" xfId="19383" hidden="1" xr:uid="{00000000-0005-0000-0000-000006190000}"/>
    <cellStyle name="Followed Hyperlink 2" xfId="19384" hidden="1" xr:uid="{00000000-0005-0000-0000-000007190000}"/>
    <cellStyle name="Followed Hyperlink 2" xfId="19394" hidden="1" xr:uid="{00000000-0005-0000-0000-000008190000}"/>
    <cellStyle name="Followed Hyperlink 2" xfId="19397" hidden="1" xr:uid="{00000000-0005-0000-0000-000009190000}"/>
    <cellStyle name="Followed Hyperlink 2" xfId="19400" hidden="1" xr:uid="{00000000-0005-0000-0000-00000A190000}"/>
    <cellStyle name="Followed Hyperlink 2" xfId="19404" hidden="1" xr:uid="{00000000-0005-0000-0000-00000B190000}"/>
    <cellStyle name="Followed Hyperlink 2" xfId="19413" hidden="1" xr:uid="{00000000-0005-0000-0000-00000C190000}"/>
    <cellStyle name="Followed Hyperlink 2" xfId="19410" hidden="1" xr:uid="{00000000-0005-0000-0000-00000D190000}"/>
    <cellStyle name="Followed Hyperlink 2" xfId="19408" hidden="1" xr:uid="{00000000-0005-0000-0000-00000E190000}"/>
    <cellStyle name="Followed Hyperlink 2" xfId="19409" hidden="1" xr:uid="{00000000-0005-0000-0000-00000F190000}"/>
    <cellStyle name="Followed Hyperlink 2" xfId="19419" hidden="1" xr:uid="{00000000-0005-0000-0000-000010190000}"/>
    <cellStyle name="Followed Hyperlink 2" xfId="19422" hidden="1" xr:uid="{00000000-0005-0000-0000-000011190000}"/>
    <cellStyle name="Followed Hyperlink 2" xfId="19425" hidden="1" xr:uid="{00000000-0005-0000-0000-000012190000}"/>
    <cellStyle name="Followed Hyperlink 2" xfId="19429" hidden="1" xr:uid="{00000000-0005-0000-0000-000013190000}"/>
    <cellStyle name="Followed Hyperlink 2" xfId="19437" hidden="1" xr:uid="{00000000-0005-0000-0000-000014190000}"/>
    <cellStyle name="Followed Hyperlink 2" xfId="19434" hidden="1" xr:uid="{00000000-0005-0000-0000-000015190000}"/>
    <cellStyle name="Followed Hyperlink 2" xfId="19432" hidden="1" xr:uid="{00000000-0005-0000-0000-000016190000}"/>
    <cellStyle name="Followed Hyperlink 2" xfId="19433" hidden="1" xr:uid="{00000000-0005-0000-0000-000017190000}"/>
    <cellStyle name="Followed Hyperlink 2" xfId="19443" hidden="1" xr:uid="{00000000-0005-0000-0000-000018190000}"/>
    <cellStyle name="Followed Hyperlink 2" xfId="19446" hidden="1" xr:uid="{00000000-0005-0000-0000-000019190000}"/>
    <cellStyle name="Followed Hyperlink 2" xfId="19449" hidden="1" xr:uid="{00000000-0005-0000-0000-00001A190000}"/>
    <cellStyle name="Followed Hyperlink 2" xfId="19453" hidden="1" xr:uid="{00000000-0005-0000-0000-00001B190000}"/>
    <cellStyle name="Followed Hyperlink 2" xfId="19262" hidden="1" xr:uid="{00000000-0005-0000-0000-00001C190000}"/>
    <cellStyle name="Followed Hyperlink 2" xfId="19259" hidden="1" xr:uid="{00000000-0005-0000-0000-00001D190000}"/>
    <cellStyle name="Followed Hyperlink 2" xfId="19253" hidden="1" xr:uid="{00000000-0005-0000-0000-00001E190000}"/>
    <cellStyle name="Followed Hyperlink 2" xfId="19258" hidden="1" xr:uid="{00000000-0005-0000-0000-00001F190000}"/>
    <cellStyle name="Followed Hyperlink 2" xfId="19456" hidden="1" xr:uid="{00000000-0005-0000-0000-000020190000}"/>
    <cellStyle name="Followed Hyperlink 2" xfId="19459" hidden="1" xr:uid="{00000000-0005-0000-0000-000021190000}"/>
    <cellStyle name="Followed Hyperlink 2" xfId="19462" hidden="1" xr:uid="{00000000-0005-0000-0000-000022190000}"/>
    <cellStyle name="Followed Hyperlink 2" xfId="19466" hidden="1" xr:uid="{00000000-0005-0000-0000-000023190000}"/>
    <cellStyle name="Followed Hyperlink 2" xfId="19474" hidden="1" xr:uid="{00000000-0005-0000-0000-000024190000}"/>
    <cellStyle name="Followed Hyperlink 2" xfId="19471" hidden="1" xr:uid="{00000000-0005-0000-0000-000025190000}"/>
    <cellStyle name="Followed Hyperlink 2" xfId="19469" hidden="1" xr:uid="{00000000-0005-0000-0000-000026190000}"/>
    <cellStyle name="Followed Hyperlink 2" xfId="19470" hidden="1" xr:uid="{00000000-0005-0000-0000-000027190000}"/>
    <cellStyle name="Followed Hyperlink 2" xfId="19480" hidden="1" xr:uid="{00000000-0005-0000-0000-000028190000}"/>
    <cellStyle name="Followed Hyperlink 2" xfId="19483" hidden="1" xr:uid="{00000000-0005-0000-0000-000029190000}"/>
    <cellStyle name="Followed Hyperlink 2" xfId="19486" hidden="1" xr:uid="{00000000-0005-0000-0000-00002A190000}"/>
    <cellStyle name="Followed Hyperlink 2" xfId="19490" hidden="1" xr:uid="{00000000-0005-0000-0000-00002B190000}"/>
    <cellStyle name="Followed Hyperlink 2" xfId="19499" hidden="1" xr:uid="{00000000-0005-0000-0000-00002C190000}"/>
    <cellStyle name="Followed Hyperlink 2" xfId="19496" hidden="1" xr:uid="{00000000-0005-0000-0000-00002D190000}"/>
    <cellStyle name="Followed Hyperlink 2" xfId="19494" hidden="1" xr:uid="{00000000-0005-0000-0000-00002E190000}"/>
    <cellStyle name="Followed Hyperlink 2" xfId="19495" hidden="1" xr:uid="{00000000-0005-0000-0000-00002F190000}"/>
    <cellStyle name="Followed Hyperlink 2" xfId="19505" hidden="1" xr:uid="{00000000-0005-0000-0000-000030190000}"/>
    <cellStyle name="Followed Hyperlink 2" xfId="19508" hidden="1" xr:uid="{00000000-0005-0000-0000-000031190000}"/>
    <cellStyle name="Followed Hyperlink 2" xfId="19511" hidden="1" xr:uid="{00000000-0005-0000-0000-000032190000}"/>
    <cellStyle name="Followed Hyperlink 2" xfId="19515" hidden="1" xr:uid="{00000000-0005-0000-0000-000033190000}"/>
    <cellStyle name="Followed Hyperlink 2" xfId="19523" hidden="1" xr:uid="{00000000-0005-0000-0000-000034190000}"/>
    <cellStyle name="Followed Hyperlink 2" xfId="19520" hidden="1" xr:uid="{00000000-0005-0000-0000-000035190000}"/>
    <cellStyle name="Followed Hyperlink 2" xfId="19518" hidden="1" xr:uid="{00000000-0005-0000-0000-000036190000}"/>
    <cellStyle name="Followed Hyperlink 2" xfId="19519" hidden="1" xr:uid="{00000000-0005-0000-0000-000037190000}"/>
    <cellStyle name="Followed Hyperlink 2" xfId="19529" hidden="1" xr:uid="{00000000-0005-0000-0000-000038190000}"/>
    <cellStyle name="Followed Hyperlink 2" xfId="19532" hidden="1" xr:uid="{00000000-0005-0000-0000-000039190000}"/>
    <cellStyle name="Followed Hyperlink 2" xfId="19535" hidden="1" xr:uid="{00000000-0005-0000-0000-00003A190000}"/>
    <cellStyle name="Followed Hyperlink 2" xfId="19539" hidden="1" xr:uid="{00000000-0005-0000-0000-00003B190000}"/>
    <cellStyle name="Followed Hyperlink 2" xfId="19270" hidden="1" xr:uid="{00000000-0005-0000-0000-00003C190000}"/>
    <cellStyle name="Followed Hyperlink 2" xfId="19266" hidden="1" xr:uid="{00000000-0005-0000-0000-00003D190000}"/>
    <cellStyle name="Followed Hyperlink 2" xfId="19267" hidden="1" xr:uid="{00000000-0005-0000-0000-00003E190000}"/>
    <cellStyle name="Followed Hyperlink 2" xfId="19254" hidden="1" xr:uid="{00000000-0005-0000-0000-00003F190000}"/>
    <cellStyle name="Followed Hyperlink 2" xfId="19542" hidden="1" xr:uid="{00000000-0005-0000-0000-000040190000}"/>
    <cellStyle name="Followed Hyperlink 2" xfId="19545" hidden="1" xr:uid="{00000000-0005-0000-0000-000041190000}"/>
    <cellStyle name="Followed Hyperlink 2" xfId="19548" hidden="1" xr:uid="{00000000-0005-0000-0000-000042190000}"/>
    <cellStyle name="Followed Hyperlink 2" xfId="19552" hidden="1" xr:uid="{00000000-0005-0000-0000-000043190000}"/>
    <cellStyle name="Followed Hyperlink 2" xfId="19560" hidden="1" xr:uid="{00000000-0005-0000-0000-000044190000}"/>
    <cellStyle name="Followed Hyperlink 2" xfId="19557" hidden="1" xr:uid="{00000000-0005-0000-0000-000045190000}"/>
    <cellStyle name="Followed Hyperlink 2" xfId="19555" hidden="1" xr:uid="{00000000-0005-0000-0000-000046190000}"/>
    <cellStyle name="Followed Hyperlink 2" xfId="19556" hidden="1" xr:uid="{00000000-0005-0000-0000-000047190000}"/>
    <cellStyle name="Followed Hyperlink 2" xfId="19566" hidden="1" xr:uid="{00000000-0005-0000-0000-000048190000}"/>
    <cellStyle name="Followed Hyperlink 2" xfId="19569" hidden="1" xr:uid="{00000000-0005-0000-0000-000049190000}"/>
    <cellStyle name="Followed Hyperlink 2" xfId="19572" hidden="1" xr:uid="{00000000-0005-0000-0000-00004A190000}"/>
    <cellStyle name="Followed Hyperlink 2" xfId="19576" hidden="1" xr:uid="{00000000-0005-0000-0000-00004B190000}"/>
    <cellStyle name="Followed Hyperlink 2" xfId="19584" hidden="1" xr:uid="{00000000-0005-0000-0000-00004C190000}"/>
    <cellStyle name="Followed Hyperlink 2" xfId="19581" hidden="1" xr:uid="{00000000-0005-0000-0000-00004D190000}"/>
    <cellStyle name="Followed Hyperlink 2" xfId="19579" hidden="1" xr:uid="{00000000-0005-0000-0000-00004E190000}"/>
    <cellStyle name="Followed Hyperlink 2" xfId="19580" hidden="1" xr:uid="{00000000-0005-0000-0000-00004F190000}"/>
    <cellStyle name="Followed Hyperlink 2" xfId="19590" hidden="1" xr:uid="{00000000-0005-0000-0000-000050190000}"/>
    <cellStyle name="Followed Hyperlink 2" xfId="19593" hidden="1" xr:uid="{00000000-0005-0000-0000-000051190000}"/>
    <cellStyle name="Followed Hyperlink 2" xfId="19596" hidden="1" xr:uid="{00000000-0005-0000-0000-000052190000}"/>
    <cellStyle name="Followed Hyperlink 2" xfId="19600" hidden="1" xr:uid="{00000000-0005-0000-0000-000053190000}"/>
    <cellStyle name="Followed Hyperlink 2" xfId="19608" hidden="1" xr:uid="{00000000-0005-0000-0000-000054190000}"/>
    <cellStyle name="Followed Hyperlink 2" xfId="19605" hidden="1" xr:uid="{00000000-0005-0000-0000-000055190000}"/>
    <cellStyle name="Followed Hyperlink 2" xfId="19603" hidden="1" xr:uid="{00000000-0005-0000-0000-000056190000}"/>
    <cellStyle name="Followed Hyperlink 2" xfId="19604" hidden="1" xr:uid="{00000000-0005-0000-0000-000057190000}"/>
    <cellStyle name="Followed Hyperlink 2" xfId="19614" hidden="1" xr:uid="{00000000-0005-0000-0000-000058190000}"/>
    <cellStyle name="Followed Hyperlink 2" xfId="19617" hidden="1" xr:uid="{00000000-0005-0000-0000-000059190000}"/>
    <cellStyle name="Followed Hyperlink 2" xfId="19620" hidden="1" xr:uid="{00000000-0005-0000-0000-00005A190000}"/>
    <cellStyle name="Followed Hyperlink 2" xfId="19624" hidden="1" xr:uid="{00000000-0005-0000-0000-00005B190000}"/>
    <cellStyle name="Followed Hyperlink 2" xfId="19117" hidden="1" xr:uid="{00000000-0005-0000-0000-00005C190000}"/>
    <cellStyle name="Followed Hyperlink 2" xfId="19121" hidden="1" xr:uid="{00000000-0005-0000-0000-00005D190000}"/>
    <cellStyle name="Followed Hyperlink 2" xfId="19116" hidden="1" xr:uid="{00000000-0005-0000-0000-00005E190000}"/>
    <cellStyle name="Followed Hyperlink 2" xfId="19122" hidden="1" xr:uid="{00000000-0005-0000-0000-00005F190000}"/>
    <cellStyle name="Followed Hyperlink 2" xfId="19627" hidden="1" xr:uid="{00000000-0005-0000-0000-000060190000}"/>
    <cellStyle name="Followed Hyperlink 2" xfId="19630" hidden="1" xr:uid="{00000000-0005-0000-0000-000061190000}"/>
    <cellStyle name="Followed Hyperlink 2" xfId="19633" hidden="1" xr:uid="{00000000-0005-0000-0000-000062190000}"/>
    <cellStyle name="Followed Hyperlink 2" xfId="19637" hidden="1" xr:uid="{00000000-0005-0000-0000-000063190000}"/>
    <cellStyle name="Followed Hyperlink 2" xfId="19645" hidden="1" xr:uid="{00000000-0005-0000-0000-000064190000}"/>
    <cellStyle name="Followed Hyperlink 2" xfId="19642" hidden="1" xr:uid="{00000000-0005-0000-0000-000065190000}"/>
    <cellStyle name="Followed Hyperlink 2" xfId="19640" hidden="1" xr:uid="{00000000-0005-0000-0000-000066190000}"/>
    <cellStyle name="Followed Hyperlink 2" xfId="19641" hidden="1" xr:uid="{00000000-0005-0000-0000-000067190000}"/>
    <cellStyle name="Followed Hyperlink 2" xfId="19651" hidden="1" xr:uid="{00000000-0005-0000-0000-000068190000}"/>
    <cellStyle name="Followed Hyperlink 2" xfId="19654" hidden="1" xr:uid="{00000000-0005-0000-0000-000069190000}"/>
    <cellStyle name="Followed Hyperlink 2" xfId="19657" hidden="1" xr:uid="{00000000-0005-0000-0000-00006A190000}"/>
    <cellStyle name="Followed Hyperlink 2" xfId="19661" hidden="1" xr:uid="{00000000-0005-0000-0000-00006B190000}"/>
    <cellStyle name="Followed Hyperlink 2" xfId="19670" hidden="1" xr:uid="{00000000-0005-0000-0000-00006C190000}"/>
    <cellStyle name="Followed Hyperlink 2" xfId="19667" hidden="1" xr:uid="{00000000-0005-0000-0000-00006D190000}"/>
    <cellStyle name="Followed Hyperlink 2" xfId="19665" hidden="1" xr:uid="{00000000-0005-0000-0000-00006E190000}"/>
    <cellStyle name="Followed Hyperlink 2" xfId="19666" hidden="1" xr:uid="{00000000-0005-0000-0000-00006F190000}"/>
    <cellStyle name="Followed Hyperlink 2" xfId="19676" hidden="1" xr:uid="{00000000-0005-0000-0000-000070190000}"/>
    <cellStyle name="Followed Hyperlink 2" xfId="19679" hidden="1" xr:uid="{00000000-0005-0000-0000-000071190000}"/>
    <cellStyle name="Followed Hyperlink 2" xfId="19682" hidden="1" xr:uid="{00000000-0005-0000-0000-000072190000}"/>
    <cellStyle name="Followed Hyperlink 2" xfId="19686" hidden="1" xr:uid="{00000000-0005-0000-0000-000073190000}"/>
    <cellStyle name="Followed Hyperlink 2" xfId="19694" hidden="1" xr:uid="{00000000-0005-0000-0000-000074190000}"/>
    <cellStyle name="Followed Hyperlink 2" xfId="19691" hidden="1" xr:uid="{00000000-0005-0000-0000-000075190000}"/>
    <cellStyle name="Followed Hyperlink 2" xfId="19689" hidden="1" xr:uid="{00000000-0005-0000-0000-000076190000}"/>
    <cellStyle name="Followed Hyperlink 2" xfId="19690" hidden="1" xr:uid="{00000000-0005-0000-0000-000077190000}"/>
    <cellStyle name="Followed Hyperlink 2" xfId="19700" hidden="1" xr:uid="{00000000-0005-0000-0000-000078190000}"/>
    <cellStyle name="Followed Hyperlink 2" xfId="19703" hidden="1" xr:uid="{00000000-0005-0000-0000-000079190000}"/>
    <cellStyle name="Followed Hyperlink 2" xfId="19706" hidden="1" xr:uid="{00000000-0005-0000-0000-00007A190000}"/>
    <cellStyle name="Followed Hyperlink 2" xfId="19710" hidden="1" xr:uid="{00000000-0005-0000-0000-00007B190000}"/>
    <cellStyle name="Followed Hyperlink 2" xfId="19747" hidden="1" xr:uid="{00000000-0005-0000-0000-00007C190000}"/>
    <cellStyle name="Followed Hyperlink 2" xfId="19744" hidden="1" xr:uid="{00000000-0005-0000-0000-00007D190000}"/>
    <cellStyle name="Followed Hyperlink 2" xfId="19742" hidden="1" xr:uid="{00000000-0005-0000-0000-00007E190000}"/>
    <cellStyle name="Followed Hyperlink 2" xfId="19743" hidden="1" xr:uid="{00000000-0005-0000-0000-00007F190000}"/>
    <cellStyle name="Followed Hyperlink 2" xfId="19753" hidden="1" xr:uid="{00000000-0005-0000-0000-000080190000}"/>
    <cellStyle name="Followed Hyperlink 2" xfId="19756" hidden="1" xr:uid="{00000000-0005-0000-0000-000081190000}"/>
    <cellStyle name="Followed Hyperlink 2" xfId="19759" hidden="1" xr:uid="{00000000-0005-0000-0000-000082190000}"/>
    <cellStyle name="Followed Hyperlink 2" xfId="19763" hidden="1" xr:uid="{00000000-0005-0000-0000-000083190000}"/>
    <cellStyle name="Followed Hyperlink 2" xfId="19771" hidden="1" xr:uid="{00000000-0005-0000-0000-000084190000}"/>
    <cellStyle name="Followed Hyperlink 2" xfId="19768" hidden="1" xr:uid="{00000000-0005-0000-0000-000085190000}"/>
    <cellStyle name="Followed Hyperlink 2" xfId="19766" hidden="1" xr:uid="{00000000-0005-0000-0000-000086190000}"/>
    <cellStyle name="Followed Hyperlink 2" xfId="19767" hidden="1" xr:uid="{00000000-0005-0000-0000-000087190000}"/>
    <cellStyle name="Followed Hyperlink 2" xfId="19777" hidden="1" xr:uid="{00000000-0005-0000-0000-000088190000}"/>
    <cellStyle name="Followed Hyperlink 2" xfId="19780" hidden="1" xr:uid="{00000000-0005-0000-0000-000089190000}"/>
    <cellStyle name="Followed Hyperlink 2" xfId="19783" hidden="1" xr:uid="{00000000-0005-0000-0000-00008A190000}"/>
    <cellStyle name="Followed Hyperlink 2" xfId="19787" hidden="1" xr:uid="{00000000-0005-0000-0000-00008B190000}"/>
    <cellStyle name="Followed Hyperlink 2" xfId="19797" hidden="1" xr:uid="{00000000-0005-0000-0000-00008C190000}"/>
    <cellStyle name="Followed Hyperlink 2" xfId="19794" hidden="1" xr:uid="{00000000-0005-0000-0000-00008D190000}"/>
    <cellStyle name="Followed Hyperlink 2" xfId="19792" hidden="1" xr:uid="{00000000-0005-0000-0000-00008E190000}"/>
    <cellStyle name="Followed Hyperlink 2" xfId="19793" hidden="1" xr:uid="{00000000-0005-0000-0000-00008F190000}"/>
    <cellStyle name="Followed Hyperlink 2" xfId="19803" hidden="1" xr:uid="{00000000-0005-0000-0000-000090190000}"/>
    <cellStyle name="Followed Hyperlink 2" xfId="19806" hidden="1" xr:uid="{00000000-0005-0000-0000-000091190000}"/>
    <cellStyle name="Followed Hyperlink 2" xfId="19809" hidden="1" xr:uid="{00000000-0005-0000-0000-000092190000}"/>
    <cellStyle name="Followed Hyperlink 2" xfId="19813" hidden="1" xr:uid="{00000000-0005-0000-0000-000093190000}"/>
    <cellStyle name="Followed Hyperlink 2" xfId="19821" hidden="1" xr:uid="{00000000-0005-0000-0000-000094190000}"/>
    <cellStyle name="Followed Hyperlink 2" xfId="19818" hidden="1" xr:uid="{00000000-0005-0000-0000-000095190000}"/>
    <cellStyle name="Followed Hyperlink 2" xfId="19816" hidden="1" xr:uid="{00000000-0005-0000-0000-000096190000}"/>
    <cellStyle name="Followed Hyperlink 2" xfId="19817" hidden="1" xr:uid="{00000000-0005-0000-0000-000097190000}"/>
    <cellStyle name="Followed Hyperlink 2" xfId="19827" hidden="1" xr:uid="{00000000-0005-0000-0000-000098190000}"/>
    <cellStyle name="Followed Hyperlink 2" xfId="19830" hidden="1" xr:uid="{00000000-0005-0000-0000-000099190000}"/>
    <cellStyle name="Followed Hyperlink 2" xfId="19833" hidden="1" xr:uid="{00000000-0005-0000-0000-00009A190000}"/>
    <cellStyle name="Followed Hyperlink 2" xfId="19837" hidden="1" xr:uid="{00000000-0005-0000-0000-00009B190000}"/>
    <cellStyle name="Followed Hyperlink 2" xfId="19714" hidden="1" xr:uid="{00000000-0005-0000-0000-00009C190000}"/>
    <cellStyle name="Followed Hyperlink 2" xfId="19718" hidden="1" xr:uid="{00000000-0005-0000-0000-00009D190000}"/>
    <cellStyle name="Followed Hyperlink 2" xfId="19713" hidden="1" xr:uid="{00000000-0005-0000-0000-00009E190000}"/>
    <cellStyle name="Followed Hyperlink 2" xfId="19719" hidden="1" xr:uid="{00000000-0005-0000-0000-00009F190000}"/>
    <cellStyle name="Followed Hyperlink 2" xfId="19840" hidden="1" xr:uid="{00000000-0005-0000-0000-0000A0190000}"/>
    <cellStyle name="Followed Hyperlink 2" xfId="19843" hidden="1" xr:uid="{00000000-0005-0000-0000-0000A1190000}"/>
    <cellStyle name="Followed Hyperlink 2" xfId="19846" hidden="1" xr:uid="{00000000-0005-0000-0000-0000A2190000}"/>
    <cellStyle name="Followed Hyperlink 2" xfId="19850" hidden="1" xr:uid="{00000000-0005-0000-0000-0000A3190000}"/>
    <cellStyle name="Followed Hyperlink 2" xfId="19858" hidden="1" xr:uid="{00000000-0005-0000-0000-0000A4190000}"/>
    <cellStyle name="Followed Hyperlink 2" xfId="19855" hidden="1" xr:uid="{00000000-0005-0000-0000-0000A5190000}"/>
    <cellStyle name="Followed Hyperlink 2" xfId="19853" hidden="1" xr:uid="{00000000-0005-0000-0000-0000A6190000}"/>
    <cellStyle name="Followed Hyperlink 2" xfId="19854" hidden="1" xr:uid="{00000000-0005-0000-0000-0000A7190000}"/>
    <cellStyle name="Followed Hyperlink 2" xfId="19864" hidden="1" xr:uid="{00000000-0005-0000-0000-0000A8190000}"/>
    <cellStyle name="Followed Hyperlink 2" xfId="19867" hidden="1" xr:uid="{00000000-0005-0000-0000-0000A9190000}"/>
    <cellStyle name="Followed Hyperlink 2" xfId="19870" hidden="1" xr:uid="{00000000-0005-0000-0000-0000AA190000}"/>
    <cellStyle name="Followed Hyperlink 2" xfId="19874" hidden="1" xr:uid="{00000000-0005-0000-0000-0000AB190000}"/>
    <cellStyle name="Followed Hyperlink 2" xfId="19883" hidden="1" xr:uid="{00000000-0005-0000-0000-0000AC190000}"/>
    <cellStyle name="Followed Hyperlink 2" xfId="19880" hidden="1" xr:uid="{00000000-0005-0000-0000-0000AD190000}"/>
    <cellStyle name="Followed Hyperlink 2" xfId="19878" hidden="1" xr:uid="{00000000-0005-0000-0000-0000AE190000}"/>
    <cellStyle name="Followed Hyperlink 2" xfId="19879" hidden="1" xr:uid="{00000000-0005-0000-0000-0000AF190000}"/>
    <cellStyle name="Followed Hyperlink 2" xfId="19889" hidden="1" xr:uid="{00000000-0005-0000-0000-0000B0190000}"/>
    <cellStyle name="Followed Hyperlink 2" xfId="19892" hidden="1" xr:uid="{00000000-0005-0000-0000-0000B1190000}"/>
    <cellStyle name="Followed Hyperlink 2" xfId="19895" hidden="1" xr:uid="{00000000-0005-0000-0000-0000B2190000}"/>
    <cellStyle name="Followed Hyperlink 2" xfId="19899" hidden="1" xr:uid="{00000000-0005-0000-0000-0000B3190000}"/>
    <cellStyle name="Followed Hyperlink 2" xfId="19907" hidden="1" xr:uid="{00000000-0005-0000-0000-0000B4190000}"/>
    <cellStyle name="Followed Hyperlink 2" xfId="19904" hidden="1" xr:uid="{00000000-0005-0000-0000-0000B5190000}"/>
    <cellStyle name="Followed Hyperlink 2" xfId="19902" hidden="1" xr:uid="{00000000-0005-0000-0000-0000B6190000}"/>
    <cellStyle name="Followed Hyperlink 2" xfId="19903" hidden="1" xr:uid="{00000000-0005-0000-0000-0000B7190000}"/>
    <cellStyle name="Followed Hyperlink 2" xfId="19913" hidden="1" xr:uid="{00000000-0005-0000-0000-0000B8190000}"/>
    <cellStyle name="Followed Hyperlink 2" xfId="19916" hidden="1" xr:uid="{00000000-0005-0000-0000-0000B9190000}"/>
    <cellStyle name="Followed Hyperlink 2" xfId="19919" hidden="1" xr:uid="{00000000-0005-0000-0000-0000BA190000}"/>
    <cellStyle name="Followed Hyperlink 2" xfId="19923" hidden="1" xr:uid="{00000000-0005-0000-0000-0000BB190000}"/>
    <cellStyle name="Followed Hyperlink 2" xfId="19732" hidden="1" xr:uid="{00000000-0005-0000-0000-0000BC190000}"/>
    <cellStyle name="Followed Hyperlink 2" xfId="19729" hidden="1" xr:uid="{00000000-0005-0000-0000-0000BD190000}"/>
    <cellStyle name="Followed Hyperlink 2" xfId="19723" hidden="1" xr:uid="{00000000-0005-0000-0000-0000BE190000}"/>
    <cellStyle name="Followed Hyperlink 2" xfId="19728" hidden="1" xr:uid="{00000000-0005-0000-0000-0000BF190000}"/>
    <cellStyle name="Followed Hyperlink 2" xfId="19926" hidden="1" xr:uid="{00000000-0005-0000-0000-0000C0190000}"/>
    <cellStyle name="Followed Hyperlink 2" xfId="19929" hidden="1" xr:uid="{00000000-0005-0000-0000-0000C1190000}"/>
    <cellStyle name="Followed Hyperlink 2" xfId="19932" hidden="1" xr:uid="{00000000-0005-0000-0000-0000C2190000}"/>
    <cellStyle name="Followed Hyperlink 2" xfId="19936" hidden="1" xr:uid="{00000000-0005-0000-0000-0000C3190000}"/>
    <cellStyle name="Followed Hyperlink 2" xfId="19944" hidden="1" xr:uid="{00000000-0005-0000-0000-0000C4190000}"/>
    <cellStyle name="Followed Hyperlink 2" xfId="19941" hidden="1" xr:uid="{00000000-0005-0000-0000-0000C5190000}"/>
    <cellStyle name="Followed Hyperlink 2" xfId="19939" hidden="1" xr:uid="{00000000-0005-0000-0000-0000C6190000}"/>
    <cellStyle name="Followed Hyperlink 2" xfId="19940" hidden="1" xr:uid="{00000000-0005-0000-0000-0000C7190000}"/>
    <cellStyle name="Followed Hyperlink 2" xfId="19950" hidden="1" xr:uid="{00000000-0005-0000-0000-0000C8190000}"/>
    <cellStyle name="Followed Hyperlink 2" xfId="19953" hidden="1" xr:uid="{00000000-0005-0000-0000-0000C9190000}"/>
    <cellStyle name="Followed Hyperlink 2" xfId="19956" hidden="1" xr:uid="{00000000-0005-0000-0000-0000CA190000}"/>
    <cellStyle name="Followed Hyperlink 2" xfId="19960" hidden="1" xr:uid="{00000000-0005-0000-0000-0000CB190000}"/>
    <cellStyle name="Followed Hyperlink 2" xfId="19969" hidden="1" xr:uid="{00000000-0005-0000-0000-0000CC190000}"/>
    <cellStyle name="Followed Hyperlink 2" xfId="19966" hidden="1" xr:uid="{00000000-0005-0000-0000-0000CD190000}"/>
    <cellStyle name="Followed Hyperlink 2" xfId="19964" hidden="1" xr:uid="{00000000-0005-0000-0000-0000CE190000}"/>
    <cellStyle name="Followed Hyperlink 2" xfId="19965" hidden="1" xr:uid="{00000000-0005-0000-0000-0000CF190000}"/>
    <cellStyle name="Followed Hyperlink 2" xfId="19975" hidden="1" xr:uid="{00000000-0005-0000-0000-0000D0190000}"/>
    <cellStyle name="Followed Hyperlink 2" xfId="19978" hidden="1" xr:uid="{00000000-0005-0000-0000-0000D1190000}"/>
    <cellStyle name="Followed Hyperlink 2" xfId="19981" hidden="1" xr:uid="{00000000-0005-0000-0000-0000D2190000}"/>
    <cellStyle name="Followed Hyperlink 2" xfId="19985" hidden="1" xr:uid="{00000000-0005-0000-0000-0000D3190000}"/>
    <cellStyle name="Followed Hyperlink 2" xfId="19993" hidden="1" xr:uid="{00000000-0005-0000-0000-0000D4190000}"/>
    <cellStyle name="Followed Hyperlink 2" xfId="19990" hidden="1" xr:uid="{00000000-0005-0000-0000-0000D5190000}"/>
    <cellStyle name="Followed Hyperlink 2" xfId="19988" hidden="1" xr:uid="{00000000-0005-0000-0000-0000D6190000}"/>
    <cellStyle name="Followed Hyperlink 2" xfId="19989" hidden="1" xr:uid="{00000000-0005-0000-0000-0000D7190000}"/>
    <cellStyle name="Followed Hyperlink 2" xfId="19999" hidden="1" xr:uid="{00000000-0005-0000-0000-0000D8190000}"/>
    <cellStyle name="Followed Hyperlink 2" xfId="20002" hidden="1" xr:uid="{00000000-0005-0000-0000-0000D9190000}"/>
    <cellStyle name="Followed Hyperlink 2" xfId="20005" hidden="1" xr:uid="{00000000-0005-0000-0000-0000DA190000}"/>
    <cellStyle name="Followed Hyperlink 2" xfId="20009" hidden="1" xr:uid="{00000000-0005-0000-0000-0000DB190000}"/>
    <cellStyle name="Followed Hyperlink 2" xfId="19740" hidden="1" xr:uid="{00000000-0005-0000-0000-0000DC190000}"/>
    <cellStyle name="Followed Hyperlink 2" xfId="19736" hidden="1" xr:uid="{00000000-0005-0000-0000-0000DD190000}"/>
    <cellStyle name="Followed Hyperlink 2" xfId="19737" hidden="1" xr:uid="{00000000-0005-0000-0000-0000DE190000}"/>
    <cellStyle name="Followed Hyperlink 2" xfId="19724" hidden="1" xr:uid="{00000000-0005-0000-0000-0000DF190000}"/>
    <cellStyle name="Followed Hyperlink 2" xfId="20012" hidden="1" xr:uid="{00000000-0005-0000-0000-0000E0190000}"/>
    <cellStyle name="Followed Hyperlink 2" xfId="20015" hidden="1" xr:uid="{00000000-0005-0000-0000-0000E1190000}"/>
    <cellStyle name="Followed Hyperlink 2" xfId="20018" hidden="1" xr:uid="{00000000-0005-0000-0000-0000E2190000}"/>
    <cellStyle name="Followed Hyperlink 2" xfId="20022" hidden="1" xr:uid="{00000000-0005-0000-0000-0000E3190000}"/>
    <cellStyle name="Followed Hyperlink 2" xfId="20030" hidden="1" xr:uid="{00000000-0005-0000-0000-0000E4190000}"/>
    <cellStyle name="Followed Hyperlink 2" xfId="20027" hidden="1" xr:uid="{00000000-0005-0000-0000-0000E5190000}"/>
    <cellStyle name="Followed Hyperlink 2" xfId="20025" hidden="1" xr:uid="{00000000-0005-0000-0000-0000E6190000}"/>
    <cellStyle name="Followed Hyperlink 2" xfId="20026" hidden="1" xr:uid="{00000000-0005-0000-0000-0000E7190000}"/>
    <cellStyle name="Followed Hyperlink 2" xfId="20036" hidden="1" xr:uid="{00000000-0005-0000-0000-0000E8190000}"/>
    <cellStyle name="Followed Hyperlink 2" xfId="20039" hidden="1" xr:uid="{00000000-0005-0000-0000-0000E9190000}"/>
    <cellStyle name="Followed Hyperlink 2" xfId="20042" hidden="1" xr:uid="{00000000-0005-0000-0000-0000EA190000}"/>
    <cellStyle name="Followed Hyperlink 2" xfId="20046" hidden="1" xr:uid="{00000000-0005-0000-0000-0000EB190000}"/>
    <cellStyle name="Followed Hyperlink 2" xfId="20054" hidden="1" xr:uid="{00000000-0005-0000-0000-0000EC190000}"/>
    <cellStyle name="Followed Hyperlink 2" xfId="20051" hidden="1" xr:uid="{00000000-0005-0000-0000-0000ED190000}"/>
    <cellStyle name="Followed Hyperlink 2" xfId="20049" hidden="1" xr:uid="{00000000-0005-0000-0000-0000EE190000}"/>
    <cellStyle name="Followed Hyperlink 2" xfId="20050" hidden="1" xr:uid="{00000000-0005-0000-0000-0000EF190000}"/>
    <cellStyle name="Followed Hyperlink 2" xfId="20060" hidden="1" xr:uid="{00000000-0005-0000-0000-0000F0190000}"/>
    <cellStyle name="Followed Hyperlink 2" xfId="20063" hidden="1" xr:uid="{00000000-0005-0000-0000-0000F1190000}"/>
    <cellStyle name="Followed Hyperlink 2" xfId="20066" hidden="1" xr:uid="{00000000-0005-0000-0000-0000F2190000}"/>
    <cellStyle name="Followed Hyperlink 2" xfId="20070" hidden="1" xr:uid="{00000000-0005-0000-0000-0000F3190000}"/>
    <cellStyle name="Followed Hyperlink 2" xfId="20078" hidden="1" xr:uid="{00000000-0005-0000-0000-0000F4190000}"/>
    <cellStyle name="Followed Hyperlink 2" xfId="20075" hidden="1" xr:uid="{00000000-0005-0000-0000-0000F5190000}"/>
    <cellStyle name="Followed Hyperlink 2" xfId="20073" hidden="1" xr:uid="{00000000-0005-0000-0000-0000F6190000}"/>
    <cellStyle name="Followed Hyperlink 2" xfId="20074" hidden="1" xr:uid="{00000000-0005-0000-0000-0000F7190000}"/>
    <cellStyle name="Followed Hyperlink 2" xfId="20084" hidden="1" xr:uid="{00000000-0005-0000-0000-0000F8190000}"/>
    <cellStyle name="Followed Hyperlink 2" xfId="20087" hidden="1" xr:uid="{00000000-0005-0000-0000-0000F9190000}"/>
    <cellStyle name="Followed Hyperlink 2" xfId="20090" hidden="1" xr:uid="{00000000-0005-0000-0000-0000FA190000}"/>
    <cellStyle name="Followed Hyperlink 2" xfId="20094" hidden="1" xr:uid="{00000000-0005-0000-0000-0000FB190000}"/>
    <cellStyle name="Followed Hyperlink 2" xfId="19135" hidden="1" xr:uid="{00000000-0005-0000-0000-0000FC190000}"/>
    <cellStyle name="Followed Hyperlink 2" xfId="19132" hidden="1" xr:uid="{00000000-0005-0000-0000-0000FD190000}"/>
    <cellStyle name="Followed Hyperlink 2" xfId="19126" hidden="1" xr:uid="{00000000-0005-0000-0000-0000FE190000}"/>
    <cellStyle name="Followed Hyperlink 2" xfId="19131" hidden="1" xr:uid="{00000000-0005-0000-0000-0000FF190000}"/>
    <cellStyle name="Followed Hyperlink 2" xfId="20097" hidden="1" xr:uid="{00000000-0005-0000-0000-0000001A0000}"/>
    <cellStyle name="Followed Hyperlink 2" xfId="20100" hidden="1" xr:uid="{00000000-0005-0000-0000-0000011A0000}"/>
    <cellStyle name="Followed Hyperlink 2" xfId="20103" hidden="1" xr:uid="{00000000-0005-0000-0000-0000021A0000}"/>
    <cellStyle name="Followed Hyperlink 2" xfId="20107" hidden="1" xr:uid="{00000000-0005-0000-0000-0000031A0000}"/>
    <cellStyle name="Followed Hyperlink 2" xfId="20115" hidden="1" xr:uid="{00000000-0005-0000-0000-0000041A0000}"/>
    <cellStyle name="Followed Hyperlink 2" xfId="20112" hidden="1" xr:uid="{00000000-0005-0000-0000-0000051A0000}"/>
    <cellStyle name="Followed Hyperlink 2" xfId="20110" hidden="1" xr:uid="{00000000-0005-0000-0000-0000061A0000}"/>
    <cellStyle name="Followed Hyperlink 2" xfId="20111" hidden="1" xr:uid="{00000000-0005-0000-0000-0000071A0000}"/>
    <cellStyle name="Followed Hyperlink 2" xfId="20121" hidden="1" xr:uid="{00000000-0005-0000-0000-0000081A0000}"/>
    <cellStyle name="Followed Hyperlink 2" xfId="20124" hidden="1" xr:uid="{00000000-0005-0000-0000-0000091A0000}"/>
    <cellStyle name="Followed Hyperlink 2" xfId="20127" hidden="1" xr:uid="{00000000-0005-0000-0000-00000A1A0000}"/>
    <cellStyle name="Followed Hyperlink 2" xfId="20131" hidden="1" xr:uid="{00000000-0005-0000-0000-00000B1A0000}"/>
    <cellStyle name="Followed Hyperlink 2" xfId="20140" hidden="1" xr:uid="{00000000-0005-0000-0000-00000C1A0000}"/>
    <cellStyle name="Followed Hyperlink 2" xfId="20137" hidden="1" xr:uid="{00000000-0005-0000-0000-00000D1A0000}"/>
    <cellStyle name="Followed Hyperlink 2" xfId="20135" hidden="1" xr:uid="{00000000-0005-0000-0000-00000E1A0000}"/>
    <cellStyle name="Followed Hyperlink 2" xfId="20136" hidden="1" xr:uid="{00000000-0005-0000-0000-00000F1A0000}"/>
    <cellStyle name="Followed Hyperlink 2" xfId="20146" hidden="1" xr:uid="{00000000-0005-0000-0000-0000101A0000}"/>
    <cellStyle name="Followed Hyperlink 2" xfId="20149" hidden="1" xr:uid="{00000000-0005-0000-0000-0000111A0000}"/>
    <cellStyle name="Followed Hyperlink 2" xfId="20152" hidden="1" xr:uid="{00000000-0005-0000-0000-0000121A0000}"/>
    <cellStyle name="Followed Hyperlink 2" xfId="20156" hidden="1" xr:uid="{00000000-0005-0000-0000-0000131A0000}"/>
    <cellStyle name="Followed Hyperlink 2" xfId="20164" hidden="1" xr:uid="{00000000-0005-0000-0000-0000141A0000}"/>
    <cellStyle name="Followed Hyperlink 2" xfId="20161" hidden="1" xr:uid="{00000000-0005-0000-0000-0000151A0000}"/>
    <cellStyle name="Followed Hyperlink 2" xfId="20159" hidden="1" xr:uid="{00000000-0005-0000-0000-0000161A0000}"/>
    <cellStyle name="Followed Hyperlink 2" xfId="20160" hidden="1" xr:uid="{00000000-0005-0000-0000-0000171A0000}"/>
    <cellStyle name="Followed Hyperlink 2" xfId="20170" hidden="1" xr:uid="{00000000-0005-0000-0000-0000181A0000}"/>
    <cellStyle name="Followed Hyperlink 2" xfId="20173" hidden="1" xr:uid="{00000000-0005-0000-0000-0000191A0000}"/>
    <cellStyle name="Followed Hyperlink 2" xfId="20176" hidden="1" xr:uid="{00000000-0005-0000-0000-00001A1A0000}"/>
    <cellStyle name="Followed Hyperlink 2" xfId="20180" hidden="1" xr:uid="{00000000-0005-0000-0000-00001B1A0000}"/>
    <cellStyle name="Followed Hyperlink 2" xfId="20217" hidden="1" xr:uid="{00000000-0005-0000-0000-00001C1A0000}"/>
    <cellStyle name="Followed Hyperlink 2" xfId="20214" hidden="1" xr:uid="{00000000-0005-0000-0000-00001D1A0000}"/>
    <cellStyle name="Followed Hyperlink 2" xfId="20212" hidden="1" xr:uid="{00000000-0005-0000-0000-00001E1A0000}"/>
    <cellStyle name="Followed Hyperlink 2" xfId="20213" hidden="1" xr:uid="{00000000-0005-0000-0000-00001F1A0000}"/>
    <cellStyle name="Followed Hyperlink 2" xfId="20223" hidden="1" xr:uid="{00000000-0005-0000-0000-0000201A0000}"/>
    <cellStyle name="Followed Hyperlink 2" xfId="20226" hidden="1" xr:uid="{00000000-0005-0000-0000-0000211A0000}"/>
    <cellStyle name="Followed Hyperlink 2" xfId="20229" hidden="1" xr:uid="{00000000-0005-0000-0000-0000221A0000}"/>
    <cellStyle name="Followed Hyperlink 2" xfId="20233" hidden="1" xr:uid="{00000000-0005-0000-0000-0000231A0000}"/>
    <cellStyle name="Followed Hyperlink 2" xfId="20241" hidden="1" xr:uid="{00000000-0005-0000-0000-0000241A0000}"/>
    <cellStyle name="Followed Hyperlink 2" xfId="20238" hidden="1" xr:uid="{00000000-0005-0000-0000-0000251A0000}"/>
    <cellStyle name="Followed Hyperlink 2" xfId="20236" hidden="1" xr:uid="{00000000-0005-0000-0000-0000261A0000}"/>
    <cellStyle name="Followed Hyperlink 2" xfId="20237" hidden="1" xr:uid="{00000000-0005-0000-0000-0000271A0000}"/>
    <cellStyle name="Followed Hyperlink 2" xfId="20247" hidden="1" xr:uid="{00000000-0005-0000-0000-0000281A0000}"/>
    <cellStyle name="Followed Hyperlink 2" xfId="20250" hidden="1" xr:uid="{00000000-0005-0000-0000-0000291A0000}"/>
    <cellStyle name="Followed Hyperlink 2" xfId="20253" hidden="1" xr:uid="{00000000-0005-0000-0000-00002A1A0000}"/>
    <cellStyle name="Followed Hyperlink 2" xfId="20257" hidden="1" xr:uid="{00000000-0005-0000-0000-00002B1A0000}"/>
    <cellStyle name="Followed Hyperlink 2" xfId="20267" hidden="1" xr:uid="{00000000-0005-0000-0000-00002C1A0000}"/>
    <cellStyle name="Followed Hyperlink 2" xfId="20264" hidden="1" xr:uid="{00000000-0005-0000-0000-00002D1A0000}"/>
    <cellStyle name="Followed Hyperlink 2" xfId="20262" hidden="1" xr:uid="{00000000-0005-0000-0000-00002E1A0000}"/>
    <cellStyle name="Followed Hyperlink 2" xfId="20263" hidden="1" xr:uid="{00000000-0005-0000-0000-00002F1A0000}"/>
    <cellStyle name="Followed Hyperlink 2" xfId="20273" hidden="1" xr:uid="{00000000-0005-0000-0000-0000301A0000}"/>
    <cellStyle name="Followed Hyperlink 2" xfId="20276" hidden="1" xr:uid="{00000000-0005-0000-0000-0000311A0000}"/>
    <cellStyle name="Followed Hyperlink 2" xfId="20279" hidden="1" xr:uid="{00000000-0005-0000-0000-0000321A0000}"/>
    <cellStyle name="Followed Hyperlink 2" xfId="20283" hidden="1" xr:uid="{00000000-0005-0000-0000-0000331A0000}"/>
    <cellStyle name="Followed Hyperlink 2" xfId="20291" hidden="1" xr:uid="{00000000-0005-0000-0000-0000341A0000}"/>
    <cellStyle name="Followed Hyperlink 2" xfId="20288" hidden="1" xr:uid="{00000000-0005-0000-0000-0000351A0000}"/>
    <cellStyle name="Followed Hyperlink 2" xfId="20286" hidden="1" xr:uid="{00000000-0005-0000-0000-0000361A0000}"/>
    <cellStyle name="Followed Hyperlink 2" xfId="20287" hidden="1" xr:uid="{00000000-0005-0000-0000-0000371A0000}"/>
    <cellStyle name="Followed Hyperlink 2" xfId="20297" hidden="1" xr:uid="{00000000-0005-0000-0000-0000381A0000}"/>
    <cellStyle name="Followed Hyperlink 2" xfId="20300" hidden="1" xr:uid="{00000000-0005-0000-0000-0000391A0000}"/>
    <cellStyle name="Followed Hyperlink 2" xfId="20303" hidden="1" xr:uid="{00000000-0005-0000-0000-00003A1A0000}"/>
    <cellStyle name="Followed Hyperlink 2" xfId="20307" hidden="1" xr:uid="{00000000-0005-0000-0000-00003B1A0000}"/>
    <cellStyle name="Followed Hyperlink 2" xfId="20184" hidden="1" xr:uid="{00000000-0005-0000-0000-00003C1A0000}"/>
    <cellStyle name="Followed Hyperlink 2" xfId="20188" hidden="1" xr:uid="{00000000-0005-0000-0000-00003D1A0000}"/>
    <cellStyle name="Followed Hyperlink 2" xfId="20183" hidden="1" xr:uid="{00000000-0005-0000-0000-00003E1A0000}"/>
    <cellStyle name="Followed Hyperlink 2" xfId="20189" hidden="1" xr:uid="{00000000-0005-0000-0000-00003F1A0000}"/>
    <cellStyle name="Followed Hyperlink 2" xfId="20310" hidden="1" xr:uid="{00000000-0005-0000-0000-0000401A0000}"/>
    <cellStyle name="Followed Hyperlink 2" xfId="20313" hidden="1" xr:uid="{00000000-0005-0000-0000-0000411A0000}"/>
    <cellStyle name="Followed Hyperlink 2" xfId="20316" hidden="1" xr:uid="{00000000-0005-0000-0000-0000421A0000}"/>
    <cellStyle name="Followed Hyperlink 2" xfId="20320" hidden="1" xr:uid="{00000000-0005-0000-0000-0000431A0000}"/>
    <cellStyle name="Followed Hyperlink 2" xfId="20328" hidden="1" xr:uid="{00000000-0005-0000-0000-0000441A0000}"/>
    <cellStyle name="Followed Hyperlink 2" xfId="20325" hidden="1" xr:uid="{00000000-0005-0000-0000-0000451A0000}"/>
    <cellStyle name="Followed Hyperlink 2" xfId="20323" hidden="1" xr:uid="{00000000-0005-0000-0000-0000461A0000}"/>
    <cellStyle name="Followed Hyperlink 2" xfId="20324" hidden="1" xr:uid="{00000000-0005-0000-0000-0000471A0000}"/>
    <cellStyle name="Followed Hyperlink 2" xfId="20334" hidden="1" xr:uid="{00000000-0005-0000-0000-0000481A0000}"/>
    <cellStyle name="Followed Hyperlink 2" xfId="20337" hidden="1" xr:uid="{00000000-0005-0000-0000-0000491A0000}"/>
    <cellStyle name="Followed Hyperlink 2" xfId="20340" hidden="1" xr:uid="{00000000-0005-0000-0000-00004A1A0000}"/>
    <cellStyle name="Followed Hyperlink 2" xfId="20344" hidden="1" xr:uid="{00000000-0005-0000-0000-00004B1A0000}"/>
    <cellStyle name="Followed Hyperlink 2" xfId="20353" hidden="1" xr:uid="{00000000-0005-0000-0000-00004C1A0000}"/>
    <cellStyle name="Followed Hyperlink 2" xfId="20350" hidden="1" xr:uid="{00000000-0005-0000-0000-00004D1A0000}"/>
    <cellStyle name="Followed Hyperlink 2" xfId="20348" hidden="1" xr:uid="{00000000-0005-0000-0000-00004E1A0000}"/>
    <cellStyle name="Followed Hyperlink 2" xfId="20349" hidden="1" xr:uid="{00000000-0005-0000-0000-00004F1A0000}"/>
    <cellStyle name="Followed Hyperlink 2" xfId="20359" hidden="1" xr:uid="{00000000-0005-0000-0000-0000501A0000}"/>
    <cellStyle name="Followed Hyperlink 2" xfId="20362" hidden="1" xr:uid="{00000000-0005-0000-0000-0000511A0000}"/>
    <cellStyle name="Followed Hyperlink 2" xfId="20365" hidden="1" xr:uid="{00000000-0005-0000-0000-0000521A0000}"/>
    <cellStyle name="Followed Hyperlink 2" xfId="20369" hidden="1" xr:uid="{00000000-0005-0000-0000-0000531A0000}"/>
    <cellStyle name="Followed Hyperlink 2" xfId="20377" hidden="1" xr:uid="{00000000-0005-0000-0000-0000541A0000}"/>
    <cellStyle name="Followed Hyperlink 2" xfId="20374" hidden="1" xr:uid="{00000000-0005-0000-0000-0000551A0000}"/>
    <cellStyle name="Followed Hyperlink 2" xfId="20372" hidden="1" xr:uid="{00000000-0005-0000-0000-0000561A0000}"/>
    <cellStyle name="Followed Hyperlink 2" xfId="20373" hidden="1" xr:uid="{00000000-0005-0000-0000-0000571A0000}"/>
    <cellStyle name="Followed Hyperlink 2" xfId="20383" hidden="1" xr:uid="{00000000-0005-0000-0000-0000581A0000}"/>
    <cellStyle name="Followed Hyperlink 2" xfId="20386" hidden="1" xr:uid="{00000000-0005-0000-0000-0000591A0000}"/>
    <cellStyle name="Followed Hyperlink 2" xfId="20389" hidden="1" xr:uid="{00000000-0005-0000-0000-00005A1A0000}"/>
    <cellStyle name="Followed Hyperlink 2" xfId="20393" hidden="1" xr:uid="{00000000-0005-0000-0000-00005B1A0000}"/>
    <cellStyle name="Followed Hyperlink 2" xfId="20202" hidden="1" xr:uid="{00000000-0005-0000-0000-00005C1A0000}"/>
    <cellStyle name="Followed Hyperlink 2" xfId="20199" hidden="1" xr:uid="{00000000-0005-0000-0000-00005D1A0000}"/>
    <cellStyle name="Followed Hyperlink 2" xfId="20193" hidden="1" xr:uid="{00000000-0005-0000-0000-00005E1A0000}"/>
    <cellStyle name="Followed Hyperlink 2" xfId="20198" hidden="1" xr:uid="{00000000-0005-0000-0000-00005F1A0000}"/>
    <cellStyle name="Followed Hyperlink 2" xfId="20396" hidden="1" xr:uid="{00000000-0005-0000-0000-0000601A0000}"/>
    <cellStyle name="Followed Hyperlink 2" xfId="20399" hidden="1" xr:uid="{00000000-0005-0000-0000-0000611A0000}"/>
    <cellStyle name="Followed Hyperlink 2" xfId="20402" hidden="1" xr:uid="{00000000-0005-0000-0000-0000621A0000}"/>
    <cellStyle name="Followed Hyperlink 2" xfId="20406" hidden="1" xr:uid="{00000000-0005-0000-0000-0000631A0000}"/>
    <cellStyle name="Followed Hyperlink 2" xfId="20414" hidden="1" xr:uid="{00000000-0005-0000-0000-0000641A0000}"/>
    <cellStyle name="Followed Hyperlink 2" xfId="20411" hidden="1" xr:uid="{00000000-0005-0000-0000-0000651A0000}"/>
    <cellStyle name="Followed Hyperlink 2" xfId="20409" hidden="1" xr:uid="{00000000-0005-0000-0000-0000661A0000}"/>
    <cellStyle name="Followed Hyperlink 2" xfId="20410" hidden="1" xr:uid="{00000000-0005-0000-0000-0000671A0000}"/>
    <cellStyle name="Followed Hyperlink 2" xfId="20420" hidden="1" xr:uid="{00000000-0005-0000-0000-0000681A0000}"/>
    <cellStyle name="Followed Hyperlink 2" xfId="20423" hidden="1" xr:uid="{00000000-0005-0000-0000-0000691A0000}"/>
    <cellStyle name="Followed Hyperlink 2" xfId="20426" hidden="1" xr:uid="{00000000-0005-0000-0000-00006A1A0000}"/>
    <cellStyle name="Followed Hyperlink 2" xfId="20430" hidden="1" xr:uid="{00000000-0005-0000-0000-00006B1A0000}"/>
    <cellStyle name="Followed Hyperlink 2" xfId="20439" hidden="1" xr:uid="{00000000-0005-0000-0000-00006C1A0000}"/>
    <cellStyle name="Followed Hyperlink 2" xfId="20436" hidden="1" xr:uid="{00000000-0005-0000-0000-00006D1A0000}"/>
    <cellStyle name="Followed Hyperlink 2" xfId="20434" hidden="1" xr:uid="{00000000-0005-0000-0000-00006E1A0000}"/>
    <cellStyle name="Followed Hyperlink 2" xfId="20435" hidden="1" xr:uid="{00000000-0005-0000-0000-00006F1A0000}"/>
    <cellStyle name="Followed Hyperlink 2" xfId="20445" hidden="1" xr:uid="{00000000-0005-0000-0000-0000701A0000}"/>
    <cellStyle name="Followed Hyperlink 2" xfId="20448" hidden="1" xr:uid="{00000000-0005-0000-0000-0000711A0000}"/>
    <cellStyle name="Followed Hyperlink 2" xfId="20451" hidden="1" xr:uid="{00000000-0005-0000-0000-0000721A0000}"/>
    <cellStyle name="Followed Hyperlink 2" xfId="20455" hidden="1" xr:uid="{00000000-0005-0000-0000-0000731A0000}"/>
    <cellStyle name="Followed Hyperlink 2" xfId="20463" hidden="1" xr:uid="{00000000-0005-0000-0000-0000741A0000}"/>
    <cellStyle name="Followed Hyperlink 2" xfId="20460" hidden="1" xr:uid="{00000000-0005-0000-0000-0000751A0000}"/>
    <cellStyle name="Followed Hyperlink 2" xfId="20458" hidden="1" xr:uid="{00000000-0005-0000-0000-0000761A0000}"/>
    <cellStyle name="Followed Hyperlink 2" xfId="20459" hidden="1" xr:uid="{00000000-0005-0000-0000-0000771A0000}"/>
    <cellStyle name="Followed Hyperlink 2" xfId="20469" hidden="1" xr:uid="{00000000-0005-0000-0000-0000781A0000}"/>
    <cellStyle name="Followed Hyperlink 2" xfId="20472" hidden="1" xr:uid="{00000000-0005-0000-0000-0000791A0000}"/>
    <cellStyle name="Followed Hyperlink 2" xfId="20475" hidden="1" xr:uid="{00000000-0005-0000-0000-00007A1A0000}"/>
    <cellStyle name="Followed Hyperlink 2" xfId="20479" hidden="1" xr:uid="{00000000-0005-0000-0000-00007B1A0000}"/>
    <cellStyle name="Followed Hyperlink 2" xfId="20210" hidden="1" xr:uid="{00000000-0005-0000-0000-00007C1A0000}"/>
    <cellStyle name="Followed Hyperlink 2" xfId="20206" hidden="1" xr:uid="{00000000-0005-0000-0000-00007D1A0000}"/>
    <cellStyle name="Followed Hyperlink 2" xfId="20207" hidden="1" xr:uid="{00000000-0005-0000-0000-00007E1A0000}"/>
    <cellStyle name="Followed Hyperlink 2" xfId="20194" hidden="1" xr:uid="{00000000-0005-0000-0000-00007F1A0000}"/>
    <cellStyle name="Followed Hyperlink 2" xfId="20482" hidden="1" xr:uid="{00000000-0005-0000-0000-0000801A0000}"/>
    <cellStyle name="Followed Hyperlink 2" xfId="20485" hidden="1" xr:uid="{00000000-0005-0000-0000-0000811A0000}"/>
    <cellStyle name="Followed Hyperlink 2" xfId="20488" hidden="1" xr:uid="{00000000-0005-0000-0000-0000821A0000}"/>
    <cellStyle name="Followed Hyperlink 2" xfId="20492" hidden="1" xr:uid="{00000000-0005-0000-0000-0000831A0000}"/>
    <cellStyle name="Followed Hyperlink 2" xfId="20500" hidden="1" xr:uid="{00000000-0005-0000-0000-0000841A0000}"/>
    <cellStyle name="Followed Hyperlink 2" xfId="20497" hidden="1" xr:uid="{00000000-0005-0000-0000-0000851A0000}"/>
    <cellStyle name="Followed Hyperlink 2" xfId="20495" hidden="1" xr:uid="{00000000-0005-0000-0000-0000861A0000}"/>
    <cellStyle name="Followed Hyperlink 2" xfId="20496" hidden="1" xr:uid="{00000000-0005-0000-0000-0000871A0000}"/>
    <cellStyle name="Followed Hyperlink 2" xfId="20506" hidden="1" xr:uid="{00000000-0005-0000-0000-0000881A0000}"/>
    <cellStyle name="Followed Hyperlink 2" xfId="20509" hidden="1" xr:uid="{00000000-0005-0000-0000-0000891A0000}"/>
    <cellStyle name="Followed Hyperlink 2" xfId="20512" hidden="1" xr:uid="{00000000-0005-0000-0000-00008A1A0000}"/>
    <cellStyle name="Followed Hyperlink 2" xfId="20516" hidden="1" xr:uid="{00000000-0005-0000-0000-00008B1A0000}"/>
    <cellStyle name="Followed Hyperlink 2" xfId="20524" hidden="1" xr:uid="{00000000-0005-0000-0000-00008C1A0000}"/>
    <cellStyle name="Followed Hyperlink 2" xfId="20521" hidden="1" xr:uid="{00000000-0005-0000-0000-00008D1A0000}"/>
    <cellStyle name="Followed Hyperlink 2" xfId="20519" hidden="1" xr:uid="{00000000-0005-0000-0000-00008E1A0000}"/>
    <cellStyle name="Followed Hyperlink 2" xfId="20520" hidden="1" xr:uid="{00000000-0005-0000-0000-00008F1A0000}"/>
    <cellStyle name="Followed Hyperlink 2" xfId="20530" hidden="1" xr:uid="{00000000-0005-0000-0000-0000901A0000}"/>
    <cellStyle name="Followed Hyperlink 2" xfId="20533" hidden="1" xr:uid="{00000000-0005-0000-0000-0000911A0000}"/>
    <cellStyle name="Followed Hyperlink 2" xfId="20536" hidden="1" xr:uid="{00000000-0005-0000-0000-0000921A0000}"/>
    <cellStyle name="Followed Hyperlink 2" xfId="20540" hidden="1" xr:uid="{00000000-0005-0000-0000-0000931A0000}"/>
    <cellStyle name="Followed Hyperlink 2" xfId="20548" hidden="1" xr:uid="{00000000-0005-0000-0000-0000941A0000}"/>
    <cellStyle name="Followed Hyperlink 2" xfId="20545" hidden="1" xr:uid="{00000000-0005-0000-0000-0000951A0000}"/>
    <cellStyle name="Followed Hyperlink 2" xfId="20543" hidden="1" xr:uid="{00000000-0005-0000-0000-0000961A0000}"/>
    <cellStyle name="Followed Hyperlink 2" xfId="20544" hidden="1" xr:uid="{00000000-0005-0000-0000-0000971A0000}"/>
    <cellStyle name="Followed Hyperlink 2" xfId="20554" hidden="1" xr:uid="{00000000-0005-0000-0000-0000981A0000}"/>
    <cellStyle name="Followed Hyperlink 2" xfId="20557" hidden="1" xr:uid="{00000000-0005-0000-0000-0000991A0000}"/>
    <cellStyle name="Followed Hyperlink 2" xfId="20560" hidden="1" xr:uid="{00000000-0005-0000-0000-00009A1A0000}"/>
    <cellStyle name="Followed Hyperlink 2" xfId="20564" hidden="1" xr:uid="{00000000-0005-0000-0000-00009B1A0000}"/>
    <cellStyle name="Followed Hyperlink 2" xfId="19143" hidden="1" xr:uid="{00000000-0005-0000-0000-00009C1A0000}"/>
    <cellStyle name="Followed Hyperlink 2" xfId="19139" hidden="1" xr:uid="{00000000-0005-0000-0000-00009D1A0000}"/>
    <cellStyle name="Followed Hyperlink 2" xfId="19140" hidden="1" xr:uid="{00000000-0005-0000-0000-00009E1A0000}"/>
    <cellStyle name="Followed Hyperlink 2" xfId="19127" hidden="1" xr:uid="{00000000-0005-0000-0000-00009F1A0000}"/>
    <cellStyle name="Followed Hyperlink 2" xfId="20567" hidden="1" xr:uid="{00000000-0005-0000-0000-0000A01A0000}"/>
    <cellStyle name="Followed Hyperlink 2" xfId="20570" hidden="1" xr:uid="{00000000-0005-0000-0000-0000A11A0000}"/>
    <cellStyle name="Followed Hyperlink 2" xfId="20573" hidden="1" xr:uid="{00000000-0005-0000-0000-0000A21A0000}"/>
    <cellStyle name="Followed Hyperlink 2" xfId="20577" hidden="1" xr:uid="{00000000-0005-0000-0000-0000A31A0000}"/>
    <cellStyle name="Followed Hyperlink 2" xfId="20585" hidden="1" xr:uid="{00000000-0005-0000-0000-0000A41A0000}"/>
    <cellStyle name="Followed Hyperlink 2" xfId="20582" hidden="1" xr:uid="{00000000-0005-0000-0000-0000A51A0000}"/>
    <cellStyle name="Followed Hyperlink 2" xfId="20580" hidden="1" xr:uid="{00000000-0005-0000-0000-0000A61A0000}"/>
    <cellStyle name="Followed Hyperlink 2" xfId="20581" hidden="1" xr:uid="{00000000-0005-0000-0000-0000A71A0000}"/>
    <cellStyle name="Followed Hyperlink 2" xfId="20591" hidden="1" xr:uid="{00000000-0005-0000-0000-0000A81A0000}"/>
    <cellStyle name="Followed Hyperlink 2" xfId="20594" hidden="1" xr:uid="{00000000-0005-0000-0000-0000A91A0000}"/>
    <cellStyle name="Followed Hyperlink 2" xfId="20597" hidden="1" xr:uid="{00000000-0005-0000-0000-0000AA1A0000}"/>
    <cellStyle name="Followed Hyperlink 2" xfId="20601" hidden="1" xr:uid="{00000000-0005-0000-0000-0000AB1A0000}"/>
    <cellStyle name="Followed Hyperlink 2" xfId="20609" hidden="1" xr:uid="{00000000-0005-0000-0000-0000AC1A0000}"/>
    <cellStyle name="Followed Hyperlink 2" xfId="20606" hidden="1" xr:uid="{00000000-0005-0000-0000-0000AD1A0000}"/>
    <cellStyle name="Followed Hyperlink 2" xfId="20604" hidden="1" xr:uid="{00000000-0005-0000-0000-0000AE1A0000}"/>
    <cellStyle name="Followed Hyperlink 2" xfId="20605" hidden="1" xr:uid="{00000000-0005-0000-0000-0000AF1A0000}"/>
    <cellStyle name="Followed Hyperlink 2" xfId="20615" hidden="1" xr:uid="{00000000-0005-0000-0000-0000B01A0000}"/>
    <cellStyle name="Followed Hyperlink 2" xfId="20618" hidden="1" xr:uid="{00000000-0005-0000-0000-0000B11A0000}"/>
    <cellStyle name="Followed Hyperlink 2" xfId="20621" hidden="1" xr:uid="{00000000-0005-0000-0000-0000B21A0000}"/>
    <cellStyle name="Followed Hyperlink 2" xfId="20625" hidden="1" xr:uid="{00000000-0005-0000-0000-0000B31A0000}"/>
    <cellStyle name="Followed Hyperlink 2" xfId="20633" hidden="1" xr:uid="{00000000-0005-0000-0000-0000B41A0000}"/>
    <cellStyle name="Followed Hyperlink 2" xfId="20630" hidden="1" xr:uid="{00000000-0005-0000-0000-0000B51A0000}"/>
    <cellStyle name="Followed Hyperlink 2" xfId="20628" hidden="1" xr:uid="{00000000-0005-0000-0000-0000B61A0000}"/>
    <cellStyle name="Followed Hyperlink 2" xfId="20629" hidden="1" xr:uid="{00000000-0005-0000-0000-0000B71A0000}"/>
    <cellStyle name="Followed Hyperlink 2" xfId="20639" hidden="1" xr:uid="{00000000-0005-0000-0000-0000B81A0000}"/>
    <cellStyle name="Followed Hyperlink 2" xfId="20642" hidden="1" xr:uid="{00000000-0005-0000-0000-0000B91A0000}"/>
    <cellStyle name="Followed Hyperlink 2" xfId="20645" hidden="1" xr:uid="{00000000-0005-0000-0000-0000BA1A0000}"/>
    <cellStyle name="Followed Hyperlink 2" xfId="20649" hidden="1" xr:uid="{00000000-0005-0000-0000-0000BB1A0000}"/>
    <cellStyle name="Followed Hyperlink 2" xfId="20686" hidden="1" xr:uid="{00000000-0005-0000-0000-0000BC1A0000}"/>
    <cellStyle name="Followed Hyperlink 2" xfId="20683" hidden="1" xr:uid="{00000000-0005-0000-0000-0000BD1A0000}"/>
    <cellStyle name="Followed Hyperlink 2" xfId="20681" hidden="1" xr:uid="{00000000-0005-0000-0000-0000BE1A0000}"/>
    <cellStyle name="Followed Hyperlink 2" xfId="20682" hidden="1" xr:uid="{00000000-0005-0000-0000-0000BF1A0000}"/>
    <cellStyle name="Followed Hyperlink 2" xfId="20692" hidden="1" xr:uid="{00000000-0005-0000-0000-0000C01A0000}"/>
    <cellStyle name="Followed Hyperlink 2" xfId="20695" hidden="1" xr:uid="{00000000-0005-0000-0000-0000C11A0000}"/>
    <cellStyle name="Followed Hyperlink 2" xfId="20698" hidden="1" xr:uid="{00000000-0005-0000-0000-0000C21A0000}"/>
    <cellStyle name="Followed Hyperlink 2" xfId="20702" hidden="1" xr:uid="{00000000-0005-0000-0000-0000C31A0000}"/>
    <cellStyle name="Followed Hyperlink 2" xfId="20710" hidden="1" xr:uid="{00000000-0005-0000-0000-0000C41A0000}"/>
    <cellStyle name="Followed Hyperlink 2" xfId="20707" hidden="1" xr:uid="{00000000-0005-0000-0000-0000C51A0000}"/>
    <cellStyle name="Followed Hyperlink 2" xfId="20705" hidden="1" xr:uid="{00000000-0005-0000-0000-0000C61A0000}"/>
    <cellStyle name="Followed Hyperlink 2" xfId="20706" hidden="1" xr:uid="{00000000-0005-0000-0000-0000C71A0000}"/>
    <cellStyle name="Followed Hyperlink 2" xfId="20716" hidden="1" xr:uid="{00000000-0005-0000-0000-0000C81A0000}"/>
    <cellStyle name="Followed Hyperlink 2" xfId="20719" hidden="1" xr:uid="{00000000-0005-0000-0000-0000C91A0000}"/>
    <cellStyle name="Followed Hyperlink 2" xfId="20722" hidden="1" xr:uid="{00000000-0005-0000-0000-0000CA1A0000}"/>
    <cellStyle name="Followed Hyperlink 2" xfId="20726" hidden="1" xr:uid="{00000000-0005-0000-0000-0000CB1A0000}"/>
    <cellStyle name="Followed Hyperlink 2" xfId="20736" hidden="1" xr:uid="{00000000-0005-0000-0000-0000CC1A0000}"/>
    <cellStyle name="Followed Hyperlink 2" xfId="20733" hidden="1" xr:uid="{00000000-0005-0000-0000-0000CD1A0000}"/>
    <cellStyle name="Followed Hyperlink 2" xfId="20731" hidden="1" xr:uid="{00000000-0005-0000-0000-0000CE1A0000}"/>
    <cellStyle name="Followed Hyperlink 2" xfId="20732" hidden="1" xr:uid="{00000000-0005-0000-0000-0000CF1A0000}"/>
    <cellStyle name="Followed Hyperlink 2" xfId="20742" hidden="1" xr:uid="{00000000-0005-0000-0000-0000D01A0000}"/>
    <cellStyle name="Followed Hyperlink 2" xfId="20745" hidden="1" xr:uid="{00000000-0005-0000-0000-0000D11A0000}"/>
    <cellStyle name="Followed Hyperlink 2" xfId="20748" hidden="1" xr:uid="{00000000-0005-0000-0000-0000D21A0000}"/>
    <cellStyle name="Followed Hyperlink 2" xfId="20752" hidden="1" xr:uid="{00000000-0005-0000-0000-0000D31A0000}"/>
    <cellStyle name="Followed Hyperlink 2" xfId="20760" hidden="1" xr:uid="{00000000-0005-0000-0000-0000D41A0000}"/>
    <cellStyle name="Followed Hyperlink 2" xfId="20757" hidden="1" xr:uid="{00000000-0005-0000-0000-0000D51A0000}"/>
    <cellStyle name="Followed Hyperlink 2" xfId="20755" hidden="1" xr:uid="{00000000-0005-0000-0000-0000D61A0000}"/>
    <cellStyle name="Followed Hyperlink 2" xfId="20756" hidden="1" xr:uid="{00000000-0005-0000-0000-0000D71A0000}"/>
    <cellStyle name="Followed Hyperlink 2" xfId="20766" hidden="1" xr:uid="{00000000-0005-0000-0000-0000D81A0000}"/>
    <cellStyle name="Followed Hyperlink 2" xfId="20769" hidden="1" xr:uid="{00000000-0005-0000-0000-0000D91A0000}"/>
    <cellStyle name="Followed Hyperlink 2" xfId="20772" hidden="1" xr:uid="{00000000-0005-0000-0000-0000DA1A0000}"/>
    <cellStyle name="Followed Hyperlink 2" xfId="20776" hidden="1" xr:uid="{00000000-0005-0000-0000-0000DB1A0000}"/>
    <cellStyle name="Followed Hyperlink 2" xfId="20653" hidden="1" xr:uid="{00000000-0005-0000-0000-0000DC1A0000}"/>
    <cellStyle name="Followed Hyperlink 2" xfId="20657" hidden="1" xr:uid="{00000000-0005-0000-0000-0000DD1A0000}"/>
    <cellStyle name="Followed Hyperlink 2" xfId="20652" hidden="1" xr:uid="{00000000-0005-0000-0000-0000DE1A0000}"/>
    <cellStyle name="Followed Hyperlink 2" xfId="20658" hidden="1" xr:uid="{00000000-0005-0000-0000-0000DF1A0000}"/>
    <cellStyle name="Followed Hyperlink 2" xfId="20779" hidden="1" xr:uid="{00000000-0005-0000-0000-0000E01A0000}"/>
    <cellStyle name="Followed Hyperlink 2" xfId="20782" hidden="1" xr:uid="{00000000-0005-0000-0000-0000E11A0000}"/>
    <cellStyle name="Followed Hyperlink 2" xfId="20785" hidden="1" xr:uid="{00000000-0005-0000-0000-0000E21A0000}"/>
    <cellStyle name="Followed Hyperlink 2" xfId="20789" hidden="1" xr:uid="{00000000-0005-0000-0000-0000E31A0000}"/>
    <cellStyle name="Followed Hyperlink 2" xfId="20797" hidden="1" xr:uid="{00000000-0005-0000-0000-0000E41A0000}"/>
    <cellStyle name="Followed Hyperlink 2" xfId="20794" hidden="1" xr:uid="{00000000-0005-0000-0000-0000E51A0000}"/>
    <cellStyle name="Followed Hyperlink 2" xfId="20792" hidden="1" xr:uid="{00000000-0005-0000-0000-0000E61A0000}"/>
    <cellStyle name="Followed Hyperlink 2" xfId="20793" hidden="1" xr:uid="{00000000-0005-0000-0000-0000E71A0000}"/>
    <cellStyle name="Followed Hyperlink 2" xfId="20803" hidden="1" xr:uid="{00000000-0005-0000-0000-0000E81A0000}"/>
    <cellStyle name="Followed Hyperlink 2" xfId="20806" hidden="1" xr:uid="{00000000-0005-0000-0000-0000E91A0000}"/>
    <cellStyle name="Followed Hyperlink 2" xfId="20809" hidden="1" xr:uid="{00000000-0005-0000-0000-0000EA1A0000}"/>
    <cellStyle name="Followed Hyperlink 2" xfId="20813" hidden="1" xr:uid="{00000000-0005-0000-0000-0000EB1A0000}"/>
    <cellStyle name="Followed Hyperlink 2" xfId="20822" hidden="1" xr:uid="{00000000-0005-0000-0000-0000EC1A0000}"/>
    <cellStyle name="Followed Hyperlink 2" xfId="20819" hidden="1" xr:uid="{00000000-0005-0000-0000-0000ED1A0000}"/>
    <cellStyle name="Followed Hyperlink 2" xfId="20817" hidden="1" xr:uid="{00000000-0005-0000-0000-0000EE1A0000}"/>
    <cellStyle name="Followed Hyperlink 2" xfId="20818" hidden="1" xr:uid="{00000000-0005-0000-0000-0000EF1A0000}"/>
    <cellStyle name="Followed Hyperlink 2" xfId="20828" hidden="1" xr:uid="{00000000-0005-0000-0000-0000F01A0000}"/>
    <cellStyle name="Followed Hyperlink 2" xfId="20831" hidden="1" xr:uid="{00000000-0005-0000-0000-0000F11A0000}"/>
    <cellStyle name="Followed Hyperlink 2" xfId="20834" hidden="1" xr:uid="{00000000-0005-0000-0000-0000F21A0000}"/>
    <cellStyle name="Followed Hyperlink 2" xfId="20838" hidden="1" xr:uid="{00000000-0005-0000-0000-0000F31A0000}"/>
    <cellStyle name="Followed Hyperlink 2" xfId="20846" hidden="1" xr:uid="{00000000-0005-0000-0000-0000F41A0000}"/>
    <cellStyle name="Followed Hyperlink 2" xfId="20843" hidden="1" xr:uid="{00000000-0005-0000-0000-0000F51A0000}"/>
    <cellStyle name="Followed Hyperlink 2" xfId="20841" hidden="1" xr:uid="{00000000-0005-0000-0000-0000F61A0000}"/>
    <cellStyle name="Followed Hyperlink 2" xfId="20842" hidden="1" xr:uid="{00000000-0005-0000-0000-0000F71A0000}"/>
    <cellStyle name="Followed Hyperlink 2" xfId="20852" hidden="1" xr:uid="{00000000-0005-0000-0000-0000F81A0000}"/>
    <cellStyle name="Followed Hyperlink 2" xfId="20855" hidden="1" xr:uid="{00000000-0005-0000-0000-0000F91A0000}"/>
    <cellStyle name="Followed Hyperlink 2" xfId="20858" hidden="1" xr:uid="{00000000-0005-0000-0000-0000FA1A0000}"/>
    <cellStyle name="Followed Hyperlink 2" xfId="20862" hidden="1" xr:uid="{00000000-0005-0000-0000-0000FB1A0000}"/>
    <cellStyle name="Followed Hyperlink 2" xfId="20671" hidden="1" xr:uid="{00000000-0005-0000-0000-0000FC1A0000}"/>
    <cellStyle name="Followed Hyperlink 2" xfId="20668" hidden="1" xr:uid="{00000000-0005-0000-0000-0000FD1A0000}"/>
    <cellStyle name="Followed Hyperlink 2" xfId="20662" hidden="1" xr:uid="{00000000-0005-0000-0000-0000FE1A0000}"/>
    <cellStyle name="Followed Hyperlink 2" xfId="20667" hidden="1" xr:uid="{00000000-0005-0000-0000-0000FF1A0000}"/>
    <cellStyle name="Followed Hyperlink 2" xfId="20865" hidden="1" xr:uid="{00000000-0005-0000-0000-0000001B0000}"/>
    <cellStyle name="Followed Hyperlink 2" xfId="20868" hidden="1" xr:uid="{00000000-0005-0000-0000-0000011B0000}"/>
    <cellStyle name="Followed Hyperlink 2" xfId="20871" hidden="1" xr:uid="{00000000-0005-0000-0000-0000021B0000}"/>
    <cellStyle name="Followed Hyperlink 2" xfId="20875" hidden="1" xr:uid="{00000000-0005-0000-0000-0000031B0000}"/>
    <cellStyle name="Followed Hyperlink 2" xfId="20883" hidden="1" xr:uid="{00000000-0005-0000-0000-0000041B0000}"/>
    <cellStyle name="Followed Hyperlink 2" xfId="20880" hidden="1" xr:uid="{00000000-0005-0000-0000-0000051B0000}"/>
    <cellStyle name="Followed Hyperlink 2" xfId="20878" hidden="1" xr:uid="{00000000-0005-0000-0000-0000061B0000}"/>
    <cellStyle name="Followed Hyperlink 2" xfId="20879" hidden="1" xr:uid="{00000000-0005-0000-0000-0000071B0000}"/>
    <cellStyle name="Followed Hyperlink 2" xfId="20889" hidden="1" xr:uid="{00000000-0005-0000-0000-0000081B0000}"/>
    <cellStyle name="Followed Hyperlink 2" xfId="20892" hidden="1" xr:uid="{00000000-0005-0000-0000-0000091B0000}"/>
    <cellStyle name="Followed Hyperlink 2" xfId="20895" hidden="1" xr:uid="{00000000-0005-0000-0000-00000A1B0000}"/>
    <cellStyle name="Followed Hyperlink 2" xfId="20899" hidden="1" xr:uid="{00000000-0005-0000-0000-00000B1B0000}"/>
    <cellStyle name="Followed Hyperlink 2" xfId="20908" hidden="1" xr:uid="{00000000-0005-0000-0000-00000C1B0000}"/>
    <cellStyle name="Followed Hyperlink 2" xfId="20905" hidden="1" xr:uid="{00000000-0005-0000-0000-00000D1B0000}"/>
    <cellStyle name="Followed Hyperlink 2" xfId="20903" hidden="1" xr:uid="{00000000-0005-0000-0000-00000E1B0000}"/>
    <cellStyle name="Followed Hyperlink 2" xfId="20904" hidden="1" xr:uid="{00000000-0005-0000-0000-00000F1B0000}"/>
    <cellStyle name="Followed Hyperlink 2" xfId="20914" hidden="1" xr:uid="{00000000-0005-0000-0000-0000101B0000}"/>
    <cellStyle name="Followed Hyperlink 2" xfId="20917" hidden="1" xr:uid="{00000000-0005-0000-0000-0000111B0000}"/>
    <cellStyle name="Followed Hyperlink 2" xfId="20920" hidden="1" xr:uid="{00000000-0005-0000-0000-0000121B0000}"/>
    <cellStyle name="Followed Hyperlink 2" xfId="20924" hidden="1" xr:uid="{00000000-0005-0000-0000-0000131B0000}"/>
    <cellStyle name="Followed Hyperlink 2" xfId="20932" hidden="1" xr:uid="{00000000-0005-0000-0000-0000141B0000}"/>
    <cellStyle name="Followed Hyperlink 2" xfId="20929" hidden="1" xr:uid="{00000000-0005-0000-0000-0000151B0000}"/>
    <cellStyle name="Followed Hyperlink 2" xfId="20927" hidden="1" xr:uid="{00000000-0005-0000-0000-0000161B0000}"/>
    <cellStyle name="Followed Hyperlink 2" xfId="20928" hidden="1" xr:uid="{00000000-0005-0000-0000-0000171B0000}"/>
    <cellStyle name="Followed Hyperlink 2" xfId="20938" hidden="1" xr:uid="{00000000-0005-0000-0000-0000181B0000}"/>
    <cellStyle name="Followed Hyperlink 2" xfId="20941" hidden="1" xr:uid="{00000000-0005-0000-0000-0000191B0000}"/>
    <cellStyle name="Followed Hyperlink 2" xfId="20944" hidden="1" xr:uid="{00000000-0005-0000-0000-00001A1B0000}"/>
    <cellStyle name="Followed Hyperlink 2" xfId="20948" hidden="1" xr:uid="{00000000-0005-0000-0000-00001B1B0000}"/>
    <cellStyle name="Followed Hyperlink 2" xfId="20679" hidden="1" xr:uid="{00000000-0005-0000-0000-00001C1B0000}"/>
    <cellStyle name="Followed Hyperlink 2" xfId="20675" hidden="1" xr:uid="{00000000-0005-0000-0000-00001D1B0000}"/>
    <cellStyle name="Followed Hyperlink 2" xfId="20676" hidden="1" xr:uid="{00000000-0005-0000-0000-00001E1B0000}"/>
    <cellStyle name="Followed Hyperlink 2" xfId="20663" hidden="1" xr:uid="{00000000-0005-0000-0000-00001F1B0000}"/>
    <cellStyle name="Followed Hyperlink 2" xfId="20951" hidden="1" xr:uid="{00000000-0005-0000-0000-0000201B0000}"/>
    <cellStyle name="Followed Hyperlink 2" xfId="20954" hidden="1" xr:uid="{00000000-0005-0000-0000-0000211B0000}"/>
    <cellStyle name="Followed Hyperlink 2" xfId="20957" hidden="1" xr:uid="{00000000-0005-0000-0000-0000221B0000}"/>
    <cellStyle name="Followed Hyperlink 2" xfId="20961" hidden="1" xr:uid="{00000000-0005-0000-0000-0000231B0000}"/>
    <cellStyle name="Followed Hyperlink 2" xfId="20969" hidden="1" xr:uid="{00000000-0005-0000-0000-0000241B0000}"/>
    <cellStyle name="Followed Hyperlink 2" xfId="20966" hidden="1" xr:uid="{00000000-0005-0000-0000-0000251B0000}"/>
    <cellStyle name="Followed Hyperlink 2" xfId="20964" hidden="1" xr:uid="{00000000-0005-0000-0000-0000261B0000}"/>
    <cellStyle name="Followed Hyperlink 2" xfId="20965" hidden="1" xr:uid="{00000000-0005-0000-0000-0000271B0000}"/>
    <cellStyle name="Followed Hyperlink 2" xfId="20975" hidden="1" xr:uid="{00000000-0005-0000-0000-0000281B0000}"/>
    <cellStyle name="Followed Hyperlink 2" xfId="20978" hidden="1" xr:uid="{00000000-0005-0000-0000-0000291B0000}"/>
    <cellStyle name="Followed Hyperlink 2" xfId="20981" hidden="1" xr:uid="{00000000-0005-0000-0000-00002A1B0000}"/>
    <cellStyle name="Followed Hyperlink 2" xfId="20985" hidden="1" xr:uid="{00000000-0005-0000-0000-00002B1B0000}"/>
    <cellStyle name="Followed Hyperlink 2" xfId="20993" hidden="1" xr:uid="{00000000-0005-0000-0000-00002C1B0000}"/>
    <cellStyle name="Followed Hyperlink 2" xfId="20990" hidden="1" xr:uid="{00000000-0005-0000-0000-00002D1B0000}"/>
    <cellStyle name="Followed Hyperlink 2" xfId="20988" hidden="1" xr:uid="{00000000-0005-0000-0000-00002E1B0000}"/>
    <cellStyle name="Followed Hyperlink 2" xfId="20989" hidden="1" xr:uid="{00000000-0005-0000-0000-00002F1B0000}"/>
    <cellStyle name="Followed Hyperlink 2" xfId="20999" hidden="1" xr:uid="{00000000-0005-0000-0000-0000301B0000}"/>
    <cellStyle name="Followed Hyperlink 2" xfId="21002" hidden="1" xr:uid="{00000000-0005-0000-0000-0000311B0000}"/>
    <cellStyle name="Followed Hyperlink 2" xfId="21005" hidden="1" xr:uid="{00000000-0005-0000-0000-0000321B0000}"/>
    <cellStyle name="Followed Hyperlink 2" xfId="21009" hidden="1" xr:uid="{00000000-0005-0000-0000-0000331B0000}"/>
    <cellStyle name="Followed Hyperlink 2" xfId="21017" hidden="1" xr:uid="{00000000-0005-0000-0000-0000341B0000}"/>
    <cellStyle name="Followed Hyperlink 2" xfId="21014" hidden="1" xr:uid="{00000000-0005-0000-0000-0000351B0000}"/>
    <cellStyle name="Followed Hyperlink 2" xfId="21012" hidden="1" xr:uid="{00000000-0005-0000-0000-0000361B0000}"/>
    <cellStyle name="Followed Hyperlink 2" xfId="21013" hidden="1" xr:uid="{00000000-0005-0000-0000-0000371B0000}"/>
    <cellStyle name="Followed Hyperlink 2" xfId="21023" hidden="1" xr:uid="{00000000-0005-0000-0000-0000381B0000}"/>
    <cellStyle name="Followed Hyperlink 2" xfId="21026" hidden="1" xr:uid="{00000000-0005-0000-0000-0000391B0000}"/>
    <cellStyle name="Followed Hyperlink 2" xfId="21029" hidden="1" xr:uid="{00000000-0005-0000-0000-00003A1B0000}"/>
    <cellStyle name="Followed Hyperlink 2" xfId="21033" hidden="1" xr:uid="{00000000-0005-0000-0000-00003B1B0000}"/>
    <cellStyle name="Followed Hyperlink 2" xfId="17002" hidden="1" xr:uid="{00000000-0005-0000-0000-00003C1B0000}"/>
    <cellStyle name="Followed Hyperlink 2" xfId="16999" hidden="1" xr:uid="{00000000-0005-0000-0000-00003D1B0000}"/>
    <cellStyle name="Followed Hyperlink 2" xfId="16993" hidden="1" xr:uid="{00000000-0005-0000-0000-00003E1B0000}"/>
    <cellStyle name="Followed Hyperlink 2" xfId="16998" hidden="1" xr:uid="{00000000-0005-0000-0000-00003F1B0000}"/>
    <cellStyle name="Followed Hyperlink 2" xfId="21036" hidden="1" xr:uid="{00000000-0005-0000-0000-0000401B0000}"/>
    <cellStyle name="Followed Hyperlink 2" xfId="21039" hidden="1" xr:uid="{00000000-0005-0000-0000-0000411B0000}"/>
    <cellStyle name="Followed Hyperlink 2" xfId="21042" hidden="1" xr:uid="{00000000-0005-0000-0000-0000421B0000}"/>
    <cellStyle name="Followed Hyperlink 2" xfId="21046" hidden="1" xr:uid="{00000000-0005-0000-0000-0000431B0000}"/>
    <cellStyle name="Followed Hyperlink 2" xfId="21054" hidden="1" xr:uid="{00000000-0005-0000-0000-0000441B0000}"/>
    <cellStyle name="Followed Hyperlink 2" xfId="21051" hidden="1" xr:uid="{00000000-0005-0000-0000-0000451B0000}"/>
    <cellStyle name="Followed Hyperlink 2" xfId="21049" hidden="1" xr:uid="{00000000-0005-0000-0000-0000461B0000}"/>
    <cellStyle name="Followed Hyperlink 2" xfId="21050" hidden="1" xr:uid="{00000000-0005-0000-0000-0000471B0000}"/>
    <cellStyle name="Followed Hyperlink 2" xfId="21060" hidden="1" xr:uid="{00000000-0005-0000-0000-0000481B0000}"/>
    <cellStyle name="Followed Hyperlink 2" xfId="21063" hidden="1" xr:uid="{00000000-0005-0000-0000-0000491B0000}"/>
    <cellStyle name="Followed Hyperlink 2" xfId="21066" hidden="1" xr:uid="{00000000-0005-0000-0000-00004A1B0000}"/>
    <cellStyle name="Followed Hyperlink 2" xfId="21070" hidden="1" xr:uid="{00000000-0005-0000-0000-00004B1B0000}"/>
    <cellStyle name="Followed Hyperlink 2" xfId="21079" hidden="1" xr:uid="{00000000-0005-0000-0000-00004C1B0000}"/>
    <cellStyle name="Followed Hyperlink 2" xfId="21076" hidden="1" xr:uid="{00000000-0005-0000-0000-00004D1B0000}"/>
    <cellStyle name="Followed Hyperlink 2" xfId="21074" hidden="1" xr:uid="{00000000-0005-0000-0000-00004E1B0000}"/>
    <cellStyle name="Followed Hyperlink 2" xfId="21075" hidden="1" xr:uid="{00000000-0005-0000-0000-00004F1B0000}"/>
    <cellStyle name="Followed Hyperlink 2" xfId="21085" hidden="1" xr:uid="{00000000-0005-0000-0000-0000501B0000}"/>
    <cellStyle name="Followed Hyperlink 2" xfId="21088" hidden="1" xr:uid="{00000000-0005-0000-0000-0000511B0000}"/>
    <cellStyle name="Followed Hyperlink 2" xfId="21091" hidden="1" xr:uid="{00000000-0005-0000-0000-0000521B0000}"/>
    <cellStyle name="Followed Hyperlink 2" xfId="21095" hidden="1" xr:uid="{00000000-0005-0000-0000-0000531B0000}"/>
    <cellStyle name="Followed Hyperlink 2" xfId="21103" hidden="1" xr:uid="{00000000-0005-0000-0000-0000541B0000}"/>
    <cellStyle name="Followed Hyperlink 2" xfId="21100" hidden="1" xr:uid="{00000000-0005-0000-0000-0000551B0000}"/>
    <cellStyle name="Followed Hyperlink 2" xfId="21098" hidden="1" xr:uid="{00000000-0005-0000-0000-0000561B0000}"/>
    <cellStyle name="Followed Hyperlink 2" xfId="21099" hidden="1" xr:uid="{00000000-0005-0000-0000-0000571B0000}"/>
    <cellStyle name="Followed Hyperlink 2" xfId="21109" hidden="1" xr:uid="{00000000-0005-0000-0000-0000581B0000}"/>
    <cellStyle name="Followed Hyperlink 2" xfId="21112" hidden="1" xr:uid="{00000000-0005-0000-0000-0000591B0000}"/>
    <cellStyle name="Followed Hyperlink 2" xfId="21115" hidden="1" xr:uid="{00000000-0005-0000-0000-00005A1B0000}"/>
    <cellStyle name="Followed Hyperlink 2" xfId="21119" hidden="1" xr:uid="{00000000-0005-0000-0000-00005B1B0000}"/>
    <cellStyle name="Followed Hyperlink 2" xfId="21156" hidden="1" xr:uid="{00000000-0005-0000-0000-00005C1B0000}"/>
    <cellStyle name="Followed Hyperlink 2" xfId="21153" hidden="1" xr:uid="{00000000-0005-0000-0000-00005D1B0000}"/>
    <cellStyle name="Followed Hyperlink 2" xfId="21151" hidden="1" xr:uid="{00000000-0005-0000-0000-00005E1B0000}"/>
    <cellStyle name="Followed Hyperlink 2" xfId="21152" hidden="1" xr:uid="{00000000-0005-0000-0000-00005F1B0000}"/>
    <cellStyle name="Followed Hyperlink 2" xfId="21162" hidden="1" xr:uid="{00000000-0005-0000-0000-0000601B0000}"/>
    <cellStyle name="Followed Hyperlink 2" xfId="21165" hidden="1" xr:uid="{00000000-0005-0000-0000-0000611B0000}"/>
    <cellStyle name="Followed Hyperlink 2" xfId="21168" hidden="1" xr:uid="{00000000-0005-0000-0000-0000621B0000}"/>
    <cellStyle name="Followed Hyperlink 2" xfId="21172" hidden="1" xr:uid="{00000000-0005-0000-0000-0000631B0000}"/>
    <cellStyle name="Followed Hyperlink 2" xfId="21180" hidden="1" xr:uid="{00000000-0005-0000-0000-0000641B0000}"/>
    <cellStyle name="Followed Hyperlink 2" xfId="21177" hidden="1" xr:uid="{00000000-0005-0000-0000-0000651B0000}"/>
    <cellStyle name="Followed Hyperlink 2" xfId="21175" hidden="1" xr:uid="{00000000-0005-0000-0000-0000661B0000}"/>
    <cellStyle name="Followed Hyperlink 2" xfId="21176" hidden="1" xr:uid="{00000000-0005-0000-0000-0000671B0000}"/>
    <cellStyle name="Followed Hyperlink 2" xfId="21186" hidden="1" xr:uid="{00000000-0005-0000-0000-0000681B0000}"/>
    <cellStyle name="Followed Hyperlink 2" xfId="21189" hidden="1" xr:uid="{00000000-0005-0000-0000-0000691B0000}"/>
    <cellStyle name="Followed Hyperlink 2" xfId="21192" hidden="1" xr:uid="{00000000-0005-0000-0000-00006A1B0000}"/>
    <cellStyle name="Followed Hyperlink 2" xfId="21196" hidden="1" xr:uid="{00000000-0005-0000-0000-00006B1B0000}"/>
    <cellStyle name="Followed Hyperlink 2" xfId="21206" hidden="1" xr:uid="{00000000-0005-0000-0000-00006C1B0000}"/>
    <cellStyle name="Followed Hyperlink 2" xfId="21203" hidden="1" xr:uid="{00000000-0005-0000-0000-00006D1B0000}"/>
    <cellStyle name="Followed Hyperlink 2" xfId="21201" hidden="1" xr:uid="{00000000-0005-0000-0000-00006E1B0000}"/>
    <cellStyle name="Followed Hyperlink 2" xfId="21202" hidden="1" xr:uid="{00000000-0005-0000-0000-00006F1B0000}"/>
    <cellStyle name="Followed Hyperlink 2" xfId="21212" hidden="1" xr:uid="{00000000-0005-0000-0000-0000701B0000}"/>
    <cellStyle name="Followed Hyperlink 2" xfId="21215" hidden="1" xr:uid="{00000000-0005-0000-0000-0000711B0000}"/>
    <cellStyle name="Followed Hyperlink 2" xfId="21218" hidden="1" xr:uid="{00000000-0005-0000-0000-0000721B0000}"/>
    <cellStyle name="Followed Hyperlink 2" xfId="21222" hidden="1" xr:uid="{00000000-0005-0000-0000-0000731B0000}"/>
    <cellStyle name="Followed Hyperlink 2" xfId="21230" hidden="1" xr:uid="{00000000-0005-0000-0000-0000741B0000}"/>
    <cellStyle name="Followed Hyperlink 2" xfId="21227" hidden="1" xr:uid="{00000000-0005-0000-0000-0000751B0000}"/>
    <cellStyle name="Followed Hyperlink 2" xfId="21225" hidden="1" xr:uid="{00000000-0005-0000-0000-0000761B0000}"/>
    <cellStyle name="Followed Hyperlink 2" xfId="21226" hidden="1" xr:uid="{00000000-0005-0000-0000-0000771B0000}"/>
    <cellStyle name="Followed Hyperlink 2" xfId="21236" hidden="1" xr:uid="{00000000-0005-0000-0000-0000781B0000}"/>
    <cellStyle name="Followed Hyperlink 2" xfId="21239" hidden="1" xr:uid="{00000000-0005-0000-0000-0000791B0000}"/>
    <cellStyle name="Followed Hyperlink 2" xfId="21242" hidden="1" xr:uid="{00000000-0005-0000-0000-00007A1B0000}"/>
    <cellStyle name="Followed Hyperlink 2" xfId="21246" hidden="1" xr:uid="{00000000-0005-0000-0000-00007B1B0000}"/>
    <cellStyle name="Followed Hyperlink 2" xfId="21283" hidden="1" xr:uid="{00000000-0005-0000-0000-00007C1B0000}"/>
    <cellStyle name="Followed Hyperlink 2" xfId="21280" hidden="1" xr:uid="{00000000-0005-0000-0000-00007D1B0000}"/>
    <cellStyle name="Followed Hyperlink 2" xfId="21278" hidden="1" xr:uid="{00000000-0005-0000-0000-00007E1B0000}"/>
    <cellStyle name="Followed Hyperlink 2" xfId="21279" hidden="1" xr:uid="{00000000-0005-0000-0000-00007F1B0000}"/>
    <cellStyle name="Followed Hyperlink 2" xfId="21289" hidden="1" xr:uid="{00000000-0005-0000-0000-0000801B0000}"/>
    <cellStyle name="Followed Hyperlink 2" xfId="21292" hidden="1" xr:uid="{00000000-0005-0000-0000-0000811B0000}"/>
    <cellStyle name="Followed Hyperlink 2" xfId="21295" hidden="1" xr:uid="{00000000-0005-0000-0000-0000821B0000}"/>
    <cellStyle name="Followed Hyperlink 2" xfId="21299" hidden="1" xr:uid="{00000000-0005-0000-0000-0000831B0000}"/>
    <cellStyle name="Followed Hyperlink 2" xfId="21307" hidden="1" xr:uid="{00000000-0005-0000-0000-0000841B0000}"/>
    <cellStyle name="Followed Hyperlink 2" xfId="21304" hidden="1" xr:uid="{00000000-0005-0000-0000-0000851B0000}"/>
    <cellStyle name="Followed Hyperlink 2" xfId="21302" hidden="1" xr:uid="{00000000-0005-0000-0000-0000861B0000}"/>
    <cellStyle name="Followed Hyperlink 2" xfId="21303" hidden="1" xr:uid="{00000000-0005-0000-0000-0000871B0000}"/>
    <cellStyle name="Followed Hyperlink 2" xfId="21313" hidden="1" xr:uid="{00000000-0005-0000-0000-0000881B0000}"/>
    <cellStyle name="Followed Hyperlink 2" xfId="21316" hidden="1" xr:uid="{00000000-0005-0000-0000-0000891B0000}"/>
    <cellStyle name="Followed Hyperlink 2" xfId="21319" hidden="1" xr:uid="{00000000-0005-0000-0000-00008A1B0000}"/>
    <cellStyle name="Followed Hyperlink 2" xfId="21323" hidden="1" xr:uid="{00000000-0005-0000-0000-00008B1B0000}"/>
    <cellStyle name="Followed Hyperlink 2" xfId="21333" hidden="1" xr:uid="{00000000-0005-0000-0000-00008C1B0000}"/>
    <cellStyle name="Followed Hyperlink 2" xfId="21330" hidden="1" xr:uid="{00000000-0005-0000-0000-00008D1B0000}"/>
    <cellStyle name="Followed Hyperlink 2" xfId="21328" hidden="1" xr:uid="{00000000-0005-0000-0000-00008E1B0000}"/>
    <cellStyle name="Followed Hyperlink 2" xfId="21329" hidden="1" xr:uid="{00000000-0005-0000-0000-00008F1B0000}"/>
    <cellStyle name="Followed Hyperlink 2" xfId="21339" hidden="1" xr:uid="{00000000-0005-0000-0000-0000901B0000}"/>
    <cellStyle name="Followed Hyperlink 2" xfId="21342" hidden="1" xr:uid="{00000000-0005-0000-0000-0000911B0000}"/>
    <cellStyle name="Followed Hyperlink 2" xfId="21345" hidden="1" xr:uid="{00000000-0005-0000-0000-0000921B0000}"/>
    <cellStyle name="Followed Hyperlink 2" xfId="21349" hidden="1" xr:uid="{00000000-0005-0000-0000-0000931B0000}"/>
    <cellStyle name="Followed Hyperlink 2" xfId="21357" hidden="1" xr:uid="{00000000-0005-0000-0000-0000941B0000}"/>
    <cellStyle name="Followed Hyperlink 2" xfId="21354" hidden="1" xr:uid="{00000000-0005-0000-0000-0000951B0000}"/>
    <cellStyle name="Followed Hyperlink 2" xfId="21352" hidden="1" xr:uid="{00000000-0005-0000-0000-0000961B0000}"/>
    <cellStyle name="Followed Hyperlink 2" xfId="21353" hidden="1" xr:uid="{00000000-0005-0000-0000-0000971B0000}"/>
    <cellStyle name="Followed Hyperlink 2" xfId="21363" hidden="1" xr:uid="{00000000-0005-0000-0000-0000981B0000}"/>
    <cellStyle name="Followed Hyperlink 2" xfId="21366" hidden="1" xr:uid="{00000000-0005-0000-0000-0000991B0000}"/>
    <cellStyle name="Followed Hyperlink 2" xfId="21369" hidden="1" xr:uid="{00000000-0005-0000-0000-00009A1B0000}"/>
    <cellStyle name="Followed Hyperlink 2" xfId="21373" hidden="1" xr:uid="{00000000-0005-0000-0000-00009B1B0000}"/>
    <cellStyle name="Followed Hyperlink 2" xfId="21250" hidden="1" xr:uid="{00000000-0005-0000-0000-00009C1B0000}"/>
    <cellStyle name="Followed Hyperlink 2" xfId="21254" hidden="1" xr:uid="{00000000-0005-0000-0000-00009D1B0000}"/>
    <cellStyle name="Followed Hyperlink 2" xfId="21249" hidden="1" xr:uid="{00000000-0005-0000-0000-00009E1B0000}"/>
    <cellStyle name="Followed Hyperlink 2" xfId="21255" hidden="1" xr:uid="{00000000-0005-0000-0000-00009F1B0000}"/>
    <cellStyle name="Followed Hyperlink 2" xfId="21376" hidden="1" xr:uid="{00000000-0005-0000-0000-0000A01B0000}"/>
    <cellStyle name="Followed Hyperlink 2" xfId="21379" hidden="1" xr:uid="{00000000-0005-0000-0000-0000A11B0000}"/>
    <cellStyle name="Followed Hyperlink 2" xfId="21382" hidden="1" xr:uid="{00000000-0005-0000-0000-0000A21B0000}"/>
    <cellStyle name="Followed Hyperlink 2" xfId="21386" hidden="1" xr:uid="{00000000-0005-0000-0000-0000A31B0000}"/>
    <cellStyle name="Followed Hyperlink 2" xfId="21394" hidden="1" xr:uid="{00000000-0005-0000-0000-0000A41B0000}"/>
    <cellStyle name="Followed Hyperlink 2" xfId="21391" hidden="1" xr:uid="{00000000-0005-0000-0000-0000A51B0000}"/>
    <cellStyle name="Followed Hyperlink 2" xfId="21389" hidden="1" xr:uid="{00000000-0005-0000-0000-0000A61B0000}"/>
    <cellStyle name="Followed Hyperlink 2" xfId="21390" hidden="1" xr:uid="{00000000-0005-0000-0000-0000A71B0000}"/>
    <cellStyle name="Followed Hyperlink 2" xfId="21400" hidden="1" xr:uid="{00000000-0005-0000-0000-0000A81B0000}"/>
    <cellStyle name="Followed Hyperlink 2" xfId="21403" hidden="1" xr:uid="{00000000-0005-0000-0000-0000A91B0000}"/>
    <cellStyle name="Followed Hyperlink 2" xfId="21406" hidden="1" xr:uid="{00000000-0005-0000-0000-0000AA1B0000}"/>
    <cellStyle name="Followed Hyperlink 2" xfId="21410" hidden="1" xr:uid="{00000000-0005-0000-0000-0000AB1B0000}"/>
    <cellStyle name="Followed Hyperlink 2" xfId="21419" hidden="1" xr:uid="{00000000-0005-0000-0000-0000AC1B0000}"/>
    <cellStyle name="Followed Hyperlink 2" xfId="21416" hidden="1" xr:uid="{00000000-0005-0000-0000-0000AD1B0000}"/>
    <cellStyle name="Followed Hyperlink 2" xfId="21414" hidden="1" xr:uid="{00000000-0005-0000-0000-0000AE1B0000}"/>
    <cellStyle name="Followed Hyperlink 2" xfId="21415" hidden="1" xr:uid="{00000000-0005-0000-0000-0000AF1B0000}"/>
    <cellStyle name="Followed Hyperlink 2" xfId="21425" hidden="1" xr:uid="{00000000-0005-0000-0000-0000B01B0000}"/>
    <cellStyle name="Followed Hyperlink 2" xfId="21428" hidden="1" xr:uid="{00000000-0005-0000-0000-0000B11B0000}"/>
    <cellStyle name="Followed Hyperlink 2" xfId="21431" hidden="1" xr:uid="{00000000-0005-0000-0000-0000B21B0000}"/>
    <cellStyle name="Followed Hyperlink 2" xfId="21435" hidden="1" xr:uid="{00000000-0005-0000-0000-0000B31B0000}"/>
    <cellStyle name="Followed Hyperlink 2" xfId="21443" hidden="1" xr:uid="{00000000-0005-0000-0000-0000B41B0000}"/>
    <cellStyle name="Followed Hyperlink 2" xfId="21440" hidden="1" xr:uid="{00000000-0005-0000-0000-0000B51B0000}"/>
    <cellStyle name="Followed Hyperlink 2" xfId="21438" hidden="1" xr:uid="{00000000-0005-0000-0000-0000B61B0000}"/>
    <cellStyle name="Followed Hyperlink 2" xfId="21439" hidden="1" xr:uid="{00000000-0005-0000-0000-0000B71B0000}"/>
    <cellStyle name="Followed Hyperlink 2" xfId="21449" hidden="1" xr:uid="{00000000-0005-0000-0000-0000B81B0000}"/>
    <cellStyle name="Followed Hyperlink 2" xfId="21452" hidden="1" xr:uid="{00000000-0005-0000-0000-0000B91B0000}"/>
    <cellStyle name="Followed Hyperlink 2" xfId="21455" hidden="1" xr:uid="{00000000-0005-0000-0000-0000BA1B0000}"/>
    <cellStyle name="Followed Hyperlink 2" xfId="21459" hidden="1" xr:uid="{00000000-0005-0000-0000-0000BB1B0000}"/>
    <cellStyle name="Followed Hyperlink 2" xfId="21268" hidden="1" xr:uid="{00000000-0005-0000-0000-0000BC1B0000}"/>
    <cellStyle name="Followed Hyperlink 2" xfId="21265" hidden="1" xr:uid="{00000000-0005-0000-0000-0000BD1B0000}"/>
    <cellStyle name="Followed Hyperlink 2" xfId="21259" hidden="1" xr:uid="{00000000-0005-0000-0000-0000BE1B0000}"/>
    <cellStyle name="Followed Hyperlink 2" xfId="21264" hidden="1" xr:uid="{00000000-0005-0000-0000-0000BF1B0000}"/>
    <cellStyle name="Followed Hyperlink 2" xfId="21462" hidden="1" xr:uid="{00000000-0005-0000-0000-0000C01B0000}"/>
    <cellStyle name="Followed Hyperlink 2" xfId="21465" hidden="1" xr:uid="{00000000-0005-0000-0000-0000C11B0000}"/>
    <cellStyle name="Followed Hyperlink 2" xfId="21468" hidden="1" xr:uid="{00000000-0005-0000-0000-0000C21B0000}"/>
    <cellStyle name="Followed Hyperlink 2" xfId="21472" hidden="1" xr:uid="{00000000-0005-0000-0000-0000C31B0000}"/>
    <cellStyle name="Followed Hyperlink 2" xfId="21480" hidden="1" xr:uid="{00000000-0005-0000-0000-0000C41B0000}"/>
    <cellStyle name="Followed Hyperlink 2" xfId="21477" hidden="1" xr:uid="{00000000-0005-0000-0000-0000C51B0000}"/>
    <cellStyle name="Followed Hyperlink 2" xfId="21475" hidden="1" xr:uid="{00000000-0005-0000-0000-0000C61B0000}"/>
    <cellStyle name="Followed Hyperlink 2" xfId="21476" hidden="1" xr:uid="{00000000-0005-0000-0000-0000C71B0000}"/>
    <cellStyle name="Followed Hyperlink 2" xfId="21486" hidden="1" xr:uid="{00000000-0005-0000-0000-0000C81B0000}"/>
    <cellStyle name="Followed Hyperlink 2" xfId="21489" hidden="1" xr:uid="{00000000-0005-0000-0000-0000C91B0000}"/>
    <cellStyle name="Followed Hyperlink 2" xfId="21492" hidden="1" xr:uid="{00000000-0005-0000-0000-0000CA1B0000}"/>
    <cellStyle name="Followed Hyperlink 2" xfId="21496" hidden="1" xr:uid="{00000000-0005-0000-0000-0000CB1B0000}"/>
    <cellStyle name="Followed Hyperlink 2" xfId="21505" hidden="1" xr:uid="{00000000-0005-0000-0000-0000CC1B0000}"/>
    <cellStyle name="Followed Hyperlink 2" xfId="21502" hidden="1" xr:uid="{00000000-0005-0000-0000-0000CD1B0000}"/>
    <cellStyle name="Followed Hyperlink 2" xfId="21500" hidden="1" xr:uid="{00000000-0005-0000-0000-0000CE1B0000}"/>
    <cellStyle name="Followed Hyperlink 2" xfId="21501" hidden="1" xr:uid="{00000000-0005-0000-0000-0000CF1B0000}"/>
    <cellStyle name="Followed Hyperlink 2" xfId="21511" hidden="1" xr:uid="{00000000-0005-0000-0000-0000D01B0000}"/>
    <cellStyle name="Followed Hyperlink 2" xfId="21514" hidden="1" xr:uid="{00000000-0005-0000-0000-0000D11B0000}"/>
    <cellStyle name="Followed Hyperlink 2" xfId="21517" hidden="1" xr:uid="{00000000-0005-0000-0000-0000D21B0000}"/>
    <cellStyle name="Followed Hyperlink 2" xfId="21521" hidden="1" xr:uid="{00000000-0005-0000-0000-0000D31B0000}"/>
    <cellStyle name="Followed Hyperlink 2" xfId="21529" hidden="1" xr:uid="{00000000-0005-0000-0000-0000D41B0000}"/>
    <cellStyle name="Followed Hyperlink 2" xfId="21526" hidden="1" xr:uid="{00000000-0005-0000-0000-0000D51B0000}"/>
    <cellStyle name="Followed Hyperlink 2" xfId="21524" hidden="1" xr:uid="{00000000-0005-0000-0000-0000D61B0000}"/>
    <cellStyle name="Followed Hyperlink 2" xfId="21525" hidden="1" xr:uid="{00000000-0005-0000-0000-0000D71B0000}"/>
    <cellStyle name="Followed Hyperlink 2" xfId="21535" hidden="1" xr:uid="{00000000-0005-0000-0000-0000D81B0000}"/>
    <cellStyle name="Followed Hyperlink 2" xfId="21538" hidden="1" xr:uid="{00000000-0005-0000-0000-0000D91B0000}"/>
    <cellStyle name="Followed Hyperlink 2" xfId="21541" hidden="1" xr:uid="{00000000-0005-0000-0000-0000DA1B0000}"/>
    <cellStyle name="Followed Hyperlink 2" xfId="21545" hidden="1" xr:uid="{00000000-0005-0000-0000-0000DB1B0000}"/>
    <cellStyle name="Followed Hyperlink 2" xfId="21276" hidden="1" xr:uid="{00000000-0005-0000-0000-0000DC1B0000}"/>
    <cellStyle name="Followed Hyperlink 2" xfId="21272" hidden="1" xr:uid="{00000000-0005-0000-0000-0000DD1B0000}"/>
    <cellStyle name="Followed Hyperlink 2" xfId="21273" hidden="1" xr:uid="{00000000-0005-0000-0000-0000DE1B0000}"/>
    <cellStyle name="Followed Hyperlink 2" xfId="21260" hidden="1" xr:uid="{00000000-0005-0000-0000-0000DF1B0000}"/>
    <cellStyle name="Followed Hyperlink 2" xfId="21548" hidden="1" xr:uid="{00000000-0005-0000-0000-0000E01B0000}"/>
    <cellStyle name="Followed Hyperlink 2" xfId="21551" hidden="1" xr:uid="{00000000-0005-0000-0000-0000E11B0000}"/>
    <cellStyle name="Followed Hyperlink 2" xfId="21554" hidden="1" xr:uid="{00000000-0005-0000-0000-0000E21B0000}"/>
    <cellStyle name="Followed Hyperlink 2" xfId="21558" hidden="1" xr:uid="{00000000-0005-0000-0000-0000E31B0000}"/>
    <cellStyle name="Followed Hyperlink 2" xfId="21566" hidden="1" xr:uid="{00000000-0005-0000-0000-0000E41B0000}"/>
    <cellStyle name="Followed Hyperlink 2" xfId="21563" hidden="1" xr:uid="{00000000-0005-0000-0000-0000E51B0000}"/>
    <cellStyle name="Followed Hyperlink 2" xfId="21561" hidden="1" xr:uid="{00000000-0005-0000-0000-0000E61B0000}"/>
    <cellStyle name="Followed Hyperlink 2" xfId="21562" hidden="1" xr:uid="{00000000-0005-0000-0000-0000E71B0000}"/>
    <cellStyle name="Followed Hyperlink 2" xfId="21572" hidden="1" xr:uid="{00000000-0005-0000-0000-0000E81B0000}"/>
    <cellStyle name="Followed Hyperlink 2" xfId="21575" hidden="1" xr:uid="{00000000-0005-0000-0000-0000E91B0000}"/>
    <cellStyle name="Followed Hyperlink 2" xfId="21578" hidden="1" xr:uid="{00000000-0005-0000-0000-0000EA1B0000}"/>
    <cellStyle name="Followed Hyperlink 2" xfId="21582" hidden="1" xr:uid="{00000000-0005-0000-0000-0000EB1B0000}"/>
    <cellStyle name="Followed Hyperlink 2" xfId="21590" hidden="1" xr:uid="{00000000-0005-0000-0000-0000EC1B0000}"/>
    <cellStyle name="Followed Hyperlink 2" xfId="21587" hidden="1" xr:uid="{00000000-0005-0000-0000-0000ED1B0000}"/>
    <cellStyle name="Followed Hyperlink 2" xfId="21585" hidden="1" xr:uid="{00000000-0005-0000-0000-0000EE1B0000}"/>
    <cellStyle name="Followed Hyperlink 2" xfId="21586" hidden="1" xr:uid="{00000000-0005-0000-0000-0000EF1B0000}"/>
    <cellStyle name="Followed Hyperlink 2" xfId="21596" hidden="1" xr:uid="{00000000-0005-0000-0000-0000F01B0000}"/>
    <cellStyle name="Followed Hyperlink 2" xfId="21599" hidden="1" xr:uid="{00000000-0005-0000-0000-0000F11B0000}"/>
    <cellStyle name="Followed Hyperlink 2" xfId="21602" hidden="1" xr:uid="{00000000-0005-0000-0000-0000F21B0000}"/>
    <cellStyle name="Followed Hyperlink 2" xfId="21606" hidden="1" xr:uid="{00000000-0005-0000-0000-0000F31B0000}"/>
    <cellStyle name="Followed Hyperlink 2" xfId="21614" hidden="1" xr:uid="{00000000-0005-0000-0000-0000F41B0000}"/>
    <cellStyle name="Followed Hyperlink 2" xfId="21611" hidden="1" xr:uid="{00000000-0005-0000-0000-0000F51B0000}"/>
    <cellStyle name="Followed Hyperlink 2" xfId="21609" hidden="1" xr:uid="{00000000-0005-0000-0000-0000F61B0000}"/>
    <cellStyle name="Followed Hyperlink 2" xfId="21610" hidden="1" xr:uid="{00000000-0005-0000-0000-0000F71B0000}"/>
    <cellStyle name="Followed Hyperlink 2" xfId="21620" hidden="1" xr:uid="{00000000-0005-0000-0000-0000F81B0000}"/>
    <cellStyle name="Followed Hyperlink 2" xfId="21623" hidden="1" xr:uid="{00000000-0005-0000-0000-0000F91B0000}"/>
    <cellStyle name="Followed Hyperlink 2" xfId="21626" hidden="1" xr:uid="{00000000-0005-0000-0000-0000FA1B0000}"/>
    <cellStyle name="Followed Hyperlink 2" xfId="21630" hidden="1" xr:uid="{00000000-0005-0000-0000-0000FB1B0000}"/>
    <cellStyle name="Followed Hyperlink 2" xfId="21123" hidden="1" xr:uid="{00000000-0005-0000-0000-0000FC1B0000}"/>
    <cellStyle name="Followed Hyperlink 2" xfId="21127" hidden="1" xr:uid="{00000000-0005-0000-0000-0000FD1B0000}"/>
    <cellStyle name="Followed Hyperlink 2" xfId="21122" hidden="1" xr:uid="{00000000-0005-0000-0000-0000FE1B0000}"/>
    <cellStyle name="Followed Hyperlink 2" xfId="21128" hidden="1" xr:uid="{00000000-0005-0000-0000-0000FF1B0000}"/>
    <cellStyle name="Followed Hyperlink 2" xfId="21633" hidden="1" xr:uid="{00000000-0005-0000-0000-0000001C0000}"/>
    <cellStyle name="Followed Hyperlink 2" xfId="21636" hidden="1" xr:uid="{00000000-0005-0000-0000-0000011C0000}"/>
    <cellStyle name="Followed Hyperlink 2" xfId="21639" hidden="1" xr:uid="{00000000-0005-0000-0000-0000021C0000}"/>
    <cellStyle name="Followed Hyperlink 2" xfId="21643" hidden="1" xr:uid="{00000000-0005-0000-0000-0000031C0000}"/>
    <cellStyle name="Followed Hyperlink 2" xfId="21651" hidden="1" xr:uid="{00000000-0005-0000-0000-0000041C0000}"/>
    <cellStyle name="Followed Hyperlink 2" xfId="21648" hidden="1" xr:uid="{00000000-0005-0000-0000-0000051C0000}"/>
    <cellStyle name="Followed Hyperlink 2" xfId="21646" hidden="1" xr:uid="{00000000-0005-0000-0000-0000061C0000}"/>
    <cellStyle name="Followed Hyperlink 2" xfId="21647" hidden="1" xr:uid="{00000000-0005-0000-0000-0000071C0000}"/>
    <cellStyle name="Followed Hyperlink 2" xfId="21657" hidden="1" xr:uid="{00000000-0005-0000-0000-0000081C0000}"/>
    <cellStyle name="Followed Hyperlink 2" xfId="21660" hidden="1" xr:uid="{00000000-0005-0000-0000-0000091C0000}"/>
    <cellStyle name="Followed Hyperlink 2" xfId="21663" hidden="1" xr:uid="{00000000-0005-0000-0000-00000A1C0000}"/>
    <cellStyle name="Followed Hyperlink 2" xfId="21667" hidden="1" xr:uid="{00000000-0005-0000-0000-00000B1C0000}"/>
    <cellStyle name="Followed Hyperlink 2" xfId="21676" hidden="1" xr:uid="{00000000-0005-0000-0000-00000C1C0000}"/>
    <cellStyle name="Followed Hyperlink 2" xfId="21673" hidden="1" xr:uid="{00000000-0005-0000-0000-00000D1C0000}"/>
    <cellStyle name="Followed Hyperlink 2" xfId="21671" hidden="1" xr:uid="{00000000-0005-0000-0000-00000E1C0000}"/>
    <cellStyle name="Followed Hyperlink 2" xfId="21672" hidden="1" xr:uid="{00000000-0005-0000-0000-00000F1C0000}"/>
    <cellStyle name="Followed Hyperlink 2" xfId="21682" hidden="1" xr:uid="{00000000-0005-0000-0000-0000101C0000}"/>
    <cellStyle name="Followed Hyperlink 2" xfId="21685" hidden="1" xr:uid="{00000000-0005-0000-0000-0000111C0000}"/>
    <cellStyle name="Followed Hyperlink 2" xfId="21688" hidden="1" xr:uid="{00000000-0005-0000-0000-0000121C0000}"/>
    <cellStyle name="Followed Hyperlink 2" xfId="21692" hidden="1" xr:uid="{00000000-0005-0000-0000-0000131C0000}"/>
    <cellStyle name="Followed Hyperlink 2" xfId="21700" hidden="1" xr:uid="{00000000-0005-0000-0000-0000141C0000}"/>
    <cellStyle name="Followed Hyperlink 2" xfId="21697" hidden="1" xr:uid="{00000000-0005-0000-0000-0000151C0000}"/>
    <cellStyle name="Followed Hyperlink 2" xfId="21695" hidden="1" xr:uid="{00000000-0005-0000-0000-0000161C0000}"/>
    <cellStyle name="Followed Hyperlink 2" xfId="21696" hidden="1" xr:uid="{00000000-0005-0000-0000-0000171C0000}"/>
    <cellStyle name="Followed Hyperlink 2" xfId="21706" hidden="1" xr:uid="{00000000-0005-0000-0000-0000181C0000}"/>
    <cellStyle name="Followed Hyperlink 2" xfId="21709" hidden="1" xr:uid="{00000000-0005-0000-0000-0000191C0000}"/>
    <cellStyle name="Followed Hyperlink 2" xfId="21712" hidden="1" xr:uid="{00000000-0005-0000-0000-00001A1C0000}"/>
    <cellStyle name="Followed Hyperlink 2" xfId="21716" hidden="1" xr:uid="{00000000-0005-0000-0000-00001B1C0000}"/>
    <cellStyle name="Followed Hyperlink 2" xfId="21753" hidden="1" xr:uid="{00000000-0005-0000-0000-00001C1C0000}"/>
    <cellStyle name="Followed Hyperlink 2" xfId="21750" hidden="1" xr:uid="{00000000-0005-0000-0000-00001D1C0000}"/>
    <cellStyle name="Followed Hyperlink 2" xfId="21748" hidden="1" xr:uid="{00000000-0005-0000-0000-00001E1C0000}"/>
    <cellStyle name="Followed Hyperlink 2" xfId="21749" hidden="1" xr:uid="{00000000-0005-0000-0000-00001F1C0000}"/>
    <cellStyle name="Followed Hyperlink 2" xfId="21759" hidden="1" xr:uid="{00000000-0005-0000-0000-0000201C0000}"/>
    <cellStyle name="Followed Hyperlink 2" xfId="21762" hidden="1" xr:uid="{00000000-0005-0000-0000-0000211C0000}"/>
    <cellStyle name="Followed Hyperlink 2" xfId="21765" hidden="1" xr:uid="{00000000-0005-0000-0000-0000221C0000}"/>
    <cellStyle name="Followed Hyperlink 2" xfId="21769" hidden="1" xr:uid="{00000000-0005-0000-0000-0000231C0000}"/>
    <cellStyle name="Followed Hyperlink 2" xfId="21777" hidden="1" xr:uid="{00000000-0005-0000-0000-0000241C0000}"/>
    <cellStyle name="Followed Hyperlink 2" xfId="21774" hidden="1" xr:uid="{00000000-0005-0000-0000-0000251C0000}"/>
    <cellStyle name="Followed Hyperlink 2" xfId="21772" hidden="1" xr:uid="{00000000-0005-0000-0000-0000261C0000}"/>
    <cellStyle name="Followed Hyperlink 2" xfId="21773" hidden="1" xr:uid="{00000000-0005-0000-0000-0000271C0000}"/>
    <cellStyle name="Followed Hyperlink 2" xfId="21783" hidden="1" xr:uid="{00000000-0005-0000-0000-0000281C0000}"/>
    <cellStyle name="Followed Hyperlink 2" xfId="21786" hidden="1" xr:uid="{00000000-0005-0000-0000-0000291C0000}"/>
    <cellStyle name="Followed Hyperlink 2" xfId="21789" hidden="1" xr:uid="{00000000-0005-0000-0000-00002A1C0000}"/>
    <cellStyle name="Followed Hyperlink 2" xfId="21793" hidden="1" xr:uid="{00000000-0005-0000-0000-00002B1C0000}"/>
    <cellStyle name="Followed Hyperlink 2" xfId="21803" hidden="1" xr:uid="{00000000-0005-0000-0000-00002C1C0000}"/>
    <cellStyle name="Followed Hyperlink 2" xfId="21800" hidden="1" xr:uid="{00000000-0005-0000-0000-00002D1C0000}"/>
    <cellStyle name="Followed Hyperlink 2" xfId="21798" hidden="1" xr:uid="{00000000-0005-0000-0000-00002E1C0000}"/>
    <cellStyle name="Followed Hyperlink 2" xfId="21799" hidden="1" xr:uid="{00000000-0005-0000-0000-00002F1C0000}"/>
    <cellStyle name="Followed Hyperlink 2" xfId="21809" hidden="1" xr:uid="{00000000-0005-0000-0000-0000301C0000}"/>
    <cellStyle name="Followed Hyperlink 2" xfId="21812" hidden="1" xr:uid="{00000000-0005-0000-0000-0000311C0000}"/>
    <cellStyle name="Followed Hyperlink 2" xfId="21815" hidden="1" xr:uid="{00000000-0005-0000-0000-0000321C0000}"/>
    <cellStyle name="Followed Hyperlink 2" xfId="21819" hidden="1" xr:uid="{00000000-0005-0000-0000-0000331C0000}"/>
    <cellStyle name="Followed Hyperlink 2" xfId="21827" hidden="1" xr:uid="{00000000-0005-0000-0000-0000341C0000}"/>
    <cellStyle name="Followed Hyperlink 2" xfId="21824" hidden="1" xr:uid="{00000000-0005-0000-0000-0000351C0000}"/>
    <cellStyle name="Followed Hyperlink 2" xfId="21822" hidden="1" xr:uid="{00000000-0005-0000-0000-0000361C0000}"/>
    <cellStyle name="Followed Hyperlink 2" xfId="21823" hidden="1" xr:uid="{00000000-0005-0000-0000-0000371C0000}"/>
    <cellStyle name="Followed Hyperlink 2" xfId="21833" hidden="1" xr:uid="{00000000-0005-0000-0000-0000381C0000}"/>
    <cellStyle name="Followed Hyperlink 2" xfId="21836" hidden="1" xr:uid="{00000000-0005-0000-0000-0000391C0000}"/>
    <cellStyle name="Followed Hyperlink 2" xfId="21839" hidden="1" xr:uid="{00000000-0005-0000-0000-00003A1C0000}"/>
    <cellStyle name="Followed Hyperlink 2" xfId="21843" hidden="1" xr:uid="{00000000-0005-0000-0000-00003B1C0000}"/>
    <cellStyle name="Followed Hyperlink 2" xfId="21720" hidden="1" xr:uid="{00000000-0005-0000-0000-00003C1C0000}"/>
    <cellStyle name="Followed Hyperlink 2" xfId="21724" hidden="1" xr:uid="{00000000-0005-0000-0000-00003D1C0000}"/>
    <cellStyle name="Followed Hyperlink 2" xfId="21719" hidden="1" xr:uid="{00000000-0005-0000-0000-00003E1C0000}"/>
    <cellStyle name="Followed Hyperlink 2" xfId="21725" hidden="1" xr:uid="{00000000-0005-0000-0000-00003F1C0000}"/>
    <cellStyle name="Followed Hyperlink 2" xfId="21846" hidden="1" xr:uid="{00000000-0005-0000-0000-0000401C0000}"/>
    <cellStyle name="Followed Hyperlink 2" xfId="21849" hidden="1" xr:uid="{00000000-0005-0000-0000-0000411C0000}"/>
    <cellStyle name="Followed Hyperlink 2" xfId="21852" hidden="1" xr:uid="{00000000-0005-0000-0000-0000421C0000}"/>
    <cellStyle name="Followed Hyperlink 2" xfId="21856" hidden="1" xr:uid="{00000000-0005-0000-0000-0000431C0000}"/>
    <cellStyle name="Followed Hyperlink 2" xfId="21864" hidden="1" xr:uid="{00000000-0005-0000-0000-0000441C0000}"/>
    <cellStyle name="Followed Hyperlink 2" xfId="21861" hidden="1" xr:uid="{00000000-0005-0000-0000-0000451C0000}"/>
    <cellStyle name="Followed Hyperlink 2" xfId="21859" hidden="1" xr:uid="{00000000-0005-0000-0000-0000461C0000}"/>
    <cellStyle name="Followed Hyperlink 2" xfId="21860" hidden="1" xr:uid="{00000000-0005-0000-0000-0000471C0000}"/>
    <cellStyle name="Followed Hyperlink 2" xfId="21870" hidden="1" xr:uid="{00000000-0005-0000-0000-0000481C0000}"/>
    <cellStyle name="Followed Hyperlink 2" xfId="21873" hidden="1" xr:uid="{00000000-0005-0000-0000-0000491C0000}"/>
    <cellStyle name="Followed Hyperlink 2" xfId="21876" hidden="1" xr:uid="{00000000-0005-0000-0000-00004A1C0000}"/>
    <cellStyle name="Followed Hyperlink 2" xfId="21880" hidden="1" xr:uid="{00000000-0005-0000-0000-00004B1C0000}"/>
    <cellStyle name="Followed Hyperlink 2" xfId="21889" hidden="1" xr:uid="{00000000-0005-0000-0000-00004C1C0000}"/>
    <cellStyle name="Followed Hyperlink 2" xfId="21886" hidden="1" xr:uid="{00000000-0005-0000-0000-00004D1C0000}"/>
    <cellStyle name="Followed Hyperlink 2" xfId="21884" hidden="1" xr:uid="{00000000-0005-0000-0000-00004E1C0000}"/>
    <cellStyle name="Followed Hyperlink 2" xfId="21885" hidden="1" xr:uid="{00000000-0005-0000-0000-00004F1C0000}"/>
    <cellStyle name="Followed Hyperlink 2" xfId="21895" hidden="1" xr:uid="{00000000-0005-0000-0000-0000501C0000}"/>
    <cellStyle name="Followed Hyperlink 2" xfId="21898" hidden="1" xr:uid="{00000000-0005-0000-0000-0000511C0000}"/>
    <cellStyle name="Followed Hyperlink 2" xfId="21901" hidden="1" xr:uid="{00000000-0005-0000-0000-0000521C0000}"/>
    <cellStyle name="Followed Hyperlink 2" xfId="21905" hidden="1" xr:uid="{00000000-0005-0000-0000-0000531C0000}"/>
    <cellStyle name="Followed Hyperlink 2" xfId="21913" hidden="1" xr:uid="{00000000-0005-0000-0000-0000541C0000}"/>
    <cellStyle name="Followed Hyperlink 2" xfId="21910" hidden="1" xr:uid="{00000000-0005-0000-0000-0000551C0000}"/>
    <cellStyle name="Followed Hyperlink 2" xfId="21908" hidden="1" xr:uid="{00000000-0005-0000-0000-0000561C0000}"/>
    <cellStyle name="Followed Hyperlink 2" xfId="21909" hidden="1" xr:uid="{00000000-0005-0000-0000-0000571C0000}"/>
    <cellStyle name="Followed Hyperlink 2" xfId="21919" hidden="1" xr:uid="{00000000-0005-0000-0000-0000581C0000}"/>
    <cellStyle name="Followed Hyperlink 2" xfId="21922" hidden="1" xr:uid="{00000000-0005-0000-0000-0000591C0000}"/>
    <cellStyle name="Followed Hyperlink 2" xfId="21925" hidden="1" xr:uid="{00000000-0005-0000-0000-00005A1C0000}"/>
    <cellStyle name="Followed Hyperlink 2" xfId="21929" hidden="1" xr:uid="{00000000-0005-0000-0000-00005B1C0000}"/>
    <cellStyle name="Followed Hyperlink 2" xfId="21738" hidden="1" xr:uid="{00000000-0005-0000-0000-00005C1C0000}"/>
    <cellStyle name="Followed Hyperlink 2" xfId="21735" hidden="1" xr:uid="{00000000-0005-0000-0000-00005D1C0000}"/>
    <cellStyle name="Followed Hyperlink 2" xfId="21729" hidden="1" xr:uid="{00000000-0005-0000-0000-00005E1C0000}"/>
    <cellStyle name="Followed Hyperlink 2" xfId="21734" hidden="1" xr:uid="{00000000-0005-0000-0000-00005F1C0000}"/>
    <cellStyle name="Followed Hyperlink 2" xfId="21932" hidden="1" xr:uid="{00000000-0005-0000-0000-0000601C0000}"/>
    <cellStyle name="Followed Hyperlink 2" xfId="21935" hidden="1" xr:uid="{00000000-0005-0000-0000-0000611C0000}"/>
    <cellStyle name="Followed Hyperlink 2" xfId="21938" hidden="1" xr:uid="{00000000-0005-0000-0000-0000621C0000}"/>
    <cellStyle name="Followed Hyperlink 2" xfId="21942" hidden="1" xr:uid="{00000000-0005-0000-0000-0000631C0000}"/>
    <cellStyle name="Followed Hyperlink 2" xfId="21950" hidden="1" xr:uid="{00000000-0005-0000-0000-0000641C0000}"/>
    <cellStyle name="Followed Hyperlink 2" xfId="21947" hidden="1" xr:uid="{00000000-0005-0000-0000-0000651C0000}"/>
    <cellStyle name="Followed Hyperlink 2" xfId="21945" hidden="1" xr:uid="{00000000-0005-0000-0000-0000661C0000}"/>
    <cellStyle name="Followed Hyperlink 2" xfId="21946" hidden="1" xr:uid="{00000000-0005-0000-0000-0000671C0000}"/>
    <cellStyle name="Followed Hyperlink 2" xfId="21956" hidden="1" xr:uid="{00000000-0005-0000-0000-0000681C0000}"/>
    <cellStyle name="Followed Hyperlink 2" xfId="21959" hidden="1" xr:uid="{00000000-0005-0000-0000-0000691C0000}"/>
    <cellStyle name="Followed Hyperlink 2" xfId="21962" hidden="1" xr:uid="{00000000-0005-0000-0000-00006A1C0000}"/>
    <cellStyle name="Followed Hyperlink 2" xfId="21966" hidden="1" xr:uid="{00000000-0005-0000-0000-00006B1C0000}"/>
    <cellStyle name="Followed Hyperlink 2" xfId="21975" hidden="1" xr:uid="{00000000-0005-0000-0000-00006C1C0000}"/>
    <cellStyle name="Followed Hyperlink 2" xfId="21972" hidden="1" xr:uid="{00000000-0005-0000-0000-00006D1C0000}"/>
    <cellStyle name="Followed Hyperlink 2" xfId="21970" hidden="1" xr:uid="{00000000-0005-0000-0000-00006E1C0000}"/>
    <cellStyle name="Followed Hyperlink 2" xfId="21971" hidden="1" xr:uid="{00000000-0005-0000-0000-00006F1C0000}"/>
    <cellStyle name="Followed Hyperlink 2" xfId="21981" hidden="1" xr:uid="{00000000-0005-0000-0000-0000701C0000}"/>
    <cellStyle name="Followed Hyperlink 2" xfId="21984" hidden="1" xr:uid="{00000000-0005-0000-0000-0000711C0000}"/>
    <cellStyle name="Followed Hyperlink 2" xfId="21987" hidden="1" xr:uid="{00000000-0005-0000-0000-0000721C0000}"/>
    <cellStyle name="Followed Hyperlink 2" xfId="21991" hidden="1" xr:uid="{00000000-0005-0000-0000-0000731C0000}"/>
    <cellStyle name="Followed Hyperlink 2" xfId="21999" hidden="1" xr:uid="{00000000-0005-0000-0000-0000741C0000}"/>
    <cellStyle name="Followed Hyperlink 2" xfId="21996" hidden="1" xr:uid="{00000000-0005-0000-0000-0000751C0000}"/>
    <cellStyle name="Followed Hyperlink 2" xfId="21994" hidden="1" xr:uid="{00000000-0005-0000-0000-0000761C0000}"/>
    <cellStyle name="Followed Hyperlink 2" xfId="21995" hidden="1" xr:uid="{00000000-0005-0000-0000-0000771C0000}"/>
    <cellStyle name="Followed Hyperlink 2" xfId="22005" hidden="1" xr:uid="{00000000-0005-0000-0000-0000781C0000}"/>
    <cellStyle name="Followed Hyperlink 2" xfId="22008" hidden="1" xr:uid="{00000000-0005-0000-0000-0000791C0000}"/>
    <cellStyle name="Followed Hyperlink 2" xfId="22011" hidden="1" xr:uid="{00000000-0005-0000-0000-00007A1C0000}"/>
    <cellStyle name="Followed Hyperlink 2" xfId="22015" hidden="1" xr:uid="{00000000-0005-0000-0000-00007B1C0000}"/>
    <cellStyle name="Followed Hyperlink 2" xfId="21746" hidden="1" xr:uid="{00000000-0005-0000-0000-00007C1C0000}"/>
    <cellStyle name="Followed Hyperlink 2" xfId="21742" hidden="1" xr:uid="{00000000-0005-0000-0000-00007D1C0000}"/>
    <cellStyle name="Followed Hyperlink 2" xfId="21743" hidden="1" xr:uid="{00000000-0005-0000-0000-00007E1C0000}"/>
    <cellStyle name="Followed Hyperlink 2" xfId="21730" hidden="1" xr:uid="{00000000-0005-0000-0000-00007F1C0000}"/>
    <cellStyle name="Followed Hyperlink 2" xfId="22018" hidden="1" xr:uid="{00000000-0005-0000-0000-0000801C0000}"/>
    <cellStyle name="Followed Hyperlink 2" xfId="22021" hidden="1" xr:uid="{00000000-0005-0000-0000-0000811C0000}"/>
    <cellStyle name="Followed Hyperlink 2" xfId="22024" hidden="1" xr:uid="{00000000-0005-0000-0000-0000821C0000}"/>
    <cellStyle name="Followed Hyperlink 2" xfId="22028" hidden="1" xr:uid="{00000000-0005-0000-0000-0000831C0000}"/>
    <cellStyle name="Followed Hyperlink 2" xfId="22036" hidden="1" xr:uid="{00000000-0005-0000-0000-0000841C0000}"/>
    <cellStyle name="Followed Hyperlink 2" xfId="22033" hidden="1" xr:uid="{00000000-0005-0000-0000-0000851C0000}"/>
    <cellStyle name="Followed Hyperlink 2" xfId="22031" hidden="1" xr:uid="{00000000-0005-0000-0000-0000861C0000}"/>
    <cellStyle name="Followed Hyperlink 2" xfId="22032" hidden="1" xr:uid="{00000000-0005-0000-0000-0000871C0000}"/>
    <cellStyle name="Followed Hyperlink 2" xfId="22042" hidden="1" xr:uid="{00000000-0005-0000-0000-0000881C0000}"/>
    <cellStyle name="Followed Hyperlink 2" xfId="22045" hidden="1" xr:uid="{00000000-0005-0000-0000-0000891C0000}"/>
    <cellStyle name="Followed Hyperlink 2" xfId="22048" hidden="1" xr:uid="{00000000-0005-0000-0000-00008A1C0000}"/>
    <cellStyle name="Followed Hyperlink 2" xfId="22052" hidden="1" xr:uid="{00000000-0005-0000-0000-00008B1C0000}"/>
    <cellStyle name="Followed Hyperlink 2" xfId="22060" hidden="1" xr:uid="{00000000-0005-0000-0000-00008C1C0000}"/>
    <cellStyle name="Followed Hyperlink 2" xfId="22057" hidden="1" xr:uid="{00000000-0005-0000-0000-00008D1C0000}"/>
    <cellStyle name="Followed Hyperlink 2" xfId="22055" hidden="1" xr:uid="{00000000-0005-0000-0000-00008E1C0000}"/>
    <cellStyle name="Followed Hyperlink 2" xfId="22056" hidden="1" xr:uid="{00000000-0005-0000-0000-00008F1C0000}"/>
    <cellStyle name="Followed Hyperlink 2" xfId="22066" hidden="1" xr:uid="{00000000-0005-0000-0000-0000901C0000}"/>
    <cellStyle name="Followed Hyperlink 2" xfId="22069" hidden="1" xr:uid="{00000000-0005-0000-0000-0000911C0000}"/>
    <cellStyle name="Followed Hyperlink 2" xfId="22072" hidden="1" xr:uid="{00000000-0005-0000-0000-0000921C0000}"/>
    <cellStyle name="Followed Hyperlink 2" xfId="22076" hidden="1" xr:uid="{00000000-0005-0000-0000-0000931C0000}"/>
    <cellStyle name="Followed Hyperlink 2" xfId="22084" hidden="1" xr:uid="{00000000-0005-0000-0000-0000941C0000}"/>
    <cellStyle name="Followed Hyperlink 2" xfId="22081" hidden="1" xr:uid="{00000000-0005-0000-0000-0000951C0000}"/>
    <cellStyle name="Followed Hyperlink 2" xfId="22079" hidden="1" xr:uid="{00000000-0005-0000-0000-0000961C0000}"/>
    <cellStyle name="Followed Hyperlink 2" xfId="22080" hidden="1" xr:uid="{00000000-0005-0000-0000-0000971C0000}"/>
    <cellStyle name="Followed Hyperlink 2" xfId="22090" hidden="1" xr:uid="{00000000-0005-0000-0000-0000981C0000}"/>
    <cellStyle name="Followed Hyperlink 2" xfId="22093" hidden="1" xr:uid="{00000000-0005-0000-0000-0000991C0000}"/>
    <cellStyle name="Followed Hyperlink 2" xfId="22096" hidden="1" xr:uid="{00000000-0005-0000-0000-00009A1C0000}"/>
    <cellStyle name="Followed Hyperlink 2" xfId="22100" hidden="1" xr:uid="{00000000-0005-0000-0000-00009B1C0000}"/>
    <cellStyle name="Followed Hyperlink 2" xfId="21141" hidden="1" xr:uid="{00000000-0005-0000-0000-00009C1C0000}"/>
    <cellStyle name="Followed Hyperlink 2" xfId="21138" hidden="1" xr:uid="{00000000-0005-0000-0000-00009D1C0000}"/>
    <cellStyle name="Followed Hyperlink 2" xfId="21132" hidden="1" xr:uid="{00000000-0005-0000-0000-00009E1C0000}"/>
    <cellStyle name="Followed Hyperlink 2" xfId="21137" hidden="1" xr:uid="{00000000-0005-0000-0000-00009F1C0000}"/>
    <cellStyle name="Followed Hyperlink 2" xfId="22103" hidden="1" xr:uid="{00000000-0005-0000-0000-0000A01C0000}"/>
    <cellStyle name="Followed Hyperlink 2" xfId="22106" hidden="1" xr:uid="{00000000-0005-0000-0000-0000A11C0000}"/>
    <cellStyle name="Followed Hyperlink 2" xfId="22109" hidden="1" xr:uid="{00000000-0005-0000-0000-0000A21C0000}"/>
    <cellStyle name="Followed Hyperlink 2" xfId="22113" hidden="1" xr:uid="{00000000-0005-0000-0000-0000A31C0000}"/>
    <cellStyle name="Followed Hyperlink 2" xfId="22121" hidden="1" xr:uid="{00000000-0005-0000-0000-0000A41C0000}"/>
    <cellStyle name="Followed Hyperlink 2" xfId="22118" hidden="1" xr:uid="{00000000-0005-0000-0000-0000A51C0000}"/>
    <cellStyle name="Followed Hyperlink 2" xfId="22116" hidden="1" xr:uid="{00000000-0005-0000-0000-0000A61C0000}"/>
    <cellStyle name="Followed Hyperlink 2" xfId="22117" hidden="1" xr:uid="{00000000-0005-0000-0000-0000A71C0000}"/>
    <cellStyle name="Followed Hyperlink 2" xfId="22127" hidden="1" xr:uid="{00000000-0005-0000-0000-0000A81C0000}"/>
    <cellStyle name="Followed Hyperlink 2" xfId="22130" hidden="1" xr:uid="{00000000-0005-0000-0000-0000A91C0000}"/>
    <cellStyle name="Followed Hyperlink 2" xfId="22133" hidden="1" xr:uid="{00000000-0005-0000-0000-0000AA1C0000}"/>
    <cellStyle name="Followed Hyperlink 2" xfId="22137" hidden="1" xr:uid="{00000000-0005-0000-0000-0000AB1C0000}"/>
    <cellStyle name="Followed Hyperlink 2" xfId="22146" hidden="1" xr:uid="{00000000-0005-0000-0000-0000AC1C0000}"/>
    <cellStyle name="Followed Hyperlink 2" xfId="22143" hidden="1" xr:uid="{00000000-0005-0000-0000-0000AD1C0000}"/>
    <cellStyle name="Followed Hyperlink 2" xfId="22141" hidden="1" xr:uid="{00000000-0005-0000-0000-0000AE1C0000}"/>
    <cellStyle name="Followed Hyperlink 2" xfId="22142" hidden="1" xr:uid="{00000000-0005-0000-0000-0000AF1C0000}"/>
    <cellStyle name="Followed Hyperlink 2" xfId="22152" hidden="1" xr:uid="{00000000-0005-0000-0000-0000B01C0000}"/>
    <cellStyle name="Followed Hyperlink 2" xfId="22155" hidden="1" xr:uid="{00000000-0005-0000-0000-0000B11C0000}"/>
    <cellStyle name="Followed Hyperlink 2" xfId="22158" hidden="1" xr:uid="{00000000-0005-0000-0000-0000B21C0000}"/>
    <cellStyle name="Followed Hyperlink 2" xfId="22162" hidden="1" xr:uid="{00000000-0005-0000-0000-0000B31C0000}"/>
    <cellStyle name="Followed Hyperlink 2" xfId="22170" hidden="1" xr:uid="{00000000-0005-0000-0000-0000B41C0000}"/>
    <cellStyle name="Followed Hyperlink 2" xfId="22167" hidden="1" xr:uid="{00000000-0005-0000-0000-0000B51C0000}"/>
    <cellStyle name="Followed Hyperlink 2" xfId="22165" hidden="1" xr:uid="{00000000-0005-0000-0000-0000B61C0000}"/>
    <cellStyle name="Followed Hyperlink 2" xfId="22166" hidden="1" xr:uid="{00000000-0005-0000-0000-0000B71C0000}"/>
    <cellStyle name="Followed Hyperlink 2" xfId="22176" hidden="1" xr:uid="{00000000-0005-0000-0000-0000B81C0000}"/>
    <cellStyle name="Followed Hyperlink 2" xfId="22179" hidden="1" xr:uid="{00000000-0005-0000-0000-0000B91C0000}"/>
    <cellStyle name="Followed Hyperlink 2" xfId="22182" hidden="1" xr:uid="{00000000-0005-0000-0000-0000BA1C0000}"/>
    <cellStyle name="Followed Hyperlink 2" xfId="22186" hidden="1" xr:uid="{00000000-0005-0000-0000-0000BB1C0000}"/>
    <cellStyle name="Followed Hyperlink 2" xfId="22223" hidden="1" xr:uid="{00000000-0005-0000-0000-0000BC1C0000}"/>
    <cellStyle name="Followed Hyperlink 2" xfId="22220" hidden="1" xr:uid="{00000000-0005-0000-0000-0000BD1C0000}"/>
    <cellStyle name="Followed Hyperlink 2" xfId="22218" hidden="1" xr:uid="{00000000-0005-0000-0000-0000BE1C0000}"/>
    <cellStyle name="Followed Hyperlink 2" xfId="22219" hidden="1" xr:uid="{00000000-0005-0000-0000-0000BF1C0000}"/>
    <cellStyle name="Followed Hyperlink 2" xfId="22229" hidden="1" xr:uid="{00000000-0005-0000-0000-0000C01C0000}"/>
    <cellStyle name="Followed Hyperlink 2" xfId="22232" hidden="1" xr:uid="{00000000-0005-0000-0000-0000C11C0000}"/>
    <cellStyle name="Followed Hyperlink 2" xfId="22235" hidden="1" xr:uid="{00000000-0005-0000-0000-0000C21C0000}"/>
    <cellStyle name="Followed Hyperlink 2" xfId="22239" hidden="1" xr:uid="{00000000-0005-0000-0000-0000C31C0000}"/>
    <cellStyle name="Followed Hyperlink 2" xfId="22247" hidden="1" xr:uid="{00000000-0005-0000-0000-0000C41C0000}"/>
    <cellStyle name="Followed Hyperlink 2" xfId="22244" hidden="1" xr:uid="{00000000-0005-0000-0000-0000C51C0000}"/>
    <cellStyle name="Followed Hyperlink 2" xfId="22242" hidden="1" xr:uid="{00000000-0005-0000-0000-0000C61C0000}"/>
    <cellStyle name="Followed Hyperlink 2" xfId="22243" hidden="1" xr:uid="{00000000-0005-0000-0000-0000C71C0000}"/>
    <cellStyle name="Followed Hyperlink 2" xfId="22253" hidden="1" xr:uid="{00000000-0005-0000-0000-0000C81C0000}"/>
    <cellStyle name="Followed Hyperlink 2" xfId="22256" hidden="1" xr:uid="{00000000-0005-0000-0000-0000C91C0000}"/>
    <cellStyle name="Followed Hyperlink 2" xfId="22259" hidden="1" xr:uid="{00000000-0005-0000-0000-0000CA1C0000}"/>
    <cellStyle name="Followed Hyperlink 2" xfId="22263" hidden="1" xr:uid="{00000000-0005-0000-0000-0000CB1C0000}"/>
    <cellStyle name="Followed Hyperlink 2" xfId="22273" hidden="1" xr:uid="{00000000-0005-0000-0000-0000CC1C0000}"/>
    <cellStyle name="Followed Hyperlink 2" xfId="22270" hidden="1" xr:uid="{00000000-0005-0000-0000-0000CD1C0000}"/>
    <cellStyle name="Followed Hyperlink 2" xfId="22268" hidden="1" xr:uid="{00000000-0005-0000-0000-0000CE1C0000}"/>
    <cellStyle name="Followed Hyperlink 2" xfId="22269" hidden="1" xr:uid="{00000000-0005-0000-0000-0000CF1C0000}"/>
    <cellStyle name="Followed Hyperlink 2" xfId="22279" hidden="1" xr:uid="{00000000-0005-0000-0000-0000D01C0000}"/>
    <cellStyle name="Followed Hyperlink 2" xfId="22282" hidden="1" xr:uid="{00000000-0005-0000-0000-0000D11C0000}"/>
    <cellStyle name="Followed Hyperlink 2" xfId="22285" hidden="1" xr:uid="{00000000-0005-0000-0000-0000D21C0000}"/>
    <cellStyle name="Followed Hyperlink 2" xfId="22289" hidden="1" xr:uid="{00000000-0005-0000-0000-0000D31C0000}"/>
    <cellStyle name="Followed Hyperlink 2" xfId="22297" hidden="1" xr:uid="{00000000-0005-0000-0000-0000D41C0000}"/>
    <cellStyle name="Followed Hyperlink 2" xfId="22294" hidden="1" xr:uid="{00000000-0005-0000-0000-0000D51C0000}"/>
    <cellStyle name="Followed Hyperlink 2" xfId="22292" hidden="1" xr:uid="{00000000-0005-0000-0000-0000D61C0000}"/>
    <cellStyle name="Followed Hyperlink 2" xfId="22293" hidden="1" xr:uid="{00000000-0005-0000-0000-0000D71C0000}"/>
    <cellStyle name="Followed Hyperlink 2" xfId="22303" hidden="1" xr:uid="{00000000-0005-0000-0000-0000D81C0000}"/>
    <cellStyle name="Followed Hyperlink 2" xfId="22306" hidden="1" xr:uid="{00000000-0005-0000-0000-0000D91C0000}"/>
    <cellStyle name="Followed Hyperlink 2" xfId="22309" hidden="1" xr:uid="{00000000-0005-0000-0000-0000DA1C0000}"/>
    <cellStyle name="Followed Hyperlink 2" xfId="22313" hidden="1" xr:uid="{00000000-0005-0000-0000-0000DB1C0000}"/>
    <cellStyle name="Followed Hyperlink 2" xfId="22190" hidden="1" xr:uid="{00000000-0005-0000-0000-0000DC1C0000}"/>
    <cellStyle name="Followed Hyperlink 2" xfId="22194" hidden="1" xr:uid="{00000000-0005-0000-0000-0000DD1C0000}"/>
    <cellStyle name="Followed Hyperlink 2" xfId="22189" hidden="1" xr:uid="{00000000-0005-0000-0000-0000DE1C0000}"/>
    <cellStyle name="Followed Hyperlink 2" xfId="22195" hidden="1" xr:uid="{00000000-0005-0000-0000-0000DF1C0000}"/>
    <cellStyle name="Followed Hyperlink 2" xfId="22316" hidden="1" xr:uid="{00000000-0005-0000-0000-0000E01C0000}"/>
    <cellStyle name="Followed Hyperlink 2" xfId="22319" hidden="1" xr:uid="{00000000-0005-0000-0000-0000E11C0000}"/>
    <cellStyle name="Followed Hyperlink 2" xfId="22322" hidden="1" xr:uid="{00000000-0005-0000-0000-0000E21C0000}"/>
    <cellStyle name="Followed Hyperlink 2" xfId="22326" hidden="1" xr:uid="{00000000-0005-0000-0000-0000E31C0000}"/>
    <cellStyle name="Followed Hyperlink 2" xfId="22334" hidden="1" xr:uid="{00000000-0005-0000-0000-0000E41C0000}"/>
    <cellStyle name="Followed Hyperlink 2" xfId="22331" hidden="1" xr:uid="{00000000-0005-0000-0000-0000E51C0000}"/>
    <cellStyle name="Followed Hyperlink 2" xfId="22329" hidden="1" xr:uid="{00000000-0005-0000-0000-0000E61C0000}"/>
    <cellStyle name="Followed Hyperlink 2" xfId="22330" hidden="1" xr:uid="{00000000-0005-0000-0000-0000E71C0000}"/>
    <cellStyle name="Followed Hyperlink 2" xfId="22340" hidden="1" xr:uid="{00000000-0005-0000-0000-0000E81C0000}"/>
    <cellStyle name="Followed Hyperlink 2" xfId="22343" hidden="1" xr:uid="{00000000-0005-0000-0000-0000E91C0000}"/>
    <cellStyle name="Followed Hyperlink 2" xfId="22346" hidden="1" xr:uid="{00000000-0005-0000-0000-0000EA1C0000}"/>
    <cellStyle name="Followed Hyperlink 2" xfId="22350" hidden="1" xr:uid="{00000000-0005-0000-0000-0000EB1C0000}"/>
    <cellStyle name="Followed Hyperlink 2" xfId="22359" hidden="1" xr:uid="{00000000-0005-0000-0000-0000EC1C0000}"/>
    <cellStyle name="Followed Hyperlink 2" xfId="22356" hidden="1" xr:uid="{00000000-0005-0000-0000-0000ED1C0000}"/>
    <cellStyle name="Followed Hyperlink 2" xfId="22354" hidden="1" xr:uid="{00000000-0005-0000-0000-0000EE1C0000}"/>
    <cellStyle name="Followed Hyperlink 2" xfId="22355" hidden="1" xr:uid="{00000000-0005-0000-0000-0000EF1C0000}"/>
    <cellStyle name="Followed Hyperlink 2" xfId="22365" hidden="1" xr:uid="{00000000-0005-0000-0000-0000F01C0000}"/>
    <cellStyle name="Followed Hyperlink 2" xfId="22368" hidden="1" xr:uid="{00000000-0005-0000-0000-0000F11C0000}"/>
    <cellStyle name="Followed Hyperlink 2" xfId="22371" hidden="1" xr:uid="{00000000-0005-0000-0000-0000F21C0000}"/>
    <cellStyle name="Followed Hyperlink 2" xfId="22375" hidden="1" xr:uid="{00000000-0005-0000-0000-0000F31C0000}"/>
    <cellStyle name="Followed Hyperlink 2" xfId="22383" hidden="1" xr:uid="{00000000-0005-0000-0000-0000F41C0000}"/>
    <cellStyle name="Followed Hyperlink 2" xfId="22380" hidden="1" xr:uid="{00000000-0005-0000-0000-0000F51C0000}"/>
    <cellStyle name="Followed Hyperlink 2" xfId="22378" hidden="1" xr:uid="{00000000-0005-0000-0000-0000F61C0000}"/>
    <cellStyle name="Followed Hyperlink 2" xfId="22379" hidden="1" xr:uid="{00000000-0005-0000-0000-0000F71C0000}"/>
    <cellStyle name="Followed Hyperlink 2" xfId="22389" hidden="1" xr:uid="{00000000-0005-0000-0000-0000F81C0000}"/>
    <cellStyle name="Followed Hyperlink 2" xfId="22392" hidden="1" xr:uid="{00000000-0005-0000-0000-0000F91C0000}"/>
    <cellStyle name="Followed Hyperlink 2" xfId="22395" hidden="1" xr:uid="{00000000-0005-0000-0000-0000FA1C0000}"/>
    <cellStyle name="Followed Hyperlink 2" xfId="22399" hidden="1" xr:uid="{00000000-0005-0000-0000-0000FB1C0000}"/>
    <cellStyle name="Followed Hyperlink 2" xfId="22208" hidden="1" xr:uid="{00000000-0005-0000-0000-0000FC1C0000}"/>
    <cellStyle name="Followed Hyperlink 2" xfId="22205" hidden="1" xr:uid="{00000000-0005-0000-0000-0000FD1C0000}"/>
    <cellStyle name="Followed Hyperlink 2" xfId="22199" hidden="1" xr:uid="{00000000-0005-0000-0000-0000FE1C0000}"/>
    <cellStyle name="Followed Hyperlink 2" xfId="22204" hidden="1" xr:uid="{00000000-0005-0000-0000-0000FF1C0000}"/>
    <cellStyle name="Followed Hyperlink 2" xfId="22402" hidden="1" xr:uid="{00000000-0005-0000-0000-0000001D0000}"/>
    <cellStyle name="Followed Hyperlink 2" xfId="22405" hidden="1" xr:uid="{00000000-0005-0000-0000-0000011D0000}"/>
    <cellStyle name="Followed Hyperlink 2" xfId="22408" hidden="1" xr:uid="{00000000-0005-0000-0000-0000021D0000}"/>
    <cellStyle name="Followed Hyperlink 2" xfId="22412" hidden="1" xr:uid="{00000000-0005-0000-0000-0000031D0000}"/>
    <cellStyle name="Followed Hyperlink 2" xfId="22420" hidden="1" xr:uid="{00000000-0005-0000-0000-0000041D0000}"/>
    <cellStyle name="Followed Hyperlink 2" xfId="22417" hidden="1" xr:uid="{00000000-0005-0000-0000-0000051D0000}"/>
    <cellStyle name="Followed Hyperlink 2" xfId="22415" hidden="1" xr:uid="{00000000-0005-0000-0000-0000061D0000}"/>
    <cellStyle name="Followed Hyperlink 2" xfId="22416" hidden="1" xr:uid="{00000000-0005-0000-0000-0000071D0000}"/>
    <cellStyle name="Followed Hyperlink 2" xfId="22426" hidden="1" xr:uid="{00000000-0005-0000-0000-0000081D0000}"/>
    <cellStyle name="Followed Hyperlink 2" xfId="22429" hidden="1" xr:uid="{00000000-0005-0000-0000-0000091D0000}"/>
    <cellStyle name="Followed Hyperlink 2" xfId="22432" hidden="1" xr:uid="{00000000-0005-0000-0000-00000A1D0000}"/>
    <cellStyle name="Followed Hyperlink 2" xfId="22436" hidden="1" xr:uid="{00000000-0005-0000-0000-00000B1D0000}"/>
    <cellStyle name="Followed Hyperlink 2" xfId="22445" hidden="1" xr:uid="{00000000-0005-0000-0000-00000C1D0000}"/>
    <cellStyle name="Followed Hyperlink 2" xfId="22442" hidden="1" xr:uid="{00000000-0005-0000-0000-00000D1D0000}"/>
    <cellStyle name="Followed Hyperlink 2" xfId="22440" hidden="1" xr:uid="{00000000-0005-0000-0000-00000E1D0000}"/>
    <cellStyle name="Followed Hyperlink 2" xfId="22441" hidden="1" xr:uid="{00000000-0005-0000-0000-00000F1D0000}"/>
    <cellStyle name="Followed Hyperlink 2" xfId="22451" hidden="1" xr:uid="{00000000-0005-0000-0000-0000101D0000}"/>
    <cellStyle name="Followed Hyperlink 2" xfId="22454" hidden="1" xr:uid="{00000000-0005-0000-0000-0000111D0000}"/>
    <cellStyle name="Followed Hyperlink 2" xfId="22457" hidden="1" xr:uid="{00000000-0005-0000-0000-0000121D0000}"/>
    <cellStyle name="Followed Hyperlink 2" xfId="22461" hidden="1" xr:uid="{00000000-0005-0000-0000-0000131D0000}"/>
    <cellStyle name="Followed Hyperlink 2" xfId="22469" hidden="1" xr:uid="{00000000-0005-0000-0000-0000141D0000}"/>
    <cellStyle name="Followed Hyperlink 2" xfId="22466" hidden="1" xr:uid="{00000000-0005-0000-0000-0000151D0000}"/>
    <cellStyle name="Followed Hyperlink 2" xfId="22464" hidden="1" xr:uid="{00000000-0005-0000-0000-0000161D0000}"/>
    <cellStyle name="Followed Hyperlink 2" xfId="22465" hidden="1" xr:uid="{00000000-0005-0000-0000-0000171D0000}"/>
    <cellStyle name="Followed Hyperlink 2" xfId="22475" hidden="1" xr:uid="{00000000-0005-0000-0000-0000181D0000}"/>
    <cellStyle name="Followed Hyperlink 2" xfId="22478" hidden="1" xr:uid="{00000000-0005-0000-0000-0000191D0000}"/>
    <cellStyle name="Followed Hyperlink 2" xfId="22481" hidden="1" xr:uid="{00000000-0005-0000-0000-00001A1D0000}"/>
    <cellStyle name="Followed Hyperlink 2" xfId="22485" hidden="1" xr:uid="{00000000-0005-0000-0000-00001B1D0000}"/>
    <cellStyle name="Followed Hyperlink 2" xfId="22216" hidden="1" xr:uid="{00000000-0005-0000-0000-00001C1D0000}"/>
    <cellStyle name="Followed Hyperlink 2" xfId="22212" hidden="1" xr:uid="{00000000-0005-0000-0000-00001D1D0000}"/>
    <cellStyle name="Followed Hyperlink 2" xfId="22213" hidden="1" xr:uid="{00000000-0005-0000-0000-00001E1D0000}"/>
    <cellStyle name="Followed Hyperlink 2" xfId="22200" hidden="1" xr:uid="{00000000-0005-0000-0000-00001F1D0000}"/>
    <cellStyle name="Followed Hyperlink 2" xfId="22488" hidden="1" xr:uid="{00000000-0005-0000-0000-0000201D0000}"/>
    <cellStyle name="Followed Hyperlink 2" xfId="22491" hidden="1" xr:uid="{00000000-0005-0000-0000-0000211D0000}"/>
    <cellStyle name="Followed Hyperlink 2" xfId="22494" hidden="1" xr:uid="{00000000-0005-0000-0000-0000221D0000}"/>
    <cellStyle name="Followed Hyperlink 2" xfId="22498" hidden="1" xr:uid="{00000000-0005-0000-0000-0000231D0000}"/>
    <cellStyle name="Followed Hyperlink 2" xfId="22506" hidden="1" xr:uid="{00000000-0005-0000-0000-0000241D0000}"/>
    <cellStyle name="Followed Hyperlink 2" xfId="22503" hidden="1" xr:uid="{00000000-0005-0000-0000-0000251D0000}"/>
    <cellStyle name="Followed Hyperlink 2" xfId="22501" hidden="1" xr:uid="{00000000-0005-0000-0000-0000261D0000}"/>
    <cellStyle name="Followed Hyperlink 2" xfId="22502" hidden="1" xr:uid="{00000000-0005-0000-0000-0000271D0000}"/>
    <cellStyle name="Followed Hyperlink 2" xfId="22512" hidden="1" xr:uid="{00000000-0005-0000-0000-0000281D0000}"/>
    <cellStyle name="Followed Hyperlink 2" xfId="22515" hidden="1" xr:uid="{00000000-0005-0000-0000-0000291D0000}"/>
    <cellStyle name="Followed Hyperlink 2" xfId="22518" hidden="1" xr:uid="{00000000-0005-0000-0000-00002A1D0000}"/>
    <cellStyle name="Followed Hyperlink 2" xfId="22522" hidden="1" xr:uid="{00000000-0005-0000-0000-00002B1D0000}"/>
    <cellStyle name="Followed Hyperlink 2" xfId="22530" hidden="1" xr:uid="{00000000-0005-0000-0000-00002C1D0000}"/>
    <cellStyle name="Followed Hyperlink 2" xfId="22527" hidden="1" xr:uid="{00000000-0005-0000-0000-00002D1D0000}"/>
    <cellStyle name="Followed Hyperlink 2" xfId="22525" hidden="1" xr:uid="{00000000-0005-0000-0000-00002E1D0000}"/>
    <cellStyle name="Followed Hyperlink 2" xfId="22526" hidden="1" xr:uid="{00000000-0005-0000-0000-00002F1D0000}"/>
    <cellStyle name="Followed Hyperlink 2" xfId="22536" hidden="1" xr:uid="{00000000-0005-0000-0000-0000301D0000}"/>
    <cellStyle name="Followed Hyperlink 2" xfId="22539" hidden="1" xr:uid="{00000000-0005-0000-0000-0000311D0000}"/>
    <cellStyle name="Followed Hyperlink 2" xfId="22542" hidden="1" xr:uid="{00000000-0005-0000-0000-0000321D0000}"/>
    <cellStyle name="Followed Hyperlink 2" xfId="22546" hidden="1" xr:uid="{00000000-0005-0000-0000-0000331D0000}"/>
    <cellStyle name="Followed Hyperlink 2" xfId="22554" hidden="1" xr:uid="{00000000-0005-0000-0000-0000341D0000}"/>
    <cellStyle name="Followed Hyperlink 2" xfId="22551" hidden="1" xr:uid="{00000000-0005-0000-0000-0000351D0000}"/>
    <cellStyle name="Followed Hyperlink 2" xfId="22549" hidden="1" xr:uid="{00000000-0005-0000-0000-0000361D0000}"/>
    <cellStyle name="Followed Hyperlink 2" xfId="22550" hidden="1" xr:uid="{00000000-0005-0000-0000-0000371D0000}"/>
    <cellStyle name="Followed Hyperlink 2" xfId="22560" hidden="1" xr:uid="{00000000-0005-0000-0000-0000381D0000}"/>
    <cellStyle name="Followed Hyperlink 2" xfId="22563" hidden="1" xr:uid="{00000000-0005-0000-0000-0000391D0000}"/>
    <cellStyle name="Followed Hyperlink 2" xfId="22566" hidden="1" xr:uid="{00000000-0005-0000-0000-00003A1D0000}"/>
    <cellStyle name="Followed Hyperlink 2" xfId="22570" hidden="1" xr:uid="{00000000-0005-0000-0000-00003B1D0000}"/>
    <cellStyle name="Followed Hyperlink 2" xfId="21149" hidden="1" xr:uid="{00000000-0005-0000-0000-00003C1D0000}"/>
    <cellStyle name="Followed Hyperlink 2" xfId="21145" hidden="1" xr:uid="{00000000-0005-0000-0000-00003D1D0000}"/>
    <cellStyle name="Followed Hyperlink 2" xfId="21146" hidden="1" xr:uid="{00000000-0005-0000-0000-00003E1D0000}"/>
    <cellStyle name="Followed Hyperlink 2" xfId="21133" hidden="1" xr:uid="{00000000-0005-0000-0000-00003F1D0000}"/>
    <cellStyle name="Followed Hyperlink 2" xfId="22573" hidden="1" xr:uid="{00000000-0005-0000-0000-0000401D0000}"/>
    <cellStyle name="Followed Hyperlink 2" xfId="22576" hidden="1" xr:uid="{00000000-0005-0000-0000-0000411D0000}"/>
    <cellStyle name="Followed Hyperlink 2" xfId="22579" hidden="1" xr:uid="{00000000-0005-0000-0000-0000421D0000}"/>
    <cellStyle name="Followed Hyperlink 2" xfId="22583" hidden="1" xr:uid="{00000000-0005-0000-0000-0000431D0000}"/>
    <cellStyle name="Followed Hyperlink 2" xfId="22591" hidden="1" xr:uid="{00000000-0005-0000-0000-0000441D0000}"/>
    <cellStyle name="Followed Hyperlink 2" xfId="22588" hidden="1" xr:uid="{00000000-0005-0000-0000-0000451D0000}"/>
    <cellStyle name="Followed Hyperlink 2" xfId="22586" hidden="1" xr:uid="{00000000-0005-0000-0000-0000461D0000}"/>
    <cellStyle name="Followed Hyperlink 2" xfId="22587" hidden="1" xr:uid="{00000000-0005-0000-0000-0000471D0000}"/>
    <cellStyle name="Followed Hyperlink 2" xfId="22597" hidden="1" xr:uid="{00000000-0005-0000-0000-0000481D0000}"/>
    <cellStyle name="Followed Hyperlink 2" xfId="22600" hidden="1" xr:uid="{00000000-0005-0000-0000-0000491D0000}"/>
    <cellStyle name="Followed Hyperlink 2" xfId="22603" hidden="1" xr:uid="{00000000-0005-0000-0000-00004A1D0000}"/>
    <cellStyle name="Followed Hyperlink 2" xfId="22607" hidden="1" xr:uid="{00000000-0005-0000-0000-00004B1D0000}"/>
    <cellStyle name="Followed Hyperlink 2" xfId="22615" hidden="1" xr:uid="{00000000-0005-0000-0000-00004C1D0000}"/>
    <cellStyle name="Followed Hyperlink 2" xfId="22612" hidden="1" xr:uid="{00000000-0005-0000-0000-00004D1D0000}"/>
    <cellStyle name="Followed Hyperlink 2" xfId="22610" hidden="1" xr:uid="{00000000-0005-0000-0000-00004E1D0000}"/>
    <cellStyle name="Followed Hyperlink 2" xfId="22611" hidden="1" xr:uid="{00000000-0005-0000-0000-00004F1D0000}"/>
    <cellStyle name="Followed Hyperlink 2" xfId="22621" hidden="1" xr:uid="{00000000-0005-0000-0000-0000501D0000}"/>
    <cellStyle name="Followed Hyperlink 2" xfId="22624" hidden="1" xr:uid="{00000000-0005-0000-0000-0000511D0000}"/>
    <cellStyle name="Followed Hyperlink 2" xfId="22627" hidden="1" xr:uid="{00000000-0005-0000-0000-0000521D0000}"/>
    <cellStyle name="Followed Hyperlink 2" xfId="22631" hidden="1" xr:uid="{00000000-0005-0000-0000-0000531D0000}"/>
    <cellStyle name="Followed Hyperlink 2" xfId="22639" hidden="1" xr:uid="{00000000-0005-0000-0000-0000541D0000}"/>
    <cellStyle name="Followed Hyperlink 2" xfId="22636" hidden="1" xr:uid="{00000000-0005-0000-0000-0000551D0000}"/>
    <cellStyle name="Followed Hyperlink 2" xfId="22634" hidden="1" xr:uid="{00000000-0005-0000-0000-0000561D0000}"/>
    <cellStyle name="Followed Hyperlink 2" xfId="22635" hidden="1" xr:uid="{00000000-0005-0000-0000-0000571D0000}"/>
    <cellStyle name="Followed Hyperlink 2" xfId="22645" hidden="1" xr:uid="{00000000-0005-0000-0000-0000581D0000}"/>
    <cellStyle name="Followed Hyperlink 2" xfId="22648" hidden="1" xr:uid="{00000000-0005-0000-0000-0000591D0000}"/>
    <cellStyle name="Followed Hyperlink 2" xfId="22651" hidden="1" xr:uid="{00000000-0005-0000-0000-00005A1D0000}"/>
    <cellStyle name="Followed Hyperlink 2" xfId="22655" hidden="1" xr:uid="{00000000-0005-0000-0000-00005B1D0000}"/>
    <cellStyle name="Followed Hyperlink 2" xfId="22692" hidden="1" xr:uid="{00000000-0005-0000-0000-00005C1D0000}"/>
    <cellStyle name="Followed Hyperlink 2" xfId="22689" hidden="1" xr:uid="{00000000-0005-0000-0000-00005D1D0000}"/>
    <cellStyle name="Followed Hyperlink 2" xfId="22687" hidden="1" xr:uid="{00000000-0005-0000-0000-00005E1D0000}"/>
    <cellStyle name="Followed Hyperlink 2" xfId="22688" hidden="1" xr:uid="{00000000-0005-0000-0000-00005F1D0000}"/>
    <cellStyle name="Followed Hyperlink 2" xfId="22698" hidden="1" xr:uid="{00000000-0005-0000-0000-0000601D0000}"/>
    <cellStyle name="Followed Hyperlink 2" xfId="22701" hidden="1" xr:uid="{00000000-0005-0000-0000-0000611D0000}"/>
    <cellStyle name="Followed Hyperlink 2" xfId="22704" hidden="1" xr:uid="{00000000-0005-0000-0000-0000621D0000}"/>
    <cellStyle name="Followed Hyperlink 2" xfId="22708" hidden="1" xr:uid="{00000000-0005-0000-0000-0000631D0000}"/>
    <cellStyle name="Followed Hyperlink 2" xfId="22716" hidden="1" xr:uid="{00000000-0005-0000-0000-0000641D0000}"/>
    <cellStyle name="Followed Hyperlink 2" xfId="22713" hidden="1" xr:uid="{00000000-0005-0000-0000-0000651D0000}"/>
    <cellStyle name="Followed Hyperlink 2" xfId="22711" hidden="1" xr:uid="{00000000-0005-0000-0000-0000661D0000}"/>
    <cellStyle name="Followed Hyperlink 2" xfId="22712" hidden="1" xr:uid="{00000000-0005-0000-0000-0000671D0000}"/>
    <cellStyle name="Followed Hyperlink 2" xfId="22722" hidden="1" xr:uid="{00000000-0005-0000-0000-0000681D0000}"/>
    <cellStyle name="Followed Hyperlink 2" xfId="22725" hidden="1" xr:uid="{00000000-0005-0000-0000-0000691D0000}"/>
    <cellStyle name="Followed Hyperlink 2" xfId="22728" hidden="1" xr:uid="{00000000-0005-0000-0000-00006A1D0000}"/>
    <cellStyle name="Followed Hyperlink 2" xfId="22732" hidden="1" xr:uid="{00000000-0005-0000-0000-00006B1D0000}"/>
    <cellStyle name="Followed Hyperlink 2" xfId="22742" hidden="1" xr:uid="{00000000-0005-0000-0000-00006C1D0000}"/>
    <cellStyle name="Followed Hyperlink 2" xfId="22739" hidden="1" xr:uid="{00000000-0005-0000-0000-00006D1D0000}"/>
    <cellStyle name="Followed Hyperlink 2" xfId="22737" hidden="1" xr:uid="{00000000-0005-0000-0000-00006E1D0000}"/>
    <cellStyle name="Followed Hyperlink 2" xfId="22738" hidden="1" xr:uid="{00000000-0005-0000-0000-00006F1D0000}"/>
    <cellStyle name="Followed Hyperlink 2" xfId="22748" hidden="1" xr:uid="{00000000-0005-0000-0000-0000701D0000}"/>
    <cellStyle name="Followed Hyperlink 2" xfId="22751" hidden="1" xr:uid="{00000000-0005-0000-0000-0000711D0000}"/>
    <cellStyle name="Followed Hyperlink 2" xfId="22754" hidden="1" xr:uid="{00000000-0005-0000-0000-0000721D0000}"/>
    <cellStyle name="Followed Hyperlink 2" xfId="22758" hidden="1" xr:uid="{00000000-0005-0000-0000-0000731D0000}"/>
    <cellStyle name="Followed Hyperlink 2" xfId="22766" hidden="1" xr:uid="{00000000-0005-0000-0000-0000741D0000}"/>
    <cellStyle name="Followed Hyperlink 2" xfId="22763" hidden="1" xr:uid="{00000000-0005-0000-0000-0000751D0000}"/>
    <cellStyle name="Followed Hyperlink 2" xfId="22761" hidden="1" xr:uid="{00000000-0005-0000-0000-0000761D0000}"/>
    <cellStyle name="Followed Hyperlink 2" xfId="22762" hidden="1" xr:uid="{00000000-0005-0000-0000-0000771D0000}"/>
    <cellStyle name="Followed Hyperlink 2" xfId="22772" hidden="1" xr:uid="{00000000-0005-0000-0000-0000781D0000}"/>
    <cellStyle name="Followed Hyperlink 2" xfId="22775" hidden="1" xr:uid="{00000000-0005-0000-0000-0000791D0000}"/>
    <cellStyle name="Followed Hyperlink 2" xfId="22778" hidden="1" xr:uid="{00000000-0005-0000-0000-00007A1D0000}"/>
    <cellStyle name="Followed Hyperlink 2" xfId="22782" hidden="1" xr:uid="{00000000-0005-0000-0000-00007B1D0000}"/>
    <cellStyle name="Followed Hyperlink 2" xfId="22659" hidden="1" xr:uid="{00000000-0005-0000-0000-00007C1D0000}"/>
    <cellStyle name="Followed Hyperlink 2" xfId="22663" hidden="1" xr:uid="{00000000-0005-0000-0000-00007D1D0000}"/>
    <cellStyle name="Followed Hyperlink 2" xfId="22658" hidden="1" xr:uid="{00000000-0005-0000-0000-00007E1D0000}"/>
    <cellStyle name="Followed Hyperlink 2" xfId="22664" hidden="1" xr:uid="{00000000-0005-0000-0000-00007F1D0000}"/>
    <cellStyle name="Followed Hyperlink 2" xfId="22785" hidden="1" xr:uid="{00000000-0005-0000-0000-0000801D0000}"/>
    <cellStyle name="Followed Hyperlink 2" xfId="22788" hidden="1" xr:uid="{00000000-0005-0000-0000-0000811D0000}"/>
    <cellStyle name="Followed Hyperlink 2" xfId="22791" hidden="1" xr:uid="{00000000-0005-0000-0000-0000821D0000}"/>
    <cellStyle name="Followed Hyperlink 2" xfId="22795" hidden="1" xr:uid="{00000000-0005-0000-0000-0000831D0000}"/>
    <cellStyle name="Followed Hyperlink 2" xfId="22803" hidden="1" xr:uid="{00000000-0005-0000-0000-0000841D0000}"/>
    <cellStyle name="Followed Hyperlink 2" xfId="22800" hidden="1" xr:uid="{00000000-0005-0000-0000-0000851D0000}"/>
    <cellStyle name="Followed Hyperlink 2" xfId="22798" hidden="1" xr:uid="{00000000-0005-0000-0000-0000861D0000}"/>
    <cellStyle name="Followed Hyperlink 2" xfId="22799" hidden="1" xr:uid="{00000000-0005-0000-0000-0000871D0000}"/>
    <cellStyle name="Followed Hyperlink 2" xfId="22809" hidden="1" xr:uid="{00000000-0005-0000-0000-0000881D0000}"/>
    <cellStyle name="Followed Hyperlink 2" xfId="22812" hidden="1" xr:uid="{00000000-0005-0000-0000-0000891D0000}"/>
    <cellStyle name="Followed Hyperlink 2" xfId="22815" hidden="1" xr:uid="{00000000-0005-0000-0000-00008A1D0000}"/>
    <cellStyle name="Followed Hyperlink 2" xfId="22819" hidden="1" xr:uid="{00000000-0005-0000-0000-00008B1D0000}"/>
    <cellStyle name="Followed Hyperlink 2" xfId="22828" hidden="1" xr:uid="{00000000-0005-0000-0000-00008C1D0000}"/>
    <cellStyle name="Followed Hyperlink 2" xfId="22825" hidden="1" xr:uid="{00000000-0005-0000-0000-00008D1D0000}"/>
    <cellStyle name="Followed Hyperlink 2" xfId="22823" hidden="1" xr:uid="{00000000-0005-0000-0000-00008E1D0000}"/>
    <cellStyle name="Followed Hyperlink 2" xfId="22824" hidden="1" xr:uid="{00000000-0005-0000-0000-00008F1D0000}"/>
    <cellStyle name="Followed Hyperlink 2" xfId="22834" hidden="1" xr:uid="{00000000-0005-0000-0000-0000901D0000}"/>
    <cellStyle name="Followed Hyperlink 2" xfId="22837" hidden="1" xr:uid="{00000000-0005-0000-0000-0000911D0000}"/>
    <cellStyle name="Followed Hyperlink 2" xfId="22840" hidden="1" xr:uid="{00000000-0005-0000-0000-0000921D0000}"/>
    <cellStyle name="Followed Hyperlink 2" xfId="22844" hidden="1" xr:uid="{00000000-0005-0000-0000-0000931D0000}"/>
    <cellStyle name="Followed Hyperlink 2" xfId="22852" hidden="1" xr:uid="{00000000-0005-0000-0000-0000941D0000}"/>
    <cellStyle name="Followed Hyperlink 2" xfId="22849" hidden="1" xr:uid="{00000000-0005-0000-0000-0000951D0000}"/>
    <cellStyle name="Followed Hyperlink 2" xfId="22847" hidden="1" xr:uid="{00000000-0005-0000-0000-0000961D0000}"/>
    <cellStyle name="Followed Hyperlink 2" xfId="22848" hidden="1" xr:uid="{00000000-0005-0000-0000-0000971D0000}"/>
    <cellStyle name="Followed Hyperlink 2" xfId="22858" hidden="1" xr:uid="{00000000-0005-0000-0000-0000981D0000}"/>
    <cellStyle name="Followed Hyperlink 2" xfId="22861" hidden="1" xr:uid="{00000000-0005-0000-0000-0000991D0000}"/>
    <cellStyle name="Followed Hyperlink 2" xfId="22864" hidden="1" xr:uid="{00000000-0005-0000-0000-00009A1D0000}"/>
    <cellStyle name="Followed Hyperlink 2" xfId="22868" hidden="1" xr:uid="{00000000-0005-0000-0000-00009B1D0000}"/>
    <cellStyle name="Followed Hyperlink 2" xfId="22677" hidden="1" xr:uid="{00000000-0005-0000-0000-00009C1D0000}"/>
    <cellStyle name="Followed Hyperlink 2" xfId="22674" hidden="1" xr:uid="{00000000-0005-0000-0000-00009D1D0000}"/>
    <cellStyle name="Followed Hyperlink 2" xfId="22668" hidden="1" xr:uid="{00000000-0005-0000-0000-00009E1D0000}"/>
    <cellStyle name="Followed Hyperlink 2" xfId="22673" hidden="1" xr:uid="{00000000-0005-0000-0000-00009F1D0000}"/>
    <cellStyle name="Followed Hyperlink 2" xfId="22871" hidden="1" xr:uid="{00000000-0005-0000-0000-0000A01D0000}"/>
    <cellStyle name="Followed Hyperlink 2" xfId="22874" hidden="1" xr:uid="{00000000-0005-0000-0000-0000A11D0000}"/>
    <cellStyle name="Followed Hyperlink 2" xfId="22877" hidden="1" xr:uid="{00000000-0005-0000-0000-0000A21D0000}"/>
    <cellStyle name="Followed Hyperlink 2" xfId="22881" hidden="1" xr:uid="{00000000-0005-0000-0000-0000A31D0000}"/>
    <cellStyle name="Followed Hyperlink 2" xfId="22889" hidden="1" xr:uid="{00000000-0005-0000-0000-0000A41D0000}"/>
    <cellStyle name="Followed Hyperlink 2" xfId="22886" hidden="1" xr:uid="{00000000-0005-0000-0000-0000A51D0000}"/>
    <cellStyle name="Followed Hyperlink 2" xfId="22884" hidden="1" xr:uid="{00000000-0005-0000-0000-0000A61D0000}"/>
    <cellStyle name="Followed Hyperlink 2" xfId="22885" hidden="1" xr:uid="{00000000-0005-0000-0000-0000A71D0000}"/>
    <cellStyle name="Followed Hyperlink 2" xfId="22895" hidden="1" xr:uid="{00000000-0005-0000-0000-0000A81D0000}"/>
    <cellStyle name="Followed Hyperlink 2" xfId="22898" hidden="1" xr:uid="{00000000-0005-0000-0000-0000A91D0000}"/>
    <cellStyle name="Followed Hyperlink 2" xfId="22901" hidden="1" xr:uid="{00000000-0005-0000-0000-0000AA1D0000}"/>
    <cellStyle name="Followed Hyperlink 2" xfId="22905" hidden="1" xr:uid="{00000000-0005-0000-0000-0000AB1D0000}"/>
    <cellStyle name="Followed Hyperlink 2" xfId="22914" hidden="1" xr:uid="{00000000-0005-0000-0000-0000AC1D0000}"/>
    <cellStyle name="Followed Hyperlink 2" xfId="22911" hidden="1" xr:uid="{00000000-0005-0000-0000-0000AD1D0000}"/>
    <cellStyle name="Followed Hyperlink 2" xfId="22909" hidden="1" xr:uid="{00000000-0005-0000-0000-0000AE1D0000}"/>
    <cellStyle name="Followed Hyperlink 2" xfId="22910" hidden="1" xr:uid="{00000000-0005-0000-0000-0000AF1D0000}"/>
    <cellStyle name="Followed Hyperlink 2" xfId="22920" hidden="1" xr:uid="{00000000-0005-0000-0000-0000B01D0000}"/>
    <cellStyle name="Followed Hyperlink 2" xfId="22923" hidden="1" xr:uid="{00000000-0005-0000-0000-0000B11D0000}"/>
    <cellStyle name="Followed Hyperlink 2" xfId="22926" hidden="1" xr:uid="{00000000-0005-0000-0000-0000B21D0000}"/>
    <cellStyle name="Followed Hyperlink 2" xfId="22930" hidden="1" xr:uid="{00000000-0005-0000-0000-0000B31D0000}"/>
    <cellStyle name="Followed Hyperlink 2" xfId="22938" hidden="1" xr:uid="{00000000-0005-0000-0000-0000B41D0000}"/>
    <cellStyle name="Followed Hyperlink 2" xfId="22935" hidden="1" xr:uid="{00000000-0005-0000-0000-0000B51D0000}"/>
    <cellStyle name="Followed Hyperlink 2" xfId="22933" hidden="1" xr:uid="{00000000-0005-0000-0000-0000B61D0000}"/>
    <cellStyle name="Followed Hyperlink 2" xfId="22934" hidden="1" xr:uid="{00000000-0005-0000-0000-0000B71D0000}"/>
    <cellStyle name="Followed Hyperlink 2" xfId="22944" hidden="1" xr:uid="{00000000-0005-0000-0000-0000B81D0000}"/>
    <cellStyle name="Followed Hyperlink 2" xfId="22947" hidden="1" xr:uid="{00000000-0005-0000-0000-0000B91D0000}"/>
    <cellStyle name="Followed Hyperlink 2" xfId="22950" hidden="1" xr:uid="{00000000-0005-0000-0000-0000BA1D0000}"/>
    <cellStyle name="Followed Hyperlink 2" xfId="22954" hidden="1" xr:uid="{00000000-0005-0000-0000-0000BB1D0000}"/>
    <cellStyle name="Followed Hyperlink 2" xfId="22685" hidden="1" xr:uid="{00000000-0005-0000-0000-0000BC1D0000}"/>
    <cellStyle name="Followed Hyperlink 2" xfId="22681" hidden="1" xr:uid="{00000000-0005-0000-0000-0000BD1D0000}"/>
    <cellStyle name="Followed Hyperlink 2" xfId="22682" hidden="1" xr:uid="{00000000-0005-0000-0000-0000BE1D0000}"/>
    <cellStyle name="Followed Hyperlink 2" xfId="22669" hidden="1" xr:uid="{00000000-0005-0000-0000-0000BF1D0000}"/>
    <cellStyle name="Followed Hyperlink 2" xfId="22957" hidden="1" xr:uid="{00000000-0005-0000-0000-0000C01D0000}"/>
    <cellStyle name="Followed Hyperlink 2" xfId="22960" hidden="1" xr:uid="{00000000-0005-0000-0000-0000C11D0000}"/>
    <cellStyle name="Followed Hyperlink 2" xfId="22963" hidden="1" xr:uid="{00000000-0005-0000-0000-0000C21D0000}"/>
    <cellStyle name="Followed Hyperlink 2" xfId="22967" hidden="1" xr:uid="{00000000-0005-0000-0000-0000C31D0000}"/>
    <cellStyle name="Followed Hyperlink 2" xfId="22975" hidden="1" xr:uid="{00000000-0005-0000-0000-0000C41D0000}"/>
    <cellStyle name="Followed Hyperlink 2" xfId="22972" hidden="1" xr:uid="{00000000-0005-0000-0000-0000C51D0000}"/>
    <cellStyle name="Followed Hyperlink 2" xfId="22970" hidden="1" xr:uid="{00000000-0005-0000-0000-0000C61D0000}"/>
    <cellStyle name="Followed Hyperlink 2" xfId="22971" hidden="1" xr:uid="{00000000-0005-0000-0000-0000C71D0000}"/>
    <cellStyle name="Followed Hyperlink 2" xfId="22981" hidden="1" xr:uid="{00000000-0005-0000-0000-0000C81D0000}"/>
    <cellStyle name="Followed Hyperlink 2" xfId="22984" hidden="1" xr:uid="{00000000-0005-0000-0000-0000C91D0000}"/>
    <cellStyle name="Followed Hyperlink 2" xfId="22987" hidden="1" xr:uid="{00000000-0005-0000-0000-0000CA1D0000}"/>
    <cellStyle name="Followed Hyperlink 2" xfId="22991" hidden="1" xr:uid="{00000000-0005-0000-0000-0000CB1D0000}"/>
    <cellStyle name="Followed Hyperlink 2" xfId="22999" hidden="1" xr:uid="{00000000-0005-0000-0000-0000CC1D0000}"/>
    <cellStyle name="Followed Hyperlink 2" xfId="22996" hidden="1" xr:uid="{00000000-0005-0000-0000-0000CD1D0000}"/>
    <cellStyle name="Followed Hyperlink 2" xfId="22994" hidden="1" xr:uid="{00000000-0005-0000-0000-0000CE1D0000}"/>
    <cellStyle name="Followed Hyperlink 2" xfId="22995" hidden="1" xr:uid="{00000000-0005-0000-0000-0000CF1D0000}"/>
    <cellStyle name="Followed Hyperlink 2" xfId="23005" hidden="1" xr:uid="{00000000-0005-0000-0000-0000D01D0000}"/>
    <cellStyle name="Followed Hyperlink 2" xfId="23008" hidden="1" xr:uid="{00000000-0005-0000-0000-0000D11D0000}"/>
    <cellStyle name="Followed Hyperlink 2" xfId="23011" hidden="1" xr:uid="{00000000-0005-0000-0000-0000D21D0000}"/>
    <cellStyle name="Followed Hyperlink 2" xfId="23015" hidden="1" xr:uid="{00000000-0005-0000-0000-0000D31D0000}"/>
    <cellStyle name="Followed Hyperlink 2" xfId="23023" hidden="1" xr:uid="{00000000-0005-0000-0000-0000D41D0000}"/>
    <cellStyle name="Followed Hyperlink 2" xfId="23020" hidden="1" xr:uid="{00000000-0005-0000-0000-0000D51D0000}"/>
    <cellStyle name="Followed Hyperlink 2" xfId="23018" hidden="1" xr:uid="{00000000-0005-0000-0000-0000D61D0000}"/>
    <cellStyle name="Followed Hyperlink 2" xfId="23019" hidden="1" xr:uid="{00000000-0005-0000-0000-0000D71D0000}"/>
    <cellStyle name="Followed Hyperlink 2" xfId="23029" hidden="1" xr:uid="{00000000-0005-0000-0000-0000D81D0000}"/>
    <cellStyle name="Followed Hyperlink 2" xfId="23032" hidden="1" xr:uid="{00000000-0005-0000-0000-0000D91D0000}"/>
    <cellStyle name="Followed Hyperlink 2" xfId="23035" hidden="1" xr:uid="{00000000-0005-0000-0000-0000DA1D0000}"/>
    <cellStyle name="Followed Hyperlink 2" xfId="23039" hidden="1" xr:uid="{00000000-0005-0000-0000-0000DB1D0000}"/>
    <cellStyle name="Followed Hyperlink 2" xfId="17010" hidden="1" xr:uid="{00000000-0005-0000-0000-0000DC1D0000}"/>
    <cellStyle name="Followed Hyperlink 2" xfId="17006" hidden="1" xr:uid="{00000000-0005-0000-0000-0000DD1D0000}"/>
    <cellStyle name="Followed Hyperlink 2" xfId="17007" hidden="1" xr:uid="{00000000-0005-0000-0000-0000DE1D0000}"/>
    <cellStyle name="Followed Hyperlink 2" xfId="16994" hidden="1" xr:uid="{00000000-0005-0000-0000-0000DF1D0000}"/>
    <cellStyle name="Followed Hyperlink 2" xfId="23042" hidden="1" xr:uid="{00000000-0005-0000-0000-0000E01D0000}"/>
    <cellStyle name="Followed Hyperlink 2" xfId="23045" hidden="1" xr:uid="{00000000-0005-0000-0000-0000E11D0000}"/>
    <cellStyle name="Followed Hyperlink 2" xfId="23048" hidden="1" xr:uid="{00000000-0005-0000-0000-0000E21D0000}"/>
    <cellStyle name="Followed Hyperlink 2" xfId="23052" hidden="1" xr:uid="{00000000-0005-0000-0000-0000E31D0000}"/>
    <cellStyle name="Followed Hyperlink 2" xfId="23060" hidden="1" xr:uid="{00000000-0005-0000-0000-0000E41D0000}"/>
    <cellStyle name="Followed Hyperlink 2" xfId="23057" hidden="1" xr:uid="{00000000-0005-0000-0000-0000E51D0000}"/>
    <cellStyle name="Followed Hyperlink 2" xfId="23055" hidden="1" xr:uid="{00000000-0005-0000-0000-0000E61D0000}"/>
    <cellStyle name="Followed Hyperlink 2" xfId="23056" hidden="1" xr:uid="{00000000-0005-0000-0000-0000E71D0000}"/>
    <cellStyle name="Followed Hyperlink 2" xfId="23066" hidden="1" xr:uid="{00000000-0005-0000-0000-0000E81D0000}"/>
    <cellStyle name="Followed Hyperlink 2" xfId="23069" hidden="1" xr:uid="{00000000-0005-0000-0000-0000E91D0000}"/>
    <cellStyle name="Followed Hyperlink 2" xfId="23072" hidden="1" xr:uid="{00000000-0005-0000-0000-0000EA1D0000}"/>
    <cellStyle name="Followed Hyperlink 2" xfId="23076" hidden="1" xr:uid="{00000000-0005-0000-0000-0000EB1D0000}"/>
    <cellStyle name="Followed Hyperlink 2" xfId="23084" hidden="1" xr:uid="{00000000-0005-0000-0000-0000EC1D0000}"/>
    <cellStyle name="Followed Hyperlink 2" xfId="23081" hidden="1" xr:uid="{00000000-0005-0000-0000-0000ED1D0000}"/>
    <cellStyle name="Followed Hyperlink 2" xfId="23079" hidden="1" xr:uid="{00000000-0005-0000-0000-0000EE1D0000}"/>
    <cellStyle name="Followed Hyperlink 2" xfId="23080" hidden="1" xr:uid="{00000000-0005-0000-0000-0000EF1D0000}"/>
    <cellStyle name="Followed Hyperlink 2" xfId="23090" hidden="1" xr:uid="{00000000-0005-0000-0000-0000F01D0000}"/>
    <cellStyle name="Followed Hyperlink 2" xfId="23093" hidden="1" xr:uid="{00000000-0005-0000-0000-0000F11D0000}"/>
    <cellStyle name="Followed Hyperlink 2" xfId="23096" hidden="1" xr:uid="{00000000-0005-0000-0000-0000F21D0000}"/>
    <cellStyle name="Followed Hyperlink 2" xfId="23100" hidden="1" xr:uid="{00000000-0005-0000-0000-0000F31D0000}"/>
    <cellStyle name="Followed Hyperlink 2" xfId="23108" hidden="1" xr:uid="{00000000-0005-0000-0000-0000F41D0000}"/>
    <cellStyle name="Followed Hyperlink 2" xfId="23105" hidden="1" xr:uid="{00000000-0005-0000-0000-0000F51D0000}"/>
    <cellStyle name="Followed Hyperlink 2" xfId="23103" hidden="1" xr:uid="{00000000-0005-0000-0000-0000F61D0000}"/>
    <cellStyle name="Followed Hyperlink 2" xfId="23104" hidden="1" xr:uid="{00000000-0005-0000-0000-0000F71D0000}"/>
    <cellStyle name="Followed Hyperlink 2" xfId="23114" hidden="1" xr:uid="{00000000-0005-0000-0000-0000F81D0000}"/>
    <cellStyle name="Followed Hyperlink 2" xfId="23117" hidden="1" xr:uid="{00000000-0005-0000-0000-0000F91D0000}"/>
    <cellStyle name="Followed Hyperlink 2" xfId="23120" hidden="1" xr:uid="{00000000-0005-0000-0000-0000FA1D0000}"/>
    <cellStyle name="Followed Hyperlink 2" xfId="23124" hidden="1" xr:uid="{00000000-0005-0000-0000-0000FB1D0000}"/>
    <cellStyle name="Followed Hyperlink 2" xfId="23161" hidden="1" xr:uid="{00000000-0005-0000-0000-0000FC1D0000}"/>
    <cellStyle name="Followed Hyperlink 2" xfId="23158" hidden="1" xr:uid="{00000000-0005-0000-0000-0000FD1D0000}"/>
    <cellStyle name="Followed Hyperlink 2" xfId="23156" hidden="1" xr:uid="{00000000-0005-0000-0000-0000FE1D0000}"/>
    <cellStyle name="Followed Hyperlink 2" xfId="23157" hidden="1" xr:uid="{00000000-0005-0000-0000-0000FF1D0000}"/>
    <cellStyle name="Followed Hyperlink 2" xfId="23167" hidden="1" xr:uid="{00000000-0005-0000-0000-0000001E0000}"/>
    <cellStyle name="Followed Hyperlink 2" xfId="23170" hidden="1" xr:uid="{00000000-0005-0000-0000-0000011E0000}"/>
    <cellStyle name="Followed Hyperlink 2" xfId="23173" hidden="1" xr:uid="{00000000-0005-0000-0000-0000021E0000}"/>
    <cellStyle name="Followed Hyperlink 2" xfId="23177" hidden="1" xr:uid="{00000000-0005-0000-0000-0000031E0000}"/>
    <cellStyle name="Followed Hyperlink 2" xfId="23185" hidden="1" xr:uid="{00000000-0005-0000-0000-0000041E0000}"/>
    <cellStyle name="Followed Hyperlink 2" xfId="23182" hidden="1" xr:uid="{00000000-0005-0000-0000-0000051E0000}"/>
    <cellStyle name="Followed Hyperlink 2" xfId="23180" hidden="1" xr:uid="{00000000-0005-0000-0000-0000061E0000}"/>
    <cellStyle name="Followed Hyperlink 2" xfId="23181" hidden="1" xr:uid="{00000000-0005-0000-0000-0000071E0000}"/>
    <cellStyle name="Followed Hyperlink 2" xfId="23191" hidden="1" xr:uid="{00000000-0005-0000-0000-0000081E0000}"/>
    <cellStyle name="Followed Hyperlink 2" xfId="23194" hidden="1" xr:uid="{00000000-0005-0000-0000-0000091E0000}"/>
    <cellStyle name="Followed Hyperlink 2" xfId="23197" hidden="1" xr:uid="{00000000-0005-0000-0000-00000A1E0000}"/>
    <cellStyle name="Followed Hyperlink 2" xfId="23201" hidden="1" xr:uid="{00000000-0005-0000-0000-00000B1E0000}"/>
    <cellStyle name="Followed Hyperlink 2" xfId="23211" hidden="1" xr:uid="{00000000-0005-0000-0000-00000C1E0000}"/>
    <cellStyle name="Followed Hyperlink 2" xfId="23208" hidden="1" xr:uid="{00000000-0005-0000-0000-00000D1E0000}"/>
    <cellStyle name="Followed Hyperlink 2" xfId="23206" hidden="1" xr:uid="{00000000-0005-0000-0000-00000E1E0000}"/>
    <cellStyle name="Followed Hyperlink 2" xfId="23207" hidden="1" xr:uid="{00000000-0005-0000-0000-00000F1E0000}"/>
    <cellStyle name="Followed Hyperlink 2" xfId="23217" hidden="1" xr:uid="{00000000-0005-0000-0000-0000101E0000}"/>
    <cellStyle name="Followed Hyperlink 2" xfId="23220" hidden="1" xr:uid="{00000000-0005-0000-0000-0000111E0000}"/>
    <cellStyle name="Followed Hyperlink 2" xfId="23223" hidden="1" xr:uid="{00000000-0005-0000-0000-0000121E0000}"/>
    <cellStyle name="Followed Hyperlink 2" xfId="23227" hidden="1" xr:uid="{00000000-0005-0000-0000-0000131E0000}"/>
    <cellStyle name="Followed Hyperlink 2" xfId="23235" hidden="1" xr:uid="{00000000-0005-0000-0000-0000141E0000}"/>
    <cellStyle name="Followed Hyperlink 2" xfId="23232" hidden="1" xr:uid="{00000000-0005-0000-0000-0000151E0000}"/>
    <cellStyle name="Followed Hyperlink 2" xfId="23230" hidden="1" xr:uid="{00000000-0005-0000-0000-0000161E0000}"/>
    <cellStyle name="Followed Hyperlink 2" xfId="23231" hidden="1" xr:uid="{00000000-0005-0000-0000-0000171E0000}"/>
    <cellStyle name="Followed Hyperlink 2" xfId="23241" hidden="1" xr:uid="{00000000-0005-0000-0000-0000181E0000}"/>
    <cellStyle name="Followed Hyperlink 2" xfId="23244" hidden="1" xr:uid="{00000000-0005-0000-0000-0000191E0000}"/>
    <cellStyle name="Followed Hyperlink 2" xfId="23247" hidden="1" xr:uid="{00000000-0005-0000-0000-00001A1E0000}"/>
    <cellStyle name="Followed Hyperlink 2" xfId="23251" hidden="1" xr:uid="{00000000-0005-0000-0000-00001B1E0000}"/>
    <cellStyle name="Followed Hyperlink 2" xfId="23288" hidden="1" xr:uid="{00000000-0005-0000-0000-00001C1E0000}"/>
    <cellStyle name="Followed Hyperlink 2" xfId="23285" hidden="1" xr:uid="{00000000-0005-0000-0000-00001D1E0000}"/>
    <cellStyle name="Followed Hyperlink 2" xfId="23283" hidden="1" xr:uid="{00000000-0005-0000-0000-00001E1E0000}"/>
    <cellStyle name="Followed Hyperlink 2" xfId="23284" hidden="1" xr:uid="{00000000-0005-0000-0000-00001F1E0000}"/>
    <cellStyle name="Followed Hyperlink 2" xfId="23294" hidden="1" xr:uid="{00000000-0005-0000-0000-0000201E0000}"/>
    <cellStyle name="Followed Hyperlink 2" xfId="23297" hidden="1" xr:uid="{00000000-0005-0000-0000-0000211E0000}"/>
    <cellStyle name="Followed Hyperlink 2" xfId="23300" hidden="1" xr:uid="{00000000-0005-0000-0000-0000221E0000}"/>
    <cellStyle name="Followed Hyperlink 2" xfId="23304" hidden="1" xr:uid="{00000000-0005-0000-0000-0000231E0000}"/>
    <cellStyle name="Followed Hyperlink 2" xfId="23312" hidden="1" xr:uid="{00000000-0005-0000-0000-0000241E0000}"/>
    <cellStyle name="Followed Hyperlink 2" xfId="23309" hidden="1" xr:uid="{00000000-0005-0000-0000-0000251E0000}"/>
    <cellStyle name="Followed Hyperlink 2" xfId="23307" hidden="1" xr:uid="{00000000-0005-0000-0000-0000261E0000}"/>
    <cellStyle name="Followed Hyperlink 2" xfId="23308" hidden="1" xr:uid="{00000000-0005-0000-0000-0000271E0000}"/>
    <cellStyle name="Followed Hyperlink 2" xfId="23318" hidden="1" xr:uid="{00000000-0005-0000-0000-0000281E0000}"/>
    <cellStyle name="Followed Hyperlink 2" xfId="23321" hidden="1" xr:uid="{00000000-0005-0000-0000-0000291E0000}"/>
    <cellStyle name="Followed Hyperlink 2" xfId="23324" hidden="1" xr:uid="{00000000-0005-0000-0000-00002A1E0000}"/>
    <cellStyle name="Followed Hyperlink 2" xfId="23328" hidden="1" xr:uid="{00000000-0005-0000-0000-00002B1E0000}"/>
    <cellStyle name="Followed Hyperlink 2" xfId="23338" hidden="1" xr:uid="{00000000-0005-0000-0000-00002C1E0000}"/>
    <cellStyle name="Followed Hyperlink 2" xfId="23335" hidden="1" xr:uid="{00000000-0005-0000-0000-00002D1E0000}"/>
    <cellStyle name="Followed Hyperlink 2" xfId="23333" hidden="1" xr:uid="{00000000-0005-0000-0000-00002E1E0000}"/>
    <cellStyle name="Followed Hyperlink 2" xfId="23334" hidden="1" xr:uid="{00000000-0005-0000-0000-00002F1E0000}"/>
    <cellStyle name="Followed Hyperlink 2" xfId="23344" hidden="1" xr:uid="{00000000-0005-0000-0000-0000301E0000}"/>
    <cellStyle name="Followed Hyperlink 2" xfId="23347" hidden="1" xr:uid="{00000000-0005-0000-0000-0000311E0000}"/>
    <cellStyle name="Followed Hyperlink 2" xfId="23350" hidden="1" xr:uid="{00000000-0005-0000-0000-0000321E0000}"/>
    <cellStyle name="Followed Hyperlink 2" xfId="23354" hidden="1" xr:uid="{00000000-0005-0000-0000-0000331E0000}"/>
    <cellStyle name="Followed Hyperlink 2" xfId="23362" hidden="1" xr:uid="{00000000-0005-0000-0000-0000341E0000}"/>
    <cellStyle name="Followed Hyperlink 2" xfId="23359" hidden="1" xr:uid="{00000000-0005-0000-0000-0000351E0000}"/>
    <cellStyle name="Followed Hyperlink 2" xfId="23357" hidden="1" xr:uid="{00000000-0005-0000-0000-0000361E0000}"/>
    <cellStyle name="Followed Hyperlink 2" xfId="23358" hidden="1" xr:uid="{00000000-0005-0000-0000-0000371E0000}"/>
    <cellStyle name="Followed Hyperlink 2" xfId="23368" hidden="1" xr:uid="{00000000-0005-0000-0000-0000381E0000}"/>
    <cellStyle name="Followed Hyperlink 2" xfId="23371" hidden="1" xr:uid="{00000000-0005-0000-0000-0000391E0000}"/>
    <cellStyle name="Followed Hyperlink 2" xfId="23374" hidden="1" xr:uid="{00000000-0005-0000-0000-00003A1E0000}"/>
    <cellStyle name="Followed Hyperlink 2" xfId="23378" hidden="1" xr:uid="{00000000-0005-0000-0000-00003B1E0000}"/>
    <cellStyle name="Followed Hyperlink 2" xfId="23255" hidden="1" xr:uid="{00000000-0005-0000-0000-00003C1E0000}"/>
    <cellStyle name="Followed Hyperlink 2" xfId="23259" hidden="1" xr:uid="{00000000-0005-0000-0000-00003D1E0000}"/>
    <cellStyle name="Followed Hyperlink 2" xfId="23254" hidden="1" xr:uid="{00000000-0005-0000-0000-00003E1E0000}"/>
    <cellStyle name="Followed Hyperlink 2" xfId="23260" hidden="1" xr:uid="{00000000-0005-0000-0000-00003F1E0000}"/>
    <cellStyle name="Followed Hyperlink 2" xfId="23381" hidden="1" xr:uid="{00000000-0005-0000-0000-0000401E0000}"/>
    <cellStyle name="Followed Hyperlink 2" xfId="23384" hidden="1" xr:uid="{00000000-0005-0000-0000-0000411E0000}"/>
    <cellStyle name="Followed Hyperlink 2" xfId="23387" hidden="1" xr:uid="{00000000-0005-0000-0000-0000421E0000}"/>
    <cellStyle name="Followed Hyperlink 2" xfId="23391" hidden="1" xr:uid="{00000000-0005-0000-0000-0000431E0000}"/>
    <cellStyle name="Followed Hyperlink 2" xfId="23399" hidden="1" xr:uid="{00000000-0005-0000-0000-0000441E0000}"/>
    <cellStyle name="Followed Hyperlink 2" xfId="23396" hidden="1" xr:uid="{00000000-0005-0000-0000-0000451E0000}"/>
    <cellStyle name="Followed Hyperlink 2" xfId="23394" hidden="1" xr:uid="{00000000-0005-0000-0000-0000461E0000}"/>
    <cellStyle name="Followed Hyperlink 2" xfId="23395" hidden="1" xr:uid="{00000000-0005-0000-0000-0000471E0000}"/>
    <cellStyle name="Followed Hyperlink 2" xfId="23405" hidden="1" xr:uid="{00000000-0005-0000-0000-0000481E0000}"/>
    <cellStyle name="Followed Hyperlink 2" xfId="23408" hidden="1" xr:uid="{00000000-0005-0000-0000-0000491E0000}"/>
    <cellStyle name="Followed Hyperlink 2" xfId="23411" hidden="1" xr:uid="{00000000-0005-0000-0000-00004A1E0000}"/>
    <cellStyle name="Followed Hyperlink 2" xfId="23415" hidden="1" xr:uid="{00000000-0005-0000-0000-00004B1E0000}"/>
    <cellStyle name="Followed Hyperlink 2" xfId="23424" hidden="1" xr:uid="{00000000-0005-0000-0000-00004C1E0000}"/>
    <cellStyle name="Followed Hyperlink 2" xfId="23421" hidden="1" xr:uid="{00000000-0005-0000-0000-00004D1E0000}"/>
    <cellStyle name="Followed Hyperlink 2" xfId="23419" hidden="1" xr:uid="{00000000-0005-0000-0000-00004E1E0000}"/>
    <cellStyle name="Followed Hyperlink 2" xfId="23420" hidden="1" xr:uid="{00000000-0005-0000-0000-00004F1E0000}"/>
    <cellStyle name="Followed Hyperlink 2" xfId="23430" hidden="1" xr:uid="{00000000-0005-0000-0000-0000501E0000}"/>
    <cellStyle name="Followed Hyperlink 2" xfId="23433" hidden="1" xr:uid="{00000000-0005-0000-0000-0000511E0000}"/>
    <cellStyle name="Followed Hyperlink 2" xfId="23436" hidden="1" xr:uid="{00000000-0005-0000-0000-0000521E0000}"/>
    <cellStyle name="Followed Hyperlink 2" xfId="23440" hidden="1" xr:uid="{00000000-0005-0000-0000-0000531E0000}"/>
    <cellStyle name="Followed Hyperlink 2" xfId="23448" hidden="1" xr:uid="{00000000-0005-0000-0000-0000541E0000}"/>
    <cellStyle name="Followed Hyperlink 2" xfId="23445" hidden="1" xr:uid="{00000000-0005-0000-0000-0000551E0000}"/>
    <cellStyle name="Followed Hyperlink 2" xfId="23443" hidden="1" xr:uid="{00000000-0005-0000-0000-0000561E0000}"/>
    <cellStyle name="Followed Hyperlink 2" xfId="23444" hidden="1" xr:uid="{00000000-0005-0000-0000-0000571E0000}"/>
    <cellStyle name="Followed Hyperlink 2" xfId="23454" hidden="1" xr:uid="{00000000-0005-0000-0000-0000581E0000}"/>
    <cellStyle name="Followed Hyperlink 2" xfId="23457" hidden="1" xr:uid="{00000000-0005-0000-0000-0000591E0000}"/>
    <cellStyle name="Followed Hyperlink 2" xfId="23460" hidden="1" xr:uid="{00000000-0005-0000-0000-00005A1E0000}"/>
    <cellStyle name="Followed Hyperlink 2" xfId="23464" hidden="1" xr:uid="{00000000-0005-0000-0000-00005B1E0000}"/>
    <cellStyle name="Followed Hyperlink 2" xfId="23273" hidden="1" xr:uid="{00000000-0005-0000-0000-00005C1E0000}"/>
    <cellStyle name="Followed Hyperlink 2" xfId="23270" hidden="1" xr:uid="{00000000-0005-0000-0000-00005D1E0000}"/>
    <cellStyle name="Followed Hyperlink 2" xfId="23264" hidden="1" xr:uid="{00000000-0005-0000-0000-00005E1E0000}"/>
    <cellStyle name="Followed Hyperlink 2" xfId="23269" hidden="1" xr:uid="{00000000-0005-0000-0000-00005F1E0000}"/>
    <cellStyle name="Followed Hyperlink 2" xfId="23467" hidden="1" xr:uid="{00000000-0005-0000-0000-0000601E0000}"/>
    <cellStyle name="Followed Hyperlink 2" xfId="23470" hidden="1" xr:uid="{00000000-0005-0000-0000-0000611E0000}"/>
    <cellStyle name="Followed Hyperlink 2" xfId="23473" hidden="1" xr:uid="{00000000-0005-0000-0000-0000621E0000}"/>
    <cellStyle name="Followed Hyperlink 2" xfId="23477" hidden="1" xr:uid="{00000000-0005-0000-0000-0000631E0000}"/>
    <cellStyle name="Followed Hyperlink 2" xfId="23485" hidden="1" xr:uid="{00000000-0005-0000-0000-0000641E0000}"/>
    <cellStyle name="Followed Hyperlink 2" xfId="23482" hidden="1" xr:uid="{00000000-0005-0000-0000-0000651E0000}"/>
    <cellStyle name="Followed Hyperlink 2" xfId="23480" hidden="1" xr:uid="{00000000-0005-0000-0000-0000661E0000}"/>
    <cellStyle name="Followed Hyperlink 2" xfId="23481" hidden="1" xr:uid="{00000000-0005-0000-0000-0000671E0000}"/>
    <cellStyle name="Followed Hyperlink 2" xfId="23491" hidden="1" xr:uid="{00000000-0005-0000-0000-0000681E0000}"/>
    <cellStyle name="Followed Hyperlink 2" xfId="23494" hidden="1" xr:uid="{00000000-0005-0000-0000-0000691E0000}"/>
    <cellStyle name="Followed Hyperlink 2" xfId="23497" hidden="1" xr:uid="{00000000-0005-0000-0000-00006A1E0000}"/>
    <cellStyle name="Followed Hyperlink 2" xfId="23501" hidden="1" xr:uid="{00000000-0005-0000-0000-00006B1E0000}"/>
    <cellStyle name="Followed Hyperlink 2" xfId="23510" hidden="1" xr:uid="{00000000-0005-0000-0000-00006C1E0000}"/>
    <cellStyle name="Followed Hyperlink 2" xfId="23507" hidden="1" xr:uid="{00000000-0005-0000-0000-00006D1E0000}"/>
    <cellStyle name="Followed Hyperlink 2" xfId="23505" hidden="1" xr:uid="{00000000-0005-0000-0000-00006E1E0000}"/>
    <cellStyle name="Followed Hyperlink 2" xfId="23506" hidden="1" xr:uid="{00000000-0005-0000-0000-00006F1E0000}"/>
    <cellStyle name="Followed Hyperlink 2" xfId="23516" hidden="1" xr:uid="{00000000-0005-0000-0000-0000701E0000}"/>
    <cellStyle name="Followed Hyperlink 2" xfId="23519" hidden="1" xr:uid="{00000000-0005-0000-0000-0000711E0000}"/>
    <cellStyle name="Followed Hyperlink 2" xfId="23522" hidden="1" xr:uid="{00000000-0005-0000-0000-0000721E0000}"/>
    <cellStyle name="Followed Hyperlink 2" xfId="23526" hidden="1" xr:uid="{00000000-0005-0000-0000-0000731E0000}"/>
    <cellStyle name="Followed Hyperlink 2" xfId="23534" hidden="1" xr:uid="{00000000-0005-0000-0000-0000741E0000}"/>
    <cellStyle name="Followed Hyperlink 2" xfId="23531" hidden="1" xr:uid="{00000000-0005-0000-0000-0000751E0000}"/>
    <cellStyle name="Followed Hyperlink 2" xfId="23529" hidden="1" xr:uid="{00000000-0005-0000-0000-0000761E0000}"/>
    <cellStyle name="Followed Hyperlink 2" xfId="23530" hidden="1" xr:uid="{00000000-0005-0000-0000-0000771E0000}"/>
    <cellStyle name="Followed Hyperlink 2" xfId="23540" hidden="1" xr:uid="{00000000-0005-0000-0000-0000781E0000}"/>
    <cellStyle name="Followed Hyperlink 2" xfId="23543" hidden="1" xr:uid="{00000000-0005-0000-0000-0000791E0000}"/>
    <cellStyle name="Followed Hyperlink 2" xfId="23546" hidden="1" xr:uid="{00000000-0005-0000-0000-00007A1E0000}"/>
    <cellStyle name="Followed Hyperlink 2" xfId="23550" hidden="1" xr:uid="{00000000-0005-0000-0000-00007B1E0000}"/>
    <cellStyle name="Followed Hyperlink 2" xfId="23281" hidden="1" xr:uid="{00000000-0005-0000-0000-00007C1E0000}"/>
    <cellStyle name="Followed Hyperlink 2" xfId="23277" hidden="1" xr:uid="{00000000-0005-0000-0000-00007D1E0000}"/>
    <cellStyle name="Followed Hyperlink 2" xfId="23278" hidden="1" xr:uid="{00000000-0005-0000-0000-00007E1E0000}"/>
    <cellStyle name="Followed Hyperlink 2" xfId="23265" hidden="1" xr:uid="{00000000-0005-0000-0000-00007F1E0000}"/>
    <cellStyle name="Followed Hyperlink 2" xfId="23553" hidden="1" xr:uid="{00000000-0005-0000-0000-0000801E0000}"/>
    <cellStyle name="Followed Hyperlink 2" xfId="23556" hidden="1" xr:uid="{00000000-0005-0000-0000-0000811E0000}"/>
    <cellStyle name="Followed Hyperlink 2" xfId="23559" hidden="1" xr:uid="{00000000-0005-0000-0000-0000821E0000}"/>
    <cellStyle name="Followed Hyperlink 2" xfId="23563" hidden="1" xr:uid="{00000000-0005-0000-0000-0000831E0000}"/>
    <cellStyle name="Followed Hyperlink 2" xfId="23571" hidden="1" xr:uid="{00000000-0005-0000-0000-0000841E0000}"/>
    <cellStyle name="Followed Hyperlink 2" xfId="23568" hidden="1" xr:uid="{00000000-0005-0000-0000-0000851E0000}"/>
    <cellStyle name="Followed Hyperlink 2" xfId="23566" hidden="1" xr:uid="{00000000-0005-0000-0000-0000861E0000}"/>
    <cellStyle name="Followed Hyperlink 2" xfId="23567" hidden="1" xr:uid="{00000000-0005-0000-0000-0000871E0000}"/>
    <cellStyle name="Followed Hyperlink 2" xfId="23577" hidden="1" xr:uid="{00000000-0005-0000-0000-0000881E0000}"/>
    <cellStyle name="Followed Hyperlink 2" xfId="23580" hidden="1" xr:uid="{00000000-0005-0000-0000-0000891E0000}"/>
    <cellStyle name="Followed Hyperlink 2" xfId="23583" hidden="1" xr:uid="{00000000-0005-0000-0000-00008A1E0000}"/>
    <cellStyle name="Followed Hyperlink 2" xfId="23587" hidden="1" xr:uid="{00000000-0005-0000-0000-00008B1E0000}"/>
    <cellStyle name="Followed Hyperlink 2" xfId="23595" hidden="1" xr:uid="{00000000-0005-0000-0000-00008C1E0000}"/>
    <cellStyle name="Followed Hyperlink 2" xfId="23592" hidden="1" xr:uid="{00000000-0005-0000-0000-00008D1E0000}"/>
    <cellStyle name="Followed Hyperlink 2" xfId="23590" hidden="1" xr:uid="{00000000-0005-0000-0000-00008E1E0000}"/>
    <cellStyle name="Followed Hyperlink 2" xfId="23591" hidden="1" xr:uid="{00000000-0005-0000-0000-00008F1E0000}"/>
    <cellStyle name="Followed Hyperlink 2" xfId="23601" hidden="1" xr:uid="{00000000-0005-0000-0000-0000901E0000}"/>
    <cellStyle name="Followed Hyperlink 2" xfId="23604" hidden="1" xr:uid="{00000000-0005-0000-0000-0000911E0000}"/>
    <cellStyle name="Followed Hyperlink 2" xfId="23607" hidden="1" xr:uid="{00000000-0005-0000-0000-0000921E0000}"/>
    <cellStyle name="Followed Hyperlink 2" xfId="23611" hidden="1" xr:uid="{00000000-0005-0000-0000-0000931E0000}"/>
    <cellStyle name="Followed Hyperlink 2" xfId="23619" hidden="1" xr:uid="{00000000-0005-0000-0000-0000941E0000}"/>
    <cellStyle name="Followed Hyperlink 2" xfId="23616" hidden="1" xr:uid="{00000000-0005-0000-0000-0000951E0000}"/>
    <cellStyle name="Followed Hyperlink 2" xfId="23614" hidden="1" xr:uid="{00000000-0005-0000-0000-0000961E0000}"/>
    <cellStyle name="Followed Hyperlink 2" xfId="23615" hidden="1" xr:uid="{00000000-0005-0000-0000-0000971E0000}"/>
    <cellStyle name="Followed Hyperlink 2" xfId="23625" hidden="1" xr:uid="{00000000-0005-0000-0000-0000981E0000}"/>
    <cellStyle name="Followed Hyperlink 2" xfId="23628" hidden="1" xr:uid="{00000000-0005-0000-0000-0000991E0000}"/>
    <cellStyle name="Followed Hyperlink 2" xfId="23631" hidden="1" xr:uid="{00000000-0005-0000-0000-00009A1E0000}"/>
    <cellStyle name="Followed Hyperlink 2" xfId="23635" hidden="1" xr:uid="{00000000-0005-0000-0000-00009B1E0000}"/>
    <cellStyle name="Followed Hyperlink 2" xfId="23128" hidden="1" xr:uid="{00000000-0005-0000-0000-00009C1E0000}"/>
    <cellStyle name="Followed Hyperlink 2" xfId="23132" hidden="1" xr:uid="{00000000-0005-0000-0000-00009D1E0000}"/>
    <cellStyle name="Followed Hyperlink 2" xfId="23127" hidden="1" xr:uid="{00000000-0005-0000-0000-00009E1E0000}"/>
    <cellStyle name="Followed Hyperlink 2" xfId="23133" hidden="1" xr:uid="{00000000-0005-0000-0000-00009F1E0000}"/>
    <cellStyle name="Followed Hyperlink 2" xfId="23638" hidden="1" xr:uid="{00000000-0005-0000-0000-0000A01E0000}"/>
    <cellStyle name="Followed Hyperlink 2" xfId="23641" hidden="1" xr:uid="{00000000-0005-0000-0000-0000A11E0000}"/>
    <cellStyle name="Followed Hyperlink 2" xfId="23644" hidden="1" xr:uid="{00000000-0005-0000-0000-0000A21E0000}"/>
    <cellStyle name="Followed Hyperlink 2" xfId="23648" hidden="1" xr:uid="{00000000-0005-0000-0000-0000A31E0000}"/>
    <cellStyle name="Followed Hyperlink 2" xfId="23656" hidden="1" xr:uid="{00000000-0005-0000-0000-0000A41E0000}"/>
    <cellStyle name="Followed Hyperlink 2" xfId="23653" hidden="1" xr:uid="{00000000-0005-0000-0000-0000A51E0000}"/>
    <cellStyle name="Followed Hyperlink 2" xfId="23651" hidden="1" xr:uid="{00000000-0005-0000-0000-0000A61E0000}"/>
    <cellStyle name="Followed Hyperlink 2" xfId="23652" hidden="1" xr:uid="{00000000-0005-0000-0000-0000A71E0000}"/>
    <cellStyle name="Followed Hyperlink 2" xfId="23662" hidden="1" xr:uid="{00000000-0005-0000-0000-0000A81E0000}"/>
    <cellStyle name="Followed Hyperlink 2" xfId="23665" hidden="1" xr:uid="{00000000-0005-0000-0000-0000A91E0000}"/>
    <cellStyle name="Followed Hyperlink 2" xfId="23668" hidden="1" xr:uid="{00000000-0005-0000-0000-0000AA1E0000}"/>
    <cellStyle name="Followed Hyperlink 2" xfId="23672" hidden="1" xr:uid="{00000000-0005-0000-0000-0000AB1E0000}"/>
    <cellStyle name="Followed Hyperlink 2" xfId="23681" hidden="1" xr:uid="{00000000-0005-0000-0000-0000AC1E0000}"/>
    <cellStyle name="Followed Hyperlink 2" xfId="23678" hidden="1" xr:uid="{00000000-0005-0000-0000-0000AD1E0000}"/>
    <cellStyle name="Followed Hyperlink 2" xfId="23676" hidden="1" xr:uid="{00000000-0005-0000-0000-0000AE1E0000}"/>
    <cellStyle name="Followed Hyperlink 2" xfId="23677" hidden="1" xr:uid="{00000000-0005-0000-0000-0000AF1E0000}"/>
    <cellStyle name="Followed Hyperlink 2" xfId="23687" hidden="1" xr:uid="{00000000-0005-0000-0000-0000B01E0000}"/>
    <cellStyle name="Followed Hyperlink 2" xfId="23690" hidden="1" xr:uid="{00000000-0005-0000-0000-0000B11E0000}"/>
    <cellStyle name="Followed Hyperlink 2" xfId="23693" hidden="1" xr:uid="{00000000-0005-0000-0000-0000B21E0000}"/>
    <cellStyle name="Followed Hyperlink 2" xfId="23697" hidden="1" xr:uid="{00000000-0005-0000-0000-0000B31E0000}"/>
    <cellStyle name="Followed Hyperlink 2" xfId="23705" hidden="1" xr:uid="{00000000-0005-0000-0000-0000B41E0000}"/>
    <cellStyle name="Followed Hyperlink 2" xfId="23702" hidden="1" xr:uid="{00000000-0005-0000-0000-0000B51E0000}"/>
    <cellStyle name="Followed Hyperlink 2" xfId="23700" hidden="1" xr:uid="{00000000-0005-0000-0000-0000B61E0000}"/>
    <cellStyle name="Followed Hyperlink 2" xfId="23701" hidden="1" xr:uid="{00000000-0005-0000-0000-0000B71E0000}"/>
    <cellStyle name="Followed Hyperlink 2" xfId="23711" hidden="1" xr:uid="{00000000-0005-0000-0000-0000B81E0000}"/>
    <cellStyle name="Followed Hyperlink 2" xfId="23714" hidden="1" xr:uid="{00000000-0005-0000-0000-0000B91E0000}"/>
    <cellStyle name="Followed Hyperlink 2" xfId="23717" hidden="1" xr:uid="{00000000-0005-0000-0000-0000BA1E0000}"/>
    <cellStyle name="Followed Hyperlink 2" xfId="23721" hidden="1" xr:uid="{00000000-0005-0000-0000-0000BB1E0000}"/>
    <cellStyle name="Followed Hyperlink 2" xfId="23758" hidden="1" xr:uid="{00000000-0005-0000-0000-0000BC1E0000}"/>
    <cellStyle name="Followed Hyperlink 2" xfId="23755" hidden="1" xr:uid="{00000000-0005-0000-0000-0000BD1E0000}"/>
    <cellStyle name="Followed Hyperlink 2" xfId="23753" hidden="1" xr:uid="{00000000-0005-0000-0000-0000BE1E0000}"/>
    <cellStyle name="Followed Hyperlink 2" xfId="23754" hidden="1" xr:uid="{00000000-0005-0000-0000-0000BF1E0000}"/>
    <cellStyle name="Followed Hyperlink 2" xfId="23764" hidden="1" xr:uid="{00000000-0005-0000-0000-0000C01E0000}"/>
    <cellStyle name="Followed Hyperlink 2" xfId="23767" hidden="1" xr:uid="{00000000-0005-0000-0000-0000C11E0000}"/>
    <cellStyle name="Followed Hyperlink 2" xfId="23770" hidden="1" xr:uid="{00000000-0005-0000-0000-0000C21E0000}"/>
    <cellStyle name="Followed Hyperlink 2" xfId="23774" hidden="1" xr:uid="{00000000-0005-0000-0000-0000C31E0000}"/>
    <cellStyle name="Followed Hyperlink 2" xfId="23782" hidden="1" xr:uid="{00000000-0005-0000-0000-0000C41E0000}"/>
    <cellStyle name="Followed Hyperlink 2" xfId="23779" hidden="1" xr:uid="{00000000-0005-0000-0000-0000C51E0000}"/>
    <cellStyle name="Followed Hyperlink 2" xfId="23777" hidden="1" xr:uid="{00000000-0005-0000-0000-0000C61E0000}"/>
    <cellStyle name="Followed Hyperlink 2" xfId="23778" hidden="1" xr:uid="{00000000-0005-0000-0000-0000C71E0000}"/>
    <cellStyle name="Followed Hyperlink 2" xfId="23788" hidden="1" xr:uid="{00000000-0005-0000-0000-0000C81E0000}"/>
    <cellStyle name="Followed Hyperlink 2" xfId="23791" hidden="1" xr:uid="{00000000-0005-0000-0000-0000C91E0000}"/>
    <cellStyle name="Followed Hyperlink 2" xfId="23794" hidden="1" xr:uid="{00000000-0005-0000-0000-0000CA1E0000}"/>
    <cellStyle name="Followed Hyperlink 2" xfId="23798" hidden="1" xr:uid="{00000000-0005-0000-0000-0000CB1E0000}"/>
    <cellStyle name="Followed Hyperlink 2" xfId="23808" hidden="1" xr:uid="{00000000-0005-0000-0000-0000CC1E0000}"/>
    <cellStyle name="Followed Hyperlink 2" xfId="23805" hidden="1" xr:uid="{00000000-0005-0000-0000-0000CD1E0000}"/>
    <cellStyle name="Followed Hyperlink 2" xfId="23803" hidden="1" xr:uid="{00000000-0005-0000-0000-0000CE1E0000}"/>
    <cellStyle name="Followed Hyperlink 2" xfId="23804" hidden="1" xr:uid="{00000000-0005-0000-0000-0000CF1E0000}"/>
    <cellStyle name="Followed Hyperlink 2" xfId="23814" hidden="1" xr:uid="{00000000-0005-0000-0000-0000D01E0000}"/>
    <cellStyle name="Followed Hyperlink 2" xfId="23817" hidden="1" xr:uid="{00000000-0005-0000-0000-0000D11E0000}"/>
    <cellStyle name="Followed Hyperlink 2" xfId="23820" hidden="1" xr:uid="{00000000-0005-0000-0000-0000D21E0000}"/>
    <cellStyle name="Followed Hyperlink 2" xfId="23824" hidden="1" xr:uid="{00000000-0005-0000-0000-0000D31E0000}"/>
    <cellStyle name="Followed Hyperlink 2" xfId="23832" hidden="1" xr:uid="{00000000-0005-0000-0000-0000D41E0000}"/>
    <cellStyle name="Followed Hyperlink 2" xfId="23829" hidden="1" xr:uid="{00000000-0005-0000-0000-0000D51E0000}"/>
    <cellStyle name="Followed Hyperlink 2" xfId="23827" hidden="1" xr:uid="{00000000-0005-0000-0000-0000D61E0000}"/>
    <cellStyle name="Followed Hyperlink 2" xfId="23828" hidden="1" xr:uid="{00000000-0005-0000-0000-0000D71E0000}"/>
    <cellStyle name="Followed Hyperlink 2" xfId="23838" hidden="1" xr:uid="{00000000-0005-0000-0000-0000D81E0000}"/>
    <cellStyle name="Followed Hyperlink 2" xfId="23841" hidden="1" xr:uid="{00000000-0005-0000-0000-0000D91E0000}"/>
    <cellStyle name="Followed Hyperlink 2" xfId="23844" hidden="1" xr:uid="{00000000-0005-0000-0000-0000DA1E0000}"/>
    <cellStyle name="Followed Hyperlink 2" xfId="23848" hidden="1" xr:uid="{00000000-0005-0000-0000-0000DB1E0000}"/>
    <cellStyle name="Followed Hyperlink 2" xfId="23725" hidden="1" xr:uid="{00000000-0005-0000-0000-0000DC1E0000}"/>
    <cellStyle name="Followed Hyperlink 2" xfId="23729" hidden="1" xr:uid="{00000000-0005-0000-0000-0000DD1E0000}"/>
    <cellStyle name="Followed Hyperlink 2" xfId="23724" hidden="1" xr:uid="{00000000-0005-0000-0000-0000DE1E0000}"/>
    <cellStyle name="Followed Hyperlink 2" xfId="23730" hidden="1" xr:uid="{00000000-0005-0000-0000-0000DF1E0000}"/>
    <cellStyle name="Followed Hyperlink 2" xfId="23851" hidden="1" xr:uid="{00000000-0005-0000-0000-0000E01E0000}"/>
    <cellStyle name="Followed Hyperlink 2" xfId="23854" hidden="1" xr:uid="{00000000-0005-0000-0000-0000E11E0000}"/>
    <cellStyle name="Followed Hyperlink 2" xfId="23857" hidden="1" xr:uid="{00000000-0005-0000-0000-0000E21E0000}"/>
    <cellStyle name="Followed Hyperlink 2" xfId="23861" hidden="1" xr:uid="{00000000-0005-0000-0000-0000E31E0000}"/>
    <cellStyle name="Followed Hyperlink 2" xfId="23869" hidden="1" xr:uid="{00000000-0005-0000-0000-0000E41E0000}"/>
    <cellStyle name="Followed Hyperlink 2" xfId="23866" hidden="1" xr:uid="{00000000-0005-0000-0000-0000E51E0000}"/>
    <cellStyle name="Followed Hyperlink 2" xfId="23864" hidden="1" xr:uid="{00000000-0005-0000-0000-0000E61E0000}"/>
    <cellStyle name="Followed Hyperlink 2" xfId="23865" hidden="1" xr:uid="{00000000-0005-0000-0000-0000E71E0000}"/>
    <cellStyle name="Followed Hyperlink 2" xfId="23875" hidden="1" xr:uid="{00000000-0005-0000-0000-0000E81E0000}"/>
    <cellStyle name="Followed Hyperlink 2" xfId="23878" hidden="1" xr:uid="{00000000-0005-0000-0000-0000E91E0000}"/>
    <cellStyle name="Followed Hyperlink 2" xfId="23881" hidden="1" xr:uid="{00000000-0005-0000-0000-0000EA1E0000}"/>
    <cellStyle name="Followed Hyperlink 2" xfId="23885" hidden="1" xr:uid="{00000000-0005-0000-0000-0000EB1E0000}"/>
    <cellStyle name="Followed Hyperlink 2" xfId="23894" hidden="1" xr:uid="{00000000-0005-0000-0000-0000EC1E0000}"/>
    <cellStyle name="Followed Hyperlink 2" xfId="23891" hidden="1" xr:uid="{00000000-0005-0000-0000-0000ED1E0000}"/>
    <cellStyle name="Followed Hyperlink 2" xfId="23889" hidden="1" xr:uid="{00000000-0005-0000-0000-0000EE1E0000}"/>
    <cellStyle name="Followed Hyperlink 2" xfId="23890" hidden="1" xr:uid="{00000000-0005-0000-0000-0000EF1E0000}"/>
    <cellStyle name="Followed Hyperlink 2" xfId="23900" hidden="1" xr:uid="{00000000-0005-0000-0000-0000F01E0000}"/>
    <cellStyle name="Followed Hyperlink 2" xfId="23903" hidden="1" xr:uid="{00000000-0005-0000-0000-0000F11E0000}"/>
    <cellStyle name="Followed Hyperlink 2" xfId="23906" hidden="1" xr:uid="{00000000-0005-0000-0000-0000F21E0000}"/>
    <cellStyle name="Followed Hyperlink 2" xfId="23910" hidden="1" xr:uid="{00000000-0005-0000-0000-0000F31E0000}"/>
    <cellStyle name="Followed Hyperlink 2" xfId="23918" hidden="1" xr:uid="{00000000-0005-0000-0000-0000F41E0000}"/>
    <cellStyle name="Followed Hyperlink 2" xfId="23915" hidden="1" xr:uid="{00000000-0005-0000-0000-0000F51E0000}"/>
    <cellStyle name="Followed Hyperlink 2" xfId="23913" hidden="1" xr:uid="{00000000-0005-0000-0000-0000F61E0000}"/>
    <cellStyle name="Followed Hyperlink 2" xfId="23914" hidden="1" xr:uid="{00000000-0005-0000-0000-0000F71E0000}"/>
    <cellStyle name="Followed Hyperlink 2" xfId="23924" hidden="1" xr:uid="{00000000-0005-0000-0000-0000F81E0000}"/>
    <cellStyle name="Followed Hyperlink 2" xfId="23927" hidden="1" xr:uid="{00000000-0005-0000-0000-0000F91E0000}"/>
    <cellStyle name="Followed Hyperlink 2" xfId="23930" hidden="1" xr:uid="{00000000-0005-0000-0000-0000FA1E0000}"/>
    <cellStyle name="Followed Hyperlink 2" xfId="23934" hidden="1" xr:uid="{00000000-0005-0000-0000-0000FB1E0000}"/>
    <cellStyle name="Followed Hyperlink 2" xfId="23743" hidden="1" xr:uid="{00000000-0005-0000-0000-0000FC1E0000}"/>
    <cellStyle name="Followed Hyperlink 2" xfId="23740" hidden="1" xr:uid="{00000000-0005-0000-0000-0000FD1E0000}"/>
    <cellStyle name="Followed Hyperlink 2" xfId="23734" hidden="1" xr:uid="{00000000-0005-0000-0000-0000FE1E0000}"/>
    <cellStyle name="Followed Hyperlink 2" xfId="23739" hidden="1" xr:uid="{00000000-0005-0000-0000-0000FF1E0000}"/>
    <cellStyle name="Followed Hyperlink 2" xfId="23937" hidden="1" xr:uid="{00000000-0005-0000-0000-0000001F0000}"/>
    <cellStyle name="Followed Hyperlink 2" xfId="23940" hidden="1" xr:uid="{00000000-0005-0000-0000-0000011F0000}"/>
    <cellStyle name="Followed Hyperlink 2" xfId="23943" hidden="1" xr:uid="{00000000-0005-0000-0000-0000021F0000}"/>
    <cellStyle name="Followed Hyperlink 2" xfId="23947" hidden="1" xr:uid="{00000000-0005-0000-0000-0000031F0000}"/>
    <cellStyle name="Followed Hyperlink 2" xfId="23955" hidden="1" xr:uid="{00000000-0005-0000-0000-0000041F0000}"/>
    <cellStyle name="Followed Hyperlink 2" xfId="23952" hidden="1" xr:uid="{00000000-0005-0000-0000-0000051F0000}"/>
    <cellStyle name="Followed Hyperlink 2" xfId="23950" hidden="1" xr:uid="{00000000-0005-0000-0000-0000061F0000}"/>
    <cellStyle name="Followed Hyperlink 2" xfId="23951" hidden="1" xr:uid="{00000000-0005-0000-0000-0000071F0000}"/>
    <cellStyle name="Followed Hyperlink 2" xfId="23961" hidden="1" xr:uid="{00000000-0005-0000-0000-0000081F0000}"/>
    <cellStyle name="Followed Hyperlink 2" xfId="23964" hidden="1" xr:uid="{00000000-0005-0000-0000-0000091F0000}"/>
    <cellStyle name="Followed Hyperlink 2" xfId="23967" hidden="1" xr:uid="{00000000-0005-0000-0000-00000A1F0000}"/>
    <cellStyle name="Followed Hyperlink 2" xfId="23971" hidden="1" xr:uid="{00000000-0005-0000-0000-00000B1F0000}"/>
    <cellStyle name="Followed Hyperlink 2" xfId="23980" hidden="1" xr:uid="{00000000-0005-0000-0000-00000C1F0000}"/>
    <cellStyle name="Followed Hyperlink 2" xfId="23977" hidden="1" xr:uid="{00000000-0005-0000-0000-00000D1F0000}"/>
    <cellStyle name="Followed Hyperlink 2" xfId="23975" hidden="1" xr:uid="{00000000-0005-0000-0000-00000E1F0000}"/>
    <cellStyle name="Followed Hyperlink 2" xfId="23976" hidden="1" xr:uid="{00000000-0005-0000-0000-00000F1F0000}"/>
    <cellStyle name="Followed Hyperlink 2" xfId="23986" hidden="1" xr:uid="{00000000-0005-0000-0000-0000101F0000}"/>
    <cellStyle name="Followed Hyperlink 2" xfId="23989" hidden="1" xr:uid="{00000000-0005-0000-0000-0000111F0000}"/>
    <cellStyle name="Followed Hyperlink 2" xfId="23992" hidden="1" xr:uid="{00000000-0005-0000-0000-0000121F0000}"/>
    <cellStyle name="Followed Hyperlink 2" xfId="23996" hidden="1" xr:uid="{00000000-0005-0000-0000-0000131F0000}"/>
    <cellStyle name="Followed Hyperlink 2" xfId="24004" hidden="1" xr:uid="{00000000-0005-0000-0000-0000141F0000}"/>
    <cellStyle name="Followed Hyperlink 2" xfId="24001" hidden="1" xr:uid="{00000000-0005-0000-0000-0000151F0000}"/>
    <cellStyle name="Followed Hyperlink 2" xfId="23999" hidden="1" xr:uid="{00000000-0005-0000-0000-0000161F0000}"/>
    <cellStyle name="Followed Hyperlink 2" xfId="24000" hidden="1" xr:uid="{00000000-0005-0000-0000-0000171F0000}"/>
    <cellStyle name="Followed Hyperlink 2" xfId="24010" hidden="1" xr:uid="{00000000-0005-0000-0000-0000181F0000}"/>
    <cellStyle name="Followed Hyperlink 2" xfId="24013" hidden="1" xr:uid="{00000000-0005-0000-0000-0000191F0000}"/>
    <cellStyle name="Followed Hyperlink 2" xfId="24016" hidden="1" xr:uid="{00000000-0005-0000-0000-00001A1F0000}"/>
    <cellStyle name="Followed Hyperlink 2" xfId="24020" hidden="1" xr:uid="{00000000-0005-0000-0000-00001B1F0000}"/>
    <cellStyle name="Followed Hyperlink 2" xfId="23751" hidden="1" xr:uid="{00000000-0005-0000-0000-00001C1F0000}"/>
    <cellStyle name="Followed Hyperlink 2" xfId="23747" hidden="1" xr:uid="{00000000-0005-0000-0000-00001D1F0000}"/>
    <cellStyle name="Followed Hyperlink 2" xfId="23748" hidden="1" xr:uid="{00000000-0005-0000-0000-00001E1F0000}"/>
    <cellStyle name="Followed Hyperlink 2" xfId="23735" hidden="1" xr:uid="{00000000-0005-0000-0000-00001F1F0000}"/>
    <cellStyle name="Followed Hyperlink 2" xfId="24023" hidden="1" xr:uid="{00000000-0005-0000-0000-0000201F0000}"/>
    <cellStyle name="Followed Hyperlink 2" xfId="24026" hidden="1" xr:uid="{00000000-0005-0000-0000-0000211F0000}"/>
    <cellStyle name="Followed Hyperlink 2" xfId="24029" hidden="1" xr:uid="{00000000-0005-0000-0000-0000221F0000}"/>
    <cellStyle name="Followed Hyperlink 2" xfId="24033" hidden="1" xr:uid="{00000000-0005-0000-0000-0000231F0000}"/>
    <cellStyle name="Followed Hyperlink 2" xfId="24041" hidden="1" xr:uid="{00000000-0005-0000-0000-0000241F0000}"/>
    <cellStyle name="Followed Hyperlink 2" xfId="24038" hidden="1" xr:uid="{00000000-0005-0000-0000-0000251F0000}"/>
    <cellStyle name="Followed Hyperlink 2" xfId="24036" hidden="1" xr:uid="{00000000-0005-0000-0000-0000261F0000}"/>
    <cellStyle name="Followed Hyperlink 2" xfId="24037" hidden="1" xr:uid="{00000000-0005-0000-0000-0000271F0000}"/>
    <cellStyle name="Followed Hyperlink 2" xfId="24047" hidden="1" xr:uid="{00000000-0005-0000-0000-0000281F0000}"/>
    <cellStyle name="Followed Hyperlink 2" xfId="24050" hidden="1" xr:uid="{00000000-0005-0000-0000-0000291F0000}"/>
    <cellStyle name="Followed Hyperlink 2" xfId="24053" hidden="1" xr:uid="{00000000-0005-0000-0000-00002A1F0000}"/>
    <cellStyle name="Followed Hyperlink 2" xfId="24057" hidden="1" xr:uid="{00000000-0005-0000-0000-00002B1F0000}"/>
    <cellStyle name="Followed Hyperlink 2" xfId="24065" hidden="1" xr:uid="{00000000-0005-0000-0000-00002C1F0000}"/>
    <cellStyle name="Followed Hyperlink 2" xfId="24062" hidden="1" xr:uid="{00000000-0005-0000-0000-00002D1F0000}"/>
    <cellStyle name="Followed Hyperlink 2" xfId="24060" hidden="1" xr:uid="{00000000-0005-0000-0000-00002E1F0000}"/>
    <cellStyle name="Followed Hyperlink 2" xfId="24061" hidden="1" xr:uid="{00000000-0005-0000-0000-00002F1F0000}"/>
    <cellStyle name="Followed Hyperlink 2" xfId="24071" hidden="1" xr:uid="{00000000-0005-0000-0000-0000301F0000}"/>
    <cellStyle name="Followed Hyperlink 2" xfId="24074" hidden="1" xr:uid="{00000000-0005-0000-0000-0000311F0000}"/>
    <cellStyle name="Followed Hyperlink 2" xfId="24077" hidden="1" xr:uid="{00000000-0005-0000-0000-0000321F0000}"/>
    <cellStyle name="Followed Hyperlink 2" xfId="24081" hidden="1" xr:uid="{00000000-0005-0000-0000-0000331F0000}"/>
    <cellStyle name="Followed Hyperlink 2" xfId="24089" hidden="1" xr:uid="{00000000-0005-0000-0000-0000341F0000}"/>
    <cellStyle name="Followed Hyperlink 2" xfId="24086" hidden="1" xr:uid="{00000000-0005-0000-0000-0000351F0000}"/>
    <cellStyle name="Followed Hyperlink 2" xfId="24084" hidden="1" xr:uid="{00000000-0005-0000-0000-0000361F0000}"/>
    <cellStyle name="Followed Hyperlink 2" xfId="24085" hidden="1" xr:uid="{00000000-0005-0000-0000-0000371F0000}"/>
    <cellStyle name="Followed Hyperlink 2" xfId="24095" hidden="1" xr:uid="{00000000-0005-0000-0000-0000381F0000}"/>
    <cellStyle name="Followed Hyperlink 2" xfId="24098" hidden="1" xr:uid="{00000000-0005-0000-0000-0000391F0000}"/>
    <cellStyle name="Followed Hyperlink 2" xfId="24101" hidden="1" xr:uid="{00000000-0005-0000-0000-00003A1F0000}"/>
    <cellStyle name="Followed Hyperlink 2" xfId="24105" hidden="1" xr:uid="{00000000-0005-0000-0000-00003B1F0000}"/>
    <cellStyle name="Followed Hyperlink 2" xfId="23146" hidden="1" xr:uid="{00000000-0005-0000-0000-00003C1F0000}"/>
    <cellStyle name="Followed Hyperlink 2" xfId="23143" hidden="1" xr:uid="{00000000-0005-0000-0000-00003D1F0000}"/>
    <cellStyle name="Followed Hyperlink 2" xfId="23137" hidden="1" xr:uid="{00000000-0005-0000-0000-00003E1F0000}"/>
    <cellStyle name="Followed Hyperlink 2" xfId="23142" hidden="1" xr:uid="{00000000-0005-0000-0000-00003F1F0000}"/>
    <cellStyle name="Followed Hyperlink 2" xfId="24108" hidden="1" xr:uid="{00000000-0005-0000-0000-0000401F0000}"/>
    <cellStyle name="Followed Hyperlink 2" xfId="24111" hidden="1" xr:uid="{00000000-0005-0000-0000-0000411F0000}"/>
    <cellStyle name="Followed Hyperlink 2" xfId="24114" hidden="1" xr:uid="{00000000-0005-0000-0000-0000421F0000}"/>
    <cellStyle name="Followed Hyperlink 2" xfId="24118" hidden="1" xr:uid="{00000000-0005-0000-0000-0000431F0000}"/>
    <cellStyle name="Followed Hyperlink 2" xfId="24126" hidden="1" xr:uid="{00000000-0005-0000-0000-0000441F0000}"/>
    <cellStyle name="Followed Hyperlink 2" xfId="24123" hidden="1" xr:uid="{00000000-0005-0000-0000-0000451F0000}"/>
    <cellStyle name="Followed Hyperlink 2" xfId="24121" hidden="1" xr:uid="{00000000-0005-0000-0000-0000461F0000}"/>
    <cellStyle name="Followed Hyperlink 2" xfId="24122" hidden="1" xr:uid="{00000000-0005-0000-0000-0000471F0000}"/>
    <cellStyle name="Followed Hyperlink 2" xfId="24132" hidden="1" xr:uid="{00000000-0005-0000-0000-0000481F0000}"/>
    <cellStyle name="Followed Hyperlink 2" xfId="24135" hidden="1" xr:uid="{00000000-0005-0000-0000-0000491F0000}"/>
    <cellStyle name="Followed Hyperlink 2" xfId="24138" hidden="1" xr:uid="{00000000-0005-0000-0000-00004A1F0000}"/>
    <cellStyle name="Followed Hyperlink 2" xfId="24142" hidden="1" xr:uid="{00000000-0005-0000-0000-00004B1F0000}"/>
    <cellStyle name="Followed Hyperlink 2" xfId="24151" hidden="1" xr:uid="{00000000-0005-0000-0000-00004C1F0000}"/>
    <cellStyle name="Followed Hyperlink 2" xfId="24148" hidden="1" xr:uid="{00000000-0005-0000-0000-00004D1F0000}"/>
    <cellStyle name="Followed Hyperlink 2" xfId="24146" hidden="1" xr:uid="{00000000-0005-0000-0000-00004E1F0000}"/>
    <cellStyle name="Followed Hyperlink 2" xfId="24147" hidden="1" xr:uid="{00000000-0005-0000-0000-00004F1F0000}"/>
    <cellStyle name="Followed Hyperlink 2" xfId="24157" hidden="1" xr:uid="{00000000-0005-0000-0000-0000501F0000}"/>
    <cellStyle name="Followed Hyperlink 2" xfId="24160" hidden="1" xr:uid="{00000000-0005-0000-0000-0000511F0000}"/>
    <cellStyle name="Followed Hyperlink 2" xfId="24163" hidden="1" xr:uid="{00000000-0005-0000-0000-0000521F0000}"/>
    <cellStyle name="Followed Hyperlink 2" xfId="24167" hidden="1" xr:uid="{00000000-0005-0000-0000-0000531F0000}"/>
    <cellStyle name="Followed Hyperlink 2" xfId="24175" hidden="1" xr:uid="{00000000-0005-0000-0000-0000541F0000}"/>
    <cellStyle name="Followed Hyperlink 2" xfId="24172" hidden="1" xr:uid="{00000000-0005-0000-0000-0000551F0000}"/>
    <cellStyle name="Followed Hyperlink 2" xfId="24170" hidden="1" xr:uid="{00000000-0005-0000-0000-0000561F0000}"/>
    <cellStyle name="Followed Hyperlink 2" xfId="24171" hidden="1" xr:uid="{00000000-0005-0000-0000-0000571F0000}"/>
    <cellStyle name="Followed Hyperlink 2" xfId="24181" hidden="1" xr:uid="{00000000-0005-0000-0000-0000581F0000}"/>
    <cellStyle name="Followed Hyperlink 2" xfId="24184" hidden="1" xr:uid="{00000000-0005-0000-0000-0000591F0000}"/>
    <cellStyle name="Followed Hyperlink 2" xfId="24187" hidden="1" xr:uid="{00000000-0005-0000-0000-00005A1F0000}"/>
    <cellStyle name="Followed Hyperlink 2" xfId="24191" hidden="1" xr:uid="{00000000-0005-0000-0000-00005B1F0000}"/>
    <cellStyle name="Followed Hyperlink 2" xfId="24228" hidden="1" xr:uid="{00000000-0005-0000-0000-00005C1F0000}"/>
    <cellStyle name="Followed Hyperlink 2" xfId="24225" hidden="1" xr:uid="{00000000-0005-0000-0000-00005D1F0000}"/>
    <cellStyle name="Followed Hyperlink 2" xfId="24223" hidden="1" xr:uid="{00000000-0005-0000-0000-00005E1F0000}"/>
    <cellStyle name="Followed Hyperlink 2" xfId="24224" hidden="1" xr:uid="{00000000-0005-0000-0000-00005F1F0000}"/>
    <cellStyle name="Followed Hyperlink 2" xfId="24234" hidden="1" xr:uid="{00000000-0005-0000-0000-0000601F0000}"/>
    <cellStyle name="Followed Hyperlink 2" xfId="24237" hidden="1" xr:uid="{00000000-0005-0000-0000-0000611F0000}"/>
    <cellStyle name="Followed Hyperlink 2" xfId="24240" hidden="1" xr:uid="{00000000-0005-0000-0000-0000621F0000}"/>
    <cellStyle name="Followed Hyperlink 2" xfId="24244" hidden="1" xr:uid="{00000000-0005-0000-0000-0000631F0000}"/>
    <cellStyle name="Followed Hyperlink 2" xfId="24252" hidden="1" xr:uid="{00000000-0005-0000-0000-0000641F0000}"/>
    <cellStyle name="Followed Hyperlink 2" xfId="24249" hidden="1" xr:uid="{00000000-0005-0000-0000-0000651F0000}"/>
    <cellStyle name="Followed Hyperlink 2" xfId="24247" hidden="1" xr:uid="{00000000-0005-0000-0000-0000661F0000}"/>
    <cellStyle name="Followed Hyperlink 2" xfId="24248" hidden="1" xr:uid="{00000000-0005-0000-0000-0000671F0000}"/>
    <cellStyle name="Followed Hyperlink 2" xfId="24258" hidden="1" xr:uid="{00000000-0005-0000-0000-0000681F0000}"/>
    <cellStyle name="Followed Hyperlink 2" xfId="24261" hidden="1" xr:uid="{00000000-0005-0000-0000-0000691F0000}"/>
    <cellStyle name="Followed Hyperlink 2" xfId="24264" hidden="1" xr:uid="{00000000-0005-0000-0000-00006A1F0000}"/>
    <cellStyle name="Followed Hyperlink 2" xfId="24268" hidden="1" xr:uid="{00000000-0005-0000-0000-00006B1F0000}"/>
    <cellStyle name="Followed Hyperlink 2" xfId="24278" hidden="1" xr:uid="{00000000-0005-0000-0000-00006C1F0000}"/>
    <cellStyle name="Followed Hyperlink 2" xfId="24275" hidden="1" xr:uid="{00000000-0005-0000-0000-00006D1F0000}"/>
    <cellStyle name="Followed Hyperlink 2" xfId="24273" hidden="1" xr:uid="{00000000-0005-0000-0000-00006E1F0000}"/>
    <cellStyle name="Followed Hyperlink 2" xfId="24274" hidden="1" xr:uid="{00000000-0005-0000-0000-00006F1F0000}"/>
    <cellStyle name="Followed Hyperlink 2" xfId="24284" hidden="1" xr:uid="{00000000-0005-0000-0000-0000701F0000}"/>
    <cellStyle name="Followed Hyperlink 2" xfId="24287" hidden="1" xr:uid="{00000000-0005-0000-0000-0000711F0000}"/>
    <cellStyle name="Followed Hyperlink 2" xfId="24290" hidden="1" xr:uid="{00000000-0005-0000-0000-0000721F0000}"/>
    <cellStyle name="Followed Hyperlink 2" xfId="24294" hidden="1" xr:uid="{00000000-0005-0000-0000-0000731F0000}"/>
    <cellStyle name="Followed Hyperlink 2" xfId="24302" hidden="1" xr:uid="{00000000-0005-0000-0000-0000741F0000}"/>
    <cellStyle name="Followed Hyperlink 2" xfId="24299" hidden="1" xr:uid="{00000000-0005-0000-0000-0000751F0000}"/>
    <cellStyle name="Followed Hyperlink 2" xfId="24297" hidden="1" xr:uid="{00000000-0005-0000-0000-0000761F0000}"/>
    <cellStyle name="Followed Hyperlink 2" xfId="24298" hidden="1" xr:uid="{00000000-0005-0000-0000-0000771F0000}"/>
    <cellStyle name="Followed Hyperlink 2" xfId="24308" hidden="1" xr:uid="{00000000-0005-0000-0000-0000781F0000}"/>
    <cellStyle name="Followed Hyperlink 2" xfId="24311" hidden="1" xr:uid="{00000000-0005-0000-0000-0000791F0000}"/>
    <cellStyle name="Followed Hyperlink 2" xfId="24314" hidden="1" xr:uid="{00000000-0005-0000-0000-00007A1F0000}"/>
    <cellStyle name="Followed Hyperlink 2" xfId="24318" hidden="1" xr:uid="{00000000-0005-0000-0000-00007B1F0000}"/>
    <cellStyle name="Followed Hyperlink 2" xfId="24195" hidden="1" xr:uid="{00000000-0005-0000-0000-00007C1F0000}"/>
    <cellStyle name="Followed Hyperlink 2" xfId="24199" hidden="1" xr:uid="{00000000-0005-0000-0000-00007D1F0000}"/>
    <cellStyle name="Followed Hyperlink 2" xfId="24194" hidden="1" xr:uid="{00000000-0005-0000-0000-00007E1F0000}"/>
    <cellStyle name="Followed Hyperlink 2" xfId="24200" hidden="1" xr:uid="{00000000-0005-0000-0000-00007F1F0000}"/>
    <cellStyle name="Followed Hyperlink 2" xfId="24321" hidden="1" xr:uid="{00000000-0005-0000-0000-0000801F0000}"/>
    <cellStyle name="Followed Hyperlink 2" xfId="24324" hidden="1" xr:uid="{00000000-0005-0000-0000-0000811F0000}"/>
    <cellStyle name="Followed Hyperlink 2" xfId="24327" hidden="1" xr:uid="{00000000-0005-0000-0000-0000821F0000}"/>
    <cellStyle name="Followed Hyperlink 2" xfId="24331" hidden="1" xr:uid="{00000000-0005-0000-0000-0000831F0000}"/>
    <cellStyle name="Followed Hyperlink 2" xfId="24339" hidden="1" xr:uid="{00000000-0005-0000-0000-0000841F0000}"/>
    <cellStyle name="Followed Hyperlink 2" xfId="24336" hidden="1" xr:uid="{00000000-0005-0000-0000-0000851F0000}"/>
    <cellStyle name="Followed Hyperlink 2" xfId="24334" hidden="1" xr:uid="{00000000-0005-0000-0000-0000861F0000}"/>
    <cellStyle name="Followed Hyperlink 2" xfId="24335" hidden="1" xr:uid="{00000000-0005-0000-0000-0000871F0000}"/>
    <cellStyle name="Followed Hyperlink 2" xfId="24345" hidden="1" xr:uid="{00000000-0005-0000-0000-0000881F0000}"/>
    <cellStyle name="Followed Hyperlink 2" xfId="24348" hidden="1" xr:uid="{00000000-0005-0000-0000-0000891F0000}"/>
    <cellStyle name="Followed Hyperlink 2" xfId="24351" hidden="1" xr:uid="{00000000-0005-0000-0000-00008A1F0000}"/>
    <cellStyle name="Followed Hyperlink 2" xfId="24355" hidden="1" xr:uid="{00000000-0005-0000-0000-00008B1F0000}"/>
    <cellStyle name="Followed Hyperlink 2" xfId="24364" hidden="1" xr:uid="{00000000-0005-0000-0000-00008C1F0000}"/>
    <cellStyle name="Followed Hyperlink 2" xfId="24361" hidden="1" xr:uid="{00000000-0005-0000-0000-00008D1F0000}"/>
    <cellStyle name="Followed Hyperlink 2" xfId="24359" hidden="1" xr:uid="{00000000-0005-0000-0000-00008E1F0000}"/>
    <cellStyle name="Followed Hyperlink 2" xfId="24360" hidden="1" xr:uid="{00000000-0005-0000-0000-00008F1F0000}"/>
    <cellStyle name="Followed Hyperlink 2" xfId="24370" hidden="1" xr:uid="{00000000-0005-0000-0000-0000901F0000}"/>
    <cellStyle name="Followed Hyperlink 2" xfId="24373" hidden="1" xr:uid="{00000000-0005-0000-0000-0000911F0000}"/>
    <cellStyle name="Followed Hyperlink 2" xfId="24376" hidden="1" xr:uid="{00000000-0005-0000-0000-0000921F0000}"/>
    <cellStyle name="Followed Hyperlink 2" xfId="24380" hidden="1" xr:uid="{00000000-0005-0000-0000-0000931F0000}"/>
    <cellStyle name="Followed Hyperlink 2" xfId="24388" hidden="1" xr:uid="{00000000-0005-0000-0000-0000941F0000}"/>
    <cellStyle name="Followed Hyperlink 2" xfId="24385" hidden="1" xr:uid="{00000000-0005-0000-0000-0000951F0000}"/>
    <cellStyle name="Followed Hyperlink 2" xfId="24383" hidden="1" xr:uid="{00000000-0005-0000-0000-0000961F0000}"/>
    <cellStyle name="Followed Hyperlink 2" xfId="24384" hidden="1" xr:uid="{00000000-0005-0000-0000-0000971F0000}"/>
    <cellStyle name="Followed Hyperlink 2" xfId="24394" hidden="1" xr:uid="{00000000-0005-0000-0000-0000981F0000}"/>
    <cellStyle name="Followed Hyperlink 2" xfId="24397" hidden="1" xr:uid="{00000000-0005-0000-0000-0000991F0000}"/>
    <cellStyle name="Followed Hyperlink 2" xfId="24400" hidden="1" xr:uid="{00000000-0005-0000-0000-00009A1F0000}"/>
    <cellStyle name="Followed Hyperlink 2" xfId="24404" hidden="1" xr:uid="{00000000-0005-0000-0000-00009B1F0000}"/>
    <cellStyle name="Followed Hyperlink 2" xfId="24213" hidden="1" xr:uid="{00000000-0005-0000-0000-00009C1F0000}"/>
    <cellStyle name="Followed Hyperlink 2" xfId="24210" hidden="1" xr:uid="{00000000-0005-0000-0000-00009D1F0000}"/>
    <cellStyle name="Followed Hyperlink 2" xfId="24204" hidden="1" xr:uid="{00000000-0005-0000-0000-00009E1F0000}"/>
    <cellStyle name="Followed Hyperlink 2" xfId="24209" hidden="1" xr:uid="{00000000-0005-0000-0000-00009F1F0000}"/>
    <cellStyle name="Followed Hyperlink 2" xfId="24407" hidden="1" xr:uid="{00000000-0005-0000-0000-0000A01F0000}"/>
    <cellStyle name="Followed Hyperlink 2" xfId="24410" hidden="1" xr:uid="{00000000-0005-0000-0000-0000A11F0000}"/>
    <cellStyle name="Followed Hyperlink 2" xfId="24413" hidden="1" xr:uid="{00000000-0005-0000-0000-0000A21F0000}"/>
    <cellStyle name="Followed Hyperlink 2" xfId="24417" hidden="1" xr:uid="{00000000-0005-0000-0000-0000A31F0000}"/>
    <cellStyle name="Followed Hyperlink 2" xfId="24425" hidden="1" xr:uid="{00000000-0005-0000-0000-0000A41F0000}"/>
    <cellStyle name="Followed Hyperlink 2" xfId="24422" hidden="1" xr:uid="{00000000-0005-0000-0000-0000A51F0000}"/>
    <cellStyle name="Followed Hyperlink 2" xfId="24420" hidden="1" xr:uid="{00000000-0005-0000-0000-0000A61F0000}"/>
    <cellStyle name="Followed Hyperlink 2" xfId="24421" hidden="1" xr:uid="{00000000-0005-0000-0000-0000A71F0000}"/>
    <cellStyle name="Followed Hyperlink 2" xfId="24431" hidden="1" xr:uid="{00000000-0005-0000-0000-0000A81F0000}"/>
    <cellStyle name="Followed Hyperlink 2" xfId="24434" hidden="1" xr:uid="{00000000-0005-0000-0000-0000A91F0000}"/>
    <cellStyle name="Followed Hyperlink 2" xfId="24437" hidden="1" xr:uid="{00000000-0005-0000-0000-0000AA1F0000}"/>
    <cellStyle name="Followed Hyperlink 2" xfId="24441" hidden="1" xr:uid="{00000000-0005-0000-0000-0000AB1F0000}"/>
    <cellStyle name="Followed Hyperlink 2" xfId="24450" hidden="1" xr:uid="{00000000-0005-0000-0000-0000AC1F0000}"/>
    <cellStyle name="Followed Hyperlink 2" xfId="24447" hidden="1" xr:uid="{00000000-0005-0000-0000-0000AD1F0000}"/>
    <cellStyle name="Followed Hyperlink 2" xfId="24445" hidden="1" xr:uid="{00000000-0005-0000-0000-0000AE1F0000}"/>
    <cellStyle name="Followed Hyperlink 2" xfId="24446" hidden="1" xr:uid="{00000000-0005-0000-0000-0000AF1F0000}"/>
    <cellStyle name="Followed Hyperlink 2" xfId="24456" hidden="1" xr:uid="{00000000-0005-0000-0000-0000B01F0000}"/>
    <cellStyle name="Followed Hyperlink 2" xfId="24459" hidden="1" xr:uid="{00000000-0005-0000-0000-0000B11F0000}"/>
    <cellStyle name="Followed Hyperlink 2" xfId="24462" hidden="1" xr:uid="{00000000-0005-0000-0000-0000B21F0000}"/>
    <cellStyle name="Followed Hyperlink 2" xfId="24466" hidden="1" xr:uid="{00000000-0005-0000-0000-0000B31F0000}"/>
    <cellStyle name="Followed Hyperlink 2" xfId="24474" hidden="1" xr:uid="{00000000-0005-0000-0000-0000B41F0000}"/>
    <cellStyle name="Followed Hyperlink 2" xfId="24471" hidden="1" xr:uid="{00000000-0005-0000-0000-0000B51F0000}"/>
    <cellStyle name="Followed Hyperlink 2" xfId="24469" hidden="1" xr:uid="{00000000-0005-0000-0000-0000B61F0000}"/>
    <cellStyle name="Followed Hyperlink 2" xfId="24470" hidden="1" xr:uid="{00000000-0005-0000-0000-0000B71F0000}"/>
    <cellStyle name="Followed Hyperlink 2" xfId="24480" hidden="1" xr:uid="{00000000-0005-0000-0000-0000B81F0000}"/>
    <cellStyle name="Followed Hyperlink 2" xfId="24483" hidden="1" xr:uid="{00000000-0005-0000-0000-0000B91F0000}"/>
    <cellStyle name="Followed Hyperlink 2" xfId="24486" hidden="1" xr:uid="{00000000-0005-0000-0000-0000BA1F0000}"/>
    <cellStyle name="Followed Hyperlink 2" xfId="24490" hidden="1" xr:uid="{00000000-0005-0000-0000-0000BB1F0000}"/>
    <cellStyle name="Followed Hyperlink 2" xfId="24221" hidden="1" xr:uid="{00000000-0005-0000-0000-0000BC1F0000}"/>
    <cellStyle name="Followed Hyperlink 2" xfId="24217" hidden="1" xr:uid="{00000000-0005-0000-0000-0000BD1F0000}"/>
    <cellStyle name="Followed Hyperlink 2" xfId="24218" hidden="1" xr:uid="{00000000-0005-0000-0000-0000BE1F0000}"/>
    <cellStyle name="Followed Hyperlink 2" xfId="24205" hidden="1" xr:uid="{00000000-0005-0000-0000-0000BF1F0000}"/>
    <cellStyle name="Followed Hyperlink 2" xfId="24493" hidden="1" xr:uid="{00000000-0005-0000-0000-0000C01F0000}"/>
    <cellStyle name="Followed Hyperlink 2" xfId="24496" hidden="1" xr:uid="{00000000-0005-0000-0000-0000C11F0000}"/>
    <cellStyle name="Followed Hyperlink 2" xfId="24499" hidden="1" xr:uid="{00000000-0005-0000-0000-0000C21F0000}"/>
    <cellStyle name="Followed Hyperlink 2" xfId="24503" hidden="1" xr:uid="{00000000-0005-0000-0000-0000C31F0000}"/>
    <cellStyle name="Followed Hyperlink 2" xfId="24511" hidden="1" xr:uid="{00000000-0005-0000-0000-0000C41F0000}"/>
    <cellStyle name="Followed Hyperlink 2" xfId="24508" hidden="1" xr:uid="{00000000-0005-0000-0000-0000C51F0000}"/>
    <cellStyle name="Followed Hyperlink 2" xfId="24506" hidden="1" xr:uid="{00000000-0005-0000-0000-0000C61F0000}"/>
    <cellStyle name="Followed Hyperlink 2" xfId="24507" hidden="1" xr:uid="{00000000-0005-0000-0000-0000C71F0000}"/>
    <cellStyle name="Followed Hyperlink 2" xfId="24517" hidden="1" xr:uid="{00000000-0005-0000-0000-0000C81F0000}"/>
    <cellStyle name="Followed Hyperlink 2" xfId="24520" hidden="1" xr:uid="{00000000-0005-0000-0000-0000C91F0000}"/>
    <cellStyle name="Followed Hyperlink 2" xfId="24523" hidden="1" xr:uid="{00000000-0005-0000-0000-0000CA1F0000}"/>
    <cellStyle name="Followed Hyperlink 2" xfId="24527" hidden="1" xr:uid="{00000000-0005-0000-0000-0000CB1F0000}"/>
    <cellStyle name="Followed Hyperlink 2" xfId="24535" hidden="1" xr:uid="{00000000-0005-0000-0000-0000CC1F0000}"/>
    <cellStyle name="Followed Hyperlink 2" xfId="24532" hidden="1" xr:uid="{00000000-0005-0000-0000-0000CD1F0000}"/>
    <cellStyle name="Followed Hyperlink 2" xfId="24530" hidden="1" xr:uid="{00000000-0005-0000-0000-0000CE1F0000}"/>
    <cellStyle name="Followed Hyperlink 2" xfId="24531" hidden="1" xr:uid="{00000000-0005-0000-0000-0000CF1F0000}"/>
    <cellStyle name="Followed Hyperlink 2" xfId="24541" hidden="1" xr:uid="{00000000-0005-0000-0000-0000D01F0000}"/>
    <cellStyle name="Followed Hyperlink 2" xfId="24544" hidden="1" xr:uid="{00000000-0005-0000-0000-0000D11F0000}"/>
    <cellStyle name="Followed Hyperlink 2" xfId="24547" hidden="1" xr:uid="{00000000-0005-0000-0000-0000D21F0000}"/>
    <cellStyle name="Followed Hyperlink 2" xfId="24551" hidden="1" xr:uid="{00000000-0005-0000-0000-0000D31F0000}"/>
    <cellStyle name="Followed Hyperlink 2" xfId="24559" hidden="1" xr:uid="{00000000-0005-0000-0000-0000D41F0000}"/>
    <cellStyle name="Followed Hyperlink 2" xfId="24556" hidden="1" xr:uid="{00000000-0005-0000-0000-0000D51F0000}"/>
    <cellStyle name="Followed Hyperlink 2" xfId="24554" hidden="1" xr:uid="{00000000-0005-0000-0000-0000D61F0000}"/>
    <cellStyle name="Followed Hyperlink 2" xfId="24555" hidden="1" xr:uid="{00000000-0005-0000-0000-0000D71F0000}"/>
    <cellStyle name="Followed Hyperlink 2" xfId="24565" hidden="1" xr:uid="{00000000-0005-0000-0000-0000D81F0000}"/>
    <cellStyle name="Followed Hyperlink 2" xfId="24568" hidden="1" xr:uid="{00000000-0005-0000-0000-0000D91F0000}"/>
    <cellStyle name="Followed Hyperlink 2" xfId="24571" hidden="1" xr:uid="{00000000-0005-0000-0000-0000DA1F0000}"/>
    <cellStyle name="Followed Hyperlink 2" xfId="24575" hidden="1" xr:uid="{00000000-0005-0000-0000-0000DB1F0000}"/>
    <cellStyle name="Followed Hyperlink 2" xfId="23154" hidden="1" xr:uid="{00000000-0005-0000-0000-0000DC1F0000}"/>
    <cellStyle name="Followed Hyperlink 2" xfId="23150" hidden="1" xr:uid="{00000000-0005-0000-0000-0000DD1F0000}"/>
    <cellStyle name="Followed Hyperlink 2" xfId="23151" hidden="1" xr:uid="{00000000-0005-0000-0000-0000DE1F0000}"/>
    <cellStyle name="Followed Hyperlink 2" xfId="23138" hidden="1" xr:uid="{00000000-0005-0000-0000-0000DF1F0000}"/>
    <cellStyle name="Followed Hyperlink 2" xfId="24578" hidden="1" xr:uid="{00000000-0005-0000-0000-0000E01F0000}"/>
    <cellStyle name="Followed Hyperlink 2" xfId="24581" hidden="1" xr:uid="{00000000-0005-0000-0000-0000E11F0000}"/>
    <cellStyle name="Followed Hyperlink 2" xfId="24584" hidden="1" xr:uid="{00000000-0005-0000-0000-0000E21F0000}"/>
    <cellStyle name="Followed Hyperlink 2" xfId="24588" hidden="1" xr:uid="{00000000-0005-0000-0000-0000E31F0000}"/>
    <cellStyle name="Followed Hyperlink 2" xfId="24596" hidden="1" xr:uid="{00000000-0005-0000-0000-0000E41F0000}"/>
    <cellStyle name="Followed Hyperlink 2" xfId="24593" hidden="1" xr:uid="{00000000-0005-0000-0000-0000E51F0000}"/>
    <cellStyle name="Followed Hyperlink 2" xfId="24591" hidden="1" xr:uid="{00000000-0005-0000-0000-0000E61F0000}"/>
    <cellStyle name="Followed Hyperlink 2" xfId="24592" hidden="1" xr:uid="{00000000-0005-0000-0000-0000E71F0000}"/>
    <cellStyle name="Followed Hyperlink 2" xfId="24602" hidden="1" xr:uid="{00000000-0005-0000-0000-0000E81F0000}"/>
    <cellStyle name="Followed Hyperlink 2" xfId="24605" hidden="1" xr:uid="{00000000-0005-0000-0000-0000E91F0000}"/>
    <cellStyle name="Followed Hyperlink 2" xfId="24608" hidden="1" xr:uid="{00000000-0005-0000-0000-0000EA1F0000}"/>
    <cellStyle name="Followed Hyperlink 2" xfId="24612" hidden="1" xr:uid="{00000000-0005-0000-0000-0000EB1F0000}"/>
    <cellStyle name="Followed Hyperlink 2" xfId="24620" hidden="1" xr:uid="{00000000-0005-0000-0000-0000EC1F0000}"/>
    <cellStyle name="Followed Hyperlink 2" xfId="24617" hidden="1" xr:uid="{00000000-0005-0000-0000-0000ED1F0000}"/>
    <cellStyle name="Followed Hyperlink 2" xfId="24615" hidden="1" xr:uid="{00000000-0005-0000-0000-0000EE1F0000}"/>
    <cellStyle name="Followed Hyperlink 2" xfId="24616" hidden="1" xr:uid="{00000000-0005-0000-0000-0000EF1F0000}"/>
    <cellStyle name="Followed Hyperlink 2" xfId="24626" hidden="1" xr:uid="{00000000-0005-0000-0000-0000F01F0000}"/>
    <cellStyle name="Followed Hyperlink 2" xfId="24629" hidden="1" xr:uid="{00000000-0005-0000-0000-0000F11F0000}"/>
    <cellStyle name="Followed Hyperlink 2" xfId="24632" hidden="1" xr:uid="{00000000-0005-0000-0000-0000F21F0000}"/>
    <cellStyle name="Followed Hyperlink 2" xfId="24636" hidden="1" xr:uid="{00000000-0005-0000-0000-0000F31F0000}"/>
    <cellStyle name="Followed Hyperlink 2" xfId="24644" hidden="1" xr:uid="{00000000-0005-0000-0000-0000F41F0000}"/>
    <cellStyle name="Followed Hyperlink 2" xfId="24641" hidden="1" xr:uid="{00000000-0005-0000-0000-0000F51F0000}"/>
    <cellStyle name="Followed Hyperlink 2" xfId="24639" hidden="1" xr:uid="{00000000-0005-0000-0000-0000F61F0000}"/>
    <cellStyle name="Followed Hyperlink 2" xfId="24640" hidden="1" xr:uid="{00000000-0005-0000-0000-0000F71F0000}"/>
    <cellStyle name="Followed Hyperlink 2" xfId="24650" hidden="1" xr:uid="{00000000-0005-0000-0000-0000F81F0000}"/>
    <cellStyle name="Followed Hyperlink 2" xfId="24653" hidden="1" xr:uid="{00000000-0005-0000-0000-0000F91F0000}"/>
    <cellStyle name="Followed Hyperlink 2" xfId="24656" hidden="1" xr:uid="{00000000-0005-0000-0000-0000FA1F0000}"/>
    <cellStyle name="Followed Hyperlink 2" xfId="24660" hidden="1" xr:uid="{00000000-0005-0000-0000-0000FB1F0000}"/>
    <cellStyle name="Followed Hyperlink 2" xfId="24697" hidden="1" xr:uid="{00000000-0005-0000-0000-0000FC1F0000}"/>
    <cellStyle name="Followed Hyperlink 2" xfId="24694" hidden="1" xr:uid="{00000000-0005-0000-0000-0000FD1F0000}"/>
    <cellStyle name="Followed Hyperlink 2" xfId="24692" hidden="1" xr:uid="{00000000-0005-0000-0000-0000FE1F0000}"/>
    <cellStyle name="Followed Hyperlink 2" xfId="24693" hidden="1" xr:uid="{00000000-0005-0000-0000-0000FF1F0000}"/>
    <cellStyle name="Followed Hyperlink 2" xfId="24703" hidden="1" xr:uid="{00000000-0005-0000-0000-000000200000}"/>
    <cellStyle name="Followed Hyperlink 2" xfId="24706" hidden="1" xr:uid="{00000000-0005-0000-0000-000001200000}"/>
    <cellStyle name="Followed Hyperlink 2" xfId="24709" hidden="1" xr:uid="{00000000-0005-0000-0000-000002200000}"/>
    <cellStyle name="Followed Hyperlink 2" xfId="24713" hidden="1" xr:uid="{00000000-0005-0000-0000-000003200000}"/>
    <cellStyle name="Followed Hyperlink 2" xfId="24721" hidden="1" xr:uid="{00000000-0005-0000-0000-000004200000}"/>
    <cellStyle name="Followed Hyperlink 2" xfId="24718" hidden="1" xr:uid="{00000000-0005-0000-0000-000005200000}"/>
    <cellStyle name="Followed Hyperlink 2" xfId="24716" hidden="1" xr:uid="{00000000-0005-0000-0000-000006200000}"/>
    <cellStyle name="Followed Hyperlink 2" xfId="24717" hidden="1" xr:uid="{00000000-0005-0000-0000-000007200000}"/>
    <cellStyle name="Followed Hyperlink 2" xfId="24727" hidden="1" xr:uid="{00000000-0005-0000-0000-000008200000}"/>
    <cellStyle name="Followed Hyperlink 2" xfId="24730" hidden="1" xr:uid="{00000000-0005-0000-0000-000009200000}"/>
    <cellStyle name="Followed Hyperlink 2" xfId="24733" hidden="1" xr:uid="{00000000-0005-0000-0000-00000A200000}"/>
    <cellStyle name="Followed Hyperlink 2" xfId="24737" hidden="1" xr:uid="{00000000-0005-0000-0000-00000B200000}"/>
    <cellStyle name="Followed Hyperlink 2" xfId="24747" hidden="1" xr:uid="{00000000-0005-0000-0000-00000C200000}"/>
    <cellStyle name="Followed Hyperlink 2" xfId="24744" hidden="1" xr:uid="{00000000-0005-0000-0000-00000D200000}"/>
    <cellStyle name="Followed Hyperlink 2" xfId="24742" hidden="1" xr:uid="{00000000-0005-0000-0000-00000E200000}"/>
    <cellStyle name="Followed Hyperlink 2" xfId="24743" hidden="1" xr:uid="{00000000-0005-0000-0000-00000F200000}"/>
    <cellStyle name="Followed Hyperlink 2" xfId="24753" hidden="1" xr:uid="{00000000-0005-0000-0000-000010200000}"/>
    <cellStyle name="Followed Hyperlink 2" xfId="24756" hidden="1" xr:uid="{00000000-0005-0000-0000-000011200000}"/>
    <cellStyle name="Followed Hyperlink 2" xfId="24759" hidden="1" xr:uid="{00000000-0005-0000-0000-000012200000}"/>
    <cellStyle name="Followed Hyperlink 2" xfId="24763" hidden="1" xr:uid="{00000000-0005-0000-0000-000013200000}"/>
    <cellStyle name="Followed Hyperlink 2" xfId="24771" hidden="1" xr:uid="{00000000-0005-0000-0000-000014200000}"/>
    <cellStyle name="Followed Hyperlink 2" xfId="24768" hidden="1" xr:uid="{00000000-0005-0000-0000-000015200000}"/>
    <cellStyle name="Followed Hyperlink 2" xfId="24766" hidden="1" xr:uid="{00000000-0005-0000-0000-000016200000}"/>
    <cellStyle name="Followed Hyperlink 2" xfId="24767" hidden="1" xr:uid="{00000000-0005-0000-0000-000017200000}"/>
    <cellStyle name="Followed Hyperlink 2" xfId="24777" hidden="1" xr:uid="{00000000-0005-0000-0000-000018200000}"/>
    <cellStyle name="Followed Hyperlink 2" xfId="24780" hidden="1" xr:uid="{00000000-0005-0000-0000-000019200000}"/>
    <cellStyle name="Followed Hyperlink 2" xfId="24783" hidden="1" xr:uid="{00000000-0005-0000-0000-00001A200000}"/>
    <cellStyle name="Followed Hyperlink 2" xfId="24787" hidden="1" xr:uid="{00000000-0005-0000-0000-00001B200000}"/>
    <cellStyle name="Followed Hyperlink 2" xfId="24664" hidden="1" xr:uid="{00000000-0005-0000-0000-00001C200000}"/>
    <cellStyle name="Followed Hyperlink 2" xfId="24668" hidden="1" xr:uid="{00000000-0005-0000-0000-00001D200000}"/>
    <cellStyle name="Followed Hyperlink 2" xfId="24663" hidden="1" xr:uid="{00000000-0005-0000-0000-00001E200000}"/>
    <cellStyle name="Followed Hyperlink 2" xfId="24669" hidden="1" xr:uid="{00000000-0005-0000-0000-00001F200000}"/>
    <cellStyle name="Followed Hyperlink 2" xfId="24790" hidden="1" xr:uid="{00000000-0005-0000-0000-000020200000}"/>
    <cellStyle name="Followed Hyperlink 2" xfId="24793" hidden="1" xr:uid="{00000000-0005-0000-0000-000021200000}"/>
    <cellStyle name="Followed Hyperlink 2" xfId="24796" hidden="1" xr:uid="{00000000-0005-0000-0000-000022200000}"/>
    <cellStyle name="Followed Hyperlink 2" xfId="24800" hidden="1" xr:uid="{00000000-0005-0000-0000-000023200000}"/>
    <cellStyle name="Followed Hyperlink 2" xfId="24808" hidden="1" xr:uid="{00000000-0005-0000-0000-000024200000}"/>
    <cellStyle name="Followed Hyperlink 2" xfId="24805" hidden="1" xr:uid="{00000000-0005-0000-0000-000025200000}"/>
    <cellStyle name="Followed Hyperlink 2" xfId="24803" hidden="1" xr:uid="{00000000-0005-0000-0000-000026200000}"/>
    <cellStyle name="Followed Hyperlink 2" xfId="24804" hidden="1" xr:uid="{00000000-0005-0000-0000-000027200000}"/>
    <cellStyle name="Followed Hyperlink 2" xfId="24814" hidden="1" xr:uid="{00000000-0005-0000-0000-000028200000}"/>
    <cellStyle name="Followed Hyperlink 2" xfId="24817" hidden="1" xr:uid="{00000000-0005-0000-0000-000029200000}"/>
    <cellStyle name="Followed Hyperlink 2" xfId="24820" hidden="1" xr:uid="{00000000-0005-0000-0000-00002A200000}"/>
    <cellStyle name="Followed Hyperlink 2" xfId="24824" hidden="1" xr:uid="{00000000-0005-0000-0000-00002B200000}"/>
    <cellStyle name="Followed Hyperlink 2" xfId="24833" hidden="1" xr:uid="{00000000-0005-0000-0000-00002C200000}"/>
    <cellStyle name="Followed Hyperlink 2" xfId="24830" hidden="1" xr:uid="{00000000-0005-0000-0000-00002D200000}"/>
    <cellStyle name="Followed Hyperlink 2" xfId="24828" hidden="1" xr:uid="{00000000-0005-0000-0000-00002E200000}"/>
    <cellStyle name="Followed Hyperlink 2" xfId="24829" hidden="1" xr:uid="{00000000-0005-0000-0000-00002F200000}"/>
    <cellStyle name="Followed Hyperlink 2" xfId="24839" hidden="1" xr:uid="{00000000-0005-0000-0000-000030200000}"/>
    <cellStyle name="Followed Hyperlink 2" xfId="24842" hidden="1" xr:uid="{00000000-0005-0000-0000-000031200000}"/>
    <cellStyle name="Followed Hyperlink 2" xfId="24845" hidden="1" xr:uid="{00000000-0005-0000-0000-000032200000}"/>
    <cellStyle name="Followed Hyperlink 2" xfId="24849" hidden="1" xr:uid="{00000000-0005-0000-0000-000033200000}"/>
    <cellStyle name="Followed Hyperlink 2" xfId="24857" hidden="1" xr:uid="{00000000-0005-0000-0000-000034200000}"/>
    <cellStyle name="Followed Hyperlink 2" xfId="24854" hidden="1" xr:uid="{00000000-0005-0000-0000-000035200000}"/>
    <cellStyle name="Followed Hyperlink 2" xfId="24852" hidden="1" xr:uid="{00000000-0005-0000-0000-000036200000}"/>
    <cellStyle name="Followed Hyperlink 2" xfId="24853" hidden="1" xr:uid="{00000000-0005-0000-0000-000037200000}"/>
    <cellStyle name="Followed Hyperlink 2" xfId="24863" hidden="1" xr:uid="{00000000-0005-0000-0000-000038200000}"/>
    <cellStyle name="Followed Hyperlink 2" xfId="24866" hidden="1" xr:uid="{00000000-0005-0000-0000-000039200000}"/>
    <cellStyle name="Followed Hyperlink 2" xfId="24869" hidden="1" xr:uid="{00000000-0005-0000-0000-00003A200000}"/>
    <cellStyle name="Followed Hyperlink 2" xfId="24873" hidden="1" xr:uid="{00000000-0005-0000-0000-00003B200000}"/>
    <cellStyle name="Followed Hyperlink 2" xfId="24682" hidden="1" xr:uid="{00000000-0005-0000-0000-00003C200000}"/>
    <cellStyle name="Followed Hyperlink 2" xfId="24679" hidden="1" xr:uid="{00000000-0005-0000-0000-00003D200000}"/>
    <cellStyle name="Followed Hyperlink 2" xfId="24673" hidden="1" xr:uid="{00000000-0005-0000-0000-00003E200000}"/>
    <cellStyle name="Followed Hyperlink 2" xfId="24678" hidden="1" xr:uid="{00000000-0005-0000-0000-00003F200000}"/>
    <cellStyle name="Followed Hyperlink 2" xfId="24876" hidden="1" xr:uid="{00000000-0005-0000-0000-000040200000}"/>
    <cellStyle name="Followed Hyperlink 2" xfId="24879" hidden="1" xr:uid="{00000000-0005-0000-0000-000041200000}"/>
    <cellStyle name="Followed Hyperlink 2" xfId="24882" hidden="1" xr:uid="{00000000-0005-0000-0000-000042200000}"/>
    <cellStyle name="Followed Hyperlink 2" xfId="24886" hidden="1" xr:uid="{00000000-0005-0000-0000-000043200000}"/>
    <cellStyle name="Followed Hyperlink 2" xfId="24894" hidden="1" xr:uid="{00000000-0005-0000-0000-000044200000}"/>
    <cellStyle name="Followed Hyperlink 2" xfId="24891" hidden="1" xr:uid="{00000000-0005-0000-0000-000045200000}"/>
    <cellStyle name="Followed Hyperlink 2" xfId="24889" hidden="1" xr:uid="{00000000-0005-0000-0000-000046200000}"/>
    <cellStyle name="Followed Hyperlink 2" xfId="24890" hidden="1" xr:uid="{00000000-0005-0000-0000-000047200000}"/>
    <cellStyle name="Followed Hyperlink 2" xfId="24900" hidden="1" xr:uid="{00000000-0005-0000-0000-000048200000}"/>
    <cellStyle name="Followed Hyperlink 2" xfId="24903" hidden="1" xr:uid="{00000000-0005-0000-0000-000049200000}"/>
    <cellStyle name="Followed Hyperlink 2" xfId="24906" hidden="1" xr:uid="{00000000-0005-0000-0000-00004A200000}"/>
    <cellStyle name="Followed Hyperlink 2" xfId="24910" hidden="1" xr:uid="{00000000-0005-0000-0000-00004B200000}"/>
    <cellStyle name="Followed Hyperlink 2" xfId="24919" hidden="1" xr:uid="{00000000-0005-0000-0000-00004C200000}"/>
    <cellStyle name="Followed Hyperlink 2" xfId="24916" hidden="1" xr:uid="{00000000-0005-0000-0000-00004D200000}"/>
    <cellStyle name="Followed Hyperlink 2" xfId="24914" hidden="1" xr:uid="{00000000-0005-0000-0000-00004E200000}"/>
    <cellStyle name="Followed Hyperlink 2" xfId="24915" hidden="1" xr:uid="{00000000-0005-0000-0000-00004F200000}"/>
    <cellStyle name="Followed Hyperlink 2" xfId="24925" hidden="1" xr:uid="{00000000-0005-0000-0000-000050200000}"/>
    <cellStyle name="Followed Hyperlink 2" xfId="24928" hidden="1" xr:uid="{00000000-0005-0000-0000-000051200000}"/>
    <cellStyle name="Followed Hyperlink 2" xfId="24931" hidden="1" xr:uid="{00000000-0005-0000-0000-000052200000}"/>
    <cellStyle name="Followed Hyperlink 2" xfId="24935" hidden="1" xr:uid="{00000000-0005-0000-0000-000053200000}"/>
    <cellStyle name="Followed Hyperlink 2" xfId="24943" hidden="1" xr:uid="{00000000-0005-0000-0000-000054200000}"/>
    <cellStyle name="Followed Hyperlink 2" xfId="24940" hidden="1" xr:uid="{00000000-0005-0000-0000-000055200000}"/>
    <cellStyle name="Followed Hyperlink 2" xfId="24938" hidden="1" xr:uid="{00000000-0005-0000-0000-000056200000}"/>
    <cellStyle name="Followed Hyperlink 2" xfId="24939" hidden="1" xr:uid="{00000000-0005-0000-0000-000057200000}"/>
    <cellStyle name="Followed Hyperlink 2" xfId="24949" hidden="1" xr:uid="{00000000-0005-0000-0000-000058200000}"/>
    <cellStyle name="Followed Hyperlink 2" xfId="24952" hidden="1" xr:uid="{00000000-0005-0000-0000-000059200000}"/>
    <cellStyle name="Followed Hyperlink 2" xfId="24955" hidden="1" xr:uid="{00000000-0005-0000-0000-00005A200000}"/>
    <cellStyle name="Followed Hyperlink 2" xfId="24959" hidden="1" xr:uid="{00000000-0005-0000-0000-00005B200000}"/>
    <cellStyle name="Followed Hyperlink 2" xfId="24690" hidden="1" xr:uid="{00000000-0005-0000-0000-00005C200000}"/>
    <cellStyle name="Followed Hyperlink 2" xfId="24686" hidden="1" xr:uid="{00000000-0005-0000-0000-00005D200000}"/>
    <cellStyle name="Followed Hyperlink 2" xfId="24687" hidden="1" xr:uid="{00000000-0005-0000-0000-00005E200000}"/>
    <cellStyle name="Followed Hyperlink 2" xfId="24674" hidden="1" xr:uid="{00000000-0005-0000-0000-00005F200000}"/>
    <cellStyle name="Followed Hyperlink 2" xfId="24962" hidden="1" xr:uid="{00000000-0005-0000-0000-000060200000}"/>
    <cellStyle name="Followed Hyperlink 2" xfId="24965" hidden="1" xr:uid="{00000000-0005-0000-0000-000061200000}"/>
    <cellStyle name="Followed Hyperlink 2" xfId="24968" hidden="1" xr:uid="{00000000-0005-0000-0000-000062200000}"/>
    <cellStyle name="Followed Hyperlink 2" xfId="24972" hidden="1" xr:uid="{00000000-0005-0000-0000-000063200000}"/>
    <cellStyle name="Followed Hyperlink 2" xfId="24980" hidden="1" xr:uid="{00000000-0005-0000-0000-000064200000}"/>
    <cellStyle name="Followed Hyperlink 2" xfId="24977" hidden="1" xr:uid="{00000000-0005-0000-0000-000065200000}"/>
    <cellStyle name="Followed Hyperlink 2" xfId="24975" hidden="1" xr:uid="{00000000-0005-0000-0000-000066200000}"/>
    <cellStyle name="Followed Hyperlink 2" xfId="24976" hidden="1" xr:uid="{00000000-0005-0000-0000-000067200000}"/>
    <cellStyle name="Followed Hyperlink 2" xfId="24986" hidden="1" xr:uid="{00000000-0005-0000-0000-000068200000}"/>
    <cellStyle name="Followed Hyperlink 2" xfId="24989" hidden="1" xr:uid="{00000000-0005-0000-0000-000069200000}"/>
    <cellStyle name="Followed Hyperlink 2" xfId="24992" hidden="1" xr:uid="{00000000-0005-0000-0000-00006A200000}"/>
    <cellStyle name="Followed Hyperlink 2" xfId="24996" hidden="1" xr:uid="{00000000-0005-0000-0000-00006B200000}"/>
    <cellStyle name="Followed Hyperlink 2" xfId="25004" hidden="1" xr:uid="{00000000-0005-0000-0000-00006C200000}"/>
    <cellStyle name="Followed Hyperlink 2" xfId="25001" hidden="1" xr:uid="{00000000-0005-0000-0000-00006D200000}"/>
    <cellStyle name="Followed Hyperlink 2" xfId="24999" hidden="1" xr:uid="{00000000-0005-0000-0000-00006E200000}"/>
    <cellStyle name="Followed Hyperlink 2" xfId="25000" hidden="1" xr:uid="{00000000-0005-0000-0000-00006F200000}"/>
    <cellStyle name="Followed Hyperlink 2" xfId="25010" hidden="1" xr:uid="{00000000-0005-0000-0000-000070200000}"/>
    <cellStyle name="Followed Hyperlink 2" xfId="25013" hidden="1" xr:uid="{00000000-0005-0000-0000-000071200000}"/>
    <cellStyle name="Followed Hyperlink 2" xfId="25016" hidden="1" xr:uid="{00000000-0005-0000-0000-000072200000}"/>
    <cellStyle name="Followed Hyperlink 2" xfId="25020" hidden="1" xr:uid="{00000000-0005-0000-0000-000073200000}"/>
    <cellStyle name="Followed Hyperlink 2" xfId="25028" hidden="1" xr:uid="{00000000-0005-0000-0000-000074200000}"/>
    <cellStyle name="Followed Hyperlink 2" xfId="25025" hidden="1" xr:uid="{00000000-0005-0000-0000-000075200000}"/>
    <cellStyle name="Followed Hyperlink 2" xfId="25023" hidden="1" xr:uid="{00000000-0005-0000-0000-000076200000}"/>
    <cellStyle name="Followed Hyperlink 2" xfId="25024" hidden="1" xr:uid="{00000000-0005-0000-0000-000077200000}"/>
    <cellStyle name="Followed Hyperlink 2" xfId="25034" hidden="1" xr:uid="{00000000-0005-0000-0000-000078200000}"/>
    <cellStyle name="Followed Hyperlink 2" xfId="25037" hidden="1" xr:uid="{00000000-0005-0000-0000-000079200000}"/>
    <cellStyle name="Followed Hyperlink 2" xfId="25040" hidden="1" xr:uid="{00000000-0005-0000-0000-00007A200000}"/>
    <cellStyle name="Followed Hyperlink 2" xfId="25044" hidden="1" xr:uid="{00000000-0005-0000-0000-00007B200000}"/>
    <cellStyle name="Followed Hyperlink 2" xfId="574" hidden="1" xr:uid="{00000000-0005-0000-0000-00007C200000}"/>
    <cellStyle name="Followed Hyperlink 2" xfId="578" hidden="1" xr:uid="{00000000-0005-0000-0000-00007D200000}"/>
    <cellStyle name="Followed Hyperlink 2" xfId="547" hidden="1" xr:uid="{00000000-0005-0000-0000-00007E200000}"/>
    <cellStyle name="Followed Hyperlink 2" xfId="580" hidden="1" xr:uid="{00000000-0005-0000-0000-00007F200000}"/>
    <cellStyle name="Followed Hyperlink 2" xfId="568" hidden="1" xr:uid="{00000000-0005-0000-0000-000080200000}"/>
    <cellStyle name="Followed Hyperlink 2" xfId="575" hidden="1" xr:uid="{00000000-0005-0000-0000-000081200000}"/>
    <cellStyle name="Followed Hyperlink 2" xfId="553" hidden="1" xr:uid="{00000000-0005-0000-0000-000082200000}"/>
    <cellStyle name="Followed Hyperlink 2" xfId="25049" hidden="1" xr:uid="{00000000-0005-0000-0000-000083200000}"/>
    <cellStyle name="Followed Hyperlink 2" xfId="25057" hidden="1" xr:uid="{00000000-0005-0000-0000-000084200000}"/>
    <cellStyle name="Followed Hyperlink 2" xfId="25054" hidden="1" xr:uid="{00000000-0005-0000-0000-000085200000}"/>
    <cellStyle name="Followed Hyperlink 2" xfId="25052" hidden="1" xr:uid="{00000000-0005-0000-0000-000086200000}"/>
    <cellStyle name="Followed Hyperlink 2" xfId="25053" hidden="1" xr:uid="{00000000-0005-0000-0000-000087200000}"/>
    <cellStyle name="Followed Hyperlink 2" xfId="25063" hidden="1" xr:uid="{00000000-0005-0000-0000-000088200000}"/>
    <cellStyle name="Followed Hyperlink 2" xfId="25066" hidden="1" xr:uid="{00000000-0005-0000-0000-000089200000}"/>
    <cellStyle name="Followed Hyperlink 2" xfId="25069" hidden="1" xr:uid="{00000000-0005-0000-0000-00008A200000}"/>
    <cellStyle name="Followed Hyperlink 2" xfId="25073" hidden="1" xr:uid="{00000000-0005-0000-0000-00008B200000}"/>
    <cellStyle name="Followed Hyperlink 2" xfId="25081" hidden="1" xr:uid="{00000000-0005-0000-0000-00008C200000}"/>
    <cellStyle name="Followed Hyperlink 2" xfId="25078" hidden="1" xr:uid="{00000000-0005-0000-0000-00008D200000}"/>
    <cellStyle name="Followed Hyperlink 2" xfId="25076" hidden="1" xr:uid="{00000000-0005-0000-0000-00008E200000}"/>
    <cellStyle name="Followed Hyperlink 2" xfId="25077" hidden="1" xr:uid="{00000000-0005-0000-0000-00008F200000}"/>
    <cellStyle name="Followed Hyperlink 2" xfId="25087" hidden="1" xr:uid="{00000000-0005-0000-0000-000090200000}"/>
    <cellStyle name="Followed Hyperlink 2" xfId="25090" hidden="1" xr:uid="{00000000-0005-0000-0000-000091200000}"/>
    <cellStyle name="Followed Hyperlink 2" xfId="25093" hidden="1" xr:uid="{00000000-0005-0000-0000-000092200000}"/>
    <cellStyle name="Followed Hyperlink 2" xfId="25097" hidden="1" xr:uid="{00000000-0005-0000-0000-000093200000}"/>
    <cellStyle name="Followed Hyperlink 2" xfId="25105" hidden="1" xr:uid="{00000000-0005-0000-0000-000094200000}"/>
    <cellStyle name="Followed Hyperlink 2" xfId="25102" hidden="1" xr:uid="{00000000-0005-0000-0000-000095200000}"/>
    <cellStyle name="Followed Hyperlink 2" xfId="25100" hidden="1" xr:uid="{00000000-0005-0000-0000-000096200000}"/>
    <cellStyle name="Followed Hyperlink 2" xfId="25101" hidden="1" xr:uid="{00000000-0005-0000-0000-000097200000}"/>
    <cellStyle name="Followed Hyperlink 2" xfId="25111" hidden="1" xr:uid="{00000000-0005-0000-0000-000098200000}"/>
    <cellStyle name="Followed Hyperlink 2" xfId="25114" hidden="1" xr:uid="{00000000-0005-0000-0000-000099200000}"/>
    <cellStyle name="Followed Hyperlink 2" xfId="25117" hidden="1" xr:uid="{00000000-0005-0000-0000-00009A200000}"/>
    <cellStyle name="Followed Hyperlink 2" xfId="25121" hidden="1" xr:uid="{00000000-0005-0000-0000-00009B200000}"/>
    <cellStyle name="Followed Hyperlink 2" xfId="25158" hidden="1" xr:uid="{00000000-0005-0000-0000-00009C200000}"/>
    <cellStyle name="Followed Hyperlink 2" xfId="25155" hidden="1" xr:uid="{00000000-0005-0000-0000-00009D200000}"/>
    <cellStyle name="Followed Hyperlink 2" xfId="25153" hidden="1" xr:uid="{00000000-0005-0000-0000-00009E200000}"/>
    <cellStyle name="Followed Hyperlink 2" xfId="25154" hidden="1" xr:uid="{00000000-0005-0000-0000-00009F200000}"/>
    <cellStyle name="Followed Hyperlink 2" xfId="25164" hidden="1" xr:uid="{00000000-0005-0000-0000-0000A0200000}"/>
    <cellStyle name="Followed Hyperlink 2" xfId="25167" hidden="1" xr:uid="{00000000-0005-0000-0000-0000A1200000}"/>
    <cellStyle name="Followed Hyperlink 2" xfId="25170" hidden="1" xr:uid="{00000000-0005-0000-0000-0000A2200000}"/>
    <cellStyle name="Followed Hyperlink 2" xfId="25174" hidden="1" xr:uid="{00000000-0005-0000-0000-0000A3200000}"/>
    <cellStyle name="Followed Hyperlink 2" xfId="25182" hidden="1" xr:uid="{00000000-0005-0000-0000-0000A4200000}"/>
    <cellStyle name="Followed Hyperlink 2" xfId="25179" hidden="1" xr:uid="{00000000-0005-0000-0000-0000A5200000}"/>
    <cellStyle name="Followed Hyperlink 2" xfId="25177" hidden="1" xr:uid="{00000000-0005-0000-0000-0000A6200000}"/>
    <cellStyle name="Followed Hyperlink 2" xfId="25178" hidden="1" xr:uid="{00000000-0005-0000-0000-0000A7200000}"/>
    <cellStyle name="Followed Hyperlink 2" xfId="25188" hidden="1" xr:uid="{00000000-0005-0000-0000-0000A8200000}"/>
    <cellStyle name="Followed Hyperlink 2" xfId="25191" hidden="1" xr:uid="{00000000-0005-0000-0000-0000A9200000}"/>
    <cellStyle name="Followed Hyperlink 2" xfId="25194" hidden="1" xr:uid="{00000000-0005-0000-0000-0000AA200000}"/>
    <cellStyle name="Followed Hyperlink 2" xfId="25198" hidden="1" xr:uid="{00000000-0005-0000-0000-0000AB200000}"/>
    <cellStyle name="Followed Hyperlink 2" xfId="25208" hidden="1" xr:uid="{00000000-0005-0000-0000-0000AC200000}"/>
    <cellStyle name="Followed Hyperlink 2" xfId="25205" hidden="1" xr:uid="{00000000-0005-0000-0000-0000AD200000}"/>
    <cellStyle name="Followed Hyperlink 2" xfId="25203" hidden="1" xr:uid="{00000000-0005-0000-0000-0000AE200000}"/>
    <cellStyle name="Followed Hyperlink 2" xfId="25204" hidden="1" xr:uid="{00000000-0005-0000-0000-0000AF200000}"/>
    <cellStyle name="Followed Hyperlink 2" xfId="25214" hidden="1" xr:uid="{00000000-0005-0000-0000-0000B0200000}"/>
    <cellStyle name="Followed Hyperlink 2" xfId="25217" hidden="1" xr:uid="{00000000-0005-0000-0000-0000B1200000}"/>
    <cellStyle name="Followed Hyperlink 2" xfId="25220" hidden="1" xr:uid="{00000000-0005-0000-0000-0000B2200000}"/>
    <cellStyle name="Followed Hyperlink 2" xfId="25224" hidden="1" xr:uid="{00000000-0005-0000-0000-0000B3200000}"/>
    <cellStyle name="Followed Hyperlink 2" xfId="25232" hidden="1" xr:uid="{00000000-0005-0000-0000-0000B4200000}"/>
    <cellStyle name="Followed Hyperlink 2" xfId="25229" hidden="1" xr:uid="{00000000-0005-0000-0000-0000B5200000}"/>
    <cellStyle name="Followed Hyperlink 2" xfId="25227" hidden="1" xr:uid="{00000000-0005-0000-0000-0000B6200000}"/>
    <cellStyle name="Followed Hyperlink 2" xfId="25228" hidden="1" xr:uid="{00000000-0005-0000-0000-0000B7200000}"/>
    <cellStyle name="Followed Hyperlink 2" xfId="25238" hidden="1" xr:uid="{00000000-0005-0000-0000-0000B8200000}"/>
    <cellStyle name="Followed Hyperlink 2" xfId="25241" hidden="1" xr:uid="{00000000-0005-0000-0000-0000B9200000}"/>
    <cellStyle name="Followed Hyperlink 2" xfId="25244" hidden="1" xr:uid="{00000000-0005-0000-0000-0000BA200000}"/>
    <cellStyle name="Followed Hyperlink 2" xfId="25248" hidden="1" xr:uid="{00000000-0005-0000-0000-0000BB200000}"/>
    <cellStyle name="Followed Hyperlink 2" xfId="25285" hidden="1" xr:uid="{00000000-0005-0000-0000-0000BC200000}"/>
    <cellStyle name="Followed Hyperlink 2" xfId="25282" hidden="1" xr:uid="{00000000-0005-0000-0000-0000BD200000}"/>
    <cellStyle name="Followed Hyperlink 2" xfId="25280" hidden="1" xr:uid="{00000000-0005-0000-0000-0000BE200000}"/>
    <cellStyle name="Followed Hyperlink 2" xfId="25281" hidden="1" xr:uid="{00000000-0005-0000-0000-0000BF200000}"/>
    <cellStyle name="Followed Hyperlink 2" xfId="25291" hidden="1" xr:uid="{00000000-0005-0000-0000-0000C0200000}"/>
    <cellStyle name="Followed Hyperlink 2" xfId="25294" hidden="1" xr:uid="{00000000-0005-0000-0000-0000C1200000}"/>
    <cellStyle name="Followed Hyperlink 2" xfId="25297" hidden="1" xr:uid="{00000000-0005-0000-0000-0000C2200000}"/>
    <cellStyle name="Followed Hyperlink 2" xfId="25301" hidden="1" xr:uid="{00000000-0005-0000-0000-0000C3200000}"/>
    <cellStyle name="Followed Hyperlink 2" xfId="25309" hidden="1" xr:uid="{00000000-0005-0000-0000-0000C4200000}"/>
    <cellStyle name="Followed Hyperlink 2" xfId="25306" hidden="1" xr:uid="{00000000-0005-0000-0000-0000C5200000}"/>
    <cellStyle name="Followed Hyperlink 2" xfId="25304" hidden="1" xr:uid="{00000000-0005-0000-0000-0000C6200000}"/>
    <cellStyle name="Followed Hyperlink 2" xfId="25305" hidden="1" xr:uid="{00000000-0005-0000-0000-0000C7200000}"/>
    <cellStyle name="Followed Hyperlink 2" xfId="25315" hidden="1" xr:uid="{00000000-0005-0000-0000-0000C8200000}"/>
    <cellStyle name="Followed Hyperlink 2" xfId="25318" hidden="1" xr:uid="{00000000-0005-0000-0000-0000C9200000}"/>
    <cellStyle name="Followed Hyperlink 2" xfId="25321" hidden="1" xr:uid="{00000000-0005-0000-0000-0000CA200000}"/>
    <cellStyle name="Followed Hyperlink 2" xfId="25325" hidden="1" xr:uid="{00000000-0005-0000-0000-0000CB200000}"/>
    <cellStyle name="Followed Hyperlink 2" xfId="25335" hidden="1" xr:uid="{00000000-0005-0000-0000-0000CC200000}"/>
    <cellStyle name="Followed Hyperlink 2" xfId="25332" hidden="1" xr:uid="{00000000-0005-0000-0000-0000CD200000}"/>
    <cellStyle name="Followed Hyperlink 2" xfId="25330" hidden="1" xr:uid="{00000000-0005-0000-0000-0000CE200000}"/>
    <cellStyle name="Followed Hyperlink 2" xfId="25331" hidden="1" xr:uid="{00000000-0005-0000-0000-0000CF200000}"/>
    <cellStyle name="Followed Hyperlink 2" xfId="25341" hidden="1" xr:uid="{00000000-0005-0000-0000-0000D0200000}"/>
    <cellStyle name="Followed Hyperlink 2" xfId="25344" hidden="1" xr:uid="{00000000-0005-0000-0000-0000D1200000}"/>
    <cellStyle name="Followed Hyperlink 2" xfId="25347" hidden="1" xr:uid="{00000000-0005-0000-0000-0000D2200000}"/>
    <cellStyle name="Followed Hyperlink 2" xfId="25351" hidden="1" xr:uid="{00000000-0005-0000-0000-0000D3200000}"/>
    <cellStyle name="Followed Hyperlink 2" xfId="25359" hidden="1" xr:uid="{00000000-0005-0000-0000-0000D4200000}"/>
    <cellStyle name="Followed Hyperlink 2" xfId="25356" hidden="1" xr:uid="{00000000-0005-0000-0000-0000D5200000}"/>
    <cellStyle name="Followed Hyperlink 2" xfId="25354" hidden="1" xr:uid="{00000000-0005-0000-0000-0000D6200000}"/>
    <cellStyle name="Followed Hyperlink 2" xfId="25355" hidden="1" xr:uid="{00000000-0005-0000-0000-0000D7200000}"/>
    <cellStyle name="Followed Hyperlink 2" xfId="25365" hidden="1" xr:uid="{00000000-0005-0000-0000-0000D8200000}"/>
    <cellStyle name="Followed Hyperlink 2" xfId="25368" hidden="1" xr:uid="{00000000-0005-0000-0000-0000D9200000}"/>
    <cellStyle name="Followed Hyperlink 2" xfId="25371" hidden="1" xr:uid="{00000000-0005-0000-0000-0000DA200000}"/>
    <cellStyle name="Followed Hyperlink 2" xfId="25375" hidden="1" xr:uid="{00000000-0005-0000-0000-0000DB200000}"/>
    <cellStyle name="Followed Hyperlink 2" xfId="25412" hidden="1" xr:uid="{00000000-0005-0000-0000-0000DC200000}"/>
    <cellStyle name="Followed Hyperlink 2" xfId="25409" hidden="1" xr:uid="{00000000-0005-0000-0000-0000DD200000}"/>
    <cellStyle name="Followed Hyperlink 2" xfId="25407" hidden="1" xr:uid="{00000000-0005-0000-0000-0000DE200000}"/>
    <cellStyle name="Followed Hyperlink 2" xfId="25408" hidden="1" xr:uid="{00000000-0005-0000-0000-0000DF200000}"/>
    <cellStyle name="Followed Hyperlink 2" xfId="25418" hidden="1" xr:uid="{00000000-0005-0000-0000-0000E0200000}"/>
    <cellStyle name="Followed Hyperlink 2" xfId="25421" hidden="1" xr:uid="{00000000-0005-0000-0000-0000E1200000}"/>
    <cellStyle name="Followed Hyperlink 2" xfId="25424" hidden="1" xr:uid="{00000000-0005-0000-0000-0000E2200000}"/>
    <cellStyle name="Followed Hyperlink 2" xfId="25428" hidden="1" xr:uid="{00000000-0005-0000-0000-0000E3200000}"/>
    <cellStyle name="Followed Hyperlink 2" xfId="25436" hidden="1" xr:uid="{00000000-0005-0000-0000-0000E4200000}"/>
    <cellStyle name="Followed Hyperlink 2" xfId="25433" hidden="1" xr:uid="{00000000-0005-0000-0000-0000E5200000}"/>
    <cellStyle name="Followed Hyperlink 2" xfId="25431" hidden="1" xr:uid="{00000000-0005-0000-0000-0000E6200000}"/>
    <cellStyle name="Followed Hyperlink 2" xfId="25432" hidden="1" xr:uid="{00000000-0005-0000-0000-0000E7200000}"/>
    <cellStyle name="Followed Hyperlink 2" xfId="25442" hidden="1" xr:uid="{00000000-0005-0000-0000-0000E8200000}"/>
    <cellStyle name="Followed Hyperlink 2" xfId="25445" hidden="1" xr:uid="{00000000-0005-0000-0000-0000E9200000}"/>
    <cellStyle name="Followed Hyperlink 2" xfId="25448" hidden="1" xr:uid="{00000000-0005-0000-0000-0000EA200000}"/>
    <cellStyle name="Followed Hyperlink 2" xfId="25452" hidden="1" xr:uid="{00000000-0005-0000-0000-0000EB200000}"/>
    <cellStyle name="Followed Hyperlink 2" xfId="25462" hidden="1" xr:uid="{00000000-0005-0000-0000-0000EC200000}"/>
    <cellStyle name="Followed Hyperlink 2" xfId="25459" hidden="1" xr:uid="{00000000-0005-0000-0000-0000ED200000}"/>
    <cellStyle name="Followed Hyperlink 2" xfId="25457" hidden="1" xr:uid="{00000000-0005-0000-0000-0000EE200000}"/>
    <cellStyle name="Followed Hyperlink 2" xfId="25458" hidden="1" xr:uid="{00000000-0005-0000-0000-0000EF200000}"/>
    <cellStyle name="Followed Hyperlink 2" xfId="25468" hidden="1" xr:uid="{00000000-0005-0000-0000-0000F0200000}"/>
    <cellStyle name="Followed Hyperlink 2" xfId="25471" hidden="1" xr:uid="{00000000-0005-0000-0000-0000F1200000}"/>
    <cellStyle name="Followed Hyperlink 2" xfId="25474" hidden="1" xr:uid="{00000000-0005-0000-0000-0000F2200000}"/>
    <cellStyle name="Followed Hyperlink 2" xfId="25478" hidden="1" xr:uid="{00000000-0005-0000-0000-0000F3200000}"/>
    <cellStyle name="Followed Hyperlink 2" xfId="25486" hidden="1" xr:uid="{00000000-0005-0000-0000-0000F4200000}"/>
    <cellStyle name="Followed Hyperlink 2" xfId="25483" hidden="1" xr:uid="{00000000-0005-0000-0000-0000F5200000}"/>
    <cellStyle name="Followed Hyperlink 2" xfId="25481" hidden="1" xr:uid="{00000000-0005-0000-0000-0000F6200000}"/>
    <cellStyle name="Followed Hyperlink 2" xfId="25482" hidden="1" xr:uid="{00000000-0005-0000-0000-0000F7200000}"/>
    <cellStyle name="Followed Hyperlink 2" xfId="25492" hidden="1" xr:uid="{00000000-0005-0000-0000-0000F8200000}"/>
    <cellStyle name="Followed Hyperlink 2" xfId="25495" hidden="1" xr:uid="{00000000-0005-0000-0000-0000F9200000}"/>
    <cellStyle name="Followed Hyperlink 2" xfId="25498" hidden="1" xr:uid="{00000000-0005-0000-0000-0000FA200000}"/>
    <cellStyle name="Followed Hyperlink 2" xfId="25502" hidden="1" xr:uid="{00000000-0005-0000-0000-0000FB200000}"/>
    <cellStyle name="Followed Hyperlink 2" xfId="25379" hidden="1" xr:uid="{00000000-0005-0000-0000-0000FC200000}"/>
    <cellStyle name="Followed Hyperlink 2" xfId="25383" hidden="1" xr:uid="{00000000-0005-0000-0000-0000FD200000}"/>
    <cellStyle name="Followed Hyperlink 2" xfId="25378" hidden="1" xr:uid="{00000000-0005-0000-0000-0000FE200000}"/>
    <cellStyle name="Followed Hyperlink 2" xfId="25384" hidden="1" xr:uid="{00000000-0005-0000-0000-0000FF200000}"/>
    <cellStyle name="Followed Hyperlink 2" xfId="25505" hidden="1" xr:uid="{00000000-0005-0000-0000-000000210000}"/>
    <cellStyle name="Followed Hyperlink 2" xfId="25508" hidden="1" xr:uid="{00000000-0005-0000-0000-000001210000}"/>
    <cellStyle name="Followed Hyperlink 2" xfId="25511" hidden="1" xr:uid="{00000000-0005-0000-0000-000002210000}"/>
    <cellStyle name="Followed Hyperlink 2" xfId="25515" hidden="1" xr:uid="{00000000-0005-0000-0000-000003210000}"/>
    <cellStyle name="Followed Hyperlink 2" xfId="25523" hidden="1" xr:uid="{00000000-0005-0000-0000-000004210000}"/>
    <cellStyle name="Followed Hyperlink 2" xfId="25520" hidden="1" xr:uid="{00000000-0005-0000-0000-000005210000}"/>
    <cellStyle name="Followed Hyperlink 2" xfId="25518" hidden="1" xr:uid="{00000000-0005-0000-0000-000006210000}"/>
    <cellStyle name="Followed Hyperlink 2" xfId="25519" hidden="1" xr:uid="{00000000-0005-0000-0000-000007210000}"/>
    <cellStyle name="Followed Hyperlink 2" xfId="25529" hidden="1" xr:uid="{00000000-0005-0000-0000-000008210000}"/>
    <cellStyle name="Followed Hyperlink 2" xfId="25532" hidden="1" xr:uid="{00000000-0005-0000-0000-000009210000}"/>
    <cellStyle name="Followed Hyperlink 2" xfId="25535" hidden="1" xr:uid="{00000000-0005-0000-0000-00000A210000}"/>
    <cellStyle name="Followed Hyperlink 2" xfId="25539" hidden="1" xr:uid="{00000000-0005-0000-0000-00000B210000}"/>
    <cellStyle name="Followed Hyperlink 2" xfId="25548" hidden="1" xr:uid="{00000000-0005-0000-0000-00000C210000}"/>
    <cellStyle name="Followed Hyperlink 2" xfId="25545" hidden="1" xr:uid="{00000000-0005-0000-0000-00000D210000}"/>
    <cellStyle name="Followed Hyperlink 2" xfId="25543" hidden="1" xr:uid="{00000000-0005-0000-0000-00000E210000}"/>
    <cellStyle name="Followed Hyperlink 2" xfId="25544" hidden="1" xr:uid="{00000000-0005-0000-0000-00000F210000}"/>
    <cellStyle name="Followed Hyperlink 2" xfId="25554" hidden="1" xr:uid="{00000000-0005-0000-0000-000010210000}"/>
    <cellStyle name="Followed Hyperlink 2" xfId="25557" hidden="1" xr:uid="{00000000-0005-0000-0000-000011210000}"/>
    <cellStyle name="Followed Hyperlink 2" xfId="25560" hidden="1" xr:uid="{00000000-0005-0000-0000-000012210000}"/>
    <cellStyle name="Followed Hyperlink 2" xfId="25564" hidden="1" xr:uid="{00000000-0005-0000-0000-000013210000}"/>
    <cellStyle name="Followed Hyperlink 2" xfId="25572" hidden="1" xr:uid="{00000000-0005-0000-0000-000014210000}"/>
    <cellStyle name="Followed Hyperlink 2" xfId="25569" hidden="1" xr:uid="{00000000-0005-0000-0000-000015210000}"/>
    <cellStyle name="Followed Hyperlink 2" xfId="25567" hidden="1" xr:uid="{00000000-0005-0000-0000-000016210000}"/>
    <cellStyle name="Followed Hyperlink 2" xfId="25568" hidden="1" xr:uid="{00000000-0005-0000-0000-000017210000}"/>
    <cellStyle name="Followed Hyperlink 2" xfId="25578" hidden="1" xr:uid="{00000000-0005-0000-0000-000018210000}"/>
    <cellStyle name="Followed Hyperlink 2" xfId="25581" hidden="1" xr:uid="{00000000-0005-0000-0000-000019210000}"/>
    <cellStyle name="Followed Hyperlink 2" xfId="25584" hidden="1" xr:uid="{00000000-0005-0000-0000-00001A210000}"/>
    <cellStyle name="Followed Hyperlink 2" xfId="25588" hidden="1" xr:uid="{00000000-0005-0000-0000-00001B210000}"/>
    <cellStyle name="Followed Hyperlink 2" xfId="25397" hidden="1" xr:uid="{00000000-0005-0000-0000-00001C210000}"/>
    <cellStyle name="Followed Hyperlink 2" xfId="25394" hidden="1" xr:uid="{00000000-0005-0000-0000-00001D210000}"/>
    <cellStyle name="Followed Hyperlink 2" xfId="25388" hidden="1" xr:uid="{00000000-0005-0000-0000-00001E210000}"/>
    <cellStyle name="Followed Hyperlink 2" xfId="25393" hidden="1" xr:uid="{00000000-0005-0000-0000-00001F210000}"/>
    <cellStyle name="Followed Hyperlink 2" xfId="25591" hidden="1" xr:uid="{00000000-0005-0000-0000-000020210000}"/>
    <cellStyle name="Followed Hyperlink 2" xfId="25594" hidden="1" xr:uid="{00000000-0005-0000-0000-000021210000}"/>
    <cellStyle name="Followed Hyperlink 2" xfId="25597" hidden="1" xr:uid="{00000000-0005-0000-0000-000022210000}"/>
    <cellStyle name="Followed Hyperlink 2" xfId="25601" hidden="1" xr:uid="{00000000-0005-0000-0000-000023210000}"/>
    <cellStyle name="Followed Hyperlink 2" xfId="25609" hidden="1" xr:uid="{00000000-0005-0000-0000-000024210000}"/>
    <cellStyle name="Followed Hyperlink 2" xfId="25606" hidden="1" xr:uid="{00000000-0005-0000-0000-000025210000}"/>
    <cellStyle name="Followed Hyperlink 2" xfId="25604" hidden="1" xr:uid="{00000000-0005-0000-0000-000026210000}"/>
    <cellStyle name="Followed Hyperlink 2" xfId="25605" hidden="1" xr:uid="{00000000-0005-0000-0000-000027210000}"/>
    <cellStyle name="Followed Hyperlink 2" xfId="25615" hidden="1" xr:uid="{00000000-0005-0000-0000-000028210000}"/>
    <cellStyle name="Followed Hyperlink 2" xfId="25618" hidden="1" xr:uid="{00000000-0005-0000-0000-000029210000}"/>
    <cellStyle name="Followed Hyperlink 2" xfId="25621" hidden="1" xr:uid="{00000000-0005-0000-0000-00002A210000}"/>
    <cellStyle name="Followed Hyperlink 2" xfId="25625" hidden="1" xr:uid="{00000000-0005-0000-0000-00002B210000}"/>
    <cellStyle name="Followed Hyperlink 2" xfId="25634" hidden="1" xr:uid="{00000000-0005-0000-0000-00002C210000}"/>
    <cellStyle name="Followed Hyperlink 2" xfId="25631" hidden="1" xr:uid="{00000000-0005-0000-0000-00002D210000}"/>
    <cellStyle name="Followed Hyperlink 2" xfId="25629" hidden="1" xr:uid="{00000000-0005-0000-0000-00002E210000}"/>
    <cellStyle name="Followed Hyperlink 2" xfId="25630" hidden="1" xr:uid="{00000000-0005-0000-0000-00002F210000}"/>
    <cellStyle name="Followed Hyperlink 2" xfId="25640" hidden="1" xr:uid="{00000000-0005-0000-0000-000030210000}"/>
    <cellStyle name="Followed Hyperlink 2" xfId="25643" hidden="1" xr:uid="{00000000-0005-0000-0000-000031210000}"/>
    <cellStyle name="Followed Hyperlink 2" xfId="25646" hidden="1" xr:uid="{00000000-0005-0000-0000-000032210000}"/>
    <cellStyle name="Followed Hyperlink 2" xfId="25650" hidden="1" xr:uid="{00000000-0005-0000-0000-000033210000}"/>
    <cellStyle name="Followed Hyperlink 2" xfId="25658" hidden="1" xr:uid="{00000000-0005-0000-0000-000034210000}"/>
    <cellStyle name="Followed Hyperlink 2" xfId="25655" hidden="1" xr:uid="{00000000-0005-0000-0000-000035210000}"/>
    <cellStyle name="Followed Hyperlink 2" xfId="25653" hidden="1" xr:uid="{00000000-0005-0000-0000-000036210000}"/>
    <cellStyle name="Followed Hyperlink 2" xfId="25654" hidden="1" xr:uid="{00000000-0005-0000-0000-000037210000}"/>
    <cellStyle name="Followed Hyperlink 2" xfId="25664" hidden="1" xr:uid="{00000000-0005-0000-0000-000038210000}"/>
    <cellStyle name="Followed Hyperlink 2" xfId="25667" hidden="1" xr:uid="{00000000-0005-0000-0000-000039210000}"/>
    <cellStyle name="Followed Hyperlink 2" xfId="25670" hidden="1" xr:uid="{00000000-0005-0000-0000-00003A210000}"/>
    <cellStyle name="Followed Hyperlink 2" xfId="25674" hidden="1" xr:uid="{00000000-0005-0000-0000-00003B210000}"/>
    <cellStyle name="Followed Hyperlink 2" xfId="25405" hidden="1" xr:uid="{00000000-0005-0000-0000-00003C210000}"/>
    <cellStyle name="Followed Hyperlink 2" xfId="25401" hidden="1" xr:uid="{00000000-0005-0000-0000-00003D210000}"/>
    <cellStyle name="Followed Hyperlink 2" xfId="25402" hidden="1" xr:uid="{00000000-0005-0000-0000-00003E210000}"/>
    <cellStyle name="Followed Hyperlink 2" xfId="25389" hidden="1" xr:uid="{00000000-0005-0000-0000-00003F210000}"/>
    <cellStyle name="Followed Hyperlink 2" xfId="25677" hidden="1" xr:uid="{00000000-0005-0000-0000-000040210000}"/>
    <cellStyle name="Followed Hyperlink 2" xfId="25680" hidden="1" xr:uid="{00000000-0005-0000-0000-000041210000}"/>
    <cellStyle name="Followed Hyperlink 2" xfId="25683" hidden="1" xr:uid="{00000000-0005-0000-0000-000042210000}"/>
    <cellStyle name="Followed Hyperlink 2" xfId="25687" hidden="1" xr:uid="{00000000-0005-0000-0000-000043210000}"/>
    <cellStyle name="Followed Hyperlink 2" xfId="25695" hidden="1" xr:uid="{00000000-0005-0000-0000-000044210000}"/>
    <cellStyle name="Followed Hyperlink 2" xfId="25692" hidden="1" xr:uid="{00000000-0005-0000-0000-000045210000}"/>
    <cellStyle name="Followed Hyperlink 2" xfId="25690" hidden="1" xr:uid="{00000000-0005-0000-0000-000046210000}"/>
    <cellStyle name="Followed Hyperlink 2" xfId="25691" hidden="1" xr:uid="{00000000-0005-0000-0000-000047210000}"/>
    <cellStyle name="Followed Hyperlink 2" xfId="25701" hidden="1" xr:uid="{00000000-0005-0000-0000-000048210000}"/>
    <cellStyle name="Followed Hyperlink 2" xfId="25704" hidden="1" xr:uid="{00000000-0005-0000-0000-000049210000}"/>
    <cellStyle name="Followed Hyperlink 2" xfId="25707" hidden="1" xr:uid="{00000000-0005-0000-0000-00004A210000}"/>
    <cellStyle name="Followed Hyperlink 2" xfId="25711" hidden="1" xr:uid="{00000000-0005-0000-0000-00004B210000}"/>
    <cellStyle name="Followed Hyperlink 2" xfId="25719" hidden="1" xr:uid="{00000000-0005-0000-0000-00004C210000}"/>
    <cellStyle name="Followed Hyperlink 2" xfId="25716" hidden="1" xr:uid="{00000000-0005-0000-0000-00004D210000}"/>
    <cellStyle name="Followed Hyperlink 2" xfId="25714" hidden="1" xr:uid="{00000000-0005-0000-0000-00004E210000}"/>
    <cellStyle name="Followed Hyperlink 2" xfId="25715" hidden="1" xr:uid="{00000000-0005-0000-0000-00004F210000}"/>
    <cellStyle name="Followed Hyperlink 2" xfId="25725" hidden="1" xr:uid="{00000000-0005-0000-0000-000050210000}"/>
    <cellStyle name="Followed Hyperlink 2" xfId="25728" hidden="1" xr:uid="{00000000-0005-0000-0000-000051210000}"/>
    <cellStyle name="Followed Hyperlink 2" xfId="25731" hidden="1" xr:uid="{00000000-0005-0000-0000-000052210000}"/>
    <cellStyle name="Followed Hyperlink 2" xfId="25735" hidden="1" xr:uid="{00000000-0005-0000-0000-000053210000}"/>
    <cellStyle name="Followed Hyperlink 2" xfId="25743" hidden="1" xr:uid="{00000000-0005-0000-0000-000054210000}"/>
    <cellStyle name="Followed Hyperlink 2" xfId="25740" hidden="1" xr:uid="{00000000-0005-0000-0000-000055210000}"/>
    <cellStyle name="Followed Hyperlink 2" xfId="25738" hidden="1" xr:uid="{00000000-0005-0000-0000-000056210000}"/>
    <cellStyle name="Followed Hyperlink 2" xfId="25739" hidden="1" xr:uid="{00000000-0005-0000-0000-000057210000}"/>
    <cellStyle name="Followed Hyperlink 2" xfId="25749" hidden="1" xr:uid="{00000000-0005-0000-0000-000058210000}"/>
    <cellStyle name="Followed Hyperlink 2" xfId="25752" hidden="1" xr:uid="{00000000-0005-0000-0000-000059210000}"/>
    <cellStyle name="Followed Hyperlink 2" xfId="25755" hidden="1" xr:uid="{00000000-0005-0000-0000-00005A210000}"/>
    <cellStyle name="Followed Hyperlink 2" xfId="25759" hidden="1" xr:uid="{00000000-0005-0000-0000-00005B210000}"/>
    <cellStyle name="Followed Hyperlink 2" xfId="25252" hidden="1" xr:uid="{00000000-0005-0000-0000-00005C210000}"/>
    <cellStyle name="Followed Hyperlink 2" xfId="25256" hidden="1" xr:uid="{00000000-0005-0000-0000-00005D210000}"/>
    <cellStyle name="Followed Hyperlink 2" xfId="25251" hidden="1" xr:uid="{00000000-0005-0000-0000-00005E210000}"/>
    <cellStyle name="Followed Hyperlink 2" xfId="25257" hidden="1" xr:uid="{00000000-0005-0000-0000-00005F210000}"/>
    <cellStyle name="Followed Hyperlink 2" xfId="25762" hidden="1" xr:uid="{00000000-0005-0000-0000-000060210000}"/>
    <cellStyle name="Followed Hyperlink 2" xfId="25765" hidden="1" xr:uid="{00000000-0005-0000-0000-000061210000}"/>
    <cellStyle name="Followed Hyperlink 2" xfId="25768" hidden="1" xr:uid="{00000000-0005-0000-0000-000062210000}"/>
    <cellStyle name="Followed Hyperlink 2" xfId="25772" hidden="1" xr:uid="{00000000-0005-0000-0000-000063210000}"/>
    <cellStyle name="Followed Hyperlink 2" xfId="25780" hidden="1" xr:uid="{00000000-0005-0000-0000-000064210000}"/>
    <cellStyle name="Followed Hyperlink 2" xfId="25777" hidden="1" xr:uid="{00000000-0005-0000-0000-000065210000}"/>
    <cellStyle name="Followed Hyperlink 2" xfId="25775" hidden="1" xr:uid="{00000000-0005-0000-0000-000066210000}"/>
    <cellStyle name="Followed Hyperlink 2" xfId="25776" hidden="1" xr:uid="{00000000-0005-0000-0000-000067210000}"/>
    <cellStyle name="Followed Hyperlink 2" xfId="25786" hidden="1" xr:uid="{00000000-0005-0000-0000-000068210000}"/>
    <cellStyle name="Followed Hyperlink 2" xfId="25789" hidden="1" xr:uid="{00000000-0005-0000-0000-000069210000}"/>
    <cellStyle name="Followed Hyperlink 2" xfId="25792" hidden="1" xr:uid="{00000000-0005-0000-0000-00006A210000}"/>
    <cellStyle name="Followed Hyperlink 2" xfId="25796" hidden="1" xr:uid="{00000000-0005-0000-0000-00006B210000}"/>
    <cellStyle name="Followed Hyperlink 2" xfId="25805" hidden="1" xr:uid="{00000000-0005-0000-0000-00006C210000}"/>
    <cellStyle name="Followed Hyperlink 2" xfId="25802" hidden="1" xr:uid="{00000000-0005-0000-0000-00006D210000}"/>
    <cellStyle name="Followed Hyperlink 2" xfId="25800" hidden="1" xr:uid="{00000000-0005-0000-0000-00006E210000}"/>
    <cellStyle name="Followed Hyperlink 2" xfId="25801" hidden="1" xr:uid="{00000000-0005-0000-0000-00006F210000}"/>
    <cellStyle name="Followed Hyperlink 2" xfId="25811" hidden="1" xr:uid="{00000000-0005-0000-0000-000070210000}"/>
    <cellStyle name="Followed Hyperlink 2" xfId="25814" hidden="1" xr:uid="{00000000-0005-0000-0000-000071210000}"/>
    <cellStyle name="Followed Hyperlink 2" xfId="25817" hidden="1" xr:uid="{00000000-0005-0000-0000-000072210000}"/>
    <cellStyle name="Followed Hyperlink 2" xfId="25821" hidden="1" xr:uid="{00000000-0005-0000-0000-000073210000}"/>
    <cellStyle name="Followed Hyperlink 2" xfId="25829" hidden="1" xr:uid="{00000000-0005-0000-0000-000074210000}"/>
    <cellStyle name="Followed Hyperlink 2" xfId="25826" hidden="1" xr:uid="{00000000-0005-0000-0000-000075210000}"/>
    <cellStyle name="Followed Hyperlink 2" xfId="25824" hidden="1" xr:uid="{00000000-0005-0000-0000-000076210000}"/>
    <cellStyle name="Followed Hyperlink 2" xfId="25825" hidden="1" xr:uid="{00000000-0005-0000-0000-000077210000}"/>
    <cellStyle name="Followed Hyperlink 2" xfId="25835" hidden="1" xr:uid="{00000000-0005-0000-0000-000078210000}"/>
    <cellStyle name="Followed Hyperlink 2" xfId="25838" hidden="1" xr:uid="{00000000-0005-0000-0000-000079210000}"/>
    <cellStyle name="Followed Hyperlink 2" xfId="25841" hidden="1" xr:uid="{00000000-0005-0000-0000-00007A210000}"/>
    <cellStyle name="Followed Hyperlink 2" xfId="25845" hidden="1" xr:uid="{00000000-0005-0000-0000-00007B210000}"/>
    <cellStyle name="Followed Hyperlink 2" xfId="25882" hidden="1" xr:uid="{00000000-0005-0000-0000-00007C210000}"/>
    <cellStyle name="Followed Hyperlink 2" xfId="25879" hidden="1" xr:uid="{00000000-0005-0000-0000-00007D210000}"/>
    <cellStyle name="Followed Hyperlink 2" xfId="25877" hidden="1" xr:uid="{00000000-0005-0000-0000-00007E210000}"/>
    <cellStyle name="Followed Hyperlink 2" xfId="25878" hidden="1" xr:uid="{00000000-0005-0000-0000-00007F210000}"/>
    <cellStyle name="Followed Hyperlink 2" xfId="25888" hidden="1" xr:uid="{00000000-0005-0000-0000-000080210000}"/>
    <cellStyle name="Followed Hyperlink 2" xfId="25891" hidden="1" xr:uid="{00000000-0005-0000-0000-000081210000}"/>
    <cellStyle name="Followed Hyperlink 2" xfId="25894" hidden="1" xr:uid="{00000000-0005-0000-0000-000082210000}"/>
    <cellStyle name="Followed Hyperlink 2" xfId="25898" hidden="1" xr:uid="{00000000-0005-0000-0000-000083210000}"/>
    <cellStyle name="Followed Hyperlink 2" xfId="25906" hidden="1" xr:uid="{00000000-0005-0000-0000-000084210000}"/>
    <cellStyle name="Followed Hyperlink 2" xfId="25903" hidden="1" xr:uid="{00000000-0005-0000-0000-000085210000}"/>
    <cellStyle name="Followed Hyperlink 2" xfId="25901" hidden="1" xr:uid="{00000000-0005-0000-0000-000086210000}"/>
    <cellStyle name="Followed Hyperlink 2" xfId="25902" hidden="1" xr:uid="{00000000-0005-0000-0000-000087210000}"/>
    <cellStyle name="Followed Hyperlink 2" xfId="25912" hidden="1" xr:uid="{00000000-0005-0000-0000-000088210000}"/>
    <cellStyle name="Followed Hyperlink 2" xfId="25915" hidden="1" xr:uid="{00000000-0005-0000-0000-000089210000}"/>
    <cellStyle name="Followed Hyperlink 2" xfId="25918" hidden="1" xr:uid="{00000000-0005-0000-0000-00008A210000}"/>
    <cellStyle name="Followed Hyperlink 2" xfId="25922" hidden="1" xr:uid="{00000000-0005-0000-0000-00008B210000}"/>
    <cellStyle name="Followed Hyperlink 2" xfId="25932" hidden="1" xr:uid="{00000000-0005-0000-0000-00008C210000}"/>
    <cellStyle name="Followed Hyperlink 2" xfId="25929" hidden="1" xr:uid="{00000000-0005-0000-0000-00008D210000}"/>
    <cellStyle name="Followed Hyperlink 2" xfId="25927" hidden="1" xr:uid="{00000000-0005-0000-0000-00008E210000}"/>
    <cellStyle name="Followed Hyperlink 2" xfId="25928" hidden="1" xr:uid="{00000000-0005-0000-0000-00008F210000}"/>
    <cellStyle name="Followed Hyperlink 2" xfId="25938" hidden="1" xr:uid="{00000000-0005-0000-0000-000090210000}"/>
    <cellStyle name="Followed Hyperlink 2" xfId="25941" hidden="1" xr:uid="{00000000-0005-0000-0000-000091210000}"/>
    <cellStyle name="Followed Hyperlink 2" xfId="25944" hidden="1" xr:uid="{00000000-0005-0000-0000-000092210000}"/>
    <cellStyle name="Followed Hyperlink 2" xfId="25948" hidden="1" xr:uid="{00000000-0005-0000-0000-000093210000}"/>
    <cellStyle name="Followed Hyperlink 2" xfId="25956" hidden="1" xr:uid="{00000000-0005-0000-0000-000094210000}"/>
    <cellStyle name="Followed Hyperlink 2" xfId="25953" hidden="1" xr:uid="{00000000-0005-0000-0000-000095210000}"/>
    <cellStyle name="Followed Hyperlink 2" xfId="25951" hidden="1" xr:uid="{00000000-0005-0000-0000-000096210000}"/>
    <cellStyle name="Followed Hyperlink 2" xfId="25952" hidden="1" xr:uid="{00000000-0005-0000-0000-000097210000}"/>
    <cellStyle name="Followed Hyperlink 2" xfId="25962" hidden="1" xr:uid="{00000000-0005-0000-0000-000098210000}"/>
    <cellStyle name="Followed Hyperlink 2" xfId="25965" hidden="1" xr:uid="{00000000-0005-0000-0000-000099210000}"/>
    <cellStyle name="Followed Hyperlink 2" xfId="25968" hidden="1" xr:uid="{00000000-0005-0000-0000-00009A210000}"/>
    <cellStyle name="Followed Hyperlink 2" xfId="25972" hidden="1" xr:uid="{00000000-0005-0000-0000-00009B210000}"/>
    <cellStyle name="Followed Hyperlink 2" xfId="25849" hidden="1" xr:uid="{00000000-0005-0000-0000-00009C210000}"/>
    <cellStyle name="Followed Hyperlink 2" xfId="25853" hidden="1" xr:uid="{00000000-0005-0000-0000-00009D210000}"/>
    <cellStyle name="Followed Hyperlink 2" xfId="25848" hidden="1" xr:uid="{00000000-0005-0000-0000-00009E210000}"/>
    <cellStyle name="Followed Hyperlink 2" xfId="25854" hidden="1" xr:uid="{00000000-0005-0000-0000-00009F210000}"/>
    <cellStyle name="Followed Hyperlink 2" xfId="25975" hidden="1" xr:uid="{00000000-0005-0000-0000-0000A0210000}"/>
    <cellStyle name="Followed Hyperlink 2" xfId="25978" hidden="1" xr:uid="{00000000-0005-0000-0000-0000A1210000}"/>
    <cellStyle name="Followed Hyperlink 2" xfId="25981" hidden="1" xr:uid="{00000000-0005-0000-0000-0000A2210000}"/>
    <cellStyle name="Followed Hyperlink 2" xfId="25985" hidden="1" xr:uid="{00000000-0005-0000-0000-0000A3210000}"/>
    <cellStyle name="Followed Hyperlink 2" xfId="25993" hidden="1" xr:uid="{00000000-0005-0000-0000-0000A4210000}"/>
    <cellStyle name="Followed Hyperlink 2" xfId="25990" hidden="1" xr:uid="{00000000-0005-0000-0000-0000A5210000}"/>
    <cellStyle name="Followed Hyperlink 2" xfId="25988" hidden="1" xr:uid="{00000000-0005-0000-0000-0000A6210000}"/>
    <cellStyle name="Followed Hyperlink 2" xfId="25989" hidden="1" xr:uid="{00000000-0005-0000-0000-0000A7210000}"/>
    <cellStyle name="Followed Hyperlink 2" xfId="25999" hidden="1" xr:uid="{00000000-0005-0000-0000-0000A8210000}"/>
    <cellStyle name="Followed Hyperlink 2" xfId="26002" hidden="1" xr:uid="{00000000-0005-0000-0000-0000A9210000}"/>
    <cellStyle name="Followed Hyperlink 2" xfId="26005" hidden="1" xr:uid="{00000000-0005-0000-0000-0000AA210000}"/>
    <cellStyle name="Followed Hyperlink 2" xfId="26009" hidden="1" xr:uid="{00000000-0005-0000-0000-0000AB210000}"/>
    <cellStyle name="Followed Hyperlink 2" xfId="26018" hidden="1" xr:uid="{00000000-0005-0000-0000-0000AC210000}"/>
    <cellStyle name="Followed Hyperlink 2" xfId="26015" hidden="1" xr:uid="{00000000-0005-0000-0000-0000AD210000}"/>
    <cellStyle name="Followed Hyperlink 2" xfId="26013" hidden="1" xr:uid="{00000000-0005-0000-0000-0000AE210000}"/>
    <cellStyle name="Followed Hyperlink 2" xfId="26014" hidden="1" xr:uid="{00000000-0005-0000-0000-0000AF210000}"/>
    <cellStyle name="Followed Hyperlink 2" xfId="26024" hidden="1" xr:uid="{00000000-0005-0000-0000-0000B0210000}"/>
    <cellStyle name="Followed Hyperlink 2" xfId="26027" hidden="1" xr:uid="{00000000-0005-0000-0000-0000B1210000}"/>
    <cellStyle name="Followed Hyperlink 2" xfId="26030" hidden="1" xr:uid="{00000000-0005-0000-0000-0000B2210000}"/>
    <cellStyle name="Followed Hyperlink 2" xfId="26034" hidden="1" xr:uid="{00000000-0005-0000-0000-0000B3210000}"/>
    <cellStyle name="Followed Hyperlink 2" xfId="26042" hidden="1" xr:uid="{00000000-0005-0000-0000-0000B4210000}"/>
    <cellStyle name="Followed Hyperlink 2" xfId="26039" hidden="1" xr:uid="{00000000-0005-0000-0000-0000B5210000}"/>
    <cellStyle name="Followed Hyperlink 2" xfId="26037" hidden="1" xr:uid="{00000000-0005-0000-0000-0000B6210000}"/>
    <cellStyle name="Followed Hyperlink 2" xfId="26038" hidden="1" xr:uid="{00000000-0005-0000-0000-0000B7210000}"/>
    <cellStyle name="Followed Hyperlink 2" xfId="26048" hidden="1" xr:uid="{00000000-0005-0000-0000-0000B8210000}"/>
    <cellStyle name="Followed Hyperlink 2" xfId="26051" hidden="1" xr:uid="{00000000-0005-0000-0000-0000B9210000}"/>
    <cellStyle name="Followed Hyperlink 2" xfId="26054" hidden="1" xr:uid="{00000000-0005-0000-0000-0000BA210000}"/>
    <cellStyle name="Followed Hyperlink 2" xfId="26058" hidden="1" xr:uid="{00000000-0005-0000-0000-0000BB210000}"/>
    <cellStyle name="Followed Hyperlink 2" xfId="25867" hidden="1" xr:uid="{00000000-0005-0000-0000-0000BC210000}"/>
    <cellStyle name="Followed Hyperlink 2" xfId="25864" hidden="1" xr:uid="{00000000-0005-0000-0000-0000BD210000}"/>
    <cellStyle name="Followed Hyperlink 2" xfId="25858" hidden="1" xr:uid="{00000000-0005-0000-0000-0000BE210000}"/>
    <cellStyle name="Followed Hyperlink 2" xfId="25863" hidden="1" xr:uid="{00000000-0005-0000-0000-0000BF210000}"/>
    <cellStyle name="Followed Hyperlink 2" xfId="26061" hidden="1" xr:uid="{00000000-0005-0000-0000-0000C0210000}"/>
    <cellStyle name="Followed Hyperlink 2" xfId="26064" hidden="1" xr:uid="{00000000-0005-0000-0000-0000C1210000}"/>
    <cellStyle name="Followed Hyperlink 2" xfId="26067" hidden="1" xr:uid="{00000000-0005-0000-0000-0000C2210000}"/>
    <cellStyle name="Followed Hyperlink 2" xfId="26071" hidden="1" xr:uid="{00000000-0005-0000-0000-0000C3210000}"/>
    <cellStyle name="Followed Hyperlink 2" xfId="26079" hidden="1" xr:uid="{00000000-0005-0000-0000-0000C4210000}"/>
    <cellStyle name="Followed Hyperlink 2" xfId="26076" hidden="1" xr:uid="{00000000-0005-0000-0000-0000C5210000}"/>
    <cellStyle name="Followed Hyperlink 2" xfId="26074" hidden="1" xr:uid="{00000000-0005-0000-0000-0000C6210000}"/>
    <cellStyle name="Followed Hyperlink 2" xfId="26075" hidden="1" xr:uid="{00000000-0005-0000-0000-0000C7210000}"/>
    <cellStyle name="Followed Hyperlink 2" xfId="26085" hidden="1" xr:uid="{00000000-0005-0000-0000-0000C8210000}"/>
    <cellStyle name="Followed Hyperlink 2" xfId="26088" hidden="1" xr:uid="{00000000-0005-0000-0000-0000C9210000}"/>
    <cellStyle name="Followed Hyperlink 2" xfId="26091" hidden="1" xr:uid="{00000000-0005-0000-0000-0000CA210000}"/>
    <cellStyle name="Followed Hyperlink 2" xfId="26095" hidden="1" xr:uid="{00000000-0005-0000-0000-0000CB210000}"/>
    <cellStyle name="Followed Hyperlink 2" xfId="26104" hidden="1" xr:uid="{00000000-0005-0000-0000-0000CC210000}"/>
    <cellStyle name="Followed Hyperlink 2" xfId="26101" hidden="1" xr:uid="{00000000-0005-0000-0000-0000CD210000}"/>
    <cellStyle name="Followed Hyperlink 2" xfId="26099" hidden="1" xr:uid="{00000000-0005-0000-0000-0000CE210000}"/>
    <cellStyle name="Followed Hyperlink 2" xfId="26100" hidden="1" xr:uid="{00000000-0005-0000-0000-0000CF210000}"/>
    <cellStyle name="Followed Hyperlink 2" xfId="26110" hidden="1" xr:uid="{00000000-0005-0000-0000-0000D0210000}"/>
    <cellStyle name="Followed Hyperlink 2" xfId="26113" hidden="1" xr:uid="{00000000-0005-0000-0000-0000D1210000}"/>
    <cellStyle name="Followed Hyperlink 2" xfId="26116" hidden="1" xr:uid="{00000000-0005-0000-0000-0000D2210000}"/>
    <cellStyle name="Followed Hyperlink 2" xfId="26120" hidden="1" xr:uid="{00000000-0005-0000-0000-0000D3210000}"/>
    <cellStyle name="Followed Hyperlink 2" xfId="26128" hidden="1" xr:uid="{00000000-0005-0000-0000-0000D4210000}"/>
    <cellStyle name="Followed Hyperlink 2" xfId="26125" hidden="1" xr:uid="{00000000-0005-0000-0000-0000D5210000}"/>
    <cellStyle name="Followed Hyperlink 2" xfId="26123" hidden="1" xr:uid="{00000000-0005-0000-0000-0000D6210000}"/>
    <cellStyle name="Followed Hyperlink 2" xfId="26124" hidden="1" xr:uid="{00000000-0005-0000-0000-0000D7210000}"/>
    <cellStyle name="Followed Hyperlink 2" xfId="26134" hidden="1" xr:uid="{00000000-0005-0000-0000-0000D8210000}"/>
    <cellStyle name="Followed Hyperlink 2" xfId="26137" hidden="1" xr:uid="{00000000-0005-0000-0000-0000D9210000}"/>
    <cellStyle name="Followed Hyperlink 2" xfId="26140" hidden="1" xr:uid="{00000000-0005-0000-0000-0000DA210000}"/>
    <cellStyle name="Followed Hyperlink 2" xfId="26144" hidden="1" xr:uid="{00000000-0005-0000-0000-0000DB210000}"/>
    <cellStyle name="Followed Hyperlink 2" xfId="25875" hidden="1" xr:uid="{00000000-0005-0000-0000-0000DC210000}"/>
    <cellStyle name="Followed Hyperlink 2" xfId="25871" hidden="1" xr:uid="{00000000-0005-0000-0000-0000DD210000}"/>
    <cellStyle name="Followed Hyperlink 2" xfId="25872" hidden="1" xr:uid="{00000000-0005-0000-0000-0000DE210000}"/>
    <cellStyle name="Followed Hyperlink 2" xfId="25859" hidden="1" xr:uid="{00000000-0005-0000-0000-0000DF210000}"/>
    <cellStyle name="Followed Hyperlink 2" xfId="26147" hidden="1" xr:uid="{00000000-0005-0000-0000-0000E0210000}"/>
    <cellStyle name="Followed Hyperlink 2" xfId="26150" hidden="1" xr:uid="{00000000-0005-0000-0000-0000E1210000}"/>
    <cellStyle name="Followed Hyperlink 2" xfId="26153" hidden="1" xr:uid="{00000000-0005-0000-0000-0000E2210000}"/>
    <cellStyle name="Followed Hyperlink 2" xfId="26157" hidden="1" xr:uid="{00000000-0005-0000-0000-0000E3210000}"/>
    <cellStyle name="Followed Hyperlink 2" xfId="26165" hidden="1" xr:uid="{00000000-0005-0000-0000-0000E4210000}"/>
    <cellStyle name="Followed Hyperlink 2" xfId="26162" hidden="1" xr:uid="{00000000-0005-0000-0000-0000E5210000}"/>
    <cellStyle name="Followed Hyperlink 2" xfId="26160" hidden="1" xr:uid="{00000000-0005-0000-0000-0000E6210000}"/>
    <cellStyle name="Followed Hyperlink 2" xfId="26161" hidden="1" xr:uid="{00000000-0005-0000-0000-0000E7210000}"/>
    <cellStyle name="Followed Hyperlink 2" xfId="26171" hidden="1" xr:uid="{00000000-0005-0000-0000-0000E8210000}"/>
    <cellStyle name="Followed Hyperlink 2" xfId="26174" hidden="1" xr:uid="{00000000-0005-0000-0000-0000E9210000}"/>
    <cellStyle name="Followed Hyperlink 2" xfId="26177" hidden="1" xr:uid="{00000000-0005-0000-0000-0000EA210000}"/>
    <cellStyle name="Followed Hyperlink 2" xfId="26181" hidden="1" xr:uid="{00000000-0005-0000-0000-0000EB210000}"/>
    <cellStyle name="Followed Hyperlink 2" xfId="26189" hidden="1" xr:uid="{00000000-0005-0000-0000-0000EC210000}"/>
    <cellStyle name="Followed Hyperlink 2" xfId="26186" hidden="1" xr:uid="{00000000-0005-0000-0000-0000ED210000}"/>
    <cellStyle name="Followed Hyperlink 2" xfId="26184" hidden="1" xr:uid="{00000000-0005-0000-0000-0000EE210000}"/>
    <cellStyle name="Followed Hyperlink 2" xfId="26185" hidden="1" xr:uid="{00000000-0005-0000-0000-0000EF210000}"/>
    <cellStyle name="Followed Hyperlink 2" xfId="26195" hidden="1" xr:uid="{00000000-0005-0000-0000-0000F0210000}"/>
    <cellStyle name="Followed Hyperlink 2" xfId="26198" hidden="1" xr:uid="{00000000-0005-0000-0000-0000F1210000}"/>
    <cellStyle name="Followed Hyperlink 2" xfId="26201" hidden="1" xr:uid="{00000000-0005-0000-0000-0000F2210000}"/>
    <cellStyle name="Followed Hyperlink 2" xfId="26205" hidden="1" xr:uid="{00000000-0005-0000-0000-0000F3210000}"/>
    <cellStyle name="Followed Hyperlink 2" xfId="26213" hidden="1" xr:uid="{00000000-0005-0000-0000-0000F4210000}"/>
    <cellStyle name="Followed Hyperlink 2" xfId="26210" hidden="1" xr:uid="{00000000-0005-0000-0000-0000F5210000}"/>
    <cellStyle name="Followed Hyperlink 2" xfId="26208" hidden="1" xr:uid="{00000000-0005-0000-0000-0000F6210000}"/>
    <cellStyle name="Followed Hyperlink 2" xfId="26209" hidden="1" xr:uid="{00000000-0005-0000-0000-0000F7210000}"/>
    <cellStyle name="Followed Hyperlink 2" xfId="26219" hidden="1" xr:uid="{00000000-0005-0000-0000-0000F8210000}"/>
    <cellStyle name="Followed Hyperlink 2" xfId="26222" hidden="1" xr:uid="{00000000-0005-0000-0000-0000F9210000}"/>
    <cellStyle name="Followed Hyperlink 2" xfId="26225" hidden="1" xr:uid="{00000000-0005-0000-0000-0000FA210000}"/>
    <cellStyle name="Followed Hyperlink 2" xfId="26229" hidden="1" xr:uid="{00000000-0005-0000-0000-0000FB210000}"/>
    <cellStyle name="Followed Hyperlink 2" xfId="25270" hidden="1" xr:uid="{00000000-0005-0000-0000-0000FC210000}"/>
    <cellStyle name="Followed Hyperlink 2" xfId="25267" hidden="1" xr:uid="{00000000-0005-0000-0000-0000FD210000}"/>
    <cellStyle name="Followed Hyperlink 2" xfId="25261" hidden="1" xr:uid="{00000000-0005-0000-0000-0000FE210000}"/>
    <cellStyle name="Followed Hyperlink 2" xfId="25266" hidden="1" xr:uid="{00000000-0005-0000-0000-0000FF210000}"/>
    <cellStyle name="Followed Hyperlink 2" xfId="26232" hidden="1" xr:uid="{00000000-0005-0000-0000-000000220000}"/>
    <cellStyle name="Followed Hyperlink 2" xfId="26235" hidden="1" xr:uid="{00000000-0005-0000-0000-000001220000}"/>
    <cellStyle name="Followed Hyperlink 2" xfId="26238" hidden="1" xr:uid="{00000000-0005-0000-0000-000002220000}"/>
    <cellStyle name="Followed Hyperlink 2" xfId="26242" hidden="1" xr:uid="{00000000-0005-0000-0000-000003220000}"/>
    <cellStyle name="Followed Hyperlink 2" xfId="26250" hidden="1" xr:uid="{00000000-0005-0000-0000-000004220000}"/>
    <cellStyle name="Followed Hyperlink 2" xfId="26247" hidden="1" xr:uid="{00000000-0005-0000-0000-000005220000}"/>
    <cellStyle name="Followed Hyperlink 2" xfId="26245" hidden="1" xr:uid="{00000000-0005-0000-0000-000006220000}"/>
    <cellStyle name="Followed Hyperlink 2" xfId="26246" hidden="1" xr:uid="{00000000-0005-0000-0000-000007220000}"/>
    <cellStyle name="Followed Hyperlink 2" xfId="26256" hidden="1" xr:uid="{00000000-0005-0000-0000-000008220000}"/>
    <cellStyle name="Followed Hyperlink 2" xfId="26259" hidden="1" xr:uid="{00000000-0005-0000-0000-000009220000}"/>
    <cellStyle name="Followed Hyperlink 2" xfId="26262" hidden="1" xr:uid="{00000000-0005-0000-0000-00000A220000}"/>
    <cellStyle name="Followed Hyperlink 2" xfId="26266" hidden="1" xr:uid="{00000000-0005-0000-0000-00000B220000}"/>
    <cellStyle name="Followed Hyperlink 2" xfId="26275" hidden="1" xr:uid="{00000000-0005-0000-0000-00000C220000}"/>
    <cellStyle name="Followed Hyperlink 2" xfId="26272" hidden="1" xr:uid="{00000000-0005-0000-0000-00000D220000}"/>
    <cellStyle name="Followed Hyperlink 2" xfId="26270" hidden="1" xr:uid="{00000000-0005-0000-0000-00000E220000}"/>
    <cellStyle name="Followed Hyperlink 2" xfId="26271" hidden="1" xr:uid="{00000000-0005-0000-0000-00000F220000}"/>
    <cellStyle name="Followed Hyperlink 2" xfId="26281" hidden="1" xr:uid="{00000000-0005-0000-0000-000010220000}"/>
    <cellStyle name="Followed Hyperlink 2" xfId="26284" hidden="1" xr:uid="{00000000-0005-0000-0000-000011220000}"/>
    <cellStyle name="Followed Hyperlink 2" xfId="26287" hidden="1" xr:uid="{00000000-0005-0000-0000-000012220000}"/>
    <cellStyle name="Followed Hyperlink 2" xfId="26291" hidden="1" xr:uid="{00000000-0005-0000-0000-000013220000}"/>
    <cellStyle name="Followed Hyperlink 2" xfId="26299" hidden="1" xr:uid="{00000000-0005-0000-0000-000014220000}"/>
    <cellStyle name="Followed Hyperlink 2" xfId="26296" hidden="1" xr:uid="{00000000-0005-0000-0000-000015220000}"/>
    <cellStyle name="Followed Hyperlink 2" xfId="26294" hidden="1" xr:uid="{00000000-0005-0000-0000-000016220000}"/>
    <cellStyle name="Followed Hyperlink 2" xfId="26295" hidden="1" xr:uid="{00000000-0005-0000-0000-000017220000}"/>
    <cellStyle name="Followed Hyperlink 2" xfId="26305" hidden="1" xr:uid="{00000000-0005-0000-0000-000018220000}"/>
    <cellStyle name="Followed Hyperlink 2" xfId="26308" hidden="1" xr:uid="{00000000-0005-0000-0000-000019220000}"/>
    <cellStyle name="Followed Hyperlink 2" xfId="26311" hidden="1" xr:uid="{00000000-0005-0000-0000-00001A220000}"/>
    <cellStyle name="Followed Hyperlink 2" xfId="26315" hidden="1" xr:uid="{00000000-0005-0000-0000-00001B220000}"/>
    <cellStyle name="Followed Hyperlink 2" xfId="26352" hidden="1" xr:uid="{00000000-0005-0000-0000-00001C220000}"/>
    <cellStyle name="Followed Hyperlink 2" xfId="26349" hidden="1" xr:uid="{00000000-0005-0000-0000-00001D220000}"/>
    <cellStyle name="Followed Hyperlink 2" xfId="26347" hidden="1" xr:uid="{00000000-0005-0000-0000-00001E220000}"/>
    <cellStyle name="Followed Hyperlink 2" xfId="26348" hidden="1" xr:uid="{00000000-0005-0000-0000-00001F220000}"/>
    <cellStyle name="Followed Hyperlink 2" xfId="26358" hidden="1" xr:uid="{00000000-0005-0000-0000-000020220000}"/>
    <cellStyle name="Followed Hyperlink 2" xfId="26361" hidden="1" xr:uid="{00000000-0005-0000-0000-000021220000}"/>
    <cellStyle name="Followed Hyperlink 2" xfId="26364" hidden="1" xr:uid="{00000000-0005-0000-0000-000022220000}"/>
    <cellStyle name="Followed Hyperlink 2" xfId="26368" hidden="1" xr:uid="{00000000-0005-0000-0000-000023220000}"/>
    <cellStyle name="Followed Hyperlink 2" xfId="26376" hidden="1" xr:uid="{00000000-0005-0000-0000-000024220000}"/>
    <cellStyle name="Followed Hyperlink 2" xfId="26373" hidden="1" xr:uid="{00000000-0005-0000-0000-000025220000}"/>
    <cellStyle name="Followed Hyperlink 2" xfId="26371" hidden="1" xr:uid="{00000000-0005-0000-0000-000026220000}"/>
    <cellStyle name="Followed Hyperlink 2" xfId="26372" hidden="1" xr:uid="{00000000-0005-0000-0000-000027220000}"/>
    <cellStyle name="Followed Hyperlink 2" xfId="26382" hidden="1" xr:uid="{00000000-0005-0000-0000-000028220000}"/>
    <cellStyle name="Followed Hyperlink 2" xfId="26385" hidden="1" xr:uid="{00000000-0005-0000-0000-000029220000}"/>
    <cellStyle name="Followed Hyperlink 2" xfId="26388" hidden="1" xr:uid="{00000000-0005-0000-0000-00002A220000}"/>
    <cellStyle name="Followed Hyperlink 2" xfId="26392" hidden="1" xr:uid="{00000000-0005-0000-0000-00002B220000}"/>
    <cellStyle name="Followed Hyperlink 2" xfId="26402" hidden="1" xr:uid="{00000000-0005-0000-0000-00002C220000}"/>
    <cellStyle name="Followed Hyperlink 2" xfId="26399" hidden="1" xr:uid="{00000000-0005-0000-0000-00002D220000}"/>
    <cellStyle name="Followed Hyperlink 2" xfId="26397" hidden="1" xr:uid="{00000000-0005-0000-0000-00002E220000}"/>
    <cellStyle name="Followed Hyperlink 2" xfId="26398" hidden="1" xr:uid="{00000000-0005-0000-0000-00002F220000}"/>
    <cellStyle name="Followed Hyperlink 2" xfId="26408" hidden="1" xr:uid="{00000000-0005-0000-0000-000030220000}"/>
    <cellStyle name="Followed Hyperlink 2" xfId="26411" hidden="1" xr:uid="{00000000-0005-0000-0000-000031220000}"/>
    <cellStyle name="Followed Hyperlink 2" xfId="26414" hidden="1" xr:uid="{00000000-0005-0000-0000-000032220000}"/>
    <cellStyle name="Followed Hyperlink 2" xfId="26418" hidden="1" xr:uid="{00000000-0005-0000-0000-000033220000}"/>
    <cellStyle name="Followed Hyperlink 2" xfId="26426" hidden="1" xr:uid="{00000000-0005-0000-0000-000034220000}"/>
    <cellStyle name="Followed Hyperlink 2" xfId="26423" hidden="1" xr:uid="{00000000-0005-0000-0000-000035220000}"/>
    <cellStyle name="Followed Hyperlink 2" xfId="26421" hidden="1" xr:uid="{00000000-0005-0000-0000-000036220000}"/>
    <cellStyle name="Followed Hyperlink 2" xfId="26422" hidden="1" xr:uid="{00000000-0005-0000-0000-000037220000}"/>
    <cellStyle name="Followed Hyperlink 2" xfId="26432" hidden="1" xr:uid="{00000000-0005-0000-0000-000038220000}"/>
    <cellStyle name="Followed Hyperlink 2" xfId="26435" hidden="1" xr:uid="{00000000-0005-0000-0000-000039220000}"/>
    <cellStyle name="Followed Hyperlink 2" xfId="26438" hidden="1" xr:uid="{00000000-0005-0000-0000-00003A220000}"/>
    <cellStyle name="Followed Hyperlink 2" xfId="26442" hidden="1" xr:uid="{00000000-0005-0000-0000-00003B220000}"/>
    <cellStyle name="Followed Hyperlink 2" xfId="26319" hidden="1" xr:uid="{00000000-0005-0000-0000-00003C220000}"/>
    <cellStyle name="Followed Hyperlink 2" xfId="26323" hidden="1" xr:uid="{00000000-0005-0000-0000-00003D220000}"/>
    <cellStyle name="Followed Hyperlink 2" xfId="26318" hidden="1" xr:uid="{00000000-0005-0000-0000-00003E220000}"/>
    <cellStyle name="Followed Hyperlink 2" xfId="26324" hidden="1" xr:uid="{00000000-0005-0000-0000-00003F220000}"/>
    <cellStyle name="Followed Hyperlink 2" xfId="26445" hidden="1" xr:uid="{00000000-0005-0000-0000-000040220000}"/>
    <cellStyle name="Followed Hyperlink 2" xfId="26448" hidden="1" xr:uid="{00000000-0005-0000-0000-000041220000}"/>
    <cellStyle name="Followed Hyperlink 2" xfId="26451" hidden="1" xr:uid="{00000000-0005-0000-0000-000042220000}"/>
    <cellStyle name="Followed Hyperlink 2" xfId="26455" hidden="1" xr:uid="{00000000-0005-0000-0000-000043220000}"/>
    <cellStyle name="Followed Hyperlink 2" xfId="26463" hidden="1" xr:uid="{00000000-0005-0000-0000-000044220000}"/>
    <cellStyle name="Followed Hyperlink 2" xfId="26460" hidden="1" xr:uid="{00000000-0005-0000-0000-000045220000}"/>
    <cellStyle name="Followed Hyperlink 2" xfId="26458" hidden="1" xr:uid="{00000000-0005-0000-0000-000046220000}"/>
    <cellStyle name="Followed Hyperlink 2" xfId="26459" hidden="1" xr:uid="{00000000-0005-0000-0000-000047220000}"/>
    <cellStyle name="Followed Hyperlink 2" xfId="26469" hidden="1" xr:uid="{00000000-0005-0000-0000-000048220000}"/>
    <cellStyle name="Followed Hyperlink 2" xfId="26472" hidden="1" xr:uid="{00000000-0005-0000-0000-000049220000}"/>
    <cellStyle name="Followed Hyperlink 2" xfId="26475" hidden="1" xr:uid="{00000000-0005-0000-0000-00004A220000}"/>
    <cellStyle name="Followed Hyperlink 2" xfId="26479" hidden="1" xr:uid="{00000000-0005-0000-0000-00004B220000}"/>
    <cellStyle name="Followed Hyperlink 2" xfId="26488" hidden="1" xr:uid="{00000000-0005-0000-0000-00004C220000}"/>
    <cellStyle name="Followed Hyperlink 2" xfId="26485" hidden="1" xr:uid="{00000000-0005-0000-0000-00004D220000}"/>
    <cellStyle name="Followed Hyperlink 2" xfId="26483" hidden="1" xr:uid="{00000000-0005-0000-0000-00004E220000}"/>
    <cellStyle name="Followed Hyperlink 2" xfId="26484" hidden="1" xr:uid="{00000000-0005-0000-0000-00004F220000}"/>
    <cellStyle name="Followed Hyperlink 2" xfId="26494" hidden="1" xr:uid="{00000000-0005-0000-0000-000050220000}"/>
    <cellStyle name="Followed Hyperlink 2" xfId="26497" hidden="1" xr:uid="{00000000-0005-0000-0000-000051220000}"/>
    <cellStyle name="Followed Hyperlink 2" xfId="26500" hidden="1" xr:uid="{00000000-0005-0000-0000-000052220000}"/>
    <cellStyle name="Followed Hyperlink 2" xfId="26504" hidden="1" xr:uid="{00000000-0005-0000-0000-000053220000}"/>
    <cellStyle name="Followed Hyperlink 2" xfId="26512" hidden="1" xr:uid="{00000000-0005-0000-0000-000054220000}"/>
    <cellStyle name="Followed Hyperlink 2" xfId="26509" hidden="1" xr:uid="{00000000-0005-0000-0000-000055220000}"/>
    <cellStyle name="Followed Hyperlink 2" xfId="26507" hidden="1" xr:uid="{00000000-0005-0000-0000-000056220000}"/>
    <cellStyle name="Followed Hyperlink 2" xfId="26508" hidden="1" xr:uid="{00000000-0005-0000-0000-000057220000}"/>
    <cellStyle name="Followed Hyperlink 2" xfId="26518" hidden="1" xr:uid="{00000000-0005-0000-0000-000058220000}"/>
    <cellStyle name="Followed Hyperlink 2" xfId="26521" hidden="1" xr:uid="{00000000-0005-0000-0000-000059220000}"/>
    <cellStyle name="Followed Hyperlink 2" xfId="26524" hidden="1" xr:uid="{00000000-0005-0000-0000-00005A220000}"/>
    <cellStyle name="Followed Hyperlink 2" xfId="26528" hidden="1" xr:uid="{00000000-0005-0000-0000-00005B220000}"/>
    <cellStyle name="Followed Hyperlink 2" xfId="26337" hidden="1" xr:uid="{00000000-0005-0000-0000-00005C220000}"/>
    <cellStyle name="Followed Hyperlink 2" xfId="26334" hidden="1" xr:uid="{00000000-0005-0000-0000-00005D220000}"/>
    <cellStyle name="Followed Hyperlink 2" xfId="26328" hidden="1" xr:uid="{00000000-0005-0000-0000-00005E220000}"/>
    <cellStyle name="Followed Hyperlink 2" xfId="26333" hidden="1" xr:uid="{00000000-0005-0000-0000-00005F220000}"/>
    <cellStyle name="Followed Hyperlink 2" xfId="26531" hidden="1" xr:uid="{00000000-0005-0000-0000-000060220000}"/>
    <cellStyle name="Followed Hyperlink 2" xfId="26534" hidden="1" xr:uid="{00000000-0005-0000-0000-000061220000}"/>
    <cellStyle name="Followed Hyperlink 2" xfId="26537" hidden="1" xr:uid="{00000000-0005-0000-0000-000062220000}"/>
    <cellStyle name="Followed Hyperlink 2" xfId="26541" hidden="1" xr:uid="{00000000-0005-0000-0000-000063220000}"/>
    <cellStyle name="Followed Hyperlink 2" xfId="26549" hidden="1" xr:uid="{00000000-0005-0000-0000-000064220000}"/>
    <cellStyle name="Followed Hyperlink 2" xfId="26546" hidden="1" xr:uid="{00000000-0005-0000-0000-000065220000}"/>
    <cellStyle name="Followed Hyperlink 2" xfId="26544" hidden="1" xr:uid="{00000000-0005-0000-0000-000066220000}"/>
    <cellStyle name="Followed Hyperlink 2" xfId="26545" hidden="1" xr:uid="{00000000-0005-0000-0000-000067220000}"/>
    <cellStyle name="Followed Hyperlink 2" xfId="26555" hidden="1" xr:uid="{00000000-0005-0000-0000-000068220000}"/>
    <cellStyle name="Followed Hyperlink 2" xfId="26558" hidden="1" xr:uid="{00000000-0005-0000-0000-000069220000}"/>
    <cellStyle name="Followed Hyperlink 2" xfId="26561" hidden="1" xr:uid="{00000000-0005-0000-0000-00006A220000}"/>
    <cellStyle name="Followed Hyperlink 2" xfId="26565" hidden="1" xr:uid="{00000000-0005-0000-0000-00006B220000}"/>
    <cellStyle name="Followed Hyperlink 2" xfId="26574" hidden="1" xr:uid="{00000000-0005-0000-0000-00006C220000}"/>
    <cellStyle name="Followed Hyperlink 2" xfId="26571" hidden="1" xr:uid="{00000000-0005-0000-0000-00006D220000}"/>
    <cellStyle name="Followed Hyperlink 2" xfId="26569" hidden="1" xr:uid="{00000000-0005-0000-0000-00006E220000}"/>
    <cellStyle name="Followed Hyperlink 2" xfId="26570" hidden="1" xr:uid="{00000000-0005-0000-0000-00006F220000}"/>
    <cellStyle name="Followed Hyperlink 2" xfId="26580" hidden="1" xr:uid="{00000000-0005-0000-0000-000070220000}"/>
    <cellStyle name="Followed Hyperlink 2" xfId="26583" hidden="1" xr:uid="{00000000-0005-0000-0000-000071220000}"/>
    <cellStyle name="Followed Hyperlink 2" xfId="26586" hidden="1" xr:uid="{00000000-0005-0000-0000-000072220000}"/>
    <cellStyle name="Followed Hyperlink 2" xfId="26590" hidden="1" xr:uid="{00000000-0005-0000-0000-000073220000}"/>
    <cellStyle name="Followed Hyperlink 2" xfId="26598" hidden="1" xr:uid="{00000000-0005-0000-0000-000074220000}"/>
    <cellStyle name="Followed Hyperlink 2" xfId="26595" hidden="1" xr:uid="{00000000-0005-0000-0000-000075220000}"/>
    <cellStyle name="Followed Hyperlink 2" xfId="26593" hidden="1" xr:uid="{00000000-0005-0000-0000-000076220000}"/>
    <cellStyle name="Followed Hyperlink 2" xfId="26594" hidden="1" xr:uid="{00000000-0005-0000-0000-000077220000}"/>
    <cellStyle name="Followed Hyperlink 2" xfId="26604" hidden="1" xr:uid="{00000000-0005-0000-0000-000078220000}"/>
    <cellStyle name="Followed Hyperlink 2" xfId="26607" hidden="1" xr:uid="{00000000-0005-0000-0000-000079220000}"/>
    <cellStyle name="Followed Hyperlink 2" xfId="26610" hidden="1" xr:uid="{00000000-0005-0000-0000-00007A220000}"/>
    <cellStyle name="Followed Hyperlink 2" xfId="26614" hidden="1" xr:uid="{00000000-0005-0000-0000-00007B220000}"/>
    <cellStyle name="Followed Hyperlink 2" xfId="26345" hidden="1" xr:uid="{00000000-0005-0000-0000-00007C220000}"/>
    <cellStyle name="Followed Hyperlink 2" xfId="26341" hidden="1" xr:uid="{00000000-0005-0000-0000-00007D220000}"/>
    <cellStyle name="Followed Hyperlink 2" xfId="26342" hidden="1" xr:uid="{00000000-0005-0000-0000-00007E220000}"/>
    <cellStyle name="Followed Hyperlink 2" xfId="26329" hidden="1" xr:uid="{00000000-0005-0000-0000-00007F220000}"/>
    <cellStyle name="Followed Hyperlink 2" xfId="26617" hidden="1" xr:uid="{00000000-0005-0000-0000-000080220000}"/>
    <cellStyle name="Followed Hyperlink 2" xfId="26620" hidden="1" xr:uid="{00000000-0005-0000-0000-000081220000}"/>
    <cellStyle name="Followed Hyperlink 2" xfId="26623" hidden="1" xr:uid="{00000000-0005-0000-0000-000082220000}"/>
    <cellStyle name="Followed Hyperlink 2" xfId="26627" hidden="1" xr:uid="{00000000-0005-0000-0000-000083220000}"/>
    <cellStyle name="Followed Hyperlink 2" xfId="26635" hidden="1" xr:uid="{00000000-0005-0000-0000-000084220000}"/>
    <cellStyle name="Followed Hyperlink 2" xfId="26632" hidden="1" xr:uid="{00000000-0005-0000-0000-000085220000}"/>
    <cellStyle name="Followed Hyperlink 2" xfId="26630" hidden="1" xr:uid="{00000000-0005-0000-0000-000086220000}"/>
    <cellStyle name="Followed Hyperlink 2" xfId="26631" hidden="1" xr:uid="{00000000-0005-0000-0000-000087220000}"/>
    <cellStyle name="Followed Hyperlink 2" xfId="26641" hidden="1" xr:uid="{00000000-0005-0000-0000-000088220000}"/>
    <cellStyle name="Followed Hyperlink 2" xfId="26644" hidden="1" xr:uid="{00000000-0005-0000-0000-000089220000}"/>
    <cellStyle name="Followed Hyperlink 2" xfId="26647" hidden="1" xr:uid="{00000000-0005-0000-0000-00008A220000}"/>
    <cellStyle name="Followed Hyperlink 2" xfId="26651" hidden="1" xr:uid="{00000000-0005-0000-0000-00008B220000}"/>
    <cellStyle name="Followed Hyperlink 2" xfId="26659" hidden="1" xr:uid="{00000000-0005-0000-0000-00008C220000}"/>
    <cellStyle name="Followed Hyperlink 2" xfId="26656" hidden="1" xr:uid="{00000000-0005-0000-0000-00008D220000}"/>
    <cellStyle name="Followed Hyperlink 2" xfId="26654" hidden="1" xr:uid="{00000000-0005-0000-0000-00008E220000}"/>
    <cellStyle name="Followed Hyperlink 2" xfId="26655" hidden="1" xr:uid="{00000000-0005-0000-0000-00008F220000}"/>
    <cellStyle name="Followed Hyperlink 2" xfId="26665" hidden="1" xr:uid="{00000000-0005-0000-0000-000090220000}"/>
    <cellStyle name="Followed Hyperlink 2" xfId="26668" hidden="1" xr:uid="{00000000-0005-0000-0000-000091220000}"/>
    <cellStyle name="Followed Hyperlink 2" xfId="26671" hidden="1" xr:uid="{00000000-0005-0000-0000-000092220000}"/>
    <cellStyle name="Followed Hyperlink 2" xfId="26675" hidden="1" xr:uid="{00000000-0005-0000-0000-000093220000}"/>
    <cellStyle name="Followed Hyperlink 2" xfId="26683" hidden="1" xr:uid="{00000000-0005-0000-0000-000094220000}"/>
    <cellStyle name="Followed Hyperlink 2" xfId="26680" hidden="1" xr:uid="{00000000-0005-0000-0000-000095220000}"/>
    <cellStyle name="Followed Hyperlink 2" xfId="26678" hidden="1" xr:uid="{00000000-0005-0000-0000-000096220000}"/>
    <cellStyle name="Followed Hyperlink 2" xfId="26679" hidden="1" xr:uid="{00000000-0005-0000-0000-000097220000}"/>
    <cellStyle name="Followed Hyperlink 2" xfId="26689" hidden="1" xr:uid="{00000000-0005-0000-0000-000098220000}"/>
    <cellStyle name="Followed Hyperlink 2" xfId="26692" hidden="1" xr:uid="{00000000-0005-0000-0000-000099220000}"/>
    <cellStyle name="Followed Hyperlink 2" xfId="26695" hidden="1" xr:uid="{00000000-0005-0000-0000-00009A220000}"/>
    <cellStyle name="Followed Hyperlink 2" xfId="26699" hidden="1" xr:uid="{00000000-0005-0000-0000-00009B220000}"/>
    <cellStyle name="Followed Hyperlink 2" xfId="25278" hidden="1" xr:uid="{00000000-0005-0000-0000-00009C220000}"/>
    <cellStyle name="Followed Hyperlink 2" xfId="25274" hidden="1" xr:uid="{00000000-0005-0000-0000-00009D220000}"/>
    <cellStyle name="Followed Hyperlink 2" xfId="25275" hidden="1" xr:uid="{00000000-0005-0000-0000-00009E220000}"/>
    <cellStyle name="Followed Hyperlink 2" xfId="25262" hidden="1" xr:uid="{00000000-0005-0000-0000-00009F220000}"/>
    <cellStyle name="Followed Hyperlink 2" xfId="26702" hidden="1" xr:uid="{00000000-0005-0000-0000-0000A0220000}"/>
    <cellStyle name="Followed Hyperlink 2" xfId="26705" hidden="1" xr:uid="{00000000-0005-0000-0000-0000A1220000}"/>
    <cellStyle name="Followed Hyperlink 2" xfId="26708" hidden="1" xr:uid="{00000000-0005-0000-0000-0000A2220000}"/>
    <cellStyle name="Followed Hyperlink 2" xfId="26712" hidden="1" xr:uid="{00000000-0005-0000-0000-0000A3220000}"/>
    <cellStyle name="Followed Hyperlink 2" xfId="26720" hidden="1" xr:uid="{00000000-0005-0000-0000-0000A4220000}"/>
    <cellStyle name="Followed Hyperlink 2" xfId="26717" hidden="1" xr:uid="{00000000-0005-0000-0000-0000A5220000}"/>
    <cellStyle name="Followed Hyperlink 2" xfId="26715" hidden="1" xr:uid="{00000000-0005-0000-0000-0000A6220000}"/>
    <cellStyle name="Followed Hyperlink 2" xfId="26716" hidden="1" xr:uid="{00000000-0005-0000-0000-0000A7220000}"/>
    <cellStyle name="Followed Hyperlink 2" xfId="26726" hidden="1" xr:uid="{00000000-0005-0000-0000-0000A8220000}"/>
    <cellStyle name="Followed Hyperlink 2" xfId="26729" hidden="1" xr:uid="{00000000-0005-0000-0000-0000A9220000}"/>
    <cellStyle name="Followed Hyperlink 2" xfId="26732" hidden="1" xr:uid="{00000000-0005-0000-0000-0000AA220000}"/>
    <cellStyle name="Followed Hyperlink 2" xfId="26736" hidden="1" xr:uid="{00000000-0005-0000-0000-0000AB220000}"/>
    <cellStyle name="Followed Hyperlink 2" xfId="26744" hidden="1" xr:uid="{00000000-0005-0000-0000-0000AC220000}"/>
    <cellStyle name="Followed Hyperlink 2" xfId="26741" hidden="1" xr:uid="{00000000-0005-0000-0000-0000AD220000}"/>
    <cellStyle name="Followed Hyperlink 2" xfId="26739" hidden="1" xr:uid="{00000000-0005-0000-0000-0000AE220000}"/>
    <cellStyle name="Followed Hyperlink 2" xfId="26740" hidden="1" xr:uid="{00000000-0005-0000-0000-0000AF220000}"/>
    <cellStyle name="Followed Hyperlink 2" xfId="26750" hidden="1" xr:uid="{00000000-0005-0000-0000-0000B0220000}"/>
    <cellStyle name="Followed Hyperlink 2" xfId="26753" hidden="1" xr:uid="{00000000-0005-0000-0000-0000B1220000}"/>
    <cellStyle name="Followed Hyperlink 2" xfId="26756" hidden="1" xr:uid="{00000000-0005-0000-0000-0000B2220000}"/>
    <cellStyle name="Followed Hyperlink 2" xfId="26760" hidden="1" xr:uid="{00000000-0005-0000-0000-0000B3220000}"/>
    <cellStyle name="Followed Hyperlink 2" xfId="26768" hidden="1" xr:uid="{00000000-0005-0000-0000-0000B4220000}"/>
    <cellStyle name="Followed Hyperlink 2" xfId="26765" hidden="1" xr:uid="{00000000-0005-0000-0000-0000B5220000}"/>
    <cellStyle name="Followed Hyperlink 2" xfId="26763" hidden="1" xr:uid="{00000000-0005-0000-0000-0000B6220000}"/>
    <cellStyle name="Followed Hyperlink 2" xfId="26764" hidden="1" xr:uid="{00000000-0005-0000-0000-0000B7220000}"/>
    <cellStyle name="Followed Hyperlink 2" xfId="26774" hidden="1" xr:uid="{00000000-0005-0000-0000-0000B8220000}"/>
    <cellStyle name="Followed Hyperlink 2" xfId="26777" hidden="1" xr:uid="{00000000-0005-0000-0000-0000B9220000}"/>
    <cellStyle name="Followed Hyperlink 2" xfId="26780" hidden="1" xr:uid="{00000000-0005-0000-0000-0000BA220000}"/>
    <cellStyle name="Followed Hyperlink 2" xfId="26784" hidden="1" xr:uid="{00000000-0005-0000-0000-0000BB220000}"/>
    <cellStyle name="Followed Hyperlink 2" xfId="26821" hidden="1" xr:uid="{00000000-0005-0000-0000-0000BC220000}"/>
    <cellStyle name="Followed Hyperlink 2" xfId="26818" hidden="1" xr:uid="{00000000-0005-0000-0000-0000BD220000}"/>
    <cellStyle name="Followed Hyperlink 2" xfId="26816" hidden="1" xr:uid="{00000000-0005-0000-0000-0000BE220000}"/>
    <cellStyle name="Followed Hyperlink 2" xfId="26817" hidden="1" xr:uid="{00000000-0005-0000-0000-0000BF220000}"/>
    <cellStyle name="Followed Hyperlink 2" xfId="26827" hidden="1" xr:uid="{00000000-0005-0000-0000-0000C0220000}"/>
    <cellStyle name="Followed Hyperlink 2" xfId="26830" hidden="1" xr:uid="{00000000-0005-0000-0000-0000C1220000}"/>
    <cellStyle name="Followed Hyperlink 2" xfId="26833" hidden="1" xr:uid="{00000000-0005-0000-0000-0000C2220000}"/>
    <cellStyle name="Followed Hyperlink 2" xfId="26837" hidden="1" xr:uid="{00000000-0005-0000-0000-0000C3220000}"/>
    <cellStyle name="Followed Hyperlink 2" xfId="26845" hidden="1" xr:uid="{00000000-0005-0000-0000-0000C4220000}"/>
    <cellStyle name="Followed Hyperlink 2" xfId="26842" hidden="1" xr:uid="{00000000-0005-0000-0000-0000C5220000}"/>
    <cellStyle name="Followed Hyperlink 2" xfId="26840" hidden="1" xr:uid="{00000000-0005-0000-0000-0000C6220000}"/>
    <cellStyle name="Followed Hyperlink 2" xfId="26841" hidden="1" xr:uid="{00000000-0005-0000-0000-0000C7220000}"/>
    <cellStyle name="Followed Hyperlink 2" xfId="26851" hidden="1" xr:uid="{00000000-0005-0000-0000-0000C8220000}"/>
    <cellStyle name="Followed Hyperlink 2" xfId="26854" hidden="1" xr:uid="{00000000-0005-0000-0000-0000C9220000}"/>
    <cellStyle name="Followed Hyperlink 2" xfId="26857" hidden="1" xr:uid="{00000000-0005-0000-0000-0000CA220000}"/>
    <cellStyle name="Followed Hyperlink 2" xfId="26861" hidden="1" xr:uid="{00000000-0005-0000-0000-0000CB220000}"/>
    <cellStyle name="Followed Hyperlink 2" xfId="26871" hidden="1" xr:uid="{00000000-0005-0000-0000-0000CC220000}"/>
    <cellStyle name="Followed Hyperlink 2" xfId="26868" hidden="1" xr:uid="{00000000-0005-0000-0000-0000CD220000}"/>
    <cellStyle name="Followed Hyperlink 2" xfId="26866" hidden="1" xr:uid="{00000000-0005-0000-0000-0000CE220000}"/>
    <cellStyle name="Followed Hyperlink 2" xfId="26867" hidden="1" xr:uid="{00000000-0005-0000-0000-0000CF220000}"/>
    <cellStyle name="Followed Hyperlink 2" xfId="26877" hidden="1" xr:uid="{00000000-0005-0000-0000-0000D0220000}"/>
    <cellStyle name="Followed Hyperlink 2" xfId="26880" hidden="1" xr:uid="{00000000-0005-0000-0000-0000D1220000}"/>
    <cellStyle name="Followed Hyperlink 2" xfId="26883" hidden="1" xr:uid="{00000000-0005-0000-0000-0000D2220000}"/>
    <cellStyle name="Followed Hyperlink 2" xfId="26887" hidden="1" xr:uid="{00000000-0005-0000-0000-0000D3220000}"/>
    <cellStyle name="Followed Hyperlink 2" xfId="26895" hidden="1" xr:uid="{00000000-0005-0000-0000-0000D4220000}"/>
    <cellStyle name="Followed Hyperlink 2" xfId="26892" hidden="1" xr:uid="{00000000-0005-0000-0000-0000D5220000}"/>
    <cellStyle name="Followed Hyperlink 2" xfId="26890" hidden="1" xr:uid="{00000000-0005-0000-0000-0000D6220000}"/>
    <cellStyle name="Followed Hyperlink 2" xfId="26891" hidden="1" xr:uid="{00000000-0005-0000-0000-0000D7220000}"/>
    <cellStyle name="Followed Hyperlink 2" xfId="26901" hidden="1" xr:uid="{00000000-0005-0000-0000-0000D8220000}"/>
    <cellStyle name="Followed Hyperlink 2" xfId="26904" hidden="1" xr:uid="{00000000-0005-0000-0000-0000D9220000}"/>
    <cellStyle name="Followed Hyperlink 2" xfId="26907" hidden="1" xr:uid="{00000000-0005-0000-0000-0000DA220000}"/>
    <cellStyle name="Followed Hyperlink 2" xfId="26911" hidden="1" xr:uid="{00000000-0005-0000-0000-0000DB220000}"/>
    <cellStyle name="Followed Hyperlink 2" xfId="26788" hidden="1" xr:uid="{00000000-0005-0000-0000-0000DC220000}"/>
    <cellStyle name="Followed Hyperlink 2" xfId="26792" hidden="1" xr:uid="{00000000-0005-0000-0000-0000DD220000}"/>
    <cellStyle name="Followed Hyperlink 2" xfId="26787" hidden="1" xr:uid="{00000000-0005-0000-0000-0000DE220000}"/>
    <cellStyle name="Followed Hyperlink 2" xfId="26793" hidden="1" xr:uid="{00000000-0005-0000-0000-0000DF220000}"/>
    <cellStyle name="Followed Hyperlink 2" xfId="26914" hidden="1" xr:uid="{00000000-0005-0000-0000-0000E0220000}"/>
    <cellStyle name="Followed Hyperlink 2" xfId="26917" hidden="1" xr:uid="{00000000-0005-0000-0000-0000E1220000}"/>
    <cellStyle name="Followed Hyperlink 2" xfId="26920" hidden="1" xr:uid="{00000000-0005-0000-0000-0000E2220000}"/>
    <cellStyle name="Followed Hyperlink 2" xfId="26924" hidden="1" xr:uid="{00000000-0005-0000-0000-0000E3220000}"/>
    <cellStyle name="Followed Hyperlink 2" xfId="26932" hidden="1" xr:uid="{00000000-0005-0000-0000-0000E4220000}"/>
    <cellStyle name="Followed Hyperlink 2" xfId="26929" hidden="1" xr:uid="{00000000-0005-0000-0000-0000E5220000}"/>
    <cellStyle name="Followed Hyperlink 2" xfId="26927" hidden="1" xr:uid="{00000000-0005-0000-0000-0000E6220000}"/>
    <cellStyle name="Followed Hyperlink 2" xfId="26928" hidden="1" xr:uid="{00000000-0005-0000-0000-0000E7220000}"/>
    <cellStyle name="Followed Hyperlink 2" xfId="26938" hidden="1" xr:uid="{00000000-0005-0000-0000-0000E8220000}"/>
    <cellStyle name="Followed Hyperlink 2" xfId="26941" hidden="1" xr:uid="{00000000-0005-0000-0000-0000E9220000}"/>
    <cellStyle name="Followed Hyperlink 2" xfId="26944" hidden="1" xr:uid="{00000000-0005-0000-0000-0000EA220000}"/>
    <cellStyle name="Followed Hyperlink 2" xfId="26948" hidden="1" xr:uid="{00000000-0005-0000-0000-0000EB220000}"/>
    <cellStyle name="Followed Hyperlink 2" xfId="26957" hidden="1" xr:uid="{00000000-0005-0000-0000-0000EC220000}"/>
    <cellStyle name="Followed Hyperlink 2" xfId="26954" hidden="1" xr:uid="{00000000-0005-0000-0000-0000ED220000}"/>
    <cellStyle name="Followed Hyperlink 2" xfId="26952" hidden="1" xr:uid="{00000000-0005-0000-0000-0000EE220000}"/>
    <cellStyle name="Followed Hyperlink 2" xfId="26953" hidden="1" xr:uid="{00000000-0005-0000-0000-0000EF220000}"/>
    <cellStyle name="Followed Hyperlink 2" xfId="26963" hidden="1" xr:uid="{00000000-0005-0000-0000-0000F0220000}"/>
    <cellStyle name="Followed Hyperlink 2" xfId="26966" hidden="1" xr:uid="{00000000-0005-0000-0000-0000F1220000}"/>
    <cellStyle name="Followed Hyperlink 2" xfId="26969" hidden="1" xr:uid="{00000000-0005-0000-0000-0000F2220000}"/>
    <cellStyle name="Followed Hyperlink 2" xfId="26973" hidden="1" xr:uid="{00000000-0005-0000-0000-0000F3220000}"/>
    <cellStyle name="Followed Hyperlink 2" xfId="26981" hidden="1" xr:uid="{00000000-0005-0000-0000-0000F4220000}"/>
    <cellStyle name="Followed Hyperlink 2" xfId="26978" hidden="1" xr:uid="{00000000-0005-0000-0000-0000F5220000}"/>
    <cellStyle name="Followed Hyperlink 2" xfId="26976" hidden="1" xr:uid="{00000000-0005-0000-0000-0000F6220000}"/>
    <cellStyle name="Followed Hyperlink 2" xfId="26977" hidden="1" xr:uid="{00000000-0005-0000-0000-0000F7220000}"/>
    <cellStyle name="Followed Hyperlink 2" xfId="26987" hidden="1" xr:uid="{00000000-0005-0000-0000-0000F8220000}"/>
    <cellStyle name="Followed Hyperlink 2" xfId="26990" hidden="1" xr:uid="{00000000-0005-0000-0000-0000F9220000}"/>
    <cellStyle name="Followed Hyperlink 2" xfId="26993" hidden="1" xr:uid="{00000000-0005-0000-0000-0000FA220000}"/>
    <cellStyle name="Followed Hyperlink 2" xfId="26997" hidden="1" xr:uid="{00000000-0005-0000-0000-0000FB220000}"/>
    <cellStyle name="Followed Hyperlink 2" xfId="26806" hidden="1" xr:uid="{00000000-0005-0000-0000-0000FC220000}"/>
    <cellStyle name="Followed Hyperlink 2" xfId="26803" hidden="1" xr:uid="{00000000-0005-0000-0000-0000FD220000}"/>
    <cellStyle name="Followed Hyperlink 2" xfId="26797" hidden="1" xr:uid="{00000000-0005-0000-0000-0000FE220000}"/>
    <cellStyle name="Followed Hyperlink 2" xfId="26802" hidden="1" xr:uid="{00000000-0005-0000-0000-0000FF220000}"/>
    <cellStyle name="Followed Hyperlink 2" xfId="27000" hidden="1" xr:uid="{00000000-0005-0000-0000-000000230000}"/>
    <cellStyle name="Followed Hyperlink 2" xfId="27003" hidden="1" xr:uid="{00000000-0005-0000-0000-000001230000}"/>
    <cellStyle name="Followed Hyperlink 2" xfId="27006" hidden="1" xr:uid="{00000000-0005-0000-0000-000002230000}"/>
    <cellStyle name="Followed Hyperlink 2" xfId="27010" hidden="1" xr:uid="{00000000-0005-0000-0000-000003230000}"/>
    <cellStyle name="Followed Hyperlink 2" xfId="27018" hidden="1" xr:uid="{00000000-0005-0000-0000-000004230000}"/>
    <cellStyle name="Followed Hyperlink 2" xfId="27015" hidden="1" xr:uid="{00000000-0005-0000-0000-000005230000}"/>
    <cellStyle name="Followed Hyperlink 2" xfId="27013" hidden="1" xr:uid="{00000000-0005-0000-0000-000006230000}"/>
    <cellStyle name="Followed Hyperlink 2" xfId="27014" hidden="1" xr:uid="{00000000-0005-0000-0000-000007230000}"/>
    <cellStyle name="Followed Hyperlink 2" xfId="27024" hidden="1" xr:uid="{00000000-0005-0000-0000-000008230000}"/>
    <cellStyle name="Followed Hyperlink 2" xfId="27027" hidden="1" xr:uid="{00000000-0005-0000-0000-000009230000}"/>
    <cellStyle name="Followed Hyperlink 2" xfId="27030" hidden="1" xr:uid="{00000000-0005-0000-0000-00000A230000}"/>
    <cellStyle name="Followed Hyperlink 2" xfId="27034" hidden="1" xr:uid="{00000000-0005-0000-0000-00000B230000}"/>
    <cellStyle name="Followed Hyperlink 2" xfId="27043" hidden="1" xr:uid="{00000000-0005-0000-0000-00000C230000}"/>
    <cellStyle name="Followed Hyperlink 2" xfId="27040" hidden="1" xr:uid="{00000000-0005-0000-0000-00000D230000}"/>
    <cellStyle name="Followed Hyperlink 2" xfId="27038" hidden="1" xr:uid="{00000000-0005-0000-0000-00000E230000}"/>
    <cellStyle name="Followed Hyperlink 2" xfId="27039" hidden="1" xr:uid="{00000000-0005-0000-0000-00000F230000}"/>
    <cellStyle name="Followed Hyperlink 2" xfId="27049" hidden="1" xr:uid="{00000000-0005-0000-0000-000010230000}"/>
    <cellStyle name="Followed Hyperlink 2" xfId="27052" hidden="1" xr:uid="{00000000-0005-0000-0000-000011230000}"/>
    <cellStyle name="Followed Hyperlink 2" xfId="27055" hidden="1" xr:uid="{00000000-0005-0000-0000-000012230000}"/>
    <cellStyle name="Followed Hyperlink 2" xfId="27059" hidden="1" xr:uid="{00000000-0005-0000-0000-000013230000}"/>
    <cellStyle name="Followed Hyperlink 2" xfId="27067" hidden="1" xr:uid="{00000000-0005-0000-0000-000014230000}"/>
    <cellStyle name="Followed Hyperlink 2" xfId="27064" hidden="1" xr:uid="{00000000-0005-0000-0000-000015230000}"/>
    <cellStyle name="Followed Hyperlink 2" xfId="27062" hidden="1" xr:uid="{00000000-0005-0000-0000-000016230000}"/>
    <cellStyle name="Followed Hyperlink 2" xfId="27063" hidden="1" xr:uid="{00000000-0005-0000-0000-000017230000}"/>
    <cellStyle name="Followed Hyperlink 2" xfId="27073" hidden="1" xr:uid="{00000000-0005-0000-0000-000018230000}"/>
    <cellStyle name="Followed Hyperlink 2" xfId="27076" hidden="1" xr:uid="{00000000-0005-0000-0000-000019230000}"/>
    <cellStyle name="Followed Hyperlink 2" xfId="27079" hidden="1" xr:uid="{00000000-0005-0000-0000-00001A230000}"/>
    <cellStyle name="Followed Hyperlink 2" xfId="27083" hidden="1" xr:uid="{00000000-0005-0000-0000-00001B230000}"/>
    <cellStyle name="Followed Hyperlink 2" xfId="26814" hidden="1" xr:uid="{00000000-0005-0000-0000-00001C230000}"/>
    <cellStyle name="Followed Hyperlink 2" xfId="26810" hidden="1" xr:uid="{00000000-0005-0000-0000-00001D230000}"/>
    <cellStyle name="Followed Hyperlink 2" xfId="26811" hidden="1" xr:uid="{00000000-0005-0000-0000-00001E230000}"/>
    <cellStyle name="Followed Hyperlink 2" xfId="26798" hidden="1" xr:uid="{00000000-0005-0000-0000-00001F230000}"/>
    <cellStyle name="Followed Hyperlink 2" xfId="27086" hidden="1" xr:uid="{00000000-0005-0000-0000-000020230000}"/>
    <cellStyle name="Followed Hyperlink 2" xfId="27089" hidden="1" xr:uid="{00000000-0005-0000-0000-000021230000}"/>
    <cellStyle name="Followed Hyperlink 2" xfId="27092" hidden="1" xr:uid="{00000000-0005-0000-0000-000022230000}"/>
    <cellStyle name="Followed Hyperlink 2" xfId="27096" hidden="1" xr:uid="{00000000-0005-0000-0000-000023230000}"/>
    <cellStyle name="Followed Hyperlink 2" xfId="27104" hidden="1" xr:uid="{00000000-0005-0000-0000-000024230000}"/>
    <cellStyle name="Followed Hyperlink 2" xfId="27101" hidden="1" xr:uid="{00000000-0005-0000-0000-000025230000}"/>
    <cellStyle name="Followed Hyperlink 2" xfId="27099" hidden="1" xr:uid="{00000000-0005-0000-0000-000026230000}"/>
    <cellStyle name="Followed Hyperlink 2" xfId="27100" hidden="1" xr:uid="{00000000-0005-0000-0000-000027230000}"/>
    <cellStyle name="Followed Hyperlink 2" xfId="27110" hidden="1" xr:uid="{00000000-0005-0000-0000-000028230000}"/>
    <cellStyle name="Followed Hyperlink 2" xfId="27113" hidden="1" xr:uid="{00000000-0005-0000-0000-000029230000}"/>
    <cellStyle name="Followed Hyperlink 2" xfId="27116" hidden="1" xr:uid="{00000000-0005-0000-0000-00002A230000}"/>
    <cellStyle name="Followed Hyperlink 2" xfId="27120" hidden="1" xr:uid="{00000000-0005-0000-0000-00002B230000}"/>
    <cellStyle name="Followed Hyperlink 2" xfId="27128" hidden="1" xr:uid="{00000000-0005-0000-0000-00002C230000}"/>
    <cellStyle name="Followed Hyperlink 2" xfId="27125" hidden="1" xr:uid="{00000000-0005-0000-0000-00002D230000}"/>
    <cellStyle name="Followed Hyperlink 2" xfId="27123" hidden="1" xr:uid="{00000000-0005-0000-0000-00002E230000}"/>
    <cellStyle name="Followed Hyperlink 2" xfId="27124" hidden="1" xr:uid="{00000000-0005-0000-0000-00002F230000}"/>
    <cellStyle name="Followed Hyperlink 2" xfId="27134" hidden="1" xr:uid="{00000000-0005-0000-0000-000030230000}"/>
    <cellStyle name="Followed Hyperlink 2" xfId="27137" hidden="1" xr:uid="{00000000-0005-0000-0000-000031230000}"/>
    <cellStyle name="Followed Hyperlink 2" xfId="27140" hidden="1" xr:uid="{00000000-0005-0000-0000-000032230000}"/>
    <cellStyle name="Followed Hyperlink 2" xfId="27144" hidden="1" xr:uid="{00000000-0005-0000-0000-000033230000}"/>
    <cellStyle name="Followed Hyperlink 2" xfId="27152" hidden="1" xr:uid="{00000000-0005-0000-0000-000034230000}"/>
    <cellStyle name="Followed Hyperlink 2" xfId="27149" hidden="1" xr:uid="{00000000-0005-0000-0000-000035230000}"/>
    <cellStyle name="Followed Hyperlink 2" xfId="27147" hidden="1" xr:uid="{00000000-0005-0000-0000-000036230000}"/>
    <cellStyle name="Followed Hyperlink 2" xfId="27148" hidden="1" xr:uid="{00000000-0005-0000-0000-000037230000}"/>
    <cellStyle name="Followed Hyperlink 2" xfId="27158" hidden="1" xr:uid="{00000000-0005-0000-0000-000038230000}"/>
    <cellStyle name="Followed Hyperlink 2" xfId="27161" hidden="1" xr:uid="{00000000-0005-0000-0000-000039230000}"/>
    <cellStyle name="Followed Hyperlink 2" xfId="27164" hidden="1" xr:uid="{00000000-0005-0000-0000-00003A230000}"/>
    <cellStyle name="Followed Hyperlink 2" xfId="27168" hidden="1" xr:uid="{00000000-0005-0000-0000-00003B230000}"/>
    <cellStyle name="Followed Hyperlink 2" xfId="25125" hidden="1" xr:uid="{00000000-0005-0000-0000-00003C230000}"/>
    <cellStyle name="Followed Hyperlink 2" xfId="25129" hidden="1" xr:uid="{00000000-0005-0000-0000-00003D230000}"/>
    <cellStyle name="Followed Hyperlink 2" xfId="25124" hidden="1" xr:uid="{00000000-0005-0000-0000-00003E230000}"/>
    <cellStyle name="Followed Hyperlink 2" xfId="25130" hidden="1" xr:uid="{00000000-0005-0000-0000-00003F230000}"/>
    <cellStyle name="Followed Hyperlink 2" xfId="27171" hidden="1" xr:uid="{00000000-0005-0000-0000-000040230000}"/>
    <cellStyle name="Followed Hyperlink 2" xfId="27174" hidden="1" xr:uid="{00000000-0005-0000-0000-000041230000}"/>
    <cellStyle name="Followed Hyperlink 2" xfId="27177" hidden="1" xr:uid="{00000000-0005-0000-0000-000042230000}"/>
    <cellStyle name="Followed Hyperlink 2" xfId="27181" hidden="1" xr:uid="{00000000-0005-0000-0000-000043230000}"/>
    <cellStyle name="Followed Hyperlink 2" xfId="27189" hidden="1" xr:uid="{00000000-0005-0000-0000-000044230000}"/>
    <cellStyle name="Followed Hyperlink 2" xfId="27186" hidden="1" xr:uid="{00000000-0005-0000-0000-000045230000}"/>
    <cellStyle name="Followed Hyperlink 2" xfId="27184" hidden="1" xr:uid="{00000000-0005-0000-0000-000046230000}"/>
    <cellStyle name="Followed Hyperlink 2" xfId="27185" hidden="1" xr:uid="{00000000-0005-0000-0000-000047230000}"/>
    <cellStyle name="Followed Hyperlink 2" xfId="27195" hidden="1" xr:uid="{00000000-0005-0000-0000-000048230000}"/>
    <cellStyle name="Followed Hyperlink 2" xfId="27198" hidden="1" xr:uid="{00000000-0005-0000-0000-000049230000}"/>
    <cellStyle name="Followed Hyperlink 2" xfId="27201" hidden="1" xr:uid="{00000000-0005-0000-0000-00004A230000}"/>
    <cellStyle name="Followed Hyperlink 2" xfId="27205" hidden="1" xr:uid="{00000000-0005-0000-0000-00004B230000}"/>
    <cellStyle name="Followed Hyperlink 2" xfId="27214" hidden="1" xr:uid="{00000000-0005-0000-0000-00004C230000}"/>
    <cellStyle name="Followed Hyperlink 2" xfId="27211" hidden="1" xr:uid="{00000000-0005-0000-0000-00004D230000}"/>
    <cellStyle name="Followed Hyperlink 2" xfId="27209" hidden="1" xr:uid="{00000000-0005-0000-0000-00004E230000}"/>
    <cellStyle name="Followed Hyperlink 2" xfId="27210" hidden="1" xr:uid="{00000000-0005-0000-0000-00004F230000}"/>
    <cellStyle name="Followed Hyperlink 2" xfId="27220" hidden="1" xr:uid="{00000000-0005-0000-0000-000050230000}"/>
    <cellStyle name="Followed Hyperlink 2" xfId="27223" hidden="1" xr:uid="{00000000-0005-0000-0000-000051230000}"/>
    <cellStyle name="Followed Hyperlink 2" xfId="27226" hidden="1" xr:uid="{00000000-0005-0000-0000-000052230000}"/>
    <cellStyle name="Followed Hyperlink 2" xfId="27230" hidden="1" xr:uid="{00000000-0005-0000-0000-000053230000}"/>
    <cellStyle name="Followed Hyperlink 2" xfId="27238" hidden="1" xr:uid="{00000000-0005-0000-0000-000054230000}"/>
    <cellStyle name="Followed Hyperlink 2" xfId="27235" hidden="1" xr:uid="{00000000-0005-0000-0000-000055230000}"/>
    <cellStyle name="Followed Hyperlink 2" xfId="27233" hidden="1" xr:uid="{00000000-0005-0000-0000-000056230000}"/>
    <cellStyle name="Followed Hyperlink 2" xfId="27234" hidden="1" xr:uid="{00000000-0005-0000-0000-000057230000}"/>
    <cellStyle name="Followed Hyperlink 2" xfId="27244" hidden="1" xr:uid="{00000000-0005-0000-0000-000058230000}"/>
    <cellStyle name="Followed Hyperlink 2" xfId="27247" hidden="1" xr:uid="{00000000-0005-0000-0000-000059230000}"/>
    <cellStyle name="Followed Hyperlink 2" xfId="27250" hidden="1" xr:uid="{00000000-0005-0000-0000-00005A230000}"/>
    <cellStyle name="Followed Hyperlink 2" xfId="27254" hidden="1" xr:uid="{00000000-0005-0000-0000-00005B230000}"/>
    <cellStyle name="Followed Hyperlink 2" xfId="27291" hidden="1" xr:uid="{00000000-0005-0000-0000-00005C230000}"/>
    <cellStyle name="Followed Hyperlink 2" xfId="27288" hidden="1" xr:uid="{00000000-0005-0000-0000-00005D230000}"/>
    <cellStyle name="Followed Hyperlink 2" xfId="27286" hidden="1" xr:uid="{00000000-0005-0000-0000-00005E230000}"/>
    <cellStyle name="Followed Hyperlink 2" xfId="27287" hidden="1" xr:uid="{00000000-0005-0000-0000-00005F230000}"/>
    <cellStyle name="Followed Hyperlink 2" xfId="27297" hidden="1" xr:uid="{00000000-0005-0000-0000-000060230000}"/>
    <cellStyle name="Followed Hyperlink 2" xfId="27300" hidden="1" xr:uid="{00000000-0005-0000-0000-000061230000}"/>
    <cellStyle name="Followed Hyperlink 2" xfId="27303" hidden="1" xr:uid="{00000000-0005-0000-0000-000062230000}"/>
    <cellStyle name="Followed Hyperlink 2" xfId="27307" hidden="1" xr:uid="{00000000-0005-0000-0000-000063230000}"/>
    <cellStyle name="Followed Hyperlink 2" xfId="27315" hidden="1" xr:uid="{00000000-0005-0000-0000-000064230000}"/>
    <cellStyle name="Followed Hyperlink 2" xfId="27312" hidden="1" xr:uid="{00000000-0005-0000-0000-000065230000}"/>
    <cellStyle name="Followed Hyperlink 2" xfId="27310" hidden="1" xr:uid="{00000000-0005-0000-0000-000066230000}"/>
    <cellStyle name="Followed Hyperlink 2" xfId="27311" hidden="1" xr:uid="{00000000-0005-0000-0000-000067230000}"/>
    <cellStyle name="Followed Hyperlink 2" xfId="27321" hidden="1" xr:uid="{00000000-0005-0000-0000-000068230000}"/>
    <cellStyle name="Followed Hyperlink 2" xfId="27324" hidden="1" xr:uid="{00000000-0005-0000-0000-000069230000}"/>
    <cellStyle name="Followed Hyperlink 2" xfId="27327" hidden="1" xr:uid="{00000000-0005-0000-0000-00006A230000}"/>
    <cellStyle name="Followed Hyperlink 2" xfId="27331" hidden="1" xr:uid="{00000000-0005-0000-0000-00006B230000}"/>
    <cellStyle name="Followed Hyperlink 2" xfId="27341" hidden="1" xr:uid="{00000000-0005-0000-0000-00006C230000}"/>
    <cellStyle name="Followed Hyperlink 2" xfId="27338" hidden="1" xr:uid="{00000000-0005-0000-0000-00006D230000}"/>
    <cellStyle name="Followed Hyperlink 2" xfId="27336" hidden="1" xr:uid="{00000000-0005-0000-0000-00006E230000}"/>
    <cellStyle name="Followed Hyperlink 2" xfId="27337" hidden="1" xr:uid="{00000000-0005-0000-0000-00006F230000}"/>
    <cellStyle name="Followed Hyperlink 2" xfId="27347" hidden="1" xr:uid="{00000000-0005-0000-0000-000070230000}"/>
    <cellStyle name="Followed Hyperlink 2" xfId="27350" hidden="1" xr:uid="{00000000-0005-0000-0000-000071230000}"/>
    <cellStyle name="Followed Hyperlink 2" xfId="27353" hidden="1" xr:uid="{00000000-0005-0000-0000-000072230000}"/>
    <cellStyle name="Followed Hyperlink 2" xfId="27357" hidden="1" xr:uid="{00000000-0005-0000-0000-000073230000}"/>
    <cellStyle name="Followed Hyperlink 2" xfId="27365" hidden="1" xr:uid="{00000000-0005-0000-0000-000074230000}"/>
    <cellStyle name="Followed Hyperlink 2" xfId="27362" hidden="1" xr:uid="{00000000-0005-0000-0000-000075230000}"/>
    <cellStyle name="Followed Hyperlink 2" xfId="27360" hidden="1" xr:uid="{00000000-0005-0000-0000-000076230000}"/>
    <cellStyle name="Followed Hyperlink 2" xfId="27361" hidden="1" xr:uid="{00000000-0005-0000-0000-000077230000}"/>
    <cellStyle name="Followed Hyperlink 2" xfId="27371" hidden="1" xr:uid="{00000000-0005-0000-0000-000078230000}"/>
    <cellStyle name="Followed Hyperlink 2" xfId="27374" hidden="1" xr:uid="{00000000-0005-0000-0000-000079230000}"/>
    <cellStyle name="Followed Hyperlink 2" xfId="27377" hidden="1" xr:uid="{00000000-0005-0000-0000-00007A230000}"/>
    <cellStyle name="Followed Hyperlink 2" xfId="27381" hidden="1" xr:uid="{00000000-0005-0000-0000-00007B230000}"/>
    <cellStyle name="Followed Hyperlink 2" xfId="27418" hidden="1" xr:uid="{00000000-0005-0000-0000-00007C230000}"/>
    <cellStyle name="Followed Hyperlink 2" xfId="27415" hidden="1" xr:uid="{00000000-0005-0000-0000-00007D230000}"/>
    <cellStyle name="Followed Hyperlink 2" xfId="27413" hidden="1" xr:uid="{00000000-0005-0000-0000-00007E230000}"/>
    <cellStyle name="Followed Hyperlink 2" xfId="27414" hidden="1" xr:uid="{00000000-0005-0000-0000-00007F230000}"/>
    <cellStyle name="Followed Hyperlink 2" xfId="27424" hidden="1" xr:uid="{00000000-0005-0000-0000-000080230000}"/>
    <cellStyle name="Followed Hyperlink 2" xfId="27427" hidden="1" xr:uid="{00000000-0005-0000-0000-000081230000}"/>
    <cellStyle name="Followed Hyperlink 2" xfId="27430" hidden="1" xr:uid="{00000000-0005-0000-0000-000082230000}"/>
    <cellStyle name="Followed Hyperlink 2" xfId="27434" hidden="1" xr:uid="{00000000-0005-0000-0000-000083230000}"/>
    <cellStyle name="Followed Hyperlink 2" xfId="27442" hidden="1" xr:uid="{00000000-0005-0000-0000-000084230000}"/>
    <cellStyle name="Followed Hyperlink 2" xfId="27439" hidden="1" xr:uid="{00000000-0005-0000-0000-000085230000}"/>
    <cellStyle name="Followed Hyperlink 2" xfId="27437" hidden="1" xr:uid="{00000000-0005-0000-0000-000086230000}"/>
    <cellStyle name="Followed Hyperlink 2" xfId="27438" hidden="1" xr:uid="{00000000-0005-0000-0000-000087230000}"/>
    <cellStyle name="Followed Hyperlink 2" xfId="27448" hidden="1" xr:uid="{00000000-0005-0000-0000-000088230000}"/>
    <cellStyle name="Followed Hyperlink 2" xfId="27451" hidden="1" xr:uid="{00000000-0005-0000-0000-000089230000}"/>
    <cellStyle name="Followed Hyperlink 2" xfId="27454" hidden="1" xr:uid="{00000000-0005-0000-0000-00008A230000}"/>
    <cellStyle name="Followed Hyperlink 2" xfId="27458" hidden="1" xr:uid="{00000000-0005-0000-0000-00008B230000}"/>
    <cellStyle name="Followed Hyperlink 2" xfId="27468" hidden="1" xr:uid="{00000000-0005-0000-0000-00008C230000}"/>
    <cellStyle name="Followed Hyperlink 2" xfId="27465" hidden="1" xr:uid="{00000000-0005-0000-0000-00008D230000}"/>
    <cellStyle name="Followed Hyperlink 2" xfId="27463" hidden="1" xr:uid="{00000000-0005-0000-0000-00008E230000}"/>
    <cellStyle name="Followed Hyperlink 2" xfId="27464" hidden="1" xr:uid="{00000000-0005-0000-0000-00008F230000}"/>
    <cellStyle name="Followed Hyperlink 2" xfId="27474" hidden="1" xr:uid="{00000000-0005-0000-0000-000090230000}"/>
    <cellStyle name="Followed Hyperlink 2" xfId="27477" hidden="1" xr:uid="{00000000-0005-0000-0000-000091230000}"/>
    <cellStyle name="Followed Hyperlink 2" xfId="27480" hidden="1" xr:uid="{00000000-0005-0000-0000-000092230000}"/>
    <cellStyle name="Followed Hyperlink 2" xfId="27484" hidden="1" xr:uid="{00000000-0005-0000-0000-000093230000}"/>
    <cellStyle name="Followed Hyperlink 2" xfId="27492" hidden="1" xr:uid="{00000000-0005-0000-0000-000094230000}"/>
    <cellStyle name="Followed Hyperlink 2" xfId="27489" hidden="1" xr:uid="{00000000-0005-0000-0000-000095230000}"/>
    <cellStyle name="Followed Hyperlink 2" xfId="27487" hidden="1" xr:uid="{00000000-0005-0000-0000-000096230000}"/>
    <cellStyle name="Followed Hyperlink 2" xfId="27488" hidden="1" xr:uid="{00000000-0005-0000-0000-000097230000}"/>
    <cellStyle name="Followed Hyperlink 2" xfId="27498" hidden="1" xr:uid="{00000000-0005-0000-0000-000098230000}"/>
    <cellStyle name="Followed Hyperlink 2" xfId="27501" hidden="1" xr:uid="{00000000-0005-0000-0000-000099230000}"/>
    <cellStyle name="Followed Hyperlink 2" xfId="27504" hidden="1" xr:uid="{00000000-0005-0000-0000-00009A230000}"/>
    <cellStyle name="Followed Hyperlink 2" xfId="27508" hidden="1" xr:uid="{00000000-0005-0000-0000-00009B230000}"/>
    <cellStyle name="Followed Hyperlink 2" xfId="27385" hidden="1" xr:uid="{00000000-0005-0000-0000-00009C230000}"/>
    <cellStyle name="Followed Hyperlink 2" xfId="27389" hidden="1" xr:uid="{00000000-0005-0000-0000-00009D230000}"/>
    <cellStyle name="Followed Hyperlink 2" xfId="27384" hidden="1" xr:uid="{00000000-0005-0000-0000-00009E230000}"/>
    <cellStyle name="Followed Hyperlink 2" xfId="27390" hidden="1" xr:uid="{00000000-0005-0000-0000-00009F230000}"/>
    <cellStyle name="Followed Hyperlink 2" xfId="27511" hidden="1" xr:uid="{00000000-0005-0000-0000-0000A0230000}"/>
    <cellStyle name="Followed Hyperlink 2" xfId="27514" hidden="1" xr:uid="{00000000-0005-0000-0000-0000A1230000}"/>
    <cellStyle name="Followed Hyperlink 2" xfId="27517" hidden="1" xr:uid="{00000000-0005-0000-0000-0000A2230000}"/>
    <cellStyle name="Followed Hyperlink 2" xfId="27521" hidden="1" xr:uid="{00000000-0005-0000-0000-0000A3230000}"/>
    <cellStyle name="Followed Hyperlink 2" xfId="27529" hidden="1" xr:uid="{00000000-0005-0000-0000-0000A4230000}"/>
    <cellStyle name="Followed Hyperlink 2" xfId="27526" hidden="1" xr:uid="{00000000-0005-0000-0000-0000A5230000}"/>
    <cellStyle name="Followed Hyperlink 2" xfId="27524" hidden="1" xr:uid="{00000000-0005-0000-0000-0000A6230000}"/>
    <cellStyle name="Followed Hyperlink 2" xfId="27525" hidden="1" xr:uid="{00000000-0005-0000-0000-0000A7230000}"/>
    <cellStyle name="Followed Hyperlink 2" xfId="27535" hidden="1" xr:uid="{00000000-0005-0000-0000-0000A8230000}"/>
    <cellStyle name="Followed Hyperlink 2" xfId="27538" hidden="1" xr:uid="{00000000-0005-0000-0000-0000A9230000}"/>
    <cellStyle name="Followed Hyperlink 2" xfId="27541" hidden="1" xr:uid="{00000000-0005-0000-0000-0000AA230000}"/>
    <cellStyle name="Followed Hyperlink 2" xfId="27545" hidden="1" xr:uid="{00000000-0005-0000-0000-0000AB230000}"/>
    <cellStyle name="Followed Hyperlink 2" xfId="27554" hidden="1" xr:uid="{00000000-0005-0000-0000-0000AC230000}"/>
    <cellStyle name="Followed Hyperlink 2" xfId="27551" hidden="1" xr:uid="{00000000-0005-0000-0000-0000AD230000}"/>
    <cellStyle name="Followed Hyperlink 2" xfId="27549" hidden="1" xr:uid="{00000000-0005-0000-0000-0000AE230000}"/>
    <cellStyle name="Followed Hyperlink 2" xfId="27550" hidden="1" xr:uid="{00000000-0005-0000-0000-0000AF230000}"/>
    <cellStyle name="Followed Hyperlink 2" xfId="27560" hidden="1" xr:uid="{00000000-0005-0000-0000-0000B0230000}"/>
    <cellStyle name="Followed Hyperlink 2" xfId="27563" hidden="1" xr:uid="{00000000-0005-0000-0000-0000B1230000}"/>
    <cellStyle name="Followed Hyperlink 2" xfId="27566" hidden="1" xr:uid="{00000000-0005-0000-0000-0000B2230000}"/>
    <cellStyle name="Followed Hyperlink 2" xfId="27570" hidden="1" xr:uid="{00000000-0005-0000-0000-0000B3230000}"/>
    <cellStyle name="Followed Hyperlink 2" xfId="27578" hidden="1" xr:uid="{00000000-0005-0000-0000-0000B4230000}"/>
    <cellStyle name="Followed Hyperlink 2" xfId="27575" hidden="1" xr:uid="{00000000-0005-0000-0000-0000B5230000}"/>
    <cellStyle name="Followed Hyperlink 2" xfId="27573" hidden="1" xr:uid="{00000000-0005-0000-0000-0000B6230000}"/>
    <cellStyle name="Followed Hyperlink 2" xfId="27574" hidden="1" xr:uid="{00000000-0005-0000-0000-0000B7230000}"/>
    <cellStyle name="Followed Hyperlink 2" xfId="27584" hidden="1" xr:uid="{00000000-0005-0000-0000-0000B8230000}"/>
    <cellStyle name="Followed Hyperlink 2" xfId="27587" hidden="1" xr:uid="{00000000-0005-0000-0000-0000B9230000}"/>
    <cellStyle name="Followed Hyperlink 2" xfId="27590" hidden="1" xr:uid="{00000000-0005-0000-0000-0000BA230000}"/>
    <cellStyle name="Followed Hyperlink 2" xfId="27594" hidden="1" xr:uid="{00000000-0005-0000-0000-0000BB230000}"/>
    <cellStyle name="Followed Hyperlink 2" xfId="27403" hidden="1" xr:uid="{00000000-0005-0000-0000-0000BC230000}"/>
    <cellStyle name="Followed Hyperlink 2" xfId="27400" hidden="1" xr:uid="{00000000-0005-0000-0000-0000BD230000}"/>
    <cellStyle name="Followed Hyperlink 2" xfId="27394" hidden="1" xr:uid="{00000000-0005-0000-0000-0000BE230000}"/>
    <cellStyle name="Followed Hyperlink 2" xfId="27399" hidden="1" xr:uid="{00000000-0005-0000-0000-0000BF230000}"/>
    <cellStyle name="Followed Hyperlink 2" xfId="27597" hidden="1" xr:uid="{00000000-0005-0000-0000-0000C0230000}"/>
    <cellStyle name="Followed Hyperlink 2" xfId="27600" hidden="1" xr:uid="{00000000-0005-0000-0000-0000C1230000}"/>
    <cellStyle name="Followed Hyperlink 2" xfId="27603" hidden="1" xr:uid="{00000000-0005-0000-0000-0000C2230000}"/>
    <cellStyle name="Followed Hyperlink 2" xfId="27607" hidden="1" xr:uid="{00000000-0005-0000-0000-0000C3230000}"/>
    <cellStyle name="Followed Hyperlink 2" xfId="27615" hidden="1" xr:uid="{00000000-0005-0000-0000-0000C4230000}"/>
    <cellStyle name="Followed Hyperlink 2" xfId="27612" hidden="1" xr:uid="{00000000-0005-0000-0000-0000C5230000}"/>
    <cellStyle name="Followed Hyperlink 2" xfId="27610" hidden="1" xr:uid="{00000000-0005-0000-0000-0000C6230000}"/>
    <cellStyle name="Followed Hyperlink 2" xfId="27611" hidden="1" xr:uid="{00000000-0005-0000-0000-0000C7230000}"/>
    <cellStyle name="Followed Hyperlink 2" xfId="27621" hidden="1" xr:uid="{00000000-0005-0000-0000-0000C8230000}"/>
    <cellStyle name="Followed Hyperlink 2" xfId="27624" hidden="1" xr:uid="{00000000-0005-0000-0000-0000C9230000}"/>
    <cellStyle name="Followed Hyperlink 2" xfId="27627" hidden="1" xr:uid="{00000000-0005-0000-0000-0000CA230000}"/>
    <cellStyle name="Followed Hyperlink 2" xfId="27631" hidden="1" xr:uid="{00000000-0005-0000-0000-0000CB230000}"/>
    <cellStyle name="Followed Hyperlink 2" xfId="27640" hidden="1" xr:uid="{00000000-0005-0000-0000-0000CC230000}"/>
    <cellStyle name="Followed Hyperlink 2" xfId="27637" hidden="1" xr:uid="{00000000-0005-0000-0000-0000CD230000}"/>
    <cellStyle name="Followed Hyperlink 2" xfId="27635" hidden="1" xr:uid="{00000000-0005-0000-0000-0000CE230000}"/>
    <cellStyle name="Followed Hyperlink 2" xfId="27636" hidden="1" xr:uid="{00000000-0005-0000-0000-0000CF230000}"/>
    <cellStyle name="Followed Hyperlink 2" xfId="27646" hidden="1" xr:uid="{00000000-0005-0000-0000-0000D0230000}"/>
    <cellStyle name="Followed Hyperlink 2" xfId="27649" hidden="1" xr:uid="{00000000-0005-0000-0000-0000D1230000}"/>
    <cellStyle name="Followed Hyperlink 2" xfId="27652" hidden="1" xr:uid="{00000000-0005-0000-0000-0000D2230000}"/>
    <cellStyle name="Followed Hyperlink 2" xfId="27656" hidden="1" xr:uid="{00000000-0005-0000-0000-0000D3230000}"/>
    <cellStyle name="Followed Hyperlink 2" xfId="27664" hidden="1" xr:uid="{00000000-0005-0000-0000-0000D4230000}"/>
    <cellStyle name="Followed Hyperlink 2" xfId="27661" hidden="1" xr:uid="{00000000-0005-0000-0000-0000D5230000}"/>
    <cellStyle name="Followed Hyperlink 2" xfId="27659" hidden="1" xr:uid="{00000000-0005-0000-0000-0000D6230000}"/>
    <cellStyle name="Followed Hyperlink 2" xfId="27660" hidden="1" xr:uid="{00000000-0005-0000-0000-0000D7230000}"/>
    <cellStyle name="Followed Hyperlink 2" xfId="27670" hidden="1" xr:uid="{00000000-0005-0000-0000-0000D8230000}"/>
    <cellStyle name="Followed Hyperlink 2" xfId="27673" hidden="1" xr:uid="{00000000-0005-0000-0000-0000D9230000}"/>
    <cellStyle name="Followed Hyperlink 2" xfId="27676" hidden="1" xr:uid="{00000000-0005-0000-0000-0000DA230000}"/>
    <cellStyle name="Followed Hyperlink 2" xfId="27680" hidden="1" xr:uid="{00000000-0005-0000-0000-0000DB230000}"/>
    <cellStyle name="Followed Hyperlink 2" xfId="27411" hidden="1" xr:uid="{00000000-0005-0000-0000-0000DC230000}"/>
    <cellStyle name="Followed Hyperlink 2" xfId="27407" hidden="1" xr:uid="{00000000-0005-0000-0000-0000DD230000}"/>
    <cellStyle name="Followed Hyperlink 2" xfId="27408" hidden="1" xr:uid="{00000000-0005-0000-0000-0000DE230000}"/>
    <cellStyle name="Followed Hyperlink 2" xfId="27395" hidden="1" xr:uid="{00000000-0005-0000-0000-0000DF230000}"/>
    <cellStyle name="Followed Hyperlink 2" xfId="27683" hidden="1" xr:uid="{00000000-0005-0000-0000-0000E0230000}"/>
    <cellStyle name="Followed Hyperlink 2" xfId="27686" hidden="1" xr:uid="{00000000-0005-0000-0000-0000E1230000}"/>
    <cellStyle name="Followed Hyperlink 2" xfId="27689" hidden="1" xr:uid="{00000000-0005-0000-0000-0000E2230000}"/>
    <cellStyle name="Followed Hyperlink 2" xfId="27693" hidden="1" xr:uid="{00000000-0005-0000-0000-0000E3230000}"/>
    <cellStyle name="Followed Hyperlink 2" xfId="27701" hidden="1" xr:uid="{00000000-0005-0000-0000-0000E4230000}"/>
    <cellStyle name="Followed Hyperlink 2" xfId="27698" hidden="1" xr:uid="{00000000-0005-0000-0000-0000E5230000}"/>
    <cellStyle name="Followed Hyperlink 2" xfId="27696" hidden="1" xr:uid="{00000000-0005-0000-0000-0000E6230000}"/>
    <cellStyle name="Followed Hyperlink 2" xfId="27697" hidden="1" xr:uid="{00000000-0005-0000-0000-0000E7230000}"/>
    <cellStyle name="Followed Hyperlink 2" xfId="27707" hidden="1" xr:uid="{00000000-0005-0000-0000-0000E8230000}"/>
    <cellStyle name="Followed Hyperlink 2" xfId="27710" hidden="1" xr:uid="{00000000-0005-0000-0000-0000E9230000}"/>
    <cellStyle name="Followed Hyperlink 2" xfId="27713" hidden="1" xr:uid="{00000000-0005-0000-0000-0000EA230000}"/>
    <cellStyle name="Followed Hyperlink 2" xfId="27717" hidden="1" xr:uid="{00000000-0005-0000-0000-0000EB230000}"/>
    <cellStyle name="Followed Hyperlink 2" xfId="27725" hidden="1" xr:uid="{00000000-0005-0000-0000-0000EC230000}"/>
    <cellStyle name="Followed Hyperlink 2" xfId="27722" hidden="1" xr:uid="{00000000-0005-0000-0000-0000ED230000}"/>
    <cellStyle name="Followed Hyperlink 2" xfId="27720" hidden="1" xr:uid="{00000000-0005-0000-0000-0000EE230000}"/>
    <cellStyle name="Followed Hyperlink 2" xfId="27721" hidden="1" xr:uid="{00000000-0005-0000-0000-0000EF230000}"/>
    <cellStyle name="Followed Hyperlink 2" xfId="27731" hidden="1" xr:uid="{00000000-0005-0000-0000-0000F0230000}"/>
    <cellStyle name="Followed Hyperlink 2" xfId="27734" hidden="1" xr:uid="{00000000-0005-0000-0000-0000F1230000}"/>
    <cellStyle name="Followed Hyperlink 2" xfId="27737" hidden="1" xr:uid="{00000000-0005-0000-0000-0000F2230000}"/>
    <cellStyle name="Followed Hyperlink 2" xfId="27741" hidden="1" xr:uid="{00000000-0005-0000-0000-0000F3230000}"/>
    <cellStyle name="Followed Hyperlink 2" xfId="27749" hidden="1" xr:uid="{00000000-0005-0000-0000-0000F4230000}"/>
    <cellStyle name="Followed Hyperlink 2" xfId="27746" hidden="1" xr:uid="{00000000-0005-0000-0000-0000F5230000}"/>
    <cellStyle name="Followed Hyperlink 2" xfId="27744" hidden="1" xr:uid="{00000000-0005-0000-0000-0000F6230000}"/>
    <cellStyle name="Followed Hyperlink 2" xfId="27745" hidden="1" xr:uid="{00000000-0005-0000-0000-0000F7230000}"/>
    <cellStyle name="Followed Hyperlink 2" xfId="27755" hidden="1" xr:uid="{00000000-0005-0000-0000-0000F8230000}"/>
    <cellStyle name="Followed Hyperlink 2" xfId="27758" hidden="1" xr:uid="{00000000-0005-0000-0000-0000F9230000}"/>
    <cellStyle name="Followed Hyperlink 2" xfId="27761" hidden="1" xr:uid="{00000000-0005-0000-0000-0000FA230000}"/>
    <cellStyle name="Followed Hyperlink 2" xfId="27765" hidden="1" xr:uid="{00000000-0005-0000-0000-0000FB230000}"/>
    <cellStyle name="Followed Hyperlink 2" xfId="27258" hidden="1" xr:uid="{00000000-0005-0000-0000-0000FC230000}"/>
    <cellStyle name="Followed Hyperlink 2" xfId="27262" hidden="1" xr:uid="{00000000-0005-0000-0000-0000FD230000}"/>
    <cellStyle name="Followed Hyperlink 2" xfId="27257" hidden="1" xr:uid="{00000000-0005-0000-0000-0000FE230000}"/>
    <cellStyle name="Followed Hyperlink 2" xfId="27263" hidden="1" xr:uid="{00000000-0005-0000-0000-0000FF230000}"/>
    <cellStyle name="Followed Hyperlink 2" xfId="27768" hidden="1" xr:uid="{00000000-0005-0000-0000-000000240000}"/>
    <cellStyle name="Followed Hyperlink 2" xfId="27771" hidden="1" xr:uid="{00000000-0005-0000-0000-000001240000}"/>
    <cellStyle name="Followed Hyperlink 2" xfId="27774" hidden="1" xr:uid="{00000000-0005-0000-0000-000002240000}"/>
    <cellStyle name="Followed Hyperlink 2" xfId="27778" hidden="1" xr:uid="{00000000-0005-0000-0000-000003240000}"/>
    <cellStyle name="Followed Hyperlink 2" xfId="27786" hidden="1" xr:uid="{00000000-0005-0000-0000-000004240000}"/>
    <cellStyle name="Followed Hyperlink 2" xfId="27783" hidden="1" xr:uid="{00000000-0005-0000-0000-000005240000}"/>
    <cellStyle name="Followed Hyperlink 2" xfId="27781" hidden="1" xr:uid="{00000000-0005-0000-0000-000006240000}"/>
    <cellStyle name="Followed Hyperlink 2" xfId="27782" hidden="1" xr:uid="{00000000-0005-0000-0000-000007240000}"/>
    <cellStyle name="Followed Hyperlink 2" xfId="27792" hidden="1" xr:uid="{00000000-0005-0000-0000-000008240000}"/>
    <cellStyle name="Followed Hyperlink 2" xfId="27795" hidden="1" xr:uid="{00000000-0005-0000-0000-000009240000}"/>
    <cellStyle name="Followed Hyperlink 2" xfId="27798" hidden="1" xr:uid="{00000000-0005-0000-0000-00000A240000}"/>
    <cellStyle name="Followed Hyperlink 2" xfId="27802" hidden="1" xr:uid="{00000000-0005-0000-0000-00000B240000}"/>
    <cellStyle name="Followed Hyperlink 2" xfId="27811" hidden="1" xr:uid="{00000000-0005-0000-0000-00000C240000}"/>
    <cellStyle name="Followed Hyperlink 2" xfId="27808" hidden="1" xr:uid="{00000000-0005-0000-0000-00000D240000}"/>
    <cellStyle name="Followed Hyperlink 2" xfId="27806" hidden="1" xr:uid="{00000000-0005-0000-0000-00000E240000}"/>
    <cellStyle name="Followed Hyperlink 2" xfId="27807" hidden="1" xr:uid="{00000000-0005-0000-0000-00000F240000}"/>
    <cellStyle name="Followed Hyperlink 2" xfId="27817" hidden="1" xr:uid="{00000000-0005-0000-0000-000010240000}"/>
    <cellStyle name="Followed Hyperlink 2" xfId="27820" hidden="1" xr:uid="{00000000-0005-0000-0000-000011240000}"/>
    <cellStyle name="Followed Hyperlink 2" xfId="27823" hidden="1" xr:uid="{00000000-0005-0000-0000-000012240000}"/>
    <cellStyle name="Followed Hyperlink 2" xfId="27827" hidden="1" xr:uid="{00000000-0005-0000-0000-000013240000}"/>
    <cellStyle name="Followed Hyperlink 2" xfId="27835" hidden="1" xr:uid="{00000000-0005-0000-0000-000014240000}"/>
    <cellStyle name="Followed Hyperlink 2" xfId="27832" hidden="1" xr:uid="{00000000-0005-0000-0000-000015240000}"/>
    <cellStyle name="Followed Hyperlink 2" xfId="27830" hidden="1" xr:uid="{00000000-0005-0000-0000-000016240000}"/>
    <cellStyle name="Followed Hyperlink 2" xfId="27831" hidden="1" xr:uid="{00000000-0005-0000-0000-000017240000}"/>
    <cellStyle name="Followed Hyperlink 2" xfId="27841" hidden="1" xr:uid="{00000000-0005-0000-0000-000018240000}"/>
    <cellStyle name="Followed Hyperlink 2" xfId="27844" hidden="1" xr:uid="{00000000-0005-0000-0000-000019240000}"/>
    <cellStyle name="Followed Hyperlink 2" xfId="27847" hidden="1" xr:uid="{00000000-0005-0000-0000-00001A240000}"/>
    <cellStyle name="Followed Hyperlink 2" xfId="27851" hidden="1" xr:uid="{00000000-0005-0000-0000-00001B240000}"/>
    <cellStyle name="Followed Hyperlink 2" xfId="27888" hidden="1" xr:uid="{00000000-0005-0000-0000-00001C240000}"/>
    <cellStyle name="Followed Hyperlink 2" xfId="27885" hidden="1" xr:uid="{00000000-0005-0000-0000-00001D240000}"/>
    <cellStyle name="Followed Hyperlink 2" xfId="27883" hidden="1" xr:uid="{00000000-0005-0000-0000-00001E240000}"/>
    <cellStyle name="Followed Hyperlink 2" xfId="27884" hidden="1" xr:uid="{00000000-0005-0000-0000-00001F240000}"/>
    <cellStyle name="Followed Hyperlink 2" xfId="27894" hidden="1" xr:uid="{00000000-0005-0000-0000-000020240000}"/>
    <cellStyle name="Followed Hyperlink 2" xfId="27897" hidden="1" xr:uid="{00000000-0005-0000-0000-000021240000}"/>
    <cellStyle name="Followed Hyperlink 2" xfId="27900" hidden="1" xr:uid="{00000000-0005-0000-0000-000022240000}"/>
    <cellStyle name="Followed Hyperlink 2" xfId="27904" hidden="1" xr:uid="{00000000-0005-0000-0000-000023240000}"/>
    <cellStyle name="Followed Hyperlink 2" xfId="27912" hidden="1" xr:uid="{00000000-0005-0000-0000-000024240000}"/>
    <cellStyle name="Followed Hyperlink 2" xfId="27909" hidden="1" xr:uid="{00000000-0005-0000-0000-000025240000}"/>
    <cellStyle name="Followed Hyperlink 2" xfId="27907" hidden="1" xr:uid="{00000000-0005-0000-0000-000026240000}"/>
    <cellStyle name="Followed Hyperlink 2" xfId="27908" hidden="1" xr:uid="{00000000-0005-0000-0000-000027240000}"/>
    <cellStyle name="Followed Hyperlink 2" xfId="27918" hidden="1" xr:uid="{00000000-0005-0000-0000-000028240000}"/>
    <cellStyle name="Followed Hyperlink 2" xfId="27921" hidden="1" xr:uid="{00000000-0005-0000-0000-000029240000}"/>
    <cellStyle name="Followed Hyperlink 2" xfId="27924" hidden="1" xr:uid="{00000000-0005-0000-0000-00002A240000}"/>
    <cellStyle name="Followed Hyperlink 2" xfId="27928" hidden="1" xr:uid="{00000000-0005-0000-0000-00002B240000}"/>
    <cellStyle name="Followed Hyperlink 2" xfId="27938" hidden="1" xr:uid="{00000000-0005-0000-0000-00002C240000}"/>
    <cellStyle name="Followed Hyperlink 2" xfId="27935" hidden="1" xr:uid="{00000000-0005-0000-0000-00002D240000}"/>
    <cellStyle name="Followed Hyperlink 2" xfId="27933" hidden="1" xr:uid="{00000000-0005-0000-0000-00002E240000}"/>
    <cellStyle name="Followed Hyperlink 2" xfId="27934" hidden="1" xr:uid="{00000000-0005-0000-0000-00002F240000}"/>
    <cellStyle name="Followed Hyperlink 2" xfId="27944" hidden="1" xr:uid="{00000000-0005-0000-0000-000030240000}"/>
    <cellStyle name="Followed Hyperlink 2" xfId="27947" hidden="1" xr:uid="{00000000-0005-0000-0000-000031240000}"/>
    <cellStyle name="Followed Hyperlink 2" xfId="27950" hidden="1" xr:uid="{00000000-0005-0000-0000-000032240000}"/>
    <cellStyle name="Followed Hyperlink 2" xfId="27954" hidden="1" xr:uid="{00000000-0005-0000-0000-000033240000}"/>
    <cellStyle name="Followed Hyperlink 2" xfId="27962" hidden="1" xr:uid="{00000000-0005-0000-0000-000034240000}"/>
    <cellStyle name="Followed Hyperlink 2" xfId="27959" hidden="1" xr:uid="{00000000-0005-0000-0000-000035240000}"/>
    <cellStyle name="Followed Hyperlink 2" xfId="27957" hidden="1" xr:uid="{00000000-0005-0000-0000-000036240000}"/>
    <cellStyle name="Followed Hyperlink 2" xfId="27958" hidden="1" xr:uid="{00000000-0005-0000-0000-000037240000}"/>
    <cellStyle name="Followed Hyperlink 2" xfId="27968" hidden="1" xr:uid="{00000000-0005-0000-0000-000038240000}"/>
    <cellStyle name="Followed Hyperlink 2" xfId="27971" hidden="1" xr:uid="{00000000-0005-0000-0000-000039240000}"/>
    <cellStyle name="Followed Hyperlink 2" xfId="27974" hidden="1" xr:uid="{00000000-0005-0000-0000-00003A240000}"/>
    <cellStyle name="Followed Hyperlink 2" xfId="27978" hidden="1" xr:uid="{00000000-0005-0000-0000-00003B240000}"/>
    <cellStyle name="Followed Hyperlink 2" xfId="27855" hidden="1" xr:uid="{00000000-0005-0000-0000-00003C240000}"/>
    <cellStyle name="Followed Hyperlink 2" xfId="27859" hidden="1" xr:uid="{00000000-0005-0000-0000-00003D240000}"/>
    <cellStyle name="Followed Hyperlink 2" xfId="27854" hidden="1" xr:uid="{00000000-0005-0000-0000-00003E240000}"/>
    <cellStyle name="Followed Hyperlink 2" xfId="27860" hidden="1" xr:uid="{00000000-0005-0000-0000-00003F240000}"/>
    <cellStyle name="Followed Hyperlink 2" xfId="27981" hidden="1" xr:uid="{00000000-0005-0000-0000-000040240000}"/>
    <cellStyle name="Followed Hyperlink 2" xfId="27984" hidden="1" xr:uid="{00000000-0005-0000-0000-000041240000}"/>
    <cellStyle name="Followed Hyperlink 2" xfId="27987" hidden="1" xr:uid="{00000000-0005-0000-0000-000042240000}"/>
    <cellStyle name="Followed Hyperlink 2" xfId="27991" hidden="1" xr:uid="{00000000-0005-0000-0000-000043240000}"/>
    <cellStyle name="Followed Hyperlink 2" xfId="27999" hidden="1" xr:uid="{00000000-0005-0000-0000-000044240000}"/>
    <cellStyle name="Followed Hyperlink 2" xfId="27996" hidden="1" xr:uid="{00000000-0005-0000-0000-000045240000}"/>
    <cellStyle name="Followed Hyperlink 2" xfId="27994" hidden="1" xr:uid="{00000000-0005-0000-0000-000046240000}"/>
    <cellStyle name="Followed Hyperlink 2" xfId="27995" hidden="1" xr:uid="{00000000-0005-0000-0000-000047240000}"/>
    <cellStyle name="Followed Hyperlink 2" xfId="28005" hidden="1" xr:uid="{00000000-0005-0000-0000-000048240000}"/>
    <cellStyle name="Followed Hyperlink 2" xfId="28008" hidden="1" xr:uid="{00000000-0005-0000-0000-000049240000}"/>
    <cellStyle name="Followed Hyperlink 2" xfId="28011" hidden="1" xr:uid="{00000000-0005-0000-0000-00004A240000}"/>
    <cellStyle name="Followed Hyperlink 2" xfId="28015" hidden="1" xr:uid="{00000000-0005-0000-0000-00004B240000}"/>
    <cellStyle name="Followed Hyperlink 2" xfId="28024" hidden="1" xr:uid="{00000000-0005-0000-0000-00004C240000}"/>
    <cellStyle name="Followed Hyperlink 2" xfId="28021" hidden="1" xr:uid="{00000000-0005-0000-0000-00004D240000}"/>
    <cellStyle name="Followed Hyperlink 2" xfId="28019" hidden="1" xr:uid="{00000000-0005-0000-0000-00004E240000}"/>
    <cellStyle name="Followed Hyperlink 2" xfId="28020" hidden="1" xr:uid="{00000000-0005-0000-0000-00004F240000}"/>
    <cellStyle name="Followed Hyperlink 2" xfId="28030" hidden="1" xr:uid="{00000000-0005-0000-0000-000050240000}"/>
    <cellStyle name="Followed Hyperlink 2" xfId="28033" hidden="1" xr:uid="{00000000-0005-0000-0000-000051240000}"/>
    <cellStyle name="Followed Hyperlink 2" xfId="28036" hidden="1" xr:uid="{00000000-0005-0000-0000-000052240000}"/>
    <cellStyle name="Followed Hyperlink 2" xfId="28040" hidden="1" xr:uid="{00000000-0005-0000-0000-000053240000}"/>
    <cellStyle name="Followed Hyperlink 2" xfId="28048" hidden="1" xr:uid="{00000000-0005-0000-0000-000054240000}"/>
    <cellStyle name="Followed Hyperlink 2" xfId="28045" hidden="1" xr:uid="{00000000-0005-0000-0000-000055240000}"/>
    <cellStyle name="Followed Hyperlink 2" xfId="28043" hidden="1" xr:uid="{00000000-0005-0000-0000-000056240000}"/>
    <cellStyle name="Followed Hyperlink 2" xfId="28044" hidden="1" xr:uid="{00000000-0005-0000-0000-000057240000}"/>
    <cellStyle name="Followed Hyperlink 2" xfId="28054" hidden="1" xr:uid="{00000000-0005-0000-0000-000058240000}"/>
    <cellStyle name="Followed Hyperlink 2" xfId="28057" hidden="1" xr:uid="{00000000-0005-0000-0000-000059240000}"/>
    <cellStyle name="Followed Hyperlink 2" xfId="28060" hidden="1" xr:uid="{00000000-0005-0000-0000-00005A240000}"/>
    <cellStyle name="Followed Hyperlink 2" xfId="28064" hidden="1" xr:uid="{00000000-0005-0000-0000-00005B240000}"/>
    <cellStyle name="Followed Hyperlink 2" xfId="27873" hidden="1" xr:uid="{00000000-0005-0000-0000-00005C240000}"/>
    <cellStyle name="Followed Hyperlink 2" xfId="27870" hidden="1" xr:uid="{00000000-0005-0000-0000-00005D240000}"/>
    <cellStyle name="Followed Hyperlink 2" xfId="27864" hidden="1" xr:uid="{00000000-0005-0000-0000-00005E240000}"/>
    <cellStyle name="Followed Hyperlink 2" xfId="27869" hidden="1" xr:uid="{00000000-0005-0000-0000-00005F240000}"/>
    <cellStyle name="Followed Hyperlink 2" xfId="28067" hidden="1" xr:uid="{00000000-0005-0000-0000-000060240000}"/>
    <cellStyle name="Followed Hyperlink 2" xfId="28070" hidden="1" xr:uid="{00000000-0005-0000-0000-000061240000}"/>
    <cellStyle name="Followed Hyperlink 2" xfId="28073" hidden="1" xr:uid="{00000000-0005-0000-0000-000062240000}"/>
    <cellStyle name="Followed Hyperlink 2" xfId="28077" hidden="1" xr:uid="{00000000-0005-0000-0000-000063240000}"/>
    <cellStyle name="Followed Hyperlink 2" xfId="28085" hidden="1" xr:uid="{00000000-0005-0000-0000-000064240000}"/>
    <cellStyle name="Followed Hyperlink 2" xfId="28082" hidden="1" xr:uid="{00000000-0005-0000-0000-000065240000}"/>
    <cellStyle name="Followed Hyperlink 2" xfId="28080" hidden="1" xr:uid="{00000000-0005-0000-0000-000066240000}"/>
    <cellStyle name="Followed Hyperlink 2" xfId="28081" hidden="1" xr:uid="{00000000-0005-0000-0000-000067240000}"/>
    <cellStyle name="Followed Hyperlink 2" xfId="28091" hidden="1" xr:uid="{00000000-0005-0000-0000-000068240000}"/>
    <cellStyle name="Followed Hyperlink 2" xfId="28094" hidden="1" xr:uid="{00000000-0005-0000-0000-000069240000}"/>
    <cellStyle name="Followed Hyperlink 2" xfId="28097" hidden="1" xr:uid="{00000000-0005-0000-0000-00006A240000}"/>
    <cellStyle name="Followed Hyperlink 2" xfId="28101" hidden="1" xr:uid="{00000000-0005-0000-0000-00006B240000}"/>
    <cellStyle name="Followed Hyperlink 2" xfId="28110" hidden="1" xr:uid="{00000000-0005-0000-0000-00006C240000}"/>
    <cellStyle name="Followed Hyperlink 2" xfId="28107" hidden="1" xr:uid="{00000000-0005-0000-0000-00006D240000}"/>
    <cellStyle name="Followed Hyperlink 2" xfId="28105" hidden="1" xr:uid="{00000000-0005-0000-0000-00006E240000}"/>
    <cellStyle name="Followed Hyperlink 2" xfId="28106" hidden="1" xr:uid="{00000000-0005-0000-0000-00006F240000}"/>
    <cellStyle name="Followed Hyperlink 2" xfId="28116" hidden="1" xr:uid="{00000000-0005-0000-0000-000070240000}"/>
    <cellStyle name="Followed Hyperlink 2" xfId="28119" hidden="1" xr:uid="{00000000-0005-0000-0000-000071240000}"/>
    <cellStyle name="Followed Hyperlink 2" xfId="28122" hidden="1" xr:uid="{00000000-0005-0000-0000-000072240000}"/>
    <cellStyle name="Followed Hyperlink 2" xfId="28126" hidden="1" xr:uid="{00000000-0005-0000-0000-000073240000}"/>
    <cellStyle name="Followed Hyperlink 2" xfId="28134" hidden="1" xr:uid="{00000000-0005-0000-0000-000074240000}"/>
    <cellStyle name="Followed Hyperlink 2" xfId="28131" hidden="1" xr:uid="{00000000-0005-0000-0000-000075240000}"/>
    <cellStyle name="Followed Hyperlink 2" xfId="28129" hidden="1" xr:uid="{00000000-0005-0000-0000-000076240000}"/>
    <cellStyle name="Followed Hyperlink 2" xfId="28130" hidden="1" xr:uid="{00000000-0005-0000-0000-000077240000}"/>
    <cellStyle name="Followed Hyperlink 2" xfId="28140" hidden="1" xr:uid="{00000000-0005-0000-0000-000078240000}"/>
    <cellStyle name="Followed Hyperlink 2" xfId="28143" hidden="1" xr:uid="{00000000-0005-0000-0000-000079240000}"/>
    <cellStyle name="Followed Hyperlink 2" xfId="28146" hidden="1" xr:uid="{00000000-0005-0000-0000-00007A240000}"/>
    <cellStyle name="Followed Hyperlink 2" xfId="28150" hidden="1" xr:uid="{00000000-0005-0000-0000-00007B240000}"/>
    <cellStyle name="Followed Hyperlink 2" xfId="27881" hidden="1" xr:uid="{00000000-0005-0000-0000-00007C240000}"/>
    <cellStyle name="Followed Hyperlink 2" xfId="27877" hidden="1" xr:uid="{00000000-0005-0000-0000-00007D240000}"/>
    <cellStyle name="Followed Hyperlink 2" xfId="27878" hidden="1" xr:uid="{00000000-0005-0000-0000-00007E240000}"/>
    <cellStyle name="Followed Hyperlink 2" xfId="27865" hidden="1" xr:uid="{00000000-0005-0000-0000-00007F240000}"/>
    <cellStyle name="Followed Hyperlink 2" xfId="28153" hidden="1" xr:uid="{00000000-0005-0000-0000-000080240000}"/>
    <cellStyle name="Followed Hyperlink 2" xfId="28156" hidden="1" xr:uid="{00000000-0005-0000-0000-000081240000}"/>
    <cellStyle name="Followed Hyperlink 2" xfId="28159" hidden="1" xr:uid="{00000000-0005-0000-0000-000082240000}"/>
    <cellStyle name="Followed Hyperlink 2" xfId="28163" hidden="1" xr:uid="{00000000-0005-0000-0000-000083240000}"/>
    <cellStyle name="Followed Hyperlink 2" xfId="28171" hidden="1" xr:uid="{00000000-0005-0000-0000-000084240000}"/>
    <cellStyle name="Followed Hyperlink 2" xfId="28168" hidden="1" xr:uid="{00000000-0005-0000-0000-000085240000}"/>
    <cellStyle name="Followed Hyperlink 2" xfId="28166" hidden="1" xr:uid="{00000000-0005-0000-0000-000086240000}"/>
    <cellStyle name="Followed Hyperlink 2" xfId="28167" hidden="1" xr:uid="{00000000-0005-0000-0000-000087240000}"/>
    <cellStyle name="Followed Hyperlink 2" xfId="28177" hidden="1" xr:uid="{00000000-0005-0000-0000-000088240000}"/>
    <cellStyle name="Followed Hyperlink 2" xfId="28180" hidden="1" xr:uid="{00000000-0005-0000-0000-000089240000}"/>
    <cellStyle name="Followed Hyperlink 2" xfId="28183" hidden="1" xr:uid="{00000000-0005-0000-0000-00008A240000}"/>
    <cellStyle name="Followed Hyperlink 2" xfId="28187" hidden="1" xr:uid="{00000000-0005-0000-0000-00008B240000}"/>
    <cellStyle name="Followed Hyperlink 2" xfId="28195" hidden="1" xr:uid="{00000000-0005-0000-0000-00008C240000}"/>
    <cellStyle name="Followed Hyperlink 2" xfId="28192" hidden="1" xr:uid="{00000000-0005-0000-0000-00008D240000}"/>
    <cellStyle name="Followed Hyperlink 2" xfId="28190" hidden="1" xr:uid="{00000000-0005-0000-0000-00008E240000}"/>
    <cellStyle name="Followed Hyperlink 2" xfId="28191" hidden="1" xr:uid="{00000000-0005-0000-0000-00008F240000}"/>
    <cellStyle name="Followed Hyperlink 2" xfId="28201" hidden="1" xr:uid="{00000000-0005-0000-0000-000090240000}"/>
    <cellStyle name="Followed Hyperlink 2" xfId="28204" hidden="1" xr:uid="{00000000-0005-0000-0000-000091240000}"/>
    <cellStyle name="Followed Hyperlink 2" xfId="28207" hidden="1" xr:uid="{00000000-0005-0000-0000-000092240000}"/>
    <cellStyle name="Followed Hyperlink 2" xfId="28211" hidden="1" xr:uid="{00000000-0005-0000-0000-000093240000}"/>
    <cellStyle name="Followed Hyperlink 2" xfId="28219" hidden="1" xr:uid="{00000000-0005-0000-0000-000094240000}"/>
    <cellStyle name="Followed Hyperlink 2" xfId="28216" hidden="1" xr:uid="{00000000-0005-0000-0000-000095240000}"/>
    <cellStyle name="Followed Hyperlink 2" xfId="28214" hidden="1" xr:uid="{00000000-0005-0000-0000-000096240000}"/>
    <cellStyle name="Followed Hyperlink 2" xfId="28215" hidden="1" xr:uid="{00000000-0005-0000-0000-000097240000}"/>
    <cellStyle name="Followed Hyperlink 2" xfId="28225" hidden="1" xr:uid="{00000000-0005-0000-0000-000098240000}"/>
    <cellStyle name="Followed Hyperlink 2" xfId="28228" hidden="1" xr:uid="{00000000-0005-0000-0000-000099240000}"/>
    <cellStyle name="Followed Hyperlink 2" xfId="28231" hidden="1" xr:uid="{00000000-0005-0000-0000-00009A240000}"/>
    <cellStyle name="Followed Hyperlink 2" xfId="28235" hidden="1" xr:uid="{00000000-0005-0000-0000-00009B240000}"/>
    <cellStyle name="Followed Hyperlink 2" xfId="27276" hidden="1" xr:uid="{00000000-0005-0000-0000-00009C240000}"/>
    <cellStyle name="Followed Hyperlink 2" xfId="27273" hidden="1" xr:uid="{00000000-0005-0000-0000-00009D240000}"/>
    <cellStyle name="Followed Hyperlink 2" xfId="27267" hidden="1" xr:uid="{00000000-0005-0000-0000-00009E240000}"/>
    <cellStyle name="Followed Hyperlink 2" xfId="27272" hidden="1" xr:uid="{00000000-0005-0000-0000-00009F240000}"/>
    <cellStyle name="Followed Hyperlink 2" xfId="28238" hidden="1" xr:uid="{00000000-0005-0000-0000-0000A0240000}"/>
    <cellStyle name="Followed Hyperlink 2" xfId="28241" hidden="1" xr:uid="{00000000-0005-0000-0000-0000A1240000}"/>
    <cellStyle name="Followed Hyperlink 2" xfId="28244" hidden="1" xr:uid="{00000000-0005-0000-0000-0000A2240000}"/>
    <cellStyle name="Followed Hyperlink 2" xfId="28248" hidden="1" xr:uid="{00000000-0005-0000-0000-0000A3240000}"/>
    <cellStyle name="Followed Hyperlink 2" xfId="28256" hidden="1" xr:uid="{00000000-0005-0000-0000-0000A4240000}"/>
    <cellStyle name="Followed Hyperlink 2" xfId="28253" hidden="1" xr:uid="{00000000-0005-0000-0000-0000A5240000}"/>
    <cellStyle name="Followed Hyperlink 2" xfId="28251" hidden="1" xr:uid="{00000000-0005-0000-0000-0000A6240000}"/>
    <cellStyle name="Followed Hyperlink 2" xfId="28252" hidden="1" xr:uid="{00000000-0005-0000-0000-0000A7240000}"/>
    <cellStyle name="Followed Hyperlink 2" xfId="28262" hidden="1" xr:uid="{00000000-0005-0000-0000-0000A8240000}"/>
    <cellStyle name="Followed Hyperlink 2" xfId="28265" hidden="1" xr:uid="{00000000-0005-0000-0000-0000A9240000}"/>
    <cellStyle name="Followed Hyperlink 2" xfId="28268" hidden="1" xr:uid="{00000000-0005-0000-0000-0000AA240000}"/>
    <cellStyle name="Followed Hyperlink 2" xfId="28272" hidden="1" xr:uid="{00000000-0005-0000-0000-0000AB240000}"/>
    <cellStyle name="Followed Hyperlink 2" xfId="28281" hidden="1" xr:uid="{00000000-0005-0000-0000-0000AC240000}"/>
    <cellStyle name="Followed Hyperlink 2" xfId="28278" hidden="1" xr:uid="{00000000-0005-0000-0000-0000AD240000}"/>
    <cellStyle name="Followed Hyperlink 2" xfId="28276" hidden="1" xr:uid="{00000000-0005-0000-0000-0000AE240000}"/>
    <cellStyle name="Followed Hyperlink 2" xfId="28277" hidden="1" xr:uid="{00000000-0005-0000-0000-0000AF240000}"/>
    <cellStyle name="Followed Hyperlink 2" xfId="28287" hidden="1" xr:uid="{00000000-0005-0000-0000-0000B0240000}"/>
    <cellStyle name="Followed Hyperlink 2" xfId="28290" hidden="1" xr:uid="{00000000-0005-0000-0000-0000B1240000}"/>
    <cellStyle name="Followed Hyperlink 2" xfId="28293" hidden="1" xr:uid="{00000000-0005-0000-0000-0000B2240000}"/>
    <cellStyle name="Followed Hyperlink 2" xfId="28297" hidden="1" xr:uid="{00000000-0005-0000-0000-0000B3240000}"/>
    <cellStyle name="Followed Hyperlink 2" xfId="28305" hidden="1" xr:uid="{00000000-0005-0000-0000-0000B4240000}"/>
    <cellStyle name="Followed Hyperlink 2" xfId="28302" hidden="1" xr:uid="{00000000-0005-0000-0000-0000B5240000}"/>
    <cellStyle name="Followed Hyperlink 2" xfId="28300" hidden="1" xr:uid="{00000000-0005-0000-0000-0000B6240000}"/>
    <cellStyle name="Followed Hyperlink 2" xfId="28301" hidden="1" xr:uid="{00000000-0005-0000-0000-0000B7240000}"/>
    <cellStyle name="Followed Hyperlink 2" xfId="28311" hidden="1" xr:uid="{00000000-0005-0000-0000-0000B8240000}"/>
    <cellStyle name="Followed Hyperlink 2" xfId="28314" hidden="1" xr:uid="{00000000-0005-0000-0000-0000B9240000}"/>
    <cellStyle name="Followed Hyperlink 2" xfId="28317" hidden="1" xr:uid="{00000000-0005-0000-0000-0000BA240000}"/>
    <cellStyle name="Followed Hyperlink 2" xfId="28321" hidden="1" xr:uid="{00000000-0005-0000-0000-0000BB240000}"/>
    <cellStyle name="Followed Hyperlink 2" xfId="28358" hidden="1" xr:uid="{00000000-0005-0000-0000-0000BC240000}"/>
    <cellStyle name="Followed Hyperlink 2" xfId="28355" hidden="1" xr:uid="{00000000-0005-0000-0000-0000BD240000}"/>
    <cellStyle name="Followed Hyperlink 2" xfId="28353" hidden="1" xr:uid="{00000000-0005-0000-0000-0000BE240000}"/>
    <cellStyle name="Followed Hyperlink 2" xfId="28354" hidden="1" xr:uid="{00000000-0005-0000-0000-0000BF240000}"/>
    <cellStyle name="Followed Hyperlink 2" xfId="28364" hidden="1" xr:uid="{00000000-0005-0000-0000-0000C0240000}"/>
    <cellStyle name="Followed Hyperlink 2" xfId="28367" hidden="1" xr:uid="{00000000-0005-0000-0000-0000C1240000}"/>
    <cellStyle name="Followed Hyperlink 2" xfId="28370" hidden="1" xr:uid="{00000000-0005-0000-0000-0000C2240000}"/>
    <cellStyle name="Followed Hyperlink 2" xfId="28374" hidden="1" xr:uid="{00000000-0005-0000-0000-0000C3240000}"/>
    <cellStyle name="Followed Hyperlink 2" xfId="28382" hidden="1" xr:uid="{00000000-0005-0000-0000-0000C4240000}"/>
    <cellStyle name="Followed Hyperlink 2" xfId="28379" hidden="1" xr:uid="{00000000-0005-0000-0000-0000C5240000}"/>
    <cellStyle name="Followed Hyperlink 2" xfId="28377" hidden="1" xr:uid="{00000000-0005-0000-0000-0000C6240000}"/>
    <cellStyle name="Followed Hyperlink 2" xfId="28378" hidden="1" xr:uid="{00000000-0005-0000-0000-0000C7240000}"/>
    <cellStyle name="Followed Hyperlink 2" xfId="28388" hidden="1" xr:uid="{00000000-0005-0000-0000-0000C8240000}"/>
    <cellStyle name="Followed Hyperlink 2" xfId="28391" hidden="1" xr:uid="{00000000-0005-0000-0000-0000C9240000}"/>
    <cellStyle name="Followed Hyperlink 2" xfId="28394" hidden="1" xr:uid="{00000000-0005-0000-0000-0000CA240000}"/>
    <cellStyle name="Followed Hyperlink 2" xfId="28398" hidden="1" xr:uid="{00000000-0005-0000-0000-0000CB240000}"/>
    <cellStyle name="Followed Hyperlink 2" xfId="28408" hidden="1" xr:uid="{00000000-0005-0000-0000-0000CC240000}"/>
    <cellStyle name="Followed Hyperlink 2" xfId="28405" hidden="1" xr:uid="{00000000-0005-0000-0000-0000CD240000}"/>
    <cellStyle name="Followed Hyperlink 2" xfId="28403" hidden="1" xr:uid="{00000000-0005-0000-0000-0000CE240000}"/>
    <cellStyle name="Followed Hyperlink 2" xfId="28404" hidden="1" xr:uid="{00000000-0005-0000-0000-0000CF240000}"/>
    <cellStyle name="Followed Hyperlink 2" xfId="28414" hidden="1" xr:uid="{00000000-0005-0000-0000-0000D0240000}"/>
    <cellStyle name="Followed Hyperlink 2" xfId="28417" hidden="1" xr:uid="{00000000-0005-0000-0000-0000D1240000}"/>
    <cellStyle name="Followed Hyperlink 2" xfId="28420" hidden="1" xr:uid="{00000000-0005-0000-0000-0000D2240000}"/>
    <cellStyle name="Followed Hyperlink 2" xfId="28424" hidden="1" xr:uid="{00000000-0005-0000-0000-0000D3240000}"/>
    <cellStyle name="Followed Hyperlink 2" xfId="28432" hidden="1" xr:uid="{00000000-0005-0000-0000-0000D4240000}"/>
    <cellStyle name="Followed Hyperlink 2" xfId="28429" hidden="1" xr:uid="{00000000-0005-0000-0000-0000D5240000}"/>
    <cellStyle name="Followed Hyperlink 2" xfId="28427" hidden="1" xr:uid="{00000000-0005-0000-0000-0000D6240000}"/>
    <cellStyle name="Followed Hyperlink 2" xfId="28428" hidden="1" xr:uid="{00000000-0005-0000-0000-0000D7240000}"/>
    <cellStyle name="Followed Hyperlink 2" xfId="28438" hidden="1" xr:uid="{00000000-0005-0000-0000-0000D8240000}"/>
    <cellStyle name="Followed Hyperlink 2" xfId="28441" hidden="1" xr:uid="{00000000-0005-0000-0000-0000D9240000}"/>
    <cellStyle name="Followed Hyperlink 2" xfId="28444" hidden="1" xr:uid="{00000000-0005-0000-0000-0000DA240000}"/>
    <cellStyle name="Followed Hyperlink 2" xfId="28448" hidden="1" xr:uid="{00000000-0005-0000-0000-0000DB240000}"/>
    <cellStyle name="Followed Hyperlink 2" xfId="28325" hidden="1" xr:uid="{00000000-0005-0000-0000-0000DC240000}"/>
    <cellStyle name="Followed Hyperlink 2" xfId="28329" hidden="1" xr:uid="{00000000-0005-0000-0000-0000DD240000}"/>
    <cellStyle name="Followed Hyperlink 2" xfId="28324" hidden="1" xr:uid="{00000000-0005-0000-0000-0000DE240000}"/>
    <cellStyle name="Followed Hyperlink 2" xfId="28330" hidden="1" xr:uid="{00000000-0005-0000-0000-0000DF240000}"/>
    <cellStyle name="Followed Hyperlink 2" xfId="28451" hidden="1" xr:uid="{00000000-0005-0000-0000-0000E0240000}"/>
    <cellStyle name="Followed Hyperlink 2" xfId="28454" hidden="1" xr:uid="{00000000-0005-0000-0000-0000E1240000}"/>
    <cellStyle name="Followed Hyperlink 2" xfId="28457" hidden="1" xr:uid="{00000000-0005-0000-0000-0000E2240000}"/>
    <cellStyle name="Followed Hyperlink 2" xfId="28461" hidden="1" xr:uid="{00000000-0005-0000-0000-0000E3240000}"/>
    <cellStyle name="Followed Hyperlink 2" xfId="28469" hidden="1" xr:uid="{00000000-0005-0000-0000-0000E4240000}"/>
    <cellStyle name="Followed Hyperlink 2" xfId="28466" hidden="1" xr:uid="{00000000-0005-0000-0000-0000E5240000}"/>
    <cellStyle name="Followed Hyperlink 2" xfId="28464" hidden="1" xr:uid="{00000000-0005-0000-0000-0000E6240000}"/>
    <cellStyle name="Followed Hyperlink 2" xfId="28465" hidden="1" xr:uid="{00000000-0005-0000-0000-0000E7240000}"/>
    <cellStyle name="Followed Hyperlink 2" xfId="28475" hidden="1" xr:uid="{00000000-0005-0000-0000-0000E8240000}"/>
    <cellStyle name="Followed Hyperlink 2" xfId="28478" hidden="1" xr:uid="{00000000-0005-0000-0000-0000E9240000}"/>
    <cellStyle name="Followed Hyperlink 2" xfId="28481" hidden="1" xr:uid="{00000000-0005-0000-0000-0000EA240000}"/>
    <cellStyle name="Followed Hyperlink 2" xfId="28485" hidden="1" xr:uid="{00000000-0005-0000-0000-0000EB240000}"/>
    <cellStyle name="Followed Hyperlink 2" xfId="28494" hidden="1" xr:uid="{00000000-0005-0000-0000-0000EC240000}"/>
    <cellStyle name="Followed Hyperlink 2" xfId="28491" hidden="1" xr:uid="{00000000-0005-0000-0000-0000ED240000}"/>
    <cellStyle name="Followed Hyperlink 2" xfId="28489" hidden="1" xr:uid="{00000000-0005-0000-0000-0000EE240000}"/>
    <cellStyle name="Followed Hyperlink 2" xfId="28490" hidden="1" xr:uid="{00000000-0005-0000-0000-0000EF240000}"/>
    <cellStyle name="Followed Hyperlink 2" xfId="28500" hidden="1" xr:uid="{00000000-0005-0000-0000-0000F0240000}"/>
    <cellStyle name="Followed Hyperlink 2" xfId="28503" hidden="1" xr:uid="{00000000-0005-0000-0000-0000F1240000}"/>
    <cellStyle name="Followed Hyperlink 2" xfId="28506" hidden="1" xr:uid="{00000000-0005-0000-0000-0000F2240000}"/>
    <cellStyle name="Followed Hyperlink 2" xfId="28510" hidden="1" xr:uid="{00000000-0005-0000-0000-0000F3240000}"/>
    <cellStyle name="Followed Hyperlink 2" xfId="28518" hidden="1" xr:uid="{00000000-0005-0000-0000-0000F4240000}"/>
    <cellStyle name="Followed Hyperlink 2" xfId="28515" hidden="1" xr:uid="{00000000-0005-0000-0000-0000F5240000}"/>
    <cellStyle name="Followed Hyperlink 2" xfId="28513" hidden="1" xr:uid="{00000000-0005-0000-0000-0000F6240000}"/>
    <cellStyle name="Followed Hyperlink 2" xfId="28514" hidden="1" xr:uid="{00000000-0005-0000-0000-0000F7240000}"/>
    <cellStyle name="Followed Hyperlink 2" xfId="28524" hidden="1" xr:uid="{00000000-0005-0000-0000-0000F8240000}"/>
    <cellStyle name="Followed Hyperlink 2" xfId="28527" hidden="1" xr:uid="{00000000-0005-0000-0000-0000F9240000}"/>
    <cellStyle name="Followed Hyperlink 2" xfId="28530" hidden="1" xr:uid="{00000000-0005-0000-0000-0000FA240000}"/>
    <cellStyle name="Followed Hyperlink 2" xfId="28534" hidden="1" xr:uid="{00000000-0005-0000-0000-0000FB240000}"/>
    <cellStyle name="Followed Hyperlink 2" xfId="28343" hidden="1" xr:uid="{00000000-0005-0000-0000-0000FC240000}"/>
    <cellStyle name="Followed Hyperlink 2" xfId="28340" hidden="1" xr:uid="{00000000-0005-0000-0000-0000FD240000}"/>
    <cellStyle name="Followed Hyperlink 2" xfId="28334" hidden="1" xr:uid="{00000000-0005-0000-0000-0000FE240000}"/>
    <cellStyle name="Followed Hyperlink 2" xfId="28339" hidden="1" xr:uid="{00000000-0005-0000-0000-0000FF240000}"/>
    <cellStyle name="Followed Hyperlink 2" xfId="28537" hidden="1" xr:uid="{00000000-0005-0000-0000-000000250000}"/>
    <cellStyle name="Followed Hyperlink 2" xfId="28540" hidden="1" xr:uid="{00000000-0005-0000-0000-000001250000}"/>
    <cellStyle name="Followed Hyperlink 2" xfId="28543" hidden="1" xr:uid="{00000000-0005-0000-0000-000002250000}"/>
    <cellStyle name="Followed Hyperlink 2" xfId="28547" hidden="1" xr:uid="{00000000-0005-0000-0000-000003250000}"/>
    <cellStyle name="Followed Hyperlink 2" xfId="28555" hidden="1" xr:uid="{00000000-0005-0000-0000-000004250000}"/>
    <cellStyle name="Followed Hyperlink 2" xfId="28552" hidden="1" xr:uid="{00000000-0005-0000-0000-000005250000}"/>
    <cellStyle name="Followed Hyperlink 2" xfId="28550" hidden="1" xr:uid="{00000000-0005-0000-0000-000006250000}"/>
    <cellStyle name="Followed Hyperlink 2" xfId="28551" hidden="1" xr:uid="{00000000-0005-0000-0000-000007250000}"/>
    <cellStyle name="Followed Hyperlink 2" xfId="28561" hidden="1" xr:uid="{00000000-0005-0000-0000-000008250000}"/>
    <cellStyle name="Followed Hyperlink 2" xfId="28564" hidden="1" xr:uid="{00000000-0005-0000-0000-000009250000}"/>
    <cellStyle name="Followed Hyperlink 2" xfId="28567" hidden="1" xr:uid="{00000000-0005-0000-0000-00000A250000}"/>
    <cellStyle name="Followed Hyperlink 2" xfId="28571" hidden="1" xr:uid="{00000000-0005-0000-0000-00000B250000}"/>
    <cellStyle name="Followed Hyperlink 2" xfId="28580" hidden="1" xr:uid="{00000000-0005-0000-0000-00000C250000}"/>
    <cellStyle name="Followed Hyperlink 2" xfId="28577" hidden="1" xr:uid="{00000000-0005-0000-0000-00000D250000}"/>
    <cellStyle name="Followed Hyperlink 2" xfId="28575" hidden="1" xr:uid="{00000000-0005-0000-0000-00000E250000}"/>
    <cellStyle name="Followed Hyperlink 2" xfId="28576" hidden="1" xr:uid="{00000000-0005-0000-0000-00000F250000}"/>
    <cellStyle name="Followed Hyperlink 2" xfId="28586" hidden="1" xr:uid="{00000000-0005-0000-0000-000010250000}"/>
    <cellStyle name="Followed Hyperlink 2" xfId="28589" hidden="1" xr:uid="{00000000-0005-0000-0000-000011250000}"/>
    <cellStyle name="Followed Hyperlink 2" xfId="28592" hidden="1" xr:uid="{00000000-0005-0000-0000-000012250000}"/>
    <cellStyle name="Followed Hyperlink 2" xfId="28596" hidden="1" xr:uid="{00000000-0005-0000-0000-000013250000}"/>
    <cellStyle name="Followed Hyperlink 2" xfId="28604" hidden="1" xr:uid="{00000000-0005-0000-0000-000014250000}"/>
    <cellStyle name="Followed Hyperlink 2" xfId="28601" hidden="1" xr:uid="{00000000-0005-0000-0000-000015250000}"/>
    <cellStyle name="Followed Hyperlink 2" xfId="28599" hidden="1" xr:uid="{00000000-0005-0000-0000-000016250000}"/>
    <cellStyle name="Followed Hyperlink 2" xfId="28600" hidden="1" xr:uid="{00000000-0005-0000-0000-000017250000}"/>
    <cellStyle name="Followed Hyperlink 2" xfId="28610" hidden="1" xr:uid="{00000000-0005-0000-0000-000018250000}"/>
    <cellStyle name="Followed Hyperlink 2" xfId="28613" hidden="1" xr:uid="{00000000-0005-0000-0000-000019250000}"/>
    <cellStyle name="Followed Hyperlink 2" xfId="28616" hidden="1" xr:uid="{00000000-0005-0000-0000-00001A250000}"/>
    <cellStyle name="Followed Hyperlink 2" xfId="28620" hidden="1" xr:uid="{00000000-0005-0000-0000-00001B250000}"/>
    <cellStyle name="Followed Hyperlink 2" xfId="28351" hidden="1" xr:uid="{00000000-0005-0000-0000-00001C250000}"/>
    <cellStyle name="Followed Hyperlink 2" xfId="28347" hidden="1" xr:uid="{00000000-0005-0000-0000-00001D250000}"/>
    <cellStyle name="Followed Hyperlink 2" xfId="28348" hidden="1" xr:uid="{00000000-0005-0000-0000-00001E250000}"/>
    <cellStyle name="Followed Hyperlink 2" xfId="28335" hidden="1" xr:uid="{00000000-0005-0000-0000-00001F250000}"/>
    <cellStyle name="Followed Hyperlink 2" xfId="28623" hidden="1" xr:uid="{00000000-0005-0000-0000-000020250000}"/>
    <cellStyle name="Followed Hyperlink 2" xfId="28626" hidden="1" xr:uid="{00000000-0005-0000-0000-000021250000}"/>
    <cellStyle name="Followed Hyperlink 2" xfId="28629" hidden="1" xr:uid="{00000000-0005-0000-0000-000022250000}"/>
    <cellStyle name="Followed Hyperlink 2" xfId="28633" hidden="1" xr:uid="{00000000-0005-0000-0000-000023250000}"/>
    <cellStyle name="Followed Hyperlink 2" xfId="28641" hidden="1" xr:uid="{00000000-0005-0000-0000-000024250000}"/>
    <cellStyle name="Followed Hyperlink 2" xfId="28638" hidden="1" xr:uid="{00000000-0005-0000-0000-000025250000}"/>
    <cellStyle name="Followed Hyperlink 2" xfId="28636" hidden="1" xr:uid="{00000000-0005-0000-0000-000026250000}"/>
    <cellStyle name="Followed Hyperlink 2" xfId="28637" hidden="1" xr:uid="{00000000-0005-0000-0000-000027250000}"/>
    <cellStyle name="Followed Hyperlink 2" xfId="28647" hidden="1" xr:uid="{00000000-0005-0000-0000-000028250000}"/>
    <cellStyle name="Followed Hyperlink 2" xfId="28650" hidden="1" xr:uid="{00000000-0005-0000-0000-000029250000}"/>
    <cellStyle name="Followed Hyperlink 2" xfId="28653" hidden="1" xr:uid="{00000000-0005-0000-0000-00002A250000}"/>
    <cellStyle name="Followed Hyperlink 2" xfId="28657" hidden="1" xr:uid="{00000000-0005-0000-0000-00002B250000}"/>
    <cellStyle name="Followed Hyperlink 2" xfId="28665" hidden="1" xr:uid="{00000000-0005-0000-0000-00002C250000}"/>
    <cellStyle name="Followed Hyperlink 2" xfId="28662" hidden="1" xr:uid="{00000000-0005-0000-0000-00002D250000}"/>
    <cellStyle name="Followed Hyperlink 2" xfId="28660" hidden="1" xr:uid="{00000000-0005-0000-0000-00002E250000}"/>
    <cellStyle name="Followed Hyperlink 2" xfId="28661" hidden="1" xr:uid="{00000000-0005-0000-0000-00002F250000}"/>
    <cellStyle name="Followed Hyperlink 2" xfId="28671" hidden="1" xr:uid="{00000000-0005-0000-0000-000030250000}"/>
    <cellStyle name="Followed Hyperlink 2" xfId="28674" hidden="1" xr:uid="{00000000-0005-0000-0000-000031250000}"/>
    <cellStyle name="Followed Hyperlink 2" xfId="28677" hidden="1" xr:uid="{00000000-0005-0000-0000-000032250000}"/>
    <cellStyle name="Followed Hyperlink 2" xfId="28681" hidden="1" xr:uid="{00000000-0005-0000-0000-000033250000}"/>
    <cellStyle name="Followed Hyperlink 2" xfId="28689" hidden="1" xr:uid="{00000000-0005-0000-0000-000034250000}"/>
    <cellStyle name="Followed Hyperlink 2" xfId="28686" hidden="1" xr:uid="{00000000-0005-0000-0000-000035250000}"/>
    <cellStyle name="Followed Hyperlink 2" xfId="28684" hidden="1" xr:uid="{00000000-0005-0000-0000-000036250000}"/>
    <cellStyle name="Followed Hyperlink 2" xfId="28685" hidden="1" xr:uid="{00000000-0005-0000-0000-000037250000}"/>
    <cellStyle name="Followed Hyperlink 2" xfId="28695" hidden="1" xr:uid="{00000000-0005-0000-0000-000038250000}"/>
    <cellStyle name="Followed Hyperlink 2" xfId="28698" hidden="1" xr:uid="{00000000-0005-0000-0000-000039250000}"/>
    <cellStyle name="Followed Hyperlink 2" xfId="28701" hidden="1" xr:uid="{00000000-0005-0000-0000-00003A250000}"/>
    <cellStyle name="Followed Hyperlink 2" xfId="28705" hidden="1" xr:uid="{00000000-0005-0000-0000-00003B250000}"/>
    <cellStyle name="Followed Hyperlink 2" xfId="27284" hidden="1" xr:uid="{00000000-0005-0000-0000-00003C250000}"/>
    <cellStyle name="Followed Hyperlink 2" xfId="27280" hidden="1" xr:uid="{00000000-0005-0000-0000-00003D250000}"/>
    <cellStyle name="Followed Hyperlink 2" xfId="27281" hidden="1" xr:uid="{00000000-0005-0000-0000-00003E250000}"/>
    <cellStyle name="Followed Hyperlink 2" xfId="27268" hidden="1" xr:uid="{00000000-0005-0000-0000-00003F250000}"/>
    <cellStyle name="Followed Hyperlink 2" xfId="28708" hidden="1" xr:uid="{00000000-0005-0000-0000-000040250000}"/>
    <cellStyle name="Followed Hyperlink 2" xfId="28711" hidden="1" xr:uid="{00000000-0005-0000-0000-000041250000}"/>
    <cellStyle name="Followed Hyperlink 2" xfId="28714" hidden="1" xr:uid="{00000000-0005-0000-0000-000042250000}"/>
    <cellStyle name="Followed Hyperlink 2" xfId="28718" hidden="1" xr:uid="{00000000-0005-0000-0000-000043250000}"/>
    <cellStyle name="Followed Hyperlink 2" xfId="28726" hidden="1" xr:uid="{00000000-0005-0000-0000-000044250000}"/>
    <cellStyle name="Followed Hyperlink 2" xfId="28723" hidden="1" xr:uid="{00000000-0005-0000-0000-000045250000}"/>
    <cellStyle name="Followed Hyperlink 2" xfId="28721" hidden="1" xr:uid="{00000000-0005-0000-0000-000046250000}"/>
    <cellStyle name="Followed Hyperlink 2" xfId="28722" hidden="1" xr:uid="{00000000-0005-0000-0000-000047250000}"/>
    <cellStyle name="Followed Hyperlink 2" xfId="28732" hidden="1" xr:uid="{00000000-0005-0000-0000-000048250000}"/>
    <cellStyle name="Followed Hyperlink 2" xfId="28735" hidden="1" xr:uid="{00000000-0005-0000-0000-000049250000}"/>
    <cellStyle name="Followed Hyperlink 2" xfId="28738" hidden="1" xr:uid="{00000000-0005-0000-0000-00004A250000}"/>
    <cellStyle name="Followed Hyperlink 2" xfId="28742" hidden="1" xr:uid="{00000000-0005-0000-0000-00004B250000}"/>
    <cellStyle name="Followed Hyperlink 2" xfId="28750" hidden="1" xr:uid="{00000000-0005-0000-0000-00004C250000}"/>
    <cellStyle name="Followed Hyperlink 2" xfId="28747" hidden="1" xr:uid="{00000000-0005-0000-0000-00004D250000}"/>
    <cellStyle name="Followed Hyperlink 2" xfId="28745" hidden="1" xr:uid="{00000000-0005-0000-0000-00004E250000}"/>
    <cellStyle name="Followed Hyperlink 2" xfId="28746" hidden="1" xr:uid="{00000000-0005-0000-0000-00004F250000}"/>
    <cellStyle name="Followed Hyperlink 2" xfId="28756" hidden="1" xr:uid="{00000000-0005-0000-0000-000050250000}"/>
    <cellStyle name="Followed Hyperlink 2" xfId="28759" hidden="1" xr:uid="{00000000-0005-0000-0000-000051250000}"/>
    <cellStyle name="Followed Hyperlink 2" xfId="28762" hidden="1" xr:uid="{00000000-0005-0000-0000-000052250000}"/>
    <cellStyle name="Followed Hyperlink 2" xfId="28766" hidden="1" xr:uid="{00000000-0005-0000-0000-000053250000}"/>
    <cellStyle name="Followed Hyperlink 2" xfId="28774" hidden="1" xr:uid="{00000000-0005-0000-0000-000054250000}"/>
    <cellStyle name="Followed Hyperlink 2" xfId="28771" hidden="1" xr:uid="{00000000-0005-0000-0000-000055250000}"/>
    <cellStyle name="Followed Hyperlink 2" xfId="28769" hidden="1" xr:uid="{00000000-0005-0000-0000-000056250000}"/>
    <cellStyle name="Followed Hyperlink 2" xfId="28770" hidden="1" xr:uid="{00000000-0005-0000-0000-000057250000}"/>
    <cellStyle name="Followed Hyperlink 2" xfId="28780" hidden="1" xr:uid="{00000000-0005-0000-0000-000058250000}"/>
    <cellStyle name="Followed Hyperlink 2" xfId="28783" hidden="1" xr:uid="{00000000-0005-0000-0000-000059250000}"/>
    <cellStyle name="Followed Hyperlink 2" xfId="28786" hidden="1" xr:uid="{00000000-0005-0000-0000-00005A250000}"/>
    <cellStyle name="Followed Hyperlink 2" xfId="28790" hidden="1" xr:uid="{00000000-0005-0000-0000-00005B250000}"/>
    <cellStyle name="Followed Hyperlink 2" xfId="28827" hidden="1" xr:uid="{00000000-0005-0000-0000-00005C250000}"/>
    <cellStyle name="Followed Hyperlink 2" xfId="28824" hidden="1" xr:uid="{00000000-0005-0000-0000-00005D250000}"/>
    <cellStyle name="Followed Hyperlink 2" xfId="28822" hidden="1" xr:uid="{00000000-0005-0000-0000-00005E250000}"/>
    <cellStyle name="Followed Hyperlink 2" xfId="28823" hidden="1" xr:uid="{00000000-0005-0000-0000-00005F250000}"/>
    <cellStyle name="Followed Hyperlink 2" xfId="28833" hidden="1" xr:uid="{00000000-0005-0000-0000-000060250000}"/>
    <cellStyle name="Followed Hyperlink 2" xfId="28836" hidden="1" xr:uid="{00000000-0005-0000-0000-000061250000}"/>
    <cellStyle name="Followed Hyperlink 2" xfId="28839" hidden="1" xr:uid="{00000000-0005-0000-0000-000062250000}"/>
    <cellStyle name="Followed Hyperlink 2" xfId="28843" hidden="1" xr:uid="{00000000-0005-0000-0000-000063250000}"/>
    <cellStyle name="Followed Hyperlink 2" xfId="28851" hidden="1" xr:uid="{00000000-0005-0000-0000-000064250000}"/>
    <cellStyle name="Followed Hyperlink 2" xfId="28848" hidden="1" xr:uid="{00000000-0005-0000-0000-000065250000}"/>
    <cellStyle name="Followed Hyperlink 2" xfId="28846" hidden="1" xr:uid="{00000000-0005-0000-0000-000066250000}"/>
    <cellStyle name="Followed Hyperlink 2" xfId="28847" hidden="1" xr:uid="{00000000-0005-0000-0000-000067250000}"/>
    <cellStyle name="Followed Hyperlink 2" xfId="28857" hidden="1" xr:uid="{00000000-0005-0000-0000-000068250000}"/>
    <cellStyle name="Followed Hyperlink 2" xfId="28860" hidden="1" xr:uid="{00000000-0005-0000-0000-000069250000}"/>
    <cellStyle name="Followed Hyperlink 2" xfId="28863" hidden="1" xr:uid="{00000000-0005-0000-0000-00006A250000}"/>
    <cellStyle name="Followed Hyperlink 2" xfId="28867" hidden="1" xr:uid="{00000000-0005-0000-0000-00006B250000}"/>
    <cellStyle name="Followed Hyperlink 2" xfId="28877" hidden="1" xr:uid="{00000000-0005-0000-0000-00006C250000}"/>
    <cellStyle name="Followed Hyperlink 2" xfId="28874" hidden="1" xr:uid="{00000000-0005-0000-0000-00006D250000}"/>
    <cellStyle name="Followed Hyperlink 2" xfId="28872" hidden="1" xr:uid="{00000000-0005-0000-0000-00006E250000}"/>
    <cellStyle name="Followed Hyperlink 2" xfId="28873" hidden="1" xr:uid="{00000000-0005-0000-0000-00006F250000}"/>
    <cellStyle name="Followed Hyperlink 2" xfId="28883" hidden="1" xr:uid="{00000000-0005-0000-0000-000070250000}"/>
    <cellStyle name="Followed Hyperlink 2" xfId="28886" hidden="1" xr:uid="{00000000-0005-0000-0000-000071250000}"/>
    <cellStyle name="Followed Hyperlink 2" xfId="28889" hidden="1" xr:uid="{00000000-0005-0000-0000-000072250000}"/>
    <cellStyle name="Followed Hyperlink 2" xfId="28893" hidden="1" xr:uid="{00000000-0005-0000-0000-000073250000}"/>
    <cellStyle name="Followed Hyperlink 2" xfId="28901" hidden="1" xr:uid="{00000000-0005-0000-0000-000074250000}"/>
    <cellStyle name="Followed Hyperlink 2" xfId="28898" hidden="1" xr:uid="{00000000-0005-0000-0000-000075250000}"/>
    <cellStyle name="Followed Hyperlink 2" xfId="28896" hidden="1" xr:uid="{00000000-0005-0000-0000-000076250000}"/>
    <cellStyle name="Followed Hyperlink 2" xfId="28897" hidden="1" xr:uid="{00000000-0005-0000-0000-000077250000}"/>
    <cellStyle name="Followed Hyperlink 2" xfId="28907" hidden="1" xr:uid="{00000000-0005-0000-0000-000078250000}"/>
    <cellStyle name="Followed Hyperlink 2" xfId="28910" hidden="1" xr:uid="{00000000-0005-0000-0000-000079250000}"/>
    <cellStyle name="Followed Hyperlink 2" xfId="28913" hidden="1" xr:uid="{00000000-0005-0000-0000-00007A250000}"/>
    <cellStyle name="Followed Hyperlink 2" xfId="28917" hidden="1" xr:uid="{00000000-0005-0000-0000-00007B250000}"/>
    <cellStyle name="Followed Hyperlink 2" xfId="28794" hidden="1" xr:uid="{00000000-0005-0000-0000-00007C250000}"/>
    <cellStyle name="Followed Hyperlink 2" xfId="28798" hidden="1" xr:uid="{00000000-0005-0000-0000-00007D250000}"/>
    <cellStyle name="Followed Hyperlink 2" xfId="28793" hidden="1" xr:uid="{00000000-0005-0000-0000-00007E250000}"/>
    <cellStyle name="Followed Hyperlink 2" xfId="28799" hidden="1" xr:uid="{00000000-0005-0000-0000-00007F250000}"/>
    <cellStyle name="Followed Hyperlink 2" xfId="28920" hidden="1" xr:uid="{00000000-0005-0000-0000-000080250000}"/>
    <cellStyle name="Followed Hyperlink 2" xfId="28923" hidden="1" xr:uid="{00000000-0005-0000-0000-000081250000}"/>
    <cellStyle name="Followed Hyperlink 2" xfId="28926" hidden="1" xr:uid="{00000000-0005-0000-0000-000082250000}"/>
    <cellStyle name="Followed Hyperlink 2" xfId="28930" hidden="1" xr:uid="{00000000-0005-0000-0000-000083250000}"/>
    <cellStyle name="Followed Hyperlink 2" xfId="28938" hidden="1" xr:uid="{00000000-0005-0000-0000-000084250000}"/>
    <cellStyle name="Followed Hyperlink 2" xfId="28935" hidden="1" xr:uid="{00000000-0005-0000-0000-000085250000}"/>
    <cellStyle name="Followed Hyperlink 2" xfId="28933" hidden="1" xr:uid="{00000000-0005-0000-0000-000086250000}"/>
    <cellStyle name="Followed Hyperlink 2" xfId="28934" hidden="1" xr:uid="{00000000-0005-0000-0000-000087250000}"/>
    <cellStyle name="Followed Hyperlink 2" xfId="28944" hidden="1" xr:uid="{00000000-0005-0000-0000-000088250000}"/>
    <cellStyle name="Followed Hyperlink 2" xfId="28947" hidden="1" xr:uid="{00000000-0005-0000-0000-000089250000}"/>
    <cellStyle name="Followed Hyperlink 2" xfId="28950" hidden="1" xr:uid="{00000000-0005-0000-0000-00008A250000}"/>
    <cellStyle name="Followed Hyperlink 2" xfId="28954" hidden="1" xr:uid="{00000000-0005-0000-0000-00008B250000}"/>
    <cellStyle name="Followed Hyperlink 2" xfId="28963" hidden="1" xr:uid="{00000000-0005-0000-0000-00008C250000}"/>
    <cellStyle name="Followed Hyperlink 2" xfId="28960" hidden="1" xr:uid="{00000000-0005-0000-0000-00008D250000}"/>
    <cellStyle name="Followed Hyperlink 2" xfId="28958" hidden="1" xr:uid="{00000000-0005-0000-0000-00008E250000}"/>
    <cellStyle name="Followed Hyperlink 2" xfId="28959" hidden="1" xr:uid="{00000000-0005-0000-0000-00008F250000}"/>
    <cellStyle name="Followed Hyperlink 2" xfId="28969" hidden="1" xr:uid="{00000000-0005-0000-0000-000090250000}"/>
    <cellStyle name="Followed Hyperlink 2" xfId="28972" hidden="1" xr:uid="{00000000-0005-0000-0000-000091250000}"/>
    <cellStyle name="Followed Hyperlink 2" xfId="28975" hidden="1" xr:uid="{00000000-0005-0000-0000-000092250000}"/>
    <cellStyle name="Followed Hyperlink 2" xfId="28979" hidden="1" xr:uid="{00000000-0005-0000-0000-000093250000}"/>
    <cellStyle name="Followed Hyperlink 2" xfId="28987" hidden="1" xr:uid="{00000000-0005-0000-0000-000094250000}"/>
    <cellStyle name="Followed Hyperlink 2" xfId="28984" hidden="1" xr:uid="{00000000-0005-0000-0000-000095250000}"/>
    <cellStyle name="Followed Hyperlink 2" xfId="28982" hidden="1" xr:uid="{00000000-0005-0000-0000-000096250000}"/>
    <cellStyle name="Followed Hyperlink 2" xfId="28983" hidden="1" xr:uid="{00000000-0005-0000-0000-000097250000}"/>
    <cellStyle name="Followed Hyperlink 2" xfId="28993" hidden="1" xr:uid="{00000000-0005-0000-0000-000098250000}"/>
    <cellStyle name="Followed Hyperlink 2" xfId="28996" hidden="1" xr:uid="{00000000-0005-0000-0000-000099250000}"/>
    <cellStyle name="Followed Hyperlink 2" xfId="28999" hidden="1" xr:uid="{00000000-0005-0000-0000-00009A250000}"/>
    <cellStyle name="Followed Hyperlink 2" xfId="29003" hidden="1" xr:uid="{00000000-0005-0000-0000-00009B250000}"/>
    <cellStyle name="Followed Hyperlink 2" xfId="28812" hidden="1" xr:uid="{00000000-0005-0000-0000-00009C250000}"/>
    <cellStyle name="Followed Hyperlink 2" xfId="28809" hidden="1" xr:uid="{00000000-0005-0000-0000-00009D250000}"/>
    <cellStyle name="Followed Hyperlink 2" xfId="28803" hidden="1" xr:uid="{00000000-0005-0000-0000-00009E250000}"/>
    <cellStyle name="Followed Hyperlink 2" xfId="28808" hidden="1" xr:uid="{00000000-0005-0000-0000-00009F250000}"/>
    <cellStyle name="Followed Hyperlink 2" xfId="29006" hidden="1" xr:uid="{00000000-0005-0000-0000-0000A0250000}"/>
    <cellStyle name="Followed Hyperlink 2" xfId="29009" hidden="1" xr:uid="{00000000-0005-0000-0000-0000A1250000}"/>
    <cellStyle name="Followed Hyperlink 2" xfId="29012" hidden="1" xr:uid="{00000000-0005-0000-0000-0000A2250000}"/>
    <cellStyle name="Followed Hyperlink 2" xfId="29016" hidden="1" xr:uid="{00000000-0005-0000-0000-0000A3250000}"/>
    <cellStyle name="Followed Hyperlink 2" xfId="29024" hidden="1" xr:uid="{00000000-0005-0000-0000-0000A4250000}"/>
    <cellStyle name="Followed Hyperlink 2" xfId="29021" hidden="1" xr:uid="{00000000-0005-0000-0000-0000A5250000}"/>
    <cellStyle name="Followed Hyperlink 2" xfId="29019" hidden="1" xr:uid="{00000000-0005-0000-0000-0000A6250000}"/>
    <cellStyle name="Followed Hyperlink 2" xfId="29020" hidden="1" xr:uid="{00000000-0005-0000-0000-0000A7250000}"/>
    <cellStyle name="Followed Hyperlink 2" xfId="29030" hidden="1" xr:uid="{00000000-0005-0000-0000-0000A8250000}"/>
    <cellStyle name="Followed Hyperlink 2" xfId="29033" hidden="1" xr:uid="{00000000-0005-0000-0000-0000A9250000}"/>
    <cellStyle name="Followed Hyperlink 2" xfId="29036" hidden="1" xr:uid="{00000000-0005-0000-0000-0000AA250000}"/>
    <cellStyle name="Followed Hyperlink 2" xfId="29040" hidden="1" xr:uid="{00000000-0005-0000-0000-0000AB250000}"/>
    <cellStyle name="Followed Hyperlink 2" xfId="29049" hidden="1" xr:uid="{00000000-0005-0000-0000-0000AC250000}"/>
    <cellStyle name="Followed Hyperlink 2" xfId="29046" hidden="1" xr:uid="{00000000-0005-0000-0000-0000AD250000}"/>
    <cellStyle name="Followed Hyperlink 2" xfId="29044" hidden="1" xr:uid="{00000000-0005-0000-0000-0000AE250000}"/>
    <cellStyle name="Followed Hyperlink 2" xfId="29045" hidden="1" xr:uid="{00000000-0005-0000-0000-0000AF250000}"/>
    <cellStyle name="Followed Hyperlink 2" xfId="29055" hidden="1" xr:uid="{00000000-0005-0000-0000-0000B0250000}"/>
    <cellStyle name="Followed Hyperlink 2" xfId="29058" hidden="1" xr:uid="{00000000-0005-0000-0000-0000B1250000}"/>
    <cellStyle name="Followed Hyperlink 2" xfId="29061" hidden="1" xr:uid="{00000000-0005-0000-0000-0000B2250000}"/>
    <cellStyle name="Followed Hyperlink 2" xfId="29065" hidden="1" xr:uid="{00000000-0005-0000-0000-0000B3250000}"/>
    <cellStyle name="Followed Hyperlink 2" xfId="29073" hidden="1" xr:uid="{00000000-0005-0000-0000-0000B4250000}"/>
    <cellStyle name="Followed Hyperlink 2" xfId="29070" hidden="1" xr:uid="{00000000-0005-0000-0000-0000B5250000}"/>
    <cellStyle name="Followed Hyperlink 2" xfId="29068" hidden="1" xr:uid="{00000000-0005-0000-0000-0000B6250000}"/>
    <cellStyle name="Followed Hyperlink 2" xfId="29069" hidden="1" xr:uid="{00000000-0005-0000-0000-0000B7250000}"/>
    <cellStyle name="Followed Hyperlink 2" xfId="29079" hidden="1" xr:uid="{00000000-0005-0000-0000-0000B8250000}"/>
    <cellStyle name="Followed Hyperlink 2" xfId="29082" hidden="1" xr:uid="{00000000-0005-0000-0000-0000B9250000}"/>
    <cellStyle name="Followed Hyperlink 2" xfId="29085" hidden="1" xr:uid="{00000000-0005-0000-0000-0000BA250000}"/>
    <cellStyle name="Followed Hyperlink 2" xfId="29089" hidden="1" xr:uid="{00000000-0005-0000-0000-0000BB250000}"/>
    <cellStyle name="Followed Hyperlink 2" xfId="28820" hidden="1" xr:uid="{00000000-0005-0000-0000-0000BC250000}"/>
    <cellStyle name="Followed Hyperlink 2" xfId="28816" hidden="1" xr:uid="{00000000-0005-0000-0000-0000BD250000}"/>
    <cellStyle name="Followed Hyperlink 2" xfId="28817" hidden="1" xr:uid="{00000000-0005-0000-0000-0000BE250000}"/>
    <cellStyle name="Followed Hyperlink 2" xfId="28804" hidden="1" xr:uid="{00000000-0005-0000-0000-0000BF250000}"/>
    <cellStyle name="Followed Hyperlink 2" xfId="29092" hidden="1" xr:uid="{00000000-0005-0000-0000-0000C0250000}"/>
    <cellStyle name="Followed Hyperlink 2" xfId="29095" hidden="1" xr:uid="{00000000-0005-0000-0000-0000C1250000}"/>
    <cellStyle name="Followed Hyperlink 2" xfId="29098" hidden="1" xr:uid="{00000000-0005-0000-0000-0000C2250000}"/>
    <cellStyle name="Followed Hyperlink 2" xfId="29102" hidden="1" xr:uid="{00000000-0005-0000-0000-0000C3250000}"/>
    <cellStyle name="Followed Hyperlink 2" xfId="29110" hidden="1" xr:uid="{00000000-0005-0000-0000-0000C4250000}"/>
    <cellStyle name="Followed Hyperlink 2" xfId="29107" hidden="1" xr:uid="{00000000-0005-0000-0000-0000C5250000}"/>
    <cellStyle name="Followed Hyperlink 2" xfId="29105" hidden="1" xr:uid="{00000000-0005-0000-0000-0000C6250000}"/>
    <cellStyle name="Followed Hyperlink 2" xfId="29106" hidden="1" xr:uid="{00000000-0005-0000-0000-0000C7250000}"/>
    <cellStyle name="Followed Hyperlink 2" xfId="29116" hidden="1" xr:uid="{00000000-0005-0000-0000-0000C8250000}"/>
    <cellStyle name="Followed Hyperlink 2" xfId="29119" hidden="1" xr:uid="{00000000-0005-0000-0000-0000C9250000}"/>
    <cellStyle name="Followed Hyperlink 2" xfId="29122" hidden="1" xr:uid="{00000000-0005-0000-0000-0000CA250000}"/>
    <cellStyle name="Followed Hyperlink 2" xfId="29126" hidden="1" xr:uid="{00000000-0005-0000-0000-0000CB250000}"/>
    <cellStyle name="Followed Hyperlink 2" xfId="29134" hidden="1" xr:uid="{00000000-0005-0000-0000-0000CC250000}"/>
    <cellStyle name="Followed Hyperlink 2" xfId="29131" hidden="1" xr:uid="{00000000-0005-0000-0000-0000CD250000}"/>
    <cellStyle name="Followed Hyperlink 2" xfId="29129" hidden="1" xr:uid="{00000000-0005-0000-0000-0000CE250000}"/>
    <cellStyle name="Followed Hyperlink 2" xfId="29130" hidden="1" xr:uid="{00000000-0005-0000-0000-0000CF250000}"/>
    <cellStyle name="Followed Hyperlink 2" xfId="29140" hidden="1" xr:uid="{00000000-0005-0000-0000-0000D0250000}"/>
    <cellStyle name="Followed Hyperlink 2" xfId="29143" hidden="1" xr:uid="{00000000-0005-0000-0000-0000D1250000}"/>
    <cellStyle name="Followed Hyperlink 2" xfId="29146" hidden="1" xr:uid="{00000000-0005-0000-0000-0000D2250000}"/>
    <cellStyle name="Followed Hyperlink 2" xfId="29150" hidden="1" xr:uid="{00000000-0005-0000-0000-0000D3250000}"/>
    <cellStyle name="Followed Hyperlink 2" xfId="29158" hidden="1" xr:uid="{00000000-0005-0000-0000-0000D4250000}"/>
    <cellStyle name="Followed Hyperlink 2" xfId="29155" hidden="1" xr:uid="{00000000-0005-0000-0000-0000D5250000}"/>
    <cellStyle name="Followed Hyperlink 2" xfId="29153" hidden="1" xr:uid="{00000000-0005-0000-0000-0000D6250000}"/>
    <cellStyle name="Followed Hyperlink 2" xfId="29154" hidden="1" xr:uid="{00000000-0005-0000-0000-0000D7250000}"/>
    <cellStyle name="Followed Hyperlink 2" xfId="29164" hidden="1" xr:uid="{00000000-0005-0000-0000-0000D8250000}"/>
    <cellStyle name="Followed Hyperlink 2" xfId="29167" hidden="1" xr:uid="{00000000-0005-0000-0000-0000D9250000}"/>
    <cellStyle name="Followed Hyperlink 2" xfId="29170" hidden="1" xr:uid="{00000000-0005-0000-0000-0000DA250000}"/>
    <cellStyle name="Followed Hyperlink 2" xfId="29174" hidden="1" xr:uid="{00000000-0005-0000-0000-0000DB250000}"/>
    <cellStyle name="Followed Hyperlink 2" xfId="25143" hidden="1" xr:uid="{00000000-0005-0000-0000-0000DC250000}"/>
    <cellStyle name="Followed Hyperlink 2" xfId="25140" hidden="1" xr:uid="{00000000-0005-0000-0000-0000DD250000}"/>
    <cellStyle name="Followed Hyperlink 2" xfId="25134" hidden="1" xr:uid="{00000000-0005-0000-0000-0000DE250000}"/>
    <cellStyle name="Followed Hyperlink 2" xfId="25139" hidden="1" xr:uid="{00000000-0005-0000-0000-0000DF250000}"/>
    <cellStyle name="Followed Hyperlink 2" xfId="29177" hidden="1" xr:uid="{00000000-0005-0000-0000-0000E0250000}"/>
    <cellStyle name="Followed Hyperlink 2" xfId="29180" hidden="1" xr:uid="{00000000-0005-0000-0000-0000E1250000}"/>
    <cellStyle name="Followed Hyperlink 2" xfId="29183" hidden="1" xr:uid="{00000000-0005-0000-0000-0000E2250000}"/>
    <cellStyle name="Followed Hyperlink 2" xfId="29187" hidden="1" xr:uid="{00000000-0005-0000-0000-0000E3250000}"/>
    <cellStyle name="Followed Hyperlink 2" xfId="29195" hidden="1" xr:uid="{00000000-0005-0000-0000-0000E4250000}"/>
    <cellStyle name="Followed Hyperlink 2" xfId="29192" hidden="1" xr:uid="{00000000-0005-0000-0000-0000E5250000}"/>
    <cellStyle name="Followed Hyperlink 2" xfId="29190" hidden="1" xr:uid="{00000000-0005-0000-0000-0000E6250000}"/>
    <cellStyle name="Followed Hyperlink 2" xfId="29191" hidden="1" xr:uid="{00000000-0005-0000-0000-0000E7250000}"/>
    <cellStyle name="Followed Hyperlink 2" xfId="29201" hidden="1" xr:uid="{00000000-0005-0000-0000-0000E8250000}"/>
    <cellStyle name="Followed Hyperlink 2" xfId="29204" hidden="1" xr:uid="{00000000-0005-0000-0000-0000E9250000}"/>
    <cellStyle name="Followed Hyperlink 2" xfId="29207" hidden="1" xr:uid="{00000000-0005-0000-0000-0000EA250000}"/>
    <cellStyle name="Followed Hyperlink 2" xfId="29211" hidden="1" xr:uid="{00000000-0005-0000-0000-0000EB250000}"/>
    <cellStyle name="Followed Hyperlink 2" xfId="29220" hidden="1" xr:uid="{00000000-0005-0000-0000-0000EC250000}"/>
    <cellStyle name="Followed Hyperlink 2" xfId="29217" hidden="1" xr:uid="{00000000-0005-0000-0000-0000ED250000}"/>
    <cellStyle name="Followed Hyperlink 2" xfId="29215" hidden="1" xr:uid="{00000000-0005-0000-0000-0000EE250000}"/>
    <cellStyle name="Followed Hyperlink 2" xfId="29216" hidden="1" xr:uid="{00000000-0005-0000-0000-0000EF250000}"/>
    <cellStyle name="Followed Hyperlink 2" xfId="29226" hidden="1" xr:uid="{00000000-0005-0000-0000-0000F0250000}"/>
    <cellStyle name="Followed Hyperlink 2" xfId="29229" hidden="1" xr:uid="{00000000-0005-0000-0000-0000F1250000}"/>
    <cellStyle name="Followed Hyperlink 2" xfId="29232" hidden="1" xr:uid="{00000000-0005-0000-0000-0000F2250000}"/>
    <cellStyle name="Followed Hyperlink 2" xfId="29236" hidden="1" xr:uid="{00000000-0005-0000-0000-0000F3250000}"/>
    <cellStyle name="Followed Hyperlink 2" xfId="29244" hidden="1" xr:uid="{00000000-0005-0000-0000-0000F4250000}"/>
    <cellStyle name="Followed Hyperlink 2" xfId="29241" hidden="1" xr:uid="{00000000-0005-0000-0000-0000F5250000}"/>
    <cellStyle name="Followed Hyperlink 2" xfId="29239" hidden="1" xr:uid="{00000000-0005-0000-0000-0000F6250000}"/>
    <cellStyle name="Followed Hyperlink 2" xfId="29240" hidden="1" xr:uid="{00000000-0005-0000-0000-0000F7250000}"/>
    <cellStyle name="Followed Hyperlink 2" xfId="29250" hidden="1" xr:uid="{00000000-0005-0000-0000-0000F8250000}"/>
    <cellStyle name="Followed Hyperlink 2" xfId="29253" hidden="1" xr:uid="{00000000-0005-0000-0000-0000F9250000}"/>
    <cellStyle name="Followed Hyperlink 2" xfId="29256" hidden="1" xr:uid="{00000000-0005-0000-0000-0000FA250000}"/>
    <cellStyle name="Followed Hyperlink 2" xfId="29260" hidden="1" xr:uid="{00000000-0005-0000-0000-0000FB250000}"/>
    <cellStyle name="Followed Hyperlink 2" xfId="29297" hidden="1" xr:uid="{00000000-0005-0000-0000-0000FC250000}"/>
    <cellStyle name="Followed Hyperlink 2" xfId="29294" hidden="1" xr:uid="{00000000-0005-0000-0000-0000FD250000}"/>
    <cellStyle name="Followed Hyperlink 2" xfId="29292" hidden="1" xr:uid="{00000000-0005-0000-0000-0000FE250000}"/>
    <cellStyle name="Followed Hyperlink 2" xfId="29293" hidden="1" xr:uid="{00000000-0005-0000-0000-0000FF250000}"/>
    <cellStyle name="Followed Hyperlink 2" xfId="29303" hidden="1" xr:uid="{00000000-0005-0000-0000-000000260000}"/>
    <cellStyle name="Followed Hyperlink 2" xfId="29306" hidden="1" xr:uid="{00000000-0005-0000-0000-000001260000}"/>
    <cellStyle name="Followed Hyperlink 2" xfId="29309" hidden="1" xr:uid="{00000000-0005-0000-0000-000002260000}"/>
    <cellStyle name="Followed Hyperlink 2" xfId="29313" hidden="1" xr:uid="{00000000-0005-0000-0000-000003260000}"/>
    <cellStyle name="Followed Hyperlink 2" xfId="29321" hidden="1" xr:uid="{00000000-0005-0000-0000-000004260000}"/>
    <cellStyle name="Followed Hyperlink 2" xfId="29318" hidden="1" xr:uid="{00000000-0005-0000-0000-000005260000}"/>
    <cellStyle name="Followed Hyperlink 2" xfId="29316" hidden="1" xr:uid="{00000000-0005-0000-0000-000006260000}"/>
    <cellStyle name="Followed Hyperlink 2" xfId="29317" hidden="1" xr:uid="{00000000-0005-0000-0000-000007260000}"/>
    <cellStyle name="Followed Hyperlink 2" xfId="29327" hidden="1" xr:uid="{00000000-0005-0000-0000-000008260000}"/>
    <cellStyle name="Followed Hyperlink 2" xfId="29330" hidden="1" xr:uid="{00000000-0005-0000-0000-000009260000}"/>
    <cellStyle name="Followed Hyperlink 2" xfId="29333" hidden="1" xr:uid="{00000000-0005-0000-0000-00000A260000}"/>
    <cellStyle name="Followed Hyperlink 2" xfId="29337" hidden="1" xr:uid="{00000000-0005-0000-0000-00000B260000}"/>
    <cellStyle name="Followed Hyperlink 2" xfId="29347" hidden="1" xr:uid="{00000000-0005-0000-0000-00000C260000}"/>
    <cellStyle name="Followed Hyperlink 2" xfId="29344" hidden="1" xr:uid="{00000000-0005-0000-0000-00000D260000}"/>
    <cellStyle name="Followed Hyperlink 2" xfId="29342" hidden="1" xr:uid="{00000000-0005-0000-0000-00000E260000}"/>
    <cellStyle name="Followed Hyperlink 2" xfId="29343" hidden="1" xr:uid="{00000000-0005-0000-0000-00000F260000}"/>
    <cellStyle name="Followed Hyperlink 2" xfId="29353" hidden="1" xr:uid="{00000000-0005-0000-0000-000010260000}"/>
    <cellStyle name="Followed Hyperlink 2" xfId="29356" hidden="1" xr:uid="{00000000-0005-0000-0000-000011260000}"/>
    <cellStyle name="Followed Hyperlink 2" xfId="29359" hidden="1" xr:uid="{00000000-0005-0000-0000-000012260000}"/>
    <cellStyle name="Followed Hyperlink 2" xfId="29363" hidden="1" xr:uid="{00000000-0005-0000-0000-000013260000}"/>
    <cellStyle name="Followed Hyperlink 2" xfId="29371" hidden="1" xr:uid="{00000000-0005-0000-0000-000014260000}"/>
    <cellStyle name="Followed Hyperlink 2" xfId="29368" hidden="1" xr:uid="{00000000-0005-0000-0000-000015260000}"/>
    <cellStyle name="Followed Hyperlink 2" xfId="29366" hidden="1" xr:uid="{00000000-0005-0000-0000-000016260000}"/>
    <cellStyle name="Followed Hyperlink 2" xfId="29367" hidden="1" xr:uid="{00000000-0005-0000-0000-000017260000}"/>
    <cellStyle name="Followed Hyperlink 2" xfId="29377" hidden="1" xr:uid="{00000000-0005-0000-0000-000018260000}"/>
    <cellStyle name="Followed Hyperlink 2" xfId="29380" hidden="1" xr:uid="{00000000-0005-0000-0000-000019260000}"/>
    <cellStyle name="Followed Hyperlink 2" xfId="29383" hidden="1" xr:uid="{00000000-0005-0000-0000-00001A260000}"/>
    <cellStyle name="Followed Hyperlink 2" xfId="29387" hidden="1" xr:uid="{00000000-0005-0000-0000-00001B260000}"/>
    <cellStyle name="Followed Hyperlink 2" xfId="29424" hidden="1" xr:uid="{00000000-0005-0000-0000-00001C260000}"/>
    <cellStyle name="Followed Hyperlink 2" xfId="29421" hidden="1" xr:uid="{00000000-0005-0000-0000-00001D260000}"/>
    <cellStyle name="Followed Hyperlink 2" xfId="29419" hidden="1" xr:uid="{00000000-0005-0000-0000-00001E260000}"/>
    <cellStyle name="Followed Hyperlink 2" xfId="29420" hidden="1" xr:uid="{00000000-0005-0000-0000-00001F260000}"/>
    <cellStyle name="Followed Hyperlink 2" xfId="29430" hidden="1" xr:uid="{00000000-0005-0000-0000-000020260000}"/>
    <cellStyle name="Followed Hyperlink 2" xfId="29433" hidden="1" xr:uid="{00000000-0005-0000-0000-000021260000}"/>
    <cellStyle name="Followed Hyperlink 2" xfId="29436" hidden="1" xr:uid="{00000000-0005-0000-0000-000022260000}"/>
    <cellStyle name="Followed Hyperlink 2" xfId="29440" hidden="1" xr:uid="{00000000-0005-0000-0000-000023260000}"/>
    <cellStyle name="Followed Hyperlink 2" xfId="29448" hidden="1" xr:uid="{00000000-0005-0000-0000-000024260000}"/>
    <cellStyle name="Followed Hyperlink 2" xfId="29445" hidden="1" xr:uid="{00000000-0005-0000-0000-000025260000}"/>
    <cellStyle name="Followed Hyperlink 2" xfId="29443" hidden="1" xr:uid="{00000000-0005-0000-0000-000026260000}"/>
    <cellStyle name="Followed Hyperlink 2" xfId="29444" hidden="1" xr:uid="{00000000-0005-0000-0000-000027260000}"/>
    <cellStyle name="Followed Hyperlink 2" xfId="29454" hidden="1" xr:uid="{00000000-0005-0000-0000-000028260000}"/>
    <cellStyle name="Followed Hyperlink 2" xfId="29457" hidden="1" xr:uid="{00000000-0005-0000-0000-000029260000}"/>
    <cellStyle name="Followed Hyperlink 2" xfId="29460" hidden="1" xr:uid="{00000000-0005-0000-0000-00002A260000}"/>
    <cellStyle name="Followed Hyperlink 2" xfId="29464" hidden="1" xr:uid="{00000000-0005-0000-0000-00002B260000}"/>
    <cellStyle name="Followed Hyperlink 2" xfId="29474" hidden="1" xr:uid="{00000000-0005-0000-0000-00002C260000}"/>
    <cellStyle name="Followed Hyperlink 2" xfId="29471" hidden="1" xr:uid="{00000000-0005-0000-0000-00002D260000}"/>
    <cellStyle name="Followed Hyperlink 2" xfId="29469" hidden="1" xr:uid="{00000000-0005-0000-0000-00002E260000}"/>
    <cellStyle name="Followed Hyperlink 2" xfId="29470" hidden="1" xr:uid="{00000000-0005-0000-0000-00002F260000}"/>
    <cellStyle name="Followed Hyperlink 2" xfId="29480" hidden="1" xr:uid="{00000000-0005-0000-0000-000030260000}"/>
    <cellStyle name="Followed Hyperlink 2" xfId="29483" hidden="1" xr:uid="{00000000-0005-0000-0000-000031260000}"/>
    <cellStyle name="Followed Hyperlink 2" xfId="29486" hidden="1" xr:uid="{00000000-0005-0000-0000-000032260000}"/>
    <cellStyle name="Followed Hyperlink 2" xfId="29490" hidden="1" xr:uid="{00000000-0005-0000-0000-000033260000}"/>
    <cellStyle name="Followed Hyperlink 2" xfId="29498" hidden="1" xr:uid="{00000000-0005-0000-0000-000034260000}"/>
    <cellStyle name="Followed Hyperlink 2" xfId="29495" hidden="1" xr:uid="{00000000-0005-0000-0000-000035260000}"/>
    <cellStyle name="Followed Hyperlink 2" xfId="29493" hidden="1" xr:uid="{00000000-0005-0000-0000-000036260000}"/>
    <cellStyle name="Followed Hyperlink 2" xfId="29494" hidden="1" xr:uid="{00000000-0005-0000-0000-000037260000}"/>
    <cellStyle name="Followed Hyperlink 2" xfId="29504" hidden="1" xr:uid="{00000000-0005-0000-0000-000038260000}"/>
    <cellStyle name="Followed Hyperlink 2" xfId="29507" hidden="1" xr:uid="{00000000-0005-0000-0000-000039260000}"/>
    <cellStyle name="Followed Hyperlink 2" xfId="29510" hidden="1" xr:uid="{00000000-0005-0000-0000-00003A260000}"/>
    <cellStyle name="Followed Hyperlink 2" xfId="29514" hidden="1" xr:uid="{00000000-0005-0000-0000-00003B260000}"/>
    <cellStyle name="Followed Hyperlink 2" xfId="29391" hidden="1" xr:uid="{00000000-0005-0000-0000-00003C260000}"/>
    <cellStyle name="Followed Hyperlink 2" xfId="29395" hidden="1" xr:uid="{00000000-0005-0000-0000-00003D260000}"/>
    <cellStyle name="Followed Hyperlink 2" xfId="29390" hidden="1" xr:uid="{00000000-0005-0000-0000-00003E260000}"/>
    <cellStyle name="Followed Hyperlink 2" xfId="29396" hidden="1" xr:uid="{00000000-0005-0000-0000-00003F260000}"/>
    <cellStyle name="Followed Hyperlink 2" xfId="29517" hidden="1" xr:uid="{00000000-0005-0000-0000-000040260000}"/>
    <cellStyle name="Followed Hyperlink 2" xfId="29520" hidden="1" xr:uid="{00000000-0005-0000-0000-000041260000}"/>
    <cellStyle name="Followed Hyperlink 2" xfId="29523" hidden="1" xr:uid="{00000000-0005-0000-0000-000042260000}"/>
    <cellStyle name="Followed Hyperlink 2" xfId="29527" hidden="1" xr:uid="{00000000-0005-0000-0000-000043260000}"/>
    <cellStyle name="Followed Hyperlink 2" xfId="29535" hidden="1" xr:uid="{00000000-0005-0000-0000-000044260000}"/>
    <cellStyle name="Followed Hyperlink 2" xfId="29532" hidden="1" xr:uid="{00000000-0005-0000-0000-000045260000}"/>
    <cellStyle name="Followed Hyperlink 2" xfId="29530" hidden="1" xr:uid="{00000000-0005-0000-0000-000046260000}"/>
    <cellStyle name="Followed Hyperlink 2" xfId="29531" hidden="1" xr:uid="{00000000-0005-0000-0000-000047260000}"/>
    <cellStyle name="Followed Hyperlink 2" xfId="29541" hidden="1" xr:uid="{00000000-0005-0000-0000-000048260000}"/>
    <cellStyle name="Followed Hyperlink 2" xfId="29544" hidden="1" xr:uid="{00000000-0005-0000-0000-000049260000}"/>
    <cellStyle name="Followed Hyperlink 2" xfId="29547" hidden="1" xr:uid="{00000000-0005-0000-0000-00004A260000}"/>
    <cellStyle name="Followed Hyperlink 2" xfId="29551" hidden="1" xr:uid="{00000000-0005-0000-0000-00004B260000}"/>
    <cellStyle name="Followed Hyperlink 2" xfId="29560" hidden="1" xr:uid="{00000000-0005-0000-0000-00004C260000}"/>
    <cellStyle name="Followed Hyperlink 2" xfId="29557" hidden="1" xr:uid="{00000000-0005-0000-0000-00004D260000}"/>
    <cellStyle name="Followed Hyperlink 2" xfId="29555" hidden="1" xr:uid="{00000000-0005-0000-0000-00004E260000}"/>
    <cellStyle name="Followed Hyperlink 2" xfId="29556" hidden="1" xr:uid="{00000000-0005-0000-0000-00004F260000}"/>
    <cellStyle name="Followed Hyperlink 2" xfId="29566" hidden="1" xr:uid="{00000000-0005-0000-0000-000050260000}"/>
    <cellStyle name="Followed Hyperlink 2" xfId="29569" hidden="1" xr:uid="{00000000-0005-0000-0000-000051260000}"/>
    <cellStyle name="Followed Hyperlink 2" xfId="29572" hidden="1" xr:uid="{00000000-0005-0000-0000-000052260000}"/>
    <cellStyle name="Followed Hyperlink 2" xfId="29576" hidden="1" xr:uid="{00000000-0005-0000-0000-000053260000}"/>
    <cellStyle name="Followed Hyperlink 2" xfId="29584" hidden="1" xr:uid="{00000000-0005-0000-0000-000054260000}"/>
    <cellStyle name="Followed Hyperlink 2" xfId="29581" hidden="1" xr:uid="{00000000-0005-0000-0000-000055260000}"/>
    <cellStyle name="Followed Hyperlink 2" xfId="29579" hidden="1" xr:uid="{00000000-0005-0000-0000-000056260000}"/>
    <cellStyle name="Followed Hyperlink 2" xfId="29580" hidden="1" xr:uid="{00000000-0005-0000-0000-000057260000}"/>
    <cellStyle name="Followed Hyperlink 2" xfId="29590" hidden="1" xr:uid="{00000000-0005-0000-0000-000058260000}"/>
    <cellStyle name="Followed Hyperlink 2" xfId="29593" hidden="1" xr:uid="{00000000-0005-0000-0000-000059260000}"/>
    <cellStyle name="Followed Hyperlink 2" xfId="29596" hidden="1" xr:uid="{00000000-0005-0000-0000-00005A260000}"/>
    <cellStyle name="Followed Hyperlink 2" xfId="29600" hidden="1" xr:uid="{00000000-0005-0000-0000-00005B260000}"/>
    <cellStyle name="Followed Hyperlink 2" xfId="29409" hidden="1" xr:uid="{00000000-0005-0000-0000-00005C260000}"/>
    <cellStyle name="Followed Hyperlink 2" xfId="29406" hidden="1" xr:uid="{00000000-0005-0000-0000-00005D260000}"/>
    <cellStyle name="Followed Hyperlink 2" xfId="29400" hidden="1" xr:uid="{00000000-0005-0000-0000-00005E260000}"/>
    <cellStyle name="Followed Hyperlink 2" xfId="29405" hidden="1" xr:uid="{00000000-0005-0000-0000-00005F260000}"/>
    <cellStyle name="Followed Hyperlink 2" xfId="29603" hidden="1" xr:uid="{00000000-0005-0000-0000-000060260000}"/>
    <cellStyle name="Followed Hyperlink 2" xfId="29606" hidden="1" xr:uid="{00000000-0005-0000-0000-000061260000}"/>
    <cellStyle name="Followed Hyperlink 2" xfId="29609" hidden="1" xr:uid="{00000000-0005-0000-0000-000062260000}"/>
    <cellStyle name="Followed Hyperlink 2" xfId="29613" hidden="1" xr:uid="{00000000-0005-0000-0000-000063260000}"/>
    <cellStyle name="Followed Hyperlink 2" xfId="29621" hidden="1" xr:uid="{00000000-0005-0000-0000-000064260000}"/>
    <cellStyle name="Followed Hyperlink 2" xfId="29618" hidden="1" xr:uid="{00000000-0005-0000-0000-000065260000}"/>
    <cellStyle name="Followed Hyperlink 2" xfId="29616" hidden="1" xr:uid="{00000000-0005-0000-0000-000066260000}"/>
    <cellStyle name="Followed Hyperlink 2" xfId="29617" hidden="1" xr:uid="{00000000-0005-0000-0000-000067260000}"/>
    <cellStyle name="Followed Hyperlink 2" xfId="29627" hidden="1" xr:uid="{00000000-0005-0000-0000-000068260000}"/>
    <cellStyle name="Followed Hyperlink 2" xfId="29630" hidden="1" xr:uid="{00000000-0005-0000-0000-000069260000}"/>
    <cellStyle name="Followed Hyperlink 2" xfId="29633" hidden="1" xr:uid="{00000000-0005-0000-0000-00006A260000}"/>
    <cellStyle name="Followed Hyperlink 2" xfId="29637" hidden="1" xr:uid="{00000000-0005-0000-0000-00006B260000}"/>
    <cellStyle name="Followed Hyperlink 2" xfId="29646" hidden="1" xr:uid="{00000000-0005-0000-0000-00006C260000}"/>
    <cellStyle name="Followed Hyperlink 2" xfId="29643" hidden="1" xr:uid="{00000000-0005-0000-0000-00006D260000}"/>
    <cellStyle name="Followed Hyperlink 2" xfId="29641" hidden="1" xr:uid="{00000000-0005-0000-0000-00006E260000}"/>
    <cellStyle name="Followed Hyperlink 2" xfId="29642" hidden="1" xr:uid="{00000000-0005-0000-0000-00006F260000}"/>
    <cellStyle name="Followed Hyperlink 2" xfId="29652" hidden="1" xr:uid="{00000000-0005-0000-0000-000070260000}"/>
    <cellStyle name="Followed Hyperlink 2" xfId="29655" hidden="1" xr:uid="{00000000-0005-0000-0000-000071260000}"/>
    <cellStyle name="Followed Hyperlink 2" xfId="29658" hidden="1" xr:uid="{00000000-0005-0000-0000-000072260000}"/>
    <cellStyle name="Followed Hyperlink 2" xfId="29662" hidden="1" xr:uid="{00000000-0005-0000-0000-000073260000}"/>
    <cellStyle name="Followed Hyperlink 2" xfId="29670" hidden="1" xr:uid="{00000000-0005-0000-0000-000074260000}"/>
    <cellStyle name="Followed Hyperlink 2" xfId="29667" hidden="1" xr:uid="{00000000-0005-0000-0000-000075260000}"/>
    <cellStyle name="Followed Hyperlink 2" xfId="29665" hidden="1" xr:uid="{00000000-0005-0000-0000-000076260000}"/>
    <cellStyle name="Followed Hyperlink 2" xfId="29666" hidden="1" xr:uid="{00000000-0005-0000-0000-000077260000}"/>
    <cellStyle name="Followed Hyperlink 2" xfId="29676" hidden="1" xr:uid="{00000000-0005-0000-0000-000078260000}"/>
    <cellStyle name="Followed Hyperlink 2" xfId="29679" hidden="1" xr:uid="{00000000-0005-0000-0000-000079260000}"/>
    <cellStyle name="Followed Hyperlink 2" xfId="29682" hidden="1" xr:uid="{00000000-0005-0000-0000-00007A260000}"/>
    <cellStyle name="Followed Hyperlink 2" xfId="29686" hidden="1" xr:uid="{00000000-0005-0000-0000-00007B260000}"/>
    <cellStyle name="Followed Hyperlink 2" xfId="29417" hidden="1" xr:uid="{00000000-0005-0000-0000-00007C260000}"/>
    <cellStyle name="Followed Hyperlink 2" xfId="29413" hidden="1" xr:uid="{00000000-0005-0000-0000-00007D260000}"/>
    <cellStyle name="Followed Hyperlink 2" xfId="29414" hidden="1" xr:uid="{00000000-0005-0000-0000-00007E260000}"/>
    <cellStyle name="Followed Hyperlink 2" xfId="29401" hidden="1" xr:uid="{00000000-0005-0000-0000-00007F260000}"/>
    <cellStyle name="Followed Hyperlink 2" xfId="29689" hidden="1" xr:uid="{00000000-0005-0000-0000-000080260000}"/>
    <cellStyle name="Followed Hyperlink 2" xfId="29692" hidden="1" xr:uid="{00000000-0005-0000-0000-000081260000}"/>
    <cellStyle name="Followed Hyperlink 2" xfId="29695" hidden="1" xr:uid="{00000000-0005-0000-0000-000082260000}"/>
    <cellStyle name="Followed Hyperlink 2" xfId="29699" hidden="1" xr:uid="{00000000-0005-0000-0000-000083260000}"/>
    <cellStyle name="Followed Hyperlink 2" xfId="29707" hidden="1" xr:uid="{00000000-0005-0000-0000-000084260000}"/>
    <cellStyle name="Followed Hyperlink 2" xfId="29704" hidden="1" xr:uid="{00000000-0005-0000-0000-000085260000}"/>
    <cellStyle name="Followed Hyperlink 2" xfId="29702" hidden="1" xr:uid="{00000000-0005-0000-0000-000086260000}"/>
    <cellStyle name="Followed Hyperlink 2" xfId="29703" hidden="1" xr:uid="{00000000-0005-0000-0000-000087260000}"/>
    <cellStyle name="Followed Hyperlink 2" xfId="29713" hidden="1" xr:uid="{00000000-0005-0000-0000-000088260000}"/>
    <cellStyle name="Followed Hyperlink 2" xfId="29716" hidden="1" xr:uid="{00000000-0005-0000-0000-000089260000}"/>
    <cellStyle name="Followed Hyperlink 2" xfId="29719" hidden="1" xr:uid="{00000000-0005-0000-0000-00008A260000}"/>
    <cellStyle name="Followed Hyperlink 2" xfId="29723" hidden="1" xr:uid="{00000000-0005-0000-0000-00008B260000}"/>
    <cellStyle name="Followed Hyperlink 2" xfId="29731" hidden="1" xr:uid="{00000000-0005-0000-0000-00008C260000}"/>
    <cellStyle name="Followed Hyperlink 2" xfId="29728" hidden="1" xr:uid="{00000000-0005-0000-0000-00008D260000}"/>
    <cellStyle name="Followed Hyperlink 2" xfId="29726" hidden="1" xr:uid="{00000000-0005-0000-0000-00008E260000}"/>
    <cellStyle name="Followed Hyperlink 2" xfId="29727" hidden="1" xr:uid="{00000000-0005-0000-0000-00008F260000}"/>
    <cellStyle name="Followed Hyperlink 2" xfId="29737" hidden="1" xr:uid="{00000000-0005-0000-0000-000090260000}"/>
    <cellStyle name="Followed Hyperlink 2" xfId="29740" hidden="1" xr:uid="{00000000-0005-0000-0000-000091260000}"/>
    <cellStyle name="Followed Hyperlink 2" xfId="29743" hidden="1" xr:uid="{00000000-0005-0000-0000-000092260000}"/>
    <cellStyle name="Followed Hyperlink 2" xfId="29747" hidden="1" xr:uid="{00000000-0005-0000-0000-000093260000}"/>
    <cellStyle name="Followed Hyperlink 2" xfId="29755" hidden="1" xr:uid="{00000000-0005-0000-0000-000094260000}"/>
    <cellStyle name="Followed Hyperlink 2" xfId="29752" hidden="1" xr:uid="{00000000-0005-0000-0000-000095260000}"/>
    <cellStyle name="Followed Hyperlink 2" xfId="29750" hidden="1" xr:uid="{00000000-0005-0000-0000-000096260000}"/>
    <cellStyle name="Followed Hyperlink 2" xfId="29751" hidden="1" xr:uid="{00000000-0005-0000-0000-000097260000}"/>
    <cellStyle name="Followed Hyperlink 2" xfId="29761" hidden="1" xr:uid="{00000000-0005-0000-0000-000098260000}"/>
    <cellStyle name="Followed Hyperlink 2" xfId="29764" hidden="1" xr:uid="{00000000-0005-0000-0000-000099260000}"/>
    <cellStyle name="Followed Hyperlink 2" xfId="29767" hidden="1" xr:uid="{00000000-0005-0000-0000-00009A260000}"/>
    <cellStyle name="Followed Hyperlink 2" xfId="29771" hidden="1" xr:uid="{00000000-0005-0000-0000-00009B260000}"/>
    <cellStyle name="Followed Hyperlink 2" xfId="29264" hidden="1" xr:uid="{00000000-0005-0000-0000-00009C260000}"/>
    <cellStyle name="Followed Hyperlink 2" xfId="29268" hidden="1" xr:uid="{00000000-0005-0000-0000-00009D260000}"/>
    <cellStyle name="Followed Hyperlink 2" xfId="29263" hidden="1" xr:uid="{00000000-0005-0000-0000-00009E260000}"/>
    <cellStyle name="Followed Hyperlink 2" xfId="29269" hidden="1" xr:uid="{00000000-0005-0000-0000-00009F260000}"/>
    <cellStyle name="Followed Hyperlink 2" xfId="29774" hidden="1" xr:uid="{00000000-0005-0000-0000-0000A0260000}"/>
    <cellStyle name="Followed Hyperlink 2" xfId="29777" hidden="1" xr:uid="{00000000-0005-0000-0000-0000A1260000}"/>
    <cellStyle name="Followed Hyperlink 2" xfId="29780" hidden="1" xr:uid="{00000000-0005-0000-0000-0000A2260000}"/>
    <cellStyle name="Followed Hyperlink 2" xfId="29784" hidden="1" xr:uid="{00000000-0005-0000-0000-0000A3260000}"/>
    <cellStyle name="Followed Hyperlink 2" xfId="29792" hidden="1" xr:uid="{00000000-0005-0000-0000-0000A4260000}"/>
    <cellStyle name="Followed Hyperlink 2" xfId="29789" hidden="1" xr:uid="{00000000-0005-0000-0000-0000A5260000}"/>
    <cellStyle name="Followed Hyperlink 2" xfId="29787" hidden="1" xr:uid="{00000000-0005-0000-0000-0000A6260000}"/>
    <cellStyle name="Followed Hyperlink 2" xfId="29788" hidden="1" xr:uid="{00000000-0005-0000-0000-0000A7260000}"/>
    <cellStyle name="Followed Hyperlink 2" xfId="29798" hidden="1" xr:uid="{00000000-0005-0000-0000-0000A8260000}"/>
    <cellStyle name="Followed Hyperlink 2" xfId="29801" hidden="1" xr:uid="{00000000-0005-0000-0000-0000A9260000}"/>
    <cellStyle name="Followed Hyperlink 2" xfId="29804" hidden="1" xr:uid="{00000000-0005-0000-0000-0000AA260000}"/>
    <cellStyle name="Followed Hyperlink 2" xfId="29808" hidden="1" xr:uid="{00000000-0005-0000-0000-0000AB260000}"/>
    <cellStyle name="Followed Hyperlink 2" xfId="29817" hidden="1" xr:uid="{00000000-0005-0000-0000-0000AC260000}"/>
    <cellStyle name="Followed Hyperlink 2" xfId="29814" hidden="1" xr:uid="{00000000-0005-0000-0000-0000AD260000}"/>
    <cellStyle name="Followed Hyperlink 2" xfId="29812" hidden="1" xr:uid="{00000000-0005-0000-0000-0000AE260000}"/>
    <cellStyle name="Followed Hyperlink 2" xfId="29813" hidden="1" xr:uid="{00000000-0005-0000-0000-0000AF260000}"/>
    <cellStyle name="Followed Hyperlink 2" xfId="29823" hidden="1" xr:uid="{00000000-0005-0000-0000-0000B0260000}"/>
    <cellStyle name="Followed Hyperlink 2" xfId="29826" hidden="1" xr:uid="{00000000-0005-0000-0000-0000B1260000}"/>
    <cellStyle name="Followed Hyperlink 2" xfId="29829" hidden="1" xr:uid="{00000000-0005-0000-0000-0000B2260000}"/>
    <cellStyle name="Followed Hyperlink 2" xfId="29833" hidden="1" xr:uid="{00000000-0005-0000-0000-0000B3260000}"/>
    <cellStyle name="Followed Hyperlink 2" xfId="29841" hidden="1" xr:uid="{00000000-0005-0000-0000-0000B4260000}"/>
    <cellStyle name="Followed Hyperlink 2" xfId="29838" hidden="1" xr:uid="{00000000-0005-0000-0000-0000B5260000}"/>
    <cellStyle name="Followed Hyperlink 2" xfId="29836" hidden="1" xr:uid="{00000000-0005-0000-0000-0000B6260000}"/>
    <cellStyle name="Followed Hyperlink 2" xfId="29837" hidden="1" xr:uid="{00000000-0005-0000-0000-0000B7260000}"/>
    <cellStyle name="Followed Hyperlink 2" xfId="29847" hidden="1" xr:uid="{00000000-0005-0000-0000-0000B8260000}"/>
    <cellStyle name="Followed Hyperlink 2" xfId="29850" hidden="1" xr:uid="{00000000-0005-0000-0000-0000B9260000}"/>
    <cellStyle name="Followed Hyperlink 2" xfId="29853" hidden="1" xr:uid="{00000000-0005-0000-0000-0000BA260000}"/>
    <cellStyle name="Followed Hyperlink 2" xfId="29857" hidden="1" xr:uid="{00000000-0005-0000-0000-0000BB260000}"/>
    <cellStyle name="Followed Hyperlink 2" xfId="29894" hidden="1" xr:uid="{00000000-0005-0000-0000-0000BC260000}"/>
    <cellStyle name="Followed Hyperlink 2" xfId="29891" hidden="1" xr:uid="{00000000-0005-0000-0000-0000BD260000}"/>
    <cellStyle name="Followed Hyperlink 2" xfId="29889" hidden="1" xr:uid="{00000000-0005-0000-0000-0000BE260000}"/>
    <cellStyle name="Followed Hyperlink 2" xfId="29890" hidden="1" xr:uid="{00000000-0005-0000-0000-0000BF260000}"/>
    <cellStyle name="Followed Hyperlink 2" xfId="29900" hidden="1" xr:uid="{00000000-0005-0000-0000-0000C0260000}"/>
    <cellStyle name="Followed Hyperlink 2" xfId="29903" hidden="1" xr:uid="{00000000-0005-0000-0000-0000C1260000}"/>
    <cellStyle name="Followed Hyperlink 2" xfId="29906" hidden="1" xr:uid="{00000000-0005-0000-0000-0000C2260000}"/>
    <cellStyle name="Followed Hyperlink 2" xfId="29910" hidden="1" xr:uid="{00000000-0005-0000-0000-0000C3260000}"/>
    <cellStyle name="Followed Hyperlink 2" xfId="29918" hidden="1" xr:uid="{00000000-0005-0000-0000-0000C4260000}"/>
    <cellStyle name="Followed Hyperlink 2" xfId="29915" hidden="1" xr:uid="{00000000-0005-0000-0000-0000C5260000}"/>
    <cellStyle name="Followed Hyperlink 2" xfId="29913" hidden="1" xr:uid="{00000000-0005-0000-0000-0000C6260000}"/>
    <cellStyle name="Followed Hyperlink 2" xfId="29914" hidden="1" xr:uid="{00000000-0005-0000-0000-0000C7260000}"/>
    <cellStyle name="Followed Hyperlink 2" xfId="29924" hidden="1" xr:uid="{00000000-0005-0000-0000-0000C8260000}"/>
    <cellStyle name="Followed Hyperlink 2" xfId="29927" hidden="1" xr:uid="{00000000-0005-0000-0000-0000C9260000}"/>
    <cellStyle name="Followed Hyperlink 2" xfId="29930" hidden="1" xr:uid="{00000000-0005-0000-0000-0000CA260000}"/>
    <cellStyle name="Followed Hyperlink 2" xfId="29934" hidden="1" xr:uid="{00000000-0005-0000-0000-0000CB260000}"/>
    <cellStyle name="Followed Hyperlink 2" xfId="29944" hidden="1" xr:uid="{00000000-0005-0000-0000-0000CC260000}"/>
    <cellStyle name="Followed Hyperlink 2" xfId="29941" hidden="1" xr:uid="{00000000-0005-0000-0000-0000CD260000}"/>
    <cellStyle name="Followed Hyperlink 2" xfId="29939" hidden="1" xr:uid="{00000000-0005-0000-0000-0000CE260000}"/>
    <cellStyle name="Followed Hyperlink 2" xfId="29940" hidden="1" xr:uid="{00000000-0005-0000-0000-0000CF260000}"/>
    <cellStyle name="Followed Hyperlink 2" xfId="29950" hidden="1" xr:uid="{00000000-0005-0000-0000-0000D0260000}"/>
    <cellStyle name="Followed Hyperlink 2" xfId="29953" hidden="1" xr:uid="{00000000-0005-0000-0000-0000D1260000}"/>
    <cellStyle name="Followed Hyperlink 2" xfId="29956" hidden="1" xr:uid="{00000000-0005-0000-0000-0000D2260000}"/>
    <cellStyle name="Followed Hyperlink 2" xfId="29960" hidden="1" xr:uid="{00000000-0005-0000-0000-0000D3260000}"/>
    <cellStyle name="Followed Hyperlink 2" xfId="29968" hidden="1" xr:uid="{00000000-0005-0000-0000-0000D4260000}"/>
    <cellStyle name="Followed Hyperlink 2" xfId="29965" hidden="1" xr:uid="{00000000-0005-0000-0000-0000D5260000}"/>
    <cellStyle name="Followed Hyperlink 2" xfId="29963" hidden="1" xr:uid="{00000000-0005-0000-0000-0000D6260000}"/>
    <cellStyle name="Followed Hyperlink 2" xfId="29964" hidden="1" xr:uid="{00000000-0005-0000-0000-0000D7260000}"/>
    <cellStyle name="Followed Hyperlink 2" xfId="29974" hidden="1" xr:uid="{00000000-0005-0000-0000-0000D8260000}"/>
    <cellStyle name="Followed Hyperlink 2" xfId="29977" hidden="1" xr:uid="{00000000-0005-0000-0000-0000D9260000}"/>
    <cellStyle name="Followed Hyperlink 2" xfId="29980" hidden="1" xr:uid="{00000000-0005-0000-0000-0000DA260000}"/>
    <cellStyle name="Followed Hyperlink 2" xfId="29984" hidden="1" xr:uid="{00000000-0005-0000-0000-0000DB260000}"/>
    <cellStyle name="Followed Hyperlink 2" xfId="29861" hidden="1" xr:uid="{00000000-0005-0000-0000-0000DC260000}"/>
    <cellStyle name="Followed Hyperlink 2" xfId="29865" hidden="1" xr:uid="{00000000-0005-0000-0000-0000DD260000}"/>
    <cellStyle name="Followed Hyperlink 2" xfId="29860" hidden="1" xr:uid="{00000000-0005-0000-0000-0000DE260000}"/>
    <cellStyle name="Followed Hyperlink 2" xfId="29866" hidden="1" xr:uid="{00000000-0005-0000-0000-0000DF260000}"/>
    <cellStyle name="Followed Hyperlink 2" xfId="29987" hidden="1" xr:uid="{00000000-0005-0000-0000-0000E0260000}"/>
    <cellStyle name="Followed Hyperlink 2" xfId="29990" hidden="1" xr:uid="{00000000-0005-0000-0000-0000E1260000}"/>
    <cellStyle name="Followed Hyperlink 2" xfId="29993" hidden="1" xr:uid="{00000000-0005-0000-0000-0000E2260000}"/>
    <cellStyle name="Followed Hyperlink 2" xfId="29997" hidden="1" xr:uid="{00000000-0005-0000-0000-0000E3260000}"/>
    <cellStyle name="Followed Hyperlink 2" xfId="30005" hidden="1" xr:uid="{00000000-0005-0000-0000-0000E4260000}"/>
    <cellStyle name="Followed Hyperlink 2" xfId="30002" hidden="1" xr:uid="{00000000-0005-0000-0000-0000E5260000}"/>
    <cellStyle name="Followed Hyperlink 2" xfId="30000" hidden="1" xr:uid="{00000000-0005-0000-0000-0000E6260000}"/>
    <cellStyle name="Followed Hyperlink 2" xfId="30001" hidden="1" xr:uid="{00000000-0005-0000-0000-0000E7260000}"/>
    <cellStyle name="Followed Hyperlink 2" xfId="30011" hidden="1" xr:uid="{00000000-0005-0000-0000-0000E8260000}"/>
    <cellStyle name="Followed Hyperlink 2" xfId="30014" hidden="1" xr:uid="{00000000-0005-0000-0000-0000E9260000}"/>
    <cellStyle name="Followed Hyperlink 2" xfId="30017" hidden="1" xr:uid="{00000000-0005-0000-0000-0000EA260000}"/>
    <cellStyle name="Followed Hyperlink 2" xfId="30021" hidden="1" xr:uid="{00000000-0005-0000-0000-0000EB260000}"/>
    <cellStyle name="Followed Hyperlink 2" xfId="30030" hidden="1" xr:uid="{00000000-0005-0000-0000-0000EC260000}"/>
    <cellStyle name="Followed Hyperlink 2" xfId="30027" hidden="1" xr:uid="{00000000-0005-0000-0000-0000ED260000}"/>
    <cellStyle name="Followed Hyperlink 2" xfId="30025" hidden="1" xr:uid="{00000000-0005-0000-0000-0000EE260000}"/>
    <cellStyle name="Followed Hyperlink 2" xfId="30026" hidden="1" xr:uid="{00000000-0005-0000-0000-0000EF260000}"/>
    <cellStyle name="Followed Hyperlink 2" xfId="30036" hidden="1" xr:uid="{00000000-0005-0000-0000-0000F0260000}"/>
    <cellStyle name="Followed Hyperlink 2" xfId="30039" hidden="1" xr:uid="{00000000-0005-0000-0000-0000F1260000}"/>
    <cellStyle name="Followed Hyperlink 2" xfId="30042" hidden="1" xr:uid="{00000000-0005-0000-0000-0000F2260000}"/>
    <cellStyle name="Followed Hyperlink 2" xfId="30046" hidden="1" xr:uid="{00000000-0005-0000-0000-0000F3260000}"/>
    <cellStyle name="Followed Hyperlink 2" xfId="30054" hidden="1" xr:uid="{00000000-0005-0000-0000-0000F4260000}"/>
    <cellStyle name="Followed Hyperlink 2" xfId="30051" hidden="1" xr:uid="{00000000-0005-0000-0000-0000F5260000}"/>
    <cellStyle name="Followed Hyperlink 2" xfId="30049" hidden="1" xr:uid="{00000000-0005-0000-0000-0000F6260000}"/>
    <cellStyle name="Followed Hyperlink 2" xfId="30050" hidden="1" xr:uid="{00000000-0005-0000-0000-0000F7260000}"/>
    <cellStyle name="Followed Hyperlink 2" xfId="30060" hidden="1" xr:uid="{00000000-0005-0000-0000-0000F8260000}"/>
    <cellStyle name="Followed Hyperlink 2" xfId="30063" hidden="1" xr:uid="{00000000-0005-0000-0000-0000F9260000}"/>
    <cellStyle name="Followed Hyperlink 2" xfId="30066" hidden="1" xr:uid="{00000000-0005-0000-0000-0000FA260000}"/>
    <cellStyle name="Followed Hyperlink 2" xfId="30070" hidden="1" xr:uid="{00000000-0005-0000-0000-0000FB260000}"/>
    <cellStyle name="Followed Hyperlink 2" xfId="29879" hidden="1" xr:uid="{00000000-0005-0000-0000-0000FC260000}"/>
    <cellStyle name="Followed Hyperlink 2" xfId="29876" hidden="1" xr:uid="{00000000-0005-0000-0000-0000FD260000}"/>
    <cellStyle name="Followed Hyperlink 2" xfId="29870" hidden="1" xr:uid="{00000000-0005-0000-0000-0000FE260000}"/>
    <cellStyle name="Followed Hyperlink 2" xfId="29875" hidden="1" xr:uid="{00000000-0005-0000-0000-0000FF260000}"/>
    <cellStyle name="Followed Hyperlink 2" xfId="30073" hidden="1" xr:uid="{00000000-0005-0000-0000-000000270000}"/>
    <cellStyle name="Followed Hyperlink 2" xfId="30076" hidden="1" xr:uid="{00000000-0005-0000-0000-000001270000}"/>
    <cellStyle name="Followed Hyperlink 2" xfId="30079" hidden="1" xr:uid="{00000000-0005-0000-0000-000002270000}"/>
    <cellStyle name="Followed Hyperlink 2" xfId="30083" hidden="1" xr:uid="{00000000-0005-0000-0000-000003270000}"/>
    <cellStyle name="Followed Hyperlink 2" xfId="30091" hidden="1" xr:uid="{00000000-0005-0000-0000-000004270000}"/>
    <cellStyle name="Followed Hyperlink 2" xfId="30088" hidden="1" xr:uid="{00000000-0005-0000-0000-000005270000}"/>
    <cellStyle name="Followed Hyperlink 2" xfId="30086" hidden="1" xr:uid="{00000000-0005-0000-0000-000006270000}"/>
    <cellStyle name="Followed Hyperlink 2" xfId="30087" hidden="1" xr:uid="{00000000-0005-0000-0000-000007270000}"/>
    <cellStyle name="Followed Hyperlink 2" xfId="30097" hidden="1" xr:uid="{00000000-0005-0000-0000-000008270000}"/>
    <cellStyle name="Followed Hyperlink 2" xfId="30100" hidden="1" xr:uid="{00000000-0005-0000-0000-000009270000}"/>
    <cellStyle name="Followed Hyperlink 2" xfId="30103" hidden="1" xr:uid="{00000000-0005-0000-0000-00000A270000}"/>
    <cellStyle name="Followed Hyperlink 2" xfId="30107" hidden="1" xr:uid="{00000000-0005-0000-0000-00000B270000}"/>
    <cellStyle name="Followed Hyperlink 2" xfId="30116" hidden="1" xr:uid="{00000000-0005-0000-0000-00000C270000}"/>
    <cellStyle name="Followed Hyperlink 2" xfId="30113" hidden="1" xr:uid="{00000000-0005-0000-0000-00000D270000}"/>
    <cellStyle name="Followed Hyperlink 2" xfId="30111" hidden="1" xr:uid="{00000000-0005-0000-0000-00000E270000}"/>
    <cellStyle name="Followed Hyperlink 2" xfId="30112" hidden="1" xr:uid="{00000000-0005-0000-0000-00000F270000}"/>
    <cellStyle name="Followed Hyperlink 2" xfId="30122" hidden="1" xr:uid="{00000000-0005-0000-0000-000010270000}"/>
    <cellStyle name="Followed Hyperlink 2" xfId="30125" hidden="1" xr:uid="{00000000-0005-0000-0000-000011270000}"/>
    <cellStyle name="Followed Hyperlink 2" xfId="30128" hidden="1" xr:uid="{00000000-0005-0000-0000-000012270000}"/>
    <cellStyle name="Followed Hyperlink 2" xfId="30132" hidden="1" xr:uid="{00000000-0005-0000-0000-000013270000}"/>
    <cellStyle name="Followed Hyperlink 2" xfId="30140" hidden="1" xr:uid="{00000000-0005-0000-0000-000014270000}"/>
    <cellStyle name="Followed Hyperlink 2" xfId="30137" hidden="1" xr:uid="{00000000-0005-0000-0000-000015270000}"/>
    <cellStyle name="Followed Hyperlink 2" xfId="30135" hidden="1" xr:uid="{00000000-0005-0000-0000-000016270000}"/>
    <cellStyle name="Followed Hyperlink 2" xfId="30136" hidden="1" xr:uid="{00000000-0005-0000-0000-000017270000}"/>
    <cellStyle name="Followed Hyperlink 2" xfId="30146" hidden="1" xr:uid="{00000000-0005-0000-0000-000018270000}"/>
    <cellStyle name="Followed Hyperlink 2" xfId="30149" hidden="1" xr:uid="{00000000-0005-0000-0000-000019270000}"/>
    <cellStyle name="Followed Hyperlink 2" xfId="30152" hidden="1" xr:uid="{00000000-0005-0000-0000-00001A270000}"/>
    <cellStyle name="Followed Hyperlink 2" xfId="30156" hidden="1" xr:uid="{00000000-0005-0000-0000-00001B270000}"/>
    <cellStyle name="Followed Hyperlink 2" xfId="29887" hidden="1" xr:uid="{00000000-0005-0000-0000-00001C270000}"/>
    <cellStyle name="Followed Hyperlink 2" xfId="29883" hidden="1" xr:uid="{00000000-0005-0000-0000-00001D270000}"/>
    <cellStyle name="Followed Hyperlink 2" xfId="29884" hidden="1" xr:uid="{00000000-0005-0000-0000-00001E270000}"/>
    <cellStyle name="Followed Hyperlink 2" xfId="29871" hidden="1" xr:uid="{00000000-0005-0000-0000-00001F270000}"/>
    <cellStyle name="Followed Hyperlink 2" xfId="30159" hidden="1" xr:uid="{00000000-0005-0000-0000-000020270000}"/>
    <cellStyle name="Followed Hyperlink 2" xfId="30162" hidden="1" xr:uid="{00000000-0005-0000-0000-000021270000}"/>
    <cellStyle name="Followed Hyperlink 2" xfId="30165" hidden="1" xr:uid="{00000000-0005-0000-0000-000022270000}"/>
    <cellStyle name="Followed Hyperlink 2" xfId="30169" hidden="1" xr:uid="{00000000-0005-0000-0000-000023270000}"/>
    <cellStyle name="Followed Hyperlink 2" xfId="30177" hidden="1" xr:uid="{00000000-0005-0000-0000-000024270000}"/>
    <cellStyle name="Followed Hyperlink 2" xfId="30174" hidden="1" xr:uid="{00000000-0005-0000-0000-000025270000}"/>
    <cellStyle name="Followed Hyperlink 2" xfId="30172" hidden="1" xr:uid="{00000000-0005-0000-0000-000026270000}"/>
    <cellStyle name="Followed Hyperlink 2" xfId="30173" hidden="1" xr:uid="{00000000-0005-0000-0000-000027270000}"/>
    <cellStyle name="Followed Hyperlink 2" xfId="30183" hidden="1" xr:uid="{00000000-0005-0000-0000-000028270000}"/>
    <cellStyle name="Followed Hyperlink 2" xfId="30186" hidden="1" xr:uid="{00000000-0005-0000-0000-000029270000}"/>
    <cellStyle name="Followed Hyperlink 2" xfId="30189" hidden="1" xr:uid="{00000000-0005-0000-0000-00002A270000}"/>
    <cellStyle name="Followed Hyperlink 2" xfId="30193" hidden="1" xr:uid="{00000000-0005-0000-0000-00002B270000}"/>
    <cellStyle name="Followed Hyperlink 2" xfId="30201" hidden="1" xr:uid="{00000000-0005-0000-0000-00002C270000}"/>
    <cellStyle name="Followed Hyperlink 2" xfId="30198" hidden="1" xr:uid="{00000000-0005-0000-0000-00002D270000}"/>
    <cellStyle name="Followed Hyperlink 2" xfId="30196" hidden="1" xr:uid="{00000000-0005-0000-0000-00002E270000}"/>
    <cellStyle name="Followed Hyperlink 2" xfId="30197" hidden="1" xr:uid="{00000000-0005-0000-0000-00002F270000}"/>
    <cellStyle name="Followed Hyperlink 2" xfId="30207" hidden="1" xr:uid="{00000000-0005-0000-0000-000030270000}"/>
    <cellStyle name="Followed Hyperlink 2" xfId="30210" hidden="1" xr:uid="{00000000-0005-0000-0000-000031270000}"/>
    <cellStyle name="Followed Hyperlink 2" xfId="30213" hidden="1" xr:uid="{00000000-0005-0000-0000-000032270000}"/>
    <cellStyle name="Followed Hyperlink 2" xfId="30217" hidden="1" xr:uid="{00000000-0005-0000-0000-000033270000}"/>
    <cellStyle name="Followed Hyperlink 2" xfId="30225" hidden="1" xr:uid="{00000000-0005-0000-0000-000034270000}"/>
    <cellStyle name="Followed Hyperlink 2" xfId="30222" hidden="1" xr:uid="{00000000-0005-0000-0000-000035270000}"/>
    <cellStyle name="Followed Hyperlink 2" xfId="30220" hidden="1" xr:uid="{00000000-0005-0000-0000-000036270000}"/>
    <cellStyle name="Followed Hyperlink 2" xfId="30221" hidden="1" xr:uid="{00000000-0005-0000-0000-000037270000}"/>
    <cellStyle name="Followed Hyperlink 2" xfId="30231" hidden="1" xr:uid="{00000000-0005-0000-0000-000038270000}"/>
    <cellStyle name="Followed Hyperlink 2" xfId="30234" hidden="1" xr:uid="{00000000-0005-0000-0000-000039270000}"/>
    <cellStyle name="Followed Hyperlink 2" xfId="30237" hidden="1" xr:uid="{00000000-0005-0000-0000-00003A270000}"/>
    <cellStyle name="Followed Hyperlink 2" xfId="30241" hidden="1" xr:uid="{00000000-0005-0000-0000-00003B270000}"/>
    <cellStyle name="Followed Hyperlink 2" xfId="29282" hidden="1" xr:uid="{00000000-0005-0000-0000-00003C270000}"/>
    <cellStyle name="Followed Hyperlink 2" xfId="29279" hidden="1" xr:uid="{00000000-0005-0000-0000-00003D270000}"/>
    <cellStyle name="Followed Hyperlink 2" xfId="29273" hidden="1" xr:uid="{00000000-0005-0000-0000-00003E270000}"/>
    <cellStyle name="Followed Hyperlink 2" xfId="29278" hidden="1" xr:uid="{00000000-0005-0000-0000-00003F270000}"/>
    <cellStyle name="Followed Hyperlink 2" xfId="30244" hidden="1" xr:uid="{00000000-0005-0000-0000-000040270000}"/>
    <cellStyle name="Followed Hyperlink 2" xfId="30247" hidden="1" xr:uid="{00000000-0005-0000-0000-000041270000}"/>
    <cellStyle name="Followed Hyperlink 2" xfId="30250" hidden="1" xr:uid="{00000000-0005-0000-0000-000042270000}"/>
    <cellStyle name="Followed Hyperlink 2" xfId="30254" hidden="1" xr:uid="{00000000-0005-0000-0000-000043270000}"/>
    <cellStyle name="Followed Hyperlink 2" xfId="30262" hidden="1" xr:uid="{00000000-0005-0000-0000-000044270000}"/>
    <cellStyle name="Followed Hyperlink 2" xfId="30259" hidden="1" xr:uid="{00000000-0005-0000-0000-000045270000}"/>
    <cellStyle name="Followed Hyperlink 2" xfId="30257" hidden="1" xr:uid="{00000000-0005-0000-0000-000046270000}"/>
    <cellStyle name="Followed Hyperlink 2" xfId="30258" hidden="1" xr:uid="{00000000-0005-0000-0000-000047270000}"/>
    <cellStyle name="Followed Hyperlink 2" xfId="30268" hidden="1" xr:uid="{00000000-0005-0000-0000-000048270000}"/>
    <cellStyle name="Followed Hyperlink 2" xfId="30271" hidden="1" xr:uid="{00000000-0005-0000-0000-000049270000}"/>
    <cellStyle name="Followed Hyperlink 2" xfId="30274" hidden="1" xr:uid="{00000000-0005-0000-0000-00004A270000}"/>
    <cellStyle name="Followed Hyperlink 2" xfId="30278" hidden="1" xr:uid="{00000000-0005-0000-0000-00004B270000}"/>
    <cellStyle name="Followed Hyperlink 2" xfId="30287" hidden="1" xr:uid="{00000000-0005-0000-0000-00004C270000}"/>
    <cellStyle name="Followed Hyperlink 2" xfId="30284" hidden="1" xr:uid="{00000000-0005-0000-0000-00004D270000}"/>
    <cellStyle name="Followed Hyperlink 2" xfId="30282" hidden="1" xr:uid="{00000000-0005-0000-0000-00004E270000}"/>
    <cellStyle name="Followed Hyperlink 2" xfId="30283" hidden="1" xr:uid="{00000000-0005-0000-0000-00004F270000}"/>
    <cellStyle name="Followed Hyperlink 2" xfId="30293" hidden="1" xr:uid="{00000000-0005-0000-0000-000050270000}"/>
    <cellStyle name="Followed Hyperlink 2" xfId="30296" hidden="1" xr:uid="{00000000-0005-0000-0000-000051270000}"/>
    <cellStyle name="Followed Hyperlink 2" xfId="30299" hidden="1" xr:uid="{00000000-0005-0000-0000-000052270000}"/>
    <cellStyle name="Followed Hyperlink 2" xfId="30303" hidden="1" xr:uid="{00000000-0005-0000-0000-000053270000}"/>
    <cellStyle name="Followed Hyperlink 2" xfId="30311" hidden="1" xr:uid="{00000000-0005-0000-0000-000054270000}"/>
    <cellStyle name="Followed Hyperlink 2" xfId="30308" hidden="1" xr:uid="{00000000-0005-0000-0000-000055270000}"/>
    <cellStyle name="Followed Hyperlink 2" xfId="30306" hidden="1" xr:uid="{00000000-0005-0000-0000-000056270000}"/>
    <cellStyle name="Followed Hyperlink 2" xfId="30307" hidden="1" xr:uid="{00000000-0005-0000-0000-000057270000}"/>
    <cellStyle name="Followed Hyperlink 2" xfId="30317" hidden="1" xr:uid="{00000000-0005-0000-0000-000058270000}"/>
    <cellStyle name="Followed Hyperlink 2" xfId="30320" hidden="1" xr:uid="{00000000-0005-0000-0000-000059270000}"/>
    <cellStyle name="Followed Hyperlink 2" xfId="30323" hidden="1" xr:uid="{00000000-0005-0000-0000-00005A270000}"/>
    <cellStyle name="Followed Hyperlink 2" xfId="30327" hidden="1" xr:uid="{00000000-0005-0000-0000-00005B270000}"/>
    <cellStyle name="Followed Hyperlink 2" xfId="30364" hidden="1" xr:uid="{00000000-0005-0000-0000-00005C270000}"/>
    <cellStyle name="Followed Hyperlink 2" xfId="30361" hidden="1" xr:uid="{00000000-0005-0000-0000-00005D270000}"/>
    <cellStyle name="Followed Hyperlink 2" xfId="30359" hidden="1" xr:uid="{00000000-0005-0000-0000-00005E270000}"/>
    <cellStyle name="Followed Hyperlink 2" xfId="30360" hidden="1" xr:uid="{00000000-0005-0000-0000-00005F270000}"/>
    <cellStyle name="Followed Hyperlink 2" xfId="30370" hidden="1" xr:uid="{00000000-0005-0000-0000-000060270000}"/>
    <cellStyle name="Followed Hyperlink 2" xfId="30373" hidden="1" xr:uid="{00000000-0005-0000-0000-000061270000}"/>
    <cellStyle name="Followed Hyperlink 2" xfId="30376" hidden="1" xr:uid="{00000000-0005-0000-0000-000062270000}"/>
    <cellStyle name="Followed Hyperlink 2" xfId="30380" hidden="1" xr:uid="{00000000-0005-0000-0000-000063270000}"/>
    <cellStyle name="Followed Hyperlink 2" xfId="30388" hidden="1" xr:uid="{00000000-0005-0000-0000-000064270000}"/>
    <cellStyle name="Followed Hyperlink 2" xfId="30385" hidden="1" xr:uid="{00000000-0005-0000-0000-000065270000}"/>
    <cellStyle name="Followed Hyperlink 2" xfId="30383" hidden="1" xr:uid="{00000000-0005-0000-0000-000066270000}"/>
    <cellStyle name="Followed Hyperlink 2" xfId="30384" hidden="1" xr:uid="{00000000-0005-0000-0000-000067270000}"/>
    <cellStyle name="Followed Hyperlink 2" xfId="30394" hidden="1" xr:uid="{00000000-0005-0000-0000-000068270000}"/>
    <cellStyle name="Followed Hyperlink 2" xfId="30397" hidden="1" xr:uid="{00000000-0005-0000-0000-000069270000}"/>
    <cellStyle name="Followed Hyperlink 2" xfId="30400" hidden="1" xr:uid="{00000000-0005-0000-0000-00006A270000}"/>
    <cellStyle name="Followed Hyperlink 2" xfId="30404" hidden="1" xr:uid="{00000000-0005-0000-0000-00006B270000}"/>
    <cellStyle name="Followed Hyperlink 2" xfId="30414" hidden="1" xr:uid="{00000000-0005-0000-0000-00006C270000}"/>
    <cellStyle name="Followed Hyperlink 2" xfId="30411" hidden="1" xr:uid="{00000000-0005-0000-0000-00006D270000}"/>
    <cellStyle name="Followed Hyperlink 2" xfId="30409" hidden="1" xr:uid="{00000000-0005-0000-0000-00006E270000}"/>
    <cellStyle name="Followed Hyperlink 2" xfId="30410" hidden="1" xr:uid="{00000000-0005-0000-0000-00006F270000}"/>
    <cellStyle name="Followed Hyperlink 2" xfId="30420" hidden="1" xr:uid="{00000000-0005-0000-0000-000070270000}"/>
    <cellStyle name="Followed Hyperlink 2" xfId="30423" hidden="1" xr:uid="{00000000-0005-0000-0000-000071270000}"/>
    <cellStyle name="Followed Hyperlink 2" xfId="30426" hidden="1" xr:uid="{00000000-0005-0000-0000-000072270000}"/>
    <cellStyle name="Followed Hyperlink 2" xfId="30430" hidden="1" xr:uid="{00000000-0005-0000-0000-000073270000}"/>
    <cellStyle name="Followed Hyperlink 2" xfId="30438" hidden="1" xr:uid="{00000000-0005-0000-0000-000074270000}"/>
    <cellStyle name="Followed Hyperlink 2" xfId="30435" hidden="1" xr:uid="{00000000-0005-0000-0000-000075270000}"/>
    <cellStyle name="Followed Hyperlink 2" xfId="30433" hidden="1" xr:uid="{00000000-0005-0000-0000-000076270000}"/>
    <cellStyle name="Followed Hyperlink 2" xfId="30434" hidden="1" xr:uid="{00000000-0005-0000-0000-000077270000}"/>
    <cellStyle name="Followed Hyperlink 2" xfId="30444" hidden="1" xr:uid="{00000000-0005-0000-0000-000078270000}"/>
    <cellStyle name="Followed Hyperlink 2" xfId="30447" hidden="1" xr:uid="{00000000-0005-0000-0000-000079270000}"/>
    <cellStyle name="Followed Hyperlink 2" xfId="30450" hidden="1" xr:uid="{00000000-0005-0000-0000-00007A270000}"/>
    <cellStyle name="Followed Hyperlink 2" xfId="30454" hidden="1" xr:uid="{00000000-0005-0000-0000-00007B270000}"/>
    <cellStyle name="Followed Hyperlink 2" xfId="30331" hidden="1" xr:uid="{00000000-0005-0000-0000-00007C270000}"/>
    <cellStyle name="Followed Hyperlink 2" xfId="30335" hidden="1" xr:uid="{00000000-0005-0000-0000-00007D270000}"/>
    <cellStyle name="Followed Hyperlink 2" xfId="30330" hidden="1" xr:uid="{00000000-0005-0000-0000-00007E270000}"/>
    <cellStyle name="Followed Hyperlink 2" xfId="30336" hidden="1" xr:uid="{00000000-0005-0000-0000-00007F270000}"/>
    <cellStyle name="Followed Hyperlink 2" xfId="30457" hidden="1" xr:uid="{00000000-0005-0000-0000-000080270000}"/>
    <cellStyle name="Followed Hyperlink 2" xfId="30460" hidden="1" xr:uid="{00000000-0005-0000-0000-000081270000}"/>
    <cellStyle name="Followed Hyperlink 2" xfId="30463" hidden="1" xr:uid="{00000000-0005-0000-0000-000082270000}"/>
    <cellStyle name="Followed Hyperlink 2" xfId="30467" hidden="1" xr:uid="{00000000-0005-0000-0000-000083270000}"/>
    <cellStyle name="Followed Hyperlink 2" xfId="30475" hidden="1" xr:uid="{00000000-0005-0000-0000-000084270000}"/>
    <cellStyle name="Followed Hyperlink 2" xfId="30472" hidden="1" xr:uid="{00000000-0005-0000-0000-000085270000}"/>
    <cellStyle name="Followed Hyperlink 2" xfId="30470" hidden="1" xr:uid="{00000000-0005-0000-0000-000086270000}"/>
    <cellStyle name="Followed Hyperlink 2" xfId="30471" hidden="1" xr:uid="{00000000-0005-0000-0000-000087270000}"/>
    <cellStyle name="Followed Hyperlink 2" xfId="30481" hidden="1" xr:uid="{00000000-0005-0000-0000-000088270000}"/>
    <cellStyle name="Followed Hyperlink 2" xfId="30484" hidden="1" xr:uid="{00000000-0005-0000-0000-000089270000}"/>
    <cellStyle name="Followed Hyperlink 2" xfId="30487" hidden="1" xr:uid="{00000000-0005-0000-0000-00008A270000}"/>
    <cellStyle name="Followed Hyperlink 2" xfId="30491" hidden="1" xr:uid="{00000000-0005-0000-0000-00008B270000}"/>
    <cellStyle name="Followed Hyperlink 2" xfId="30500" hidden="1" xr:uid="{00000000-0005-0000-0000-00008C270000}"/>
    <cellStyle name="Followed Hyperlink 2" xfId="30497" hidden="1" xr:uid="{00000000-0005-0000-0000-00008D270000}"/>
    <cellStyle name="Followed Hyperlink 2" xfId="30495" hidden="1" xr:uid="{00000000-0005-0000-0000-00008E270000}"/>
    <cellStyle name="Followed Hyperlink 2" xfId="30496" hidden="1" xr:uid="{00000000-0005-0000-0000-00008F270000}"/>
    <cellStyle name="Followed Hyperlink 2" xfId="30506" hidden="1" xr:uid="{00000000-0005-0000-0000-000090270000}"/>
    <cellStyle name="Followed Hyperlink 2" xfId="30509" hidden="1" xr:uid="{00000000-0005-0000-0000-000091270000}"/>
    <cellStyle name="Followed Hyperlink 2" xfId="30512" hidden="1" xr:uid="{00000000-0005-0000-0000-000092270000}"/>
    <cellStyle name="Followed Hyperlink 2" xfId="30516" hidden="1" xr:uid="{00000000-0005-0000-0000-000093270000}"/>
    <cellStyle name="Followed Hyperlink 2" xfId="30524" hidden="1" xr:uid="{00000000-0005-0000-0000-000094270000}"/>
    <cellStyle name="Followed Hyperlink 2" xfId="30521" hidden="1" xr:uid="{00000000-0005-0000-0000-000095270000}"/>
    <cellStyle name="Followed Hyperlink 2" xfId="30519" hidden="1" xr:uid="{00000000-0005-0000-0000-000096270000}"/>
    <cellStyle name="Followed Hyperlink 2" xfId="30520" hidden="1" xr:uid="{00000000-0005-0000-0000-000097270000}"/>
    <cellStyle name="Followed Hyperlink 2" xfId="30530" hidden="1" xr:uid="{00000000-0005-0000-0000-000098270000}"/>
    <cellStyle name="Followed Hyperlink 2" xfId="30533" hidden="1" xr:uid="{00000000-0005-0000-0000-000099270000}"/>
    <cellStyle name="Followed Hyperlink 2" xfId="30536" hidden="1" xr:uid="{00000000-0005-0000-0000-00009A270000}"/>
    <cellStyle name="Followed Hyperlink 2" xfId="30540" hidden="1" xr:uid="{00000000-0005-0000-0000-00009B270000}"/>
    <cellStyle name="Followed Hyperlink 2" xfId="30349" hidden="1" xr:uid="{00000000-0005-0000-0000-00009C270000}"/>
    <cellStyle name="Followed Hyperlink 2" xfId="30346" hidden="1" xr:uid="{00000000-0005-0000-0000-00009D270000}"/>
    <cellStyle name="Followed Hyperlink 2" xfId="30340" hidden="1" xr:uid="{00000000-0005-0000-0000-00009E270000}"/>
    <cellStyle name="Followed Hyperlink 2" xfId="30345" hidden="1" xr:uid="{00000000-0005-0000-0000-00009F270000}"/>
    <cellStyle name="Followed Hyperlink 2" xfId="30543" hidden="1" xr:uid="{00000000-0005-0000-0000-0000A0270000}"/>
    <cellStyle name="Followed Hyperlink 2" xfId="30546" hidden="1" xr:uid="{00000000-0005-0000-0000-0000A1270000}"/>
    <cellStyle name="Followed Hyperlink 2" xfId="30549" hidden="1" xr:uid="{00000000-0005-0000-0000-0000A2270000}"/>
    <cellStyle name="Followed Hyperlink 2" xfId="30553" hidden="1" xr:uid="{00000000-0005-0000-0000-0000A3270000}"/>
    <cellStyle name="Followed Hyperlink 2" xfId="30561" hidden="1" xr:uid="{00000000-0005-0000-0000-0000A4270000}"/>
    <cellStyle name="Followed Hyperlink 2" xfId="30558" hidden="1" xr:uid="{00000000-0005-0000-0000-0000A5270000}"/>
    <cellStyle name="Followed Hyperlink 2" xfId="30556" hidden="1" xr:uid="{00000000-0005-0000-0000-0000A6270000}"/>
    <cellStyle name="Followed Hyperlink 2" xfId="30557" hidden="1" xr:uid="{00000000-0005-0000-0000-0000A7270000}"/>
    <cellStyle name="Followed Hyperlink 2" xfId="30567" hidden="1" xr:uid="{00000000-0005-0000-0000-0000A8270000}"/>
    <cellStyle name="Followed Hyperlink 2" xfId="30570" hidden="1" xr:uid="{00000000-0005-0000-0000-0000A9270000}"/>
    <cellStyle name="Followed Hyperlink 2" xfId="30573" hidden="1" xr:uid="{00000000-0005-0000-0000-0000AA270000}"/>
    <cellStyle name="Followed Hyperlink 2" xfId="30577" hidden="1" xr:uid="{00000000-0005-0000-0000-0000AB270000}"/>
    <cellStyle name="Followed Hyperlink 2" xfId="30586" hidden="1" xr:uid="{00000000-0005-0000-0000-0000AC270000}"/>
    <cellStyle name="Followed Hyperlink 2" xfId="30583" hidden="1" xr:uid="{00000000-0005-0000-0000-0000AD270000}"/>
    <cellStyle name="Followed Hyperlink 2" xfId="30581" hidden="1" xr:uid="{00000000-0005-0000-0000-0000AE270000}"/>
    <cellStyle name="Followed Hyperlink 2" xfId="30582" hidden="1" xr:uid="{00000000-0005-0000-0000-0000AF270000}"/>
    <cellStyle name="Followed Hyperlink 2" xfId="30592" hidden="1" xr:uid="{00000000-0005-0000-0000-0000B0270000}"/>
    <cellStyle name="Followed Hyperlink 2" xfId="30595" hidden="1" xr:uid="{00000000-0005-0000-0000-0000B1270000}"/>
    <cellStyle name="Followed Hyperlink 2" xfId="30598" hidden="1" xr:uid="{00000000-0005-0000-0000-0000B2270000}"/>
    <cellStyle name="Followed Hyperlink 2" xfId="30602" hidden="1" xr:uid="{00000000-0005-0000-0000-0000B3270000}"/>
    <cellStyle name="Followed Hyperlink 2" xfId="30610" hidden="1" xr:uid="{00000000-0005-0000-0000-0000B4270000}"/>
    <cellStyle name="Followed Hyperlink 2" xfId="30607" hidden="1" xr:uid="{00000000-0005-0000-0000-0000B5270000}"/>
    <cellStyle name="Followed Hyperlink 2" xfId="30605" hidden="1" xr:uid="{00000000-0005-0000-0000-0000B6270000}"/>
    <cellStyle name="Followed Hyperlink 2" xfId="30606" hidden="1" xr:uid="{00000000-0005-0000-0000-0000B7270000}"/>
    <cellStyle name="Followed Hyperlink 2" xfId="30616" hidden="1" xr:uid="{00000000-0005-0000-0000-0000B8270000}"/>
    <cellStyle name="Followed Hyperlink 2" xfId="30619" hidden="1" xr:uid="{00000000-0005-0000-0000-0000B9270000}"/>
    <cellStyle name="Followed Hyperlink 2" xfId="30622" hidden="1" xr:uid="{00000000-0005-0000-0000-0000BA270000}"/>
    <cellStyle name="Followed Hyperlink 2" xfId="30626" hidden="1" xr:uid="{00000000-0005-0000-0000-0000BB270000}"/>
    <cellStyle name="Followed Hyperlink 2" xfId="30357" hidden="1" xr:uid="{00000000-0005-0000-0000-0000BC270000}"/>
    <cellStyle name="Followed Hyperlink 2" xfId="30353" hidden="1" xr:uid="{00000000-0005-0000-0000-0000BD270000}"/>
    <cellStyle name="Followed Hyperlink 2" xfId="30354" hidden="1" xr:uid="{00000000-0005-0000-0000-0000BE270000}"/>
    <cellStyle name="Followed Hyperlink 2" xfId="30341" hidden="1" xr:uid="{00000000-0005-0000-0000-0000BF270000}"/>
    <cellStyle name="Followed Hyperlink 2" xfId="30629" hidden="1" xr:uid="{00000000-0005-0000-0000-0000C0270000}"/>
    <cellStyle name="Followed Hyperlink 2" xfId="30632" hidden="1" xr:uid="{00000000-0005-0000-0000-0000C1270000}"/>
    <cellStyle name="Followed Hyperlink 2" xfId="30635" hidden="1" xr:uid="{00000000-0005-0000-0000-0000C2270000}"/>
    <cellStyle name="Followed Hyperlink 2" xfId="30639" hidden="1" xr:uid="{00000000-0005-0000-0000-0000C3270000}"/>
    <cellStyle name="Followed Hyperlink 2" xfId="30647" hidden="1" xr:uid="{00000000-0005-0000-0000-0000C4270000}"/>
    <cellStyle name="Followed Hyperlink 2" xfId="30644" hidden="1" xr:uid="{00000000-0005-0000-0000-0000C5270000}"/>
    <cellStyle name="Followed Hyperlink 2" xfId="30642" hidden="1" xr:uid="{00000000-0005-0000-0000-0000C6270000}"/>
    <cellStyle name="Followed Hyperlink 2" xfId="30643" hidden="1" xr:uid="{00000000-0005-0000-0000-0000C7270000}"/>
    <cellStyle name="Followed Hyperlink 2" xfId="30653" hidden="1" xr:uid="{00000000-0005-0000-0000-0000C8270000}"/>
    <cellStyle name="Followed Hyperlink 2" xfId="30656" hidden="1" xr:uid="{00000000-0005-0000-0000-0000C9270000}"/>
    <cellStyle name="Followed Hyperlink 2" xfId="30659" hidden="1" xr:uid="{00000000-0005-0000-0000-0000CA270000}"/>
    <cellStyle name="Followed Hyperlink 2" xfId="30663" hidden="1" xr:uid="{00000000-0005-0000-0000-0000CB270000}"/>
    <cellStyle name="Followed Hyperlink 2" xfId="30671" hidden="1" xr:uid="{00000000-0005-0000-0000-0000CC270000}"/>
    <cellStyle name="Followed Hyperlink 2" xfId="30668" hidden="1" xr:uid="{00000000-0005-0000-0000-0000CD270000}"/>
    <cellStyle name="Followed Hyperlink 2" xfId="30666" hidden="1" xr:uid="{00000000-0005-0000-0000-0000CE270000}"/>
    <cellStyle name="Followed Hyperlink 2" xfId="30667" hidden="1" xr:uid="{00000000-0005-0000-0000-0000CF270000}"/>
    <cellStyle name="Followed Hyperlink 2" xfId="30677" hidden="1" xr:uid="{00000000-0005-0000-0000-0000D0270000}"/>
    <cellStyle name="Followed Hyperlink 2" xfId="30680" hidden="1" xr:uid="{00000000-0005-0000-0000-0000D1270000}"/>
    <cellStyle name="Followed Hyperlink 2" xfId="30683" hidden="1" xr:uid="{00000000-0005-0000-0000-0000D2270000}"/>
    <cellStyle name="Followed Hyperlink 2" xfId="30687" hidden="1" xr:uid="{00000000-0005-0000-0000-0000D3270000}"/>
    <cellStyle name="Followed Hyperlink 2" xfId="30695" hidden="1" xr:uid="{00000000-0005-0000-0000-0000D4270000}"/>
    <cellStyle name="Followed Hyperlink 2" xfId="30692" hidden="1" xr:uid="{00000000-0005-0000-0000-0000D5270000}"/>
    <cellStyle name="Followed Hyperlink 2" xfId="30690" hidden="1" xr:uid="{00000000-0005-0000-0000-0000D6270000}"/>
    <cellStyle name="Followed Hyperlink 2" xfId="30691" hidden="1" xr:uid="{00000000-0005-0000-0000-0000D7270000}"/>
    <cellStyle name="Followed Hyperlink 2" xfId="30701" hidden="1" xr:uid="{00000000-0005-0000-0000-0000D8270000}"/>
    <cellStyle name="Followed Hyperlink 2" xfId="30704" hidden="1" xr:uid="{00000000-0005-0000-0000-0000D9270000}"/>
    <cellStyle name="Followed Hyperlink 2" xfId="30707" hidden="1" xr:uid="{00000000-0005-0000-0000-0000DA270000}"/>
    <cellStyle name="Followed Hyperlink 2" xfId="30711" hidden="1" xr:uid="{00000000-0005-0000-0000-0000DB270000}"/>
    <cellStyle name="Followed Hyperlink 2" xfId="29290" hidden="1" xr:uid="{00000000-0005-0000-0000-0000DC270000}"/>
    <cellStyle name="Followed Hyperlink 2" xfId="29286" hidden="1" xr:uid="{00000000-0005-0000-0000-0000DD270000}"/>
    <cellStyle name="Followed Hyperlink 2" xfId="29287" hidden="1" xr:uid="{00000000-0005-0000-0000-0000DE270000}"/>
    <cellStyle name="Followed Hyperlink 2" xfId="29274" hidden="1" xr:uid="{00000000-0005-0000-0000-0000DF270000}"/>
    <cellStyle name="Followed Hyperlink 2" xfId="30714" hidden="1" xr:uid="{00000000-0005-0000-0000-0000E0270000}"/>
    <cellStyle name="Followed Hyperlink 2" xfId="30717" hidden="1" xr:uid="{00000000-0005-0000-0000-0000E1270000}"/>
    <cellStyle name="Followed Hyperlink 2" xfId="30720" hidden="1" xr:uid="{00000000-0005-0000-0000-0000E2270000}"/>
    <cellStyle name="Followed Hyperlink 2" xfId="30724" hidden="1" xr:uid="{00000000-0005-0000-0000-0000E3270000}"/>
    <cellStyle name="Followed Hyperlink 2" xfId="30732" hidden="1" xr:uid="{00000000-0005-0000-0000-0000E4270000}"/>
    <cellStyle name="Followed Hyperlink 2" xfId="30729" hidden="1" xr:uid="{00000000-0005-0000-0000-0000E5270000}"/>
    <cellStyle name="Followed Hyperlink 2" xfId="30727" hidden="1" xr:uid="{00000000-0005-0000-0000-0000E6270000}"/>
    <cellStyle name="Followed Hyperlink 2" xfId="30728" hidden="1" xr:uid="{00000000-0005-0000-0000-0000E7270000}"/>
    <cellStyle name="Followed Hyperlink 2" xfId="30738" hidden="1" xr:uid="{00000000-0005-0000-0000-0000E8270000}"/>
    <cellStyle name="Followed Hyperlink 2" xfId="30741" hidden="1" xr:uid="{00000000-0005-0000-0000-0000E9270000}"/>
    <cellStyle name="Followed Hyperlink 2" xfId="30744" hidden="1" xr:uid="{00000000-0005-0000-0000-0000EA270000}"/>
    <cellStyle name="Followed Hyperlink 2" xfId="30748" hidden="1" xr:uid="{00000000-0005-0000-0000-0000EB270000}"/>
    <cellStyle name="Followed Hyperlink 2" xfId="30756" hidden="1" xr:uid="{00000000-0005-0000-0000-0000EC270000}"/>
    <cellStyle name="Followed Hyperlink 2" xfId="30753" hidden="1" xr:uid="{00000000-0005-0000-0000-0000ED270000}"/>
    <cellStyle name="Followed Hyperlink 2" xfId="30751" hidden="1" xr:uid="{00000000-0005-0000-0000-0000EE270000}"/>
    <cellStyle name="Followed Hyperlink 2" xfId="30752" hidden="1" xr:uid="{00000000-0005-0000-0000-0000EF270000}"/>
    <cellStyle name="Followed Hyperlink 2" xfId="30762" hidden="1" xr:uid="{00000000-0005-0000-0000-0000F0270000}"/>
    <cellStyle name="Followed Hyperlink 2" xfId="30765" hidden="1" xr:uid="{00000000-0005-0000-0000-0000F1270000}"/>
    <cellStyle name="Followed Hyperlink 2" xfId="30768" hidden="1" xr:uid="{00000000-0005-0000-0000-0000F2270000}"/>
    <cellStyle name="Followed Hyperlink 2" xfId="30772" hidden="1" xr:uid="{00000000-0005-0000-0000-0000F3270000}"/>
    <cellStyle name="Followed Hyperlink 2" xfId="30780" hidden="1" xr:uid="{00000000-0005-0000-0000-0000F4270000}"/>
    <cellStyle name="Followed Hyperlink 2" xfId="30777" hidden="1" xr:uid="{00000000-0005-0000-0000-0000F5270000}"/>
    <cellStyle name="Followed Hyperlink 2" xfId="30775" hidden="1" xr:uid="{00000000-0005-0000-0000-0000F6270000}"/>
    <cellStyle name="Followed Hyperlink 2" xfId="30776" hidden="1" xr:uid="{00000000-0005-0000-0000-0000F7270000}"/>
    <cellStyle name="Followed Hyperlink 2" xfId="30786" hidden="1" xr:uid="{00000000-0005-0000-0000-0000F8270000}"/>
    <cellStyle name="Followed Hyperlink 2" xfId="30789" hidden="1" xr:uid="{00000000-0005-0000-0000-0000F9270000}"/>
    <cellStyle name="Followed Hyperlink 2" xfId="30792" hidden="1" xr:uid="{00000000-0005-0000-0000-0000FA270000}"/>
    <cellStyle name="Followed Hyperlink 2" xfId="30796" hidden="1" xr:uid="{00000000-0005-0000-0000-0000FB270000}"/>
    <cellStyle name="Followed Hyperlink 2" xfId="30833" hidden="1" xr:uid="{00000000-0005-0000-0000-0000FC270000}"/>
    <cellStyle name="Followed Hyperlink 2" xfId="30830" hidden="1" xr:uid="{00000000-0005-0000-0000-0000FD270000}"/>
    <cellStyle name="Followed Hyperlink 2" xfId="30828" hidden="1" xr:uid="{00000000-0005-0000-0000-0000FE270000}"/>
    <cellStyle name="Followed Hyperlink 2" xfId="30829" hidden="1" xr:uid="{00000000-0005-0000-0000-0000FF270000}"/>
    <cellStyle name="Followed Hyperlink 2" xfId="30839" hidden="1" xr:uid="{00000000-0005-0000-0000-000000280000}"/>
    <cellStyle name="Followed Hyperlink 2" xfId="30842" hidden="1" xr:uid="{00000000-0005-0000-0000-000001280000}"/>
    <cellStyle name="Followed Hyperlink 2" xfId="30845" hidden="1" xr:uid="{00000000-0005-0000-0000-000002280000}"/>
    <cellStyle name="Followed Hyperlink 2" xfId="30849" hidden="1" xr:uid="{00000000-0005-0000-0000-000003280000}"/>
    <cellStyle name="Followed Hyperlink 2" xfId="30857" hidden="1" xr:uid="{00000000-0005-0000-0000-000004280000}"/>
    <cellStyle name="Followed Hyperlink 2" xfId="30854" hidden="1" xr:uid="{00000000-0005-0000-0000-000005280000}"/>
    <cellStyle name="Followed Hyperlink 2" xfId="30852" hidden="1" xr:uid="{00000000-0005-0000-0000-000006280000}"/>
    <cellStyle name="Followed Hyperlink 2" xfId="30853" hidden="1" xr:uid="{00000000-0005-0000-0000-000007280000}"/>
    <cellStyle name="Followed Hyperlink 2" xfId="30863" hidden="1" xr:uid="{00000000-0005-0000-0000-000008280000}"/>
    <cellStyle name="Followed Hyperlink 2" xfId="30866" hidden="1" xr:uid="{00000000-0005-0000-0000-000009280000}"/>
    <cellStyle name="Followed Hyperlink 2" xfId="30869" hidden="1" xr:uid="{00000000-0005-0000-0000-00000A280000}"/>
    <cellStyle name="Followed Hyperlink 2" xfId="30873" hidden="1" xr:uid="{00000000-0005-0000-0000-00000B280000}"/>
    <cellStyle name="Followed Hyperlink 2" xfId="30883" hidden="1" xr:uid="{00000000-0005-0000-0000-00000C280000}"/>
    <cellStyle name="Followed Hyperlink 2" xfId="30880" hidden="1" xr:uid="{00000000-0005-0000-0000-00000D280000}"/>
    <cellStyle name="Followed Hyperlink 2" xfId="30878" hidden="1" xr:uid="{00000000-0005-0000-0000-00000E280000}"/>
    <cellStyle name="Followed Hyperlink 2" xfId="30879" hidden="1" xr:uid="{00000000-0005-0000-0000-00000F280000}"/>
    <cellStyle name="Followed Hyperlink 2" xfId="30889" hidden="1" xr:uid="{00000000-0005-0000-0000-000010280000}"/>
    <cellStyle name="Followed Hyperlink 2" xfId="30892" hidden="1" xr:uid="{00000000-0005-0000-0000-000011280000}"/>
    <cellStyle name="Followed Hyperlink 2" xfId="30895" hidden="1" xr:uid="{00000000-0005-0000-0000-000012280000}"/>
    <cellStyle name="Followed Hyperlink 2" xfId="30899" hidden="1" xr:uid="{00000000-0005-0000-0000-000013280000}"/>
    <cellStyle name="Followed Hyperlink 2" xfId="30907" hidden="1" xr:uid="{00000000-0005-0000-0000-000014280000}"/>
    <cellStyle name="Followed Hyperlink 2" xfId="30904" hidden="1" xr:uid="{00000000-0005-0000-0000-000015280000}"/>
    <cellStyle name="Followed Hyperlink 2" xfId="30902" hidden="1" xr:uid="{00000000-0005-0000-0000-000016280000}"/>
    <cellStyle name="Followed Hyperlink 2" xfId="30903" hidden="1" xr:uid="{00000000-0005-0000-0000-000017280000}"/>
    <cellStyle name="Followed Hyperlink 2" xfId="30913" hidden="1" xr:uid="{00000000-0005-0000-0000-000018280000}"/>
    <cellStyle name="Followed Hyperlink 2" xfId="30916" hidden="1" xr:uid="{00000000-0005-0000-0000-000019280000}"/>
    <cellStyle name="Followed Hyperlink 2" xfId="30919" hidden="1" xr:uid="{00000000-0005-0000-0000-00001A280000}"/>
    <cellStyle name="Followed Hyperlink 2" xfId="30923" hidden="1" xr:uid="{00000000-0005-0000-0000-00001B280000}"/>
    <cellStyle name="Followed Hyperlink 2" xfId="30800" hidden="1" xr:uid="{00000000-0005-0000-0000-00001C280000}"/>
    <cellStyle name="Followed Hyperlink 2" xfId="30804" hidden="1" xr:uid="{00000000-0005-0000-0000-00001D280000}"/>
    <cellStyle name="Followed Hyperlink 2" xfId="30799" hidden="1" xr:uid="{00000000-0005-0000-0000-00001E280000}"/>
    <cellStyle name="Followed Hyperlink 2" xfId="30805" hidden="1" xr:uid="{00000000-0005-0000-0000-00001F280000}"/>
    <cellStyle name="Followed Hyperlink 2" xfId="30926" hidden="1" xr:uid="{00000000-0005-0000-0000-000020280000}"/>
    <cellStyle name="Followed Hyperlink 2" xfId="30929" hidden="1" xr:uid="{00000000-0005-0000-0000-000021280000}"/>
    <cellStyle name="Followed Hyperlink 2" xfId="30932" hidden="1" xr:uid="{00000000-0005-0000-0000-000022280000}"/>
    <cellStyle name="Followed Hyperlink 2" xfId="30936" hidden="1" xr:uid="{00000000-0005-0000-0000-000023280000}"/>
    <cellStyle name="Followed Hyperlink 2" xfId="30944" hidden="1" xr:uid="{00000000-0005-0000-0000-000024280000}"/>
    <cellStyle name="Followed Hyperlink 2" xfId="30941" hidden="1" xr:uid="{00000000-0005-0000-0000-000025280000}"/>
    <cellStyle name="Followed Hyperlink 2" xfId="30939" hidden="1" xr:uid="{00000000-0005-0000-0000-000026280000}"/>
    <cellStyle name="Followed Hyperlink 2" xfId="30940" hidden="1" xr:uid="{00000000-0005-0000-0000-000027280000}"/>
    <cellStyle name="Followed Hyperlink 2" xfId="30950" hidden="1" xr:uid="{00000000-0005-0000-0000-000028280000}"/>
    <cellStyle name="Followed Hyperlink 2" xfId="30953" hidden="1" xr:uid="{00000000-0005-0000-0000-000029280000}"/>
    <cellStyle name="Followed Hyperlink 2" xfId="30956" hidden="1" xr:uid="{00000000-0005-0000-0000-00002A280000}"/>
    <cellStyle name="Followed Hyperlink 2" xfId="30960" hidden="1" xr:uid="{00000000-0005-0000-0000-00002B280000}"/>
    <cellStyle name="Followed Hyperlink 2" xfId="30969" hidden="1" xr:uid="{00000000-0005-0000-0000-00002C280000}"/>
    <cellStyle name="Followed Hyperlink 2" xfId="30966" hidden="1" xr:uid="{00000000-0005-0000-0000-00002D280000}"/>
    <cellStyle name="Followed Hyperlink 2" xfId="30964" hidden="1" xr:uid="{00000000-0005-0000-0000-00002E280000}"/>
    <cellStyle name="Followed Hyperlink 2" xfId="30965" hidden="1" xr:uid="{00000000-0005-0000-0000-00002F280000}"/>
    <cellStyle name="Followed Hyperlink 2" xfId="30975" hidden="1" xr:uid="{00000000-0005-0000-0000-000030280000}"/>
    <cellStyle name="Followed Hyperlink 2" xfId="30978" hidden="1" xr:uid="{00000000-0005-0000-0000-000031280000}"/>
    <cellStyle name="Followed Hyperlink 2" xfId="30981" hidden="1" xr:uid="{00000000-0005-0000-0000-000032280000}"/>
    <cellStyle name="Followed Hyperlink 2" xfId="30985" hidden="1" xr:uid="{00000000-0005-0000-0000-000033280000}"/>
    <cellStyle name="Followed Hyperlink 2" xfId="30993" hidden="1" xr:uid="{00000000-0005-0000-0000-000034280000}"/>
    <cellStyle name="Followed Hyperlink 2" xfId="30990" hidden="1" xr:uid="{00000000-0005-0000-0000-000035280000}"/>
    <cellStyle name="Followed Hyperlink 2" xfId="30988" hidden="1" xr:uid="{00000000-0005-0000-0000-000036280000}"/>
    <cellStyle name="Followed Hyperlink 2" xfId="30989" hidden="1" xr:uid="{00000000-0005-0000-0000-000037280000}"/>
    <cellStyle name="Followed Hyperlink 2" xfId="30999" hidden="1" xr:uid="{00000000-0005-0000-0000-000038280000}"/>
    <cellStyle name="Followed Hyperlink 2" xfId="31002" hidden="1" xr:uid="{00000000-0005-0000-0000-000039280000}"/>
    <cellStyle name="Followed Hyperlink 2" xfId="31005" hidden="1" xr:uid="{00000000-0005-0000-0000-00003A280000}"/>
    <cellStyle name="Followed Hyperlink 2" xfId="31009" hidden="1" xr:uid="{00000000-0005-0000-0000-00003B280000}"/>
    <cellStyle name="Followed Hyperlink 2" xfId="30818" hidden="1" xr:uid="{00000000-0005-0000-0000-00003C280000}"/>
    <cellStyle name="Followed Hyperlink 2" xfId="30815" hidden="1" xr:uid="{00000000-0005-0000-0000-00003D280000}"/>
    <cellStyle name="Followed Hyperlink 2" xfId="30809" hidden="1" xr:uid="{00000000-0005-0000-0000-00003E280000}"/>
    <cellStyle name="Followed Hyperlink 2" xfId="30814" hidden="1" xr:uid="{00000000-0005-0000-0000-00003F280000}"/>
    <cellStyle name="Followed Hyperlink 2" xfId="31012" hidden="1" xr:uid="{00000000-0005-0000-0000-000040280000}"/>
    <cellStyle name="Followed Hyperlink 2" xfId="31015" hidden="1" xr:uid="{00000000-0005-0000-0000-000041280000}"/>
    <cellStyle name="Followed Hyperlink 2" xfId="31018" hidden="1" xr:uid="{00000000-0005-0000-0000-000042280000}"/>
    <cellStyle name="Followed Hyperlink 2" xfId="31022" hidden="1" xr:uid="{00000000-0005-0000-0000-000043280000}"/>
    <cellStyle name="Followed Hyperlink 2" xfId="31030" hidden="1" xr:uid="{00000000-0005-0000-0000-000044280000}"/>
    <cellStyle name="Followed Hyperlink 2" xfId="31027" hidden="1" xr:uid="{00000000-0005-0000-0000-000045280000}"/>
    <cellStyle name="Followed Hyperlink 2" xfId="31025" hidden="1" xr:uid="{00000000-0005-0000-0000-000046280000}"/>
    <cellStyle name="Followed Hyperlink 2" xfId="31026" hidden="1" xr:uid="{00000000-0005-0000-0000-000047280000}"/>
    <cellStyle name="Followed Hyperlink 2" xfId="31036" hidden="1" xr:uid="{00000000-0005-0000-0000-000048280000}"/>
    <cellStyle name="Followed Hyperlink 2" xfId="31039" hidden="1" xr:uid="{00000000-0005-0000-0000-000049280000}"/>
    <cellStyle name="Followed Hyperlink 2" xfId="31042" hidden="1" xr:uid="{00000000-0005-0000-0000-00004A280000}"/>
    <cellStyle name="Followed Hyperlink 2" xfId="31046" hidden="1" xr:uid="{00000000-0005-0000-0000-00004B280000}"/>
    <cellStyle name="Followed Hyperlink 2" xfId="31055" hidden="1" xr:uid="{00000000-0005-0000-0000-00004C280000}"/>
    <cellStyle name="Followed Hyperlink 2" xfId="31052" hidden="1" xr:uid="{00000000-0005-0000-0000-00004D280000}"/>
    <cellStyle name="Followed Hyperlink 2" xfId="31050" hidden="1" xr:uid="{00000000-0005-0000-0000-00004E280000}"/>
    <cellStyle name="Followed Hyperlink 2" xfId="31051" hidden="1" xr:uid="{00000000-0005-0000-0000-00004F280000}"/>
    <cellStyle name="Followed Hyperlink 2" xfId="31061" hidden="1" xr:uid="{00000000-0005-0000-0000-000050280000}"/>
    <cellStyle name="Followed Hyperlink 2" xfId="31064" hidden="1" xr:uid="{00000000-0005-0000-0000-000051280000}"/>
    <cellStyle name="Followed Hyperlink 2" xfId="31067" hidden="1" xr:uid="{00000000-0005-0000-0000-000052280000}"/>
    <cellStyle name="Followed Hyperlink 2" xfId="31071" hidden="1" xr:uid="{00000000-0005-0000-0000-000053280000}"/>
    <cellStyle name="Followed Hyperlink 2" xfId="31079" hidden="1" xr:uid="{00000000-0005-0000-0000-000054280000}"/>
    <cellStyle name="Followed Hyperlink 2" xfId="31076" hidden="1" xr:uid="{00000000-0005-0000-0000-000055280000}"/>
    <cellStyle name="Followed Hyperlink 2" xfId="31074" hidden="1" xr:uid="{00000000-0005-0000-0000-000056280000}"/>
    <cellStyle name="Followed Hyperlink 2" xfId="31075" hidden="1" xr:uid="{00000000-0005-0000-0000-000057280000}"/>
    <cellStyle name="Followed Hyperlink 2" xfId="31085" hidden="1" xr:uid="{00000000-0005-0000-0000-000058280000}"/>
    <cellStyle name="Followed Hyperlink 2" xfId="31088" hidden="1" xr:uid="{00000000-0005-0000-0000-000059280000}"/>
    <cellStyle name="Followed Hyperlink 2" xfId="31091" hidden="1" xr:uid="{00000000-0005-0000-0000-00005A280000}"/>
    <cellStyle name="Followed Hyperlink 2" xfId="31095" hidden="1" xr:uid="{00000000-0005-0000-0000-00005B280000}"/>
    <cellStyle name="Followed Hyperlink 2" xfId="30826" hidden="1" xr:uid="{00000000-0005-0000-0000-00005C280000}"/>
    <cellStyle name="Followed Hyperlink 2" xfId="30822" hidden="1" xr:uid="{00000000-0005-0000-0000-00005D280000}"/>
    <cellStyle name="Followed Hyperlink 2" xfId="30823" hidden="1" xr:uid="{00000000-0005-0000-0000-00005E280000}"/>
    <cellStyle name="Followed Hyperlink 2" xfId="30810" hidden="1" xr:uid="{00000000-0005-0000-0000-00005F280000}"/>
    <cellStyle name="Followed Hyperlink 2" xfId="31098" hidden="1" xr:uid="{00000000-0005-0000-0000-000060280000}"/>
    <cellStyle name="Followed Hyperlink 2" xfId="31101" hidden="1" xr:uid="{00000000-0005-0000-0000-000061280000}"/>
    <cellStyle name="Followed Hyperlink 2" xfId="31104" hidden="1" xr:uid="{00000000-0005-0000-0000-000062280000}"/>
    <cellStyle name="Followed Hyperlink 2" xfId="31108" hidden="1" xr:uid="{00000000-0005-0000-0000-000063280000}"/>
    <cellStyle name="Followed Hyperlink 2" xfId="31116" hidden="1" xr:uid="{00000000-0005-0000-0000-000064280000}"/>
    <cellStyle name="Followed Hyperlink 2" xfId="31113" hidden="1" xr:uid="{00000000-0005-0000-0000-000065280000}"/>
    <cellStyle name="Followed Hyperlink 2" xfId="31111" hidden="1" xr:uid="{00000000-0005-0000-0000-000066280000}"/>
    <cellStyle name="Followed Hyperlink 2" xfId="31112" hidden="1" xr:uid="{00000000-0005-0000-0000-000067280000}"/>
    <cellStyle name="Followed Hyperlink 2" xfId="31122" hidden="1" xr:uid="{00000000-0005-0000-0000-000068280000}"/>
    <cellStyle name="Followed Hyperlink 2" xfId="31125" hidden="1" xr:uid="{00000000-0005-0000-0000-000069280000}"/>
    <cellStyle name="Followed Hyperlink 2" xfId="31128" hidden="1" xr:uid="{00000000-0005-0000-0000-00006A280000}"/>
    <cellStyle name="Followed Hyperlink 2" xfId="31132" hidden="1" xr:uid="{00000000-0005-0000-0000-00006B280000}"/>
    <cellStyle name="Followed Hyperlink 2" xfId="31140" hidden="1" xr:uid="{00000000-0005-0000-0000-00006C280000}"/>
    <cellStyle name="Followed Hyperlink 2" xfId="31137" hidden="1" xr:uid="{00000000-0005-0000-0000-00006D280000}"/>
    <cellStyle name="Followed Hyperlink 2" xfId="31135" hidden="1" xr:uid="{00000000-0005-0000-0000-00006E280000}"/>
    <cellStyle name="Followed Hyperlink 2" xfId="31136" hidden="1" xr:uid="{00000000-0005-0000-0000-00006F280000}"/>
    <cellStyle name="Followed Hyperlink 2" xfId="31146" hidden="1" xr:uid="{00000000-0005-0000-0000-000070280000}"/>
    <cellStyle name="Followed Hyperlink 2" xfId="31149" hidden="1" xr:uid="{00000000-0005-0000-0000-000071280000}"/>
    <cellStyle name="Followed Hyperlink 2" xfId="31152" hidden="1" xr:uid="{00000000-0005-0000-0000-000072280000}"/>
    <cellStyle name="Followed Hyperlink 2" xfId="31156" hidden="1" xr:uid="{00000000-0005-0000-0000-000073280000}"/>
    <cellStyle name="Followed Hyperlink 2" xfId="31164" hidden="1" xr:uid="{00000000-0005-0000-0000-000074280000}"/>
    <cellStyle name="Followed Hyperlink 2" xfId="31161" hidden="1" xr:uid="{00000000-0005-0000-0000-000075280000}"/>
    <cellStyle name="Followed Hyperlink 2" xfId="31159" hidden="1" xr:uid="{00000000-0005-0000-0000-000076280000}"/>
    <cellStyle name="Followed Hyperlink 2" xfId="31160" hidden="1" xr:uid="{00000000-0005-0000-0000-000077280000}"/>
    <cellStyle name="Followed Hyperlink 2" xfId="31170" hidden="1" xr:uid="{00000000-0005-0000-0000-000078280000}"/>
    <cellStyle name="Followed Hyperlink 2" xfId="31173" hidden="1" xr:uid="{00000000-0005-0000-0000-000079280000}"/>
    <cellStyle name="Followed Hyperlink 2" xfId="31176" hidden="1" xr:uid="{00000000-0005-0000-0000-00007A280000}"/>
    <cellStyle name="Followed Hyperlink 2" xfId="31180" hidden="1" xr:uid="{00000000-0005-0000-0000-00007B280000}"/>
    <cellStyle name="Followed Hyperlink 2" xfId="25151" hidden="1" xr:uid="{00000000-0005-0000-0000-00007C280000}"/>
    <cellStyle name="Followed Hyperlink 2" xfId="25147" hidden="1" xr:uid="{00000000-0005-0000-0000-00007D280000}"/>
    <cellStyle name="Followed Hyperlink 2" xfId="25148" hidden="1" xr:uid="{00000000-0005-0000-0000-00007E280000}"/>
    <cellStyle name="Followed Hyperlink 2" xfId="25135" hidden="1" xr:uid="{00000000-0005-0000-0000-00007F280000}"/>
    <cellStyle name="Followed Hyperlink 2" xfId="31183" hidden="1" xr:uid="{00000000-0005-0000-0000-000080280000}"/>
    <cellStyle name="Followed Hyperlink 2" xfId="31186" hidden="1" xr:uid="{00000000-0005-0000-0000-000081280000}"/>
    <cellStyle name="Followed Hyperlink 2" xfId="31189" hidden="1" xr:uid="{00000000-0005-0000-0000-000082280000}"/>
    <cellStyle name="Followed Hyperlink 2" xfId="31193" hidden="1" xr:uid="{00000000-0005-0000-0000-000083280000}"/>
    <cellStyle name="Followed Hyperlink 2" xfId="31201" hidden="1" xr:uid="{00000000-0005-0000-0000-000084280000}"/>
    <cellStyle name="Followed Hyperlink 2" xfId="31198" hidden="1" xr:uid="{00000000-0005-0000-0000-000085280000}"/>
    <cellStyle name="Followed Hyperlink 2" xfId="31196" hidden="1" xr:uid="{00000000-0005-0000-0000-000086280000}"/>
    <cellStyle name="Followed Hyperlink 2" xfId="31197" hidden="1" xr:uid="{00000000-0005-0000-0000-000087280000}"/>
    <cellStyle name="Followed Hyperlink 2" xfId="31207" hidden="1" xr:uid="{00000000-0005-0000-0000-000088280000}"/>
    <cellStyle name="Followed Hyperlink 2" xfId="31210" hidden="1" xr:uid="{00000000-0005-0000-0000-000089280000}"/>
    <cellStyle name="Followed Hyperlink 2" xfId="31213" hidden="1" xr:uid="{00000000-0005-0000-0000-00008A280000}"/>
    <cellStyle name="Followed Hyperlink 2" xfId="31217" hidden="1" xr:uid="{00000000-0005-0000-0000-00008B280000}"/>
    <cellStyle name="Followed Hyperlink 2" xfId="31225" hidden="1" xr:uid="{00000000-0005-0000-0000-00008C280000}"/>
    <cellStyle name="Followed Hyperlink 2" xfId="31222" hidden="1" xr:uid="{00000000-0005-0000-0000-00008D280000}"/>
    <cellStyle name="Followed Hyperlink 2" xfId="31220" hidden="1" xr:uid="{00000000-0005-0000-0000-00008E280000}"/>
    <cellStyle name="Followed Hyperlink 2" xfId="31221" hidden="1" xr:uid="{00000000-0005-0000-0000-00008F280000}"/>
    <cellStyle name="Followed Hyperlink 2" xfId="31231" hidden="1" xr:uid="{00000000-0005-0000-0000-000090280000}"/>
    <cellStyle name="Followed Hyperlink 2" xfId="31234" hidden="1" xr:uid="{00000000-0005-0000-0000-000091280000}"/>
    <cellStyle name="Followed Hyperlink 2" xfId="31237" hidden="1" xr:uid="{00000000-0005-0000-0000-000092280000}"/>
    <cellStyle name="Followed Hyperlink 2" xfId="31241" hidden="1" xr:uid="{00000000-0005-0000-0000-000093280000}"/>
    <cellStyle name="Followed Hyperlink 2" xfId="31249" hidden="1" xr:uid="{00000000-0005-0000-0000-000094280000}"/>
    <cellStyle name="Followed Hyperlink 2" xfId="31246" hidden="1" xr:uid="{00000000-0005-0000-0000-000095280000}"/>
    <cellStyle name="Followed Hyperlink 2" xfId="31244" hidden="1" xr:uid="{00000000-0005-0000-0000-000096280000}"/>
    <cellStyle name="Followed Hyperlink 2" xfId="31245" hidden="1" xr:uid="{00000000-0005-0000-0000-000097280000}"/>
    <cellStyle name="Followed Hyperlink 2" xfId="31255" hidden="1" xr:uid="{00000000-0005-0000-0000-000098280000}"/>
    <cellStyle name="Followed Hyperlink 2" xfId="31258" hidden="1" xr:uid="{00000000-0005-0000-0000-000099280000}"/>
    <cellStyle name="Followed Hyperlink 2" xfId="31261" hidden="1" xr:uid="{00000000-0005-0000-0000-00009A280000}"/>
    <cellStyle name="Followed Hyperlink 2" xfId="31265" hidden="1" xr:uid="{00000000-0005-0000-0000-00009B280000}"/>
    <cellStyle name="Followed Hyperlink 2" xfId="31302" hidden="1" xr:uid="{00000000-0005-0000-0000-00009C280000}"/>
    <cellStyle name="Followed Hyperlink 2" xfId="31299" hidden="1" xr:uid="{00000000-0005-0000-0000-00009D280000}"/>
    <cellStyle name="Followed Hyperlink 2" xfId="31297" hidden="1" xr:uid="{00000000-0005-0000-0000-00009E280000}"/>
    <cellStyle name="Followed Hyperlink 2" xfId="31298" hidden="1" xr:uid="{00000000-0005-0000-0000-00009F280000}"/>
    <cellStyle name="Followed Hyperlink 2" xfId="31308" hidden="1" xr:uid="{00000000-0005-0000-0000-0000A0280000}"/>
    <cellStyle name="Followed Hyperlink 2" xfId="31311" hidden="1" xr:uid="{00000000-0005-0000-0000-0000A1280000}"/>
    <cellStyle name="Followed Hyperlink 2" xfId="31314" hidden="1" xr:uid="{00000000-0005-0000-0000-0000A2280000}"/>
    <cellStyle name="Followed Hyperlink 2" xfId="31318" hidden="1" xr:uid="{00000000-0005-0000-0000-0000A3280000}"/>
    <cellStyle name="Followed Hyperlink 2" xfId="31326" hidden="1" xr:uid="{00000000-0005-0000-0000-0000A4280000}"/>
    <cellStyle name="Followed Hyperlink 2" xfId="31323" hidden="1" xr:uid="{00000000-0005-0000-0000-0000A5280000}"/>
    <cellStyle name="Followed Hyperlink 2" xfId="31321" hidden="1" xr:uid="{00000000-0005-0000-0000-0000A6280000}"/>
    <cellStyle name="Followed Hyperlink 2" xfId="31322" hidden="1" xr:uid="{00000000-0005-0000-0000-0000A7280000}"/>
    <cellStyle name="Followed Hyperlink 2" xfId="31332" hidden="1" xr:uid="{00000000-0005-0000-0000-0000A8280000}"/>
    <cellStyle name="Followed Hyperlink 2" xfId="31335" hidden="1" xr:uid="{00000000-0005-0000-0000-0000A9280000}"/>
    <cellStyle name="Followed Hyperlink 2" xfId="31338" hidden="1" xr:uid="{00000000-0005-0000-0000-0000AA280000}"/>
    <cellStyle name="Followed Hyperlink 2" xfId="31342" hidden="1" xr:uid="{00000000-0005-0000-0000-0000AB280000}"/>
    <cellStyle name="Followed Hyperlink 2" xfId="31352" hidden="1" xr:uid="{00000000-0005-0000-0000-0000AC280000}"/>
    <cellStyle name="Followed Hyperlink 2" xfId="31349" hidden="1" xr:uid="{00000000-0005-0000-0000-0000AD280000}"/>
    <cellStyle name="Followed Hyperlink 2" xfId="31347" hidden="1" xr:uid="{00000000-0005-0000-0000-0000AE280000}"/>
    <cellStyle name="Followed Hyperlink 2" xfId="31348" hidden="1" xr:uid="{00000000-0005-0000-0000-0000AF280000}"/>
    <cellStyle name="Followed Hyperlink 2" xfId="31358" hidden="1" xr:uid="{00000000-0005-0000-0000-0000B0280000}"/>
    <cellStyle name="Followed Hyperlink 2" xfId="31361" hidden="1" xr:uid="{00000000-0005-0000-0000-0000B1280000}"/>
    <cellStyle name="Followed Hyperlink 2" xfId="31364" hidden="1" xr:uid="{00000000-0005-0000-0000-0000B2280000}"/>
    <cellStyle name="Followed Hyperlink 2" xfId="31368" hidden="1" xr:uid="{00000000-0005-0000-0000-0000B3280000}"/>
    <cellStyle name="Followed Hyperlink 2" xfId="31376" hidden="1" xr:uid="{00000000-0005-0000-0000-0000B4280000}"/>
    <cellStyle name="Followed Hyperlink 2" xfId="31373" hidden="1" xr:uid="{00000000-0005-0000-0000-0000B5280000}"/>
    <cellStyle name="Followed Hyperlink 2" xfId="31371" hidden="1" xr:uid="{00000000-0005-0000-0000-0000B6280000}"/>
    <cellStyle name="Followed Hyperlink 2" xfId="31372" hidden="1" xr:uid="{00000000-0005-0000-0000-0000B7280000}"/>
    <cellStyle name="Followed Hyperlink 2" xfId="31382" hidden="1" xr:uid="{00000000-0005-0000-0000-0000B8280000}"/>
    <cellStyle name="Followed Hyperlink 2" xfId="31385" hidden="1" xr:uid="{00000000-0005-0000-0000-0000B9280000}"/>
    <cellStyle name="Followed Hyperlink 2" xfId="31388" hidden="1" xr:uid="{00000000-0005-0000-0000-0000BA280000}"/>
    <cellStyle name="Followed Hyperlink 2" xfId="31392" hidden="1" xr:uid="{00000000-0005-0000-0000-0000BB280000}"/>
    <cellStyle name="Followed Hyperlink 2" xfId="31429" hidden="1" xr:uid="{00000000-0005-0000-0000-0000BC280000}"/>
    <cellStyle name="Followed Hyperlink 2" xfId="31426" hidden="1" xr:uid="{00000000-0005-0000-0000-0000BD280000}"/>
    <cellStyle name="Followed Hyperlink 2" xfId="31424" hidden="1" xr:uid="{00000000-0005-0000-0000-0000BE280000}"/>
    <cellStyle name="Followed Hyperlink 2" xfId="31425" hidden="1" xr:uid="{00000000-0005-0000-0000-0000BF280000}"/>
    <cellStyle name="Followed Hyperlink 2" xfId="31435" hidden="1" xr:uid="{00000000-0005-0000-0000-0000C0280000}"/>
    <cellStyle name="Followed Hyperlink 2" xfId="31438" hidden="1" xr:uid="{00000000-0005-0000-0000-0000C1280000}"/>
    <cellStyle name="Followed Hyperlink 2" xfId="31441" hidden="1" xr:uid="{00000000-0005-0000-0000-0000C2280000}"/>
    <cellStyle name="Followed Hyperlink 2" xfId="31445" hidden="1" xr:uid="{00000000-0005-0000-0000-0000C3280000}"/>
    <cellStyle name="Followed Hyperlink 2" xfId="31453" hidden="1" xr:uid="{00000000-0005-0000-0000-0000C4280000}"/>
    <cellStyle name="Followed Hyperlink 2" xfId="31450" hidden="1" xr:uid="{00000000-0005-0000-0000-0000C5280000}"/>
    <cellStyle name="Followed Hyperlink 2" xfId="31448" hidden="1" xr:uid="{00000000-0005-0000-0000-0000C6280000}"/>
    <cellStyle name="Followed Hyperlink 2" xfId="31449" hidden="1" xr:uid="{00000000-0005-0000-0000-0000C7280000}"/>
    <cellStyle name="Followed Hyperlink 2" xfId="31459" hidden="1" xr:uid="{00000000-0005-0000-0000-0000C8280000}"/>
    <cellStyle name="Followed Hyperlink 2" xfId="31462" hidden="1" xr:uid="{00000000-0005-0000-0000-0000C9280000}"/>
    <cellStyle name="Followed Hyperlink 2" xfId="31465" hidden="1" xr:uid="{00000000-0005-0000-0000-0000CA280000}"/>
    <cellStyle name="Followed Hyperlink 2" xfId="31469" hidden="1" xr:uid="{00000000-0005-0000-0000-0000CB280000}"/>
    <cellStyle name="Followed Hyperlink 2" xfId="31479" hidden="1" xr:uid="{00000000-0005-0000-0000-0000CC280000}"/>
    <cellStyle name="Followed Hyperlink 2" xfId="31476" hidden="1" xr:uid="{00000000-0005-0000-0000-0000CD280000}"/>
    <cellStyle name="Followed Hyperlink 2" xfId="31474" hidden="1" xr:uid="{00000000-0005-0000-0000-0000CE280000}"/>
    <cellStyle name="Followed Hyperlink 2" xfId="31475" hidden="1" xr:uid="{00000000-0005-0000-0000-0000CF280000}"/>
    <cellStyle name="Followed Hyperlink 2" xfId="31485" hidden="1" xr:uid="{00000000-0005-0000-0000-0000D0280000}"/>
    <cellStyle name="Followed Hyperlink 2" xfId="31488" hidden="1" xr:uid="{00000000-0005-0000-0000-0000D1280000}"/>
    <cellStyle name="Followed Hyperlink 2" xfId="31491" hidden="1" xr:uid="{00000000-0005-0000-0000-0000D2280000}"/>
    <cellStyle name="Followed Hyperlink 2" xfId="31495" hidden="1" xr:uid="{00000000-0005-0000-0000-0000D3280000}"/>
    <cellStyle name="Followed Hyperlink 2" xfId="31503" hidden="1" xr:uid="{00000000-0005-0000-0000-0000D4280000}"/>
    <cellStyle name="Followed Hyperlink 2" xfId="31500" hidden="1" xr:uid="{00000000-0005-0000-0000-0000D5280000}"/>
    <cellStyle name="Followed Hyperlink 2" xfId="31498" hidden="1" xr:uid="{00000000-0005-0000-0000-0000D6280000}"/>
    <cellStyle name="Followed Hyperlink 2" xfId="31499" hidden="1" xr:uid="{00000000-0005-0000-0000-0000D7280000}"/>
    <cellStyle name="Followed Hyperlink 2" xfId="31509" hidden="1" xr:uid="{00000000-0005-0000-0000-0000D8280000}"/>
    <cellStyle name="Followed Hyperlink 2" xfId="31512" hidden="1" xr:uid="{00000000-0005-0000-0000-0000D9280000}"/>
    <cellStyle name="Followed Hyperlink 2" xfId="31515" hidden="1" xr:uid="{00000000-0005-0000-0000-0000DA280000}"/>
    <cellStyle name="Followed Hyperlink 2" xfId="31519" hidden="1" xr:uid="{00000000-0005-0000-0000-0000DB280000}"/>
    <cellStyle name="Followed Hyperlink 2" xfId="31396" hidden="1" xr:uid="{00000000-0005-0000-0000-0000DC280000}"/>
    <cellStyle name="Followed Hyperlink 2" xfId="31400" hidden="1" xr:uid="{00000000-0005-0000-0000-0000DD280000}"/>
    <cellStyle name="Followed Hyperlink 2" xfId="31395" hidden="1" xr:uid="{00000000-0005-0000-0000-0000DE280000}"/>
    <cellStyle name="Followed Hyperlink 2" xfId="31401" hidden="1" xr:uid="{00000000-0005-0000-0000-0000DF280000}"/>
    <cellStyle name="Followed Hyperlink 2" xfId="31522" hidden="1" xr:uid="{00000000-0005-0000-0000-0000E0280000}"/>
    <cellStyle name="Followed Hyperlink 2" xfId="31525" hidden="1" xr:uid="{00000000-0005-0000-0000-0000E1280000}"/>
    <cellStyle name="Followed Hyperlink 2" xfId="31528" hidden="1" xr:uid="{00000000-0005-0000-0000-0000E2280000}"/>
    <cellStyle name="Followed Hyperlink 2" xfId="31532" hidden="1" xr:uid="{00000000-0005-0000-0000-0000E3280000}"/>
    <cellStyle name="Followed Hyperlink 2" xfId="31540" hidden="1" xr:uid="{00000000-0005-0000-0000-0000E4280000}"/>
    <cellStyle name="Followed Hyperlink 2" xfId="31537" hidden="1" xr:uid="{00000000-0005-0000-0000-0000E5280000}"/>
    <cellStyle name="Followed Hyperlink 2" xfId="31535" hidden="1" xr:uid="{00000000-0005-0000-0000-0000E6280000}"/>
    <cellStyle name="Followed Hyperlink 2" xfId="31536" hidden="1" xr:uid="{00000000-0005-0000-0000-0000E7280000}"/>
    <cellStyle name="Followed Hyperlink 2" xfId="31546" hidden="1" xr:uid="{00000000-0005-0000-0000-0000E8280000}"/>
    <cellStyle name="Followed Hyperlink 2" xfId="31549" hidden="1" xr:uid="{00000000-0005-0000-0000-0000E9280000}"/>
    <cellStyle name="Followed Hyperlink 2" xfId="31552" hidden="1" xr:uid="{00000000-0005-0000-0000-0000EA280000}"/>
    <cellStyle name="Followed Hyperlink 2" xfId="31556" hidden="1" xr:uid="{00000000-0005-0000-0000-0000EB280000}"/>
    <cellStyle name="Followed Hyperlink 2" xfId="31565" hidden="1" xr:uid="{00000000-0005-0000-0000-0000EC280000}"/>
    <cellStyle name="Followed Hyperlink 2" xfId="31562" hidden="1" xr:uid="{00000000-0005-0000-0000-0000ED280000}"/>
    <cellStyle name="Followed Hyperlink 2" xfId="31560" hidden="1" xr:uid="{00000000-0005-0000-0000-0000EE280000}"/>
    <cellStyle name="Followed Hyperlink 2" xfId="31561" hidden="1" xr:uid="{00000000-0005-0000-0000-0000EF280000}"/>
    <cellStyle name="Followed Hyperlink 2" xfId="31571" hidden="1" xr:uid="{00000000-0005-0000-0000-0000F0280000}"/>
    <cellStyle name="Followed Hyperlink 2" xfId="31574" hidden="1" xr:uid="{00000000-0005-0000-0000-0000F1280000}"/>
    <cellStyle name="Followed Hyperlink 2" xfId="31577" hidden="1" xr:uid="{00000000-0005-0000-0000-0000F2280000}"/>
    <cellStyle name="Followed Hyperlink 2" xfId="31581" hidden="1" xr:uid="{00000000-0005-0000-0000-0000F3280000}"/>
    <cellStyle name="Followed Hyperlink 2" xfId="31589" hidden="1" xr:uid="{00000000-0005-0000-0000-0000F4280000}"/>
    <cellStyle name="Followed Hyperlink 2" xfId="31586" hidden="1" xr:uid="{00000000-0005-0000-0000-0000F5280000}"/>
    <cellStyle name="Followed Hyperlink 2" xfId="31584" hidden="1" xr:uid="{00000000-0005-0000-0000-0000F6280000}"/>
    <cellStyle name="Followed Hyperlink 2" xfId="31585" hidden="1" xr:uid="{00000000-0005-0000-0000-0000F7280000}"/>
    <cellStyle name="Followed Hyperlink 2" xfId="31595" hidden="1" xr:uid="{00000000-0005-0000-0000-0000F8280000}"/>
    <cellStyle name="Followed Hyperlink 2" xfId="31598" hidden="1" xr:uid="{00000000-0005-0000-0000-0000F9280000}"/>
    <cellStyle name="Followed Hyperlink 2" xfId="31601" hidden="1" xr:uid="{00000000-0005-0000-0000-0000FA280000}"/>
    <cellStyle name="Followed Hyperlink 2" xfId="31605" hidden="1" xr:uid="{00000000-0005-0000-0000-0000FB280000}"/>
    <cellStyle name="Followed Hyperlink 2" xfId="31414" hidden="1" xr:uid="{00000000-0005-0000-0000-0000FC280000}"/>
    <cellStyle name="Followed Hyperlink 2" xfId="31411" hidden="1" xr:uid="{00000000-0005-0000-0000-0000FD280000}"/>
    <cellStyle name="Followed Hyperlink 2" xfId="31405" hidden="1" xr:uid="{00000000-0005-0000-0000-0000FE280000}"/>
    <cellStyle name="Followed Hyperlink 2" xfId="31410" hidden="1" xr:uid="{00000000-0005-0000-0000-0000FF280000}"/>
    <cellStyle name="Followed Hyperlink 2" xfId="31608" hidden="1" xr:uid="{00000000-0005-0000-0000-000000290000}"/>
    <cellStyle name="Followed Hyperlink 2" xfId="31611" hidden="1" xr:uid="{00000000-0005-0000-0000-000001290000}"/>
    <cellStyle name="Followed Hyperlink 2" xfId="31614" hidden="1" xr:uid="{00000000-0005-0000-0000-000002290000}"/>
    <cellStyle name="Followed Hyperlink 2" xfId="31618" hidden="1" xr:uid="{00000000-0005-0000-0000-000003290000}"/>
    <cellStyle name="Followed Hyperlink 2" xfId="31626" hidden="1" xr:uid="{00000000-0005-0000-0000-000004290000}"/>
    <cellStyle name="Followed Hyperlink 2" xfId="31623" hidden="1" xr:uid="{00000000-0005-0000-0000-000005290000}"/>
    <cellStyle name="Followed Hyperlink 2" xfId="31621" hidden="1" xr:uid="{00000000-0005-0000-0000-000006290000}"/>
    <cellStyle name="Followed Hyperlink 2" xfId="31622" hidden="1" xr:uid="{00000000-0005-0000-0000-000007290000}"/>
    <cellStyle name="Followed Hyperlink 2" xfId="31632" hidden="1" xr:uid="{00000000-0005-0000-0000-000008290000}"/>
    <cellStyle name="Followed Hyperlink 2" xfId="31635" hidden="1" xr:uid="{00000000-0005-0000-0000-000009290000}"/>
    <cellStyle name="Followed Hyperlink 2" xfId="31638" hidden="1" xr:uid="{00000000-0005-0000-0000-00000A290000}"/>
    <cellStyle name="Followed Hyperlink 2" xfId="31642" hidden="1" xr:uid="{00000000-0005-0000-0000-00000B290000}"/>
    <cellStyle name="Followed Hyperlink 2" xfId="31651" hidden="1" xr:uid="{00000000-0005-0000-0000-00000C290000}"/>
    <cellStyle name="Followed Hyperlink 2" xfId="31648" hidden="1" xr:uid="{00000000-0005-0000-0000-00000D290000}"/>
    <cellStyle name="Followed Hyperlink 2" xfId="31646" hidden="1" xr:uid="{00000000-0005-0000-0000-00000E290000}"/>
    <cellStyle name="Followed Hyperlink 2" xfId="31647" hidden="1" xr:uid="{00000000-0005-0000-0000-00000F290000}"/>
    <cellStyle name="Followed Hyperlink 2" xfId="31657" hidden="1" xr:uid="{00000000-0005-0000-0000-000010290000}"/>
    <cellStyle name="Followed Hyperlink 2" xfId="31660" hidden="1" xr:uid="{00000000-0005-0000-0000-000011290000}"/>
    <cellStyle name="Followed Hyperlink 2" xfId="31663" hidden="1" xr:uid="{00000000-0005-0000-0000-000012290000}"/>
    <cellStyle name="Followed Hyperlink 2" xfId="31667" hidden="1" xr:uid="{00000000-0005-0000-0000-000013290000}"/>
    <cellStyle name="Followed Hyperlink 2" xfId="31675" hidden="1" xr:uid="{00000000-0005-0000-0000-000014290000}"/>
    <cellStyle name="Followed Hyperlink 2" xfId="31672" hidden="1" xr:uid="{00000000-0005-0000-0000-000015290000}"/>
    <cellStyle name="Followed Hyperlink 2" xfId="31670" hidden="1" xr:uid="{00000000-0005-0000-0000-000016290000}"/>
    <cellStyle name="Followed Hyperlink 2" xfId="31671" hidden="1" xr:uid="{00000000-0005-0000-0000-000017290000}"/>
    <cellStyle name="Followed Hyperlink 2" xfId="31681" hidden="1" xr:uid="{00000000-0005-0000-0000-000018290000}"/>
    <cellStyle name="Followed Hyperlink 2" xfId="31684" hidden="1" xr:uid="{00000000-0005-0000-0000-000019290000}"/>
    <cellStyle name="Followed Hyperlink 2" xfId="31687" hidden="1" xr:uid="{00000000-0005-0000-0000-00001A290000}"/>
    <cellStyle name="Followed Hyperlink 2" xfId="31691" hidden="1" xr:uid="{00000000-0005-0000-0000-00001B290000}"/>
    <cellStyle name="Followed Hyperlink 2" xfId="31422" hidden="1" xr:uid="{00000000-0005-0000-0000-00001C290000}"/>
    <cellStyle name="Followed Hyperlink 2" xfId="31418" hidden="1" xr:uid="{00000000-0005-0000-0000-00001D290000}"/>
    <cellStyle name="Followed Hyperlink 2" xfId="31419" hidden="1" xr:uid="{00000000-0005-0000-0000-00001E290000}"/>
    <cellStyle name="Followed Hyperlink 2" xfId="31406" hidden="1" xr:uid="{00000000-0005-0000-0000-00001F290000}"/>
    <cellStyle name="Followed Hyperlink 2" xfId="31694" hidden="1" xr:uid="{00000000-0005-0000-0000-000020290000}"/>
    <cellStyle name="Followed Hyperlink 2" xfId="31697" hidden="1" xr:uid="{00000000-0005-0000-0000-000021290000}"/>
    <cellStyle name="Followed Hyperlink 2" xfId="31700" hidden="1" xr:uid="{00000000-0005-0000-0000-000022290000}"/>
    <cellStyle name="Followed Hyperlink 2" xfId="31704" hidden="1" xr:uid="{00000000-0005-0000-0000-000023290000}"/>
    <cellStyle name="Followed Hyperlink 2" xfId="31712" hidden="1" xr:uid="{00000000-0005-0000-0000-000024290000}"/>
    <cellStyle name="Followed Hyperlink 2" xfId="31709" hidden="1" xr:uid="{00000000-0005-0000-0000-000025290000}"/>
    <cellStyle name="Followed Hyperlink 2" xfId="31707" hidden="1" xr:uid="{00000000-0005-0000-0000-000026290000}"/>
    <cellStyle name="Followed Hyperlink 2" xfId="31708" hidden="1" xr:uid="{00000000-0005-0000-0000-000027290000}"/>
    <cellStyle name="Followed Hyperlink 2" xfId="31718" hidden="1" xr:uid="{00000000-0005-0000-0000-000028290000}"/>
    <cellStyle name="Followed Hyperlink 2" xfId="31721" hidden="1" xr:uid="{00000000-0005-0000-0000-000029290000}"/>
    <cellStyle name="Followed Hyperlink 2" xfId="31724" hidden="1" xr:uid="{00000000-0005-0000-0000-00002A290000}"/>
    <cellStyle name="Followed Hyperlink 2" xfId="31728" hidden="1" xr:uid="{00000000-0005-0000-0000-00002B290000}"/>
    <cellStyle name="Followed Hyperlink 2" xfId="31736" hidden="1" xr:uid="{00000000-0005-0000-0000-00002C290000}"/>
    <cellStyle name="Followed Hyperlink 2" xfId="31733" hidden="1" xr:uid="{00000000-0005-0000-0000-00002D290000}"/>
    <cellStyle name="Followed Hyperlink 2" xfId="31731" hidden="1" xr:uid="{00000000-0005-0000-0000-00002E290000}"/>
    <cellStyle name="Followed Hyperlink 2" xfId="31732" hidden="1" xr:uid="{00000000-0005-0000-0000-00002F290000}"/>
    <cellStyle name="Followed Hyperlink 2" xfId="31742" hidden="1" xr:uid="{00000000-0005-0000-0000-000030290000}"/>
    <cellStyle name="Followed Hyperlink 2" xfId="31745" hidden="1" xr:uid="{00000000-0005-0000-0000-000031290000}"/>
    <cellStyle name="Followed Hyperlink 2" xfId="31748" hidden="1" xr:uid="{00000000-0005-0000-0000-000032290000}"/>
    <cellStyle name="Followed Hyperlink 2" xfId="31752" hidden="1" xr:uid="{00000000-0005-0000-0000-000033290000}"/>
    <cellStyle name="Followed Hyperlink 2" xfId="31760" hidden="1" xr:uid="{00000000-0005-0000-0000-000034290000}"/>
    <cellStyle name="Followed Hyperlink 2" xfId="31757" hidden="1" xr:uid="{00000000-0005-0000-0000-000035290000}"/>
    <cellStyle name="Followed Hyperlink 2" xfId="31755" hidden="1" xr:uid="{00000000-0005-0000-0000-000036290000}"/>
    <cellStyle name="Followed Hyperlink 2" xfId="31756" hidden="1" xr:uid="{00000000-0005-0000-0000-000037290000}"/>
    <cellStyle name="Followed Hyperlink 2" xfId="31766" hidden="1" xr:uid="{00000000-0005-0000-0000-000038290000}"/>
    <cellStyle name="Followed Hyperlink 2" xfId="31769" hidden="1" xr:uid="{00000000-0005-0000-0000-000039290000}"/>
    <cellStyle name="Followed Hyperlink 2" xfId="31772" hidden="1" xr:uid="{00000000-0005-0000-0000-00003A290000}"/>
    <cellStyle name="Followed Hyperlink 2" xfId="31776" hidden="1" xr:uid="{00000000-0005-0000-0000-00003B290000}"/>
    <cellStyle name="Followed Hyperlink 2" xfId="31269" hidden="1" xr:uid="{00000000-0005-0000-0000-00003C290000}"/>
    <cellStyle name="Followed Hyperlink 2" xfId="31273" hidden="1" xr:uid="{00000000-0005-0000-0000-00003D290000}"/>
    <cellStyle name="Followed Hyperlink 2" xfId="31268" hidden="1" xr:uid="{00000000-0005-0000-0000-00003E290000}"/>
    <cellStyle name="Followed Hyperlink 2" xfId="31274" hidden="1" xr:uid="{00000000-0005-0000-0000-00003F290000}"/>
    <cellStyle name="Followed Hyperlink 2" xfId="31779" hidden="1" xr:uid="{00000000-0005-0000-0000-000040290000}"/>
    <cellStyle name="Followed Hyperlink 2" xfId="31782" hidden="1" xr:uid="{00000000-0005-0000-0000-000041290000}"/>
    <cellStyle name="Followed Hyperlink 2" xfId="31785" hidden="1" xr:uid="{00000000-0005-0000-0000-000042290000}"/>
    <cellStyle name="Followed Hyperlink 2" xfId="31789" hidden="1" xr:uid="{00000000-0005-0000-0000-000043290000}"/>
    <cellStyle name="Followed Hyperlink 2" xfId="31797" hidden="1" xr:uid="{00000000-0005-0000-0000-000044290000}"/>
    <cellStyle name="Followed Hyperlink 2" xfId="31794" hidden="1" xr:uid="{00000000-0005-0000-0000-000045290000}"/>
    <cellStyle name="Followed Hyperlink 2" xfId="31792" hidden="1" xr:uid="{00000000-0005-0000-0000-000046290000}"/>
    <cellStyle name="Followed Hyperlink 2" xfId="31793" hidden="1" xr:uid="{00000000-0005-0000-0000-000047290000}"/>
    <cellStyle name="Followed Hyperlink 2" xfId="31803" hidden="1" xr:uid="{00000000-0005-0000-0000-000048290000}"/>
    <cellStyle name="Followed Hyperlink 2" xfId="31806" hidden="1" xr:uid="{00000000-0005-0000-0000-000049290000}"/>
    <cellStyle name="Followed Hyperlink 2" xfId="31809" hidden="1" xr:uid="{00000000-0005-0000-0000-00004A290000}"/>
    <cellStyle name="Followed Hyperlink 2" xfId="31813" hidden="1" xr:uid="{00000000-0005-0000-0000-00004B290000}"/>
    <cellStyle name="Followed Hyperlink 2" xfId="31822" hidden="1" xr:uid="{00000000-0005-0000-0000-00004C290000}"/>
    <cellStyle name="Followed Hyperlink 2" xfId="31819" hidden="1" xr:uid="{00000000-0005-0000-0000-00004D290000}"/>
    <cellStyle name="Followed Hyperlink 2" xfId="31817" hidden="1" xr:uid="{00000000-0005-0000-0000-00004E290000}"/>
    <cellStyle name="Followed Hyperlink 2" xfId="31818" hidden="1" xr:uid="{00000000-0005-0000-0000-00004F290000}"/>
    <cellStyle name="Followed Hyperlink 2" xfId="31828" hidden="1" xr:uid="{00000000-0005-0000-0000-000050290000}"/>
    <cellStyle name="Followed Hyperlink 2" xfId="31831" hidden="1" xr:uid="{00000000-0005-0000-0000-000051290000}"/>
    <cellStyle name="Followed Hyperlink 2" xfId="31834" hidden="1" xr:uid="{00000000-0005-0000-0000-000052290000}"/>
    <cellStyle name="Followed Hyperlink 2" xfId="31838" hidden="1" xr:uid="{00000000-0005-0000-0000-000053290000}"/>
    <cellStyle name="Followed Hyperlink 2" xfId="31846" hidden="1" xr:uid="{00000000-0005-0000-0000-000054290000}"/>
    <cellStyle name="Followed Hyperlink 2" xfId="31843" hidden="1" xr:uid="{00000000-0005-0000-0000-000055290000}"/>
    <cellStyle name="Followed Hyperlink 2" xfId="31841" hidden="1" xr:uid="{00000000-0005-0000-0000-000056290000}"/>
    <cellStyle name="Followed Hyperlink 2" xfId="31842" hidden="1" xr:uid="{00000000-0005-0000-0000-000057290000}"/>
    <cellStyle name="Followed Hyperlink 2" xfId="31852" hidden="1" xr:uid="{00000000-0005-0000-0000-000058290000}"/>
    <cellStyle name="Followed Hyperlink 2" xfId="31855" hidden="1" xr:uid="{00000000-0005-0000-0000-000059290000}"/>
    <cellStyle name="Followed Hyperlink 2" xfId="31858" hidden="1" xr:uid="{00000000-0005-0000-0000-00005A290000}"/>
    <cellStyle name="Followed Hyperlink 2" xfId="31862" hidden="1" xr:uid="{00000000-0005-0000-0000-00005B290000}"/>
    <cellStyle name="Followed Hyperlink 2" xfId="31899" hidden="1" xr:uid="{00000000-0005-0000-0000-00005C290000}"/>
    <cellStyle name="Followed Hyperlink 2" xfId="31896" hidden="1" xr:uid="{00000000-0005-0000-0000-00005D290000}"/>
    <cellStyle name="Followed Hyperlink 2" xfId="31894" hidden="1" xr:uid="{00000000-0005-0000-0000-00005E290000}"/>
    <cellStyle name="Followed Hyperlink 2" xfId="31895" hidden="1" xr:uid="{00000000-0005-0000-0000-00005F290000}"/>
    <cellStyle name="Followed Hyperlink 2" xfId="31905" hidden="1" xr:uid="{00000000-0005-0000-0000-000060290000}"/>
    <cellStyle name="Followed Hyperlink 2" xfId="31908" hidden="1" xr:uid="{00000000-0005-0000-0000-000061290000}"/>
    <cellStyle name="Followed Hyperlink 2" xfId="31911" hidden="1" xr:uid="{00000000-0005-0000-0000-000062290000}"/>
    <cellStyle name="Followed Hyperlink 2" xfId="31915" hidden="1" xr:uid="{00000000-0005-0000-0000-000063290000}"/>
    <cellStyle name="Followed Hyperlink 2" xfId="31923" hidden="1" xr:uid="{00000000-0005-0000-0000-000064290000}"/>
    <cellStyle name="Followed Hyperlink 2" xfId="31920" hidden="1" xr:uid="{00000000-0005-0000-0000-000065290000}"/>
    <cellStyle name="Followed Hyperlink 2" xfId="31918" hidden="1" xr:uid="{00000000-0005-0000-0000-000066290000}"/>
    <cellStyle name="Followed Hyperlink 2" xfId="31919" hidden="1" xr:uid="{00000000-0005-0000-0000-000067290000}"/>
    <cellStyle name="Followed Hyperlink 2" xfId="31929" hidden="1" xr:uid="{00000000-0005-0000-0000-000068290000}"/>
    <cellStyle name="Followed Hyperlink 2" xfId="31932" hidden="1" xr:uid="{00000000-0005-0000-0000-000069290000}"/>
    <cellStyle name="Followed Hyperlink 2" xfId="31935" hidden="1" xr:uid="{00000000-0005-0000-0000-00006A290000}"/>
    <cellStyle name="Followed Hyperlink 2" xfId="31939" hidden="1" xr:uid="{00000000-0005-0000-0000-00006B290000}"/>
    <cellStyle name="Followed Hyperlink 2" xfId="31949" hidden="1" xr:uid="{00000000-0005-0000-0000-00006C290000}"/>
    <cellStyle name="Followed Hyperlink 2" xfId="31946" hidden="1" xr:uid="{00000000-0005-0000-0000-00006D290000}"/>
    <cellStyle name="Followed Hyperlink 2" xfId="31944" hidden="1" xr:uid="{00000000-0005-0000-0000-00006E290000}"/>
    <cellStyle name="Followed Hyperlink 2" xfId="31945" hidden="1" xr:uid="{00000000-0005-0000-0000-00006F290000}"/>
    <cellStyle name="Followed Hyperlink 2" xfId="31955" hidden="1" xr:uid="{00000000-0005-0000-0000-000070290000}"/>
    <cellStyle name="Followed Hyperlink 2" xfId="31958" hidden="1" xr:uid="{00000000-0005-0000-0000-000071290000}"/>
    <cellStyle name="Followed Hyperlink 2" xfId="31961" hidden="1" xr:uid="{00000000-0005-0000-0000-000072290000}"/>
    <cellStyle name="Followed Hyperlink 2" xfId="31965" hidden="1" xr:uid="{00000000-0005-0000-0000-000073290000}"/>
    <cellStyle name="Followed Hyperlink 2" xfId="31973" hidden="1" xr:uid="{00000000-0005-0000-0000-000074290000}"/>
    <cellStyle name="Followed Hyperlink 2" xfId="31970" hidden="1" xr:uid="{00000000-0005-0000-0000-000075290000}"/>
    <cellStyle name="Followed Hyperlink 2" xfId="31968" hidden="1" xr:uid="{00000000-0005-0000-0000-000076290000}"/>
    <cellStyle name="Followed Hyperlink 2" xfId="31969" hidden="1" xr:uid="{00000000-0005-0000-0000-000077290000}"/>
    <cellStyle name="Followed Hyperlink 2" xfId="31979" hidden="1" xr:uid="{00000000-0005-0000-0000-000078290000}"/>
    <cellStyle name="Followed Hyperlink 2" xfId="31982" hidden="1" xr:uid="{00000000-0005-0000-0000-000079290000}"/>
    <cellStyle name="Followed Hyperlink 2" xfId="31985" hidden="1" xr:uid="{00000000-0005-0000-0000-00007A290000}"/>
    <cellStyle name="Followed Hyperlink 2" xfId="31989" hidden="1" xr:uid="{00000000-0005-0000-0000-00007B290000}"/>
    <cellStyle name="Followed Hyperlink 2" xfId="31866" hidden="1" xr:uid="{00000000-0005-0000-0000-00007C290000}"/>
    <cellStyle name="Followed Hyperlink 2" xfId="31870" hidden="1" xr:uid="{00000000-0005-0000-0000-00007D290000}"/>
    <cellStyle name="Followed Hyperlink 2" xfId="31865" hidden="1" xr:uid="{00000000-0005-0000-0000-00007E290000}"/>
    <cellStyle name="Followed Hyperlink 2" xfId="31871" hidden="1" xr:uid="{00000000-0005-0000-0000-00007F290000}"/>
    <cellStyle name="Followed Hyperlink 2" xfId="31992" hidden="1" xr:uid="{00000000-0005-0000-0000-000080290000}"/>
    <cellStyle name="Followed Hyperlink 2" xfId="31995" hidden="1" xr:uid="{00000000-0005-0000-0000-000081290000}"/>
    <cellStyle name="Followed Hyperlink 2" xfId="31998" hidden="1" xr:uid="{00000000-0005-0000-0000-000082290000}"/>
    <cellStyle name="Followed Hyperlink 2" xfId="32002" hidden="1" xr:uid="{00000000-0005-0000-0000-000083290000}"/>
    <cellStyle name="Followed Hyperlink 2" xfId="32010" hidden="1" xr:uid="{00000000-0005-0000-0000-000084290000}"/>
    <cellStyle name="Followed Hyperlink 2" xfId="32007" hidden="1" xr:uid="{00000000-0005-0000-0000-000085290000}"/>
    <cellStyle name="Followed Hyperlink 2" xfId="32005" hidden="1" xr:uid="{00000000-0005-0000-0000-000086290000}"/>
    <cellStyle name="Followed Hyperlink 2" xfId="32006" hidden="1" xr:uid="{00000000-0005-0000-0000-000087290000}"/>
    <cellStyle name="Followed Hyperlink 2" xfId="32016" hidden="1" xr:uid="{00000000-0005-0000-0000-000088290000}"/>
    <cellStyle name="Followed Hyperlink 2" xfId="32019" hidden="1" xr:uid="{00000000-0005-0000-0000-000089290000}"/>
    <cellStyle name="Followed Hyperlink 2" xfId="32022" hidden="1" xr:uid="{00000000-0005-0000-0000-00008A290000}"/>
    <cellStyle name="Followed Hyperlink 2" xfId="32026" hidden="1" xr:uid="{00000000-0005-0000-0000-00008B290000}"/>
    <cellStyle name="Followed Hyperlink 2" xfId="32035" hidden="1" xr:uid="{00000000-0005-0000-0000-00008C290000}"/>
    <cellStyle name="Followed Hyperlink 2" xfId="32032" hidden="1" xr:uid="{00000000-0005-0000-0000-00008D290000}"/>
    <cellStyle name="Followed Hyperlink 2" xfId="32030" hidden="1" xr:uid="{00000000-0005-0000-0000-00008E290000}"/>
    <cellStyle name="Followed Hyperlink 2" xfId="32031" hidden="1" xr:uid="{00000000-0005-0000-0000-00008F290000}"/>
    <cellStyle name="Followed Hyperlink 2" xfId="32041" hidden="1" xr:uid="{00000000-0005-0000-0000-000090290000}"/>
    <cellStyle name="Followed Hyperlink 2" xfId="32044" hidden="1" xr:uid="{00000000-0005-0000-0000-000091290000}"/>
    <cellStyle name="Followed Hyperlink 2" xfId="32047" hidden="1" xr:uid="{00000000-0005-0000-0000-000092290000}"/>
    <cellStyle name="Followed Hyperlink 2" xfId="32051" hidden="1" xr:uid="{00000000-0005-0000-0000-000093290000}"/>
    <cellStyle name="Followed Hyperlink 2" xfId="32059" hidden="1" xr:uid="{00000000-0005-0000-0000-000094290000}"/>
    <cellStyle name="Followed Hyperlink 2" xfId="32056" hidden="1" xr:uid="{00000000-0005-0000-0000-000095290000}"/>
    <cellStyle name="Followed Hyperlink 2" xfId="32054" hidden="1" xr:uid="{00000000-0005-0000-0000-000096290000}"/>
    <cellStyle name="Followed Hyperlink 2" xfId="32055" hidden="1" xr:uid="{00000000-0005-0000-0000-000097290000}"/>
    <cellStyle name="Followed Hyperlink 2" xfId="32065" hidden="1" xr:uid="{00000000-0005-0000-0000-000098290000}"/>
    <cellStyle name="Followed Hyperlink 2" xfId="32068" hidden="1" xr:uid="{00000000-0005-0000-0000-000099290000}"/>
    <cellStyle name="Followed Hyperlink 2" xfId="32071" hidden="1" xr:uid="{00000000-0005-0000-0000-00009A290000}"/>
    <cellStyle name="Followed Hyperlink 2" xfId="32075" hidden="1" xr:uid="{00000000-0005-0000-0000-00009B290000}"/>
    <cellStyle name="Followed Hyperlink 2" xfId="31884" hidden="1" xr:uid="{00000000-0005-0000-0000-00009C290000}"/>
    <cellStyle name="Followed Hyperlink 2" xfId="31881" hidden="1" xr:uid="{00000000-0005-0000-0000-00009D290000}"/>
    <cellStyle name="Followed Hyperlink 2" xfId="31875" hidden="1" xr:uid="{00000000-0005-0000-0000-00009E290000}"/>
    <cellStyle name="Followed Hyperlink 2" xfId="31880" hidden="1" xr:uid="{00000000-0005-0000-0000-00009F290000}"/>
    <cellStyle name="Followed Hyperlink 2" xfId="32078" hidden="1" xr:uid="{00000000-0005-0000-0000-0000A0290000}"/>
    <cellStyle name="Followed Hyperlink 2" xfId="32081" hidden="1" xr:uid="{00000000-0005-0000-0000-0000A1290000}"/>
    <cellStyle name="Followed Hyperlink 2" xfId="32084" hidden="1" xr:uid="{00000000-0005-0000-0000-0000A2290000}"/>
    <cellStyle name="Followed Hyperlink 2" xfId="32088" hidden="1" xr:uid="{00000000-0005-0000-0000-0000A3290000}"/>
    <cellStyle name="Followed Hyperlink 2" xfId="32096" hidden="1" xr:uid="{00000000-0005-0000-0000-0000A4290000}"/>
    <cellStyle name="Followed Hyperlink 2" xfId="32093" hidden="1" xr:uid="{00000000-0005-0000-0000-0000A5290000}"/>
    <cellStyle name="Followed Hyperlink 2" xfId="32091" hidden="1" xr:uid="{00000000-0005-0000-0000-0000A6290000}"/>
    <cellStyle name="Followed Hyperlink 2" xfId="32092" hidden="1" xr:uid="{00000000-0005-0000-0000-0000A7290000}"/>
    <cellStyle name="Followed Hyperlink 2" xfId="32102" hidden="1" xr:uid="{00000000-0005-0000-0000-0000A8290000}"/>
    <cellStyle name="Followed Hyperlink 2" xfId="32105" hidden="1" xr:uid="{00000000-0005-0000-0000-0000A9290000}"/>
    <cellStyle name="Followed Hyperlink 2" xfId="32108" hidden="1" xr:uid="{00000000-0005-0000-0000-0000AA290000}"/>
    <cellStyle name="Followed Hyperlink 2" xfId="32112" hidden="1" xr:uid="{00000000-0005-0000-0000-0000AB290000}"/>
    <cellStyle name="Followed Hyperlink 2" xfId="32121" hidden="1" xr:uid="{00000000-0005-0000-0000-0000AC290000}"/>
    <cellStyle name="Followed Hyperlink 2" xfId="32118" hidden="1" xr:uid="{00000000-0005-0000-0000-0000AD290000}"/>
    <cellStyle name="Followed Hyperlink 2" xfId="32116" hidden="1" xr:uid="{00000000-0005-0000-0000-0000AE290000}"/>
    <cellStyle name="Followed Hyperlink 2" xfId="32117" hidden="1" xr:uid="{00000000-0005-0000-0000-0000AF290000}"/>
    <cellStyle name="Followed Hyperlink 2" xfId="32127" hidden="1" xr:uid="{00000000-0005-0000-0000-0000B0290000}"/>
    <cellStyle name="Followed Hyperlink 2" xfId="32130" hidden="1" xr:uid="{00000000-0005-0000-0000-0000B1290000}"/>
    <cellStyle name="Followed Hyperlink 2" xfId="32133" hidden="1" xr:uid="{00000000-0005-0000-0000-0000B2290000}"/>
    <cellStyle name="Followed Hyperlink 2" xfId="32137" hidden="1" xr:uid="{00000000-0005-0000-0000-0000B3290000}"/>
    <cellStyle name="Followed Hyperlink 2" xfId="32145" hidden="1" xr:uid="{00000000-0005-0000-0000-0000B4290000}"/>
    <cellStyle name="Followed Hyperlink 2" xfId="32142" hidden="1" xr:uid="{00000000-0005-0000-0000-0000B5290000}"/>
    <cellStyle name="Followed Hyperlink 2" xfId="32140" hidden="1" xr:uid="{00000000-0005-0000-0000-0000B6290000}"/>
    <cellStyle name="Followed Hyperlink 2" xfId="32141" hidden="1" xr:uid="{00000000-0005-0000-0000-0000B7290000}"/>
    <cellStyle name="Followed Hyperlink 2" xfId="32151" hidden="1" xr:uid="{00000000-0005-0000-0000-0000B8290000}"/>
    <cellStyle name="Followed Hyperlink 2" xfId="32154" hidden="1" xr:uid="{00000000-0005-0000-0000-0000B9290000}"/>
    <cellStyle name="Followed Hyperlink 2" xfId="32157" hidden="1" xr:uid="{00000000-0005-0000-0000-0000BA290000}"/>
    <cellStyle name="Followed Hyperlink 2" xfId="32161" hidden="1" xr:uid="{00000000-0005-0000-0000-0000BB290000}"/>
    <cellStyle name="Followed Hyperlink 2" xfId="31892" hidden="1" xr:uid="{00000000-0005-0000-0000-0000BC290000}"/>
    <cellStyle name="Followed Hyperlink 2" xfId="31888" hidden="1" xr:uid="{00000000-0005-0000-0000-0000BD290000}"/>
    <cellStyle name="Followed Hyperlink 2" xfId="31889" hidden="1" xr:uid="{00000000-0005-0000-0000-0000BE290000}"/>
    <cellStyle name="Followed Hyperlink 2" xfId="31876" hidden="1" xr:uid="{00000000-0005-0000-0000-0000BF290000}"/>
    <cellStyle name="Followed Hyperlink 2" xfId="32164" hidden="1" xr:uid="{00000000-0005-0000-0000-0000C0290000}"/>
    <cellStyle name="Followed Hyperlink 2" xfId="32167" hidden="1" xr:uid="{00000000-0005-0000-0000-0000C1290000}"/>
    <cellStyle name="Followed Hyperlink 2" xfId="32170" hidden="1" xr:uid="{00000000-0005-0000-0000-0000C2290000}"/>
    <cellStyle name="Followed Hyperlink 2" xfId="32174" hidden="1" xr:uid="{00000000-0005-0000-0000-0000C3290000}"/>
    <cellStyle name="Followed Hyperlink 2" xfId="32182" hidden="1" xr:uid="{00000000-0005-0000-0000-0000C4290000}"/>
    <cellStyle name="Followed Hyperlink 2" xfId="32179" hidden="1" xr:uid="{00000000-0005-0000-0000-0000C5290000}"/>
    <cellStyle name="Followed Hyperlink 2" xfId="32177" hidden="1" xr:uid="{00000000-0005-0000-0000-0000C6290000}"/>
    <cellStyle name="Followed Hyperlink 2" xfId="32178" hidden="1" xr:uid="{00000000-0005-0000-0000-0000C7290000}"/>
    <cellStyle name="Followed Hyperlink 2" xfId="32188" hidden="1" xr:uid="{00000000-0005-0000-0000-0000C8290000}"/>
    <cellStyle name="Followed Hyperlink 2" xfId="32191" hidden="1" xr:uid="{00000000-0005-0000-0000-0000C9290000}"/>
    <cellStyle name="Followed Hyperlink 2" xfId="32194" hidden="1" xr:uid="{00000000-0005-0000-0000-0000CA290000}"/>
    <cellStyle name="Followed Hyperlink 2" xfId="32198" hidden="1" xr:uid="{00000000-0005-0000-0000-0000CB290000}"/>
    <cellStyle name="Followed Hyperlink 2" xfId="32206" hidden="1" xr:uid="{00000000-0005-0000-0000-0000CC290000}"/>
    <cellStyle name="Followed Hyperlink 2" xfId="32203" hidden="1" xr:uid="{00000000-0005-0000-0000-0000CD290000}"/>
    <cellStyle name="Followed Hyperlink 2" xfId="32201" hidden="1" xr:uid="{00000000-0005-0000-0000-0000CE290000}"/>
    <cellStyle name="Followed Hyperlink 2" xfId="32202" hidden="1" xr:uid="{00000000-0005-0000-0000-0000CF290000}"/>
    <cellStyle name="Followed Hyperlink 2" xfId="32212" hidden="1" xr:uid="{00000000-0005-0000-0000-0000D0290000}"/>
    <cellStyle name="Followed Hyperlink 2" xfId="32215" hidden="1" xr:uid="{00000000-0005-0000-0000-0000D1290000}"/>
    <cellStyle name="Followed Hyperlink 2" xfId="32218" hidden="1" xr:uid="{00000000-0005-0000-0000-0000D2290000}"/>
    <cellStyle name="Followed Hyperlink 2" xfId="32222" hidden="1" xr:uid="{00000000-0005-0000-0000-0000D3290000}"/>
    <cellStyle name="Followed Hyperlink 2" xfId="32230" hidden="1" xr:uid="{00000000-0005-0000-0000-0000D4290000}"/>
    <cellStyle name="Followed Hyperlink 2" xfId="32227" hidden="1" xr:uid="{00000000-0005-0000-0000-0000D5290000}"/>
    <cellStyle name="Followed Hyperlink 2" xfId="32225" hidden="1" xr:uid="{00000000-0005-0000-0000-0000D6290000}"/>
    <cellStyle name="Followed Hyperlink 2" xfId="32226" hidden="1" xr:uid="{00000000-0005-0000-0000-0000D7290000}"/>
    <cellStyle name="Followed Hyperlink 2" xfId="32236" hidden="1" xr:uid="{00000000-0005-0000-0000-0000D8290000}"/>
    <cellStyle name="Followed Hyperlink 2" xfId="32239" hidden="1" xr:uid="{00000000-0005-0000-0000-0000D9290000}"/>
    <cellStyle name="Followed Hyperlink 2" xfId="32242" hidden="1" xr:uid="{00000000-0005-0000-0000-0000DA290000}"/>
    <cellStyle name="Followed Hyperlink 2" xfId="32246" hidden="1" xr:uid="{00000000-0005-0000-0000-0000DB290000}"/>
    <cellStyle name="Followed Hyperlink 2" xfId="31287" hidden="1" xr:uid="{00000000-0005-0000-0000-0000DC290000}"/>
    <cellStyle name="Followed Hyperlink 2" xfId="31284" hidden="1" xr:uid="{00000000-0005-0000-0000-0000DD290000}"/>
    <cellStyle name="Followed Hyperlink 2" xfId="31278" hidden="1" xr:uid="{00000000-0005-0000-0000-0000DE290000}"/>
    <cellStyle name="Followed Hyperlink 2" xfId="31283" hidden="1" xr:uid="{00000000-0005-0000-0000-0000DF290000}"/>
    <cellStyle name="Followed Hyperlink 2" xfId="32249" hidden="1" xr:uid="{00000000-0005-0000-0000-0000E0290000}"/>
    <cellStyle name="Followed Hyperlink 2" xfId="32252" hidden="1" xr:uid="{00000000-0005-0000-0000-0000E1290000}"/>
    <cellStyle name="Followed Hyperlink 2" xfId="32255" hidden="1" xr:uid="{00000000-0005-0000-0000-0000E2290000}"/>
    <cellStyle name="Followed Hyperlink 2" xfId="32259" hidden="1" xr:uid="{00000000-0005-0000-0000-0000E3290000}"/>
    <cellStyle name="Followed Hyperlink 2" xfId="32267" hidden="1" xr:uid="{00000000-0005-0000-0000-0000E4290000}"/>
    <cellStyle name="Followed Hyperlink 2" xfId="32264" hidden="1" xr:uid="{00000000-0005-0000-0000-0000E5290000}"/>
    <cellStyle name="Followed Hyperlink 2" xfId="32262" hidden="1" xr:uid="{00000000-0005-0000-0000-0000E6290000}"/>
    <cellStyle name="Followed Hyperlink 2" xfId="32263" hidden="1" xr:uid="{00000000-0005-0000-0000-0000E7290000}"/>
    <cellStyle name="Followed Hyperlink 2" xfId="32273" hidden="1" xr:uid="{00000000-0005-0000-0000-0000E8290000}"/>
    <cellStyle name="Followed Hyperlink 2" xfId="32276" hidden="1" xr:uid="{00000000-0005-0000-0000-0000E9290000}"/>
    <cellStyle name="Followed Hyperlink 2" xfId="32279" hidden="1" xr:uid="{00000000-0005-0000-0000-0000EA290000}"/>
    <cellStyle name="Followed Hyperlink 2" xfId="32283" hidden="1" xr:uid="{00000000-0005-0000-0000-0000EB290000}"/>
    <cellStyle name="Followed Hyperlink 2" xfId="32292" hidden="1" xr:uid="{00000000-0005-0000-0000-0000EC290000}"/>
    <cellStyle name="Followed Hyperlink 2" xfId="32289" hidden="1" xr:uid="{00000000-0005-0000-0000-0000ED290000}"/>
    <cellStyle name="Followed Hyperlink 2" xfId="32287" hidden="1" xr:uid="{00000000-0005-0000-0000-0000EE290000}"/>
    <cellStyle name="Followed Hyperlink 2" xfId="32288" hidden="1" xr:uid="{00000000-0005-0000-0000-0000EF290000}"/>
    <cellStyle name="Followed Hyperlink 2" xfId="32298" hidden="1" xr:uid="{00000000-0005-0000-0000-0000F0290000}"/>
    <cellStyle name="Followed Hyperlink 2" xfId="32301" hidden="1" xr:uid="{00000000-0005-0000-0000-0000F1290000}"/>
    <cellStyle name="Followed Hyperlink 2" xfId="32304" hidden="1" xr:uid="{00000000-0005-0000-0000-0000F2290000}"/>
    <cellStyle name="Followed Hyperlink 2" xfId="32308" hidden="1" xr:uid="{00000000-0005-0000-0000-0000F3290000}"/>
    <cellStyle name="Followed Hyperlink 2" xfId="32316" hidden="1" xr:uid="{00000000-0005-0000-0000-0000F4290000}"/>
    <cellStyle name="Followed Hyperlink 2" xfId="32313" hidden="1" xr:uid="{00000000-0005-0000-0000-0000F5290000}"/>
    <cellStyle name="Followed Hyperlink 2" xfId="32311" hidden="1" xr:uid="{00000000-0005-0000-0000-0000F6290000}"/>
    <cellStyle name="Followed Hyperlink 2" xfId="32312" hidden="1" xr:uid="{00000000-0005-0000-0000-0000F7290000}"/>
    <cellStyle name="Followed Hyperlink 2" xfId="32322" hidden="1" xr:uid="{00000000-0005-0000-0000-0000F8290000}"/>
    <cellStyle name="Followed Hyperlink 2" xfId="32325" hidden="1" xr:uid="{00000000-0005-0000-0000-0000F9290000}"/>
    <cellStyle name="Followed Hyperlink 2" xfId="32328" hidden="1" xr:uid="{00000000-0005-0000-0000-0000FA290000}"/>
    <cellStyle name="Followed Hyperlink 2" xfId="32332" hidden="1" xr:uid="{00000000-0005-0000-0000-0000FB290000}"/>
    <cellStyle name="Followed Hyperlink 2" xfId="32369" hidden="1" xr:uid="{00000000-0005-0000-0000-0000FC290000}"/>
    <cellStyle name="Followed Hyperlink 2" xfId="32366" hidden="1" xr:uid="{00000000-0005-0000-0000-0000FD290000}"/>
    <cellStyle name="Followed Hyperlink 2" xfId="32364" hidden="1" xr:uid="{00000000-0005-0000-0000-0000FE290000}"/>
    <cellStyle name="Followed Hyperlink 2" xfId="32365" hidden="1" xr:uid="{00000000-0005-0000-0000-0000FF290000}"/>
    <cellStyle name="Followed Hyperlink 2" xfId="32375" hidden="1" xr:uid="{00000000-0005-0000-0000-0000002A0000}"/>
    <cellStyle name="Followed Hyperlink 2" xfId="32378" hidden="1" xr:uid="{00000000-0005-0000-0000-0000012A0000}"/>
    <cellStyle name="Followed Hyperlink 2" xfId="32381" hidden="1" xr:uid="{00000000-0005-0000-0000-0000022A0000}"/>
    <cellStyle name="Followed Hyperlink 2" xfId="32385" hidden="1" xr:uid="{00000000-0005-0000-0000-0000032A0000}"/>
    <cellStyle name="Followed Hyperlink 2" xfId="32393" hidden="1" xr:uid="{00000000-0005-0000-0000-0000042A0000}"/>
    <cellStyle name="Followed Hyperlink 2" xfId="32390" hidden="1" xr:uid="{00000000-0005-0000-0000-0000052A0000}"/>
    <cellStyle name="Followed Hyperlink 2" xfId="32388" hidden="1" xr:uid="{00000000-0005-0000-0000-0000062A0000}"/>
    <cellStyle name="Followed Hyperlink 2" xfId="32389" hidden="1" xr:uid="{00000000-0005-0000-0000-0000072A0000}"/>
    <cellStyle name="Followed Hyperlink 2" xfId="32399" hidden="1" xr:uid="{00000000-0005-0000-0000-0000082A0000}"/>
    <cellStyle name="Followed Hyperlink 2" xfId="32402" hidden="1" xr:uid="{00000000-0005-0000-0000-0000092A0000}"/>
    <cellStyle name="Followed Hyperlink 2" xfId="32405" hidden="1" xr:uid="{00000000-0005-0000-0000-00000A2A0000}"/>
    <cellStyle name="Followed Hyperlink 2" xfId="32409" hidden="1" xr:uid="{00000000-0005-0000-0000-00000B2A0000}"/>
    <cellStyle name="Followed Hyperlink 2" xfId="32419" hidden="1" xr:uid="{00000000-0005-0000-0000-00000C2A0000}"/>
    <cellStyle name="Followed Hyperlink 2" xfId="32416" hidden="1" xr:uid="{00000000-0005-0000-0000-00000D2A0000}"/>
    <cellStyle name="Followed Hyperlink 2" xfId="32414" hidden="1" xr:uid="{00000000-0005-0000-0000-00000E2A0000}"/>
    <cellStyle name="Followed Hyperlink 2" xfId="32415" hidden="1" xr:uid="{00000000-0005-0000-0000-00000F2A0000}"/>
    <cellStyle name="Followed Hyperlink 2" xfId="32425" hidden="1" xr:uid="{00000000-0005-0000-0000-0000102A0000}"/>
    <cellStyle name="Followed Hyperlink 2" xfId="32428" hidden="1" xr:uid="{00000000-0005-0000-0000-0000112A0000}"/>
    <cellStyle name="Followed Hyperlink 2" xfId="32431" hidden="1" xr:uid="{00000000-0005-0000-0000-0000122A0000}"/>
    <cellStyle name="Followed Hyperlink 2" xfId="32435" hidden="1" xr:uid="{00000000-0005-0000-0000-0000132A0000}"/>
    <cellStyle name="Followed Hyperlink 2" xfId="32443" hidden="1" xr:uid="{00000000-0005-0000-0000-0000142A0000}"/>
    <cellStyle name="Followed Hyperlink 2" xfId="32440" hidden="1" xr:uid="{00000000-0005-0000-0000-0000152A0000}"/>
    <cellStyle name="Followed Hyperlink 2" xfId="32438" hidden="1" xr:uid="{00000000-0005-0000-0000-0000162A0000}"/>
    <cellStyle name="Followed Hyperlink 2" xfId="32439" hidden="1" xr:uid="{00000000-0005-0000-0000-0000172A0000}"/>
    <cellStyle name="Followed Hyperlink 2" xfId="32449" hidden="1" xr:uid="{00000000-0005-0000-0000-0000182A0000}"/>
    <cellStyle name="Followed Hyperlink 2" xfId="32452" hidden="1" xr:uid="{00000000-0005-0000-0000-0000192A0000}"/>
    <cellStyle name="Followed Hyperlink 2" xfId="32455" hidden="1" xr:uid="{00000000-0005-0000-0000-00001A2A0000}"/>
    <cellStyle name="Followed Hyperlink 2" xfId="32459" hidden="1" xr:uid="{00000000-0005-0000-0000-00001B2A0000}"/>
    <cellStyle name="Followed Hyperlink 2" xfId="32336" hidden="1" xr:uid="{00000000-0005-0000-0000-00001C2A0000}"/>
    <cellStyle name="Followed Hyperlink 2" xfId="32340" hidden="1" xr:uid="{00000000-0005-0000-0000-00001D2A0000}"/>
    <cellStyle name="Followed Hyperlink 2" xfId="32335" hidden="1" xr:uid="{00000000-0005-0000-0000-00001E2A0000}"/>
    <cellStyle name="Followed Hyperlink 2" xfId="32341" hidden="1" xr:uid="{00000000-0005-0000-0000-00001F2A0000}"/>
    <cellStyle name="Followed Hyperlink 2" xfId="32462" hidden="1" xr:uid="{00000000-0005-0000-0000-0000202A0000}"/>
    <cellStyle name="Followed Hyperlink 2" xfId="32465" hidden="1" xr:uid="{00000000-0005-0000-0000-0000212A0000}"/>
    <cellStyle name="Followed Hyperlink 2" xfId="32468" hidden="1" xr:uid="{00000000-0005-0000-0000-0000222A0000}"/>
    <cellStyle name="Followed Hyperlink 2" xfId="32472" hidden="1" xr:uid="{00000000-0005-0000-0000-0000232A0000}"/>
    <cellStyle name="Followed Hyperlink 2" xfId="32480" hidden="1" xr:uid="{00000000-0005-0000-0000-0000242A0000}"/>
    <cellStyle name="Followed Hyperlink 2" xfId="32477" hidden="1" xr:uid="{00000000-0005-0000-0000-0000252A0000}"/>
    <cellStyle name="Followed Hyperlink 2" xfId="32475" hidden="1" xr:uid="{00000000-0005-0000-0000-0000262A0000}"/>
    <cellStyle name="Followed Hyperlink 2" xfId="32476" hidden="1" xr:uid="{00000000-0005-0000-0000-0000272A0000}"/>
    <cellStyle name="Followed Hyperlink 2" xfId="32486" hidden="1" xr:uid="{00000000-0005-0000-0000-0000282A0000}"/>
    <cellStyle name="Followed Hyperlink 2" xfId="32489" hidden="1" xr:uid="{00000000-0005-0000-0000-0000292A0000}"/>
    <cellStyle name="Followed Hyperlink 2" xfId="32492" hidden="1" xr:uid="{00000000-0005-0000-0000-00002A2A0000}"/>
    <cellStyle name="Followed Hyperlink 2" xfId="32496" hidden="1" xr:uid="{00000000-0005-0000-0000-00002B2A0000}"/>
    <cellStyle name="Followed Hyperlink 2" xfId="32505" hidden="1" xr:uid="{00000000-0005-0000-0000-00002C2A0000}"/>
    <cellStyle name="Followed Hyperlink 2" xfId="32502" hidden="1" xr:uid="{00000000-0005-0000-0000-00002D2A0000}"/>
    <cellStyle name="Followed Hyperlink 2" xfId="32500" hidden="1" xr:uid="{00000000-0005-0000-0000-00002E2A0000}"/>
    <cellStyle name="Followed Hyperlink 2" xfId="32501" hidden="1" xr:uid="{00000000-0005-0000-0000-00002F2A0000}"/>
    <cellStyle name="Followed Hyperlink 2" xfId="32511" hidden="1" xr:uid="{00000000-0005-0000-0000-0000302A0000}"/>
    <cellStyle name="Followed Hyperlink 2" xfId="32514" hidden="1" xr:uid="{00000000-0005-0000-0000-0000312A0000}"/>
    <cellStyle name="Followed Hyperlink 2" xfId="32517" hidden="1" xr:uid="{00000000-0005-0000-0000-0000322A0000}"/>
    <cellStyle name="Followed Hyperlink 2" xfId="32521" hidden="1" xr:uid="{00000000-0005-0000-0000-0000332A0000}"/>
    <cellStyle name="Followed Hyperlink 2" xfId="32529" hidden="1" xr:uid="{00000000-0005-0000-0000-0000342A0000}"/>
    <cellStyle name="Followed Hyperlink 2" xfId="32526" hidden="1" xr:uid="{00000000-0005-0000-0000-0000352A0000}"/>
    <cellStyle name="Followed Hyperlink 2" xfId="32524" hidden="1" xr:uid="{00000000-0005-0000-0000-0000362A0000}"/>
    <cellStyle name="Followed Hyperlink 2" xfId="32525" hidden="1" xr:uid="{00000000-0005-0000-0000-0000372A0000}"/>
    <cellStyle name="Followed Hyperlink 2" xfId="32535" hidden="1" xr:uid="{00000000-0005-0000-0000-0000382A0000}"/>
    <cellStyle name="Followed Hyperlink 2" xfId="32538" hidden="1" xr:uid="{00000000-0005-0000-0000-0000392A0000}"/>
    <cellStyle name="Followed Hyperlink 2" xfId="32541" hidden="1" xr:uid="{00000000-0005-0000-0000-00003A2A0000}"/>
    <cellStyle name="Followed Hyperlink 2" xfId="32545" hidden="1" xr:uid="{00000000-0005-0000-0000-00003B2A0000}"/>
    <cellStyle name="Followed Hyperlink 2" xfId="32354" hidden="1" xr:uid="{00000000-0005-0000-0000-00003C2A0000}"/>
    <cellStyle name="Followed Hyperlink 2" xfId="32351" hidden="1" xr:uid="{00000000-0005-0000-0000-00003D2A0000}"/>
    <cellStyle name="Followed Hyperlink 2" xfId="32345" hidden="1" xr:uid="{00000000-0005-0000-0000-00003E2A0000}"/>
    <cellStyle name="Followed Hyperlink 2" xfId="32350" hidden="1" xr:uid="{00000000-0005-0000-0000-00003F2A0000}"/>
    <cellStyle name="Followed Hyperlink 2" xfId="32548" hidden="1" xr:uid="{00000000-0005-0000-0000-0000402A0000}"/>
    <cellStyle name="Followed Hyperlink 2" xfId="32551" hidden="1" xr:uid="{00000000-0005-0000-0000-0000412A0000}"/>
    <cellStyle name="Followed Hyperlink 2" xfId="32554" hidden="1" xr:uid="{00000000-0005-0000-0000-0000422A0000}"/>
    <cellStyle name="Followed Hyperlink 2" xfId="32558" hidden="1" xr:uid="{00000000-0005-0000-0000-0000432A0000}"/>
    <cellStyle name="Followed Hyperlink 2" xfId="32566" hidden="1" xr:uid="{00000000-0005-0000-0000-0000442A0000}"/>
    <cellStyle name="Followed Hyperlink 2" xfId="32563" hidden="1" xr:uid="{00000000-0005-0000-0000-0000452A0000}"/>
    <cellStyle name="Followed Hyperlink 2" xfId="32561" hidden="1" xr:uid="{00000000-0005-0000-0000-0000462A0000}"/>
    <cellStyle name="Followed Hyperlink 2" xfId="32562" hidden="1" xr:uid="{00000000-0005-0000-0000-0000472A0000}"/>
    <cellStyle name="Followed Hyperlink 2" xfId="32572" hidden="1" xr:uid="{00000000-0005-0000-0000-0000482A0000}"/>
    <cellStyle name="Followed Hyperlink 2" xfId="32575" hidden="1" xr:uid="{00000000-0005-0000-0000-0000492A0000}"/>
    <cellStyle name="Followed Hyperlink 2" xfId="32578" hidden="1" xr:uid="{00000000-0005-0000-0000-00004A2A0000}"/>
    <cellStyle name="Followed Hyperlink 2" xfId="32582" hidden="1" xr:uid="{00000000-0005-0000-0000-00004B2A0000}"/>
    <cellStyle name="Followed Hyperlink 2" xfId="32591" hidden="1" xr:uid="{00000000-0005-0000-0000-00004C2A0000}"/>
    <cellStyle name="Followed Hyperlink 2" xfId="32588" hidden="1" xr:uid="{00000000-0005-0000-0000-00004D2A0000}"/>
    <cellStyle name="Followed Hyperlink 2" xfId="32586" hidden="1" xr:uid="{00000000-0005-0000-0000-00004E2A0000}"/>
    <cellStyle name="Followed Hyperlink 2" xfId="32587" hidden="1" xr:uid="{00000000-0005-0000-0000-00004F2A0000}"/>
    <cellStyle name="Followed Hyperlink 2" xfId="32597" hidden="1" xr:uid="{00000000-0005-0000-0000-0000502A0000}"/>
    <cellStyle name="Followed Hyperlink 2" xfId="32600" hidden="1" xr:uid="{00000000-0005-0000-0000-0000512A0000}"/>
    <cellStyle name="Followed Hyperlink 2" xfId="32603" hidden="1" xr:uid="{00000000-0005-0000-0000-0000522A0000}"/>
    <cellStyle name="Followed Hyperlink 2" xfId="32607" hidden="1" xr:uid="{00000000-0005-0000-0000-0000532A0000}"/>
    <cellStyle name="Followed Hyperlink 2" xfId="32615" hidden="1" xr:uid="{00000000-0005-0000-0000-0000542A0000}"/>
    <cellStyle name="Followed Hyperlink 2" xfId="32612" hidden="1" xr:uid="{00000000-0005-0000-0000-0000552A0000}"/>
    <cellStyle name="Followed Hyperlink 2" xfId="32610" hidden="1" xr:uid="{00000000-0005-0000-0000-0000562A0000}"/>
    <cellStyle name="Followed Hyperlink 2" xfId="32611" hidden="1" xr:uid="{00000000-0005-0000-0000-0000572A0000}"/>
    <cellStyle name="Followed Hyperlink 2" xfId="32621" hidden="1" xr:uid="{00000000-0005-0000-0000-0000582A0000}"/>
    <cellStyle name="Followed Hyperlink 2" xfId="32624" hidden="1" xr:uid="{00000000-0005-0000-0000-0000592A0000}"/>
    <cellStyle name="Followed Hyperlink 2" xfId="32627" hidden="1" xr:uid="{00000000-0005-0000-0000-00005A2A0000}"/>
    <cellStyle name="Followed Hyperlink 2" xfId="32631" hidden="1" xr:uid="{00000000-0005-0000-0000-00005B2A0000}"/>
    <cellStyle name="Followed Hyperlink 2" xfId="32362" hidden="1" xr:uid="{00000000-0005-0000-0000-00005C2A0000}"/>
    <cellStyle name="Followed Hyperlink 2" xfId="32358" hidden="1" xr:uid="{00000000-0005-0000-0000-00005D2A0000}"/>
    <cellStyle name="Followed Hyperlink 2" xfId="32359" hidden="1" xr:uid="{00000000-0005-0000-0000-00005E2A0000}"/>
    <cellStyle name="Followed Hyperlink 2" xfId="32346" hidden="1" xr:uid="{00000000-0005-0000-0000-00005F2A0000}"/>
    <cellStyle name="Followed Hyperlink 2" xfId="32634" hidden="1" xr:uid="{00000000-0005-0000-0000-0000602A0000}"/>
    <cellStyle name="Followed Hyperlink 2" xfId="32637" hidden="1" xr:uid="{00000000-0005-0000-0000-0000612A0000}"/>
    <cellStyle name="Followed Hyperlink 2" xfId="32640" hidden="1" xr:uid="{00000000-0005-0000-0000-0000622A0000}"/>
    <cellStyle name="Followed Hyperlink 2" xfId="32644" hidden="1" xr:uid="{00000000-0005-0000-0000-0000632A0000}"/>
    <cellStyle name="Followed Hyperlink 2" xfId="32652" hidden="1" xr:uid="{00000000-0005-0000-0000-0000642A0000}"/>
    <cellStyle name="Followed Hyperlink 2" xfId="32649" hidden="1" xr:uid="{00000000-0005-0000-0000-0000652A0000}"/>
    <cellStyle name="Followed Hyperlink 2" xfId="32647" hidden="1" xr:uid="{00000000-0005-0000-0000-0000662A0000}"/>
    <cellStyle name="Followed Hyperlink 2" xfId="32648" hidden="1" xr:uid="{00000000-0005-0000-0000-0000672A0000}"/>
    <cellStyle name="Followed Hyperlink 2" xfId="32658" hidden="1" xr:uid="{00000000-0005-0000-0000-0000682A0000}"/>
    <cellStyle name="Followed Hyperlink 2" xfId="32661" hidden="1" xr:uid="{00000000-0005-0000-0000-0000692A0000}"/>
    <cellStyle name="Followed Hyperlink 2" xfId="32664" hidden="1" xr:uid="{00000000-0005-0000-0000-00006A2A0000}"/>
    <cellStyle name="Followed Hyperlink 2" xfId="32668" hidden="1" xr:uid="{00000000-0005-0000-0000-00006B2A0000}"/>
    <cellStyle name="Followed Hyperlink 2" xfId="32676" hidden="1" xr:uid="{00000000-0005-0000-0000-00006C2A0000}"/>
    <cellStyle name="Followed Hyperlink 2" xfId="32673" hidden="1" xr:uid="{00000000-0005-0000-0000-00006D2A0000}"/>
    <cellStyle name="Followed Hyperlink 2" xfId="32671" hidden="1" xr:uid="{00000000-0005-0000-0000-00006E2A0000}"/>
    <cellStyle name="Followed Hyperlink 2" xfId="32672" hidden="1" xr:uid="{00000000-0005-0000-0000-00006F2A0000}"/>
    <cellStyle name="Followed Hyperlink 2" xfId="32682" hidden="1" xr:uid="{00000000-0005-0000-0000-0000702A0000}"/>
    <cellStyle name="Followed Hyperlink 2" xfId="32685" hidden="1" xr:uid="{00000000-0005-0000-0000-0000712A0000}"/>
    <cellStyle name="Followed Hyperlink 2" xfId="32688" hidden="1" xr:uid="{00000000-0005-0000-0000-0000722A0000}"/>
    <cellStyle name="Followed Hyperlink 2" xfId="32692" hidden="1" xr:uid="{00000000-0005-0000-0000-0000732A0000}"/>
    <cellStyle name="Followed Hyperlink 2" xfId="32700" hidden="1" xr:uid="{00000000-0005-0000-0000-0000742A0000}"/>
    <cellStyle name="Followed Hyperlink 2" xfId="32697" hidden="1" xr:uid="{00000000-0005-0000-0000-0000752A0000}"/>
    <cellStyle name="Followed Hyperlink 2" xfId="32695" hidden="1" xr:uid="{00000000-0005-0000-0000-0000762A0000}"/>
    <cellStyle name="Followed Hyperlink 2" xfId="32696" hidden="1" xr:uid="{00000000-0005-0000-0000-0000772A0000}"/>
    <cellStyle name="Followed Hyperlink 2" xfId="32706" hidden="1" xr:uid="{00000000-0005-0000-0000-0000782A0000}"/>
    <cellStyle name="Followed Hyperlink 2" xfId="32709" hidden="1" xr:uid="{00000000-0005-0000-0000-0000792A0000}"/>
    <cellStyle name="Followed Hyperlink 2" xfId="32712" hidden="1" xr:uid="{00000000-0005-0000-0000-00007A2A0000}"/>
    <cellStyle name="Followed Hyperlink 2" xfId="32716" hidden="1" xr:uid="{00000000-0005-0000-0000-00007B2A0000}"/>
    <cellStyle name="Followed Hyperlink 2" xfId="31295" hidden="1" xr:uid="{00000000-0005-0000-0000-00007C2A0000}"/>
    <cellStyle name="Followed Hyperlink 2" xfId="31291" hidden="1" xr:uid="{00000000-0005-0000-0000-00007D2A0000}"/>
    <cellStyle name="Followed Hyperlink 2" xfId="31292" hidden="1" xr:uid="{00000000-0005-0000-0000-00007E2A0000}"/>
    <cellStyle name="Followed Hyperlink 2" xfId="31279" hidden="1" xr:uid="{00000000-0005-0000-0000-00007F2A0000}"/>
    <cellStyle name="Followed Hyperlink 2" xfId="32719" hidden="1" xr:uid="{00000000-0005-0000-0000-0000802A0000}"/>
    <cellStyle name="Followed Hyperlink 2" xfId="32722" hidden="1" xr:uid="{00000000-0005-0000-0000-0000812A0000}"/>
    <cellStyle name="Followed Hyperlink 2" xfId="32725" hidden="1" xr:uid="{00000000-0005-0000-0000-0000822A0000}"/>
    <cellStyle name="Followed Hyperlink 2" xfId="32729" hidden="1" xr:uid="{00000000-0005-0000-0000-0000832A0000}"/>
    <cellStyle name="Followed Hyperlink 2" xfId="32737" hidden="1" xr:uid="{00000000-0005-0000-0000-0000842A0000}"/>
    <cellStyle name="Followed Hyperlink 2" xfId="32734" hidden="1" xr:uid="{00000000-0005-0000-0000-0000852A0000}"/>
    <cellStyle name="Followed Hyperlink 2" xfId="32732" hidden="1" xr:uid="{00000000-0005-0000-0000-0000862A0000}"/>
    <cellStyle name="Followed Hyperlink 2" xfId="32733" hidden="1" xr:uid="{00000000-0005-0000-0000-0000872A0000}"/>
    <cellStyle name="Followed Hyperlink 2" xfId="32743" hidden="1" xr:uid="{00000000-0005-0000-0000-0000882A0000}"/>
    <cellStyle name="Followed Hyperlink 2" xfId="32746" hidden="1" xr:uid="{00000000-0005-0000-0000-0000892A0000}"/>
    <cellStyle name="Followed Hyperlink 2" xfId="32749" hidden="1" xr:uid="{00000000-0005-0000-0000-00008A2A0000}"/>
    <cellStyle name="Followed Hyperlink 2" xfId="32753" hidden="1" xr:uid="{00000000-0005-0000-0000-00008B2A0000}"/>
    <cellStyle name="Followed Hyperlink 2" xfId="32761" hidden="1" xr:uid="{00000000-0005-0000-0000-00008C2A0000}"/>
    <cellStyle name="Followed Hyperlink 2" xfId="32758" hidden="1" xr:uid="{00000000-0005-0000-0000-00008D2A0000}"/>
    <cellStyle name="Followed Hyperlink 2" xfId="32756" hidden="1" xr:uid="{00000000-0005-0000-0000-00008E2A0000}"/>
    <cellStyle name="Followed Hyperlink 2" xfId="32757" hidden="1" xr:uid="{00000000-0005-0000-0000-00008F2A0000}"/>
    <cellStyle name="Followed Hyperlink 2" xfId="32767" hidden="1" xr:uid="{00000000-0005-0000-0000-0000902A0000}"/>
    <cellStyle name="Followed Hyperlink 2" xfId="32770" hidden="1" xr:uid="{00000000-0005-0000-0000-0000912A0000}"/>
    <cellStyle name="Followed Hyperlink 2" xfId="32773" hidden="1" xr:uid="{00000000-0005-0000-0000-0000922A0000}"/>
    <cellStyle name="Followed Hyperlink 2" xfId="32777" hidden="1" xr:uid="{00000000-0005-0000-0000-0000932A0000}"/>
    <cellStyle name="Followed Hyperlink 2" xfId="32785" hidden="1" xr:uid="{00000000-0005-0000-0000-0000942A0000}"/>
    <cellStyle name="Followed Hyperlink 2" xfId="32782" hidden="1" xr:uid="{00000000-0005-0000-0000-0000952A0000}"/>
    <cellStyle name="Followed Hyperlink 2" xfId="32780" hidden="1" xr:uid="{00000000-0005-0000-0000-0000962A0000}"/>
    <cellStyle name="Followed Hyperlink 2" xfId="32781" hidden="1" xr:uid="{00000000-0005-0000-0000-0000972A0000}"/>
    <cellStyle name="Followed Hyperlink 2" xfId="32791" hidden="1" xr:uid="{00000000-0005-0000-0000-0000982A0000}"/>
    <cellStyle name="Followed Hyperlink 2" xfId="32794" hidden="1" xr:uid="{00000000-0005-0000-0000-0000992A0000}"/>
    <cellStyle name="Followed Hyperlink 2" xfId="32797" hidden="1" xr:uid="{00000000-0005-0000-0000-00009A2A0000}"/>
    <cellStyle name="Followed Hyperlink 2" xfId="32801" hidden="1" xr:uid="{00000000-0005-0000-0000-00009B2A0000}"/>
    <cellStyle name="Followed Hyperlink 2" xfId="32838" hidden="1" xr:uid="{00000000-0005-0000-0000-00009C2A0000}"/>
    <cellStyle name="Followed Hyperlink 2" xfId="32835" hidden="1" xr:uid="{00000000-0005-0000-0000-00009D2A0000}"/>
    <cellStyle name="Followed Hyperlink 2" xfId="32833" hidden="1" xr:uid="{00000000-0005-0000-0000-00009E2A0000}"/>
    <cellStyle name="Followed Hyperlink 2" xfId="32834" hidden="1" xr:uid="{00000000-0005-0000-0000-00009F2A0000}"/>
    <cellStyle name="Followed Hyperlink 2" xfId="32844" hidden="1" xr:uid="{00000000-0005-0000-0000-0000A02A0000}"/>
    <cellStyle name="Followed Hyperlink 2" xfId="32847" hidden="1" xr:uid="{00000000-0005-0000-0000-0000A12A0000}"/>
    <cellStyle name="Followed Hyperlink 2" xfId="32850" hidden="1" xr:uid="{00000000-0005-0000-0000-0000A22A0000}"/>
    <cellStyle name="Followed Hyperlink 2" xfId="32854" hidden="1" xr:uid="{00000000-0005-0000-0000-0000A32A0000}"/>
    <cellStyle name="Followed Hyperlink 2" xfId="32862" hidden="1" xr:uid="{00000000-0005-0000-0000-0000A42A0000}"/>
    <cellStyle name="Followed Hyperlink 2" xfId="32859" hidden="1" xr:uid="{00000000-0005-0000-0000-0000A52A0000}"/>
    <cellStyle name="Followed Hyperlink 2" xfId="32857" hidden="1" xr:uid="{00000000-0005-0000-0000-0000A62A0000}"/>
    <cellStyle name="Followed Hyperlink 2" xfId="32858" hidden="1" xr:uid="{00000000-0005-0000-0000-0000A72A0000}"/>
    <cellStyle name="Followed Hyperlink 2" xfId="32868" hidden="1" xr:uid="{00000000-0005-0000-0000-0000A82A0000}"/>
    <cellStyle name="Followed Hyperlink 2" xfId="32871" hidden="1" xr:uid="{00000000-0005-0000-0000-0000A92A0000}"/>
    <cellStyle name="Followed Hyperlink 2" xfId="32874" hidden="1" xr:uid="{00000000-0005-0000-0000-0000AA2A0000}"/>
    <cellStyle name="Followed Hyperlink 2" xfId="32878" hidden="1" xr:uid="{00000000-0005-0000-0000-0000AB2A0000}"/>
    <cellStyle name="Followed Hyperlink 2" xfId="32888" hidden="1" xr:uid="{00000000-0005-0000-0000-0000AC2A0000}"/>
    <cellStyle name="Followed Hyperlink 2" xfId="32885" hidden="1" xr:uid="{00000000-0005-0000-0000-0000AD2A0000}"/>
    <cellStyle name="Followed Hyperlink 2" xfId="32883" hidden="1" xr:uid="{00000000-0005-0000-0000-0000AE2A0000}"/>
    <cellStyle name="Followed Hyperlink 2" xfId="32884" hidden="1" xr:uid="{00000000-0005-0000-0000-0000AF2A0000}"/>
    <cellStyle name="Followed Hyperlink 2" xfId="32894" hidden="1" xr:uid="{00000000-0005-0000-0000-0000B02A0000}"/>
    <cellStyle name="Followed Hyperlink 2" xfId="32897" hidden="1" xr:uid="{00000000-0005-0000-0000-0000B12A0000}"/>
    <cellStyle name="Followed Hyperlink 2" xfId="32900" hidden="1" xr:uid="{00000000-0005-0000-0000-0000B22A0000}"/>
    <cellStyle name="Followed Hyperlink 2" xfId="32904" hidden="1" xr:uid="{00000000-0005-0000-0000-0000B32A0000}"/>
    <cellStyle name="Followed Hyperlink 2" xfId="32912" hidden="1" xr:uid="{00000000-0005-0000-0000-0000B42A0000}"/>
    <cellStyle name="Followed Hyperlink 2" xfId="32909" hidden="1" xr:uid="{00000000-0005-0000-0000-0000B52A0000}"/>
    <cellStyle name="Followed Hyperlink 2" xfId="32907" hidden="1" xr:uid="{00000000-0005-0000-0000-0000B62A0000}"/>
    <cellStyle name="Followed Hyperlink 2" xfId="32908" hidden="1" xr:uid="{00000000-0005-0000-0000-0000B72A0000}"/>
    <cellStyle name="Followed Hyperlink 2" xfId="32918" hidden="1" xr:uid="{00000000-0005-0000-0000-0000B82A0000}"/>
    <cellStyle name="Followed Hyperlink 2" xfId="32921" hidden="1" xr:uid="{00000000-0005-0000-0000-0000B92A0000}"/>
    <cellStyle name="Followed Hyperlink 2" xfId="32924" hidden="1" xr:uid="{00000000-0005-0000-0000-0000BA2A0000}"/>
    <cellStyle name="Followed Hyperlink 2" xfId="32928" hidden="1" xr:uid="{00000000-0005-0000-0000-0000BB2A0000}"/>
    <cellStyle name="Followed Hyperlink 2" xfId="32805" hidden="1" xr:uid="{00000000-0005-0000-0000-0000BC2A0000}"/>
    <cellStyle name="Followed Hyperlink 2" xfId="32809" hidden="1" xr:uid="{00000000-0005-0000-0000-0000BD2A0000}"/>
    <cellStyle name="Followed Hyperlink 2" xfId="32804" hidden="1" xr:uid="{00000000-0005-0000-0000-0000BE2A0000}"/>
    <cellStyle name="Followed Hyperlink 2" xfId="32810" hidden="1" xr:uid="{00000000-0005-0000-0000-0000BF2A0000}"/>
    <cellStyle name="Followed Hyperlink 2" xfId="32931" hidden="1" xr:uid="{00000000-0005-0000-0000-0000C02A0000}"/>
    <cellStyle name="Followed Hyperlink 2" xfId="32934" hidden="1" xr:uid="{00000000-0005-0000-0000-0000C12A0000}"/>
    <cellStyle name="Followed Hyperlink 2" xfId="32937" hidden="1" xr:uid="{00000000-0005-0000-0000-0000C22A0000}"/>
    <cellStyle name="Followed Hyperlink 2" xfId="32941" hidden="1" xr:uid="{00000000-0005-0000-0000-0000C32A0000}"/>
    <cellStyle name="Followed Hyperlink 2" xfId="32949" hidden="1" xr:uid="{00000000-0005-0000-0000-0000C42A0000}"/>
    <cellStyle name="Followed Hyperlink 2" xfId="32946" hidden="1" xr:uid="{00000000-0005-0000-0000-0000C52A0000}"/>
    <cellStyle name="Followed Hyperlink 2" xfId="32944" hidden="1" xr:uid="{00000000-0005-0000-0000-0000C62A0000}"/>
    <cellStyle name="Followed Hyperlink 2" xfId="32945" hidden="1" xr:uid="{00000000-0005-0000-0000-0000C72A0000}"/>
    <cellStyle name="Followed Hyperlink 2" xfId="32955" hidden="1" xr:uid="{00000000-0005-0000-0000-0000C82A0000}"/>
    <cellStyle name="Followed Hyperlink 2" xfId="32958" hidden="1" xr:uid="{00000000-0005-0000-0000-0000C92A0000}"/>
    <cellStyle name="Followed Hyperlink 2" xfId="32961" hidden="1" xr:uid="{00000000-0005-0000-0000-0000CA2A0000}"/>
    <cellStyle name="Followed Hyperlink 2" xfId="32965" hidden="1" xr:uid="{00000000-0005-0000-0000-0000CB2A0000}"/>
    <cellStyle name="Followed Hyperlink 2" xfId="32974" hidden="1" xr:uid="{00000000-0005-0000-0000-0000CC2A0000}"/>
    <cellStyle name="Followed Hyperlink 2" xfId="32971" hidden="1" xr:uid="{00000000-0005-0000-0000-0000CD2A0000}"/>
    <cellStyle name="Followed Hyperlink 2" xfId="32969" hidden="1" xr:uid="{00000000-0005-0000-0000-0000CE2A0000}"/>
    <cellStyle name="Followed Hyperlink 2" xfId="32970" hidden="1" xr:uid="{00000000-0005-0000-0000-0000CF2A0000}"/>
    <cellStyle name="Followed Hyperlink 2" xfId="32980" hidden="1" xr:uid="{00000000-0005-0000-0000-0000D02A0000}"/>
    <cellStyle name="Followed Hyperlink 2" xfId="32983" hidden="1" xr:uid="{00000000-0005-0000-0000-0000D12A0000}"/>
    <cellStyle name="Followed Hyperlink 2" xfId="32986" hidden="1" xr:uid="{00000000-0005-0000-0000-0000D22A0000}"/>
    <cellStyle name="Followed Hyperlink 2" xfId="32990" hidden="1" xr:uid="{00000000-0005-0000-0000-0000D32A0000}"/>
    <cellStyle name="Followed Hyperlink 2" xfId="32998" hidden="1" xr:uid="{00000000-0005-0000-0000-0000D42A0000}"/>
    <cellStyle name="Followed Hyperlink 2" xfId="32995" hidden="1" xr:uid="{00000000-0005-0000-0000-0000D52A0000}"/>
    <cellStyle name="Followed Hyperlink 2" xfId="32993" hidden="1" xr:uid="{00000000-0005-0000-0000-0000D62A0000}"/>
    <cellStyle name="Followed Hyperlink 2" xfId="32994" hidden="1" xr:uid="{00000000-0005-0000-0000-0000D72A0000}"/>
    <cellStyle name="Followed Hyperlink 2" xfId="33004" hidden="1" xr:uid="{00000000-0005-0000-0000-0000D82A0000}"/>
    <cellStyle name="Followed Hyperlink 2" xfId="33007" hidden="1" xr:uid="{00000000-0005-0000-0000-0000D92A0000}"/>
    <cellStyle name="Followed Hyperlink 2" xfId="33010" hidden="1" xr:uid="{00000000-0005-0000-0000-0000DA2A0000}"/>
    <cellStyle name="Followed Hyperlink 2" xfId="33014" hidden="1" xr:uid="{00000000-0005-0000-0000-0000DB2A0000}"/>
    <cellStyle name="Followed Hyperlink 2" xfId="32823" hidden="1" xr:uid="{00000000-0005-0000-0000-0000DC2A0000}"/>
    <cellStyle name="Followed Hyperlink 2" xfId="32820" hidden="1" xr:uid="{00000000-0005-0000-0000-0000DD2A0000}"/>
    <cellStyle name="Followed Hyperlink 2" xfId="32814" hidden="1" xr:uid="{00000000-0005-0000-0000-0000DE2A0000}"/>
    <cellStyle name="Followed Hyperlink 2" xfId="32819" hidden="1" xr:uid="{00000000-0005-0000-0000-0000DF2A0000}"/>
    <cellStyle name="Followed Hyperlink 2" xfId="33017" hidden="1" xr:uid="{00000000-0005-0000-0000-0000E02A0000}"/>
    <cellStyle name="Followed Hyperlink 2" xfId="33020" hidden="1" xr:uid="{00000000-0005-0000-0000-0000E12A0000}"/>
    <cellStyle name="Followed Hyperlink 2" xfId="33023" hidden="1" xr:uid="{00000000-0005-0000-0000-0000E22A0000}"/>
    <cellStyle name="Followed Hyperlink 2" xfId="33027" hidden="1" xr:uid="{00000000-0005-0000-0000-0000E32A0000}"/>
    <cellStyle name="Followed Hyperlink 2" xfId="33035" hidden="1" xr:uid="{00000000-0005-0000-0000-0000E42A0000}"/>
    <cellStyle name="Followed Hyperlink 2" xfId="33032" hidden="1" xr:uid="{00000000-0005-0000-0000-0000E52A0000}"/>
    <cellStyle name="Followed Hyperlink 2" xfId="33030" hidden="1" xr:uid="{00000000-0005-0000-0000-0000E62A0000}"/>
    <cellStyle name="Followed Hyperlink 2" xfId="33031" hidden="1" xr:uid="{00000000-0005-0000-0000-0000E72A0000}"/>
    <cellStyle name="Followed Hyperlink 2" xfId="33041" hidden="1" xr:uid="{00000000-0005-0000-0000-0000E82A0000}"/>
    <cellStyle name="Followed Hyperlink 2" xfId="33044" hidden="1" xr:uid="{00000000-0005-0000-0000-0000E92A0000}"/>
    <cellStyle name="Followed Hyperlink 2" xfId="33047" hidden="1" xr:uid="{00000000-0005-0000-0000-0000EA2A0000}"/>
    <cellStyle name="Followed Hyperlink 2" xfId="33051" hidden="1" xr:uid="{00000000-0005-0000-0000-0000EB2A0000}"/>
    <cellStyle name="Followed Hyperlink 2" xfId="33060" hidden="1" xr:uid="{00000000-0005-0000-0000-0000EC2A0000}"/>
    <cellStyle name="Followed Hyperlink 2" xfId="33057" hidden="1" xr:uid="{00000000-0005-0000-0000-0000ED2A0000}"/>
    <cellStyle name="Followed Hyperlink 2" xfId="33055" hidden="1" xr:uid="{00000000-0005-0000-0000-0000EE2A0000}"/>
    <cellStyle name="Followed Hyperlink 2" xfId="33056" hidden="1" xr:uid="{00000000-0005-0000-0000-0000EF2A0000}"/>
    <cellStyle name="Followed Hyperlink 2" xfId="33066" hidden="1" xr:uid="{00000000-0005-0000-0000-0000F02A0000}"/>
    <cellStyle name="Followed Hyperlink 2" xfId="33069" hidden="1" xr:uid="{00000000-0005-0000-0000-0000F12A0000}"/>
    <cellStyle name="Followed Hyperlink 2" xfId="33072" hidden="1" xr:uid="{00000000-0005-0000-0000-0000F22A0000}"/>
    <cellStyle name="Followed Hyperlink 2" xfId="33076" hidden="1" xr:uid="{00000000-0005-0000-0000-0000F32A0000}"/>
    <cellStyle name="Followed Hyperlink 2" xfId="33084" hidden="1" xr:uid="{00000000-0005-0000-0000-0000F42A0000}"/>
    <cellStyle name="Followed Hyperlink 2" xfId="33081" hidden="1" xr:uid="{00000000-0005-0000-0000-0000F52A0000}"/>
    <cellStyle name="Followed Hyperlink 2" xfId="33079" hidden="1" xr:uid="{00000000-0005-0000-0000-0000F62A0000}"/>
    <cellStyle name="Followed Hyperlink 2" xfId="33080" hidden="1" xr:uid="{00000000-0005-0000-0000-0000F72A0000}"/>
    <cellStyle name="Followed Hyperlink 2" xfId="33090" hidden="1" xr:uid="{00000000-0005-0000-0000-0000F82A0000}"/>
    <cellStyle name="Followed Hyperlink 2" xfId="33093" hidden="1" xr:uid="{00000000-0005-0000-0000-0000F92A0000}"/>
    <cellStyle name="Followed Hyperlink 2" xfId="33096" hidden="1" xr:uid="{00000000-0005-0000-0000-0000FA2A0000}"/>
    <cellStyle name="Followed Hyperlink 2" xfId="33100" hidden="1" xr:uid="{00000000-0005-0000-0000-0000FB2A0000}"/>
    <cellStyle name="Followed Hyperlink 2" xfId="32831" hidden="1" xr:uid="{00000000-0005-0000-0000-0000FC2A0000}"/>
    <cellStyle name="Followed Hyperlink 2" xfId="32827" hidden="1" xr:uid="{00000000-0005-0000-0000-0000FD2A0000}"/>
    <cellStyle name="Followed Hyperlink 2" xfId="32828" hidden="1" xr:uid="{00000000-0005-0000-0000-0000FE2A0000}"/>
    <cellStyle name="Followed Hyperlink 2" xfId="32815" hidden="1" xr:uid="{00000000-0005-0000-0000-0000FF2A0000}"/>
    <cellStyle name="Followed Hyperlink 2" xfId="33103" hidden="1" xr:uid="{00000000-0005-0000-0000-0000002B0000}"/>
    <cellStyle name="Followed Hyperlink 2" xfId="33106" hidden="1" xr:uid="{00000000-0005-0000-0000-0000012B0000}"/>
    <cellStyle name="Followed Hyperlink 2" xfId="33109" hidden="1" xr:uid="{00000000-0005-0000-0000-0000022B0000}"/>
    <cellStyle name="Followed Hyperlink 2" xfId="33113" hidden="1" xr:uid="{00000000-0005-0000-0000-0000032B0000}"/>
    <cellStyle name="Followed Hyperlink 2" xfId="33121" hidden="1" xr:uid="{00000000-0005-0000-0000-0000042B0000}"/>
    <cellStyle name="Followed Hyperlink 2" xfId="33118" hidden="1" xr:uid="{00000000-0005-0000-0000-0000052B0000}"/>
    <cellStyle name="Followed Hyperlink 2" xfId="33116" hidden="1" xr:uid="{00000000-0005-0000-0000-0000062B0000}"/>
    <cellStyle name="Followed Hyperlink 2" xfId="33117" hidden="1" xr:uid="{00000000-0005-0000-0000-0000072B0000}"/>
    <cellStyle name="Followed Hyperlink 2" xfId="33127" hidden="1" xr:uid="{00000000-0005-0000-0000-0000082B0000}"/>
    <cellStyle name="Followed Hyperlink 2" xfId="33130" hidden="1" xr:uid="{00000000-0005-0000-0000-0000092B0000}"/>
    <cellStyle name="Followed Hyperlink 2" xfId="33133" hidden="1" xr:uid="{00000000-0005-0000-0000-00000A2B0000}"/>
    <cellStyle name="Followed Hyperlink 2" xfId="33137" hidden="1" xr:uid="{00000000-0005-0000-0000-00000B2B0000}"/>
    <cellStyle name="Followed Hyperlink 2" xfId="33145" hidden="1" xr:uid="{00000000-0005-0000-0000-00000C2B0000}"/>
    <cellStyle name="Followed Hyperlink 2" xfId="33142" hidden="1" xr:uid="{00000000-0005-0000-0000-00000D2B0000}"/>
    <cellStyle name="Followed Hyperlink 2" xfId="33140" hidden="1" xr:uid="{00000000-0005-0000-0000-00000E2B0000}"/>
    <cellStyle name="Followed Hyperlink 2" xfId="33141" hidden="1" xr:uid="{00000000-0005-0000-0000-00000F2B0000}"/>
    <cellStyle name="Followed Hyperlink 2" xfId="33151" hidden="1" xr:uid="{00000000-0005-0000-0000-0000102B0000}"/>
    <cellStyle name="Followed Hyperlink 2" xfId="33154" hidden="1" xr:uid="{00000000-0005-0000-0000-0000112B0000}"/>
    <cellStyle name="Followed Hyperlink 2" xfId="33157" hidden="1" xr:uid="{00000000-0005-0000-0000-0000122B0000}"/>
    <cellStyle name="Followed Hyperlink 2" xfId="33161" hidden="1" xr:uid="{00000000-0005-0000-0000-0000132B0000}"/>
    <cellStyle name="Followed Hyperlink 2" xfId="33169" hidden="1" xr:uid="{00000000-0005-0000-0000-0000142B0000}"/>
    <cellStyle name="Followed Hyperlink 2" xfId="33166" hidden="1" xr:uid="{00000000-0005-0000-0000-0000152B0000}"/>
    <cellStyle name="Followed Hyperlink 2" xfId="33164" hidden="1" xr:uid="{00000000-0005-0000-0000-0000162B0000}"/>
    <cellStyle name="Followed Hyperlink 2" xfId="33165" hidden="1" xr:uid="{00000000-0005-0000-0000-0000172B0000}"/>
    <cellStyle name="Followed Hyperlink 2" xfId="33175" hidden="1" xr:uid="{00000000-0005-0000-0000-0000182B0000}"/>
    <cellStyle name="Followed Hyperlink 2" xfId="33178" hidden="1" xr:uid="{00000000-0005-0000-0000-0000192B0000}"/>
    <cellStyle name="Followed Hyperlink 2" xfId="33181" hidden="1" xr:uid="{00000000-0005-0000-0000-00001A2B0000}"/>
    <cellStyle name="Followed Hyperlink 2" xfId="33185" hidden="1" xr:uid="{00000000-0005-0000-0000-00001B2B0000}"/>
    <cellStyle name="Followed Hyperlink 3" xfId="247" hidden="1" xr:uid="{00000000-0005-0000-0000-00001C2B0000}"/>
    <cellStyle name="Followed Hyperlink 3" xfId="249" hidden="1" xr:uid="{00000000-0005-0000-0000-00001D2B0000}"/>
    <cellStyle name="Followed Hyperlink 3" xfId="245" hidden="1" xr:uid="{00000000-0005-0000-0000-00001E2B0000}"/>
    <cellStyle name="Followed Hyperlink 3" xfId="244" hidden="1" xr:uid="{00000000-0005-0000-0000-00001F2B0000}"/>
    <cellStyle name="Followed Hyperlink 3" xfId="250" hidden="1" xr:uid="{00000000-0005-0000-0000-0000202B0000}"/>
    <cellStyle name="Followed Hyperlink 3" xfId="253" hidden="1" xr:uid="{00000000-0005-0000-0000-0000212B0000}"/>
    <cellStyle name="Followed Hyperlink 3" xfId="256" hidden="1" xr:uid="{00000000-0005-0000-0000-0000222B0000}"/>
    <cellStyle name="Followed Hyperlink 3" xfId="261" hidden="1" xr:uid="{00000000-0005-0000-0000-0000232B0000}"/>
    <cellStyle name="Followed Hyperlink 3" xfId="271" hidden="1" xr:uid="{00000000-0005-0000-0000-0000242B0000}"/>
    <cellStyle name="Followed Hyperlink 3" xfId="273" hidden="1" xr:uid="{00000000-0005-0000-0000-0000252B0000}"/>
    <cellStyle name="Followed Hyperlink 3" xfId="269" hidden="1" xr:uid="{00000000-0005-0000-0000-0000262B0000}"/>
    <cellStyle name="Followed Hyperlink 3" xfId="268" hidden="1" xr:uid="{00000000-0005-0000-0000-0000272B0000}"/>
    <cellStyle name="Followed Hyperlink 3" xfId="274" hidden="1" xr:uid="{00000000-0005-0000-0000-0000282B0000}"/>
    <cellStyle name="Followed Hyperlink 3" xfId="277" hidden="1" xr:uid="{00000000-0005-0000-0000-0000292B0000}"/>
    <cellStyle name="Followed Hyperlink 3" xfId="280" hidden="1" xr:uid="{00000000-0005-0000-0000-00002A2B0000}"/>
    <cellStyle name="Followed Hyperlink 3" xfId="285" hidden="1" xr:uid="{00000000-0005-0000-0000-00002B2B0000}"/>
    <cellStyle name="Followed Hyperlink 3" xfId="306" hidden="1" xr:uid="{00000000-0005-0000-0000-00002C2B0000}"/>
    <cellStyle name="Followed Hyperlink 3" xfId="308" hidden="1" xr:uid="{00000000-0005-0000-0000-00002D2B0000}"/>
    <cellStyle name="Followed Hyperlink 3" xfId="304" hidden="1" xr:uid="{00000000-0005-0000-0000-00002E2B0000}"/>
    <cellStyle name="Followed Hyperlink 3" xfId="303" hidden="1" xr:uid="{00000000-0005-0000-0000-00002F2B0000}"/>
    <cellStyle name="Followed Hyperlink 3" xfId="309" hidden="1" xr:uid="{00000000-0005-0000-0000-0000302B0000}"/>
    <cellStyle name="Followed Hyperlink 3" xfId="312" hidden="1" xr:uid="{00000000-0005-0000-0000-0000312B0000}"/>
    <cellStyle name="Followed Hyperlink 3" xfId="315" hidden="1" xr:uid="{00000000-0005-0000-0000-0000322B0000}"/>
    <cellStyle name="Followed Hyperlink 3" xfId="320" hidden="1" xr:uid="{00000000-0005-0000-0000-0000332B0000}"/>
    <cellStyle name="Followed Hyperlink 3" xfId="330" hidden="1" xr:uid="{00000000-0005-0000-0000-0000342B0000}"/>
    <cellStyle name="Followed Hyperlink 3" xfId="332" hidden="1" xr:uid="{00000000-0005-0000-0000-0000352B0000}"/>
    <cellStyle name="Followed Hyperlink 3" xfId="328" hidden="1" xr:uid="{00000000-0005-0000-0000-0000362B0000}"/>
    <cellStyle name="Followed Hyperlink 3" xfId="327" hidden="1" xr:uid="{00000000-0005-0000-0000-0000372B0000}"/>
    <cellStyle name="Followed Hyperlink 3" xfId="333" hidden="1" xr:uid="{00000000-0005-0000-0000-0000382B0000}"/>
    <cellStyle name="Followed Hyperlink 3" xfId="336" hidden="1" xr:uid="{00000000-0005-0000-0000-0000392B0000}"/>
    <cellStyle name="Followed Hyperlink 3" xfId="339" hidden="1" xr:uid="{00000000-0005-0000-0000-00003A2B0000}"/>
    <cellStyle name="Followed Hyperlink 3" xfId="344" hidden="1" xr:uid="{00000000-0005-0000-0000-00003B2B0000}"/>
    <cellStyle name="Followed Hyperlink 3" xfId="354" hidden="1" xr:uid="{00000000-0005-0000-0000-00003C2B0000}"/>
    <cellStyle name="Followed Hyperlink 3" xfId="356" hidden="1" xr:uid="{00000000-0005-0000-0000-00003D2B0000}"/>
    <cellStyle name="Followed Hyperlink 3" xfId="352" hidden="1" xr:uid="{00000000-0005-0000-0000-00003E2B0000}"/>
    <cellStyle name="Followed Hyperlink 3" xfId="351" hidden="1" xr:uid="{00000000-0005-0000-0000-00003F2B0000}"/>
    <cellStyle name="Followed Hyperlink 3" xfId="357" hidden="1" xr:uid="{00000000-0005-0000-0000-0000402B0000}"/>
    <cellStyle name="Followed Hyperlink 3" xfId="360" hidden="1" xr:uid="{00000000-0005-0000-0000-0000412B0000}"/>
    <cellStyle name="Followed Hyperlink 3" xfId="363" hidden="1" xr:uid="{00000000-0005-0000-0000-0000422B0000}"/>
    <cellStyle name="Followed Hyperlink 3" xfId="368" hidden="1" xr:uid="{00000000-0005-0000-0000-0000432B0000}"/>
    <cellStyle name="Followed Hyperlink 3" xfId="378" hidden="1" xr:uid="{00000000-0005-0000-0000-0000442B0000}"/>
    <cellStyle name="Followed Hyperlink 3" xfId="380" hidden="1" xr:uid="{00000000-0005-0000-0000-0000452B0000}"/>
    <cellStyle name="Followed Hyperlink 3" xfId="376" hidden="1" xr:uid="{00000000-0005-0000-0000-0000462B0000}"/>
    <cellStyle name="Followed Hyperlink 3" xfId="375" hidden="1" xr:uid="{00000000-0005-0000-0000-0000472B0000}"/>
    <cellStyle name="Followed Hyperlink 3" xfId="381" hidden="1" xr:uid="{00000000-0005-0000-0000-0000482B0000}"/>
    <cellStyle name="Followed Hyperlink 3" xfId="384" hidden="1" xr:uid="{00000000-0005-0000-0000-0000492B0000}"/>
    <cellStyle name="Followed Hyperlink 3" xfId="387" hidden="1" xr:uid="{00000000-0005-0000-0000-00004A2B0000}"/>
    <cellStyle name="Followed Hyperlink 3" xfId="392" hidden="1" xr:uid="{00000000-0005-0000-0000-00004B2B0000}"/>
    <cellStyle name="Followed Hyperlink 3" xfId="402" hidden="1" xr:uid="{00000000-0005-0000-0000-00004C2B0000}"/>
    <cellStyle name="Followed Hyperlink 3" xfId="404" hidden="1" xr:uid="{00000000-0005-0000-0000-00004D2B0000}"/>
    <cellStyle name="Followed Hyperlink 3" xfId="400" hidden="1" xr:uid="{00000000-0005-0000-0000-00004E2B0000}"/>
    <cellStyle name="Followed Hyperlink 3" xfId="399" hidden="1" xr:uid="{00000000-0005-0000-0000-00004F2B0000}"/>
    <cellStyle name="Followed Hyperlink 3" xfId="405" hidden="1" xr:uid="{00000000-0005-0000-0000-0000502B0000}"/>
    <cellStyle name="Followed Hyperlink 3" xfId="408" hidden="1" xr:uid="{00000000-0005-0000-0000-0000512B0000}"/>
    <cellStyle name="Followed Hyperlink 3" xfId="411" hidden="1" xr:uid="{00000000-0005-0000-0000-0000522B0000}"/>
    <cellStyle name="Followed Hyperlink 3" xfId="416" hidden="1" xr:uid="{00000000-0005-0000-0000-0000532B0000}"/>
    <cellStyle name="Followed Hyperlink 3" xfId="426" hidden="1" xr:uid="{00000000-0005-0000-0000-0000542B0000}"/>
    <cellStyle name="Followed Hyperlink 3" xfId="428" hidden="1" xr:uid="{00000000-0005-0000-0000-0000552B0000}"/>
    <cellStyle name="Followed Hyperlink 3" xfId="424" hidden="1" xr:uid="{00000000-0005-0000-0000-0000562B0000}"/>
    <cellStyle name="Followed Hyperlink 3" xfId="423" hidden="1" xr:uid="{00000000-0005-0000-0000-0000572B0000}"/>
    <cellStyle name="Followed Hyperlink 3" xfId="429" hidden="1" xr:uid="{00000000-0005-0000-0000-0000582B0000}"/>
    <cellStyle name="Followed Hyperlink 3" xfId="432" hidden="1" xr:uid="{00000000-0005-0000-0000-0000592B0000}"/>
    <cellStyle name="Followed Hyperlink 3" xfId="435" hidden="1" xr:uid="{00000000-0005-0000-0000-00005A2B0000}"/>
    <cellStyle name="Followed Hyperlink 3" xfId="440" hidden="1" xr:uid="{00000000-0005-0000-0000-00005B2B0000}"/>
    <cellStyle name="Followed Hyperlink 3" xfId="450" hidden="1" xr:uid="{00000000-0005-0000-0000-00005C2B0000}"/>
    <cellStyle name="Followed Hyperlink 3" xfId="452" hidden="1" xr:uid="{00000000-0005-0000-0000-00005D2B0000}"/>
    <cellStyle name="Followed Hyperlink 3" xfId="448" hidden="1" xr:uid="{00000000-0005-0000-0000-00005E2B0000}"/>
    <cellStyle name="Followed Hyperlink 3" xfId="447" hidden="1" xr:uid="{00000000-0005-0000-0000-00005F2B0000}"/>
    <cellStyle name="Followed Hyperlink 3" xfId="453" hidden="1" xr:uid="{00000000-0005-0000-0000-0000602B0000}"/>
    <cellStyle name="Followed Hyperlink 3" xfId="456" hidden="1" xr:uid="{00000000-0005-0000-0000-0000612B0000}"/>
    <cellStyle name="Followed Hyperlink 3" xfId="459" hidden="1" xr:uid="{00000000-0005-0000-0000-0000622B0000}"/>
    <cellStyle name="Followed Hyperlink 3" xfId="464" hidden="1" xr:uid="{00000000-0005-0000-0000-0000632B0000}"/>
    <cellStyle name="Followed Hyperlink 3" xfId="474" hidden="1" xr:uid="{00000000-0005-0000-0000-0000642B0000}"/>
    <cellStyle name="Followed Hyperlink 3" xfId="476" hidden="1" xr:uid="{00000000-0005-0000-0000-0000652B0000}"/>
    <cellStyle name="Followed Hyperlink 3" xfId="472" hidden="1" xr:uid="{00000000-0005-0000-0000-0000662B0000}"/>
    <cellStyle name="Followed Hyperlink 3" xfId="471" hidden="1" xr:uid="{00000000-0005-0000-0000-0000672B0000}"/>
    <cellStyle name="Followed Hyperlink 3" xfId="477" hidden="1" xr:uid="{00000000-0005-0000-0000-0000682B0000}"/>
    <cellStyle name="Followed Hyperlink 3" xfId="480" hidden="1" xr:uid="{00000000-0005-0000-0000-0000692B0000}"/>
    <cellStyle name="Followed Hyperlink 3" xfId="483" hidden="1" xr:uid="{00000000-0005-0000-0000-00006A2B0000}"/>
    <cellStyle name="Followed Hyperlink 3" xfId="488" hidden="1" xr:uid="{00000000-0005-0000-0000-00006B2B0000}"/>
    <cellStyle name="Followed Hyperlink 3" xfId="498" hidden="1" xr:uid="{00000000-0005-0000-0000-00006C2B0000}"/>
    <cellStyle name="Followed Hyperlink 3" xfId="500" hidden="1" xr:uid="{00000000-0005-0000-0000-00006D2B0000}"/>
    <cellStyle name="Followed Hyperlink 3" xfId="496" hidden="1" xr:uid="{00000000-0005-0000-0000-00006E2B0000}"/>
    <cellStyle name="Followed Hyperlink 3" xfId="495" hidden="1" xr:uid="{00000000-0005-0000-0000-00006F2B0000}"/>
    <cellStyle name="Followed Hyperlink 3" xfId="501" hidden="1" xr:uid="{00000000-0005-0000-0000-0000702B0000}"/>
    <cellStyle name="Followed Hyperlink 3" xfId="504" hidden="1" xr:uid="{00000000-0005-0000-0000-0000712B0000}"/>
    <cellStyle name="Followed Hyperlink 3" xfId="507" hidden="1" xr:uid="{00000000-0005-0000-0000-0000722B0000}"/>
    <cellStyle name="Followed Hyperlink 3" xfId="512" hidden="1" xr:uid="{00000000-0005-0000-0000-0000732B0000}"/>
    <cellStyle name="Followed Hyperlink 3" xfId="522" hidden="1" xr:uid="{00000000-0005-0000-0000-0000742B0000}"/>
    <cellStyle name="Followed Hyperlink 3" xfId="524" hidden="1" xr:uid="{00000000-0005-0000-0000-0000752B0000}"/>
    <cellStyle name="Followed Hyperlink 3" xfId="520" hidden="1" xr:uid="{00000000-0005-0000-0000-0000762B0000}"/>
    <cellStyle name="Followed Hyperlink 3" xfId="519" hidden="1" xr:uid="{00000000-0005-0000-0000-0000772B0000}"/>
    <cellStyle name="Followed Hyperlink 3" xfId="525" hidden="1" xr:uid="{00000000-0005-0000-0000-0000782B0000}"/>
    <cellStyle name="Followed Hyperlink 3" xfId="528" hidden="1" xr:uid="{00000000-0005-0000-0000-0000792B0000}"/>
    <cellStyle name="Followed Hyperlink 3" xfId="531" hidden="1" xr:uid="{00000000-0005-0000-0000-00007A2B0000}"/>
    <cellStyle name="Followed Hyperlink 3" xfId="536" hidden="1" xr:uid="{00000000-0005-0000-0000-00007B2B0000}"/>
    <cellStyle name="Followed Hyperlink 3" xfId="589" hidden="1" xr:uid="{00000000-0005-0000-0000-00007C2B0000}"/>
    <cellStyle name="Followed Hyperlink 3" xfId="591" hidden="1" xr:uid="{00000000-0005-0000-0000-00007D2B0000}"/>
    <cellStyle name="Followed Hyperlink 3" xfId="587" hidden="1" xr:uid="{00000000-0005-0000-0000-00007E2B0000}"/>
    <cellStyle name="Followed Hyperlink 3" xfId="586" hidden="1" xr:uid="{00000000-0005-0000-0000-00007F2B0000}"/>
    <cellStyle name="Followed Hyperlink 3" xfId="592" hidden="1" xr:uid="{00000000-0005-0000-0000-0000802B0000}"/>
    <cellStyle name="Followed Hyperlink 3" xfId="595" hidden="1" xr:uid="{00000000-0005-0000-0000-0000812B0000}"/>
    <cellStyle name="Followed Hyperlink 3" xfId="598" hidden="1" xr:uid="{00000000-0005-0000-0000-0000822B0000}"/>
    <cellStyle name="Followed Hyperlink 3" xfId="603" hidden="1" xr:uid="{00000000-0005-0000-0000-0000832B0000}"/>
    <cellStyle name="Followed Hyperlink 3" xfId="613" hidden="1" xr:uid="{00000000-0005-0000-0000-0000842B0000}"/>
    <cellStyle name="Followed Hyperlink 3" xfId="615" hidden="1" xr:uid="{00000000-0005-0000-0000-0000852B0000}"/>
    <cellStyle name="Followed Hyperlink 3" xfId="611" hidden="1" xr:uid="{00000000-0005-0000-0000-0000862B0000}"/>
    <cellStyle name="Followed Hyperlink 3" xfId="610" hidden="1" xr:uid="{00000000-0005-0000-0000-0000872B0000}"/>
    <cellStyle name="Followed Hyperlink 3" xfId="616" hidden="1" xr:uid="{00000000-0005-0000-0000-0000882B0000}"/>
    <cellStyle name="Followed Hyperlink 3" xfId="619" hidden="1" xr:uid="{00000000-0005-0000-0000-0000892B0000}"/>
    <cellStyle name="Followed Hyperlink 3" xfId="622" hidden="1" xr:uid="{00000000-0005-0000-0000-00008A2B0000}"/>
    <cellStyle name="Followed Hyperlink 3" xfId="627" hidden="1" xr:uid="{00000000-0005-0000-0000-00008B2B0000}"/>
    <cellStyle name="Followed Hyperlink 3" xfId="640" hidden="1" xr:uid="{00000000-0005-0000-0000-00008C2B0000}"/>
    <cellStyle name="Followed Hyperlink 3" xfId="642" hidden="1" xr:uid="{00000000-0005-0000-0000-00008D2B0000}"/>
    <cellStyle name="Followed Hyperlink 3" xfId="638" hidden="1" xr:uid="{00000000-0005-0000-0000-00008E2B0000}"/>
    <cellStyle name="Followed Hyperlink 3" xfId="637" hidden="1" xr:uid="{00000000-0005-0000-0000-00008F2B0000}"/>
    <cellStyle name="Followed Hyperlink 3" xfId="643" hidden="1" xr:uid="{00000000-0005-0000-0000-0000902B0000}"/>
    <cellStyle name="Followed Hyperlink 3" xfId="646" hidden="1" xr:uid="{00000000-0005-0000-0000-0000912B0000}"/>
    <cellStyle name="Followed Hyperlink 3" xfId="649" hidden="1" xr:uid="{00000000-0005-0000-0000-0000922B0000}"/>
    <cellStyle name="Followed Hyperlink 3" xfId="654" hidden="1" xr:uid="{00000000-0005-0000-0000-0000932B0000}"/>
    <cellStyle name="Followed Hyperlink 3" xfId="664" hidden="1" xr:uid="{00000000-0005-0000-0000-0000942B0000}"/>
    <cellStyle name="Followed Hyperlink 3" xfId="666" hidden="1" xr:uid="{00000000-0005-0000-0000-0000952B0000}"/>
    <cellStyle name="Followed Hyperlink 3" xfId="662" hidden="1" xr:uid="{00000000-0005-0000-0000-0000962B0000}"/>
    <cellStyle name="Followed Hyperlink 3" xfId="661" hidden="1" xr:uid="{00000000-0005-0000-0000-0000972B0000}"/>
    <cellStyle name="Followed Hyperlink 3" xfId="667" hidden="1" xr:uid="{00000000-0005-0000-0000-0000982B0000}"/>
    <cellStyle name="Followed Hyperlink 3" xfId="670" hidden="1" xr:uid="{00000000-0005-0000-0000-0000992B0000}"/>
    <cellStyle name="Followed Hyperlink 3" xfId="673" hidden="1" xr:uid="{00000000-0005-0000-0000-00009A2B0000}"/>
    <cellStyle name="Followed Hyperlink 3" xfId="678" hidden="1" xr:uid="{00000000-0005-0000-0000-00009B2B0000}"/>
    <cellStyle name="Followed Hyperlink 3" xfId="717" hidden="1" xr:uid="{00000000-0005-0000-0000-00009C2B0000}"/>
    <cellStyle name="Followed Hyperlink 3" xfId="719" hidden="1" xr:uid="{00000000-0005-0000-0000-00009D2B0000}"/>
    <cellStyle name="Followed Hyperlink 3" xfId="715" hidden="1" xr:uid="{00000000-0005-0000-0000-00009E2B0000}"/>
    <cellStyle name="Followed Hyperlink 3" xfId="714" hidden="1" xr:uid="{00000000-0005-0000-0000-00009F2B0000}"/>
    <cellStyle name="Followed Hyperlink 3" xfId="720" hidden="1" xr:uid="{00000000-0005-0000-0000-0000A02B0000}"/>
    <cellStyle name="Followed Hyperlink 3" xfId="723" hidden="1" xr:uid="{00000000-0005-0000-0000-0000A12B0000}"/>
    <cellStyle name="Followed Hyperlink 3" xfId="726" hidden="1" xr:uid="{00000000-0005-0000-0000-0000A22B0000}"/>
    <cellStyle name="Followed Hyperlink 3" xfId="731" hidden="1" xr:uid="{00000000-0005-0000-0000-0000A32B0000}"/>
    <cellStyle name="Followed Hyperlink 3" xfId="741" hidden="1" xr:uid="{00000000-0005-0000-0000-0000A42B0000}"/>
    <cellStyle name="Followed Hyperlink 3" xfId="743" hidden="1" xr:uid="{00000000-0005-0000-0000-0000A52B0000}"/>
    <cellStyle name="Followed Hyperlink 3" xfId="739" hidden="1" xr:uid="{00000000-0005-0000-0000-0000A62B0000}"/>
    <cellStyle name="Followed Hyperlink 3" xfId="738" hidden="1" xr:uid="{00000000-0005-0000-0000-0000A72B0000}"/>
    <cellStyle name="Followed Hyperlink 3" xfId="744" hidden="1" xr:uid="{00000000-0005-0000-0000-0000A82B0000}"/>
    <cellStyle name="Followed Hyperlink 3" xfId="747" hidden="1" xr:uid="{00000000-0005-0000-0000-0000A92B0000}"/>
    <cellStyle name="Followed Hyperlink 3" xfId="750" hidden="1" xr:uid="{00000000-0005-0000-0000-0000AA2B0000}"/>
    <cellStyle name="Followed Hyperlink 3" xfId="755" hidden="1" xr:uid="{00000000-0005-0000-0000-0000AB2B0000}"/>
    <cellStyle name="Followed Hyperlink 3" xfId="767" hidden="1" xr:uid="{00000000-0005-0000-0000-0000AC2B0000}"/>
    <cellStyle name="Followed Hyperlink 3" xfId="769" hidden="1" xr:uid="{00000000-0005-0000-0000-0000AD2B0000}"/>
    <cellStyle name="Followed Hyperlink 3" xfId="765" hidden="1" xr:uid="{00000000-0005-0000-0000-0000AE2B0000}"/>
    <cellStyle name="Followed Hyperlink 3" xfId="764" hidden="1" xr:uid="{00000000-0005-0000-0000-0000AF2B0000}"/>
    <cellStyle name="Followed Hyperlink 3" xfId="770" hidden="1" xr:uid="{00000000-0005-0000-0000-0000B02B0000}"/>
    <cellStyle name="Followed Hyperlink 3" xfId="773" hidden="1" xr:uid="{00000000-0005-0000-0000-0000B12B0000}"/>
    <cellStyle name="Followed Hyperlink 3" xfId="776" hidden="1" xr:uid="{00000000-0005-0000-0000-0000B22B0000}"/>
    <cellStyle name="Followed Hyperlink 3" xfId="781" hidden="1" xr:uid="{00000000-0005-0000-0000-0000B32B0000}"/>
    <cellStyle name="Followed Hyperlink 3" xfId="791" hidden="1" xr:uid="{00000000-0005-0000-0000-0000B42B0000}"/>
    <cellStyle name="Followed Hyperlink 3" xfId="793" hidden="1" xr:uid="{00000000-0005-0000-0000-0000B52B0000}"/>
    <cellStyle name="Followed Hyperlink 3" xfId="789" hidden="1" xr:uid="{00000000-0005-0000-0000-0000B62B0000}"/>
    <cellStyle name="Followed Hyperlink 3" xfId="788" hidden="1" xr:uid="{00000000-0005-0000-0000-0000B72B0000}"/>
    <cellStyle name="Followed Hyperlink 3" xfId="794" hidden="1" xr:uid="{00000000-0005-0000-0000-0000B82B0000}"/>
    <cellStyle name="Followed Hyperlink 3" xfId="797" hidden="1" xr:uid="{00000000-0005-0000-0000-0000B92B0000}"/>
    <cellStyle name="Followed Hyperlink 3" xfId="800" hidden="1" xr:uid="{00000000-0005-0000-0000-0000BA2B0000}"/>
    <cellStyle name="Followed Hyperlink 3" xfId="805" hidden="1" xr:uid="{00000000-0005-0000-0000-0000BB2B0000}"/>
    <cellStyle name="Followed Hyperlink 3" xfId="844" hidden="1" xr:uid="{00000000-0005-0000-0000-0000BC2B0000}"/>
    <cellStyle name="Followed Hyperlink 3" xfId="846" hidden="1" xr:uid="{00000000-0005-0000-0000-0000BD2B0000}"/>
    <cellStyle name="Followed Hyperlink 3" xfId="842" hidden="1" xr:uid="{00000000-0005-0000-0000-0000BE2B0000}"/>
    <cellStyle name="Followed Hyperlink 3" xfId="841" hidden="1" xr:uid="{00000000-0005-0000-0000-0000BF2B0000}"/>
    <cellStyle name="Followed Hyperlink 3" xfId="847" hidden="1" xr:uid="{00000000-0005-0000-0000-0000C02B0000}"/>
    <cellStyle name="Followed Hyperlink 3" xfId="850" hidden="1" xr:uid="{00000000-0005-0000-0000-0000C12B0000}"/>
    <cellStyle name="Followed Hyperlink 3" xfId="853" hidden="1" xr:uid="{00000000-0005-0000-0000-0000C22B0000}"/>
    <cellStyle name="Followed Hyperlink 3" xfId="858" hidden="1" xr:uid="{00000000-0005-0000-0000-0000C32B0000}"/>
    <cellStyle name="Followed Hyperlink 3" xfId="868" hidden="1" xr:uid="{00000000-0005-0000-0000-0000C42B0000}"/>
    <cellStyle name="Followed Hyperlink 3" xfId="870" hidden="1" xr:uid="{00000000-0005-0000-0000-0000C52B0000}"/>
    <cellStyle name="Followed Hyperlink 3" xfId="866" hidden="1" xr:uid="{00000000-0005-0000-0000-0000C62B0000}"/>
    <cellStyle name="Followed Hyperlink 3" xfId="865" hidden="1" xr:uid="{00000000-0005-0000-0000-0000C72B0000}"/>
    <cellStyle name="Followed Hyperlink 3" xfId="871" hidden="1" xr:uid="{00000000-0005-0000-0000-0000C82B0000}"/>
    <cellStyle name="Followed Hyperlink 3" xfId="874" hidden="1" xr:uid="{00000000-0005-0000-0000-0000C92B0000}"/>
    <cellStyle name="Followed Hyperlink 3" xfId="877" hidden="1" xr:uid="{00000000-0005-0000-0000-0000CA2B0000}"/>
    <cellStyle name="Followed Hyperlink 3" xfId="882" hidden="1" xr:uid="{00000000-0005-0000-0000-0000CB2B0000}"/>
    <cellStyle name="Followed Hyperlink 3" xfId="894" hidden="1" xr:uid="{00000000-0005-0000-0000-0000CC2B0000}"/>
    <cellStyle name="Followed Hyperlink 3" xfId="896" hidden="1" xr:uid="{00000000-0005-0000-0000-0000CD2B0000}"/>
    <cellStyle name="Followed Hyperlink 3" xfId="892" hidden="1" xr:uid="{00000000-0005-0000-0000-0000CE2B0000}"/>
    <cellStyle name="Followed Hyperlink 3" xfId="891" hidden="1" xr:uid="{00000000-0005-0000-0000-0000CF2B0000}"/>
    <cellStyle name="Followed Hyperlink 3" xfId="897" hidden="1" xr:uid="{00000000-0005-0000-0000-0000D02B0000}"/>
    <cellStyle name="Followed Hyperlink 3" xfId="900" hidden="1" xr:uid="{00000000-0005-0000-0000-0000D12B0000}"/>
    <cellStyle name="Followed Hyperlink 3" xfId="903" hidden="1" xr:uid="{00000000-0005-0000-0000-0000D22B0000}"/>
    <cellStyle name="Followed Hyperlink 3" xfId="908" hidden="1" xr:uid="{00000000-0005-0000-0000-0000D32B0000}"/>
    <cellStyle name="Followed Hyperlink 3" xfId="918" hidden="1" xr:uid="{00000000-0005-0000-0000-0000D42B0000}"/>
    <cellStyle name="Followed Hyperlink 3" xfId="920" hidden="1" xr:uid="{00000000-0005-0000-0000-0000D52B0000}"/>
    <cellStyle name="Followed Hyperlink 3" xfId="916" hidden="1" xr:uid="{00000000-0005-0000-0000-0000D62B0000}"/>
    <cellStyle name="Followed Hyperlink 3" xfId="915" hidden="1" xr:uid="{00000000-0005-0000-0000-0000D72B0000}"/>
    <cellStyle name="Followed Hyperlink 3" xfId="921" hidden="1" xr:uid="{00000000-0005-0000-0000-0000D82B0000}"/>
    <cellStyle name="Followed Hyperlink 3" xfId="924" hidden="1" xr:uid="{00000000-0005-0000-0000-0000D92B0000}"/>
    <cellStyle name="Followed Hyperlink 3" xfId="927" hidden="1" xr:uid="{00000000-0005-0000-0000-0000DA2B0000}"/>
    <cellStyle name="Followed Hyperlink 3" xfId="932" hidden="1" xr:uid="{00000000-0005-0000-0000-0000DB2B0000}"/>
    <cellStyle name="Followed Hyperlink 3" xfId="971" hidden="1" xr:uid="{00000000-0005-0000-0000-0000DC2B0000}"/>
    <cellStyle name="Followed Hyperlink 3" xfId="973" hidden="1" xr:uid="{00000000-0005-0000-0000-0000DD2B0000}"/>
    <cellStyle name="Followed Hyperlink 3" xfId="969" hidden="1" xr:uid="{00000000-0005-0000-0000-0000DE2B0000}"/>
    <cellStyle name="Followed Hyperlink 3" xfId="968" hidden="1" xr:uid="{00000000-0005-0000-0000-0000DF2B0000}"/>
    <cellStyle name="Followed Hyperlink 3" xfId="974" hidden="1" xr:uid="{00000000-0005-0000-0000-0000E02B0000}"/>
    <cellStyle name="Followed Hyperlink 3" xfId="977" hidden="1" xr:uid="{00000000-0005-0000-0000-0000E12B0000}"/>
    <cellStyle name="Followed Hyperlink 3" xfId="980" hidden="1" xr:uid="{00000000-0005-0000-0000-0000E22B0000}"/>
    <cellStyle name="Followed Hyperlink 3" xfId="985" hidden="1" xr:uid="{00000000-0005-0000-0000-0000E32B0000}"/>
    <cellStyle name="Followed Hyperlink 3" xfId="995" hidden="1" xr:uid="{00000000-0005-0000-0000-0000E42B0000}"/>
    <cellStyle name="Followed Hyperlink 3" xfId="997" hidden="1" xr:uid="{00000000-0005-0000-0000-0000E52B0000}"/>
    <cellStyle name="Followed Hyperlink 3" xfId="993" hidden="1" xr:uid="{00000000-0005-0000-0000-0000E62B0000}"/>
    <cellStyle name="Followed Hyperlink 3" xfId="992" hidden="1" xr:uid="{00000000-0005-0000-0000-0000E72B0000}"/>
    <cellStyle name="Followed Hyperlink 3" xfId="998" hidden="1" xr:uid="{00000000-0005-0000-0000-0000E82B0000}"/>
    <cellStyle name="Followed Hyperlink 3" xfId="1001" hidden="1" xr:uid="{00000000-0005-0000-0000-0000E92B0000}"/>
    <cellStyle name="Followed Hyperlink 3" xfId="1004" hidden="1" xr:uid="{00000000-0005-0000-0000-0000EA2B0000}"/>
    <cellStyle name="Followed Hyperlink 3" xfId="1009" hidden="1" xr:uid="{00000000-0005-0000-0000-0000EB2B0000}"/>
    <cellStyle name="Followed Hyperlink 3" xfId="1021" hidden="1" xr:uid="{00000000-0005-0000-0000-0000EC2B0000}"/>
    <cellStyle name="Followed Hyperlink 3" xfId="1023" hidden="1" xr:uid="{00000000-0005-0000-0000-0000ED2B0000}"/>
    <cellStyle name="Followed Hyperlink 3" xfId="1019" hidden="1" xr:uid="{00000000-0005-0000-0000-0000EE2B0000}"/>
    <cellStyle name="Followed Hyperlink 3" xfId="1018" hidden="1" xr:uid="{00000000-0005-0000-0000-0000EF2B0000}"/>
    <cellStyle name="Followed Hyperlink 3" xfId="1024" hidden="1" xr:uid="{00000000-0005-0000-0000-0000F02B0000}"/>
    <cellStyle name="Followed Hyperlink 3" xfId="1027" hidden="1" xr:uid="{00000000-0005-0000-0000-0000F12B0000}"/>
    <cellStyle name="Followed Hyperlink 3" xfId="1030" hidden="1" xr:uid="{00000000-0005-0000-0000-0000F22B0000}"/>
    <cellStyle name="Followed Hyperlink 3" xfId="1035" hidden="1" xr:uid="{00000000-0005-0000-0000-0000F32B0000}"/>
    <cellStyle name="Followed Hyperlink 3" xfId="1045" hidden="1" xr:uid="{00000000-0005-0000-0000-0000F42B0000}"/>
    <cellStyle name="Followed Hyperlink 3" xfId="1047" hidden="1" xr:uid="{00000000-0005-0000-0000-0000F52B0000}"/>
    <cellStyle name="Followed Hyperlink 3" xfId="1043" hidden="1" xr:uid="{00000000-0005-0000-0000-0000F62B0000}"/>
    <cellStyle name="Followed Hyperlink 3" xfId="1042" hidden="1" xr:uid="{00000000-0005-0000-0000-0000F72B0000}"/>
    <cellStyle name="Followed Hyperlink 3" xfId="1048" hidden="1" xr:uid="{00000000-0005-0000-0000-0000F82B0000}"/>
    <cellStyle name="Followed Hyperlink 3" xfId="1051" hidden="1" xr:uid="{00000000-0005-0000-0000-0000F92B0000}"/>
    <cellStyle name="Followed Hyperlink 3" xfId="1054" hidden="1" xr:uid="{00000000-0005-0000-0000-0000FA2B0000}"/>
    <cellStyle name="Followed Hyperlink 3" xfId="1059" hidden="1" xr:uid="{00000000-0005-0000-0000-0000FB2B0000}"/>
    <cellStyle name="Followed Hyperlink 3" xfId="935" hidden="1" xr:uid="{00000000-0005-0000-0000-0000FC2B0000}"/>
    <cellStyle name="Followed Hyperlink 3" xfId="1012" hidden="1" xr:uid="{00000000-0005-0000-0000-0000FD2B0000}"/>
    <cellStyle name="Followed Hyperlink 3" xfId="939" hidden="1" xr:uid="{00000000-0005-0000-0000-0000FE2B0000}"/>
    <cellStyle name="Followed Hyperlink 3" xfId="940" hidden="1" xr:uid="{00000000-0005-0000-0000-0000FF2B0000}"/>
    <cellStyle name="Followed Hyperlink 3" xfId="943" hidden="1" xr:uid="{00000000-0005-0000-0000-0000002C0000}"/>
    <cellStyle name="Followed Hyperlink 3" xfId="1064" hidden="1" xr:uid="{00000000-0005-0000-0000-0000012C0000}"/>
    <cellStyle name="Followed Hyperlink 3" xfId="1067" hidden="1" xr:uid="{00000000-0005-0000-0000-0000022C0000}"/>
    <cellStyle name="Followed Hyperlink 3" xfId="1072" hidden="1" xr:uid="{00000000-0005-0000-0000-0000032C0000}"/>
    <cellStyle name="Followed Hyperlink 3" xfId="1082" hidden="1" xr:uid="{00000000-0005-0000-0000-0000042C0000}"/>
    <cellStyle name="Followed Hyperlink 3" xfId="1084" hidden="1" xr:uid="{00000000-0005-0000-0000-0000052C0000}"/>
    <cellStyle name="Followed Hyperlink 3" xfId="1080" hidden="1" xr:uid="{00000000-0005-0000-0000-0000062C0000}"/>
    <cellStyle name="Followed Hyperlink 3" xfId="1079" hidden="1" xr:uid="{00000000-0005-0000-0000-0000072C0000}"/>
    <cellStyle name="Followed Hyperlink 3" xfId="1085" hidden="1" xr:uid="{00000000-0005-0000-0000-0000082C0000}"/>
    <cellStyle name="Followed Hyperlink 3" xfId="1088" hidden="1" xr:uid="{00000000-0005-0000-0000-0000092C0000}"/>
    <cellStyle name="Followed Hyperlink 3" xfId="1091" hidden="1" xr:uid="{00000000-0005-0000-0000-00000A2C0000}"/>
    <cellStyle name="Followed Hyperlink 3" xfId="1096" hidden="1" xr:uid="{00000000-0005-0000-0000-00000B2C0000}"/>
    <cellStyle name="Followed Hyperlink 3" xfId="1107" hidden="1" xr:uid="{00000000-0005-0000-0000-00000C2C0000}"/>
    <cellStyle name="Followed Hyperlink 3" xfId="1109" hidden="1" xr:uid="{00000000-0005-0000-0000-00000D2C0000}"/>
    <cellStyle name="Followed Hyperlink 3" xfId="1105" hidden="1" xr:uid="{00000000-0005-0000-0000-00000E2C0000}"/>
    <cellStyle name="Followed Hyperlink 3" xfId="1104" hidden="1" xr:uid="{00000000-0005-0000-0000-00000F2C0000}"/>
    <cellStyle name="Followed Hyperlink 3" xfId="1110" hidden="1" xr:uid="{00000000-0005-0000-0000-0000102C0000}"/>
    <cellStyle name="Followed Hyperlink 3" xfId="1113" hidden="1" xr:uid="{00000000-0005-0000-0000-0000112C0000}"/>
    <cellStyle name="Followed Hyperlink 3" xfId="1116" hidden="1" xr:uid="{00000000-0005-0000-0000-0000122C0000}"/>
    <cellStyle name="Followed Hyperlink 3" xfId="1121" hidden="1" xr:uid="{00000000-0005-0000-0000-0000132C0000}"/>
    <cellStyle name="Followed Hyperlink 3" xfId="1131" hidden="1" xr:uid="{00000000-0005-0000-0000-0000142C0000}"/>
    <cellStyle name="Followed Hyperlink 3" xfId="1133" hidden="1" xr:uid="{00000000-0005-0000-0000-0000152C0000}"/>
    <cellStyle name="Followed Hyperlink 3" xfId="1129" hidden="1" xr:uid="{00000000-0005-0000-0000-0000162C0000}"/>
    <cellStyle name="Followed Hyperlink 3" xfId="1128" hidden="1" xr:uid="{00000000-0005-0000-0000-0000172C0000}"/>
    <cellStyle name="Followed Hyperlink 3" xfId="1134" hidden="1" xr:uid="{00000000-0005-0000-0000-0000182C0000}"/>
    <cellStyle name="Followed Hyperlink 3" xfId="1137" hidden="1" xr:uid="{00000000-0005-0000-0000-0000192C0000}"/>
    <cellStyle name="Followed Hyperlink 3" xfId="1140" hidden="1" xr:uid="{00000000-0005-0000-0000-00001A2C0000}"/>
    <cellStyle name="Followed Hyperlink 3" xfId="1145" hidden="1" xr:uid="{00000000-0005-0000-0000-00001B2C0000}"/>
    <cellStyle name="Followed Hyperlink 3" xfId="956" hidden="1" xr:uid="{00000000-0005-0000-0000-00001C2C0000}"/>
    <cellStyle name="Followed Hyperlink 3" xfId="1099" hidden="1" xr:uid="{00000000-0005-0000-0000-00001D2C0000}"/>
    <cellStyle name="Followed Hyperlink 3" xfId="953" hidden="1" xr:uid="{00000000-0005-0000-0000-00001E2C0000}"/>
    <cellStyle name="Followed Hyperlink 3" xfId="945" hidden="1" xr:uid="{00000000-0005-0000-0000-00001F2C0000}"/>
    <cellStyle name="Followed Hyperlink 3" xfId="950" hidden="1" xr:uid="{00000000-0005-0000-0000-0000202C0000}"/>
    <cellStyle name="Followed Hyperlink 3" xfId="1150" hidden="1" xr:uid="{00000000-0005-0000-0000-0000212C0000}"/>
    <cellStyle name="Followed Hyperlink 3" xfId="1153" hidden="1" xr:uid="{00000000-0005-0000-0000-0000222C0000}"/>
    <cellStyle name="Followed Hyperlink 3" xfId="1158" hidden="1" xr:uid="{00000000-0005-0000-0000-0000232C0000}"/>
    <cellStyle name="Followed Hyperlink 3" xfId="1168" hidden="1" xr:uid="{00000000-0005-0000-0000-0000242C0000}"/>
    <cellStyle name="Followed Hyperlink 3" xfId="1170" hidden="1" xr:uid="{00000000-0005-0000-0000-0000252C0000}"/>
    <cellStyle name="Followed Hyperlink 3" xfId="1166" hidden="1" xr:uid="{00000000-0005-0000-0000-0000262C0000}"/>
    <cellStyle name="Followed Hyperlink 3" xfId="1165" hidden="1" xr:uid="{00000000-0005-0000-0000-0000272C0000}"/>
    <cellStyle name="Followed Hyperlink 3" xfId="1171" hidden="1" xr:uid="{00000000-0005-0000-0000-0000282C0000}"/>
    <cellStyle name="Followed Hyperlink 3" xfId="1174" hidden="1" xr:uid="{00000000-0005-0000-0000-0000292C0000}"/>
    <cellStyle name="Followed Hyperlink 3" xfId="1177" hidden="1" xr:uid="{00000000-0005-0000-0000-00002A2C0000}"/>
    <cellStyle name="Followed Hyperlink 3" xfId="1182" hidden="1" xr:uid="{00000000-0005-0000-0000-00002B2C0000}"/>
    <cellStyle name="Followed Hyperlink 3" xfId="1193" hidden="1" xr:uid="{00000000-0005-0000-0000-00002C2C0000}"/>
    <cellStyle name="Followed Hyperlink 3" xfId="1195" hidden="1" xr:uid="{00000000-0005-0000-0000-00002D2C0000}"/>
    <cellStyle name="Followed Hyperlink 3" xfId="1191" hidden="1" xr:uid="{00000000-0005-0000-0000-00002E2C0000}"/>
    <cellStyle name="Followed Hyperlink 3" xfId="1190" hidden="1" xr:uid="{00000000-0005-0000-0000-00002F2C0000}"/>
    <cellStyle name="Followed Hyperlink 3" xfId="1196" hidden="1" xr:uid="{00000000-0005-0000-0000-0000302C0000}"/>
    <cellStyle name="Followed Hyperlink 3" xfId="1199" hidden="1" xr:uid="{00000000-0005-0000-0000-0000312C0000}"/>
    <cellStyle name="Followed Hyperlink 3" xfId="1202" hidden="1" xr:uid="{00000000-0005-0000-0000-0000322C0000}"/>
    <cellStyle name="Followed Hyperlink 3" xfId="1207" hidden="1" xr:uid="{00000000-0005-0000-0000-0000332C0000}"/>
    <cellStyle name="Followed Hyperlink 3" xfId="1217" hidden="1" xr:uid="{00000000-0005-0000-0000-0000342C0000}"/>
    <cellStyle name="Followed Hyperlink 3" xfId="1219" hidden="1" xr:uid="{00000000-0005-0000-0000-0000352C0000}"/>
    <cellStyle name="Followed Hyperlink 3" xfId="1215" hidden="1" xr:uid="{00000000-0005-0000-0000-0000362C0000}"/>
    <cellStyle name="Followed Hyperlink 3" xfId="1214" hidden="1" xr:uid="{00000000-0005-0000-0000-0000372C0000}"/>
    <cellStyle name="Followed Hyperlink 3" xfId="1220" hidden="1" xr:uid="{00000000-0005-0000-0000-0000382C0000}"/>
    <cellStyle name="Followed Hyperlink 3" xfId="1223" hidden="1" xr:uid="{00000000-0005-0000-0000-0000392C0000}"/>
    <cellStyle name="Followed Hyperlink 3" xfId="1226" hidden="1" xr:uid="{00000000-0005-0000-0000-00003A2C0000}"/>
    <cellStyle name="Followed Hyperlink 3" xfId="1231" hidden="1" xr:uid="{00000000-0005-0000-0000-00003B2C0000}"/>
    <cellStyle name="Followed Hyperlink 3" xfId="961" hidden="1" xr:uid="{00000000-0005-0000-0000-00003C2C0000}"/>
    <cellStyle name="Followed Hyperlink 3" xfId="1185" hidden="1" xr:uid="{00000000-0005-0000-0000-00003D2C0000}"/>
    <cellStyle name="Followed Hyperlink 3" xfId="957" hidden="1" xr:uid="{00000000-0005-0000-0000-00003E2C0000}"/>
    <cellStyle name="Followed Hyperlink 3" xfId="962" hidden="1" xr:uid="{00000000-0005-0000-0000-00003F2C0000}"/>
    <cellStyle name="Followed Hyperlink 3" xfId="949" hidden="1" xr:uid="{00000000-0005-0000-0000-0000402C0000}"/>
    <cellStyle name="Followed Hyperlink 3" xfId="1236" hidden="1" xr:uid="{00000000-0005-0000-0000-0000412C0000}"/>
    <cellStyle name="Followed Hyperlink 3" xfId="1239" hidden="1" xr:uid="{00000000-0005-0000-0000-0000422C0000}"/>
    <cellStyle name="Followed Hyperlink 3" xfId="1244" hidden="1" xr:uid="{00000000-0005-0000-0000-0000432C0000}"/>
    <cellStyle name="Followed Hyperlink 3" xfId="1254" hidden="1" xr:uid="{00000000-0005-0000-0000-0000442C0000}"/>
    <cellStyle name="Followed Hyperlink 3" xfId="1256" hidden="1" xr:uid="{00000000-0005-0000-0000-0000452C0000}"/>
    <cellStyle name="Followed Hyperlink 3" xfId="1252" hidden="1" xr:uid="{00000000-0005-0000-0000-0000462C0000}"/>
    <cellStyle name="Followed Hyperlink 3" xfId="1251" hidden="1" xr:uid="{00000000-0005-0000-0000-0000472C0000}"/>
    <cellStyle name="Followed Hyperlink 3" xfId="1257" hidden="1" xr:uid="{00000000-0005-0000-0000-0000482C0000}"/>
    <cellStyle name="Followed Hyperlink 3" xfId="1260" hidden="1" xr:uid="{00000000-0005-0000-0000-0000492C0000}"/>
    <cellStyle name="Followed Hyperlink 3" xfId="1263" hidden="1" xr:uid="{00000000-0005-0000-0000-00004A2C0000}"/>
    <cellStyle name="Followed Hyperlink 3" xfId="1268" hidden="1" xr:uid="{00000000-0005-0000-0000-00004B2C0000}"/>
    <cellStyle name="Followed Hyperlink 3" xfId="1278" hidden="1" xr:uid="{00000000-0005-0000-0000-00004C2C0000}"/>
    <cellStyle name="Followed Hyperlink 3" xfId="1280" hidden="1" xr:uid="{00000000-0005-0000-0000-00004D2C0000}"/>
    <cellStyle name="Followed Hyperlink 3" xfId="1276" hidden="1" xr:uid="{00000000-0005-0000-0000-00004E2C0000}"/>
    <cellStyle name="Followed Hyperlink 3" xfId="1275" hidden="1" xr:uid="{00000000-0005-0000-0000-00004F2C0000}"/>
    <cellStyle name="Followed Hyperlink 3" xfId="1281" hidden="1" xr:uid="{00000000-0005-0000-0000-0000502C0000}"/>
    <cellStyle name="Followed Hyperlink 3" xfId="1284" hidden="1" xr:uid="{00000000-0005-0000-0000-0000512C0000}"/>
    <cellStyle name="Followed Hyperlink 3" xfId="1287" hidden="1" xr:uid="{00000000-0005-0000-0000-0000522C0000}"/>
    <cellStyle name="Followed Hyperlink 3" xfId="1292" hidden="1" xr:uid="{00000000-0005-0000-0000-0000532C0000}"/>
    <cellStyle name="Followed Hyperlink 3" xfId="1302" hidden="1" xr:uid="{00000000-0005-0000-0000-0000542C0000}"/>
    <cellStyle name="Followed Hyperlink 3" xfId="1304" hidden="1" xr:uid="{00000000-0005-0000-0000-0000552C0000}"/>
    <cellStyle name="Followed Hyperlink 3" xfId="1300" hidden="1" xr:uid="{00000000-0005-0000-0000-0000562C0000}"/>
    <cellStyle name="Followed Hyperlink 3" xfId="1299" hidden="1" xr:uid="{00000000-0005-0000-0000-0000572C0000}"/>
    <cellStyle name="Followed Hyperlink 3" xfId="1305" hidden="1" xr:uid="{00000000-0005-0000-0000-0000582C0000}"/>
    <cellStyle name="Followed Hyperlink 3" xfId="1308" hidden="1" xr:uid="{00000000-0005-0000-0000-0000592C0000}"/>
    <cellStyle name="Followed Hyperlink 3" xfId="1311" hidden="1" xr:uid="{00000000-0005-0000-0000-00005A2C0000}"/>
    <cellStyle name="Followed Hyperlink 3" xfId="1316" hidden="1" xr:uid="{00000000-0005-0000-0000-00005B2C0000}"/>
    <cellStyle name="Followed Hyperlink 3" xfId="808" hidden="1" xr:uid="{00000000-0005-0000-0000-00005C2C0000}"/>
    <cellStyle name="Followed Hyperlink 3" xfId="885" hidden="1" xr:uid="{00000000-0005-0000-0000-00005D2C0000}"/>
    <cellStyle name="Followed Hyperlink 3" xfId="812" hidden="1" xr:uid="{00000000-0005-0000-0000-00005E2C0000}"/>
    <cellStyle name="Followed Hyperlink 3" xfId="813" hidden="1" xr:uid="{00000000-0005-0000-0000-00005F2C0000}"/>
    <cellStyle name="Followed Hyperlink 3" xfId="816" hidden="1" xr:uid="{00000000-0005-0000-0000-0000602C0000}"/>
    <cellStyle name="Followed Hyperlink 3" xfId="1321" hidden="1" xr:uid="{00000000-0005-0000-0000-0000612C0000}"/>
    <cellStyle name="Followed Hyperlink 3" xfId="1324" hidden="1" xr:uid="{00000000-0005-0000-0000-0000622C0000}"/>
    <cellStyle name="Followed Hyperlink 3" xfId="1329" hidden="1" xr:uid="{00000000-0005-0000-0000-0000632C0000}"/>
    <cellStyle name="Followed Hyperlink 3" xfId="1339" hidden="1" xr:uid="{00000000-0005-0000-0000-0000642C0000}"/>
    <cellStyle name="Followed Hyperlink 3" xfId="1341" hidden="1" xr:uid="{00000000-0005-0000-0000-0000652C0000}"/>
    <cellStyle name="Followed Hyperlink 3" xfId="1337" hidden="1" xr:uid="{00000000-0005-0000-0000-0000662C0000}"/>
    <cellStyle name="Followed Hyperlink 3" xfId="1336" hidden="1" xr:uid="{00000000-0005-0000-0000-0000672C0000}"/>
    <cellStyle name="Followed Hyperlink 3" xfId="1342" hidden="1" xr:uid="{00000000-0005-0000-0000-0000682C0000}"/>
    <cellStyle name="Followed Hyperlink 3" xfId="1345" hidden="1" xr:uid="{00000000-0005-0000-0000-0000692C0000}"/>
    <cellStyle name="Followed Hyperlink 3" xfId="1348" hidden="1" xr:uid="{00000000-0005-0000-0000-00006A2C0000}"/>
    <cellStyle name="Followed Hyperlink 3" xfId="1353" hidden="1" xr:uid="{00000000-0005-0000-0000-00006B2C0000}"/>
    <cellStyle name="Followed Hyperlink 3" xfId="1364" hidden="1" xr:uid="{00000000-0005-0000-0000-00006C2C0000}"/>
    <cellStyle name="Followed Hyperlink 3" xfId="1366" hidden="1" xr:uid="{00000000-0005-0000-0000-00006D2C0000}"/>
    <cellStyle name="Followed Hyperlink 3" xfId="1362" hidden="1" xr:uid="{00000000-0005-0000-0000-00006E2C0000}"/>
    <cellStyle name="Followed Hyperlink 3" xfId="1361" hidden="1" xr:uid="{00000000-0005-0000-0000-00006F2C0000}"/>
    <cellStyle name="Followed Hyperlink 3" xfId="1367" hidden="1" xr:uid="{00000000-0005-0000-0000-0000702C0000}"/>
    <cellStyle name="Followed Hyperlink 3" xfId="1370" hidden="1" xr:uid="{00000000-0005-0000-0000-0000712C0000}"/>
    <cellStyle name="Followed Hyperlink 3" xfId="1373" hidden="1" xr:uid="{00000000-0005-0000-0000-0000722C0000}"/>
    <cellStyle name="Followed Hyperlink 3" xfId="1378" hidden="1" xr:uid="{00000000-0005-0000-0000-0000732C0000}"/>
    <cellStyle name="Followed Hyperlink 3" xfId="1388" hidden="1" xr:uid="{00000000-0005-0000-0000-0000742C0000}"/>
    <cellStyle name="Followed Hyperlink 3" xfId="1390" hidden="1" xr:uid="{00000000-0005-0000-0000-0000752C0000}"/>
    <cellStyle name="Followed Hyperlink 3" xfId="1386" hidden="1" xr:uid="{00000000-0005-0000-0000-0000762C0000}"/>
    <cellStyle name="Followed Hyperlink 3" xfId="1385" hidden="1" xr:uid="{00000000-0005-0000-0000-0000772C0000}"/>
    <cellStyle name="Followed Hyperlink 3" xfId="1391" hidden="1" xr:uid="{00000000-0005-0000-0000-0000782C0000}"/>
    <cellStyle name="Followed Hyperlink 3" xfId="1394" hidden="1" xr:uid="{00000000-0005-0000-0000-0000792C0000}"/>
    <cellStyle name="Followed Hyperlink 3" xfId="1397" hidden="1" xr:uid="{00000000-0005-0000-0000-00007A2C0000}"/>
    <cellStyle name="Followed Hyperlink 3" xfId="1402" hidden="1" xr:uid="{00000000-0005-0000-0000-00007B2C0000}"/>
    <cellStyle name="Followed Hyperlink 3" xfId="1441" hidden="1" xr:uid="{00000000-0005-0000-0000-00007C2C0000}"/>
    <cellStyle name="Followed Hyperlink 3" xfId="1443" hidden="1" xr:uid="{00000000-0005-0000-0000-00007D2C0000}"/>
    <cellStyle name="Followed Hyperlink 3" xfId="1439" hidden="1" xr:uid="{00000000-0005-0000-0000-00007E2C0000}"/>
    <cellStyle name="Followed Hyperlink 3" xfId="1438" hidden="1" xr:uid="{00000000-0005-0000-0000-00007F2C0000}"/>
    <cellStyle name="Followed Hyperlink 3" xfId="1444" hidden="1" xr:uid="{00000000-0005-0000-0000-0000802C0000}"/>
    <cellStyle name="Followed Hyperlink 3" xfId="1447" hidden="1" xr:uid="{00000000-0005-0000-0000-0000812C0000}"/>
    <cellStyle name="Followed Hyperlink 3" xfId="1450" hidden="1" xr:uid="{00000000-0005-0000-0000-0000822C0000}"/>
    <cellStyle name="Followed Hyperlink 3" xfId="1455" hidden="1" xr:uid="{00000000-0005-0000-0000-0000832C0000}"/>
    <cellStyle name="Followed Hyperlink 3" xfId="1465" hidden="1" xr:uid="{00000000-0005-0000-0000-0000842C0000}"/>
    <cellStyle name="Followed Hyperlink 3" xfId="1467" hidden="1" xr:uid="{00000000-0005-0000-0000-0000852C0000}"/>
    <cellStyle name="Followed Hyperlink 3" xfId="1463" hidden="1" xr:uid="{00000000-0005-0000-0000-0000862C0000}"/>
    <cellStyle name="Followed Hyperlink 3" xfId="1462" hidden="1" xr:uid="{00000000-0005-0000-0000-0000872C0000}"/>
    <cellStyle name="Followed Hyperlink 3" xfId="1468" hidden="1" xr:uid="{00000000-0005-0000-0000-0000882C0000}"/>
    <cellStyle name="Followed Hyperlink 3" xfId="1471" hidden="1" xr:uid="{00000000-0005-0000-0000-0000892C0000}"/>
    <cellStyle name="Followed Hyperlink 3" xfId="1474" hidden="1" xr:uid="{00000000-0005-0000-0000-00008A2C0000}"/>
    <cellStyle name="Followed Hyperlink 3" xfId="1479" hidden="1" xr:uid="{00000000-0005-0000-0000-00008B2C0000}"/>
    <cellStyle name="Followed Hyperlink 3" xfId="1491" hidden="1" xr:uid="{00000000-0005-0000-0000-00008C2C0000}"/>
    <cellStyle name="Followed Hyperlink 3" xfId="1493" hidden="1" xr:uid="{00000000-0005-0000-0000-00008D2C0000}"/>
    <cellStyle name="Followed Hyperlink 3" xfId="1489" hidden="1" xr:uid="{00000000-0005-0000-0000-00008E2C0000}"/>
    <cellStyle name="Followed Hyperlink 3" xfId="1488" hidden="1" xr:uid="{00000000-0005-0000-0000-00008F2C0000}"/>
    <cellStyle name="Followed Hyperlink 3" xfId="1494" hidden="1" xr:uid="{00000000-0005-0000-0000-0000902C0000}"/>
    <cellStyle name="Followed Hyperlink 3" xfId="1497" hidden="1" xr:uid="{00000000-0005-0000-0000-0000912C0000}"/>
    <cellStyle name="Followed Hyperlink 3" xfId="1500" hidden="1" xr:uid="{00000000-0005-0000-0000-0000922C0000}"/>
    <cellStyle name="Followed Hyperlink 3" xfId="1505" hidden="1" xr:uid="{00000000-0005-0000-0000-0000932C0000}"/>
    <cellStyle name="Followed Hyperlink 3" xfId="1515" hidden="1" xr:uid="{00000000-0005-0000-0000-0000942C0000}"/>
    <cellStyle name="Followed Hyperlink 3" xfId="1517" hidden="1" xr:uid="{00000000-0005-0000-0000-0000952C0000}"/>
    <cellStyle name="Followed Hyperlink 3" xfId="1513" hidden="1" xr:uid="{00000000-0005-0000-0000-0000962C0000}"/>
    <cellStyle name="Followed Hyperlink 3" xfId="1512" hidden="1" xr:uid="{00000000-0005-0000-0000-0000972C0000}"/>
    <cellStyle name="Followed Hyperlink 3" xfId="1518" hidden="1" xr:uid="{00000000-0005-0000-0000-0000982C0000}"/>
    <cellStyle name="Followed Hyperlink 3" xfId="1521" hidden="1" xr:uid="{00000000-0005-0000-0000-0000992C0000}"/>
    <cellStyle name="Followed Hyperlink 3" xfId="1524" hidden="1" xr:uid="{00000000-0005-0000-0000-00009A2C0000}"/>
    <cellStyle name="Followed Hyperlink 3" xfId="1529" hidden="1" xr:uid="{00000000-0005-0000-0000-00009B2C0000}"/>
    <cellStyle name="Followed Hyperlink 3" xfId="1405" hidden="1" xr:uid="{00000000-0005-0000-0000-00009C2C0000}"/>
    <cellStyle name="Followed Hyperlink 3" xfId="1482" hidden="1" xr:uid="{00000000-0005-0000-0000-00009D2C0000}"/>
    <cellStyle name="Followed Hyperlink 3" xfId="1409" hidden="1" xr:uid="{00000000-0005-0000-0000-00009E2C0000}"/>
    <cellStyle name="Followed Hyperlink 3" xfId="1410" hidden="1" xr:uid="{00000000-0005-0000-0000-00009F2C0000}"/>
    <cellStyle name="Followed Hyperlink 3" xfId="1413" hidden="1" xr:uid="{00000000-0005-0000-0000-0000A02C0000}"/>
    <cellStyle name="Followed Hyperlink 3" xfId="1534" hidden="1" xr:uid="{00000000-0005-0000-0000-0000A12C0000}"/>
    <cellStyle name="Followed Hyperlink 3" xfId="1537" hidden="1" xr:uid="{00000000-0005-0000-0000-0000A22C0000}"/>
    <cellStyle name="Followed Hyperlink 3" xfId="1542" hidden="1" xr:uid="{00000000-0005-0000-0000-0000A32C0000}"/>
    <cellStyle name="Followed Hyperlink 3" xfId="1552" hidden="1" xr:uid="{00000000-0005-0000-0000-0000A42C0000}"/>
    <cellStyle name="Followed Hyperlink 3" xfId="1554" hidden="1" xr:uid="{00000000-0005-0000-0000-0000A52C0000}"/>
    <cellStyle name="Followed Hyperlink 3" xfId="1550" hidden="1" xr:uid="{00000000-0005-0000-0000-0000A62C0000}"/>
    <cellStyle name="Followed Hyperlink 3" xfId="1549" hidden="1" xr:uid="{00000000-0005-0000-0000-0000A72C0000}"/>
    <cellStyle name="Followed Hyperlink 3" xfId="1555" hidden="1" xr:uid="{00000000-0005-0000-0000-0000A82C0000}"/>
    <cellStyle name="Followed Hyperlink 3" xfId="1558" hidden="1" xr:uid="{00000000-0005-0000-0000-0000A92C0000}"/>
    <cellStyle name="Followed Hyperlink 3" xfId="1561" hidden="1" xr:uid="{00000000-0005-0000-0000-0000AA2C0000}"/>
    <cellStyle name="Followed Hyperlink 3" xfId="1566" hidden="1" xr:uid="{00000000-0005-0000-0000-0000AB2C0000}"/>
    <cellStyle name="Followed Hyperlink 3" xfId="1577" hidden="1" xr:uid="{00000000-0005-0000-0000-0000AC2C0000}"/>
    <cellStyle name="Followed Hyperlink 3" xfId="1579" hidden="1" xr:uid="{00000000-0005-0000-0000-0000AD2C0000}"/>
    <cellStyle name="Followed Hyperlink 3" xfId="1575" hidden="1" xr:uid="{00000000-0005-0000-0000-0000AE2C0000}"/>
    <cellStyle name="Followed Hyperlink 3" xfId="1574" hidden="1" xr:uid="{00000000-0005-0000-0000-0000AF2C0000}"/>
    <cellStyle name="Followed Hyperlink 3" xfId="1580" hidden="1" xr:uid="{00000000-0005-0000-0000-0000B02C0000}"/>
    <cellStyle name="Followed Hyperlink 3" xfId="1583" hidden="1" xr:uid="{00000000-0005-0000-0000-0000B12C0000}"/>
    <cellStyle name="Followed Hyperlink 3" xfId="1586" hidden="1" xr:uid="{00000000-0005-0000-0000-0000B22C0000}"/>
    <cellStyle name="Followed Hyperlink 3" xfId="1591" hidden="1" xr:uid="{00000000-0005-0000-0000-0000B32C0000}"/>
    <cellStyle name="Followed Hyperlink 3" xfId="1601" hidden="1" xr:uid="{00000000-0005-0000-0000-0000B42C0000}"/>
    <cellStyle name="Followed Hyperlink 3" xfId="1603" hidden="1" xr:uid="{00000000-0005-0000-0000-0000B52C0000}"/>
    <cellStyle name="Followed Hyperlink 3" xfId="1599" hidden="1" xr:uid="{00000000-0005-0000-0000-0000B62C0000}"/>
    <cellStyle name="Followed Hyperlink 3" xfId="1598" hidden="1" xr:uid="{00000000-0005-0000-0000-0000B72C0000}"/>
    <cellStyle name="Followed Hyperlink 3" xfId="1604" hidden="1" xr:uid="{00000000-0005-0000-0000-0000B82C0000}"/>
    <cellStyle name="Followed Hyperlink 3" xfId="1607" hidden="1" xr:uid="{00000000-0005-0000-0000-0000B92C0000}"/>
    <cellStyle name="Followed Hyperlink 3" xfId="1610" hidden="1" xr:uid="{00000000-0005-0000-0000-0000BA2C0000}"/>
    <cellStyle name="Followed Hyperlink 3" xfId="1615" hidden="1" xr:uid="{00000000-0005-0000-0000-0000BB2C0000}"/>
    <cellStyle name="Followed Hyperlink 3" xfId="1426" hidden="1" xr:uid="{00000000-0005-0000-0000-0000BC2C0000}"/>
    <cellStyle name="Followed Hyperlink 3" xfId="1569" hidden="1" xr:uid="{00000000-0005-0000-0000-0000BD2C0000}"/>
    <cellStyle name="Followed Hyperlink 3" xfId="1423" hidden="1" xr:uid="{00000000-0005-0000-0000-0000BE2C0000}"/>
    <cellStyle name="Followed Hyperlink 3" xfId="1415" hidden="1" xr:uid="{00000000-0005-0000-0000-0000BF2C0000}"/>
    <cellStyle name="Followed Hyperlink 3" xfId="1420" hidden="1" xr:uid="{00000000-0005-0000-0000-0000C02C0000}"/>
    <cellStyle name="Followed Hyperlink 3" xfId="1620" hidden="1" xr:uid="{00000000-0005-0000-0000-0000C12C0000}"/>
    <cellStyle name="Followed Hyperlink 3" xfId="1623" hidden="1" xr:uid="{00000000-0005-0000-0000-0000C22C0000}"/>
    <cellStyle name="Followed Hyperlink 3" xfId="1628" hidden="1" xr:uid="{00000000-0005-0000-0000-0000C32C0000}"/>
    <cellStyle name="Followed Hyperlink 3" xfId="1638" hidden="1" xr:uid="{00000000-0005-0000-0000-0000C42C0000}"/>
    <cellStyle name="Followed Hyperlink 3" xfId="1640" hidden="1" xr:uid="{00000000-0005-0000-0000-0000C52C0000}"/>
    <cellStyle name="Followed Hyperlink 3" xfId="1636" hidden="1" xr:uid="{00000000-0005-0000-0000-0000C62C0000}"/>
    <cellStyle name="Followed Hyperlink 3" xfId="1635" hidden="1" xr:uid="{00000000-0005-0000-0000-0000C72C0000}"/>
    <cellStyle name="Followed Hyperlink 3" xfId="1641" hidden="1" xr:uid="{00000000-0005-0000-0000-0000C82C0000}"/>
    <cellStyle name="Followed Hyperlink 3" xfId="1644" hidden="1" xr:uid="{00000000-0005-0000-0000-0000C92C0000}"/>
    <cellStyle name="Followed Hyperlink 3" xfId="1647" hidden="1" xr:uid="{00000000-0005-0000-0000-0000CA2C0000}"/>
    <cellStyle name="Followed Hyperlink 3" xfId="1652" hidden="1" xr:uid="{00000000-0005-0000-0000-0000CB2C0000}"/>
    <cellStyle name="Followed Hyperlink 3" xfId="1663" hidden="1" xr:uid="{00000000-0005-0000-0000-0000CC2C0000}"/>
    <cellStyle name="Followed Hyperlink 3" xfId="1665" hidden="1" xr:uid="{00000000-0005-0000-0000-0000CD2C0000}"/>
    <cellStyle name="Followed Hyperlink 3" xfId="1661" hidden="1" xr:uid="{00000000-0005-0000-0000-0000CE2C0000}"/>
    <cellStyle name="Followed Hyperlink 3" xfId="1660" hidden="1" xr:uid="{00000000-0005-0000-0000-0000CF2C0000}"/>
    <cellStyle name="Followed Hyperlink 3" xfId="1666" hidden="1" xr:uid="{00000000-0005-0000-0000-0000D02C0000}"/>
    <cellStyle name="Followed Hyperlink 3" xfId="1669" hidden="1" xr:uid="{00000000-0005-0000-0000-0000D12C0000}"/>
    <cellStyle name="Followed Hyperlink 3" xfId="1672" hidden="1" xr:uid="{00000000-0005-0000-0000-0000D22C0000}"/>
    <cellStyle name="Followed Hyperlink 3" xfId="1677" hidden="1" xr:uid="{00000000-0005-0000-0000-0000D32C0000}"/>
    <cellStyle name="Followed Hyperlink 3" xfId="1687" hidden="1" xr:uid="{00000000-0005-0000-0000-0000D42C0000}"/>
    <cellStyle name="Followed Hyperlink 3" xfId="1689" hidden="1" xr:uid="{00000000-0005-0000-0000-0000D52C0000}"/>
    <cellStyle name="Followed Hyperlink 3" xfId="1685" hidden="1" xr:uid="{00000000-0005-0000-0000-0000D62C0000}"/>
    <cellStyle name="Followed Hyperlink 3" xfId="1684" hidden="1" xr:uid="{00000000-0005-0000-0000-0000D72C0000}"/>
    <cellStyle name="Followed Hyperlink 3" xfId="1690" hidden="1" xr:uid="{00000000-0005-0000-0000-0000D82C0000}"/>
    <cellStyle name="Followed Hyperlink 3" xfId="1693" hidden="1" xr:uid="{00000000-0005-0000-0000-0000D92C0000}"/>
    <cellStyle name="Followed Hyperlink 3" xfId="1696" hidden="1" xr:uid="{00000000-0005-0000-0000-0000DA2C0000}"/>
    <cellStyle name="Followed Hyperlink 3" xfId="1701" hidden="1" xr:uid="{00000000-0005-0000-0000-0000DB2C0000}"/>
    <cellStyle name="Followed Hyperlink 3" xfId="1431" hidden="1" xr:uid="{00000000-0005-0000-0000-0000DC2C0000}"/>
    <cellStyle name="Followed Hyperlink 3" xfId="1655" hidden="1" xr:uid="{00000000-0005-0000-0000-0000DD2C0000}"/>
    <cellStyle name="Followed Hyperlink 3" xfId="1427" hidden="1" xr:uid="{00000000-0005-0000-0000-0000DE2C0000}"/>
    <cellStyle name="Followed Hyperlink 3" xfId="1432" hidden="1" xr:uid="{00000000-0005-0000-0000-0000DF2C0000}"/>
    <cellStyle name="Followed Hyperlink 3" xfId="1419" hidden="1" xr:uid="{00000000-0005-0000-0000-0000E02C0000}"/>
    <cellStyle name="Followed Hyperlink 3" xfId="1706" hidden="1" xr:uid="{00000000-0005-0000-0000-0000E12C0000}"/>
    <cellStyle name="Followed Hyperlink 3" xfId="1709" hidden="1" xr:uid="{00000000-0005-0000-0000-0000E22C0000}"/>
    <cellStyle name="Followed Hyperlink 3" xfId="1714" hidden="1" xr:uid="{00000000-0005-0000-0000-0000E32C0000}"/>
    <cellStyle name="Followed Hyperlink 3" xfId="1724" hidden="1" xr:uid="{00000000-0005-0000-0000-0000E42C0000}"/>
    <cellStyle name="Followed Hyperlink 3" xfId="1726" hidden="1" xr:uid="{00000000-0005-0000-0000-0000E52C0000}"/>
    <cellStyle name="Followed Hyperlink 3" xfId="1722" hidden="1" xr:uid="{00000000-0005-0000-0000-0000E62C0000}"/>
    <cellStyle name="Followed Hyperlink 3" xfId="1721" hidden="1" xr:uid="{00000000-0005-0000-0000-0000E72C0000}"/>
    <cellStyle name="Followed Hyperlink 3" xfId="1727" hidden="1" xr:uid="{00000000-0005-0000-0000-0000E82C0000}"/>
    <cellStyle name="Followed Hyperlink 3" xfId="1730" hidden="1" xr:uid="{00000000-0005-0000-0000-0000E92C0000}"/>
    <cellStyle name="Followed Hyperlink 3" xfId="1733" hidden="1" xr:uid="{00000000-0005-0000-0000-0000EA2C0000}"/>
    <cellStyle name="Followed Hyperlink 3" xfId="1738" hidden="1" xr:uid="{00000000-0005-0000-0000-0000EB2C0000}"/>
    <cellStyle name="Followed Hyperlink 3" xfId="1748" hidden="1" xr:uid="{00000000-0005-0000-0000-0000EC2C0000}"/>
    <cellStyle name="Followed Hyperlink 3" xfId="1750" hidden="1" xr:uid="{00000000-0005-0000-0000-0000ED2C0000}"/>
    <cellStyle name="Followed Hyperlink 3" xfId="1746" hidden="1" xr:uid="{00000000-0005-0000-0000-0000EE2C0000}"/>
    <cellStyle name="Followed Hyperlink 3" xfId="1745" hidden="1" xr:uid="{00000000-0005-0000-0000-0000EF2C0000}"/>
    <cellStyle name="Followed Hyperlink 3" xfId="1751" hidden="1" xr:uid="{00000000-0005-0000-0000-0000F02C0000}"/>
    <cellStyle name="Followed Hyperlink 3" xfId="1754" hidden="1" xr:uid="{00000000-0005-0000-0000-0000F12C0000}"/>
    <cellStyle name="Followed Hyperlink 3" xfId="1757" hidden="1" xr:uid="{00000000-0005-0000-0000-0000F22C0000}"/>
    <cellStyle name="Followed Hyperlink 3" xfId="1762" hidden="1" xr:uid="{00000000-0005-0000-0000-0000F32C0000}"/>
    <cellStyle name="Followed Hyperlink 3" xfId="1772" hidden="1" xr:uid="{00000000-0005-0000-0000-0000F42C0000}"/>
    <cellStyle name="Followed Hyperlink 3" xfId="1774" hidden="1" xr:uid="{00000000-0005-0000-0000-0000F52C0000}"/>
    <cellStyle name="Followed Hyperlink 3" xfId="1770" hidden="1" xr:uid="{00000000-0005-0000-0000-0000F62C0000}"/>
    <cellStyle name="Followed Hyperlink 3" xfId="1769" hidden="1" xr:uid="{00000000-0005-0000-0000-0000F72C0000}"/>
    <cellStyle name="Followed Hyperlink 3" xfId="1775" hidden="1" xr:uid="{00000000-0005-0000-0000-0000F82C0000}"/>
    <cellStyle name="Followed Hyperlink 3" xfId="1778" hidden="1" xr:uid="{00000000-0005-0000-0000-0000F92C0000}"/>
    <cellStyle name="Followed Hyperlink 3" xfId="1781" hidden="1" xr:uid="{00000000-0005-0000-0000-0000FA2C0000}"/>
    <cellStyle name="Followed Hyperlink 3" xfId="1786" hidden="1" xr:uid="{00000000-0005-0000-0000-0000FB2C0000}"/>
    <cellStyle name="Followed Hyperlink 3" xfId="829" hidden="1" xr:uid="{00000000-0005-0000-0000-0000FC2C0000}"/>
    <cellStyle name="Followed Hyperlink 3" xfId="1356" hidden="1" xr:uid="{00000000-0005-0000-0000-0000FD2C0000}"/>
    <cellStyle name="Followed Hyperlink 3" xfId="826" hidden="1" xr:uid="{00000000-0005-0000-0000-0000FE2C0000}"/>
    <cellStyle name="Followed Hyperlink 3" xfId="818" hidden="1" xr:uid="{00000000-0005-0000-0000-0000FF2C0000}"/>
    <cellStyle name="Followed Hyperlink 3" xfId="823" hidden="1" xr:uid="{00000000-0005-0000-0000-0000002D0000}"/>
    <cellStyle name="Followed Hyperlink 3" xfId="1791" hidden="1" xr:uid="{00000000-0005-0000-0000-0000012D0000}"/>
    <cellStyle name="Followed Hyperlink 3" xfId="1794" hidden="1" xr:uid="{00000000-0005-0000-0000-0000022D0000}"/>
    <cellStyle name="Followed Hyperlink 3" xfId="1799" hidden="1" xr:uid="{00000000-0005-0000-0000-0000032D0000}"/>
    <cellStyle name="Followed Hyperlink 3" xfId="1809" hidden="1" xr:uid="{00000000-0005-0000-0000-0000042D0000}"/>
    <cellStyle name="Followed Hyperlink 3" xfId="1811" hidden="1" xr:uid="{00000000-0005-0000-0000-0000052D0000}"/>
    <cellStyle name="Followed Hyperlink 3" xfId="1807" hidden="1" xr:uid="{00000000-0005-0000-0000-0000062D0000}"/>
    <cellStyle name="Followed Hyperlink 3" xfId="1806" hidden="1" xr:uid="{00000000-0005-0000-0000-0000072D0000}"/>
    <cellStyle name="Followed Hyperlink 3" xfId="1812" hidden="1" xr:uid="{00000000-0005-0000-0000-0000082D0000}"/>
    <cellStyle name="Followed Hyperlink 3" xfId="1815" hidden="1" xr:uid="{00000000-0005-0000-0000-0000092D0000}"/>
    <cellStyle name="Followed Hyperlink 3" xfId="1818" hidden="1" xr:uid="{00000000-0005-0000-0000-00000A2D0000}"/>
    <cellStyle name="Followed Hyperlink 3" xfId="1823" hidden="1" xr:uid="{00000000-0005-0000-0000-00000B2D0000}"/>
    <cellStyle name="Followed Hyperlink 3" xfId="1834" hidden="1" xr:uid="{00000000-0005-0000-0000-00000C2D0000}"/>
    <cellStyle name="Followed Hyperlink 3" xfId="1836" hidden="1" xr:uid="{00000000-0005-0000-0000-00000D2D0000}"/>
    <cellStyle name="Followed Hyperlink 3" xfId="1832" hidden="1" xr:uid="{00000000-0005-0000-0000-00000E2D0000}"/>
    <cellStyle name="Followed Hyperlink 3" xfId="1831" hidden="1" xr:uid="{00000000-0005-0000-0000-00000F2D0000}"/>
    <cellStyle name="Followed Hyperlink 3" xfId="1837" hidden="1" xr:uid="{00000000-0005-0000-0000-0000102D0000}"/>
    <cellStyle name="Followed Hyperlink 3" xfId="1840" hidden="1" xr:uid="{00000000-0005-0000-0000-0000112D0000}"/>
    <cellStyle name="Followed Hyperlink 3" xfId="1843" hidden="1" xr:uid="{00000000-0005-0000-0000-0000122D0000}"/>
    <cellStyle name="Followed Hyperlink 3" xfId="1848" hidden="1" xr:uid="{00000000-0005-0000-0000-0000132D0000}"/>
    <cellStyle name="Followed Hyperlink 3" xfId="1858" hidden="1" xr:uid="{00000000-0005-0000-0000-0000142D0000}"/>
    <cellStyle name="Followed Hyperlink 3" xfId="1860" hidden="1" xr:uid="{00000000-0005-0000-0000-0000152D0000}"/>
    <cellStyle name="Followed Hyperlink 3" xfId="1856" hidden="1" xr:uid="{00000000-0005-0000-0000-0000162D0000}"/>
    <cellStyle name="Followed Hyperlink 3" xfId="1855" hidden="1" xr:uid="{00000000-0005-0000-0000-0000172D0000}"/>
    <cellStyle name="Followed Hyperlink 3" xfId="1861" hidden="1" xr:uid="{00000000-0005-0000-0000-0000182D0000}"/>
    <cellStyle name="Followed Hyperlink 3" xfId="1864" hidden="1" xr:uid="{00000000-0005-0000-0000-0000192D0000}"/>
    <cellStyle name="Followed Hyperlink 3" xfId="1867" hidden="1" xr:uid="{00000000-0005-0000-0000-00001A2D0000}"/>
    <cellStyle name="Followed Hyperlink 3" xfId="1872" hidden="1" xr:uid="{00000000-0005-0000-0000-00001B2D0000}"/>
    <cellStyle name="Followed Hyperlink 3" xfId="1911" hidden="1" xr:uid="{00000000-0005-0000-0000-00001C2D0000}"/>
    <cellStyle name="Followed Hyperlink 3" xfId="1913" hidden="1" xr:uid="{00000000-0005-0000-0000-00001D2D0000}"/>
    <cellStyle name="Followed Hyperlink 3" xfId="1909" hidden="1" xr:uid="{00000000-0005-0000-0000-00001E2D0000}"/>
    <cellStyle name="Followed Hyperlink 3" xfId="1908" hidden="1" xr:uid="{00000000-0005-0000-0000-00001F2D0000}"/>
    <cellStyle name="Followed Hyperlink 3" xfId="1914" hidden="1" xr:uid="{00000000-0005-0000-0000-0000202D0000}"/>
    <cellStyle name="Followed Hyperlink 3" xfId="1917" hidden="1" xr:uid="{00000000-0005-0000-0000-0000212D0000}"/>
    <cellStyle name="Followed Hyperlink 3" xfId="1920" hidden="1" xr:uid="{00000000-0005-0000-0000-0000222D0000}"/>
    <cellStyle name="Followed Hyperlink 3" xfId="1925" hidden="1" xr:uid="{00000000-0005-0000-0000-0000232D0000}"/>
    <cellStyle name="Followed Hyperlink 3" xfId="1935" hidden="1" xr:uid="{00000000-0005-0000-0000-0000242D0000}"/>
    <cellStyle name="Followed Hyperlink 3" xfId="1937" hidden="1" xr:uid="{00000000-0005-0000-0000-0000252D0000}"/>
    <cellStyle name="Followed Hyperlink 3" xfId="1933" hidden="1" xr:uid="{00000000-0005-0000-0000-0000262D0000}"/>
    <cellStyle name="Followed Hyperlink 3" xfId="1932" hidden="1" xr:uid="{00000000-0005-0000-0000-0000272D0000}"/>
    <cellStyle name="Followed Hyperlink 3" xfId="1938" hidden="1" xr:uid="{00000000-0005-0000-0000-0000282D0000}"/>
    <cellStyle name="Followed Hyperlink 3" xfId="1941" hidden="1" xr:uid="{00000000-0005-0000-0000-0000292D0000}"/>
    <cellStyle name="Followed Hyperlink 3" xfId="1944" hidden="1" xr:uid="{00000000-0005-0000-0000-00002A2D0000}"/>
    <cellStyle name="Followed Hyperlink 3" xfId="1949" hidden="1" xr:uid="{00000000-0005-0000-0000-00002B2D0000}"/>
    <cellStyle name="Followed Hyperlink 3" xfId="1961" hidden="1" xr:uid="{00000000-0005-0000-0000-00002C2D0000}"/>
    <cellStyle name="Followed Hyperlink 3" xfId="1963" hidden="1" xr:uid="{00000000-0005-0000-0000-00002D2D0000}"/>
    <cellStyle name="Followed Hyperlink 3" xfId="1959" hidden="1" xr:uid="{00000000-0005-0000-0000-00002E2D0000}"/>
    <cellStyle name="Followed Hyperlink 3" xfId="1958" hidden="1" xr:uid="{00000000-0005-0000-0000-00002F2D0000}"/>
    <cellStyle name="Followed Hyperlink 3" xfId="1964" hidden="1" xr:uid="{00000000-0005-0000-0000-0000302D0000}"/>
    <cellStyle name="Followed Hyperlink 3" xfId="1967" hidden="1" xr:uid="{00000000-0005-0000-0000-0000312D0000}"/>
    <cellStyle name="Followed Hyperlink 3" xfId="1970" hidden="1" xr:uid="{00000000-0005-0000-0000-0000322D0000}"/>
    <cellStyle name="Followed Hyperlink 3" xfId="1975" hidden="1" xr:uid="{00000000-0005-0000-0000-0000332D0000}"/>
    <cellStyle name="Followed Hyperlink 3" xfId="1985" hidden="1" xr:uid="{00000000-0005-0000-0000-0000342D0000}"/>
    <cellStyle name="Followed Hyperlink 3" xfId="1987" hidden="1" xr:uid="{00000000-0005-0000-0000-0000352D0000}"/>
    <cellStyle name="Followed Hyperlink 3" xfId="1983" hidden="1" xr:uid="{00000000-0005-0000-0000-0000362D0000}"/>
    <cellStyle name="Followed Hyperlink 3" xfId="1982" hidden="1" xr:uid="{00000000-0005-0000-0000-0000372D0000}"/>
    <cellStyle name="Followed Hyperlink 3" xfId="1988" hidden="1" xr:uid="{00000000-0005-0000-0000-0000382D0000}"/>
    <cellStyle name="Followed Hyperlink 3" xfId="1991" hidden="1" xr:uid="{00000000-0005-0000-0000-0000392D0000}"/>
    <cellStyle name="Followed Hyperlink 3" xfId="1994" hidden="1" xr:uid="{00000000-0005-0000-0000-00003A2D0000}"/>
    <cellStyle name="Followed Hyperlink 3" xfId="1999" hidden="1" xr:uid="{00000000-0005-0000-0000-00003B2D0000}"/>
    <cellStyle name="Followed Hyperlink 3" xfId="1875" hidden="1" xr:uid="{00000000-0005-0000-0000-00003C2D0000}"/>
    <cellStyle name="Followed Hyperlink 3" xfId="1952" hidden="1" xr:uid="{00000000-0005-0000-0000-00003D2D0000}"/>
    <cellStyle name="Followed Hyperlink 3" xfId="1879" hidden="1" xr:uid="{00000000-0005-0000-0000-00003E2D0000}"/>
    <cellStyle name="Followed Hyperlink 3" xfId="1880" hidden="1" xr:uid="{00000000-0005-0000-0000-00003F2D0000}"/>
    <cellStyle name="Followed Hyperlink 3" xfId="1883" hidden="1" xr:uid="{00000000-0005-0000-0000-0000402D0000}"/>
    <cellStyle name="Followed Hyperlink 3" xfId="2004" hidden="1" xr:uid="{00000000-0005-0000-0000-0000412D0000}"/>
    <cellStyle name="Followed Hyperlink 3" xfId="2007" hidden="1" xr:uid="{00000000-0005-0000-0000-0000422D0000}"/>
    <cellStyle name="Followed Hyperlink 3" xfId="2012" hidden="1" xr:uid="{00000000-0005-0000-0000-0000432D0000}"/>
    <cellStyle name="Followed Hyperlink 3" xfId="2022" hidden="1" xr:uid="{00000000-0005-0000-0000-0000442D0000}"/>
    <cellStyle name="Followed Hyperlink 3" xfId="2024" hidden="1" xr:uid="{00000000-0005-0000-0000-0000452D0000}"/>
    <cellStyle name="Followed Hyperlink 3" xfId="2020" hidden="1" xr:uid="{00000000-0005-0000-0000-0000462D0000}"/>
    <cellStyle name="Followed Hyperlink 3" xfId="2019" hidden="1" xr:uid="{00000000-0005-0000-0000-0000472D0000}"/>
    <cellStyle name="Followed Hyperlink 3" xfId="2025" hidden="1" xr:uid="{00000000-0005-0000-0000-0000482D0000}"/>
    <cellStyle name="Followed Hyperlink 3" xfId="2028" hidden="1" xr:uid="{00000000-0005-0000-0000-0000492D0000}"/>
    <cellStyle name="Followed Hyperlink 3" xfId="2031" hidden="1" xr:uid="{00000000-0005-0000-0000-00004A2D0000}"/>
    <cellStyle name="Followed Hyperlink 3" xfId="2036" hidden="1" xr:uid="{00000000-0005-0000-0000-00004B2D0000}"/>
    <cellStyle name="Followed Hyperlink 3" xfId="2047" hidden="1" xr:uid="{00000000-0005-0000-0000-00004C2D0000}"/>
    <cellStyle name="Followed Hyperlink 3" xfId="2049" hidden="1" xr:uid="{00000000-0005-0000-0000-00004D2D0000}"/>
    <cellStyle name="Followed Hyperlink 3" xfId="2045" hidden="1" xr:uid="{00000000-0005-0000-0000-00004E2D0000}"/>
    <cellStyle name="Followed Hyperlink 3" xfId="2044" hidden="1" xr:uid="{00000000-0005-0000-0000-00004F2D0000}"/>
    <cellStyle name="Followed Hyperlink 3" xfId="2050" hidden="1" xr:uid="{00000000-0005-0000-0000-0000502D0000}"/>
    <cellStyle name="Followed Hyperlink 3" xfId="2053" hidden="1" xr:uid="{00000000-0005-0000-0000-0000512D0000}"/>
    <cellStyle name="Followed Hyperlink 3" xfId="2056" hidden="1" xr:uid="{00000000-0005-0000-0000-0000522D0000}"/>
    <cellStyle name="Followed Hyperlink 3" xfId="2061" hidden="1" xr:uid="{00000000-0005-0000-0000-0000532D0000}"/>
    <cellStyle name="Followed Hyperlink 3" xfId="2071" hidden="1" xr:uid="{00000000-0005-0000-0000-0000542D0000}"/>
    <cellStyle name="Followed Hyperlink 3" xfId="2073" hidden="1" xr:uid="{00000000-0005-0000-0000-0000552D0000}"/>
    <cellStyle name="Followed Hyperlink 3" xfId="2069" hidden="1" xr:uid="{00000000-0005-0000-0000-0000562D0000}"/>
    <cellStyle name="Followed Hyperlink 3" xfId="2068" hidden="1" xr:uid="{00000000-0005-0000-0000-0000572D0000}"/>
    <cellStyle name="Followed Hyperlink 3" xfId="2074" hidden="1" xr:uid="{00000000-0005-0000-0000-0000582D0000}"/>
    <cellStyle name="Followed Hyperlink 3" xfId="2077" hidden="1" xr:uid="{00000000-0005-0000-0000-0000592D0000}"/>
    <cellStyle name="Followed Hyperlink 3" xfId="2080" hidden="1" xr:uid="{00000000-0005-0000-0000-00005A2D0000}"/>
    <cellStyle name="Followed Hyperlink 3" xfId="2085" hidden="1" xr:uid="{00000000-0005-0000-0000-00005B2D0000}"/>
    <cellStyle name="Followed Hyperlink 3" xfId="1896" hidden="1" xr:uid="{00000000-0005-0000-0000-00005C2D0000}"/>
    <cellStyle name="Followed Hyperlink 3" xfId="2039" hidden="1" xr:uid="{00000000-0005-0000-0000-00005D2D0000}"/>
    <cellStyle name="Followed Hyperlink 3" xfId="1893" hidden="1" xr:uid="{00000000-0005-0000-0000-00005E2D0000}"/>
    <cellStyle name="Followed Hyperlink 3" xfId="1885" hidden="1" xr:uid="{00000000-0005-0000-0000-00005F2D0000}"/>
    <cellStyle name="Followed Hyperlink 3" xfId="1890" hidden="1" xr:uid="{00000000-0005-0000-0000-0000602D0000}"/>
    <cellStyle name="Followed Hyperlink 3" xfId="2090" hidden="1" xr:uid="{00000000-0005-0000-0000-0000612D0000}"/>
    <cellStyle name="Followed Hyperlink 3" xfId="2093" hidden="1" xr:uid="{00000000-0005-0000-0000-0000622D0000}"/>
    <cellStyle name="Followed Hyperlink 3" xfId="2098" hidden="1" xr:uid="{00000000-0005-0000-0000-0000632D0000}"/>
    <cellStyle name="Followed Hyperlink 3" xfId="2108" hidden="1" xr:uid="{00000000-0005-0000-0000-0000642D0000}"/>
    <cellStyle name="Followed Hyperlink 3" xfId="2110" hidden="1" xr:uid="{00000000-0005-0000-0000-0000652D0000}"/>
    <cellStyle name="Followed Hyperlink 3" xfId="2106" hidden="1" xr:uid="{00000000-0005-0000-0000-0000662D0000}"/>
    <cellStyle name="Followed Hyperlink 3" xfId="2105" hidden="1" xr:uid="{00000000-0005-0000-0000-0000672D0000}"/>
    <cellStyle name="Followed Hyperlink 3" xfId="2111" hidden="1" xr:uid="{00000000-0005-0000-0000-0000682D0000}"/>
    <cellStyle name="Followed Hyperlink 3" xfId="2114" hidden="1" xr:uid="{00000000-0005-0000-0000-0000692D0000}"/>
    <cellStyle name="Followed Hyperlink 3" xfId="2117" hidden="1" xr:uid="{00000000-0005-0000-0000-00006A2D0000}"/>
    <cellStyle name="Followed Hyperlink 3" xfId="2122" hidden="1" xr:uid="{00000000-0005-0000-0000-00006B2D0000}"/>
    <cellStyle name="Followed Hyperlink 3" xfId="2133" hidden="1" xr:uid="{00000000-0005-0000-0000-00006C2D0000}"/>
    <cellStyle name="Followed Hyperlink 3" xfId="2135" hidden="1" xr:uid="{00000000-0005-0000-0000-00006D2D0000}"/>
    <cellStyle name="Followed Hyperlink 3" xfId="2131" hidden="1" xr:uid="{00000000-0005-0000-0000-00006E2D0000}"/>
    <cellStyle name="Followed Hyperlink 3" xfId="2130" hidden="1" xr:uid="{00000000-0005-0000-0000-00006F2D0000}"/>
    <cellStyle name="Followed Hyperlink 3" xfId="2136" hidden="1" xr:uid="{00000000-0005-0000-0000-0000702D0000}"/>
    <cellStyle name="Followed Hyperlink 3" xfId="2139" hidden="1" xr:uid="{00000000-0005-0000-0000-0000712D0000}"/>
    <cellStyle name="Followed Hyperlink 3" xfId="2142" hidden="1" xr:uid="{00000000-0005-0000-0000-0000722D0000}"/>
    <cellStyle name="Followed Hyperlink 3" xfId="2147" hidden="1" xr:uid="{00000000-0005-0000-0000-0000732D0000}"/>
    <cellStyle name="Followed Hyperlink 3" xfId="2157" hidden="1" xr:uid="{00000000-0005-0000-0000-0000742D0000}"/>
    <cellStyle name="Followed Hyperlink 3" xfId="2159" hidden="1" xr:uid="{00000000-0005-0000-0000-0000752D0000}"/>
    <cellStyle name="Followed Hyperlink 3" xfId="2155" hidden="1" xr:uid="{00000000-0005-0000-0000-0000762D0000}"/>
    <cellStyle name="Followed Hyperlink 3" xfId="2154" hidden="1" xr:uid="{00000000-0005-0000-0000-0000772D0000}"/>
    <cellStyle name="Followed Hyperlink 3" xfId="2160" hidden="1" xr:uid="{00000000-0005-0000-0000-0000782D0000}"/>
    <cellStyle name="Followed Hyperlink 3" xfId="2163" hidden="1" xr:uid="{00000000-0005-0000-0000-0000792D0000}"/>
    <cellStyle name="Followed Hyperlink 3" xfId="2166" hidden="1" xr:uid="{00000000-0005-0000-0000-00007A2D0000}"/>
    <cellStyle name="Followed Hyperlink 3" xfId="2171" hidden="1" xr:uid="{00000000-0005-0000-0000-00007B2D0000}"/>
    <cellStyle name="Followed Hyperlink 3" xfId="1901" hidden="1" xr:uid="{00000000-0005-0000-0000-00007C2D0000}"/>
    <cellStyle name="Followed Hyperlink 3" xfId="2125" hidden="1" xr:uid="{00000000-0005-0000-0000-00007D2D0000}"/>
    <cellStyle name="Followed Hyperlink 3" xfId="1897" hidden="1" xr:uid="{00000000-0005-0000-0000-00007E2D0000}"/>
    <cellStyle name="Followed Hyperlink 3" xfId="1902" hidden="1" xr:uid="{00000000-0005-0000-0000-00007F2D0000}"/>
    <cellStyle name="Followed Hyperlink 3" xfId="1889" hidden="1" xr:uid="{00000000-0005-0000-0000-0000802D0000}"/>
    <cellStyle name="Followed Hyperlink 3" xfId="2176" hidden="1" xr:uid="{00000000-0005-0000-0000-0000812D0000}"/>
    <cellStyle name="Followed Hyperlink 3" xfId="2179" hidden="1" xr:uid="{00000000-0005-0000-0000-0000822D0000}"/>
    <cellStyle name="Followed Hyperlink 3" xfId="2184" hidden="1" xr:uid="{00000000-0005-0000-0000-0000832D0000}"/>
    <cellStyle name="Followed Hyperlink 3" xfId="2194" hidden="1" xr:uid="{00000000-0005-0000-0000-0000842D0000}"/>
    <cellStyle name="Followed Hyperlink 3" xfId="2196" hidden="1" xr:uid="{00000000-0005-0000-0000-0000852D0000}"/>
    <cellStyle name="Followed Hyperlink 3" xfId="2192" hidden="1" xr:uid="{00000000-0005-0000-0000-0000862D0000}"/>
    <cellStyle name="Followed Hyperlink 3" xfId="2191" hidden="1" xr:uid="{00000000-0005-0000-0000-0000872D0000}"/>
    <cellStyle name="Followed Hyperlink 3" xfId="2197" hidden="1" xr:uid="{00000000-0005-0000-0000-0000882D0000}"/>
    <cellStyle name="Followed Hyperlink 3" xfId="2200" hidden="1" xr:uid="{00000000-0005-0000-0000-0000892D0000}"/>
    <cellStyle name="Followed Hyperlink 3" xfId="2203" hidden="1" xr:uid="{00000000-0005-0000-0000-00008A2D0000}"/>
    <cellStyle name="Followed Hyperlink 3" xfId="2208" hidden="1" xr:uid="{00000000-0005-0000-0000-00008B2D0000}"/>
    <cellStyle name="Followed Hyperlink 3" xfId="2218" hidden="1" xr:uid="{00000000-0005-0000-0000-00008C2D0000}"/>
    <cellStyle name="Followed Hyperlink 3" xfId="2220" hidden="1" xr:uid="{00000000-0005-0000-0000-00008D2D0000}"/>
    <cellStyle name="Followed Hyperlink 3" xfId="2216" hidden="1" xr:uid="{00000000-0005-0000-0000-00008E2D0000}"/>
    <cellStyle name="Followed Hyperlink 3" xfId="2215" hidden="1" xr:uid="{00000000-0005-0000-0000-00008F2D0000}"/>
    <cellStyle name="Followed Hyperlink 3" xfId="2221" hidden="1" xr:uid="{00000000-0005-0000-0000-0000902D0000}"/>
    <cellStyle name="Followed Hyperlink 3" xfId="2224" hidden="1" xr:uid="{00000000-0005-0000-0000-0000912D0000}"/>
    <cellStyle name="Followed Hyperlink 3" xfId="2227" hidden="1" xr:uid="{00000000-0005-0000-0000-0000922D0000}"/>
    <cellStyle name="Followed Hyperlink 3" xfId="2232" hidden="1" xr:uid="{00000000-0005-0000-0000-0000932D0000}"/>
    <cellStyle name="Followed Hyperlink 3" xfId="2242" hidden="1" xr:uid="{00000000-0005-0000-0000-0000942D0000}"/>
    <cellStyle name="Followed Hyperlink 3" xfId="2244" hidden="1" xr:uid="{00000000-0005-0000-0000-0000952D0000}"/>
    <cellStyle name="Followed Hyperlink 3" xfId="2240" hidden="1" xr:uid="{00000000-0005-0000-0000-0000962D0000}"/>
    <cellStyle name="Followed Hyperlink 3" xfId="2239" hidden="1" xr:uid="{00000000-0005-0000-0000-0000972D0000}"/>
    <cellStyle name="Followed Hyperlink 3" xfId="2245" hidden="1" xr:uid="{00000000-0005-0000-0000-0000982D0000}"/>
    <cellStyle name="Followed Hyperlink 3" xfId="2248" hidden="1" xr:uid="{00000000-0005-0000-0000-0000992D0000}"/>
    <cellStyle name="Followed Hyperlink 3" xfId="2251" hidden="1" xr:uid="{00000000-0005-0000-0000-00009A2D0000}"/>
    <cellStyle name="Followed Hyperlink 3" xfId="2256" hidden="1" xr:uid="{00000000-0005-0000-0000-00009B2D0000}"/>
    <cellStyle name="Followed Hyperlink 3" xfId="834" hidden="1" xr:uid="{00000000-0005-0000-0000-00009C2D0000}"/>
    <cellStyle name="Followed Hyperlink 3" xfId="1826" hidden="1" xr:uid="{00000000-0005-0000-0000-00009D2D0000}"/>
    <cellStyle name="Followed Hyperlink 3" xfId="830" hidden="1" xr:uid="{00000000-0005-0000-0000-00009E2D0000}"/>
    <cellStyle name="Followed Hyperlink 3" xfId="835" hidden="1" xr:uid="{00000000-0005-0000-0000-00009F2D0000}"/>
    <cellStyle name="Followed Hyperlink 3" xfId="822" hidden="1" xr:uid="{00000000-0005-0000-0000-0000A02D0000}"/>
    <cellStyle name="Followed Hyperlink 3" xfId="2261" hidden="1" xr:uid="{00000000-0005-0000-0000-0000A12D0000}"/>
    <cellStyle name="Followed Hyperlink 3" xfId="2264" hidden="1" xr:uid="{00000000-0005-0000-0000-0000A22D0000}"/>
    <cellStyle name="Followed Hyperlink 3" xfId="2269" hidden="1" xr:uid="{00000000-0005-0000-0000-0000A32D0000}"/>
    <cellStyle name="Followed Hyperlink 3" xfId="2279" hidden="1" xr:uid="{00000000-0005-0000-0000-0000A42D0000}"/>
    <cellStyle name="Followed Hyperlink 3" xfId="2281" hidden="1" xr:uid="{00000000-0005-0000-0000-0000A52D0000}"/>
    <cellStyle name="Followed Hyperlink 3" xfId="2277" hidden="1" xr:uid="{00000000-0005-0000-0000-0000A62D0000}"/>
    <cellStyle name="Followed Hyperlink 3" xfId="2276" hidden="1" xr:uid="{00000000-0005-0000-0000-0000A72D0000}"/>
    <cellStyle name="Followed Hyperlink 3" xfId="2282" hidden="1" xr:uid="{00000000-0005-0000-0000-0000A82D0000}"/>
    <cellStyle name="Followed Hyperlink 3" xfId="2285" hidden="1" xr:uid="{00000000-0005-0000-0000-0000A92D0000}"/>
    <cellStyle name="Followed Hyperlink 3" xfId="2288" hidden="1" xr:uid="{00000000-0005-0000-0000-0000AA2D0000}"/>
    <cellStyle name="Followed Hyperlink 3" xfId="2293" hidden="1" xr:uid="{00000000-0005-0000-0000-0000AB2D0000}"/>
    <cellStyle name="Followed Hyperlink 3" xfId="2303" hidden="1" xr:uid="{00000000-0005-0000-0000-0000AC2D0000}"/>
    <cellStyle name="Followed Hyperlink 3" xfId="2305" hidden="1" xr:uid="{00000000-0005-0000-0000-0000AD2D0000}"/>
    <cellStyle name="Followed Hyperlink 3" xfId="2301" hidden="1" xr:uid="{00000000-0005-0000-0000-0000AE2D0000}"/>
    <cellStyle name="Followed Hyperlink 3" xfId="2300" hidden="1" xr:uid="{00000000-0005-0000-0000-0000AF2D0000}"/>
    <cellStyle name="Followed Hyperlink 3" xfId="2306" hidden="1" xr:uid="{00000000-0005-0000-0000-0000B02D0000}"/>
    <cellStyle name="Followed Hyperlink 3" xfId="2309" hidden="1" xr:uid="{00000000-0005-0000-0000-0000B12D0000}"/>
    <cellStyle name="Followed Hyperlink 3" xfId="2312" hidden="1" xr:uid="{00000000-0005-0000-0000-0000B22D0000}"/>
    <cellStyle name="Followed Hyperlink 3" xfId="2317" hidden="1" xr:uid="{00000000-0005-0000-0000-0000B32D0000}"/>
    <cellStyle name="Followed Hyperlink 3" xfId="2327" hidden="1" xr:uid="{00000000-0005-0000-0000-0000B42D0000}"/>
    <cellStyle name="Followed Hyperlink 3" xfId="2329" hidden="1" xr:uid="{00000000-0005-0000-0000-0000B52D0000}"/>
    <cellStyle name="Followed Hyperlink 3" xfId="2325" hidden="1" xr:uid="{00000000-0005-0000-0000-0000B62D0000}"/>
    <cellStyle name="Followed Hyperlink 3" xfId="2324" hidden="1" xr:uid="{00000000-0005-0000-0000-0000B72D0000}"/>
    <cellStyle name="Followed Hyperlink 3" xfId="2330" hidden="1" xr:uid="{00000000-0005-0000-0000-0000B82D0000}"/>
    <cellStyle name="Followed Hyperlink 3" xfId="2333" hidden="1" xr:uid="{00000000-0005-0000-0000-0000B92D0000}"/>
    <cellStyle name="Followed Hyperlink 3" xfId="2336" hidden="1" xr:uid="{00000000-0005-0000-0000-0000BA2D0000}"/>
    <cellStyle name="Followed Hyperlink 3" xfId="2341" hidden="1" xr:uid="{00000000-0005-0000-0000-0000BB2D0000}"/>
    <cellStyle name="Followed Hyperlink 3" xfId="2380" hidden="1" xr:uid="{00000000-0005-0000-0000-0000BC2D0000}"/>
    <cellStyle name="Followed Hyperlink 3" xfId="2382" hidden="1" xr:uid="{00000000-0005-0000-0000-0000BD2D0000}"/>
    <cellStyle name="Followed Hyperlink 3" xfId="2378" hidden="1" xr:uid="{00000000-0005-0000-0000-0000BE2D0000}"/>
    <cellStyle name="Followed Hyperlink 3" xfId="2377" hidden="1" xr:uid="{00000000-0005-0000-0000-0000BF2D0000}"/>
    <cellStyle name="Followed Hyperlink 3" xfId="2383" hidden="1" xr:uid="{00000000-0005-0000-0000-0000C02D0000}"/>
    <cellStyle name="Followed Hyperlink 3" xfId="2386" hidden="1" xr:uid="{00000000-0005-0000-0000-0000C12D0000}"/>
    <cellStyle name="Followed Hyperlink 3" xfId="2389" hidden="1" xr:uid="{00000000-0005-0000-0000-0000C22D0000}"/>
    <cellStyle name="Followed Hyperlink 3" xfId="2394" hidden="1" xr:uid="{00000000-0005-0000-0000-0000C32D0000}"/>
    <cellStyle name="Followed Hyperlink 3" xfId="2404" hidden="1" xr:uid="{00000000-0005-0000-0000-0000C42D0000}"/>
    <cellStyle name="Followed Hyperlink 3" xfId="2406" hidden="1" xr:uid="{00000000-0005-0000-0000-0000C52D0000}"/>
    <cellStyle name="Followed Hyperlink 3" xfId="2402" hidden="1" xr:uid="{00000000-0005-0000-0000-0000C62D0000}"/>
    <cellStyle name="Followed Hyperlink 3" xfId="2401" hidden="1" xr:uid="{00000000-0005-0000-0000-0000C72D0000}"/>
    <cellStyle name="Followed Hyperlink 3" xfId="2407" hidden="1" xr:uid="{00000000-0005-0000-0000-0000C82D0000}"/>
    <cellStyle name="Followed Hyperlink 3" xfId="2410" hidden="1" xr:uid="{00000000-0005-0000-0000-0000C92D0000}"/>
    <cellStyle name="Followed Hyperlink 3" xfId="2413" hidden="1" xr:uid="{00000000-0005-0000-0000-0000CA2D0000}"/>
    <cellStyle name="Followed Hyperlink 3" xfId="2418" hidden="1" xr:uid="{00000000-0005-0000-0000-0000CB2D0000}"/>
    <cellStyle name="Followed Hyperlink 3" xfId="2430" hidden="1" xr:uid="{00000000-0005-0000-0000-0000CC2D0000}"/>
    <cellStyle name="Followed Hyperlink 3" xfId="2432" hidden="1" xr:uid="{00000000-0005-0000-0000-0000CD2D0000}"/>
    <cellStyle name="Followed Hyperlink 3" xfId="2428" hidden="1" xr:uid="{00000000-0005-0000-0000-0000CE2D0000}"/>
    <cellStyle name="Followed Hyperlink 3" xfId="2427" hidden="1" xr:uid="{00000000-0005-0000-0000-0000CF2D0000}"/>
    <cellStyle name="Followed Hyperlink 3" xfId="2433" hidden="1" xr:uid="{00000000-0005-0000-0000-0000D02D0000}"/>
    <cellStyle name="Followed Hyperlink 3" xfId="2436" hidden="1" xr:uid="{00000000-0005-0000-0000-0000D12D0000}"/>
    <cellStyle name="Followed Hyperlink 3" xfId="2439" hidden="1" xr:uid="{00000000-0005-0000-0000-0000D22D0000}"/>
    <cellStyle name="Followed Hyperlink 3" xfId="2444" hidden="1" xr:uid="{00000000-0005-0000-0000-0000D32D0000}"/>
    <cellStyle name="Followed Hyperlink 3" xfId="2454" hidden="1" xr:uid="{00000000-0005-0000-0000-0000D42D0000}"/>
    <cellStyle name="Followed Hyperlink 3" xfId="2456" hidden="1" xr:uid="{00000000-0005-0000-0000-0000D52D0000}"/>
    <cellStyle name="Followed Hyperlink 3" xfId="2452" hidden="1" xr:uid="{00000000-0005-0000-0000-0000D62D0000}"/>
    <cellStyle name="Followed Hyperlink 3" xfId="2451" hidden="1" xr:uid="{00000000-0005-0000-0000-0000D72D0000}"/>
    <cellStyle name="Followed Hyperlink 3" xfId="2457" hidden="1" xr:uid="{00000000-0005-0000-0000-0000D82D0000}"/>
    <cellStyle name="Followed Hyperlink 3" xfId="2460" hidden="1" xr:uid="{00000000-0005-0000-0000-0000D92D0000}"/>
    <cellStyle name="Followed Hyperlink 3" xfId="2463" hidden="1" xr:uid="{00000000-0005-0000-0000-0000DA2D0000}"/>
    <cellStyle name="Followed Hyperlink 3" xfId="2468" hidden="1" xr:uid="{00000000-0005-0000-0000-0000DB2D0000}"/>
    <cellStyle name="Followed Hyperlink 3" xfId="2344" hidden="1" xr:uid="{00000000-0005-0000-0000-0000DC2D0000}"/>
    <cellStyle name="Followed Hyperlink 3" xfId="2421" hidden="1" xr:uid="{00000000-0005-0000-0000-0000DD2D0000}"/>
    <cellStyle name="Followed Hyperlink 3" xfId="2348" hidden="1" xr:uid="{00000000-0005-0000-0000-0000DE2D0000}"/>
    <cellStyle name="Followed Hyperlink 3" xfId="2349" hidden="1" xr:uid="{00000000-0005-0000-0000-0000DF2D0000}"/>
    <cellStyle name="Followed Hyperlink 3" xfId="2352" hidden="1" xr:uid="{00000000-0005-0000-0000-0000E02D0000}"/>
    <cellStyle name="Followed Hyperlink 3" xfId="2473" hidden="1" xr:uid="{00000000-0005-0000-0000-0000E12D0000}"/>
    <cellStyle name="Followed Hyperlink 3" xfId="2476" hidden="1" xr:uid="{00000000-0005-0000-0000-0000E22D0000}"/>
    <cellStyle name="Followed Hyperlink 3" xfId="2481" hidden="1" xr:uid="{00000000-0005-0000-0000-0000E32D0000}"/>
    <cellStyle name="Followed Hyperlink 3" xfId="2491" hidden="1" xr:uid="{00000000-0005-0000-0000-0000E42D0000}"/>
    <cellStyle name="Followed Hyperlink 3" xfId="2493" hidden="1" xr:uid="{00000000-0005-0000-0000-0000E52D0000}"/>
    <cellStyle name="Followed Hyperlink 3" xfId="2489" hidden="1" xr:uid="{00000000-0005-0000-0000-0000E62D0000}"/>
    <cellStyle name="Followed Hyperlink 3" xfId="2488" hidden="1" xr:uid="{00000000-0005-0000-0000-0000E72D0000}"/>
    <cellStyle name="Followed Hyperlink 3" xfId="2494" hidden="1" xr:uid="{00000000-0005-0000-0000-0000E82D0000}"/>
    <cellStyle name="Followed Hyperlink 3" xfId="2497" hidden="1" xr:uid="{00000000-0005-0000-0000-0000E92D0000}"/>
    <cellStyle name="Followed Hyperlink 3" xfId="2500" hidden="1" xr:uid="{00000000-0005-0000-0000-0000EA2D0000}"/>
    <cellStyle name="Followed Hyperlink 3" xfId="2505" hidden="1" xr:uid="{00000000-0005-0000-0000-0000EB2D0000}"/>
    <cellStyle name="Followed Hyperlink 3" xfId="2516" hidden="1" xr:uid="{00000000-0005-0000-0000-0000EC2D0000}"/>
    <cellStyle name="Followed Hyperlink 3" xfId="2518" hidden="1" xr:uid="{00000000-0005-0000-0000-0000ED2D0000}"/>
    <cellStyle name="Followed Hyperlink 3" xfId="2514" hidden="1" xr:uid="{00000000-0005-0000-0000-0000EE2D0000}"/>
    <cellStyle name="Followed Hyperlink 3" xfId="2513" hidden="1" xr:uid="{00000000-0005-0000-0000-0000EF2D0000}"/>
    <cellStyle name="Followed Hyperlink 3" xfId="2519" hidden="1" xr:uid="{00000000-0005-0000-0000-0000F02D0000}"/>
    <cellStyle name="Followed Hyperlink 3" xfId="2522" hidden="1" xr:uid="{00000000-0005-0000-0000-0000F12D0000}"/>
    <cellStyle name="Followed Hyperlink 3" xfId="2525" hidden="1" xr:uid="{00000000-0005-0000-0000-0000F22D0000}"/>
    <cellStyle name="Followed Hyperlink 3" xfId="2530" hidden="1" xr:uid="{00000000-0005-0000-0000-0000F32D0000}"/>
    <cellStyle name="Followed Hyperlink 3" xfId="2540" hidden="1" xr:uid="{00000000-0005-0000-0000-0000F42D0000}"/>
    <cellStyle name="Followed Hyperlink 3" xfId="2542" hidden="1" xr:uid="{00000000-0005-0000-0000-0000F52D0000}"/>
    <cellStyle name="Followed Hyperlink 3" xfId="2538" hidden="1" xr:uid="{00000000-0005-0000-0000-0000F62D0000}"/>
    <cellStyle name="Followed Hyperlink 3" xfId="2537" hidden="1" xr:uid="{00000000-0005-0000-0000-0000F72D0000}"/>
    <cellStyle name="Followed Hyperlink 3" xfId="2543" hidden="1" xr:uid="{00000000-0005-0000-0000-0000F82D0000}"/>
    <cellStyle name="Followed Hyperlink 3" xfId="2546" hidden="1" xr:uid="{00000000-0005-0000-0000-0000F92D0000}"/>
    <cellStyle name="Followed Hyperlink 3" xfId="2549" hidden="1" xr:uid="{00000000-0005-0000-0000-0000FA2D0000}"/>
    <cellStyle name="Followed Hyperlink 3" xfId="2554" hidden="1" xr:uid="{00000000-0005-0000-0000-0000FB2D0000}"/>
    <cellStyle name="Followed Hyperlink 3" xfId="2365" hidden="1" xr:uid="{00000000-0005-0000-0000-0000FC2D0000}"/>
    <cellStyle name="Followed Hyperlink 3" xfId="2508" hidden="1" xr:uid="{00000000-0005-0000-0000-0000FD2D0000}"/>
    <cellStyle name="Followed Hyperlink 3" xfId="2362" hidden="1" xr:uid="{00000000-0005-0000-0000-0000FE2D0000}"/>
    <cellStyle name="Followed Hyperlink 3" xfId="2354" hidden="1" xr:uid="{00000000-0005-0000-0000-0000FF2D0000}"/>
    <cellStyle name="Followed Hyperlink 3" xfId="2359" hidden="1" xr:uid="{00000000-0005-0000-0000-0000002E0000}"/>
    <cellStyle name="Followed Hyperlink 3" xfId="2559" hidden="1" xr:uid="{00000000-0005-0000-0000-0000012E0000}"/>
    <cellStyle name="Followed Hyperlink 3" xfId="2562" hidden="1" xr:uid="{00000000-0005-0000-0000-0000022E0000}"/>
    <cellStyle name="Followed Hyperlink 3" xfId="2567" hidden="1" xr:uid="{00000000-0005-0000-0000-0000032E0000}"/>
    <cellStyle name="Followed Hyperlink 3" xfId="2577" hidden="1" xr:uid="{00000000-0005-0000-0000-0000042E0000}"/>
    <cellStyle name="Followed Hyperlink 3" xfId="2579" hidden="1" xr:uid="{00000000-0005-0000-0000-0000052E0000}"/>
    <cellStyle name="Followed Hyperlink 3" xfId="2575" hidden="1" xr:uid="{00000000-0005-0000-0000-0000062E0000}"/>
    <cellStyle name="Followed Hyperlink 3" xfId="2574" hidden="1" xr:uid="{00000000-0005-0000-0000-0000072E0000}"/>
    <cellStyle name="Followed Hyperlink 3" xfId="2580" hidden="1" xr:uid="{00000000-0005-0000-0000-0000082E0000}"/>
    <cellStyle name="Followed Hyperlink 3" xfId="2583" hidden="1" xr:uid="{00000000-0005-0000-0000-0000092E0000}"/>
    <cellStyle name="Followed Hyperlink 3" xfId="2586" hidden="1" xr:uid="{00000000-0005-0000-0000-00000A2E0000}"/>
    <cellStyle name="Followed Hyperlink 3" xfId="2591" hidden="1" xr:uid="{00000000-0005-0000-0000-00000B2E0000}"/>
    <cellStyle name="Followed Hyperlink 3" xfId="2602" hidden="1" xr:uid="{00000000-0005-0000-0000-00000C2E0000}"/>
    <cellStyle name="Followed Hyperlink 3" xfId="2604" hidden="1" xr:uid="{00000000-0005-0000-0000-00000D2E0000}"/>
    <cellStyle name="Followed Hyperlink 3" xfId="2600" hidden="1" xr:uid="{00000000-0005-0000-0000-00000E2E0000}"/>
    <cellStyle name="Followed Hyperlink 3" xfId="2599" hidden="1" xr:uid="{00000000-0005-0000-0000-00000F2E0000}"/>
    <cellStyle name="Followed Hyperlink 3" xfId="2605" hidden="1" xr:uid="{00000000-0005-0000-0000-0000102E0000}"/>
    <cellStyle name="Followed Hyperlink 3" xfId="2608" hidden="1" xr:uid="{00000000-0005-0000-0000-0000112E0000}"/>
    <cellStyle name="Followed Hyperlink 3" xfId="2611" hidden="1" xr:uid="{00000000-0005-0000-0000-0000122E0000}"/>
    <cellStyle name="Followed Hyperlink 3" xfId="2616" hidden="1" xr:uid="{00000000-0005-0000-0000-0000132E0000}"/>
    <cellStyle name="Followed Hyperlink 3" xfId="2626" hidden="1" xr:uid="{00000000-0005-0000-0000-0000142E0000}"/>
    <cellStyle name="Followed Hyperlink 3" xfId="2628" hidden="1" xr:uid="{00000000-0005-0000-0000-0000152E0000}"/>
    <cellStyle name="Followed Hyperlink 3" xfId="2624" hidden="1" xr:uid="{00000000-0005-0000-0000-0000162E0000}"/>
    <cellStyle name="Followed Hyperlink 3" xfId="2623" hidden="1" xr:uid="{00000000-0005-0000-0000-0000172E0000}"/>
    <cellStyle name="Followed Hyperlink 3" xfId="2629" hidden="1" xr:uid="{00000000-0005-0000-0000-0000182E0000}"/>
    <cellStyle name="Followed Hyperlink 3" xfId="2632" hidden="1" xr:uid="{00000000-0005-0000-0000-0000192E0000}"/>
    <cellStyle name="Followed Hyperlink 3" xfId="2635" hidden="1" xr:uid="{00000000-0005-0000-0000-00001A2E0000}"/>
    <cellStyle name="Followed Hyperlink 3" xfId="2640" hidden="1" xr:uid="{00000000-0005-0000-0000-00001B2E0000}"/>
    <cellStyle name="Followed Hyperlink 3" xfId="2370" hidden="1" xr:uid="{00000000-0005-0000-0000-00001C2E0000}"/>
    <cellStyle name="Followed Hyperlink 3" xfId="2594" hidden="1" xr:uid="{00000000-0005-0000-0000-00001D2E0000}"/>
    <cellStyle name="Followed Hyperlink 3" xfId="2366" hidden="1" xr:uid="{00000000-0005-0000-0000-00001E2E0000}"/>
    <cellStyle name="Followed Hyperlink 3" xfId="2371" hidden="1" xr:uid="{00000000-0005-0000-0000-00001F2E0000}"/>
    <cellStyle name="Followed Hyperlink 3" xfId="2358" hidden="1" xr:uid="{00000000-0005-0000-0000-0000202E0000}"/>
    <cellStyle name="Followed Hyperlink 3" xfId="2645" hidden="1" xr:uid="{00000000-0005-0000-0000-0000212E0000}"/>
    <cellStyle name="Followed Hyperlink 3" xfId="2648" hidden="1" xr:uid="{00000000-0005-0000-0000-0000222E0000}"/>
    <cellStyle name="Followed Hyperlink 3" xfId="2653" hidden="1" xr:uid="{00000000-0005-0000-0000-0000232E0000}"/>
    <cellStyle name="Followed Hyperlink 3" xfId="2663" hidden="1" xr:uid="{00000000-0005-0000-0000-0000242E0000}"/>
    <cellStyle name="Followed Hyperlink 3" xfId="2665" hidden="1" xr:uid="{00000000-0005-0000-0000-0000252E0000}"/>
    <cellStyle name="Followed Hyperlink 3" xfId="2661" hidden="1" xr:uid="{00000000-0005-0000-0000-0000262E0000}"/>
    <cellStyle name="Followed Hyperlink 3" xfId="2660" hidden="1" xr:uid="{00000000-0005-0000-0000-0000272E0000}"/>
    <cellStyle name="Followed Hyperlink 3" xfId="2666" hidden="1" xr:uid="{00000000-0005-0000-0000-0000282E0000}"/>
    <cellStyle name="Followed Hyperlink 3" xfId="2669" hidden="1" xr:uid="{00000000-0005-0000-0000-0000292E0000}"/>
    <cellStyle name="Followed Hyperlink 3" xfId="2672" hidden="1" xr:uid="{00000000-0005-0000-0000-00002A2E0000}"/>
    <cellStyle name="Followed Hyperlink 3" xfId="2677" hidden="1" xr:uid="{00000000-0005-0000-0000-00002B2E0000}"/>
    <cellStyle name="Followed Hyperlink 3" xfId="2687" hidden="1" xr:uid="{00000000-0005-0000-0000-00002C2E0000}"/>
    <cellStyle name="Followed Hyperlink 3" xfId="2689" hidden="1" xr:uid="{00000000-0005-0000-0000-00002D2E0000}"/>
    <cellStyle name="Followed Hyperlink 3" xfId="2685" hidden="1" xr:uid="{00000000-0005-0000-0000-00002E2E0000}"/>
    <cellStyle name="Followed Hyperlink 3" xfId="2684" hidden="1" xr:uid="{00000000-0005-0000-0000-00002F2E0000}"/>
    <cellStyle name="Followed Hyperlink 3" xfId="2690" hidden="1" xr:uid="{00000000-0005-0000-0000-0000302E0000}"/>
    <cellStyle name="Followed Hyperlink 3" xfId="2693" hidden="1" xr:uid="{00000000-0005-0000-0000-0000312E0000}"/>
    <cellStyle name="Followed Hyperlink 3" xfId="2696" hidden="1" xr:uid="{00000000-0005-0000-0000-0000322E0000}"/>
    <cellStyle name="Followed Hyperlink 3" xfId="2701" hidden="1" xr:uid="{00000000-0005-0000-0000-0000332E0000}"/>
    <cellStyle name="Followed Hyperlink 3" xfId="2711" hidden="1" xr:uid="{00000000-0005-0000-0000-0000342E0000}"/>
    <cellStyle name="Followed Hyperlink 3" xfId="2713" hidden="1" xr:uid="{00000000-0005-0000-0000-0000352E0000}"/>
    <cellStyle name="Followed Hyperlink 3" xfId="2709" hidden="1" xr:uid="{00000000-0005-0000-0000-0000362E0000}"/>
    <cellStyle name="Followed Hyperlink 3" xfId="2708" hidden="1" xr:uid="{00000000-0005-0000-0000-0000372E0000}"/>
    <cellStyle name="Followed Hyperlink 3" xfId="2714" hidden="1" xr:uid="{00000000-0005-0000-0000-0000382E0000}"/>
    <cellStyle name="Followed Hyperlink 3" xfId="2717" hidden="1" xr:uid="{00000000-0005-0000-0000-0000392E0000}"/>
    <cellStyle name="Followed Hyperlink 3" xfId="2720" hidden="1" xr:uid="{00000000-0005-0000-0000-00003A2E0000}"/>
    <cellStyle name="Followed Hyperlink 3" xfId="2725" hidden="1" xr:uid="{00000000-0005-0000-0000-00003B2E0000}"/>
    <cellStyle name="Followed Hyperlink 3" xfId="681" hidden="1" xr:uid="{00000000-0005-0000-0000-00003C2E0000}"/>
    <cellStyle name="Followed Hyperlink 3" xfId="758" hidden="1" xr:uid="{00000000-0005-0000-0000-00003D2E0000}"/>
    <cellStyle name="Followed Hyperlink 3" xfId="685" hidden="1" xr:uid="{00000000-0005-0000-0000-00003E2E0000}"/>
    <cellStyle name="Followed Hyperlink 3" xfId="686" hidden="1" xr:uid="{00000000-0005-0000-0000-00003F2E0000}"/>
    <cellStyle name="Followed Hyperlink 3" xfId="689" hidden="1" xr:uid="{00000000-0005-0000-0000-0000402E0000}"/>
    <cellStyle name="Followed Hyperlink 3" xfId="2730" hidden="1" xr:uid="{00000000-0005-0000-0000-0000412E0000}"/>
    <cellStyle name="Followed Hyperlink 3" xfId="2733" hidden="1" xr:uid="{00000000-0005-0000-0000-0000422E0000}"/>
    <cellStyle name="Followed Hyperlink 3" xfId="2738" hidden="1" xr:uid="{00000000-0005-0000-0000-0000432E0000}"/>
    <cellStyle name="Followed Hyperlink 3" xfId="2748" hidden="1" xr:uid="{00000000-0005-0000-0000-0000442E0000}"/>
    <cellStyle name="Followed Hyperlink 3" xfId="2750" hidden="1" xr:uid="{00000000-0005-0000-0000-0000452E0000}"/>
    <cellStyle name="Followed Hyperlink 3" xfId="2746" hidden="1" xr:uid="{00000000-0005-0000-0000-0000462E0000}"/>
    <cellStyle name="Followed Hyperlink 3" xfId="2745" hidden="1" xr:uid="{00000000-0005-0000-0000-0000472E0000}"/>
    <cellStyle name="Followed Hyperlink 3" xfId="2751" hidden="1" xr:uid="{00000000-0005-0000-0000-0000482E0000}"/>
    <cellStyle name="Followed Hyperlink 3" xfId="2754" hidden="1" xr:uid="{00000000-0005-0000-0000-0000492E0000}"/>
    <cellStyle name="Followed Hyperlink 3" xfId="2757" hidden="1" xr:uid="{00000000-0005-0000-0000-00004A2E0000}"/>
    <cellStyle name="Followed Hyperlink 3" xfId="2762" hidden="1" xr:uid="{00000000-0005-0000-0000-00004B2E0000}"/>
    <cellStyle name="Followed Hyperlink 3" xfId="2773" hidden="1" xr:uid="{00000000-0005-0000-0000-00004C2E0000}"/>
    <cellStyle name="Followed Hyperlink 3" xfId="2775" hidden="1" xr:uid="{00000000-0005-0000-0000-00004D2E0000}"/>
    <cellStyle name="Followed Hyperlink 3" xfId="2771" hidden="1" xr:uid="{00000000-0005-0000-0000-00004E2E0000}"/>
    <cellStyle name="Followed Hyperlink 3" xfId="2770" hidden="1" xr:uid="{00000000-0005-0000-0000-00004F2E0000}"/>
    <cellStyle name="Followed Hyperlink 3" xfId="2776" hidden="1" xr:uid="{00000000-0005-0000-0000-0000502E0000}"/>
    <cellStyle name="Followed Hyperlink 3" xfId="2779" hidden="1" xr:uid="{00000000-0005-0000-0000-0000512E0000}"/>
    <cellStyle name="Followed Hyperlink 3" xfId="2782" hidden="1" xr:uid="{00000000-0005-0000-0000-0000522E0000}"/>
    <cellStyle name="Followed Hyperlink 3" xfId="2787" hidden="1" xr:uid="{00000000-0005-0000-0000-0000532E0000}"/>
    <cellStyle name="Followed Hyperlink 3" xfId="2797" hidden="1" xr:uid="{00000000-0005-0000-0000-0000542E0000}"/>
    <cellStyle name="Followed Hyperlink 3" xfId="2799" hidden="1" xr:uid="{00000000-0005-0000-0000-0000552E0000}"/>
    <cellStyle name="Followed Hyperlink 3" xfId="2795" hidden="1" xr:uid="{00000000-0005-0000-0000-0000562E0000}"/>
    <cellStyle name="Followed Hyperlink 3" xfId="2794" hidden="1" xr:uid="{00000000-0005-0000-0000-0000572E0000}"/>
    <cellStyle name="Followed Hyperlink 3" xfId="2800" hidden="1" xr:uid="{00000000-0005-0000-0000-0000582E0000}"/>
    <cellStyle name="Followed Hyperlink 3" xfId="2803" hidden="1" xr:uid="{00000000-0005-0000-0000-0000592E0000}"/>
    <cellStyle name="Followed Hyperlink 3" xfId="2806" hidden="1" xr:uid="{00000000-0005-0000-0000-00005A2E0000}"/>
    <cellStyle name="Followed Hyperlink 3" xfId="2811" hidden="1" xr:uid="{00000000-0005-0000-0000-00005B2E0000}"/>
    <cellStyle name="Followed Hyperlink 3" xfId="2850" hidden="1" xr:uid="{00000000-0005-0000-0000-00005C2E0000}"/>
    <cellStyle name="Followed Hyperlink 3" xfId="2852" hidden="1" xr:uid="{00000000-0005-0000-0000-00005D2E0000}"/>
    <cellStyle name="Followed Hyperlink 3" xfId="2848" hidden="1" xr:uid="{00000000-0005-0000-0000-00005E2E0000}"/>
    <cellStyle name="Followed Hyperlink 3" xfId="2847" hidden="1" xr:uid="{00000000-0005-0000-0000-00005F2E0000}"/>
    <cellStyle name="Followed Hyperlink 3" xfId="2853" hidden="1" xr:uid="{00000000-0005-0000-0000-0000602E0000}"/>
    <cellStyle name="Followed Hyperlink 3" xfId="2856" hidden="1" xr:uid="{00000000-0005-0000-0000-0000612E0000}"/>
    <cellStyle name="Followed Hyperlink 3" xfId="2859" hidden="1" xr:uid="{00000000-0005-0000-0000-0000622E0000}"/>
    <cellStyle name="Followed Hyperlink 3" xfId="2864" hidden="1" xr:uid="{00000000-0005-0000-0000-0000632E0000}"/>
    <cellStyle name="Followed Hyperlink 3" xfId="2874" hidden="1" xr:uid="{00000000-0005-0000-0000-0000642E0000}"/>
    <cellStyle name="Followed Hyperlink 3" xfId="2876" hidden="1" xr:uid="{00000000-0005-0000-0000-0000652E0000}"/>
    <cellStyle name="Followed Hyperlink 3" xfId="2872" hidden="1" xr:uid="{00000000-0005-0000-0000-0000662E0000}"/>
    <cellStyle name="Followed Hyperlink 3" xfId="2871" hidden="1" xr:uid="{00000000-0005-0000-0000-0000672E0000}"/>
    <cellStyle name="Followed Hyperlink 3" xfId="2877" hidden="1" xr:uid="{00000000-0005-0000-0000-0000682E0000}"/>
    <cellStyle name="Followed Hyperlink 3" xfId="2880" hidden="1" xr:uid="{00000000-0005-0000-0000-0000692E0000}"/>
    <cellStyle name="Followed Hyperlink 3" xfId="2883" hidden="1" xr:uid="{00000000-0005-0000-0000-00006A2E0000}"/>
    <cellStyle name="Followed Hyperlink 3" xfId="2888" hidden="1" xr:uid="{00000000-0005-0000-0000-00006B2E0000}"/>
    <cellStyle name="Followed Hyperlink 3" xfId="2900" hidden="1" xr:uid="{00000000-0005-0000-0000-00006C2E0000}"/>
    <cellStyle name="Followed Hyperlink 3" xfId="2902" hidden="1" xr:uid="{00000000-0005-0000-0000-00006D2E0000}"/>
    <cellStyle name="Followed Hyperlink 3" xfId="2898" hidden="1" xr:uid="{00000000-0005-0000-0000-00006E2E0000}"/>
    <cellStyle name="Followed Hyperlink 3" xfId="2897" hidden="1" xr:uid="{00000000-0005-0000-0000-00006F2E0000}"/>
    <cellStyle name="Followed Hyperlink 3" xfId="2903" hidden="1" xr:uid="{00000000-0005-0000-0000-0000702E0000}"/>
    <cellStyle name="Followed Hyperlink 3" xfId="2906" hidden="1" xr:uid="{00000000-0005-0000-0000-0000712E0000}"/>
    <cellStyle name="Followed Hyperlink 3" xfId="2909" hidden="1" xr:uid="{00000000-0005-0000-0000-0000722E0000}"/>
    <cellStyle name="Followed Hyperlink 3" xfId="2914" hidden="1" xr:uid="{00000000-0005-0000-0000-0000732E0000}"/>
    <cellStyle name="Followed Hyperlink 3" xfId="2924" hidden="1" xr:uid="{00000000-0005-0000-0000-0000742E0000}"/>
    <cellStyle name="Followed Hyperlink 3" xfId="2926" hidden="1" xr:uid="{00000000-0005-0000-0000-0000752E0000}"/>
    <cellStyle name="Followed Hyperlink 3" xfId="2922" hidden="1" xr:uid="{00000000-0005-0000-0000-0000762E0000}"/>
    <cellStyle name="Followed Hyperlink 3" xfId="2921" hidden="1" xr:uid="{00000000-0005-0000-0000-0000772E0000}"/>
    <cellStyle name="Followed Hyperlink 3" xfId="2927" hidden="1" xr:uid="{00000000-0005-0000-0000-0000782E0000}"/>
    <cellStyle name="Followed Hyperlink 3" xfId="2930" hidden="1" xr:uid="{00000000-0005-0000-0000-0000792E0000}"/>
    <cellStyle name="Followed Hyperlink 3" xfId="2933" hidden="1" xr:uid="{00000000-0005-0000-0000-00007A2E0000}"/>
    <cellStyle name="Followed Hyperlink 3" xfId="2938" hidden="1" xr:uid="{00000000-0005-0000-0000-00007B2E0000}"/>
    <cellStyle name="Followed Hyperlink 3" xfId="2977" hidden="1" xr:uid="{00000000-0005-0000-0000-00007C2E0000}"/>
    <cellStyle name="Followed Hyperlink 3" xfId="2979" hidden="1" xr:uid="{00000000-0005-0000-0000-00007D2E0000}"/>
    <cellStyle name="Followed Hyperlink 3" xfId="2975" hidden="1" xr:uid="{00000000-0005-0000-0000-00007E2E0000}"/>
    <cellStyle name="Followed Hyperlink 3" xfId="2974" hidden="1" xr:uid="{00000000-0005-0000-0000-00007F2E0000}"/>
    <cellStyle name="Followed Hyperlink 3" xfId="2980" hidden="1" xr:uid="{00000000-0005-0000-0000-0000802E0000}"/>
    <cellStyle name="Followed Hyperlink 3" xfId="2983" hidden="1" xr:uid="{00000000-0005-0000-0000-0000812E0000}"/>
    <cellStyle name="Followed Hyperlink 3" xfId="2986" hidden="1" xr:uid="{00000000-0005-0000-0000-0000822E0000}"/>
    <cellStyle name="Followed Hyperlink 3" xfId="2991" hidden="1" xr:uid="{00000000-0005-0000-0000-0000832E0000}"/>
    <cellStyle name="Followed Hyperlink 3" xfId="3001" hidden="1" xr:uid="{00000000-0005-0000-0000-0000842E0000}"/>
    <cellStyle name="Followed Hyperlink 3" xfId="3003" hidden="1" xr:uid="{00000000-0005-0000-0000-0000852E0000}"/>
    <cellStyle name="Followed Hyperlink 3" xfId="2999" hidden="1" xr:uid="{00000000-0005-0000-0000-0000862E0000}"/>
    <cellStyle name="Followed Hyperlink 3" xfId="2998" hidden="1" xr:uid="{00000000-0005-0000-0000-0000872E0000}"/>
    <cellStyle name="Followed Hyperlink 3" xfId="3004" hidden="1" xr:uid="{00000000-0005-0000-0000-0000882E0000}"/>
    <cellStyle name="Followed Hyperlink 3" xfId="3007" hidden="1" xr:uid="{00000000-0005-0000-0000-0000892E0000}"/>
    <cellStyle name="Followed Hyperlink 3" xfId="3010" hidden="1" xr:uid="{00000000-0005-0000-0000-00008A2E0000}"/>
    <cellStyle name="Followed Hyperlink 3" xfId="3015" hidden="1" xr:uid="{00000000-0005-0000-0000-00008B2E0000}"/>
    <cellStyle name="Followed Hyperlink 3" xfId="3027" hidden="1" xr:uid="{00000000-0005-0000-0000-00008C2E0000}"/>
    <cellStyle name="Followed Hyperlink 3" xfId="3029" hidden="1" xr:uid="{00000000-0005-0000-0000-00008D2E0000}"/>
    <cellStyle name="Followed Hyperlink 3" xfId="3025" hidden="1" xr:uid="{00000000-0005-0000-0000-00008E2E0000}"/>
    <cellStyle name="Followed Hyperlink 3" xfId="3024" hidden="1" xr:uid="{00000000-0005-0000-0000-00008F2E0000}"/>
    <cellStyle name="Followed Hyperlink 3" xfId="3030" hidden="1" xr:uid="{00000000-0005-0000-0000-0000902E0000}"/>
    <cellStyle name="Followed Hyperlink 3" xfId="3033" hidden="1" xr:uid="{00000000-0005-0000-0000-0000912E0000}"/>
    <cellStyle name="Followed Hyperlink 3" xfId="3036" hidden="1" xr:uid="{00000000-0005-0000-0000-0000922E0000}"/>
    <cellStyle name="Followed Hyperlink 3" xfId="3041" hidden="1" xr:uid="{00000000-0005-0000-0000-0000932E0000}"/>
    <cellStyle name="Followed Hyperlink 3" xfId="3051" hidden="1" xr:uid="{00000000-0005-0000-0000-0000942E0000}"/>
    <cellStyle name="Followed Hyperlink 3" xfId="3053" hidden="1" xr:uid="{00000000-0005-0000-0000-0000952E0000}"/>
    <cellStyle name="Followed Hyperlink 3" xfId="3049" hidden="1" xr:uid="{00000000-0005-0000-0000-0000962E0000}"/>
    <cellStyle name="Followed Hyperlink 3" xfId="3048" hidden="1" xr:uid="{00000000-0005-0000-0000-0000972E0000}"/>
    <cellStyle name="Followed Hyperlink 3" xfId="3054" hidden="1" xr:uid="{00000000-0005-0000-0000-0000982E0000}"/>
    <cellStyle name="Followed Hyperlink 3" xfId="3057" hidden="1" xr:uid="{00000000-0005-0000-0000-0000992E0000}"/>
    <cellStyle name="Followed Hyperlink 3" xfId="3060" hidden="1" xr:uid="{00000000-0005-0000-0000-00009A2E0000}"/>
    <cellStyle name="Followed Hyperlink 3" xfId="3065" hidden="1" xr:uid="{00000000-0005-0000-0000-00009B2E0000}"/>
    <cellStyle name="Followed Hyperlink 3" xfId="2941" hidden="1" xr:uid="{00000000-0005-0000-0000-00009C2E0000}"/>
    <cellStyle name="Followed Hyperlink 3" xfId="3018" hidden="1" xr:uid="{00000000-0005-0000-0000-00009D2E0000}"/>
    <cellStyle name="Followed Hyperlink 3" xfId="2945" hidden="1" xr:uid="{00000000-0005-0000-0000-00009E2E0000}"/>
    <cellStyle name="Followed Hyperlink 3" xfId="2946" hidden="1" xr:uid="{00000000-0005-0000-0000-00009F2E0000}"/>
    <cellStyle name="Followed Hyperlink 3" xfId="2949" hidden="1" xr:uid="{00000000-0005-0000-0000-0000A02E0000}"/>
    <cellStyle name="Followed Hyperlink 3" xfId="3070" hidden="1" xr:uid="{00000000-0005-0000-0000-0000A12E0000}"/>
    <cellStyle name="Followed Hyperlink 3" xfId="3073" hidden="1" xr:uid="{00000000-0005-0000-0000-0000A22E0000}"/>
    <cellStyle name="Followed Hyperlink 3" xfId="3078" hidden="1" xr:uid="{00000000-0005-0000-0000-0000A32E0000}"/>
    <cellStyle name="Followed Hyperlink 3" xfId="3088" hidden="1" xr:uid="{00000000-0005-0000-0000-0000A42E0000}"/>
    <cellStyle name="Followed Hyperlink 3" xfId="3090" hidden="1" xr:uid="{00000000-0005-0000-0000-0000A52E0000}"/>
    <cellStyle name="Followed Hyperlink 3" xfId="3086" hidden="1" xr:uid="{00000000-0005-0000-0000-0000A62E0000}"/>
    <cellStyle name="Followed Hyperlink 3" xfId="3085" hidden="1" xr:uid="{00000000-0005-0000-0000-0000A72E0000}"/>
    <cellStyle name="Followed Hyperlink 3" xfId="3091" hidden="1" xr:uid="{00000000-0005-0000-0000-0000A82E0000}"/>
    <cellStyle name="Followed Hyperlink 3" xfId="3094" hidden="1" xr:uid="{00000000-0005-0000-0000-0000A92E0000}"/>
    <cellStyle name="Followed Hyperlink 3" xfId="3097" hidden="1" xr:uid="{00000000-0005-0000-0000-0000AA2E0000}"/>
    <cellStyle name="Followed Hyperlink 3" xfId="3102" hidden="1" xr:uid="{00000000-0005-0000-0000-0000AB2E0000}"/>
    <cellStyle name="Followed Hyperlink 3" xfId="3113" hidden="1" xr:uid="{00000000-0005-0000-0000-0000AC2E0000}"/>
    <cellStyle name="Followed Hyperlink 3" xfId="3115" hidden="1" xr:uid="{00000000-0005-0000-0000-0000AD2E0000}"/>
    <cellStyle name="Followed Hyperlink 3" xfId="3111" hidden="1" xr:uid="{00000000-0005-0000-0000-0000AE2E0000}"/>
    <cellStyle name="Followed Hyperlink 3" xfId="3110" hidden="1" xr:uid="{00000000-0005-0000-0000-0000AF2E0000}"/>
    <cellStyle name="Followed Hyperlink 3" xfId="3116" hidden="1" xr:uid="{00000000-0005-0000-0000-0000B02E0000}"/>
    <cellStyle name="Followed Hyperlink 3" xfId="3119" hidden="1" xr:uid="{00000000-0005-0000-0000-0000B12E0000}"/>
    <cellStyle name="Followed Hyperlink 3" xfId="3122" hidden="1" xr:uid="{00000000-0005-0000-0000-0000B22E0000}"/>
    <cellStyle name="Followed Hyperlink 3" xfId="3127" hidden="1" xr:uid="{00000000-0005-0000-0000-0000B32E0000}"/>
    <cellStyle name="Followed Hyperlink 3" xfId="3137" hidden="1" xr:uid="{00000000-0005-0000-0000-0000B42E0000}"/>
    <cellStyle name="Followed Hyperlink 3" xfId="3139" hidden="1" xr:uid="{00000000-0005-0000-0000-0000B52E0000}"/>
    <cellStyle name="Followed Hyperlink 3" xfId="3135" hidden="1" xr:uid="{00000000-0005-0000-0000-0000B62E0000}"/>
    <cellStyle name="Followed Hyperlink 3" xfId="3134" hidden="1" xr:uid="{00000000-0005-0000-0000-0000B72E0000}"/>
    <cellStyle name="Followed Hyperlink 3" xfId="3140" hidden="1" xr:uid="{00000000-0005-0000-0000-0000B82E0000}"/>
    <cellStyle name="Followed Hyperlink 3" xfId="3143" hidden="1" xr:uid="{00000000-0005-0000-0000-0000B92E0000}"/>
    <cellStyle name="Followed Hyperlink 3" xfId="3146" hidden="1" xr:uid="{00000000-0005-0000-0000-0000BA2E0000}"/>
    <cellStyle name="Followed Hyperlink 3" xfId="3151" hidden="1" xr:uid="{00000000-0005-0000-0000-0000BB2E0000}"/>
    <cellStyle name="Followed Hyperlink 3" xfId="2962" hidden="1" xr:uid="{00000000-0005-0000-0000-0000BC2E0000}"/>
    <cellStyle name="Followed Hyperlink 3" xfId="3105" hidden="1" xr:uid="{00000000-0005-0000-0000-0000BD2E0000}"/>
    <cellStyle name="Followed Hyperlink 3" xfId="2959" hidden="1" xr:uid="{00000000-0005-0000-0000-0000BE2E0000}"/>
    <cellStyle name="Followed Hyperlink 3" xfId="2951" hidden="1" xr:uid="{00000000-0005-0000-0000-0000BF2E0000}"/>
    <cellStyle name="Followed Hyperlink 3" xfId="2956" hidden="1" xr:uid="{00000000-0005-0000-0000-0000C02E0000}"/>
    <cellStyle name="Followed Hyperlink 3" xfId="3156" hidden="1" xr:uid="{00000000-0005-0000-0000-0000C12E0000}"/>
    <cellStyle name="Followed Hyperlink 3" xfId="3159" hidden="1" xr:uid="{00000000-0005-0000-0000-0000C22E0000}"/>
    <cellStyle name="Followed Hyperlink 3" xfId="3164" hidden="1" xr:uid="{00000000-0005-0000-0000-0000C32E0000}"/>
    <cellStyle name="Followed Hyperlink 3" xfId="3174" hidden="1" xr:uid="{00000000-0005-0000-0000-0000C42E0000}"/>
    <cellStyle name="Followed Hyperlink 3" xfId="3176" hidden="1" xr:uid="{00000000-0005-0000-0000-0000C52E0000}"/>
    <cellStyle name="Followed Hyperlink 3" xfId="3172" hidden="1" xr:uid="{00000000-0005-0000-0000-0000C62E0000}"/>
    <cellStyle name="Followed Hyperlink 3" xfId="3171" hidden="1" xr:uid="{00000000-0005-0000-0000-0000C72E0000}"/>
    <cellStyle name="Followed Hyperlink 3" xfId="3177" hidden="1" xr:uid="{00000000-0005-0000-0000-0000C82E0000}"/>
    <cellStyle name="Followed Hyperlink 3" xfId="3180" hidden="1" xr:uid="{00000000-0005-0000-0000-0000C92E0000}"/>
    <cellStyle name="Followed Hyperlink 3" xfId="3183" hidden="1" xr:uid="{00000000-0005-0000-0000-0000CA2E0000}"/>
    <cellStyle name="Followed Hyperlink 3" xfId="3188" hidden="1" xr:uid="{00000000-0005-0000-0000-0000CB2E0000}"/>
    <cellStyle name="Followed Hyperlink 3" xfId="3199" hidden="1" xr:uid="{00000000-0005-0000-0000-0000CC2E0000}"/>
    <cellStyle name="Followed Hyperlink 3" xfId="3201" hidden="1" xr:uid="{00000000-0005-0000-0000-0000CD2E0000}"/>
    <cellStyle name="Followed Hyperlink 3" xfId="3197" hidden="1" xr:uid="{00000000-0005-0000-0000-0000CE2E0000}"/>
    <cellStyle name="Followed Hyperlink 3" xfId="3196" hidden="1" xr:uid="{00000000-0005-0000-0000-0000CF2E0000}"/>
    <cellStyle name="Followed Hyperlink 3" xfId="3202" hidden="1" xr:uid="{00000000-0005-0000-0000-0000D02E0000}"/>
    <cellStyle name="Followed Hyperlink 3" xfId="3205" hidden="1" xr:uid="{00000000-0005-0000-0000-0000D12E0000}"/>
    <cellStyle name="Followed Hyperlink 3" xfId="3208" hidden="1" xr:uid="{00000000-0005-0000-0000-0000D22E0000}"/>
    <cellStyle name="Followed Hyperlink 3" xfId="3213" hidden="1" xr:uid="{00000000-0005-0000-0000-0000D32E0000}"/>
    <cellStyle name="Followed Hyperlink 3" xfId="3223" hidden="1" xr:uid="{00000000-0005-0000-0000-0000D42E0000}"/>
    <cellStyle name="Followed Hyperlink 3" xfId="3225" hidden="1" xr:uid="{00000000-0005-0000-0000-0000D52E0000}"/>
    <cellStyle name="Followed Hyperlink 3" xfId="3221" hidden="1" xr:uid="{00000000-0005-0000-0000-0000D62E0000}"/>
    <cellStyle name="Followed Hyperlink 3" xfId="3220" hidden="1" xr:uid="{00000000-0005-0000-0000-0000D72E0000}"/>
    <cellStyle name="Followed Hyperlink 3" xfId="3226" hidden="1" xr:uid="{00000000-0005-0000-0000-0000D82E0000}"/>
    <cellStyle name="Followed Hyperlink 3" xfId="3229" hidden="1" xr:uid="{00000000-0005-0000-0000-0000D92E0000}"/>
    <cellStyle name="Followed Hyperlink 3" xfId="3232" hidden="1" xr:uid="{00000000-0005-0000-0000-0000DA2E0000}"/>
    <cellStyle name="Followed Hyperlink 3" xfId="3237" hidden="1" xr:uid="{00000000-0005-0000-0000-0000DB2E0000}"/>
    <cellStyle name="Followed Hyperlink 3" xfId="2967" hidden="1" xr:uid="{00000000-0005-0000-0000-0000DC2E0000}"/>
    <cellStyle name="Followed Hyperlink 3" xfId="3191" hidden="1" xr:uid="{00000000-0005-0000-0000-0000DD2E0000}"/>
    <cellStyle name="Followed Hyperlink 3" xfId="2963" hidden="1" xr:uid="{00000000-0005-0000-0000-0000DE2E0000}"/>
    <cellStyle name="Followed Hyperlink 3" xfId="2968" hidden="1" xr:uid="{00000000-0005-0000-0000-0000DF2E0000}"/>
    <cellStyle name="Followed Hyperlink 3" xfId="2955" hidden="1" xr:uid="{00000000-0005-0000-0000-0000E02E0000}"/>
    <cellStyle name="Followed Hyperlink 3" xfId="3242" hidden="1" xr:uid="{00000000-0005-0000-0000-0000E12E0000}"/>
    <cellStyle name="Followed Hyperlink 3" xfId="3245" hidden="1" xr:uid="{00000000-0005-0000-0000-0000E22E0000}"/>
    <cellStyle name="Followed Hyperlink 3" xfId="3250" hidden="1" xr:uid="{00000000-0005-0000-0000-0000E32E0000}"/>
    <cellStyle name="Followed Hyperlink 3" xfId="3260" hidden="1" xr:uid="{00000000-0005-0000-0000-0000E42E0000}"/>
    <cellStyle name="Followed Hyperlink 3" xfId="3262" hidden="1" xr:uid="{00000000-0005-0000-0000-0000E52E0000}"/>
    <cellStyle name="Followed Hyperlink 3" xfId="3258" hidden="1" xr:uid="{00000000-0005-0000-0000-0000E62E0000}"/>
    <cellStyle name="Followed Hyperlink 3" xfId="3257" hidden="1" xr:uid="{00000000-0005-0000-0000-0000E72E0000}"/>
    <cellStyle name="Followed Hyperlink 3" xfId="3263" hidden="1" xr:uid="{00000000-0005-0000-0000-0000E82E0000}"/>
    <cellStyle name="Followed Hyperlink 3" xfId="3266" hidden="1" xr:uid="{00000000-0005-0000-0000-0000E92E0000}"/>
    <cellStyle name="Followed Hyperlink 3" xfId="3269" hidden="1" xr:uid="{00000000-0005-0000-0000-0000EA2E0000}"/>
    <cellStyle name="Followed Hyperlink 3" xfId="3274" hidden="1" xr:uid="{00000000-0005-0000-0000-0000EB2E0000}"/>
    <cellStyle name="Followed Hyperlink 3" xfId="3284" hidden="1" xr:uid="{00000000-0005-0000-0000-0000EC2E0000}"/>
    <cellStyle name="Followed Hyperlink 3" xfId="3286" hidden="1" xr:uid="{00000000-0005-0000-0000-0000ED2E0000}"/>
    <cellStyle name="Followed Hyperlink 3" xfId="3282" hidden="1" xr:uid="{00000000-0005-0000-0000-0000EE2E0000}"/>
    <cellStyle name="Followed Hyperlink 3" xfId="3281" hidden="1" xr:uid="{00000000-0005-0000-0000-0000EF2E0000}"/>
    <cellStyle name="Followed Hyperlink 3" xfId="3287" hidden="1" xr:uid="{00000000-0005-0000-0000-0000F02E0000}"/>
    <cellStyle name="Followed Hyperlink 3" xfId="3290" hidden="1" xr:uid="{00000000-0005-0000-0000-0000F12E0000}"/>
    <cellStyle name="Followed Hyperlink 3" xfId="3293" hidden="1" xr:uid="{00000000-0005-0000-0000-0000F22E0000}"/>
    <cellStyle name="Followed Hyperlink 3" xfId="3298" hidden="1" xr:uid="{00000000-0005-0000-0000-0000F32E0000}"/>
    <cellStyle name="Followed Hyperlink 3" xfId="3308" hidden="1" xr:uid="{00000000-0005-0000-0000-0000F42E0000}"/>
    <cellStyle name="Followed Hyperlink 3" xfId="3310" hidden="1" xr:uid="{00000000-0005-0000-0000-0000F52E0000}"/>
    <cellStyle name="Followed Hyperlink 3" xfId="3306" hidden="1" xr:uid="{00000000-0005-0000-0000-0000F62E0000}"/>
    <cellStyle name="Followed Hyperlink 3" xfId="3305" hidden="1" xr:uid="{00000000-0005-0000-0000-0000F72E0000}"/>
    <cellStyle name="Followed Hyperlink 3" xfId="3311" hidden="1" xr:uid="{00000000-0005-0000-0000-0000F82E0000}"/>
    <cellStyle name="Followed Hyperlink 3" xfId="3314" hidden="1" xr:uid="{00000000-0005-0000-0000-0000F92E0000}"/>
    <cellStyle name="Followed Hyperlink 3" xfId="3317" hidden="1" xr:uid="{00000000-0005-0000-0000-0000FA2E0000}"/>
    <cellStyle name="Followed Hyperlink 3" xfId="3322" hidden="1" xr:uid="{00000000-0005-0000-0000-0000FB2E0000}"/>
    <cellStyle name="Followed Hyperlink 3" xfId="2814" hidden="1" xr:uid="{00000000-0005-0000-0000-0000FC2E0000}"/>
    <cellStyle name="Followed Hyperlink 3" xfId="2891" hidden="1" xr:uid="{00000000-0005-0000-0000-0000FD2E0000}"/>
    <cellStyle name="Followed Hyperlink 3" xfId="2818" hidden="1" xr:uid="{00000000-0005-0000-0000-0000FE2E0000}"/>
    <cellStyle name="Followed Hyperlink 3" xfId="2819" hidden="1" xr:uid="{00000000-0005-0000-0000-0000FF2E0000}"/>
    <cellStyle name="Followed Hyperlink 3" xfId="2822" hidden="1" xr:uid="{00000000-0005-0000-0000-0000002F0000}"/>
    <cellStyle name="Followed Hyperlink 3" xfId="3327" hidden="1" xr:uid="{00000000-0005-0000-0000-0000012F0000}"/>
    <cellStyle name="Followed Hyperlink 3" xfId="3330" hidden="1" xr:uid="{00000000-0005-0000-0000-0000022F0000}"/>
    <cellStyle name="Followed Hyperlink 3" xfId="3335" hidden="1" xr:uid="{00000000-0005-0000-0000-0000032F0000}"/>
    <cellStyle name="Followed Hyperlink 3" xfId="3345" hidden="1" xr:uid="{00000000-0005-0000-0000-0000042F0000}"/>
    <cellStyle name="Followed Hyperlink 3" xfId="3347" hidden="1" xr:uid="{00000000-0005-0000-0000-0000052F0000}"/>
    <cellStyle name="Followed Hyperlink 3" xfId="3343" hidden="1" xr:uid="{00000000-0005-0000-0000-0000062F0000}"/>
    <cellStyle name="Followed Hyperlink 3" xfId="3342" hidden="1" xr:uid="{00000000-0005-0000-0000-0000072F0000}"/>
    <cellStyle name="Followed Hyperlink 3" xfId="3348" hidden="1" xr:uid="{00000000-0005-0000-0000-0000082F0000}"/>
    <cellStyle name="Followed Hyperlink 3" xfId="3351" hidden="1" xr:uid="{00000000-0005-0000-0000-0000092F0000}"/>
    <cellStyle name="Followed Hyperlink 3" xfId="3354" hidden="1" xr:uid="{00000000-0005-0000-0000-00000A2F0000}"/>
    <cellStyle name="Followed Hyperlink 3" xfId="3359" hidden="1" xr:uid="{00000000-0005-0000-0000-00000B2F0000}"/>
    <cellStyle name="Followed Hyperlink 3" xfId="3370" hidden="1" xr:uid="{00000000-0005-0000-0000-00000C2F0000}"/>
    <cellStyle name="Followed Hyperlink 3" xfId="3372" hidden="1" xr:uid="{00000000-0005-0000-0000-00000D2F0000}"/>
    <cellStyle name="Followed Hyperlink 3" xfId="3368" hidden="1" xr:uid="{00000000-0005-0000-0000-00000E2F0000}"/>
    <cellStyle name="Followed Hyperlink 3" xfId="3367" hidden="1" xr:uid="{00000000-0005-0000-0000-00000F2F0000}"/>
    <cellStyle name="Followed Hyperlink 3" xfId="3373" hidden="1" xr:uid="{00000000-0005-0000-0000-0000102F0000}"/>
    <cellStyle name="Followed Hyperlink 3" xfId="3376" hidden="1" xr:uid="{00000000-0005-0000-0000-0000112F0000}"/>
    <cellStyle name="Followed Hyperlink 3" xfId="3379" hidden="1" xr:uid="{00000000-0005-0000-0000-0000122F0000}"/>
    <cellStyle name="Followed Hyperlink 3" xfId="3384" hidden="1" xr:uid="{00000000-0005-0000-0000-0000132F0000}"/>
    <cellStyle name="Followed Hyperlink 3" xfId="3394" hidden="1" xr:uid="{00000000-0005-0000-0000-0000142F0000}"/>
    <cellStyle name="Followed Hyperlink 3" xfId="3396" hidden="1" xr:uid="{00000000-0005-0000-0000-0000152F0000}"/>
    <cellStyle name="Followed Hyperlink 3" xfId="3392" hidden="1" xr:uid="{00000000-0005-0000-0000-0000162F0000}"/>
    <cellStyle name="Followed Hyperlink 3" xfId="3391" hidden="1" xr:uid="{00000000-0005-0000-0000-0000172F0000}"/>
    <cellStyle name="Followed Hyperlink 3" xfId="3397" hidden="1" xr:uid="{00000000-0005-0000-0000-0000182F0000}"/>
    <cellStyle name="Followed Hyperlink 3" xfId="3400" hidden="1" xr:uid="{00000000-0005-0000-0000-0000192F0000}"/>
    <cellStyle name="Followed Hyperlink 3" xfId="3403" hidden="1" xr:uid="{00000000-0005-0000-0000-00001A2F0000}"/>
    <cellStyle name="Followed Hyperlink 3" xfId="3408" hidden="1" xr:uid="{00000000-0005-0000-0000-00001B2F0000}"/>
    <cellStyle name="Followed Hyperlink 3" xfId="3447" hidden="1" xr:uid="{00000000-0005-0000-0000-00001C2F0000}"/>
    <cellStyle name="Followed Hyperlink 3" xfId="3449" hidden="1" xr:uid="{00000000-0005-0000-0000-00001D2F0000}"/>
    <cellStyle name="Followed Hyperlink 3" xfId="3445" hidden="1" xr:uid="{00000000-0005-0000-0000-00001E2F0000}"/>
    <cellStyle name="Followed Hyperlink 3" xfId="3444" hidden="1" xr:uid="{00000000-0005-0000-0000-00001F2F0000}"/>
    <cellStyle name="Followed Hyperlink 3" xfId="3450" hidden="1" xr:uid="{00000000-0005-0000-0000-0000202F0000}"/>
    <cellStyle name="Followed Hyperlink 3" xfId="3453" hidden="1" xr:uid="{00000000-0005-0000-0000-0000212F0000}"/>
    <cellStyle name="Followed Hyperlink 3" xfId="3456" hidden="1" xr:uid="{00000000-0005-0000-0000-0000222F0000}"/>
    <cellStyle name="Followed Hyperlink 3" xfId="3461" hidden="1" xr:uid="{00000000-0005-0000-0000-0000232F0000}"/>
    <cellStyle name="Followed Hyperlink 3" xfId="3471" hidden="1" xr:uid="{00000000-0005-0000-0000-0000242F0000}"/>
    <cellStyle name="Followed Hyperlink 3" xfId="3473" hidden="1" xr:uid="{00000000-0005-0000-0000-0000252F0000}"/>
    <cellStyle name="Followed Hyperlink 3" xfId="3469" hidden="1" xr:uid="{00000000-0005-0000-0000-0000262F0000}"/>
    <cellStyle name="Followed Hyperlink 3" xfId="3468" hidden="1" xr:uid="{00000000-0005-0000-0000-0000272F0000}"/>
    <cellStyle name="Followed Hyperlink 3" xfId="3474" hidden="1" xr:uid="{00000000-0005-0000-0000-0000282F0000}"/>
    <cellStyle name="Followed Hyperlink 3" xfId="3477" hidden="1" xr:uid="{00000000-0005-0000-0000-0000292F0000}"/>
    <cellStyle name="Followed Hyperlink 3" xfId="3480" hidden="1" xr:uid="{00000000-0005-0000-0000-00002A2F0000}"/>
    <cellStyle name="Followed Hyperlink 3" xfId="3485" hidden="1" xr:uid="{00000000-0005-0000-0000-00002B2F0000}"/>
    <cellStyle name="Followed Hyperlink 3" xfId="3497" hidden="1" xr:uid="{00000000-0005-0000-0000-00002C2F0000}"/>
    <cellStyle name="Followed Hyperlink 3" xfId="3499" hidden="1" xr:uid="{00000000-0005-0000-0000-00002D2F0000}"/>
    <cellStyle name="Followed Hyperlink 3" xfId="3495" hidden="1" xr:uid="{00000000-0005-0000-0000-00002E2F0000}"/>
    <cellStyle name="Followed Hyperlink 3" xfId="3494" hidden="1" xr:uid="{00000000-0005-0000-0000-00002F2F0000}"/>
    <cellStyle name="Followed Hyperlink 3" xfId="3500" hidden="1" xr:uid="{00000000-0005-0000-0000-0000302F0000}"/>
    <cellStyle name="Followed Hyperlink 3" xfId="3503" hidden="1" xr:uid="{00000000-0005-0000-0000-0000312F0000}"/>
    <cellStyle name="Followed Hyperlink 3" xfId="3506" hidden="1" xr:uid="{00000000-0005-0000-0000-0000322F0000}"/>
    <cellStyle name="Followed Hyperlink 3" xfId="3511" hidden="1" xr:uid="{00000000-0005-0000-0000-0000332F0000}"/>
    <cellStyle name="Followed Hyperlink 3" xfId="3521" hidden="1" xr:uid="{00000000-0005-0000-0000-0000342F0000}"/>
    <cellStyle name="Followed Hyperlink 3" xfId="3523" hidden="1" xr:uid="{00000000-0005-0000-0000-0000352F0000}"/>
    <cellStyle name="Followed Hyperlink 3" xfId="3519" hidden="1" xr:uid="{00000000-0005-0000-0000-0000362F0000}"/>
    <cellStyle name="Followed Hyperlink 3" xfId="3518" hidden="1" xr:uid="{00000000-0005-0000-0000-0000372F0000}"/>
    <cellStyle name="Followed Hyperlink 3" xfId="3524" hidden="1" xr:uid="{00000000-0005-0000-0000-0000382F0000}"/>
    <cellStyle name="Followed Hyperlink 3" xfId="3527" hidden="1" xr:uid="{00000000-0005-0000-0000-0000392F0000}"/>
    <cellStyle name="Followed Hyperlink 3" xfId="3530" hidden="1" xr:uid="{00000000-0005-0000-0000-00003A2F0000}"/>
    <cellStyle name="Followed Hyperlink 3" xfId="3535" hidden="1" xr:uid="{00000000-0005-0000-0000-00003B2F0000}"/>
    <cellStyle name="Followed Hyperlink 3" xfId="3411" hidden="1" xr:uid="{00000000-0005-0000-0000-00003C2F0000}"/>
    <cellStyle name="Followed Hyperlink 3" xfId="3488" hidden="1" xr:uid="{00000000-0005-0000-0000-00003D2F0000}"/>
    <cellStyle name="Followed Hyperlink 3" xfId="3415" hidden="1" xr:uid="{00000000-0005-0000-0000-00003E2F0000}"/>
    <cellStyle name="Followed Hyperlink 3" xfId="3416" hidden="1" xr:uid="{00000000-0005-0000-0000-00003F2F0000}"/>
    <cellStyle name="Followed Hyperlink 3" xfId="3419" hidden="1" xr:uid="{00000000-0005-0000-0000-0000402F0000}"/>
    <cellStyle name="Followed Hyperlink 3" xfId="3540" hidden="1" xr:uid="{00000000-0005-0000-0000-0000412F0000}"/>
    <cellStyle name="Followed Hyperlink 3" xfId="3543" hidden="1" xr:uid="{00000000-0005-0000-0000-0000422F0000}"/>
    <cellStyle name="Followed Hyperlink 3" xfId="3548" hidden="1" xr:uid="{00000000-0005-0000-0000-0000432F0000}"/>
    <cellStyle name="Followed Hyperlink 3" xfId="3558" hidden="1" xr:uid="{00000000-0005-0000-0000-0000442F0000}"/>
    <cellStyle name="Followed Hyperlink 3" xfId="3560" hidden="1" xr:uid="{00000000-0005-0000-0000-0000452F0000}"/>
    <cellStyle name="Followed Hyperlink 3" xfId="3556" hidden="1" xr:uid="{00000000-0005-0000-0000-0000462F0000}"/>
    <cellStyle name="Followed Hyperlink 3" xfId="3555" hidden="1" xr:uid="{00000000-0005-0000-0000-0000472F0000}"/>
    <cellStyle name="Followed Hyperlink 3" xfId="3561" hidden="1" xr:uid="{00000000-0005-0000-0000-0000482F0000}"/>
    <cellStyle name="Followed Hyperlink 3" xfId="3564" hidden="1" xr:uid="{00000000-0005-0000-0000-0000492F0000}"/>
    <cellStyle name="Followed Hyperlink 3" xfId="3567" hidden="1" xr:uid="{00000000-0005-0000-0000-00004A2F0000}"/>
    <cellStyle name="Followed Hyperlink 3" xfId="3572" hidden="1" xr:uid="{00000000-0005-0000-0000-00004B2F0000}"/>
    <cellStyle name="Followed Hyperlink 3" xfId="3583" hidden="1" xr:uid="{00000000-0005-0000-0000-00004C2F0000}"/>
    <cellStyle name="Followed Hyperlink 3" xfId="3585" hidden="1" xr:uid="{00000000-0005-0000-0000-00004D2F0000}"/>
    <cellStyle name="Followed Hyperlink 3" xfId="3581" hidden="1" xr:uid="{00000000-0005-0000-0000-00004E2F0000}"/>
    <cellStyle name="Followed Hyperlink 3" xfId="3580" hidden="1" xr:uid="{00000000-0005-0000-0000-00004F2F0000}"/>
    <cellStyle name="Followed Hyperlink 3" xfId="3586" hidden="1" xr:uid="{00000000-0005-0000-0000-0000502F0000}"/>
    <cellStyle name="Followed Hyperlink 3" xfId="3589" hidden="1" xr:uid="{00000000-0005-0000-0000-0000512F0000}"/>
    <cellStyle name="Followed Hyperlink 3" xfId="3592" hidden="1" xr:uid="{00000000-0005-0000-0000-0000522F0000}"/>
    <cellStyle name="Followed Hyperlink 3" xfId="3597" hidden="1" xr:uid="{00000000-0005-0000-0000-0000532F0000}"/>
    <cellStyle name="Followed Hyperlink 3" xfId="3607" hidden="1" xr:uid="{00000000-0005-0000-0000-0000542F0000}"/>
    <cellStyle name="Followed Hyperlink 3" xfId="3609" hidden="1" xr:uid="{00000000-0005-0000-0000-0000552F0000}"/>
    <cellStyle name="Followed Hyperlink 3" xfId="3605" hidden="1" xr:uid="{00000000-0005-0000-0000-0000562F0000}"/>
    <cellStyle name="Followed Hyperlink 3" xfId="3604" hidden="1" xr:uid="{00000000-0005-0000-0000-0000572F0000}"/>
    <cellStyle name="Followed Hyperlink 3" xfId="3610" hidden="1" xr:uid="{00000000-0005-0000-0000-0000582F0000}"/>
    <cellStyle name="Followed Hyperlink 3" xfId="3613" hidden="1" xr:uid="{00000000-0005-0000-0000-0000592F0000}"/>
    <cellStyle name="Followed Hyperlink 3" xfId="3616" hidden="1" xr:uid="{00000000-0005-0000-0000-00005A2F0000}"/>
    <cellStyle name="Followed Hyperlink 3" xfId="3621" hidden="1" xr:uid="{00000000-0005-0000-0000-00005B2F0000}"/>
    <cellStyle name="Followed Hyperlink 3" xfId="3432" hidden="1" xr:uid="{00000000-0005-0000-0000-00005C2F0000}"/>
    <cellStyle name="Followed Hyperlink 3" xfId="3575" hidden="1" xr:uid="{00000000-0005-0000-0000-00005D2F0000}"/>
    <cellStyle name="Followed Hyperlink 3" xfId="3429" hidden="1" xr:uid="{00000000-0005-0000-0000-00005E2F0000}"/>
    <cellStyle name="Followed Hyperlink 3" xfId="3421" hidden="1" xr:uid="{00000000-0005-0000-0000-00005F2F0000}"/>
    <cellStyle name="Followed Hyperlink 3" xfId="3426" hidden="1" xr:uid="{00000000-0005-0000-0000-0000602F0000}"/>
    <cellStyle name="Followed Hyperlink 3" xfId="3626" hidden="1" xr:uid="{00000000-0005-0000-0000-0000612F0000}"/>
    <cellStyle name="Followed Hyperlink 3" xfId="3629" hidden="1" xr:uid="{00000000-0005-0000-0000-0000622F0000}"/>
    <cellStyle name="Followed Hyperlink 3" xfId="3634" hidden="1" xr:uid="{00000000-0005-0000-0000-0000632F0000}"/>
    <cellStyle name="Followed Hyperlink 3" xfId="3644" hidden="1" xr:uid="{00000000-0005-0000-0000-0000642F0000}"/>
    <cellStyle name="Followed Hyperlink 3" xfId="3646" hidden="1" xr:uid="{00000000-0005-0000-0000-0000652F0000}"/>
    <cellStyle name="Followed Hyperlink 3" xfId="3642" hidden="1" xr:uid="{00000000-0005-0000-0000-0000662F0000}"/>
    <cellStyle name="Followed Hyperlink 3" xfId="3641" hidden="1" xr:uid="{00000000-0005-0000-0000-0000672F0000}"/>
    <cellStyle name="Followed Hyperlink 3" xfId="3647" hidden="1" xr:uid="{00000000-0005-0000-0000-0000682F0000}"/>
    <cellStyle name="Followed Hyperlink 3" xfId="3650" hidden="1" xr:uid="{00000000-0005-0000-0000-0000692F0000}"/>
    <cellStyle name="Followed Hyperlink 3" xfId="3653" hidden="1" xr:uid="{00000000-0005-0000-0000-00006A2F0000}"/>
    <cellStyle name="Followed Hyperlink 3" xfId="3658" hidden="1" xr:uid="{00000000-0005-0000-0000-00006B2F0000}"/>
    <cellStyle name="Followed Hyperlink 3" xfId="3669" hidden="1" xr:uid="{00000000-0005-0000-0000-00006C2F0000}"/>
    <cellStyle name="Followed Hyperlink 3" xfId="3671" hidden="1" xr:uid="{00000000-0005-0000-0000-00006D2F0000}"/>
    <cellStyle name="Followed Hyperlink 3" xfId="3667" hidden="1" xr:uid="{00000000-0005-0000-0000-00006E2F0000}"/>
    <cellStyle name="Followed Hyperlink 3" xfId="3666" hidden="1" xr:uid="{00000000-0005-0000-0000-00006F2F0000}"/>
    <cellStyle name="Followed Hyperlink 3" xfId="3672" hidden="1" xr:uid="{00000000-0005-0000-0000-0000702F0000}"/>
    <cellStyle name="Followed Hyperlink 3" xfId="3675" hidden="1" xr:uid="{00000000-0005-0000-0000-0000712F0000}"/>
    <cellStyle name="Followed Hyperlink 3" xfId="3678" hidden="1" xr:uid="{00000000-0005-0000-0000-0000722F0000}"/>
    <cellStyle name="Followed Hyperlink 3" xfId="3683" hidden="1" xr:uid="{00000000-0005-0000-0000-0000732F0000}"/>
    <cellStyle name="Followed Hyperlink 3" xfId="3693" hidden="1" xr:uid="{00000000-0005-0000-0000-0000742F0000}"/>
    <cellStyle name="Followed Hyperlink 3" xfId="3695" hidden="1" xr:uid="{00000000-0005-0000-0000-0000752F0000}"/>
    <cellStyle name="Followed Hyperlink 3" xfId="3691" hidden="1" xr:uid="{00000000-0005-0000-0000-0000762F0000}"/>
    <cellStyle name="Followed Hyperlink 3" xfId="3690" hidden="1" xr:uid="{00000000-0005-0000-0000-0000772F0000}"/>
    <cellStyle name="Followed Hyperlink 3" xfId="3696" hidden="1" xr:uid="{00000000-0005-0000-0000-0000782F0000}"/>
    <cellStyle name="Followed Hyperlink 3" xfId="3699" hidden="1" xr:uid="{00000000-0005-0000-0000-0000792F0000}"/>
    <cellStyle name="Followed Hyperlink 3" xfId="3702" hidden="1" xr:uid="{00000000-0005-0000-0000-00007A2F0000}"/>
    <cellStyle name="Followed Hyperlink 3" xfId="3707" hidden="1" xr:uid="{00000000-0005-0000-0000-00007B2F0000}"/>
    <cellStyle name="Followed Hyperlink 3" xfId="3437" hidden="1" xr:uid="{00000000-0005-0000-0000-00007C2F0000}"/>
    <cellStyle name="Followed Hyperlink 3" xfId="3661" hidden="1" xr:uid="{00000000-0005-0000-0000-00007D2F0000}"/>
    <cellStyle name="Followed Hyperlink 3" xfId="3433" hidden="1" xr:uid="{00000000-0005-0000-0000-00007E2F0000}"/>
    <cellStyle name="Followed Hyperlink 3" xfId="3438" hidden="1" xr:uid="{00000000-0005-0000-0000-00007F2F0000}"/>
    <cellStyle name="Followed Hyperlink 3" xfId="3425" hidden="1" xr:uid="{00000000-0005-0000-0000-0000802F0000}"/>
    <cellStyle name="Followed Hyperlink 3" xfId="3712" hidden="1" xr:uid="{00000000-0005-0000-0000-0000812F0000}"/>
    <cellStyle name="Followed Hyperlink 3" xfId="3715" hidden="1" xr:uid="{00000000-0005-0000-0000-0000822F0000}"/>
    <cellStyle name="Followed Hyperlink 3" xfId="3720" hidden="1" xr:uid="{00000000-0005-0000-0000-0000832F0000}"/>
    <cellStyle name="Followed Hyperlink 3" xfId="3730" hidden="1" xr:uid="{00000000-0005-0000-0000-0000842F0000}"/>
    <cellStyle name="Followed Hyperlink 3" xfId="3732" hidden="1" xr:uid="{00000000-0005-0000-0000-0000852F0000}"/>
    <cellStyle name="Followed Hyperlink 3" xfId="3728" hidden="1" xr:uid="{00000000-0005-0000-0000-0000862F0000}"/>
    <cellStyle name="Followed Hyperlink 3" xfId="3727" hidden="1" xr:uid="{00000000-0005-0000-0000-0000872F0000}"/>
    <cellStyle name="Followed Hyperlink 3" xfId="3733" hidden="1" xr:uid="{00000000-0005-0000-0000-0000882F0000}"/>
    <cellStyle name="Followed Hyperlink 3" xfId="3736" hidden="1" xr:uid="{00000000-0005-0000-0000-0000892F0000}"/>
    <cellStyle name="Followed Hyperlink 3" xfId="3739" hidden="1" xr:uid="{00000000-0005-0000-0000-00008A2F0000}"/>
    <cellStyle name="Followed Hyperlink 3" xfId="3744" hidden="1" xr:uid="{00000000-0005-0000-0000-00008B2F0000}"/>
    <cellStyle name="Followed Hyperlink 3" xfId="3754" hidden="1" xr:uid="{00000000-0005-0000-0000-00008C2F0000}"/>
    <cellStyle name="Followed Hyperlink 3" xfId="3756" hidden="1" xr:uid="{00000000-0005-0000-0000-00008D2F0000}"/>
    <cellStyle name="Followed Hyperlink 3" xfId="3752" hidden="1" xr:uid="{00000000-0005-0000-0000-00008E2F0000}"/>
    <cellStyle name="Followed Hyperlink 3" xfId="3751" hidden="1" xr:uid="{00000000-0005-0000-0000-00008F2F0000}"/>
    <cellStyle name="Followed Hyperlink 3" xfId="3757" hidden="1" xr:uid="{00000000-0005-0000-0000-0000902F0000}"/>
    <cellStyle name="Followed Hyperlink 3" xfId="3760" hidden="1" xr:uid="{00000000-0005-0000-0000-0000912F0000}"/>
    <cellStyle name="Followed Hyperlink 3" xfId="3763" hidden="1" xr:uid="{00000000-0005-0000-0000-0000922F0000}"/>
    <cellStyle name="Followed Hyperlink 3" xfId="3768" hidden="1" xr:uid="{00000000-0005-0000-0000-0000932F0000}"/>
    <cellStyle name="Followed Hyperlink 3" xfId="3778" hidden="1" xr:uid="{00000000-0005-0000-0000-0000942F0000}"/>
    <cellStyle name="Followed Hyperlink 3" xfId="3780" hidden="1" xr:uid="{00000000-0005-0000-0000-0000952F0000}"/>
    <cellStyle name="Followed Hyperlink 3" xfId="3776" hidden="1" xr:uid="{00000000-0005-0000-0000-0000962F0000}"/>
    <cellStyle name="Followed Hyperlink 3" xfId="3775" hidden="1" xr:uid="{00000000-0005-0000-0000-0000972F0000}"/>
    <cellStyle name="Followed Hyperlink 3" xfId="3781" hidden="1" xr:uid="{00000000-0005-0000-0000-0000982F0000}"/>
    <cellStyle name="Followed Hyperlink 3" xfId="3784" hidden="1" xr:uid="{00000000-0005-0000-0000-0000992F0000}"/>
    <cellStyle name="Followed Hyperlink 3" xfId="3787" hidden="1" xr:uid="{00000000-0005-0000-0000-00009A2F0000}"/>
    <cellStyle name="Followed Hyperlink 3" xfId="3792" hidden="1" xr:uid="{00000000-0005-0000-0000-00009B2F0000}"/>
    <cellStyle name="Followed Hyperlink 3" xfId="2835" hidden="1" xr:uid="{00000000-0005-0000-0000-00009C2F0000}"/>
    <cellStyle name="Followed Hyperlink 3" xfId="3362" hidden="1" xr:uid="{00000000-0005-0000-0000-00009D2F0000}"/>
    <cellStyle name="Followed Hyperlink 3" xfId="2832" hidden="1" xr:uid="{00000000-0005-0000-0000-00009E2F0000}"/>
    <cellStyle name="Followed Hyperlink 3" xfId="2824" hidden="1" xr:uid="{00000000-0005-0000-0000-00009F2F0000}"/>
    <cellStyle name="Followed Hyperlink 3" xfId="2829" hidden="1" xr:uid="{00000000-0005-0000-0000-0000A02F0000}"/>
    <cellStyle name="Followed Hyperlink 3" xfId="3797" hidden="1" xr:uid="{00000000-0005-0000-0000-0000A12F0000}"/>
    <cellStyle name="Followed Hyperlink 3" xfId="3800" hidden="1" xr:uid="{00000000-0005-0000-0000-0000A22F0000}"/>
    <cellStyle name="Followed Hyperlink 3" xfId="3805" hidden="1" xr:uid="{00000000-0005-0000-0000-0000A32F0000}"/>
    <cellStyle name="Followed Hyperlink 3" xfId="3815" hidden="1" xr:uid="{00000000-0005-0000-0000-0000A42F0000}"/>
    <cellStyle name="Followed Hyperlink 3" xfId="3817" hidden="1" xr:uid="{00000000-0005-0000-0000-0000A52F0000}"/>
    <cellStyle name="Followed Hyperlink 3" xfId="3813" hidden="1" xr:uid="{00000000-0005-0000-0000-0000A62F0000}"/>
    <cellStyle name="Followed Hyperlink 3" xfId="3812" hidden="1" xr:uid="{00000000-0005-0000-0000-0000A72F0000}"/>
    <cellStyle name="Followed Hyperlink 3" xfId="3818" hidden="1" xr:uid="{00000000-0005-0000-0000-0000A82F0000}"/>
    <cellStyle name="Followed Hyperlink 3" xfId="3821" hidden="1" xr:uid="{00000000-0005-0000-0000-0000A92F0000}"/>
    <cellStyle name="Followed Hyperlink 3" xfId="3824" hidden="1" xr:uid="{00000000-0005-0000-0000-0000AA2F0000}"/>
    <cellStyle name="Followed Hyperlink 3" xfId="3829" hidden="1" xr:uid="{00000000-0005-0000-0000-0000AB2F0000}"/>
    <cellStyle name="Followed Hyperlink 3" xfId="3840" hidden="1" xr:uid="{00000000-0005-0000-0000-0000AC2F0000}"/>
    <cellStyle name="Followed Hyperlink 3" xfId="3842" hidden="1" xr:uid="{00000000-0005-0000-0000-0000AD2F0000}"/>
    <cellStyle name="Followed Hyperlink 3" xfId="3838" hidden="1" xr:uid="{00000000-0005-0000-0000-0000AE2F0000}"/>
    <cellStyle name="Followed Hyperlink 3" xfId="3837" hidden="1" xr:uid="{00000000-0005-0000-0000-0000AF2F0000}"/>
    <cellStyle name="Followed Hyperlink 3" xfId="3843" hidden="1" xr:uid="{00000000-0005-0000-0000-0000B02F0000}"/>
    <cellStyle name="Followed Hyperlink 3" xfId="3846" hidden="1" xr:uid="{00000000-0005-0000-0000-0000B12F0000}"/>
    <cellStyle name="Followed Hyperlink 3" xfId="3849" hidden="1" xr:uid="{00000000-0005-0000-0000-0000B22F0000}"/>
    <cellStyle name="Followed Hyperlink 3" xfId="3854" hidden="1" xr:uid="{00000000-0005-0000-0000-0000B32F0000}"/>
    <cellStyle name="Followed Hyperlink 3" xfId="3864" hidden="1" xr:uid="{00000000-0005-0000-0000-0000B42F0000}"/>
    <cellStyle name="Followed Hyperlink 3" xfId="3866" hidden="1" xr:uid="{00000000-0005-0000-0000-0000B52F0000}"/>
    <cellStyle name="Followed Hyperlink 3" xfId="3862" hidden="1" xr:uid="{00000000-0005-0000-0000-0000B62F0000}"/>
    <cellStyle name="Followed Hyperlink 3" xfId="3861" hidden="1" xr:uid="{00000000-0005-0000-0000-0000B72F0000}"/>
    <cellStyle name="Followed Hyperlink 3" xfId="3867" hidden="1" xr:uid="{00000000-0005-0000-0000-0000B82F0000}"/>
    <cellStyle name="Followed Hyperlink 3" xfId="3870" hidden="1" xr:uid="{00000000-0005-0000-0000-0000B92F0000}"/>
    <cellStyle name="Followed Hyperlink 3" xfId="3873" hidden="1" xr:uid="{00000000-0005-0000-0000-0000BA2F0000}"/>
    <cellStyle name="Followed Hyperlink 3" xfId="3878" hidden="1" xr:uid="{00000000-0005-0000-0000-0000BB2F0000}"/>
    <cellStyle name="Followed Hyperlink 3" xfId="3917" hidden="1" xr:uid="{00000000-0005-0000-0000-0000BC2F0000}"/>
    <cellStyle name="Followed Hyperlink 3" xfId="3919" hidden="1" xr:uid="{00000000-0005-0000-0000-0000BD2F0000}"/>
    <cellStyle name="Followed Hyperlink 3" xfId="3915" hidden="1" xr:uid="{00000000-0005-0000-0000-0000BE2F0000}"/>
    <cellStyle name="Followed Hyperlink 3" xfId="3914" hidden="1" xr:uid="{00000000-0005-0000-0000-0000BF2F0000}"/>
    <cellStyle name="Followed Hyperlink 3" xfId="3920" hidden="1" xr:uid="{00000000-0005-0000-0000-0000C02F0000}"/>
    <cellStyle name="Followed Hyperlink 3" xfId="3923" hidden="1" xr:uid="{00000000-0005-0000-0000-0000C12F0000}"/>
    <cellStyle name="Followed Hyperlink 3" xfId="3926" hidden="1" xr:uid="{00000000-0005-0000-0000-0000C22F0000}"/>
    <cellStyle name="Followed Hyperlink 3" xfId="3931" hidden="1" xr:uid="{00000000-0005-0000-0000-0000C32F0000}"/>
    <cellStyle name="Followed Hyperlink 3" xfId="3941" hidden="1" xr:uid="{00000000-0005-0000-0000-0000C42F0000}"/>
    <cellStyle name="Followed Hyperlink 3" xfId="3943" hidden="1" xr:uid="{00000000-0005-0000-0000-0000C52F0000}"/>
    <cellStyle name="Followed Hyperlink 3" xfId="3939" hidden="1" xr:uid="{00000000-0005-0000-0000-0000C62F0000}"/>
    <cellStyle name="Followed Hyperlink 3" xfId="3938" hidden="1" xr:uid="{00000000-0005-0000-0000-0000C72F0000}"/>
    <cellStyle name="Followed Hyperlink 3" xfId="3944" hidden="1" xr:uid="{00000000-0005-0000-0000-0000C82F0000}"/>
    <cellStyle name="Followed Hyperlink 3" xfId="3947" hidden="1" xr:uid="{00000000-0005-0000-0000-0000C92F0000}"/>
    <cellStyle name="Followed Hyperlink 3" xfId="3950" hidden="1" xr:uid="{00000000-0005-0000-0000-0000CA2F0000}"/>
    <cellStyle name="Followed Hyperlink 3" xfId="3955" hidden="1" xr:uid="{00000000-0005-0000-0000-0000CB2F0000}"/>
    <cellStyle name="Followed Hyperlink 3" xfId="3967" hidden="1" xr:uid="{00000000-0005-0000-0000-0000CC2F0000}"/>
    <cellStyle name="Followed Hyperlink 3" xfId="3969" hidden="1" xr:uid="{00000000-0005-0000-0000-0000CD2F0000}"/>
    <cellStyle name="Followed Hyperlink 3" xfId="3965" hidden="1" xr:uid="{00000000-0005-0000-0000-0000CE2F0000}"/>
    <cellStyle name="Followed Hyperlink 3" xfId="3964" hidden="1" xr:uid="{00000000-0005-0000-0000-0000CF2F0000}"/>
    <cellStyle name="Followed Hyperlink 3" xfId="3970" hidden="1" xr:uid="{00000000-0005-0000-0000-0000D02F0000}"/>
    <cellStyle name="Followed Hyperlink 3" xfId="3973" hidden="1" xr:uid="{00000000-0005-0000-0000-0000D12F0000}"/>
    <cellStyle name="Followed Hyperlink 3" xfId="3976" hidden="1" xr:uid="{00000000-0005-0000-0000-0000D22F0000}"/>
    <cellStyle name="Followed Hyperlink 3" xfId="3981" hidden="1" xr:uid="{00000000-0005-0000-0000-0000D32F0000}"/>
    <cellStyle name="Followed Hyperlink 3" xfId="3991" hidden="1" xr:uid="{00000000-0005-0000-0000-0000D42F0000}"/>
    <cellStyle name="Followed Hyperlink 3" xfId="3993" hidden="1" xr:uid="{00000000-0005-0000-0000-0000D52F0000}"/>
    <cellStyle name="Followed Hyperlink 3" xfId="3989" hidden="1" xr:uid="{00000000-0005-0000-0000-0000D62F0000}"/>
    <cellStyle name="Followed Hyperlink 3" xfId="3988" hidden="1" xr:uid="{00000000-0005-0000-0000-0000D72F0000}"/>
    <cellStyle name="Followed Hyperlink 3" xfId="3994" hidden="1" xr:uid="{00000000-0005-0000-0000-0000D82F0000}"/>
    <cellStyle name="Followed Hyperlink 3" xfId="3997" hidden="1" xr:uid="{00000000-0005-0000-0000-0000D92F0000}"/>
    <cellStyle name="Followed Hyperlink 3" xfId="4000" hidden="1" xr:uid="{00000000-0005-0000-0000-0000DA2F0000}"/>
    <cellStyle name="Followed Hyperlink 3" xfId="4005" hidden="1" xr:uid="{00000000-0005-0000-0000-0000DB2F0000}"/>
    <cellStyle name="Followed Hyperlink 3" xfId="3881" hidden="1" xr:uid="{00000000-0005-0000-0000-0000DC2F0000}"/>
    <cellStyle name="Followed Hyperlink 3" xfId="3958" hidden="1" xr:uid="{00000000-0005-0000-0000-0000DD2F0000}"/>
    <cellStyle name="Followed Hyperlink 3" xfId="3885" hidden="1" xr:uid="{00000000-0005-0000-0000-0000DE2F0000}"/>
    <cellStyle name="Followed Hyperlink 3" xfId="3886" hidden="1" xr:uid="{00000000-0005-0000-0000-0000DF2F0000}"/>
    <cellStyle name="Followed Hyperlink 3" xfId="3889" hidden="1" xr:uid="{00000000-0005-0000-0000-0000E02F0000}"/>
    <cellStyle name="Followed Hyperlink 3" xfId="4010" hidden="1" xr:uid="{00000000-0005-0000-0000-0000E12F0000}"/>
    <cellStyle name="Followed Hyperlink 3" xfId="4013" hidden="1" xr:uid="{00000000-0005-0000-0000-0000E22F0000}"/>
    <cellStyle name="Followed Hyperlink 3" xfId="4018" hidden="1" xr:uid="{00000000-0005-0000-0000-0000E32F0000}"/>
    <cellStyle name="Followed Hyperlink 3" xfId="4028" hidden="1" xr:uid="{00000000-0005-0000-0000-0000E42F0000}"/>
    <cellStyle name="Followed Hyperlink 3" xfId="4030" hidden="1" xr:uid="{00000000-0005-0000-0000-0000E52F0000}"/>
    <cellStyle name="Followed Hyperlink 3" xfId="4026" hidden="1" xr:uid="{00000000-0005-0000-0000-0000E62F0000}"/>
    <cellStyle name="Followed Hyperlink 3" xfId="4025" hidden="1" xr:uid="{00000000-0005-0000-0000-0000E72F0000}"/>
    <cellStyle name="Followed Hyperlink 3" xfId="4031" hidden="1" xr:uid="{00000000-0005-0000-0000-0000E82F0000}"/>
    <cellStyle name="Followed Hyperlink 3" xfId="4034" hidden="1" xr:uid="{00000000-0005-0000-0000-0000E92F0000}"/>
    <cellStyle name="Followed Hyperlink 3" xfId="4037" hidden="1" xr:uid="{00000000-0005-0000-0000-0000EA2F0000}"/>
    <cellStyle name="Followed Hyperlink 3" xfId="4042" hidden="1" xr:uid="{00000000-0005-0000-0000-0000EB2F0000}"/>
    <cellStyle name="Followed Hyperlink 3" xfId="4053" hidden="1" xr:uid="{00000000-0005-0000-0000-0000EC2F0000}"/>
    <cellStyle name="Followed Hyperlink 3" xfId="4055" hidden="1" xr:uid="{00000000-0005-0000-0000-0000ED2F0000}"/>
    <cellStyle name="Followed Hyperlink 3" xfId="4051" hidden="1" xr:uid="{00000000-0005-0000-0000-0000EE2F0000}"/>
    <cellStyle name="Followed Hyperlink 3" xfId="4050" hidden="1" xr:uid="{00000000-0005-0000-0000-0000EF2F0000}"/>
    <cellStyle name="Followed Hyperlink 3" xfId="4056" hidden="1" xr:uid="{00000000-0005-0000-0000-0000F02F0000}"/>
    <cellStyle name="Followed Hyperlink 3" xfId="4059" hidden="1" xr:uid="{00000000-0005-0000-0000-0000F12F0000}"/>
    <cellStyle name="Followed Hyperlink 3" xfId="4062" hidden="1" xr:uid="{00000000-0005-0000-0000-0000F22F0000}"/>
    <cellStyle name="Followed Hyperlink 3" xfId="4067" hidden="1" xr:uid="{00000000-0005-0000-0000-0000F32F0000}"/>
    <cellStyle name="Followed Hyperlink 3" xfId="4077" hidden="1" xr:uid="{00000000-0005-0000-0000-0000F42F0000}"/>
    <cellStyle name="Followed Hyperlink 3" xfId="4079" hidden="1" xr:uid="{00000000-0005-0000-0000-0000F52F0000}"/>
    <cellStyle name="Followed Hyperlink 3" xfId="4075" hidden="1" xr:uid="{00000000-0005-0000-0000-0000F62F0000}"/>
    <cellStyle name="Followed Hyperlink 3" xfId="4074" hidden="1" xr:uid="{00000000-0005-0000-0000-0000F72F0000}"/>
    <cellStyle name="Followed Hyperlink 3" xfId="4080" hidden="1" xr:uid="{00000000-0005-0000-0000-0000F82F0000}"/>
    <cellStyle name="Followed Hyperlink 3" xfId="4083" hidden="1" xr:uid="{00000000-0005-0000-0000-0000F92F0000}"/>
    <cellStyle name="Followed Hyperlink 3" xfId="4086" hidden="1" xr:uid="{00000000-0005-0000-0000-0000FA2F0000}"/>
    <cellStyle name="Followed Hyperlink 3" xfId="4091" hidden="1" xr:uid="{00000000-0005-0000-0000-0000FB2F0000}"/>
    <cellStyle name="Followed Hyperlink 3" xfId="3902" hidden="1" xr:uid="{00000000-0005-0000-0000-0000FC2F0000}"/>
    <cellStyle name="Followed Hyperlink 3" xfId="4045" hidden="1" xr:uid="{00000000-0005-0000-0000-0000FD2F0000}"/>
    <cellStyle name="Followed Hyperlink 3" xfId="3899" hidden="1" xr:uid="{00000000-0005-0000-0000-0000FE2F0000}"/>
    <cellStyle name="Followed Hyperlink 3" xfId="3891" hidden="1" xr:uid="{00000000-0005-0000-0000-0000FF2F0000}"/>
    <cellStyle name="Followed Hyperlink 3" xfId="3896" hidden="1" xr:uid="{00000000-0005-0000-0000-000000300000}"/>
    <cellStyle name="Followed Hyperlink 3" xfId="4096" hidden="1" xr:uid="{00000000-0005-0000-0000-000001300000}"/>
    <cellStyle name="Followed Hyperlink 3" xfId="4099" hidden="1" xr:uid="{00000000-0005-0000-0000-000002300000}"/>
    <cellStyle name="Followed Hyperlink 3" xfId="4104" hidden="1" xr:uid="{00000000-0005-0000-0000-000003300000}"/>
    <cellStyle name="Followed Hyperlink 3" xfId="4114" hidden="1" xr:uid="{00000000-0005-0000-0000-000004300000}"/>
    <cellStyle name="Followed Hyperlink 3" xfId="4116" hidden="1" xr:uid="{00000000-0005-0000-0000-000005300000}"/>
    <cellStyle name="Followed Hyperlink 3" xfId="4112" hidden="1" xr:uid="{00000000-0005-0000-0000-000006300000}"/>
    <cellStyle name="Followed Hyperlink 3" xfId="4111" hidden="1" xr:uid="{00000000-0005-0000-0000-000007300000}"/>
    <cellStyle name="Followed Hyperlink 3" xfId="4117" hidden="1" xr:uid="{00000000-0005-0000-0000-000008300000}"/>
    <cellStyle name="Followed Hyperlink 3" xfId="4120" hidden="1" xr:uid="{00000000-0005-0000-0000-000009300000}"/>
    <cellStyle name="Followed Hyperlink 3" xfId="4123" hidden="1" xr:uid="{00000000-0005-0000-0000-00000A300000}"/>
    <cellStyle name="Followed Hyperlink 3" xfId="4128" hidden="1" xr:uid="{00000000-0005-0000-0000-00000B300000}"/>
    <cellStyle name="Followed Hyperlink 3" xfId="4139" hidden="1" xr:uid="{00000000-0005-0000-0000-00000C300000}"/>
    <cellStyle name="Followed Hyperlink 3" xfId="4141" hidden="1" xr:uid="{00000000-0005-0000-0000-00000D300000}"/>
    <cellStyle name="Followed Hyperlink 3" xfId="4137" hidden="1" xr:uid="{00000000-0005-0000-0000-00000E300000}"/>
    <cellStyle name="Followed Hyperlink 3" xfId="4136" hidden="1" xr:uid="{00000000-0005-0000-0000-00000F300000}"/>
    <cellStyle name="Followed Hyperlink 3" xfId="4142" hidden="1" xr:uid="{00000000-0005-0000-0000-000010300000}"/>
    <cellStyle name="Followed Hyperlink 3" xfId="4145" hidden="1" xr:uid="{00000000-0005-0000-0000-000011300000}"/>
    <cellStyle name="Followed Hyperlink 3" xfId="4148" hidden="1" xr:uid="{00000000-0005-0000-0000-000012300000}"/>
    <cellStyle name="Followed Hyperlink 3" xfId="4153" hidden="1" xr:uid="{00000000-0005-0000-0000-000013300000}"/>
    <cellStyle name="Followed Hyperlink 3" xfId="4163" hidden="1" xr:uid="{00000000-0005-0000-0000-000014300000}"/>
    <cellStyle name="Followed Hyperlink 3" xfId="4165" hidden="1" xr:uid="{00000000-0005-0000-0000-000015300000}"/>
    <cellStyle name="Followed Hyperlink 3" xfId="4161" hidden="1" xr:uid="{00000000-0005-0000-0000-000016300000}"/>
    <cellStyle name="Followed Hyperlink 3" xfId="4160" hidden="1" xr:uid="{00000000-0005-0000-0000-000017300000}"/>
    <cellStyle name="Followed Hyperlink 3" xfId="4166" hidden="1" xr:uid="{00000000-0005-0000-0000-000018300000}"/>
    <cellStyle name="Followed Hyperlink 3" xfId="4169" hidden="1" xr:uid="{00000000-0005-0000-0000-000019300000}"/>
    <cellStyle name="Followed Hyperlink 3" xfId="4172" hidden="1" xr:uid="{00000000-0005-0000-0000-00001A300000}"/>
    <cellStyle name="Followed Hyperlink 3" xfId="4177" hidden="1" xr:uid="{00000000-0005-0000-0000-00001B300000}"/>
    <cellStyle name="Followed Hyperlink 3" xfId="3907" hidden="1" xr:uid="{00000000-0005-0000-0000-00001C300000}"/>
    <cellStyle name="Followed Hyperlink 3" xfId="4131" hidden="1" xr:uid="{00000000-0005-0000-0000-00001D300000}"/>
    <cellStyle name="Followed Hyperlink 3" xfId="3903" hidden="1" xr:uid="{00000000-0005-0000-0000-00001E300000}"/>
    <cellStyle name="Followed Hyperlink 3" xfId="3908" hidden="1" xr:uid="{00000000-0005-0000-0000-00001F300000}"/>
    <cellStyle name="Followed Hyperlink 3" xfId="3895" hidden="1" xr:uid="{00000000-0005-0000-0000-000020300000}"/>
    <cellStyle name="Followed Hyperlink 3" xfId="4182" hidden="1" xr:uid="{00000000-0005-0000-0000-000021300000}"/>
    <cellStyle name="Followed Hyperlink 3" xfId="4185" hidden="1" xr:uid="{00000000-0005-0000-0000-000022300000}"/>
    <cellStyle name="Followed Hyperlink 3" xfId="4190" hidden="1" xr:uid="{00000000-0005-0000-0000-000023300000}"/>
    <cellStyle name="Followed Hyperlink 3" xfId="4200" hidden="1" xr:uid="{00000000-0005-0000-0000-000024300000}"/>
    <cellStyle name="Followed Hyperlink 3" xfId="4202" hidden="1" xr:uid="{00000000-0005-0000-0000-000025300000}"/>
    <cellStyle name="Followed Hyperlink 3" xfId="4198" hidden="1" xr:uid="{00000000-0005-0000-0000-000026300000}"/>
    <cellStyle name="Followed Hyperlink 3" xfId="4197" hidden="1" xr:uid="{00000000-0005-0000-0000-000027300000}"/>
    <cellStyle name="Followed Hyperlink 3" xfId="4203" hidden="1" xr:uid="{00000000-0005-0000-0000-000028300000}"/>
    <cellStyle name="Followed Hyperlink 3" xfId="4206" hidden="1" xr:uid="{00000000-0005-0000-0000-000029300000}"/>
    <cellStyle name="Followed Hyperlink 3" xfId="4209" hidden="1" xr:uid="{00000000-0005-0000-0000-00002A300000}"/>
    <cellStyle name="Followed Hyperlink 3" xfId="4214" hidden="1" xr:uid="{00000000-0005-0000-0000-00002B300000}"/>
    <cellStyle name="Followed Hyperlink 3" xfId="4224" hidden="1" xr:uid="{00000000-0005-0000-0000-00002C300000}"/>
    <cellStyle name="Followed Hyperlink 3" xfId="4226" hidden="1" xr:uid="{00000000-0005-0000-0000-00002D300000}"/>
    <cellStyle name="Followed Hyperlink 3" xfId="4222" hidden="1" xr:uid="{00000000-0005-0000-0000-00002E300000}"/>
    <cellStyle name="Followed Hyperlink 3" xfId="4221" hidden="1" xr:uid="{00000000-0005-0000-0000-00002F300000}"/>
    <cellStyle name="Followed Hyperlink 3" xfId="4227" hidden="1" xr:uid="{00000000-0005-0000-0000-000030300000}"/>
    <cellStyle name="Followed Hyperlink 3" xfId="4230" hidden="1" xr:uid="{00000000-0005-0000-0000-000031300000}"/>
    <cellStyle name="Followed Hyperlink 3" xfId="4233" hidden="1" xr:uid="{00000000-0005-0000-0000-000032300000}"/>
    <cellStyle name="Followed Hyperlink 3" xfId="4238" hidden="1" xr:uid="{00000000-0005-0000-0000-000033300000}"/>
    <cellStyle name="Followed Hyperlink 3" xfId="4248" hidden="1" xr:uid="{00000000-0005-0000-0000-000034300000}"/>
    <cellStyle name="Followed Hyperlink 3" xfId="4250" hidden="1" xr:uid="{00000000-0005-0000-0000-000035300000}"/>
    <cellStyle name="Followed Hyperlink 3" xfId="4246" hidden="1" xr:uid="{00000000-0005-0000-0000-000036300000}"/>
    <cellStyle name="Followed Hyperlink 3" xfId="4245" hidden="1" xr:uid="{00000000-0005-0000-0000-000037300000}"/>
    <cellStyle name="Followed Hyperlink 3" xfId="4251" hidden="1" xr:uid="{00000000-0005-0000-0000-000038300000}"/>
    <cellStyle name="Followed Hyperlink 3" xfId="4254" hidden="1" xr:uid="{00000000-0005-0000-0000-000039300000}"/>
    <cellStyle name="Followed Hyperlink 3" xfId="4257" hidden="1" xr:uid="{00000000-0005-0000-0000-00003A300000}"/>
    <cellStyle name="Followed Hyperlink 3" xfId="4262" hidden="1" xr:uid="{00000000-0005-0000-0000-00003B300000}"/>
    <cellStyle name="Followed Hyperlink 3" xfId="2840" hidden="1" xr:uid="{00000000-0005-0000-0000-00003C300000}"/>
    <cellStyle name="Followed Hyperlink 3" xfId="3832" hidden="1" xr:uid="{00000000-0005-0000-0000-00003D300000}"/>
    <cellStyle name="Followed Hyperlink 3" xfId="2836" hidden="1" xr:uid="{00000000-0005-0000-0000-00003E300000}"/>
    <cellStyle name="Followed Hyperlink 3" xfId="2841" hidden="1" xr:uid="{00000000-0005-0000-0000-00003F300000}"/>
    <cellStyle name="Followed Hyperlink 3" xfId="2828" hidden="1" xr:uid="{00000000-0005-0000-0000-000040300000}"/>
    <cellStyle name="Followed Hyperlink 3" xfId="4267" hidden="1" xr:uid="{00000000-0005-0000-0000-000041300000}"/>
    <cellStyle name="Followed Hyperlink 3" xfId="4270" hidden="1" xr:uid="{00000000-0005-0000-0000-000042300000}"/>
    <cellStyle name="Followed Hyperlink 3" xfId="4275" hidden="1" xr:uid="{00000000-0005-0000-0000-000043300000}"/>
    <cellStyle name="Followed Hyperlink 3" xfId="4285" hidden="1" xr:uid="{00000000-0005-0000-0000-000044300000}"/>
    <cellStyle name="Followed Hyperlink 3" xfId="4287" hidden="1" xr:uid="{00000000-0005-0000-0000-000045300000}"/>
    <cellStyle name="Followed Hyperlink 3" xfId="4283" hidden="1" xr:uid="{00000000-0005-0000-0000-000046300000}"/>
    <cellStyle name="Followed Hyperlink 3" xfId="4282" hidden="1" xr:uid="{00000000-0005-0000-0000-000047300000}"/>
    <cellStyle name="Followed Hyperlink 3" xfId="4288" hidden="1" xr:uid="{00000000-0005-0000-0000-000048300000}"/>
    <cellStyle name="Followed Hyperlink 3" xfId="4291" hidden="1" xr:uid="{00000000-0005-0000-0000-000049300000}"/>
    <cellStyle name="Followed Hyperlink 3" xfId="4294" hidden="1" xr:uid="{00000000-0005-0000-0000-00004A300000}"/>
    <cellStyle name="Followed Hyperlink 3" xfId="4299" hidden="1" xr:uid="{00000000-0005-0000-0000-00004B300000}"/>
    <cellStyle name="Followed Hyperlink 3" xfId="4309" hidden="1" xr:uid="{00000000-0005-0000-0000-00004C300000}"/>
    <cellStyle name="Followed Hyperlink 3" xfId="4311" hidden="1" xr:uid="{00000000-0005-0000-0000-00004D300000}"/>
    <cellStyle name="Followed Hyperlink 3" xfId="4307" hidden="1" xr:uid="{00000000-0005-0000-0000-00004E300000}"/>
    <cellStyle name="Followed Hyperlink 3" xfId="4306" hidden="1" xr:uid="{00000000-0005-0000-0000-00004F300000}"/>
    <cellStyle name="Followed Hyperlink 3" xfId="4312" hidden="1" xr:uid="{00000000-0005-0000-0000-000050300000}"/>
    <cellStyle name="Followed Hyperlink 3" xfId="4315" hidden="1" xr:uid="{00000000-0005-0000-0000-000051300000}"/>
    <cellStyle name="Followed Hyperlink 3" xfId="4318" hidden="1" xr:uid="{00000000-0005-0000-0000-000052300000}"/>
    <cellStyle name="Followed Hyperlink 3" xfId="4323" hidden="1" xr:uid="{00000000-0005-0000-0000-000053300000}"/>
    <cellStyle name="Followed Hyperlink 3" xfId="4333" hidden="1" xr:uid="{00000000-0005-0000-0000-000054300000}"/>
    <cellStyle name="Followed Hyperlink 3" xfId="4335" hidden="1" xr:uid="{00000000-0005-0000-0000-000055300000}"/>
    <cellStyle name="Followed Hyperlink 3" xfId="4331" hidden="1" xr:uid="{00000000-0005-0000-0000-000056300000}"/>
    <cellStyle name="Followed Hyperlink 3" xfId="4330" hidden="1" xr:uid="{00000000-0005-0000-0000-000057300000}"/>
    <cellStyle name="Followed Hyperlink 3" xfId="4336" hidden="1" xr:uid="{00000000-0005-0000-0000-000058300000}"/>
    <cellStyle name="Followed Hyperlink 3" xfId="4339" hidden="1" xr:uid="{00000000-0005-0000-0000-000059300000}"/>
    <cellStyle name="Followed Hyperlink 3" xfId="4342" hidden="1" xr:uid="{00000000-0005-0000-0000-00005A300000}"/>
    <cellStyle name="Followed Hyperlink 3" xfId="4347" hidden="1" xr:uid="{00000000-0005-0000-0000-00005B300000}"/>
    <cellStyle name="Followed Hyperlink 3" xfId="4386" hidden="1" xr:uid="{00000000-0005-0000-0000-00005C300000}"/>
    <cellStyle name="Followed Hyperlink 3" xfId="4388" hidden="1" xr:uid="{00000000-0005-0000-0000-00005D300000}"/>
    <cellStyle name="Followed Hyperlink 3" xfId="4384" hidden="1" xr:uid="{00000000-0005-0000-0000-00005E300000}"/>
    <cellStyle name="Followed Hyperlink 3" xfId="4383" hidden="1" xr:uid="{00000000-0005-0000-0000-00005F300000}"/>
    <cellStyle name="Followed Hyperlink 3" xfId="4389" hidden="1" xr:uid="{00000000-0005-0000-0000-000060300000}"/>
    <cellStyle name="Followed Hyperlink 3" xfId="4392" hidden="1" xr:uid="{00000000-0005-0000-0000-000061300000}"/>
    <cellStyle name="Followed Hyperlink 3" xfId="4395" hidden="1" xr:uid="{00000000-0005-0000-0000-000062300000}"/>
    <cellStyle name="Followed Hyperlink 3" xfId="4400" hidden="1" xr:uid="{00000000-0005-0000-0000-000063300000}"/>
    <cellStyle name="Followed Hyperlink 3" xfId="4410" hidden="1" xr:uid="{00000000-0005-0000-0000-000064300000}"/>
    <cellStyle name="Followed Hyperlink 3" xfId="4412" hidden="1" xr:uid="{00000000-0005-0000-0000-000065300000}"/>
    <cellStyle name="Followed Hyperlink 3" xfId="4408" hidden="1" xr:uid="{00000000-0005-0000-0000-000066300000}"/>
    <cellStyle name="Followed Hyperlink 3" xfId="4407" hidden="1" xr:uid="{00000000-0005-0000-0000-000067300000}"/>
    <cellStyle name="Followed Hyperlink 3" xfId="4413" hidden="1" xr:uid="{00000000-0005-0000-0000-000068300000}"/>
    <cellStyle name="Followed Hyperlink 3" xfId="4416" hidden="1" xr:uid="{00000000-0005-0000-0000-000069300000}"/>
    <cellStyle name="Followed Hyperlink 3" xfId="4419" hidden="1" xr:uid="{00000000-0005-0000-0000-00006A300000}"/>
    <cellStyle name="Followed Hyperlink 3" xfId="4424" hidden="1" xr:uid="{00000000-0005-0000-0000-00006B300000}"/>
    <cellStyle name="Followed Hyperlink 3" xfId="4436" hidden="1" xr:uid="{00000000-0005-0000-0000-00006C300000}"/>
    <cellStyle name="Followed Hyperlink 3" xfId="4438" hidden="1" xr:uid="{00000000-0005-0000-0000-00006D300000}"/>
    <cellStyle name="Followed Hyperlink 3" xfId="4434" hidden="1" xr:uid="{00000000-0005-0000-0000-00006E300000}"/>
    <cellStyle name="Followed Hyperlink 3" xfId="4433" hidden="1" xr:uid="{00000000-0005-0000-0000-00006F300000}"/>
    <cellStyle name="Followed Hyperlink 3" xfId="4439" hidden="1" xr:uid="{00000000-0005-0000-0000-000070300000}"/>
    <cellStyle name="Followed Hyperlink 3" xfId="4442" hidden="1" xr:uid="{00000000-0005-0000-0000-000071300000}"/>
    <cellStyle name="Followed Hyperlink 3" xfId="4445" hidden="1" xr:uid="{00000000-0005-0000-0000-000072300000}"/>
    <cellStyle name="Followed Hyperlink 3" xfId="4450" hidden="1" xr:uid="{00000000-0005-0000-0000-000073300000}"/>
    <cellStyle name="Followed Hyperlink 3" xfId="4460" hidden="1" xr:uid="{00000000-0005-0000-0000-000074300000}"/>
    <cellStyle name="Followed Hyperlink 3" xfId="4462" hidden="1" xr:uid="{00000000-0005-0000-0000-000075300000}"/>
    <cellStyle name="Followed Hyperlink 3" xfId="4458" hidden="1" xr:uid="{00000000-0005-0000-0000-000076300000}"/>
    <cellStyle name="Followed Hyperlink 3" xfId="4457" hidden="1" xr:uid="{00000000-0005-0000-0000-000077300000}"/>
    <cellStyle name="Followed Hyperlink 3" xfId="4463" hidden="1" xr:uid="{00000000-0005-0000-0000-000078300000}"/>
    <cellStyle name="Followed Hyperlink 3" xfId="4466" hidden="1" xr:uid="{00000000-0005-0000-0000-000079300000}"/>
    <cellStyle name="Followed Hyperlink 3" xfId="4469" hidden="1" xr:uid="{00000000-0005-0000-0000-00007A300000}"/>
    <cellStyle name="Followed Hyperlink 3" xfId="4474" hidden="1" xr:uid="{00000000-0005-0000-0000-00007B300000}"/>
    <cellStyle name="Followed Hyperlink 3" xfId="4350" hidden="1" xr:uid="{00000000-0005-0000-0000-00007C300000}"/>
    <cellStyle name="Followed Hyperlink 3" xfId="4427" hidden="1" xr:uid="{00000000-0005-0000-0000-00007D300000}"/>
    <cellStyle name="Followed Hyperlink 3" xfId="4354" hidden="1" xr:uid="{00000000-0005-0000-0000-00007E300000}"/>
    <cellStyle name="Followed Hyperlink 3" xfId="4355" hidden="1" xr:uid="{00000000-0005-0000-0000-00007F300000}"/>
    <cellStyle name="Followed Hyperlink 3" xfId="4358" hidden="1" xr:uid="{00000000-0005-0000-0000-000080300000}"/>
    <cellStyle name="Followed Hyperlink 3" xfId="4479" hidden="1" xr:uid="{00000000-0005-0000-0000-000081300000}"/>
    <cellStyle name="Followed Hyperlink 3" xfId="4482" hidden="1" xr:uid="{00000000-0005-0000-0000-000082300000}"/>
    <cellStyle name="Followed Hyperlink 3" xfId="4487" hidden="1" xr:uid="{00000000-0005-0000-0000-000083300000}"/>
    <cellStyle name="Followed Hyperlink 3" xfId="4497" hidden="1" xr:uid="{00000000-0005-0000-0000-000084300000}"/>
    <cellStyle name="Followed Hyperlink 3" xfId="4499" hidden="1" xr:uid="{00000000-0005-0000-0000-000085300000}"/>
    <cellStyle name="Followed Hyperlink 3" xfId="4495" hidden="1" xr:uid="{00000000-0005-0000-0000-000086300000}"/>
    <cellStyle name="Followed Hyperlink 3" xfId="4494" hidden="1" xr:uid="{00000000-0005-0000-0000-000087300000}"/>
    <cellStyle name="Followed Hyperlink 3" xfId="4500" hidden="1" xr:uid="{00000000-0005-0000-0000-000088300000}"/>
    <cellStyle name="Followed Hyperlink 3" xfId="4503" hidden="1" xr:uid="{00000000-0005-0000-0000-000089300000}"/>
    <cellStyle name="Followed Hyperlink 3" xfId="4506" hidden="1" xr:uid="{00000000-0005-0000-0000-00008A300000}"/>
    <cellStyle name="Followed Hyperlink 3" xfId="4511" hidden="1" xr:uid="{00000000-0005-0000-0000-00008B300000}"/>
    <cellStyle name="Followed Hyperlink 3" xfId="4522" hidden="1" xr:uid="{00000000-0005-0000-0000-00008C300000}"/>
    <cellStyle name="Followed Hyperlink 3" xfId="4524" hidden="1" xr:uid="{00000000-0005-0000-0000-00008D300000}"/>
    <cellStyle name="Followed Hyperlink 3" xfId="4520" hidden="1" xr:uid="{00000000-0005-0000-0000-00008E300000}"/>
    <cellStyle name="Followed Hyperlink 3" xfId="4519" hidden="1" xr:uid="{00000000-0005-0000-0000-00008F300000}"/>
    <cellStyle name="Followed Hyperlink 3" xfId="4525" hidden="1" xr:uid="{00000000-0005-0000-0000-000090300000}"/>
    <cellStyle name="Followed Hyperlink 3" xfId="4528" hidden="1" xr:uid="{00000000-0005-0000-0000-000091300000}"/>
    <cellStyle name="Followed Hyperlink 3" xfId="4531" hidden="1" xr:uid="{00000000-0005-0000-0000-000092300000}"/>
    <cellStyle name="Followed Hyperlink 3" xfId="4536" hidden="1" xr:uid="{00000000-0005-0000-0000-000093300000}"/>
    <cellStyle name="Followed Hyperlink 3" xfId="4546" hidden="1" xr:uid="{00000000-0005-0000-0000-000094300000}"/>
    <cellStyle name="Followed Hyperlink 3" xfId="4548" hidden="1" xr:uid="{00000000-0005-0000-0000-000095300000}"/>
    <cellStyle name="Followed Hyperlink 3" xfId="4544" hidden="1" xr:uid="{00000000-0005-0000-0000-000096300000}"/>
    <cellStyle name="Followed Hyperlink 3" xfId="4543" hidden="1" xr:uid="{00000000-0005-0000-0000-000097300000}"/>
    <cellStyle name="Followed Hyperlink 3" xfId="4549" hidden="1" xr:uid="{00000000-0005-0000-0000-000098300000}"/>
    <cellStyle name="Followed Hyperlink 3" xfId="4552" hidden="1" xr:uid="{00000000-0005-0000-0000-000099300000}"/>
    <cellStyle name="Followed Hyperlink 3" xfId="4555" hidden="1" xr:uid="{00000000-0005-0000-0000-00009A300000}"/>
    <cellStyle name="Followed Hyperlink 3" xfId="4560" hidden="1" xr:uid="{00000000-0005-0000-0000-00009B300000}"/>
    <cellStyle name="Followed Hyperlink 3" xfId="4371" hidden="1" xr:uid="{00000000-0005-0000-0000-00009C300000}"/>
    <cellStyle name="Followed Hyperlink 3" xfId="4514" hidden="1" xr:uid="{00000000-0005-0000-0000-00009D300000}"/>
    <cellStyle name="Followed Hyperlink 3" xfId="4368" hidden="1" xr:uid="{00000000-0005-0000-0000-00009E300000}"/>
    <cellStyle name="Followed Hyperlink 3" xfId="4360" hidden="1" xr:uid="{00000000-0005-0000-0000-00009F300000}"/>
    <cellStyle name="Followed Hyperlink 3" xfId="4365" hidden="1" xr:uid="{00000000-0005-0000-0000-0000A0300000}"/>
    <cellStyle name="Followed Hyperlink 3" xfId="4565" hidden="1" xr:uid="{00000000-0005-0000-0000-0000A1300000}"/>
    <cellStyle name="Followed Hyperlink 3" xfId="4568" hidden="1" xr:uid="{00000000-0005-0000-0000-0000A2300000}"/>
    <cellStyle name="Followed Hyperlink 3" xfId="4573" hidden="1" xr:uid="{00000000-0005-0000-0000-0000A3300000}"/>
    <cellStyle name="Followed Hyperlink 3" xfId="4583" hidden="1" xr:uid="{00000000-0005-0000-0000-0000A4300000}"/>
    <cellStyle name="Followed Hyperlink 3" xfId="4585" hidden="1" xr:uid="{00000000-0005-0000-0000-0000A5300000}"/>
    <cellStyle name="Followed Hyperlink 3" xfId="4581" hidden="1" xr:uid="{00000000-0005-0000-0000-0000A6300000}"/>
    <cellStyle name="Followed Hyperlink 3" xfId="4580" hidden="1" xr:uid="{00000000-0005-0000-0000-0000A7300000}"/>
    <cellStyle name="Followed Hyperlink 3" xfId="4586" hidden="1" xr:uid="{00000000-0005-0000-0000-0000A8300000}"/>
    <cellStyle name="Followed Hyperlink 3" xfId="4589" hidden="1" xr:uid="{00000000-0005-0000-0000-0000A9300000}"/>
    <cellStyle name="Followed Hyperlink 3" xfId="4592" hidden="1" xr:uid="{00000000-0005-0000-0000-0000AA300000}"/>
    <cellStyle name="Followed Hyperlink 3" xfId="4597" hidden="1" xr:uid="{00000000-0005-0000-0000-0000AB300000}"/>
    <cellStyle name="Followed Hyperlink 3" xfId="4608" hidden="1" xr:uid="{00000000-0005-0000-0000-0000AC300000}"/>
    <cellStyle name="Followed Hyperlink 3" xfId="4610" hidden="1" xr:uid="{00000000-0005-0000-0000-0000AD300000}"/>
    <cellStyle name="Followed Hyperlink 3" xfId="4606" hidden="1" xr:uid="{00000000-0005-0000-0000-0000AE300000}"/>
    <cellStyle name="Followed Hyperlink 3" xfId="4605" hidden="1" xr:uid="{00000000-0005-0000-0000-0000AF300000}"/>
    <cellStyle name="Followed Hyperlink 3" xfId="4611" hidden="1" xr:uid="{00000000-0005-0000-0000-0000B0300000}"/>
    <cellStyle name="Followed Hyperlink 3" xfId="4614" hidden="1" xr:uid="{00000000-0005-0000-0000-0000B1300000}"/>
    <cellStyle name="Followed Hyperlink 3" xfId="4617" hidden="1" xr:uid="{00000000-0005-0000-0000-0000B2300000}"/>
    <cellStyle name="Followed Hyperlink 3" xfId="4622" hidden="1" xr:uid="{00000000-0005-0000-0000-0000B3300000}"/>
    <cellStyle name="Followed Hyperlink 3" xfId="4632" hidden="1" xr:uid="{00000000-0005-0000-0000-0000B4300000}"/>
    <cellStyle name="Followed Hyperlink 3" xfId="4634" hidden="1" xr:uid="{00000000-0005-0000-0000-0000B5300000}"/>
    <cellStyle name="Followed Hyperlink 3" xfId="4630" hidden="1" xr:uid="{00000000-0005-0000-0000-0000B6300000}"/>
    <cellStyle name="Followed Hyperlink 3" xfId="4629" hidden="1" xr:uid="{00000000-0005-0000-0000-0000B7300000}"/>
    <cellStyle name="Followed Hyperlink 3" xfId="4635" hidden="1" xr:uid="{00000000-0005-0000-0000-0000B8300000}"/>
    <cellStyle name="Followed Hyperlink 3" xfId="4638" hidden="1" xr:uid="{00000000-0005-0000-0000-0000B9300000}"/>
    <cellStyle name="Followed Hyperlink 3" xfId="4641" hidden="1" xr:uid="{00000000-0005-0000-0000-0000BA300000}"/>
    <cellStyle name="Followed Hyperlink 3" xfId="4646" hidden="1" xr:uid="{00000000-0005-0000-0000-0000BB300000}"/>
    <cellStyle name="Followed Hyperlink 3" xfId="4376" hidden="1" xr:uid="{00000000-0005-0000-0000-0000BC300000}"/>
    <cellStyle name="Followed Hyperlink 3" xfId="4600" hidden="1" xr:uid="{00000000-0005-0000-0000-0000BD300000}"/>
    <cellStyle name="Followed Hyperlink 3" xfId="4372" hidden="1" xr:uid="{00000000-0005-0000-0000-0000BE300000}"/>
    <cellStyle name="Followed Hyperlink 3" xfId="4377" hidden="1" xr:uid="{00000000-0005-0000-0000-0000BF300000}"/>
    <cellStyle name="Followed Hyperlink 3" xfId="4364" hidden="1" xr:uid="{00000000-0005-0000-0000-0000C0300000}"/>
    <cellStyle name="Followed Hyperlink 3" xfId="4651" hidden="1" xr:uid="{00000000-0005-0000-0000-0000C1300000}"/>
    <cellStyle name="Followed Hyperlink 3" xfId="4654" hidden="1" xr:uid="{00000000-0005-0000-0000-0000C2300000}"/>
    <cellStyle name="Followed Hyperlink 3" xfId="4659" hidden="1" xr:uid="{00000000-0005-0000-0000-0000C3300000}"/>
    <cellStyle name="Followed Hyperlink 3" xfId="4669" hidden="1" xr:uid="{00000000-0005-0000-0000-0000C4300000}"/>
    <cellStyle name="Followed Hyperlink 3" xfId="4671" hidden="1" xr:uid="{00000000-0005-0000-0000-0000C5300000}"/>
    <cellStyle name="Followed Hyperlink 3" xfId="4667" hidden="1" xr:uid="{00000000-0005-0000-0000-0000C6300000}"/>
    <cellStyle name="Followed Hyperlink 3" xfId="4666" hidden="1" xr:uid="{00000000-0005-0000-0000-0000C7300000}"/>
    <cellStyle name="Followed Hyperlink 3" xfId="4672" hidden="1" xr:uid="{00000000-0005-0000-0000-0000C8300000}"/>
    <cellStyle name="Followed Hyperlink 3" xfId="4675" hidden="1" xr:uid="{00000000-0005-0000-0000-0000C9300000}"/>
    <cellStyle name="Followed Hyperlink 3" xfId="4678" hidden="1" xr:uid="{00000000-0005-0000-0000-0000CA300000}"/>
    <cellStyle name="Followed Hyperlink 3" xfId="4683" hidden="1" xr:uid="{00000000-0005-0000-0000-0000CB300000}"/>
    <cellStyle name="Followed Hyperlink 3" xfId="4693" hidden="1" xr:uid="{00000000-0005-0000-0000-0000CC300000}"/>
    <cellStyle name="Followed Hyperlink 3" xfId="4695" hidden="1" xr:uid="{00000000-0005-0000-0000-0000CD300000}"/>
    <cellStyle name="Followed Hyperlink 3" xfId="4691" hidden="1" xr:uid="{00000000-0005-0000-0000-0000CE300000}"/>
    <cellStyle name="Followed Hyperlink 3" xfId="4690" hidden="1" xr:uid="{00000000-0005-0000-0000-0000CF300000}"/>
    <cellStyle name="Followed Hyperlink 3" xfId="4696" hidden="1" xr:uid="{00000000-0005-0000-0000-0000D0300000}"/>
    <cellStyle name="Followed Hyperlink 3" xfId="4699" hidden="1" xr:uid="{00000000-0005-0000-0000-0000D1300000}"/>
    <cellStyle name="Followed Hyperlink 3" xfId="4702" hidden="1" xr:uid="{00000000-0005-0000-0000-0000D2300000}"/>
    <cellStyle name="Followed Hyperlink 3" xfId="4707" hidden="1" xr:uid="{00000000-0005-0000-0000-0000D3300000}"/>
    <cellStyle name="Followed Hyperlink 3" xfId="4717" hidden="1" xr:uid="{00000000-0005-0000-0000-0000D4300000}"/>
    <cellStyle name="Followed Hyperlink 3" xfId="4719" hidden="1" xr:uid="{00000000-0005-0000-0000-0000D5300000}"/>
    <cellStyle name="Followed Hyperlink 3" xfId="4715" hidden="1" xr:uid="{00000000-0005-0000-0000-0000D6300000}"/>
    <cellStyle name="Followed Hyperlink 3" xfId="4714" hidden="1" xr:uid="{00000000-0005-0000-0000-0000D7300000}"/>
    <cellStyle name="Followed Hyperlink 3" xfId="4720" hidden="1" xr:uid="{00000000-0005-0000-0000-0000D8300000}"/>
    <cellStyle name="Followed Hyperlink 3" xfId="4723" hidden="1" xr:uid="{00000000-0005-0000-0000-0000D9300000}"/>
    <cellStyle name="Followed Hyperlink 3" xfId="4726" hidden="1" xr:uid="{00000000-0005-0000-0000-0000DA300000}"/>
    <cellStyle name="Followed Hyperlink 3" xfId="4731" hidden="1" xr:uid="{00000000-0005-0000-0000-0000DB300000}"/>
    <cellStyle name="Followed Hyperlink 3" xfId="702" hidden="1" xr:uid="{00000000-0005-0000-0000-0000DC300000}"/>
    <cellStyle name="Followed Hyperlink 3" xfId="2765" hidden="1" xr:uid="{00000000-0005-0000-0000-0000DD300000}"/>
    <cellStyle name="Followed Hyperlink 3" xfId="699" hidden="1" xr:uid="{00000000-0005-0000-0000-0000DE300000}"/>
    <cellStyle name="Followed Hyperlink 3" xfId="691" hidden="1" xr:uid="{00000000-0005-0000-0000-0000DF300000}"/>
    <cellStyle name="Followed Hyperlink 3" xfId="696" hidden="1" xr:uid="{00000000-0005-0000-0000-0000E0300000}"/>
    <cellStyle name="Followed Hyperlink 3" xfId="4736" hidden="1" xr:uid="{00000000-0005-0000-0000-0000E1300000}"/>
    <cellStyle name="Followed Hyperlink 3" xfId="4739" hidden="1" xr:uid="{00000000-0005-0000-0000-0000E2300000}"/>
    <cellStyle name="Followed Hyperlink 3" xfId="4744" hidden="1" xr:uid="{00000000-0005-0000-0000-0000E3300000}"/>
    <cellStyle name="Followed Hyperlink 3" xfId="4754" hidden="1" xr:uid="{00000000-0005-0000-0000-0000E4300000}"/>
    <cellStyle name="Followed Hyperlink 3" xfId="4756" hidden="1" xr:uid="{00000000-0005-0000-0000-0000E5300000}"/>
    <cellStyle name="Followed Hyperlink 3" xfId="4752" hidden="1" xr:uid="{00000000-0005-0000-0000-0000E6300000}"/>
    <cellStyle name="Followed Hyperlink 3" xfId="4751" hidden="1" xr:uid="{00000000-0005-0000-0000-0000E7300000}"/>
    <cellStyle name="Followed Hyperlink 3" xfId="4757" hidden="1" xr:uid="{00000000-0005-0000-0000-0000E8300000}"/>
    <cellStyle name="Followed Hyperlink 3" xfId="4760" hidden="1" xr:uid="{00000000-0005-0000-0000-0000E9300000}"/>
    <cellStyle name="Followed Hyperlink 3" xfId="4763" hidden="1" xr:uid="{00000000-0005-0000-0000-0000EA300000}"/>
    <cellStyle name="Followed Hyperlink 3" xfId="4768" hidden="1" xr:uid="{00000000-0005-0000-0000-0000EB300000}"/>
    <cellStyle name="Followed Hyperlink 3" xfId="4779" hidden="1" xr:uid="{00000000-0005-0000-0000-0000EC300000}"/>
    <cellStyle name="Followed Hyperlink 3" xfId="4781" hidden="1" xr:uid="{00000000-0005-0000-0000-0000ED300000}"/>
    <cellStyle name="Followed Hyperlink 3" xfId="4777" hidden="1" xr:uid="{00000000-0005-0000-0000-0000EE300000}"/>
    <cellStyle name="Followed Hyperlink 3" xfId="4776" hidden="1" xr:uid="{00000000-0005-0000-0000-0000EF300000}"/>
    <cellStyle name="Followed Hyperlink 3" xfId="4782" hidden="1" xr:uid="{00000000-0005-0000-0000-0000F0300000}"/>
    <cellStyle name="Followed Hyperlink 3" xfId="4785" hidden="1" xr:uid="{00000000-0005-0000-0000-0000F1300000}"/>
    <cellStyle name="Followed Hyperlink 3" xfId="4788" hidden="1" xr:uid="{00000000-0005-0000-0000-0000F2300000}"/>
    <cellStyle name="Followed Hyperlink 3" xfId="4793" hidden="1" xr:uid="{00000000-0005-0000-0000-0000F3300000}"/>
    <cellStyle name="Followed Hyperlink 3" xfId="4803" hidden="1" xr:uid="{00000000-0005-0000-0000-0000F4300000}"/>
    <cellStyle name="Followed Hyperlink 3" xfId="4805" hidden="1" xr:uid="{00000000-0005-0000-0000-0000F5300000}"/>
    <cellStyle name="Followed Hyperlink 3" xfId="4801" hidden="1" xr:uid="{00000000-0005-0000-0000-0000F6300000}"/>
    <cellStyle name="Followed Hyperlink 3" xfId="4800" hidden="1" xr:uid="{00000000-0005-0000-0000-0000F7300000}"/>
    <cellStyle name="Followed Hyperlink 3" xfId="4806" hidden="1" xr:uid="{00000000-0005-0000-0000-0000F8300000}"/>
    <cellStyle name="Followed Hyperlink 3" xfId="4809" hidden="1" xr:uid="{00000000-0005-0000-0000-0000F9300000}"/>
    <cellStyle name="Followed Hyperlink 3" xfId="4812" hidden="1" xr:uid="{00000000-0005-0000-0000-0000FA300000}"/>
    <cellStyle name="Followed Hyperlink 3" xfId="4817" hidden="1" xr:uid="{00000000-0005-0000-0000-0000FB300000}"/>
    <cellStyle name="Followed Hyperlink 3" xfId="4856" hidden="1" xr:uid="{00000000-0005-0000-0000-0000FC300000}"/>
    <cellStyle name="Followed Hyperlink 3" xfId="4858" hidden="1" xr:uid="{00000000-0005-0000-0000-0000FD300000}"/>
    <cellStyle name="Followed Hyperlink 3" xfId="4854" hidden="1" xr:uid="{00000000-0005-0000-0000-0000FE300000}"/>
    <cellStyle name="Followed Hyperlink 3" xfId="4853" hidden="1" xr:uid="{00000000-0005-0000-0000-0000FF300000}"/>
    <cellStyle name="Followed Hyperlink 3" xfId="4859" hidden="1" xr:uid="{00000000-0005-0000-0000-000000310000}"/>
    <cellStyle name="Followed Hyperlink 3" xfId="4862" hidden="1" xr:uid="{00000000-0005-0000-0000-000001310000}"/>
    <cellStyle name="Followed Hyperlink 3" xfId="4865" hidden="1" xr:uid="{00000000-0005-0000-0000-000002310000}"/>
    <cellStyle name="Followed Hyperlink 3" xfId="4870" hidden="1" xr:uid="{00000000-0005-0000-0000-000003310000}"/>
    <cellStyle name="Followed Hyperlink 3" xfId="4880" hidden="1" xr:uid="{00000000-0005-0000-0000-000004310000}"/>
    <cellStyle name="Followed Hyperlink 3" xfId="4882" hidden="1" xr:uid="{00000000-0005-0000-0000-000005310000}"/>
    <cellStyle name="Followed Hyperlink 3" xfId="4878" hidden="1" xr:uid="{00000000-0005-0000-0000-000006310000}"/>
    <cellStyle name="Followed Hyperlink 3" xfId="4877" hidden="1" xr:uid="{00000000-0005-0000-0000-000007310000}"/>
    <cellStyle name="Followed Hyperlink 3" xfId="4883" hidden="1" xr:uid="{00000000-0005-0000-0000-000008310000}"/>
    <cellStyle name="Followed Hyperlink 3" xfId="4886" hidden="1" xr:uid="{00000000-0005-0000-0000-000009310000}"/>
    <cellStyle name="Followed Hyperlink 3" xfId="4889" hidden="1" xr:uid="{00000000-0005-0000-0000-00000A310000}"/>
    <cellStyle name="Followed Hyperlink 3" xfId="4894" hidden="1" xr:uid="{00000000-0005-0000-0000-00000B310000}"/>
    <cellStyle name="Followed Hyperlink 3" xfId="4906" hidden="1" xr:uid="{00000000-0005-0000-0000-00000C310000}"/>
    <cellStyle name="Followed Hyperlink 3" xfId="4908" hidden="1" xr:uid="{00000000-0005-0000-0000-00000D310000}"/>
    <cellStyle name="Followed Hyperlink 3" xfId="4904" hidden="1" xr:uid="{00000000-0005-0000-0000-00000E310000}"/>
    <cellStyle name="Followed Hyperlink 3" xfId="4903" hidden="1" xr:uid="{00000000-0005-0000-0000-00000F310000}"/>
    <cellStyle name="Followed Hyperlink 3" xfId="4909" hidden="1" xr:uid="{00000000-0005-0000-0000-000010310000}"/>
    <cellStyle name="Followed Hyperlink 3" xfId="4912" hidden="1" xr:uid="{00000000-0005-0000-0000-000011310000}"/>
    <cellStyle name="Followed Hyperlink 3" xfId="4915" hidden="1" xr:uid="{00000000-0005-0000-0000-000012310000}"/>
    <cellStyle name="Followed Hyperlink 3" xfId="4920" hidden="1" xr:uid="{00000000-0005-0000-0000-000013310000}"/>
    <cellStyle name="Followed Hyperlink 3" xfId="4930" hidden="1" xr:uid="{00000000-0005-0000-0000-000014310000}"/>
    <cellStyle name="Followed Hyperlink 3" xfId="4932" hidden="1" xr:uid="{00000000-0005-0000-0000-000015310000}"/>
    <cellStyle name="Followed Hyperlink 3" xfId="4928" hidden="1" xr:uid="{00000000-0005-0000-0000-000016310000}"/>
    <cellStyle name="Followed Hyperlink 3" xfId="4927" hidden="1" xr:uid="{00000000-0005-0000-0000-000017310000}"/>
    <cellStyle name="Followed Hyperlink 3" xfId="4933" hidden="1" xr:uid="{00000000-0005-0000-0000-000018310000}"/>
    <cellStyle name="Followed Hyperlink 3" xfId="4936" hidden="1" xr:uid="{00000000-0005-0000-0000-000019310000}"/>
    <cellStyle name="Followed Hyperlink 3" xfId="4939" hidden="1" xr:uid="{00000000-0005-0000-0000-00001A310000}"/>
    <cellStyle name="Followed Hyperlink 3" xfId="4944" hidden="1" xr:uid="{00000000-0005-0000-0000-00001B310000}"/>
    <cellStyle name="Followed Hyperlink 3" xfId="4983" hidden="1" xr:uid="{00000000-0005-0000-0000-00001C310000}"/>
    <cellStyle name="Followed Hyperlink 3" xfId="4985" hidden="1" xr:uid="{00000000-0005-0000-0000-00001D310000}"/>
    <cellStyle name="Followed Hyperlink 3" xfId="4981" hidden="1" xr:uid="{00000000-0005-0000-0000-00001E310000}"/>
    <cellStyle name="Followed Hyperlink 3" xfId="4980" hidden="1" xr:uid="{00000000-0005-0000-0000-00001F310000}"/>
    <cellStyle name="Followed Hyperlink 3" xfId="4986" hidden="1" xr:uid="{00000000-0005-0000-0000-000020310000}"/>
    <cellStyle name="Followed Hyperlink 3" xfId="4989" hidden="1" xr:uid="{00000000-0005-0000-0000-000021310000}"/>
    <cellStyle name="Followed Hyperlink 3" xfId="4992" hidden="1" xr:uid="{00000000-0005-0000-0000-000022310000}"/>
    <cellStyle name="Followed Hyperlink 3" xfId="4997" hidden="1" xr:uid="{00000000-0005-0000-0000-000023310000}"/>
    <cellStyle name="Followed Hyperlink 3" xfId="5007" hidden="1" xr:uid="{00000000-0005-0000-0000-000024310000}"/>
    <cellStyle name="Followed Hyperlink 3" xfId="5009" hidden="1" xr:uid="{00000000-0005-0000-0000-000025310000}"/>
    <cellStyle name="Followed Hyperlink 3" xfId="5005" hidden="1" xr:uid="{00000000-0005-0000-0000-000026310000}"/>
    <cellStyle name="Followed Hyperlink 3" xfId="5004" hidden="1" xr:uid="{00000000-0005-0000-0000-000027310000}"/>
    <cellStyle name="Followed Hyperlink 3" xfId="5010" hidden="1" xr:uid="{00000000-0005-0000-0000-000028310000}"/>
    <cellStyle name="Followed Hyperlink 3" xfId="5013" hidden="1" xr:uid="{00000000-0005-0000-0000-000029310000}"/>
    <cellStyle name="Followed Hyperlink 3" xfId="5016" hidden="1" xr:uid="{00000000-0005-0000-0000-00002A310000}"/>
    <cellStyle name="Followed Hyperlink 3" xfId="5021" hidden="1" xr:uid="{00000000-0005-0000-0000-00002B310000}"/>
    <cellStyle name="Followed Hyperlink 3" xfId="5033" hidden="1" xr:uid="{00000000-0005-0000-0000-00002C310000}"/>
    <cellStyle name="Followed Hyperlink 3" xfId="5035" hidden="1" xr:uid="{00000000-0005-0000-0000-00002D310000}"/>
    <cellStyle name="Followed Hyperlink 3" xfId="5031" hidden="1" xr:uid="{00000000-0005-0000-0000-00002E310000}"/>
    <cellStyle name="Followed Hyperlink 3" xfId="5030" hidden="1" xr:uid="{00000000-0005-0000-0000-00002F310000}"/>
    <cellStyle name="Followed Hyperlink 3" xfId="5036" hidden="1" xr:uid="{00000000-0005-0000-0000-000030310000}"/>
    <cellStyle name="Followed Hyperlink 3" xfId="5039" hidden="1" xr:uid="{00000000-0005-0000-0000-000031310000}"/>
    <cellStyle name="Followed Hyperlink 3" xfId="5042" hidden="1" xr:uid="{00000000-0005-0000-0000-000032310000}"/>
    <cellStyle name="Followed Hyperlink 3" xfId="5047" hidden="1" xr:uid="{00000000-0005-0000-0000-000033310000}"/>
    <cellStyle name="Followed Hyperlink 3" xfId="5057" hidden="1" xr:uid="{00000000-0005-0000-0000-000034310000}"/>
    <cellStyle name="Followed Hyperlink 3" xfId="5059" hidden="1" xr:uid="{00000000-0005-0000-0000-000035310000}"/>
    <cellStyle name="Followed Hyperlink 3" xfId="5055" hidden="1" xr:uid="{00000000-0005-0000-0000-000036310000}"/>
    <cellStyle name="Followed Hyperlink 3" xfId="5054" hidden="1" xr:uid="{00000000-0005-0000-0000-000037310000}"/>
    <cellStyle name="Followed Hyperlink 3" xfId="5060" hidden="1" xr:uid="{00000000-0005-0000-0000-000038310000}"/>
    <cellStyle name="Followed Hyperlink 3" xfId="5063" hidden="1" xr:uid="{00000000-0005-0000-0000-000039310000}"/>
    <cellStyle name="Followed Hyperlink 3" xfId="5066" hidden="1" xr:uid="{00000000-0005-0000-0000-00003A310000}"/>
    <cellStyle name="Followed Hyperlink 3" xfId="5071" hidden="1" xr:uid="{00000000-0005-0000-0000-00003B310000}"/>
    <cellStyle name="Followed Hyperlink 3" xfId="4947" hidden="1" xr:uid="{00000000-0005-0000-0000-00003C310000}"/>
    <cellStyle name="Followed Hyperlink 3" xfId="5024" hidden="1" xr:uid="{00000000-0005-0000-0000-00003D310000}"/>
    <cellStyle name="Followed Hyperlink 3" xfId="4951" hidden="1" xr:uid="{00000000-0005-0000-0000-00003E310000}"/>
    <cellStyle name="Followed Hyperlink 3" xfId="4952" hidden="1" xr:uid="{00000000-0005-0000-0000-00003F310000}"/>
    <cellStyle name="Followed Hyperlink 3" xfId="4955" hidden="1" xr:uid="{00000000-0005-0000-0000-000040310000}"/>
    <cellStyle name="Followed Hyperlink 3" xfId="5076" hidden="1" xr:uid="{00000000-0005-0000-0000-000041310000}"/>
    <cellStyle name="Followed Hyperlink 3" xfId="5079" hidden="1" xr:uid="{00000000-0005-0000-0000-000042310000}"/>
    <cellStyle name="Followed Hyperlink 3" xfId="5084" hidden="1" xr:uid="{00000000-0005-0000-0000-000043310000}"/>
    <cellStyle name="Followed Hyperlink 3" xfId="5094" hidden="1" xr:uid="{00000000-0005-0000-0000-000044310000}"/>
    <cellStyle name="Followed Hyperlink 3" xfId="5096" hidden="1" xr:uid="{00000000-0005-0000-0000-000045310000}"/>
    <cellStyle name="Followed Hyperlink 3" xfId="5092" hidden="1" xr:uid="{00000000-0005-0000-0000-000046310000}"/>
    <cellStyle name="Followed Hyperlink 3" xfId="5091" hidden="1" xr:uid="{00000000-0005-0000-0000-000047310000}"/>
    <cellStyle name="Followed Hyperlink 3" xfId="5097" hidden="1" xr:uid="{00000000-0005-0000-0000-000048310000}"/>
    <cellStyle name="Followed Hyperlink 3" xfId="5100" hidden="1" xr:uid="{00000000-0005-0000-0000-000049310000}"/>
    <cellStyle name="Followed Hyperlink 3" xfId="5103" hidden="1" xr:uid="{00000000-0005-0000-0000-00004A310000}"/>
    <cellStyle name="Followed Hyperlink 3" xfId="5108" hidden="1" xr:uid="{00000000-0005-0000-0000-00004B310000}"/>
    <cellStyle name="Followed Hyperlink 3" xfId="5119" hidden="1" xr:uid="{00000000-0005-0000-0000-00004C310000}"/>
    <cellStyle name="Followed Hyperlink 3" xfId="5121" hidden="1" xr:uid="{00000000-0005-0000-0000-00004D310000}"/>
    <cellStyle name="Followed Hyperlink 3" xfId="5117" hidden="1" xr:uid="{00000000-0005-0000-0000-00004E310000}"/>
    <cellStyle name="Followed Hyperlink 3" xfId="5116" hidden="1" xr:uid="{00000000-0005-0000-0000-00004F310000}"/>
    <cellStyle name="Followed Hyperlink 3" xfId="5122" hidden="1" xr:uid="{00000000-0005-0000-0000-000050310000}"/>
    <cellStyle name="Followed Hyperlink 3" xfId="5125" hidden="1" xr:uid="{00000000-0005-0000-0000-000051310000}"/>
    <cellStyle name="Followed Hyperlink 3" xfId="5128" hidden="1" xr:uid="{00000000-0005-0000-0000-000052310000}"/>
    <cellStyle name="Followed Hyperlink 3" xfId="5133" hidden="1" xr:uid="{00000000-0005-0000-0000-000053310000}"/>
    <cellStyle name="Followed Hyperlink 3" xfId="5143" hidden="1" xr:uid="{00000000-0005-0000-0000-000054310000}"/>
    <cellStyle name="Followed Hyperlink 3" xfId="5145" hidden="1" xr:uid="{00000000-0005-0000-0000-000055310000}"/>
    <cellStyle name="Followed Hyperlink 3" xfId="5141" hidden="1" xr:uid="{00000000-0005-0000-0000-000056310000}"/>
    <cellStyle name="Followed Hyperlink 3" xfId="5140" hidden="1" xr:uid="{00000000-0005-0000-0000-000057310000}"/>
    <cellStyle name="Followed Hyperlink 3" xfId="5146" hidden="1" xr:uid="{00000000-0005-0000-0000-000058310000}"/>
    <cellStyle name="Followed Hyperlink 3" xfId="5149" hidden="1" xr:uid="{00000000-0005-0000-0000-000059310000}"/>
    <cellStyle name="Followed Hyperlink 3" xfId="5152" hidden="1" xr:uid="{00000000-0005-0000-0000-00005A310000}"/>
    <cellStyle name="Followed Hyperlink 3" xfId="5157" hidden="1" xr:uid="{00000000-0005-0000-0000-00005B310000}"/>
    <cellStyle name="Followed Hyperlink 3" xfId="4968" hidden="1" xr:uid="{00000000-0005-0000-0000-00005C310000}"/>
    <cellStyle name="Followed Hyperlink 3" xfId="5111" hidden="1" xr:uid="{00000000-0005-0000-0000-00005D310000}"/>
    <cellStyle name="Followed Hyperlink 3" xfId="4965" hidden="1" xr:uid="{00000000-0005-0000-0000-00005E310000}"/>
    <cellStyle name="Followed Hyperlink 3" xfId="4957" hidden="1" xr:uid="{00000000-0005-0000-0000-00005F310000}"/>
    <cellStyle name="Followed Hyperlink 3" xfId="4962" hidden="1" xr:uid="{00000000-0005-0000-0000-000060310000}"/>
    <cellStyle name="Followed Hyperlink 3" xfId="5162" hidden="1" xr:uid="{00000000-0005-0000-0000-000061310000}"/>
    <cellStyle name="Followed Hyperlink 3" xfId="5165" hidden="1" xr:uid="{00000000-0005-0000-0000-000062310000}"/>
    <cellStyle name="Followed Hyperlink 3" xfId="5170" hidden="1" xr:uid="{00000000-0005-0000-0000-000063310000}"/>
    <cellStyle name="Followed Hyperlink 3" xfId="5180" hidden="1" xr:uid="{00000000-0005-0000-0000-000064310000}"/>
    <cellStyle name="Followed Hyperlink 3" xfId="5182" hidden="1" xr:uid="{00000000-0005-0000-0000-000065310000}"/>
    <cellStyle name="Followed Hyperlink 3" xfId="5178" hidden="1" xr:uid="{00000000-0005-0000-0000-000066310000}"/>
    <cellStyle name="Followed Hyperlink 3" xfId="5177" hidden="1" xr:uid="{00000000-0005-0000-0000-000067310000}"/>
    <cellStyle name="Followed Hyperlink 3" xfId="5183" hidden="1" xr:uid="{00000000-0005-0000-0000-000068310000}"/>
    <cellStyle name="Followed Hyperlink 3" xfId="5186" hidden="1" xr:uid="{00000000-0005-0000-0000-000069310000}"/>
    <cellStyle name="Followed Hyperlink 3" xfId="5189" hidden="1" xr:uid="{00000000-0005-0000-0000-00006A310000}"/>
    <cellStyle name="Followed Hyperlink 3" xfId="5194" hidden="1" xr:uid="{00000000-0005-0000-0000-00006B310000}"/>
    <cellStyle name="Followed Hyperlink 3" xfId="5205" hidden="1" xr:uid="{00000000-0005-0000-0000-00006C310000}"/>
    <cellStyle name="Followed Hyperlink 3" xfId="5207" hidden="1" xr:uid="{00000000-0005-0000-0000-00006D310000}"/>
    <cellStyle name="Followed Hyperlink 3" xfId="5203" hidden="1" xr:uid="{00000000-0005-0000-0000-00006E310000}"/>
    <cellStyle name="Followed Hyperlink 3" xfId="5202" hidden="1" xr:uid="{00000000-0005-0000-0000-00006F310000}"/>
    <cellStyle name="Followed Hyperlink 3" xfId="5208" hidden="1" xr:uid="{00000000-0005-0000-0000-000070310000}"/>
    <cellStyle name="Followed Hyperlink 3" xfId="5211" hidden="1" xr:uid="{00000000-0005-0000-0000-000071310000}"/>
    <cellStyle name="Followed Hyperlink 3" xfId="5214" hidden="1" xr:uid="{00000000-0005-0000-0000-000072310000}"/>
    <cellStyle name="Followed Hyperlink 3" xfId="5219" hidden="1" xr:uid="{00000000-0005-0000-0000-000073310000}"/>
    <cellStyle name="Followed Hyperlink 3" xfId="5229" hidden="1" xr:uid="{00000000-0005-0000-0000-000074310000}"/>
    <cellStyle name="Followed Hyperlink 3" xfId="5231" hidden="1" xr:uid="{00000000-0005-0000-0000-000075310000}"/>
    <cellStyle name="Followed Hyperlink 3" xfId="5227" hidden="1" xr:uid="{00000000-0005-0000-0000-000076310000}"/>
    <cellStyle name="Followed Hyperlink 3" xfId="5226" hidden="1" xr:uid="{00000000-0005-0000-0000-000077310000}"/>
    <cellStyle name="Followed Hyperlink 3" xfId="5232" hidden="1" xr:uid="{00000000-0005-0000-0000-000078310000}"/>
    <cellStyle name="Followed Hyperlink 3" xfId="5235" hidden="1" xr:uid="{00000000-0005-0000-0000-000079310000}"/>
    <cellStyle name="Followed Hyperlink 3" xfId="5238" hidden="1" xr:uid="{00000000-0005-0000-0000-00007A310000}"/>
    <cellStyle name="Followed Hyperlink 3" xfId="5243" hidden="1" xr:uid="{00000000-0005-0000-0000-00007B310000}"/>
    <cellStyle name="Followed Hyperlink 3" xfId="4973" hidden="1" xr:uid="{00000000-0005-0000-0000-00007C310000}"/>
    <cellStyle name="Followed Hyperlink 3" xfId="5197" hidden="1" xr:uid="{00000000-0005-0000-0000-00007D310000}"/>
    <cellStyle name="Followed Hyperlink 3" xfId="4969" hidden="1" xr:uid="{00000000-0005-0000-0000-00007E310000}"/>
    <cellStyle name="Followed Hyperlink 3" xfId="4974" hidden="1" xr:uid="{00000000-0005-0000-0000-00007F310000}"/>
    <cellStyle name="Followed Hyperlink 3" xfId="4961" hidden="1" xr:uid="{00000000-0005-0000-0000-000080310000}"/>
    <cellStyle name="Followed Hyperlink 3" xfId="5248" hidden="1" xr:uid="{00000000-0005-0000-0000-000081310000}"/>
    <cellStyle name="Followed Hyperlink 3" xfId="5251" hidden="1" xr:uid="{00000000-0005-0000-0000-000082310000}"/>
    <cellStyle name="Followed Hyperlink 3" xfId="5256" hidden="1" xr:uid="{00000000-0005-0000-0000-000083310000}"/>
    <cellStyle name="Followed Hyperlink 3" xfId="5266" hidden="1" xr:uid="{00000000-0005-0000-0000-000084310000}"/>
    <cellStyle name="Followed Hyperlink 3" xfId="5268" hidden="1" xr:uid="{00000000-0005-0000-0000-000085310000}"/>
    <cellStyle name="Followed Hyperlink 3" xfId="5264" hidden="1" xr:uid="{00000000-0005-0000-0000-000086310000}"/>
    <cellStyle name="Followed Hyperlink 3" xfId="5263" hidden="1" xr:uid="{00000000-0005-0000-0000-000087310000}"/>
    <cellStyle name="Followed Hyperlink 3" xfId="5269" hidden="1" xr:uid="{00000000-0005-0000-0000-000088310000}"/>
    <cellStyle name="Followed Hyperlink 3" xfId="5272" hidden="1" xr:uid="{00000000-0005-0000-0000-000089310000}"/>
    <cellStyle name="Followed Hyperlink 3" xfId="5275" hidden="1" xr:uid="{00000000-0005-0000-0000-00008A310000}"/>
    <cellStyle name="Followed Hyperlink 3" xfId="5280" hidden="1" xr:uid="{00000000-0005-0000-0000-00008B310000}"/>
    <cellStyle name="Followed Hyperlink 3" xfId="5290" hidden="1" xr:uid="{00000000-0005-0000-0000-00008C310000}"/>
    <cellStyle name="Followed Hyperlink 3" xfId="5292" hidden="1" xr:uid="{00000000-0005-0000-0000-00008D310000}"/>
    <cellStyle name="Followed Hyperlink 3" xfId="5288" hidden="1" xr:uid="{00000000-0005-0000-0000-00008E310000}"/>
    <cellStyle name="Followed Hyperlink 3" xfId="5287" hidden="1" xr:uid="{00000000-0005-0000-0000-00008F310000}"/>
    <cellStyle name="Followed Hyperlink 3" xfId="5293" hidden="1" xr:uid="{00000000-0005-0000-0000-000090310000}"/>
    <cellStyle name="Followed Hyperlink 3" xfId="5296" hidden="1" xr:uid="{00000000-0005-0000-0000-000091310000}"/>
    <cellStyle name="Followed Hyperlink 3" xfId="5299" hidden="1" xr:uid="{00000000-0005-0000-0000-000092310000}"/>
    <cellStyle name="Followed Hyperlink 3" xfId="5304" hidden="1" xr:uid="{00000000-0005-0000-0000-000093310000}"/>
    <cellStyle name="Followed Hyperlink 3" xfId="5314" hidden="1" xr:uid="{00000000-0005-0000-0000-000094310000}"/>
    <cellStyle name="Followed Hyperlink 3" xfId="5316" hidden="1" xr:uid="{00000000-0005-0000-0000-000095310000}"/>
    <cellStyle name="Followed Hyperlink 3" xfId="5312" hidden="1" xr:uid="{00000000-0005-0000-0000-000096310000}"/>
    <cellStyle name="Followed Hyperlink 3" xfId="5311" hidden="1" xr:uid="{00000000-0005-0000-0000-000097310000}"/>
    <cellStyle name="Followed Hyperlink 3" xfId="5317" hidden="1" xr:uid="{00000000-0005-0000-0000-000098310000}"/>
    <cellStyle name="Followed Hyperlink 3" xfId="5320" hidden="1" xr:uid="{00000000-0005-0000-0000-000099310000}"/>
    <cellStyle name="Followed Hyperlink 3" xfId="5323" hidden="1" xr:uid="{00000000-0005-0000-0000-00009A310000}"/>
    <cellStyle name="Followed Hyperlink 3" xfId="5328" hidden="1" xr:uid="{00000000-0005-0000-0000-00009B310000}"/>
    <cellStyle name="Followed Hyperlink 3" xfId="4820" hidden="1" xr:uid="{00000000-0005-0000-0000-00009C310000}"/>
    <cellStyle name="Followed Hyperlink 3" xfId="4897" hidden="1" xr:uid="{00000000-0005-0000-0000-00009D310000}"/>
    <cellStyle name="Followed Hyperlink 3" xfId="4824" hidden="1" xr:uid="{00000000-0005-0000-0000-00009E310000}"/>
    <cellStyle name="Followed Hyperlink 3" xfId="4825" hidden="1" xr:uid="{00000000-0005-0000-0000-00009F310000}"/>
    <cellStyle name="Followed Hyperlink 3" xfId="4828" hidden="1" xr:uid="{00000000-0005-0000-0000-0000A0310000}"/>
    <cellStyle name="Followed Hyperlink 3" xfId="5333" hidden="1" xr:uid="{00000000-0005-0000-0000-0000A1310000}"/>
    <cellStyle name="Followed Hyperlink 3" xfId="5336" hidden="1" xr:uid="{00000000-0005-0000-0000-0000A2310000}"/>
    <cellStyle name="Followed Hyperlink 3" xfId="5341" hidden="1" xr:uid="{00000000-0005-0000-0000-0000A3310000}"/>
    <cellStyle name="Followed Hyperlink 3" xfId="5351" hidden="1" xr:uid="{00000000-0005-0000-0000-0000A4310000}"/>
    <cellStyle name="Followed Hyperlink 3" xfId="5353" hidden="1" xr:uid="{00000000-0005-0000-0000-0000A5310000}"/>
    <cellStyle name="Followed Hyperlink 3" xfId="5349" hidden="1" xr:uid="{00000000-0005-0000-0000-0000A6310000}"/>
    <cellStyle name="Followed Hyperlink 3" xfId="5348" hidden="1" xr:uid="{00000000-0005-0000-0000-0000A7310000}"/>
    <cellStyle name="Followed Hyperlink 3" xfId="5354" hidden="1" xr:uid="{00000000-0005-0000-0000-0000A8310000}"/>
    <cellStyle name="Followed Hyperlink 3" xfId="5357" hidden="1" xr:uid="{00000000-0005-0000-0000-0000A9310000}"/>
    <cellStyle name="Followed Hyperlink 3" xfId="5360" hidden="1" xr:uid="{00000000-0005-0000-0000-0000AA310000}"/>
    <cellStyle name="Followed Hyperlink 3" xfId="5365" hidden="1" xr:uid="{00000000-0005-0000-0000-0000AB310000}"/>
    <cellStyle name="Followed Hyperlink 3" xfId="5376" hidden="1" xr:uid="{00000000-0005-0000-0000-0000AC310000}"/>
    <cellStyle name="Followed Hyperlink 3" xfId="5378" hidden="1" xr:uid="{00000000-0005-0000-0000-0000AD310000}"/>
    <cellStyle name="Followed Hyperlink 3" xfId="5374" hidden="1" xr:uid="{00000000-0005-0000-0000-0000AE310000}"/>
    <cellStyle name="Followed Hyperlink 3" xfId="5373" hidden="1" xr:uid="{00000000-0005-0000-0000-0000AF310000}"/>
    <cellStyle name="Followed Hyperlink 3" xfId="5379" hidden="1" xr:uid="{00000000-0005-0000-0000-0000B0310000}"/>
    <cellStyle name="Followed Hyperlink 3" xfId="5382" hidden="1" xr:uid="{00000000-0005-0000-0000-0000B1310000}"/>
    <cellStyle name="Followed Hyperlink 3" xfId="5385" hidden="1" xr:uid="{00000000-0005-0000-0000-0000B2310000}"/>
    <cellStyle name="Followed Hyperlink 3" xfId="5390" hidden="1" xr:uid="{00000000-0005-0000-0000-0000B3310000}"/>
    <cellStyle name="Followed Hyperlink 3" xfId="5400" hidden="1" xr:uid="{00000000-0005-0000-0000-0000B4310000}"/>
    <cellStyle name="Followed Hyperlink 3" xfId="5402" hidden="1" xr:uid="{00000000-0005-0000-0000-0000B5310000}"/>
    <cellStyle name="Followed Hyperlink 3" xfId="5398" hidden="1" xr:uid="{00000000-0005-0000-0000-0000B6310000}"/>
    <cellStyle name="Followed Hyperlink 3" xfId="5397" hidden="1" xr:uid="{00000000-0005-0000-0000-0000B7310000}"/>
    <cellStyle name="Followed Hyperlink 3" xfId="5403" hidden="1" xr:uid="{00000000-0005-0000-0000-0000B8310000}"/>
    <cellStyle name="Followed Hyperlink 3" xfId="5406" hidden="1" xr:uid="{00000000-0005-0000-0000-0000B9310000}"/>
    <cellStyle name="Followed Hyperlink 3" xfId="5409" hidden="1" xr:uid="{00000000-0005-0000-0000-0000BA310000}"/>
    <cellStyle name="Followed Hyperlink 3" xfId="5414" hidden="1" xr:uid="{00000000-0005-0000-0000-0000BB310000}"/>
    <cellStyle name="Followed Hyperlink 3" xfId="5453" hidden="1" xr:uid="{00000000-0005-0000-0000-0000BC310000}"/>
    <cellStyle name="Followed Hyperlink 3" xfId="5455" hidden="1" xr:uid="{00000000-0005-0000-0000-0000BD310000}"/>
    <cellStyle name="Followed Hyperlink 3" xfId="5451" hidden="1" xr:uid="{00000000-0005-0000-0000-0000BE310000}"/>
    <cellStyle name="Followed Hyperlink 3" xfId="5450" hidden="1" xr:uid="{00000000-0005-0000-0000-0000BF310000}"/>
    <cellStyle name="Followed Hyperlink 3" xfId="5456" hidden="1" xr:uid="{00000000-0005-0000-0000-0000C0310000}"/>
    <cellStyle name="Followed Hyperlink 3" xfId="5459" hidden="1" xr:uid="{00000000-0005-0000-0000-0000C1310000}"/>
    <cellStyle name="Followed Hyperlink 3" xfId="5462" hidden="1" xr:uid="{00000000-0005-0000-0000-0000C2310000}"/>
    <cellStyle name="Followed Hyperlink 3" xfId="5467" hidden="1" xr:uid="{00000000-0005-0000-0000-0000C3310000}"/>
    <cellStyle name="Followed Hyperlink 3" xfId="5477" hidden="1" xr:uid="{00000000-0005-0000-0000-0000C4310000}"/>
    <cellStyle name="Followed Hyperlink 3" xfId="5479" hidden="1" xr:uid="{00000000-0005-0000-0000-0000C5310000}"/>
    <cellStyle name="Followed Hyperlink 3" xfId="5475" hidden="1" xr:uid="{00000000-0005-0000-0000-0000C6310000}"/>
    <cellStyle name="Followed Hyperlink 3" xfId="5474" hidden="1" xr:uid="{00000000-0005-0000-0000-0000C7310000}"/>
    <cellStyle name="Followed Hyperlink 3" xfId="5480" hidden="1" xr:uid="{00000000-0005-0000-0000-0000C8310000}"/>
    <cellStyle name="Followed Hyperlink 3" xfId="5483" hidden="1" xr:uid="{00000000-0005-0000-0000-0000C9310000}"/>
    <cellStyle name="Followed Hyperlink 3" xfId="5486" hidden="1" xr:uid="{00000000-0005-0000-0000-0000CA310000}"/>
    <cellStyle name="Followed Hyperlink 3" xfId="5491" hidden="1" xr:uid="{00000000-0005-0000-0000-0000CB310000}"/>
    <cellStyle name="Followed Hyperlink 3" xfId="5503" hidden="1" xr:uid="{00000000-0005-0000-0000-0000CC310000}"/>
    <cellStyle name="Followed Hyperlink 3" xfId="5505" hidden="1" xr:uid="{00000000-0005-0000-0000-0000CD310000}"/>
    <cellStyle name="Followed Hyperlink 3" xfId="5501" hidden="1" xr:uid="{00000000-0005-0000-0000-0000CE310000}"/>
    <cellStyle name="Followed Hyperlink 3" xfId="5500" hidden="1" xr:uid="{00000000-0005-0000-0000-0000CF310000}"/>
    <cellStyle name="Followed Hyperlink 3" xfId="5506" hidden="1" xr:uid="{00000000-0005-0000-0000-0000D0310000}"/>
    <cellStyle name="Followed Hyperlink 3" xfId="5509" hidden="1" xr:uid="{00000000-0005-0000-0000-0000D1310000}"/>
    <cellStyle name="Followed Hyperlink 3" xfId="5512" hidden="1" xr:uid="{00000000-0005-0000-0000-0000D2310000}"/>
    <cellStyle name="Followed Hyperlink 3" xfId="5517" hidden="1" xr:uid="{00000000-0005-0000-0000-0000D3310000}"/>
    <cellStyle name="Followed Hyperlink 3" xfId="5527" hidden="1" xr:uid="{00000000-0005-0000-0000-0000D4310000}"/>
    <cellStyle name="Followed Hyperlink 3" xfId="5529" hidden="1" xr:uid="{00000000-0005-0000-0000-0000D5310000}"/>
    <cellStyle name="Followed Hyperlink 3" xfId="5525" hidden="1" xr:uid="{00000000-0005-0000-0000-0000D6310000}"/>
    <cellStyle name="Followed Hyperlink 3" xfId="5524" hidden="1" xr:uid="{00000000-0005-0000-0000-0000D7310000}"/>
    <cellStyle name="Followed Hyperlink 3" xfId="5530" hidden="1" xr:uid="{00000000-0005-0000-0000-0000D8310000}"/>
    <cellStyle name="Followed Hyperlink 3" xfId="5533" hidden="1" xr:uid="{00000000-0005-0000-0000-0000D9310000}"/>
    <cellStyle name="Followed Hyperlink 3" xfId="5536" hidden="1" xr:uid="{00000000-0005-0000-0000-0000DA310000}"/>
    <cellStyle name="Followed Hyperlink 3" xfId="5541" hidden="1" xr:uid="{00000000-0005-0000-0000-0000DB310000}"/>
    <cellStyle name="Followed Hyperlink 3" xfId="5417" hidden="1" xr:uid="{00000000-0005-0000-0000-0000DC310000}"/>
    <cellStyle name="Followed Hyperlink 3" xfId="5494" hidden="1" xr:uid="{00000000-0005-0000-0000-0000DD310000}"/>
    <cellStyle name="Followed Hyperlink 3" xfId="5421" hidden="1" xr:uid="{00000000-0005-0000-0000-0000DE310000}"/>
    <cellStyle name="Followed Hyperlink 3" xfId="5422" hidden="1" xr:uid="{00000000-0005-0000-0000-0000DF310000}"/>
    <cellStyle name="Followed Hyperlink 3" xfId="5425" hidden="1" xr:uid="{00000000-0005-0000-0000-0000E0310000}"/>
    <cellStyle name="Followed Hyperlink 3" xfId="5546" hidden="1" xr:uid="{00000000-0005-0000-0000-0000E1310000}"/>
    <cellStyle name="Followed Hyperlink 3" xfId="5549" hidden="1" xr:uid="{00000000-0005-0000-0000-0000E2310000}"/>
    <cellStyle name="Followed Hyperlink 3" xfId="5554" hidden="1" xr:uid="{00000000-0005-0000-0000-0000E3310000}"/>
    <cellStyle name="Followed Hyperlink 3" xfId="5564" hidden="1" xr:uid="{00000000-0005-0000-0000-0000E4310000}"/>
    <cellStyle name="Followed Hyperlink 3" xfId="5566" hidden="1" xr:uid="{00000000-0005-0000-0000-0000E5310000}"/>
    <cellStyle name="Followed Hyperlink 3" xfId="5562" hidden="1" xr:uid="{00000000-0005-0000-0000-0000E6310000}"/>
    <cellStyle name="Followed Hyperlink 3" xfId="5561" hidden="1" xr:uid="{00000000-0005-0000-0000-0000E7310000}"/>
    <cellStyle name="Followed Hyperlink 3" xfId="5567" hidden="1" xr:uid="{00000000-0005-0000-0000-0000E8310000}"/>
    <cellStyle name="Followed Hyperlink 3" xfId="5570" hidden="1" xr:uid="{00000000-0005-0000-0000-0000E9310000}"/>
    <cellStyle name="Followed Hyperlink 3" xfId="5573" hidden="1" xr:uid="{00000000-0005-0000-0000-0000EA310000}"/>
    <cellStyle name="Followed Hyperlink 3" xfId="5578" hidden="1" xr:uid="{00000000-0005-0000-0000-0000EB310000}"/>
    <cellStyle name="Followed Hyperlink 3" xfId="5589" hidden="1" xr:uid="{00000000-0005-0000-0000-0000EC310000}"/>
    <cellStyle name="Followed Hyperlink 3" xfId="5591" hidden="1" xr:uid="{00000000-0005-0000-0000-0000ED310000}"/>
    <cellStyle name="Followed Hyperlink 3" xfId="5587" hidden="1" xr:uid="{00000000-0005-0000-0000-0000EE310000}"/>
    <cellStyle name="Followed Hyperlink 3" xfId="5586" hidden="1" xr:uid="{00000000-0005-0000-0000-0000EF310000}"/>
    <cellStyle name="Followed Hyperlink 3" xfId="5592" hidden="1" xr:uid="{00000000-0005-0000-0000-0000F0310000}"/>
    <cellStyle name="Followed Hyperlink 3" xfId="5595" hidden="1" xr:uid="{00000000-0005-0000-0000-0000F1310000}"/>
    <cellStyle name="Followed Hyperlink 3" xfId="5598" hidden="1" xr:uid="{00000000-0005-0000-0000-0000F2310000}"/>
    <cellStyle name="Followed Hyperlink 3" xfId="5603" hidden="1" xr:uid="{00000000-0005-0000-0000-0000F3310000}"/>
    <cellStyle name="Followed Hyperlink 3" xfId="5613" hidden="1" xr:uid="{00000000-0005-0000-0000-0000F4310000}"/>
    <cellStyle name="Followed Hyperlink 3" xfId="5615" hidden="1" xr:uid="{00000000-0005-0000-0000-0000F5310000}"/>
    <cellStyle name="Followed Hyperlink 3" xfId="5611" hidden="1" xr:uid="{00000000-0005-0000-0000-0000F6310000}"/>
    <cellStyle name="Followed Hyperlink 3" xfId="5610" hidden="1" xr:uid="{00000000-0005-0000-0000-0000F7310000}"/>
    <cellStyle name="Followed Hyperlink 3" xfId="5616" hidden="1" xr:uid="{00000000-0005-0000-0000-0000F8310000}"/>
    <cellStyle name="Followed Hyperlink 3" xfId="5619" hidden="1" xr:uid="{00000000-0005-0000-0000-0000F9310000}"/>
    <cellStyle name="Followed Hyperlink 3" xfId="5622" hidden="1" xr:uid="{00000000-0005-0000-0000-0000FA310000}"/>
    <cellStyle name="Followed Hyperlink 3" xfId="5627" hidden="1" xr:uid="{00000000-0005-0000-0000-0000FB310000}"/>
    <cellStyle name="Followed Hyperlink 3" xfId="5438" hidden="1" xr:uid="{00000000-0005-0000-0000-0000FC310000}"/>
    <cellStyle name="Followed Hyperlink 3" xfId="5581" hidden="1" xr:uid="{00000000-0005-0000-0000-0000FD310000}"/>
    <cellStyle name="Followed Hyperlink 3" xfId="5435" hidden="1" xr:uid="{00000000-0005-0000-0000-0000FE310000}"/>
    <cellStyle name="Followed Hyperlink 3" xfId="5427" hidden="1" xr:uid="{00000000-0005-0000-0000-0000FF310000}"/>
    <cellStyle name="Followed Hyperlink 3" xfId="5432" hidden="1" xr:uid="{00000000-0005-0000-0000-000000320000}"/>
    <cellStyle name="Followed Hyperlink 3" xfId="5632" hidden="1" xr:uid="{00000000-0005-0000-0000-000001320000}"/>
    <cellStyle name="Followed Hyperlink 3" xfId="5635" hidden="1" xr:uid="{00000000-0005-0000-0000-000002320000}"/>
    <cellStyle name="Followed Hyperlink 3" xfId="5640" hidden="1" xr:uid="{00000000-0005-0000-0000-000003320000}"/>
    <cellStyle name="Followed Hyperlink 3" xfId="5650" hidden="1" xr:uid="{00000000-0005-0000-0000-000004320000}"/>
    <cellStyle name="Followed Hyperlink 3" xfId="5652" hidden="1" xr:uid="{00000000-0005-0000-0000-000005320000}"/>
    <cellStyle name="Followed Hyperlink 3" xfId="5648" hidden="1" xr:uid="{00000000-0005-0000-0000-000006320000}"/>
    <cellStyle name="Followed Hyperlink 3" xfId="5647" hidden="1" xr:uid="{00000000-0005-0000-0000-000007320000}"/>
    <cellStyle name="Followed Hyperlink 3" xfId="5653" hidden="1" xr:uid="{00000000-0005-0000-0000-000008320000}"/>
    <cellStyle name="Followed Hyperlink 3" xfId="5656" hidden="1" xr:uid="{00000000-0005-0000-0000-000009320000}"/>
    <cellStyle name="Followed Hyperlink 3" xfId="5659" hidden="1" xr:uid="{00000000-0005-0000-0000-00000A320000}"/>
    <cellStyle name="Followed Hyperlink 3" xfId="5664" hidden="1" xr:uid="{00000000-0005-0000-0000-00000B320000}"/>
    <cellStyle name="Followed Hyperlink 3" xfId="5675" hidden="1" xr:uid="{00000000-0005-0000-0000-00000C320000}"/>
    <cellStyle name="Followed Hyperlink 3" xfId="5677" hidden="1" xr:uid="{00000000-0005-0000-0000-00000D320000}"/>
    <cellStyle name="Followed Hyperlink 3" xfId="5673" hidden="1" xr:uid="{00000000-0005-0000-0000-00000E320000}"/>
    <cellStyle name="Followed Hyperlink 3" xfId="5672" hidden="1" xr:uid="{00000000-0005-0000-0000-00000F320000}"/>
    <cellStyle name="Followed Hyperlink 3" xfId="5678" hidden="1" xr:uid="{00000000-0005-0000-0000-000010320000}"/>
    <cellStyle name="Followed Hyperlink 3" xfId="5681" hidden="1" xr:uid="{00000000-0005-0000-0000-000011320000}"/>
    <cellStyle name="Followed Hyperlink 3" xfId="5684" hidden="1" xr:uid="{00000000-0005-0000-0000-000012320000}"/>
    <cellStyle name="Followed Hyperlink 3" xfId="5689" hidden="1" xr:uid="{00000000-0005-0000-0000-000013320000}"/>
    <cellStyle name="Followed Hyperlink 3" xfId="5699" hidden="1" xr:uid="{00000000-0005-0000-0000-000014320000}"/>
    <cellStyle name="Followed Hyperlink 3" xfId="5701" hidden="1" xr:uid="{00000000-0005-0000-0000-000015320000}"/>
    <cellStyle name="Followed Hyperlink 3" xfId="5697" hidden="1" xr:uid="{00000000-0005-0000-0000-000016320000}"/>
    <cellStyle name="Followed Hyperlink 3" xfId="5696" hidden="1" xr:uid="{00000000-0005-0000-0000-000017320000}"/>
    <cellStyle name="Followed Hyperlink 3" xfId="5702" hidden="1" xr:uid="{00000000-0005-0000-0000-000018320000}"/>
    <cellStyle name="Followed Hyperlink 3" xfId="5705" hidden="1" xr:uid="{00000000-0005-0000-0000-000019320000}"/>
    <cellStyle name="Followed Hyperlink 3" xfId="5708" hidden="1" xr:uid="{00000000-0005-0000-0000-00001A320000}"/>
    <cellStyle name="Followed Hyperlink 3" xfId="5713" hidden="1" xr:uid="{00000000-0005-0000-0000-00001B320000}"/>
    <cellStyle name="Followed Hyperlink 3" xfId="5443" hidden="1" xr:uid="{00000000-0005-0000-0000-00001C320000}"/>
    <cellStyle name="Followed Hyperlink 3" xfId="5667" hidden="1" xr:uid="{00000000-0005-0000-0000-00001D320000}"/>
    <cellStyle name="Followed Hyperlink 3" xfId="5439" hidden="1" xr:uid="{00000000-0005-0000-0000-00001E320000}"/>
    <cellStyle name="Followed Hyperlink 3" xfId="5444" hidden="1" xr:uid="{00000000-0005-0000-0000-00001F320000}"/>
    <cellStyle name="Followed Hyperlink 3" xfId="5431" hidden="1" xr:uid="{00000000-0005-0000-0000-000020320000}"/>
    <cellStyle name="Followed Hyperlink 3" xfId="5718" hidden="1" xr:uid="{00000000-0005-0000-0000-000021320000}"/>
    <cellStyle name="Followed Hyperlink 3" xfId="5721" hidden="1" xr:uid="{00000000-0005-0000-0000-000022320000}"/>
    <cellStyle name="Followed Hyperlink 3" xfId="5726" hidden="1" xr:uid="{00000000-0005-0000-0000-000023320000}"/>
    <cellStyle name="Followed Hyperlink 3" xfId="5736" hidden="1" xr:uid="{00000000-0005-0000-0000-000024320000}"/>
    <cellStyle name="Followed Hyperlink 3" xfId="5738" hidden="1" xr:uid="{00000000-0005-0000-0000-000025320000}"/>
    <cellStyle name="Followed Hyperlink 3" xfId="5734" hidden="1" xr:uid="{00000000-0005-0000-0000-000026320000}"/>
    <cellStyle name="Followed Hyperlink 3" xfId="5733" hidden="1" xr:uid="{00000000-0005-0000-0000-000027320000}"/>
    <cellStyle name="Followed Hyperlink 3" xfId="5739" hidden="1" xr:uid="{00000000-0005-0000-0000-000028320000}"/>
    <cellStyle name="Followed Hyperlink 3" xfId="5742" hidden="1" xr:uid="{00000000-0005-0000-0000-000029320000}"/>
    <cellStyle name="Followed Hyperlink 3" xfId="5745" hidden="1" xr:uid="{00000000-0005-0000-0000-00002A320000}"/>
    <cellStyle name="Followed Hyperlink 3" xfId="5750" hidden="1" xr:uid="{00000000-0005-0000-0000-00002B320000}"/>
    <cellStyle name="Followed Hyperlink 3" xfId="5760" hidden="1" xr:uid="{00000000-0005-0000-0000-00002C320000}"/>
    <cellStyle name="Followed Hyperlink 3" xfId="5762" hidden="1" xr:uid="{00000000-0005-0000-0000-00002D320000}"/>
    <cellStyle name="Followed Hyperlink 3" xfId="5758" hidden="1" xr:uid="{00000000-0005-0000-0000-00002E320000}"/>
    <cellStyle name="Followed Hyperlink 3" xfId="5757" hidden="1" xr:uid="{00000000-0005-0000-0000-00002F320000}"/>
    <cellStyle name="Followed Hyperlink 3" xfId="5763" hidden="1" xr:uid="{00000000-0005-0000-0000-000030320000}"/>
    <cellStyle name="Followed Hyperlink 3" xfId="5766" hidden="1" xr:uid="{00000000-0005-0000-0000-000031320000}"/>
    <cellStyle name="Followed Hyperlink 3" xfId="5769" hidden="1" xr:uid="{00000000-0005-0000-0000-000032320000}"/>
    <cellStyle name="Followed Hyperlink 3" xfId="5774" hidden="1" xr:uid="{00000000-0005-0000-0000-000033320000}"/>
    <cellStyle name="Followed Hyperlink 3" xfId="5784" hidden="1" xr:uid="{00000000-0005-0000-0000-000034320000}"/>
    <cellStyle name="Followed Hyperlink 3" xfId="5786" hidden="1" xr:uid="{00000000-0005-0000-0000-000035320000}"/>
    <cellStyle name="Followed Hyperlink 3" xfId="5782" hidden="1" xr:uid="{00000000-0005-0000-0000-000036320000}"/>
    <cellStyle name="Followed Hyperlink 3" xfId="5781" hidden="1" xr:uid="{00000000-0005-0000-0000-000037320000}"/>
    <cellStyle name="Followed Hyperlink 3" xfId="5787" hidden="1" xr:uid="{00000000-0005-0000-0000-000038320000}"/>
    <cellStyle name="Followed Hyperlink 3" xfId="5790" hidden="1" xr:uid="{00000000-0005-0000-0000-000039320000}"/>
    <cellStyle name="Followed Hyperlink 3" xfId="5793" hidden="1" xr:uid="{00000000-0005-0000-0000-00003A320000}"/>
    <cellStyle name="Followed Hyperlink 3" xfId="5798" hidden="1" xr:uid="{00000000-0005-0000-0000-00003B320000}"/>
    <cellStyle name="Followed Hyperlink 3" xfId="4841" hidden="1" xr:uid="{00000000-0005-0000-0000-00003C320000}"/>
    <cellStyle name="Followed Hyperlink 3" xfId="5368" hidden="1" xr:uid="{00000000-0005-0000-0000-00003D320000}"/>
    <cellStyle name="Followed Hyperlink 3" xfId="4838" hidden="1" xr:uid="{00000000-0005-0000-0000-00003E320000}"/>
    <cellStyle name="Followed Hyperlink 3" xfId="4830" hidden="1" xr:uid="{00000000-0005-0000-0000-00003F320000}"/>
    <cellStyle name="Followed Hyperlink 3" xfId="4835" hidden="1" xr:uid="{00000000-0005-0000-0000-000040320000}"/>
    <cellStyle name="Followed Hyperlink 3" xfId="5803" hidden="1" xr:uid="{00000000-0005-0000-0000-000041320000}"/>
    <cellStyle name="Followed Hyperlink 3" xfId="5806" hidden="1" xr:uid="{00000000-0005-0000-0000-000042320000}"/>
    <cellStyle name="Followed Hyperlink 3" xfId="5811" hidden="1" xr:uid="{00000000-0005-0000-0000-000043320000}"/>
    <cellStyle name="Followed Hyperlink 3" xfId="5821" hidden="1" xr:uid="{00000000-0005-0000-0000-000044320000}"/>
    <cellStyle name="Followed Hyperlink 3" xfId="5823" hidden="1" xr:uid="{00000000-0005-0000-0000-000045320000}"/>
    <cellStyle name="Followed Hyperlink 3" xfId="5819" hidden="1" xr:uid="{00000000-0005-0000-0000-000046320000}"/>
    <cellStyle name="Followed Hyperlink 3" xfId="5818" hidden="1" xr:uid="{00000000-0005-0000-0000-000047320000}"/>
    <cellStyle name="Followed Hyperlink 3" xfId="5824" hidden="1" xr:uid="{00000000-0005-0000-0000-000048320000}"/>
    <cellStyle name="Followed Hyperlink 3" xfId="5827" hidden="1" xr:uid="{00000000-0005-0000-0000-000049320000}"/>
    <cellStyle name="Followed Hyperlink 3" xfId="5830" hidden="1" xr:uid="{00000000-0005-0000-0000-00004A320000}"/>
    <cellStyle name="Followed Hyperlink 3" xfId="5835" hidden="1" xr:uid="{00000000-0005-0000-0000-00004B320000}"/>
    <cellStyle name="Followed Hyperlink 3" xfId="5846" hidden="1" xr:uid="{00000000-0005-0000-0000-00004C320000}"/>
    <cellStyle name="Followed Hyperlink 3" xfId="5848" hidden="1" xr:uid="{00000000-0005-0000-0000-00004D320000}"/>
    <cellStyle name="Followed Hyperlink 3" xfId="5844" hidden="1" xr:uid="{00000000-0005-0000-0000-00004E320000}"/>
    <cellStyle name="Followed Hyperlink 3" xfId="5843" hidden="1" xr:uid="{00000000-0005-0000-0000-00004F320000}"/>
    <cellStyle name="Followed Hyperlink 3" xfId="5849" hidden="1" xr:uid="{00000000-0005-0000-0000-000050320000}"/>
    <cellStyle name="Followed Hyperlink 3" xfId="5852" hidden="1" xr:uid="{00000000-0005-0000-0000-000051320000}"/>
    <cellStyle name="Followed Hyperlink 3" xfId="5855" hidden="1" xr:uid="{00000000-0005-0000-0000-000052320000}"/>
    <cellStyle name="Followed Hyperlink 3" xfId="5860" hidden="1" xr:uid="{00000000-0005-0000-0000-000053320000}"/>
    <cellStyle name="Followed Hyperlink 3" xfId="5870" hidden="1" xr:uid="{00000000-0005-0000-0000-000054320000}"/>
    <cellStyle name="Followed Hyperlink 3" xfId="5872" hidden="1" xr:uid="{00000000-0005-0000-0000-000055320000}"/>
    <cellStyle name="Followed Hyperlink 3" xfId="5868" hidden="1" xr:uid="{00000000-0005-0000-0000-000056320000}"/>
    <cellStyle name="Followed Hyperlink 3" xfId="5867" hidden="1" xr:uid="{00000000-0005-0000-0000-000057320000}"/>
    <cellStyle name="Followed Hyperlink 3" xfId="5873" hidden="1" xr:uid="{00000000-0005-0000-0000-000058320000}"/>
    <cellStyle name="Followed Hyperlink 3" xfId="5876" hidden="1" xr:uid="{00000000-0005-0000-0000-000059320000}"/>
    <cellStyle name="Followed Hyperlink 3" xfId="5879" hidden="1" xr:uid="{00000000-0005-0000-0000-00005A320000}"/>
    <cellStyle name="Followed Hyperlink 3" xfId="5884" hidden="1" xr:uid="{00000000-0005-0000-0000-00005B320000}"/>
    <cellStyle name="Followed Hyperlink 3" xfId="5923" hidden="1" xr:uid="{00000000-0005-0000-0000-00005C320000}"/>
    <cellStyle name="Followed Hyperlink 3" xfId="5925" hidden="1" xr:uid="{00000000-0005-0000-0000-00005D320000}"/>
    <cellStyle name="Followed Hyperlink 3" xfId="5921" hidden="1" xr:uid="{00000000-0005-0000-0000-00005E320000}"/>
    <cellStyle name="Followed Hyperlink 3" xfId="5920" hidden="1" xr:uid="{00000000-0005-0000-0000-00005F320000}"/>
    <cellStyle name="Followed Hyperlink 3" xfId="5926" hidden="1" xr:uid="{00000000-0005-0000-0000-000060320000}"/>
    <cellStyle name="Followed Hyperlink 3" xfId="5929" hidden="1" xr:uid="{00000000-0005-0000-0000-000061320000}"/>
    <cellStyle name="Followed Hyperlink 3" xfId="5932" hidden="1" xr:uid="{00000000-0005-0000-0000-000062320000}"/>
    <cellStyle name="Followed Hyperlink 3" xfId="5937" hidden="1" xr:uid="{00000000-0005-0000-0000-000063320000}"/>
    <cellStyle name="Followed Hyperlink 3" xfId="5947" hidden="1" xr:uid="{00000000-0005-0000-0000-000064320000}"/>
    <cellStyle name="Followed Hyperlink 3" xfId="5949" hidden="1" xr:uid="{00000000-0005-0000-0000-000065320000}"/>
    <cellStyle name="Followed Hyperlink 3" xfId="5945" hidden="1" xr:uid="{00000000-0005-0000-0000-000066320000}"/>
    <cellStyle name="Followed Hyperlink 3" xfId="5944" hidden="1" xr:uid="{00000000-0005-0000-0000-000067320000}"/>
    <cellStyle name="Followed Hyperlink 3" xfId="5950" hidden="1" xr:uid="{00000000-0005-0000-0000-000068320000}"/>
    <cellStyle name="Followed Hyperlink 3" xfId="5953" hidden="1" xr:uid="{00000000-0005-0000-0000-000069320000}"/>
    <cellStyle name="Followed Hyperlink 3" xfId="5956" hidden="1" xr:uid="{00000000-0005-0000-0000-00006A320000}"/>
    <cellStyle name="Followed Hyperlink 3" xfId="5961" hidden="1" xr:uid="{00000000-0005-0000-0000-00006B320000}"/>
    <cellStyle name="Followed Hyperlink 3" xfId="5973" hidden="1" xr:uid="{00000000-0005-0000-0000-00006C320000}"/>
    <cellStyle name="Followed Hyperlink 3" xfId="5975" hidden="1" xr:uid="{00000000-0005-0000-0000-00006D320000}"/>
    <cellStyle name="Followed Hyperlink 3" xfId="5971" hidden="1" xr:uid="{00000000-0005-0000-0000-00006E320000}"/>
    <cellStyle name="Followed Hyperlink 3" xfId="5970" hidden="1" xr:uid="{00000000-0005-0000-0000-00006F320000}"/>
    <cellStyle name="Followed Hyperlink 3" xfId="5976" hidden="1" xr:uid="{00000000-0005-0000-0000-000070320000}"/>
    <cellStyle name="Followed Hyperlink 3" xfId="5979" hidden="1" xr:uid="{00000000-0005-0000-0000-000071320000}"/>
    <cellStyle name="Followed Hyperlink 3" xfId="5982" hidden="1" xr:uid="{00000000-0005-0000-0000-000072320000}"/>
    <cellStyle name="Followed Hyperlink 3" xfId="5987" hidden="1" xr:uid="{00000000-0005-0000-0000-000073320000}"/>
    <cellStyle name="Followed Hyperlink 3" xfId="5997" hidden="1" xr:uid="{00000000-0005-0000-0000-000074320000}"/>
    <cellStyle name="Followed Hyperlink 3" xfId="5999" hidden="1" xr:uid="{00000000-0005-0000-0000-000075320000}"/>
    <cellStyle name="Followed Hyperlink 3" xfId="5995" hidden="1" xr:uid="{00000000-0005-0000-0000-000076320000}"/>
    <cellStyle name="Followed Hyperlink 3" xfId="5994" hidden="1" xr:uid="{00000000-0005-0000-0000-000077320000}"/>
    <cellStyle name="Followed Hyperlink 3" xfId="6000" hidden="1" xr:uid="{00000000-0005-0000-0000-000078320000}"/>
    <cellStyle name="Followed Hyperlink 3" xfId="6003" hidden="1" xr:uid="{00000000-0005-0000-0000-000079320000}"/>
    <cellStyle name="Followed Hyperlink 3" xfId="6006" hidden="1" xr:uid="{00000000-0005-0000-0000-00007A320000}"/>
    <cellStyle name="Followed Hyperlink 3" xfId="6011" hidden="1" xr:uid="{00000000-0005-0000-0000-00007B320000}"/>
    <cellStyle name="Followed Hyperlink 3" xfId="5887" hidden="1" xr:uid="{00000000-0005-0000-0000-00007C320000}"/>
    <cellStyle name="Followed Hyperlink 3" xfId="5964" hidden="1" xr:uid="{00000000-0005-0000-0000-00007D320000}"/>
    <cellStyle name="Followed Hyperlink 3" xfId="5891" hidden="1" xr:uid="{00000000-0005-0000-0000-00007E320000}"/>
    <cellStyle name="Followed Hyperlink 3" xfId="5892" hidden="1" xr:uid="{00000000-0005-0000-0000-00007F320000}"/>
    <cellStyle name="Followed Hyperlink 3" xfId="5895" hidden="1" xr:uid="{00000000-0005-0000-0000-000080320000}"/>
    <cellStyle name="Followed Hyperlink 3" xfId="6016" hidden="1" xr:uid="{00000000-0005-0000-0000-000081320000}"/>
    <cellStyle name="Followed Hyperlink 3" xfId="6019" hidden="1" xr:uid="{00000000-0005-0000-0000-000082320000}"/>
    <cellStyle name="Followed Hyperlink 3" xfId="6024" hidden="1" xr:uid="{00000000-0005-0000-0000-000083320000}"/>
    <cellStyle name="Followed Hyperlink 3" xfId="6034" hidden="1" xr:uid="{00000000-0005-0000-0000-000084320000}"/>
    <cellStyle name="Followed Hyperlink 3" xfId="6036" hidden="1" xr:uid="{00000000-0005-0000-0000-000085320000}"/>
    <cellStyle name="Followed Hyperlink 3" xfId="6032" hidden="1" xr:uid="{00000000-0005-0000-0000-000086320000}"/>
    <cellStyle name="Followed Hyperlink 3" xfId="6031" hidden="1" xr:uid="{00000000-0005-0000-0000-000087320000}"/>
    <cellStyle name="Followed Hyperlink 3" xfId="6037" hidden="1" xr:uid="{00000000-0005-0000-0000-000088320000}"/>
    <cellStyle name="Followed Hyperlink 3" xfId="6040" hidden="1" xr:uid="{00000000-0005-0000-0000-000089320000}"/>
    <cellStyle name="Followed Hyperlink 3" xfId="6043" hidden="1" xr:uid="{00000000-0005-0000-0000-00008A320000}"/>
    <cellStyle name="Followed Hyperlink 3" xfId="6048" hidden="1" xr:uid="{00000000-0005-0000-0000-00008B320000}"/>
    <cellStyle name="Followed Hyperlink 3" xfId="6059" hidden="1" xr:uid="{00000000-0005-0000-0000-00008C320000}"/>
    <cellStyle name="Followed Hyperlink 3" xfId="6061" hidden="1" xr:uid="{00000000-0005-0000-0000-00008D320000}"/>
    <cellStyle name="Followed Hyperlink 3" xfId="6057" hidden="1" xr:uid="{00000000-0005-0000-0000-00008E320000}"/>
    <cellStyle name="Followed Hyperlink 3" xfId="6056" hidden="1" xr:uid="{00000000-0005-0000-0000-00008F320000}"/>
    <cellStyle name="Followed Hyperlink 3" xfId="6062" hidden="1" xr:uid="{00000000-0005-0000-0000-000090320000}"/>
    <cellStyle name="Followed Hyperlink 3" xfId="6065" hidden="1" xr:uid="{00000000-0005-0000-0000-000091320000}"/>
    <cellStyle name="Followed Hyperlink 3" xfId="6068" hidden="1" xr:uid="{00000000-0005-0000-0000-000092320000}"/>
    <cellStyle name="Followed Hyperlink 3" xfId="6073" hidden="1" xr:uid="{00000000-0005-0000-0000-000093320000}"/>
    <cellStyle name="Followed Hyperlink 3" xfId="6083" hidden="1" xr:uid="{00000000-0005-0000-0000-000094320000}"/>
    <cellStyle name="Followed Hyperlink 3" xfId="6085" hidden="1" xr:uid="{00000000-0005-0000-0000-000095320000}"/>
    <cellStyle name="Followed Hyperlink 3" xfId="6081" hidden="1" xr:uid="{00000000-0005-0000-0000-000096320000}"/>
    <cellStyle name="Followed Hyperlink 3" xfId="6080" hidden="1" xr:uid="{00000000-0005-0000-0000-000097320000}"/>
    <cellStyle name="Followed Hyperlink 3" xfId="6086" hidden="1" xr:uid="{00000000-0005-0000-0000-000098320000}"/>
    <cellStyle name="Followed Hyperlink 3" xfId="6089" hidden="1" xr:uid="{00000000-0005-0000-0000-000099320000}"/>
    <cellStyle name="Followed Hyperlink 3" xfId="6092" hidden="1" xr:uid="{00000000-0005-0000-0000-00009A320000}"/>
    <cellStyle name="Followed Hyperlink 3" xfId="6097" hidden="1" xr:uid="{00000000-0005-0000-0000-00009B320000}"/>
    <cellStyle name="Followed Hyperlink 3" xfId="5908" hidden="1" xr:uid="{00000000-0005-0000-0000-00009C320000}"/>
    <cellStyle name="Followed Hyperlink 3" xfId="6051" hidden="1" xr:uid="{00000000-0005-0000-0000-00009D320000}"/>
    <cellStyle name="Followed Hyperlink 3" xfId="5905" hidden="1" xr:uid="{00000000-0005-0000-0000-00009E320000}"/>
    <cellStyle name="Followed Hyperlink 3" xfId="5897" hidden="1" xr:uid="{00000000-0005-0000-0000-00009F320000}"/>
    <cellStyle name="Followed Hyperlink 3" xfId="5902" hidden="1" xr:uid="{00000000-0005-0000-0000-0000A0320000}"/>
    <cellStyle name="Followed Hyperlink 3" xfId="6102" hidden="1" xr:uid="{00000000-0005-0000-0000-0000A1320000}"/>
    <cellStyle name="Followed Hyperlink 3" xfId="6105" hidden="1" xr:uid="{00000000-0005-0000-0000-0000A2320000}"/>
    <cellStyle name="Followed Hyperlink 3" xfId="6110" hidden="1" xr:uid="{00000000-0005-0000-0000-0000A3320000}"/>
    <cellStyle name="Followed Hyperlink 3" xfId="6120" hidden="1" xr:uid="{00000000-0005-0000-0000-0000A4320000}"/>
    <cellStyle name="Followed Hyperlink 3" xfId="6122" hidden="1" xr:uid="{00000000-0005-0000-0000-0000A5320000}"/>
    <cellStyle name="Followed Hyperlink 3" xfId="6118" hidden="1" xr:uid="{00000000-0005-0000-0000-0000A6320000}"/>
    <cellStyle name="Followed Hyperlink 3" xfId="6117" hidden="1" xr:uid="{00000000-0005-0000-0000-0000A7320000}"/>
    <cellStyle name="Followed Hyperlink 3" xfId="6123" hidden="1" xr:uid="{00000000-0005-0000-0000-0000A8320000}"/>
    <cellStyle name="Followed Hyperlink 3" xfId="6126" hidden="1" xr:uid="{00000000-0005-0000-0000-0000A9320000}"/>
    <cellStyle name="Followed Hyperlink 3" xfId="6129" hidden="1" xr:uid="{00000000-0005-0000-0000-0000AA320000}"/>
    <cellStyle name="Followed Hyperlink 3" xfId="6134" hidden="1" xr:uid="{00000000-0005-0000-0000-0000AB320000}"/>
    <cellStyle name="Followed Hyperlink 3" xfId="6145" hidden="1" xr:uid="{00000000-0005-0000-0000-0000AC320000}"/>
    <cellStyle name="Followed Hyperlink 3" xfId="6147" hidden="1" xr:uid="{00000000-0005-0000-0000-0000AD320000}"/>
    <cellStyle name="Followed Hyperlink 3" xfId="6143" hidden="1" xr:uid="{00000000-0005-0000-0000-0000AE320000}"/>
    <cellStyle name="Followed Hyperlink 3" xfId="6142" hidden="1" xr:uid="{00000000-0005-0000-0000-0000AF320000}"/>
    <cellStyle name="Followed Hyperlink 3" xfId="6148" hidden="1" xr:uid="{00000000-0005-0000-0000-0000B0320000}"/>
    <cellStyle name="Followed Hyperlink 3" xfId="6151" hidden="1" xr:uid="{00000000-0005-0000-0000-0000B1320000}"/>
    <cellStyle name="Followed Hyperlink 3" xfId="6154" hidden="1" xr:uid="{00000000-0005-0000-0000-0000B2320000}"/>
    <cellStyle name="Followed Hyperlink 3" xfId="6159" hidden="1" xr:uid="{00000000-0005-0000-0000-0000B3320000}"/>
    <cellStyle name="Followed Hyperlink 3" xfId="6169" hidden="1" xr:uid="{00000000-0005-0000-0000-0000B4320000}"/>
    <cellStyle name="Followed Hyperlink 3" xfId="6171" hidden="1" xr:uid="{00000000-0005-0000-0000-0000B5320000}"/>
    <cellStyle name="Followed Hyperlink 3" xfId="6167" hidden="1" xr:uid="{00000000-0005-0000-0000-0000B6320000}"/>
    <cellStyle name="Followed Hyperlink 3" xfId="6166" hidden="1" xr:uid="{00000000-0005-0000-0000-0000B7320000}"/>
    <cellStyle name="Followed Hyperlink 3" xfId="6172" hidden="1" xr:uid="{00000000-0005-0000-0000-0000B8320000}"/>
    <cellStyle name="Followed Hyperlink 3" xfId="6175" hidden="1" xr:uid="{00000000-0005-0000-0000-0000B9320000}"/>
    <cellStyle name="Followed Hyperlink 3" xfId="6178" hidden="1" xr:uid="{00000000-0005-0000-0000-0000BA320000}"/>
    <cellStyle name="Followed Hyperlink 3" xfId="6183" hidden="1" xr:uid="{00000000-0005-0000-0000-0000BB320000}"/>
    <cellStyle name="Followed Hyperlink 3" xfId="5913" hidden="1" xr:uid="{00000000-0005-0000-0000-0000BC320000}"/>
    <cellStyle name="Followed Hyperlink 3" xfId="6137" hidden="1" xr:uid="{00000000-0005-0000-0000-0000BD320000}"/>
    <cellStyle name="Followed Hyperlink 3" xfId="5909" hidden="1" xr:uid="{00000000-0005-0000-0000-0000BE320000}"/>
    <cellStyle name="Followed Hyperlink 3" xfId="5914" hidden="1" xr:uid="{00000000-0005-0000-0000-0000BF320000}"/>
    <cellStyle name="Followed Hyperlink 3" xfId="5901" hidden="1" xr:uid="{00000000-0005-0000-0000-0000C0320000}"/>
    <cellStyle name="Followed Hyperlink 3" xfId="6188" hidden="1" xr:uid="{00000000-0005-0000-0000-0000C1320000}"/>
    <cellStyle name="Followed Hyperlink 3" xfId="6191" hidden="1" xr:uid="{00000000-0005-0000-0000-0000C2320000}"/>
    <cellStyle name="Followed Hyperlink 3" xfId="6196" hidden="1" xr:uid="{00000000-0005-0000-0000-0000C3320000}"/>
    <cellStyle name="Followed Hyperlink 3" xfId="6206" hidden="1" xr:uid="{00000000-0005-0000-0000-0000C4320000}"/>
    <cellStyle name="Followed Hyperlink 3" xfId="6208" hidden="1" xr:uid="{00000000-0005-0000-0000-0000C5320000}"/>
    <cellStyle name="Followed Hyperlink 3" xfId="6204" hidden="1" xr:uid="{00000000-0005-0000-0000-0000C6320000}"/>
    <cellStyle name="Followed Hyperlink 3" xfId="6203" hidden="1" xr:uid="{00000000-0005-0000-0000-0000C7320000}"/>
    <cellStyle name="Followed Hyperlink 3" xfId="6209" hidden="1" xr:uid="{00000000-0005-0000-0000-0000C8320000}"/>
    <cellStyle name="Followed Hyperlink 3" xfId="6212" hidden="1" xr:uid="{00000000-0005-0000-0000-0000C9320000}"/>
    <cellStyle name="Followed Hyperlink 3" xfId="6215" hidden="1" xr:uid="{00000000-0005-0000-0000-0000CA320000}"/>
    <cellStyle name="Followed Hyperlink 3" xfId="6220" hidden="1" xr:uid="{00000000-0005-0000-0000-0000CB320000}"/>
    <cellStyle name="Followed Hyperlink 3" xfId="6230" hidden="1" xr:uid="{00000000-0005-0000-0000-0000CC320000}"/>
    <cellStyle name="Followed Hyperlink 3" xfId="6232" hidden="1" xr:uid="{00000000-0005-0000-0000-0000CD320000}"/>
    <cellStyle name="Followed Hyperlink 3" xfId="6228" hidden="1" xr:uid="{00000000-0005-0000-0000-0000CE320000}"/>
    <cellStyle name="Followed Hyperlink 3" xfId="6227" hidden="1" xr:uid="{00000000-0005-0000-0000-0000CF320000}"/>
    <cellStyle name="Followed Hyperlink 3" xfId="6233" hidden="1" xr:uid="{00000000-0005-0000-0000-0000D0320000}"/>
    <cellStyle name="Followed Hyperlink 3" xfId="6236" hidden="1" xr:uid="{00000000-0005-0000-0000-0000D1320000}"/>
    <cellStyle name="Followed Hyperlink 3" xfId="6239" hidden="1" xr:uid="{00000000-0005-0000-0000-0000D2320000}"/>
    <cellStyle name="Followed Hyperlink 3" xfId="6244" hidden="1" xr:uid="{00000000-0005-0000-0000-0000D3320000}"/>
    <cellStyle name="Followed Hyperlink 3" xfId="6254" hidden="1" xr:uid="{00000000-0005-0000-0000-0000D4320000}"/>
    <cellStyle name="Followed Hyperlink 3" xfId="6256" hidden="1" xr:uid="{00000000-0005-0000-0000-0000D5320000}"/>
    <cellStyle name="Followed Hyperlink 3" xfId="6252" hidden="1" xr:uid="{00000000-0005-0000-0000-0000D6320000}"/>
    <cellStyle name="Followed Hyperlink 3" xfId="6251" hidden="1" xr:uid="{00000000-0005-0000-0000-0000D7320000}"/>
    <cellStyle name="Followed Hyperlink 3" xfId="6257" hidden="1" xr:uid="{00000000-0005-0000-0000-0000D8320000}"/>
    <cellStyle name="Followed Hyperlink 3" xfId="6260" hidden="1" xr:uid="{00000000-0005-0000-0000-0000D9320000}"/>
    <cellStyle name="Followed Hyperlink 3" xfId="6263" hidden="1" xr:uid="{00000000-0005-0000-0000-0000DA320000}"/>
    <cellStyle name="Followed Hyperlink 3" xfId="6268" hidden="1" xr:uid="{00000000-0005-0000-0000-0000DB320000}"/>
    <cellStyle name="Followed Hyperlink 3" xfId="4846" hidden="1" xr:uid="{00000000-0005-0000-0000-0000DC320000}"/>
    <cellStyle name="Followed Hyperlink 3" xfId="5838" hidden="1" xr:uid="{00000000-0005-0000-0000-0000DD320000}"/>
    <cellStyle name="Followed Hyperlink 3" xfId="4842" hidden="1" xr:uid="{00000000-0005-0000-0000-0000DE320000}"/>
    <cellStyle name="Followed Hyperlink 3" xfId="4847" hidden="1" xr:uid="{00000000-0005-0000-0000-0000DF320000}"/>
    <cellStyle name="Followed Hyperlink 3" xfId="4834" hidden="1" xr:uid="{00000000-0005-0000-0000-0000E0320000}"/>
    <cellStyle name="Followed Hyperlink 3" xfId="6273" hidden="1" xr:uid="{00000000-0005-0000-0000-0000E1320000}"/>
    <cellStyle name="Followed Hyperlink 3" xfId="6276" hidden="1" xr:uid="{00000000-0005-0000-0000-0000E2320000}"/>
    <cellStyle name="Followed Hyperlink 3" xfId="6281" hidden="1" xr:uid="{00000000-0005-0000-0000-0000E3320000}"/>
    <cellStyle name="Followed Hyperlink 3" xfId="6291" hidden="1" xr:uid="{00000000-0005-0000-0000-0000E4320000}"/>
    <cellStyle name="Followed Hyperlink 3" xfId="6293" hidden="1" xr:uid="{00000000-0005-0000-0000-0000E5320000}"/>
    <cellStyle name="Followed Hyperlink 3" xfId="6289" hidden="1" xr:uid="{00000000-0005-0000-0000-0000E6320000}"/>
    <cellStyle name="Followed Hyperlink 3" xfId="6288" hidden="1" xr:uid="{00000000-0005-0000-0000-0000E7320000}"/>
    <cellStyle name="Followed Hyperlink 3" xfId="6294" hidden="1" xr:uid="{00000000-0005-0000-0000-0000E8320000}"/>
    <cellStyle name="Followed Hyperlink 3" xfId="6297" hidden="1" xr:uid="{00000000-0005-0000-0000-0000E9320000}"/>
    <cellStyle name="Followed Hyperlink 3" xfId="6300" hidden="1" xr:uid="{00000000-0005-0000-0000-0000EA320000}"/>
    <cellStyle name="Followed Hyperlink 3" xfId="6305" hidden="1" xr:uid="{00000000-0005-0000-0000-0000EB320000}"/>
    <cellStyle name="Followed Hyperlink 3" xfId="6315" hidden="1" xr:uid="{00000000-0005-0000-0000-0000EC320000}"/>
    <cellStyle name="Followed Hyperlink 3" xfId="6317" hidden="1" xr:uid="{00000000-0005-0000-0000-0000ED320000}"/>
    <cellStyle name="Followed Hyperlink 3" xfId="6313" hidden="1" xr:uid="{00000000-0005-0000-0000-0000EE320000}"/>
    <cellStyle name="Followed Hyperlink 3" xfId="6312" hidden="1" xr:uid="{00000000-0005-0000-0000-0000EF320000}"/>
    <cellStyle name="Followed Hyperlink 3" xfId="6318" hidden="1" xr:uid="{00000000-0005-0000-0000-0000F0320000}"/>
    <cellStyle name="Followed Hyperlink 3" xfId="6321" hidden="1" xr:uid="{00000000-0005-0000-0000-0000F1320000}"/>
    <cellStyle name="Followed Hyperlink 3" xfId="6324" hidden="1" xr:uid="{00000000-0005-0000-0000-0000F2320000}"/>
    <cellStyle name="Followed Hyperlink 3" xfId="6329" hidden="1" xr:uid="{00000000-0005-0000-0000-0000F3320000}"/>
    <cellStyle name="Followed Hyperlink 3" xfId="6339" hidden="1" xr:uid="{00000000-0005-0000-0000-0000F4320000}"/>
    <cellStyle name="Followed Hyperlink 3" xfId="6341" hidden="1" xr:uid="{00000000-0005-0000-0000-0000F5320000}"/>
    <cellStyle name="Followed Hyperlink 3" xfId="6337" hidden="1" xr:uid="{00000000-0005-0000-0000-0000F6320000}"/>
    <cellStyle name="Followed Hyperlink 3" xfId="6336" hidden="1" xr:uid="{00000000-0005-0000-0000-0000F7320000}"/>
    <cellStyle name="Followed Hyperlink 3" xfId="6342" hidden="1" xr:uid="{00000000-0005-0000-0000-0000F8320000}"/>
    <cellStyle name="Followed Hyperlink 3" xfId="6345" hidden="1" xr:uid="{00000000-0005-0000-0000-0000F9320000}"/>
    <cellStyle name="Followed Hyperlink 3" xfId="6348" hidden="1" xr:uid="{00000000-0005-0000-0000-0000FA320000}"/>
    <cellStyle name="Followed Hyperlink 3" xfId="6353" hidden="1" xr:uid="{00000000-0005-0000-0000-0000FB320000}"/>
    <cellStyle name="Followed Hyperlink 3" xfId="6392" hidden="1" xr:uid="{00000000-0005-0000-0000-0000FC320000}"/>
    <cellStyle name="Followed Hyperlink 3" xfId="6394" hidden="1" xr:uid="{00000000-0005-0000-0000-0000FD320000}"/>
    <cellStyle name="Followed Hyperlink 3" xfId="6390" hidden="1" xr:uid="{00000000-0005-0000-0000-0000FE320000}"/>
    <cellStyle name="Followed Hyperlink 3" xfId="6389" hidden="1" xr:uid="{00000000-0005-0000-0000-0000FF320000}"/>
    <cellStyle name="Followed Hyperlink 3" xfId="6395" hidden="1" xr:uid="{00000000-0005-0000-0000-000000330000}"/>
    <cellStyle name="Followed Hyperlink 3" xfId="6398" hidden="1" xr:uid="{00000000-0005-0000-0000-000001330000}"/>
    <cellStyle name="Followed Hyperlink 3" xfId="6401" hidden="1" xr:uid="{00000000-0005-0000-0000-000002330000}"/>
    <cellStyle name="Followed Hyperlink 3" xfId="6406" hidden="1" xr:uid="{00000000-0005-0000-0000-000003330000}"/>
    <cellStyle name="Followed Hyperlink 3" xfId="6416" hidden="1" xr:uid="{00000000-0005-0000-0000-000004330000}"/>
    <cellStyle name="Followed Hyperlink 3" xfId="6418" hidden="1" xr:uid="{00000000-0005-0000-0000-000005330000}"/>
    <cellStyle name="Followed Hyperlink 3" xfId="6414" hidden="1" xr:uid="{00000000-0005-0000-0000-000006330000}"/>
    <cellStyle name="Followed Hyperlink 3" xfId="6413" hidden="1" xr:uid="{00000000-0005-0000-0000-000007330000}"/>
    <cellStyle name="Followed Hyperlink 3" xfId="6419" hidden="1" xr:uid="{00000000-0005-0000-0000-000008330000}"/>
    <cellStyle name="Followed Hyperlink 3" xfId="6422" hidden="1" xr:uid="{00000000-0005-0000-0000-000009330000}"/>
    <cellStyle name="Followed Hyperlink 3" xfId="6425" hidden="1" xr:uid="{00000000-0005-0000-0000-00000A330000}"/>
    <cellStyle name="Followed Hyperlink 3" xfId="6430" hidden="1" xr:uid="{00000000-0005-0000-0000-00000B330000}"/>
    <cellStyle name="Followed Hyperlink 3" xfId="6442" hidden="1" xr:uid="{00000000-0005-0000-0000-00000C330000}"/>
    <cellStyle name="Followed Hyperlink 3" xfId="6444" hidden="1" xr:uid="{00000000-0005-0000-0000-00000D330000}"/>
    <cellStyle name="Followed Hyperlink 3" xfId="6440" hidden="1" xr:uid="{00000000-0005-0000-0000-00000E330000}"/>
    <cellStyle name="Followed Hyperlink 3" xfId="6439" hidden="1" xr:uid="{00000000-0005-0000-0000-00000F330000}"/>
    <cellStyle name="Followed Hyperlink 3" xfId="6445" hidden="1" xr:uid="{00000000-0005-0000-0000-000010330000}"/>
    <cellStyle name="Followed Hyperlink 3" xfId="6448" hidden="1" xr:uid="{00000000-0005-0000-0000-000011330000}"/>
    <cellStyle name="Followed Hyperlink 3" xfId="6451" hidden="1" xr:uid="{00000000-0005-0000-0000-000012330000}"/>
    <cellStyle name="Followed Hyperlink 3" xfId="6456" hidden="1" xr:uid="{00000000-0005-0000-0000-000013330000}"/>
    <cellStyle name="Followed Hyperlink 3" xfId="6466" hidden="1" xr:uid="{00000000-0005-0000-0000-000014330000}"/>
    <cellStyle name="Followed Hyperlink 3" xfId="6468" hidden="1" xr:uid="{00000000-0005-0000-0000-000015330000}"/>
    <cellStyle name="Followed Hyperlink 3" xfId="6464" hidden="1" xr:uid="{00000000-0005-0000-0000-000016330000}"/>
    <cellStyle name="Followed Hyperlink 3" xfId="6463" hidden="1" xr:uid="{00000000-0005-0000-0000-000017330000}"/>
    <cellStyle name="Followed Hyperlink 3" xfId="6469" hidden="1" xr:uid="{00000000-0005-0000-0000-000018330000}"/>
    <cellStyle name="Followed Hyperlink 3" xfId="6472" hidden="1" xr:uid="{00000000-0005-0000-0000-000019330000}"/>
    <cellStyle name="Followed Hyperlink 3" xfId="6475" hidden="1" xr:uid="{00000000-0005-0000-0000-00001A330000}"/>
    <cellStyle name="Followed Hyperlink 3" xfId="6480" hidden="1" xr:uid="{00000000-0005-0000-0000-00001B330000}"/>
    <cellStyle name="Followed Hyperlink 3" xfId="6356" hidden="1" xr:uid="{00000000-0005-0000-0000-00001C330000}"/>
    <cellStyle name="Followed Hyperlink 3" xfId="6433" hidden="1" xr:uid="{00000000-0005-0000-0000-00001D330000}"/>
    <cellStyle name="Followed Hyperlink 3" xfId="6360" hidden="1" xr:uid="{00000000-0005-0000-0000-00001E330000}"/>
    <cellStyle name="Followed Hyperlink 3" xfId="6361" hidden="1" xr:uid="{00000000-0005-0000-0000-00001F330000}"/>
    <cellStyle name="Followed Hyperlink 3" xfId="6364" hidden="1" xr:uid="{00000000-0005-0000-0000-000020330000}"/>
    <cellStyle name="Followed Hyperlink 3" xfId="6485" hidden="1" xr:uid="{00000000-0005-0000-0000-000021330000}"/>
    <cellStyle name="Followed Hyperlink 3" xfId="6488" hidden="1" xr:uid="{00000000-0005-0000-0000-000022330000}"/>
    <cellStyle name="Followed Hyperlink 3" xfId="6493" hidden="1" xr:uid="{00000000-0005-0000-0000-000023330000}"/>
    <cellStyle name="Followed Hyperlink 3" xfId="6503" hidden="1" xr:uid="{00000000-0005-0000-0000-000024330000}"/>
    <cellStyle name="Followed Hyperlink 3" xfId="6505" hidden="1" xr:uid="{00000000-0005-0000-0000-000025330000}"/>
    <cellStyle name="Followed Hyperlink 3" xfId="6501" hidden="1" xr:uid="{00000000-0005-0000-0000-000026330000}"/>
    <cellStyle name="Followed Hyperlink 3" xfId="6500" hidden="1" xr:uid="{00000000-0005-0000-0000-000027330000}"/>
    <cellStyle name="Followed Hyperlink 3" xfId="6506" hidden="1" xr:uid="{00000000-0005-0000-0000-000028330000}"/>
    <cellStyle name="Followed Hyperlink 3" xfId="6509" hidden="1" xr:uid="{00000000-0005-0000-0000-000029330000}"/>
    <cellStyle name="Followed Hyperlink 3" xfId="6512" hidden="1" xr:uid="{00000000-0005-0000-0000-00002A330000}"/>
    <cellStyle name="Followed Hyperlink 3" xfId="6517" hidden="1" xr:uid="{00000000-0005-0000-0000-00002B330000}"/>
    <cellStyle name="Followed Hyperlink 3" xfId="6528" hidden="1" xr:uid="{00000000-0005-0000-0000-00002C330000}"/>
    <cellStyle name="Followed Hyperlink 3" xfId="6530" hidden="1" xr:uid="{00000000-0005-0000-0000-00002D330000}"/>
    <cellStyle name="Followed Hyperlink 3" xfId="6526" hidden="1" xr:uid="{00000000-0005-0000-0000-00002E330000}"/>
    <cellStyle name="Followed Hyperlink 3" xfId="6525" hidden="1" xr:uid="{00000000-0005-0000-0000-00002F330000}"/>
    <cellStyle name="Followed Hyperlink 3" xfId="6531" hidden="1" xr:uid="{00000000-0005-0000-0000-000030330000}"/>
    <cellStyle name="Followed Hyperlink 3" xfId="6534" hidden="1" xr:uid="{00000000-0005-0000-0000-000031330000}"/>
    <cellStyle name="Followed Hyperlink 3" xfId="6537" hidden="1" xr:uid="{00000000-0005-0000-0000-000032330000}"/>
    <cellStyle name="Followed Hyperlink 3" xfId="6542" hidden="1" xr:uid="{00000000-0005-0000-0000-000033330000}"/>
    <cellStyle name="Followed Hyperlink 3" xfId="6552" hidden="1" xr:uid="{00000000-0005-0000-0000-000034330000}"/>
    <cellStyle name="Followed Hyperlink 3" xfId="6554" hidden="1" xr:uid="{00000000-0005-0000-0000-000035330000}"/>
    <cellStyle name="Followed Hyperlink 3" xfId="6550" hidden="1" xr:uid="{00000000-0005-0000-0000-000036330000}"/>
    <cellStyle name="Followed Hyperlink 3" xfId="6549" hidden="1" xr:uid="{00000000-0005-0000-0000-000037330000}"/>
    <cellStyle name="Followed Hyperlink 3" xfId="6555" hidden="1" xr:uid="{00000000-0005-0000-0000-000038330000}"/>
    <cellStyle name="Followed Hyperlink 3" xfId="6558" hidden="1" xr:uid="{00000000-0005-0000-0000-000039330000}"/>
    <cellStyle name="Followed Hyperlink 3" xfId="6561" hidden="1" xr:uid="{00000000-0005-0000-0000-00003A330000}"/>
    <cellStyle name="Followed Hyperlink 3" xfId="6566" hidden="1" xr:uid="{00000000-0005-0000-0000-00003B330000}"/>
    <cellStyle name="Followed Hyperlink 3" xfId="6377" hidden="1" xr:uid="{00000000-0005-0000-0000-00003C330000}"/>
    <cellStyle name="Followed Hyperlink 3" xfId="6520" hidden="1" xr:uid="{00000000-0005-0000-0000-00003D330000}"/>
    <cellStyle name="Followed Hyperlink 3" xfId="6374" hidden="1" xr:uid="{00000000-0005-0000-0000-00003E330000}"/>
    <cellStyle name="Followed Hyperlink 3" xfId="6366" hidden="1" xr:uid="{00000000-0005-0000-0000-00003F330000}"/>
    <cellStyle name="Followed Hyperlink 3" xfId="6371" hidden="1" xr:uid="{00000000-0005-0000-0000-000040330000}"/>
    <cellStyle name="Followed Hyperlink 3" xfId="6571" hidden="1" xr:uid="{00000000-0005-0000-0000-000041330000}"/>
    <cellStyle name="Followed Hyperlink 3" xfId="6574" hidden="1" xr:uid="{00000000-0005-0000-0000-000042330000}"/>
    <cellStyle name="Followed Hyperlink 3" xfId="6579" hidden="1" xr:uid="{00000000-0005-0000-0000-000043330000}"/>
    <cellStyle name="Followed Hyperlink 3" xfId="6589" hidden="1" xr:uid="{00000000-0005-0000-0000-000044330000}"/>
    <cellStyle name="Followed Hyperlink 3" xfId="6591" hidden="1" xr:uid="{00000000-0005-0000-0000-000045330000}"/>
    <cellStyle name="Followed Hyperlink 3" xfId="6587" hidden="1" xr:uid="{00000000-0005-0000-0000-000046330000}"/>
    <cellStyle name="Followed Hyperlink 3" xfId="6586" hidden="1" xr:uid="{00000000-0005-0000-0000-000047330000}"/>
    <cellStyle name="Followed Hyperlink 3" xfId="6592" hidden="1" xr:uid="{00000000-0005-0000-0000-000048330000}"/>
    <cellStyle name="Followed Hyperlink 3" xfId="6595" hidden="1" xr:uid="{00000000-0005-0000-0000-000049330000}"/>
    <cellStyle name="Followed Hyperlink 3" xfId="6598" hidden="1" xr:uid="{00000000-0005-0000-0000-00004A330000}"/>
    <cellStyle name="Followed Hyperlink 3" xfId="6603" hidden="1" xr:uid="{00000000-0005-0000-0000-00004B330000}"/>
    <cellStyle name="Followed Hyperlink 3" xfId="6614" hidden="1" xr:uid="{00000000-0005-0000-0000-00004C330000}"/>
    <cellStyle name="Followed Hyperlink 3" xfId="6616" hidden="1" xr:uid="{00000000-0005-0000-0000-00004D330000}"/>
    <cellStyle name="Followed Hyperlink 3" xfId="6612" hidden="1" xr:uid="{00000000-0005-0000-0000-00004E330000}"/>
    <cellStyle name="Followed Hyperlink 3" xfId="6611" hidden="1" xr:uid="{00000000-0005-0000-0000-00004F330000}"/>
    <cellStyle name="Followed Hyperlink 3" xfId="6617" hidden="1" xr:uid="{00000000-0005-0000-0000-000050330000}"/>
    <cellStyle name="Followed Hyperlink 3" xfId="6620" hidden="1" xr:uid="{00000000-0005-0000-0000-000051330000}"/>
    <cellStyle name="Followed Hyperlink 3" xfId="6623" hidden="1" xr:uid="{00000000-0005-0000-0000-000052330000}"/>
    <cellStyle name="Followed Hyperlink 3" xfId="6628" hidden="1" xr:uid="{00000000-0005-0000-0000-000053330000}"/>
    <cellStyle name="Followed Hyperlink 3" xfId="6638" hidden="1" xr:uid="{00000000-0005-0000-0000-000054330000}"/>
    <cellStyle name="Followed Hyperlink 3" xfId="6640" hidden="1" xr:uid="{00000000-0005-0000-0000-000055330000}"/>
    <cellStyle name="Followed Hyperlink 3" xfId="6636" hidden="1" xr:uid="{00000000-0005-0000-0000-000056330000}"/>
    <cellStyle name="Followed Hyperlink 3" xfId="6635" hidden="1" xr:uid="{00000000-0005-0000-0000-000057330000}"/>
    <cellStyle name="Followed Hyperlink 3" xfId="6641" hidden="1" xr:uid="{00000000-0005-0000-0000-000058330000}"/>
    <cellStyle name="Followed Hyperlink 3" xfId="6644" hidden="1" xr:uid="{00000000-0005-0000-0000-000059330000}"/>
    <cellStyle name="Followed Hyperlink 3" xfId="6647" hidden="1" xr:uid="{00000000-0005-0000-0000-00005A330000}"/>
    <cellStyle name="Followed Hyperlink 3" xfId="6652" hidden="1" xr:uid="{00000000-0005-0000-0000-00005B330000}"/>
    <cellStyle name="Followed Hyperlink 3" xfId="6382" hidden="1" xr:uid="{00000000-0005-0000-0000-00005C330000}"/>
    <cellStyle name="Followed Hyperlink 3" xfId="6606" hidden="1" xr:uid="{00000000-0005-0000-0000-00005D330000}"/>
    <cellStyle name="Followed Hyperlink 3" xfId="6378" hidden="1" xr:uid="{00000000-0005-0000-0000-00005E330000}"/>
    <cellStyle name="Followed Hyperlink 3" xfId="6383" hidden="1" xr:uid="{00000000-0005-0000-0000-00005F330000}"/>
    <cellStyle name="Followed Hyperlink 3" xfId="6370" hidden="1" xr:uid="{00000000-0005-0000-0000-000060330000}"/>
    <cellStyle name="Followed Hyperlink 3" xfId="6657" hidden="1" xr:uid="{00000000-0005-0000-0000-000061330000}"/>
    <cellStyle name="Followed Hyperlink 3" xfId="6660" hidden="1" xr:uid="{00000000-0005-0000-0000-000062330000}"/>
    <cellStyle name="Followed Hyperlink 3" xfId="6665" hidden="1" xr:uid="{00000000-0005-0000-0000-000063330000}"/>
    <cellStyle name="Followed Hyperlink 3" xfId="6675" hidden="1" xr:uid="{00000000-0005-0000-0000-000064330000}"/>
    <cellStyle name="Followed Hyperlink 3" xfId="6677" hidden="1" xr:uid="{00000000-0005-0000-0000-000065330000}"/>
    <cellStyle name="Followed Hyperlink 3" xfId="6673" hidden="1" xr:uid="{00000000-0005-0000-0000-000066330000}"/>
    <cellStyle name="Followed Hyperlink 3" xfId="6672" hidden="1" xr:uid="{00000000-0005-0000-0000-000067330000}"/>
    <cellStyle name="Followed Hyperlink 3" xfId="6678" hidden="1" xr:uid="{00000000-0005-0000-0000-000068330000}"/>
    <cellStyle name="Followed Hyperlink 3" xfId="6681" hidden="1" xr:uid="{00000000-0005-0000-0000-000069330000}"/>
    <cellStyle name="Followed Hyperlink 3" xfId="6684" hidden="1" xr:uid="{00000000-0005-0000-0000-00006A330000}"/>
    <cellStyle name="Followed Hyperlink 3" xfId="6689" hidden="1" xr:uid="{00000000-0005-0000-0000-00006B330000}"/>
    <cellStyle name="Followed Hyperlink 3" xfId="6699" hidden="1" xr:uid="{00000000-0005-0000-0000-00006C330000}"/>
    <cellStyle name="Followed Hyperlink 3" xfId="6701" hidden="1" xr:uid="{00000000-0005-0000-0000-00006D330000}"/>
    <cellStyle name="Followed Hyperlink 3" xfId="6697" hidden="1" xr:uid="{00000000-0005-0000-0000-00006E330000}"/>
    <cellStyle name="Followed Hyperlink 3" xfId="6696" hidden="1" xr:uid="{00000000-0005-0000-0000-00006F330000}"/>
    <cellStyle name="Followed Hyperlink 3" xfId="6702" hidden="1" xr:uid="{00000000-0005-0000-0000-000070330000}"/>
    <cellStyle name="Followed Hyperlink 3" xfId="6705" hidden="1" xr:uid="{00000000-0005-0000-0000-000071330000}"/>
    <cellStyle name="Followed Hyperlink 3" xfId="6708" hidden="1" xr:uid="{00000000-0005-0000-0000-000072330000}"/>
    <cellStyle name="Followed Hyperlink 3" xfId="6713" hidden="1" xr:uid="{00000000-0005-0000-0000-000073330000}"/>
    <cellStyle name="Followed Hyperlink 3" xfId="6723" hidden="1" xr:uid="{00000000-0005-0000-0000-000074330000}"/>
    <cellStyle name="Followed Hyperlink 3" xfId="6725" hidden="1" xr:uid="{00000000-0005-0000-0000-000075330000}"/>
    <cellStyle name="Followed Hyperlink 3" xfId="6721" hidden="1" xr:uid="{00000000-0005-0000-0000-000076330000}"/>
    <cellStyle name="Followed Hyperlink 3" xfId="6720" hidden="1" xr:uid="{00000000-0005-0000-0000-000077330000}"/>
    <cellStyle name="Followed Hyperlink 3" xfId="6726" hidden="1" xr:uid="{00000000-0005-0000-0000-000078330000}"/>
    <cellStyle name="Followed Hyperlink 3" xfId="6729" hidden="1" xr:uid="{00000000-0005-0000-0000-000079330000}"/>
    <cellStyle name="Followed Hyperlink 3" xfId="6732" hidden="1" xr:uid="{00000000-0005-0000-0000-00007A330000}"/>
    <cellStyle name="Followed Hyperlink 3" xfId="6737" hidden="1" xr:uid="{00000000-0005-0000-0000-00007B330000}"/>
    <cellStyle name="Followed Hyperlink 3" xfId="707" hidden="1" xr:uid="{00000000-0005-0000-0000-00007C330000}"/>
    <cellStyle name="Followed Hyperlink 3" xfId="4771" hidden="1" xr:uid="{00000000-0005-0000-0000-00007D330000}"/>
    <cellStyle name="Followed Hyperlink 3" xfId="703" hidden="1" xr:uid="{00000000-0005-0000-0000-00007E330000}"/>
    <cellStyle name="Followed Hyperlink 3" xfId="708" hidden="1" xr:uid="{00000000-0005-0000-0000-00007F330000}"/>
    <cellStyle name="Followed Hyperlink 3" xfId="695" hidden="1" xr:uid="{00000000-0005-0000-0000-000080330000}"/>
    <cellStyle name="Followed Hyperlink 3" xfId="6742" hidden="1" xr:uid="{00000000-0005-0000-0000-000081330000}"/>
    <cellStyle name="Followed Hyperlink 3" xfId="6745" hidden="1" xr:uid="{00000000-0005-0000-0000-000082330000}"/>
    <cellStyle name="Followed Hyperlink 3" xfId="6750" hidden="1" xr:uid="{00000000-0005-0000-0000-000083330000}"/>
    <cellStyle name="Followed Hyperlink 3" xfId="6760" hidden="1" xr:uid="{00000000-0005-0000-0000-000084330000}"/>
    <cellStyle name="Followed Hyperlink 3" xfId="6762" hidden="1" xr:uid="{00000000-0005-0000-0000-000085330000}"/>
    <cellStyle name="Followed Hyperlink 3" xfId="6758" hidden="1" xr:uid="{00000000-0005-0000-0000-000086330000}"/>
    <cellStyle name="Followed Hyperlink 3" xfId="6757" hidden="1" xr:uid="{00000000-0005-0000-0000-000087330000}"/>
    <cellStyle name="Followed Hyperlink 3" xfId="6763" hidden="1" xr:uid="{00000000-0005-0000-0000-000088330000}"/>
    <cellStyle name="Followed Hyperlink 3" xfId="6766" hidden="1" xr:uid="{00000000-0005-0000-0000-000089330000}"/>
    <cellStyle name="Followed Hyperlink 3" xfId="6769" hidden="1" xr:uid="{00000000-0005-0000-0000-00008A330000}"/>
    <cellStyle name="Followed Hyperlink 3" xfId="6774" hidden="1" xr:uid="{00000000-0005-0000-0000-00008B330000}"/>
    <cellStyle name="Followed Hyperlink 3" xfId="6784" hidden="1" xr:uid="{00000000-0005-0000-0000-00008C330000}"/>
    <cellStyle name="Followed Hyperlink 3" xfId="6786" hidden="1" xr:uid="{00000000-0005-0000-0000-00008D330000}"/>
    <cellStyle name="Followed Hyperlink 3" xfId="6782" hidden="1" xr:uid="{00000000-0005-0000-0000-00008E330000}"/>
    <cellStyle name="Followed Hyperlink 3" xfId="6781" hidden="1" xr:uid="{00000000-0005-0000-0000-00008F330000}"/>
    <cellStyle name="Followed Hyperlink 3" xfId="6787" hidden="1" xr:uid="{00000000-0005-0000-0000-000090330000}"/>
    <cellStyle name="Followed Hyperlink 3" xfId="6790" hidden="1" xr:uid="{00000000-0005-0000-0000-000091330000}"/>
    <cellStyle name="Followed Hyperlink 3" xfId="6793" hidden="1" xr:uid="{00000000-0005-0000-0000-000092330000}"/>
    <cellStyle name="Followed Hyperlink 3" xfId="6798" hidden="1" xr:uid="{00000000-0005-0000-0000-000093330000}"/>
    <cellStyle name="Followed Hyperlink 3" xfId="6808" hidden="1" xr:uid="{00000000-0005-0000-0000-000094330000}"/>
    <cellStyle name="Followed Hyperlink 3" xfId="6810" hidden="1" xr:uid="{00000000-0005-0000-0000-000095330000}"/>
    <cellStyle name="Followed Hyperlink 3" xfId="6806" hidden="1" xr:uid="{00000000-0005-0000-0000-000096330000}"/>
    <cellStyle name="Followed Hyperlink 3" xfId="6805" hidden="1" xr:uid="{00000000-0005-0000-0000-000097330000}"/>
    <cellStyle name="Followed Hyperlink 3" xfId="6811" hidden="1" xr:uid="{00000000-0005-0000-0000-000098330000}"/>
    <cellStyle name="Followed Hyperlink 3" xfId="6814" hidden="1" xr:uid="{00000000-0005-0000-0000-000099330000}"/>
    <cellStyle name="Followed Hyperlink 3" xfId="6817" hidden="1" xr:uid="{00000000-0005-0000-0000-00009A330000}"/>
    <cellStyle name="Followed Hyperlink 3" xfId="6822" hidden="1" xr:uid="{00000000-0005-0000-0000-00009B330000}"/>
    <cellStyle name="Followed Hyperlink 3" xfId="6861" hidden="1" xr:uid="{00000000-0005-0000-0000-00009C330000}"/>
    <cellStyle name="Followed Hyperlink 3" xfId="6863" hidden="1" xr:uid="{00000000-0005-0000-0000-00009D330000}"/>
    <cellStyle name="Followed Hyperlink 3" xfId="6859" hidden="1" xr:uid="{00000000-0005-0000-0000-00009E330000}"/>
    <cellStyle name="Followed Hyperlink 3" xfId="6858" hidden="1" xr:uid="{00000000-0005-0000-0000-00009F330000}"/>
    <cellStyle name="Followed Hyperlink 3" xfId="6864" hidden="1" xr:uid="{00000000-0005-0000-0000-0000A0330000}"/>
    <cellStyle name="Followed Hyperlink 3" xfId="6867" hidden="1" xr:uid="{00000000-0005-0000-0000-0000A1330000}"/>
    <cellStyle name="Followed Hyperlink 3" xfId="6870" hidden="1" xr:uid="{00000000-0005-0000-0000-0000A2330000}"/>
    <cellStyle name="Followed Hyperlink 3" xfId="6875" hidden="1" xr:uid="{00000000-0005-0000-0000-0000A3330000}"/>
    <cellStyle name="Followed Hyperlink 3" xfId="6885" hidden="1" xr:uid="{00000000-0005-0000-0000-0000A4330000}"/>
    <cellStyle name="Followed Hyperlink 3" xfId="6887" hidden="1" xr:uid="{00000000-0005-0000-0000-0000A5330000}"/>
    <cellStyle name="Followed Hyperlink 3" xfId="6883" hidden="1" xr:uid="{00000000-0005-0000-0000-0000A6330000}"/>
    <cellStyle name="Followed Hyperlink 3" xfId="6882" hidden="1" xr:uid="{00000000-0005-0000-0000-0000A7330000}"/>
    <cellStyle name="Followed Hyperlink 3" xfId="6888" hidden="1" xr:uid="{00000000-0005-0000-0000-0000A8330000}"/>
    <cellStyle name="Followed Hyperlink 3" xfId="6891" hidden="1" xr:uid="{00000000-0005-0000-0000-0000A9330000}"/>
    <cellStyle name="Followed Hyperlink 3" xfId="6894" hidden="1" xr:uid="{00000000-0005-0000-0000-0000AA330000}"/>
    <cellStyle name="Followed Hyperlink 3" xfId="6899" hidden="1" xr:uid="{00000000-0005-0000-0000-0000AB330000}"/>
    <cellStyle name="Followed Hyperlink 3" xfId="6911" hidden="1" xr:uid="{00000000-0005-0000-0000-0000AC330000}"/>
    <cellStyle name="Followed Hyperlink 3" xfId="6913" hidden="1" xr:uid="{00000000-0005-0000-0000-0000AD330000}"/>
    <cellStyle name="Followed Hyperlink 3" xfId="6909" hidden="1" xr:uid="{00000000-0005-0000-0000-0000AE330000}"/>
    <cellStyle name="Followed Hyperlink 3" xfId="6908" hidden="1" xr:uid="{00000000-0005-0000-0000-0000AF330000}"/>
    <cellStyle name="Followed Hyperlink 3" xfId="6914" hidden="1" xr:uid="{00000000-0005-0000-0000-0000B0330000}"/>
    <cellStyle name="Followed Hyperlink 3" xfId="6917" hidden="1" xr:uid="{00000000-0005-0000-0000-0000B1330000}"/>
    <cellStyle name="Followed Hyperlink 3" xfId="6920" hidden="1" xr:uid="{00000000-0005-0000-0000-0000B2330000}"/>
    <cellStyle name="Followed Hyperlink 3" xfId="6925" hidden="1" xr:uid="{00000000-0005-0000-0000-0000B3330000}"/>
    <cellStyle name="Followed Hyperlink 3" xfId="6935" hidden="1" xr:uid="{00000000-0005-0000-0000-0000B4330000}"/>
    <cellStyle name="Followed Hyperlink 3" xfId="6937" hidden="1" xr:uid="{00000000-0005-0000-0000-0000B5330000}"/>
    <cellStyle name="Followed Hyperlink 3" xfId="6933" hidden="1" xr:uid="{00000000-0005-0000-0000-0000B6330000}"/>
    <cellStyle name="Followed Hyperlink 3" xfId="6932" hidden="1" xr:uid="{00000000-0005-0000-0000-0000B7330000}"/>
    <cellStyle name="Followed Hyperlink 3" xfId="6938" hidden="1" xr:uid="{00000000-0005-0000-0000-0000B8330000}"/>
    <cellStyle name="Followed Hyperlink 3" xfId="6941" hidden="1" xr:uid="{00000000-0005-0000-0000-0000B9330000}"/>
    <cellStyle name="Followed Hyperlink 3" xfId="6944" hidden="1" xr:uid="{00000000-0005-0000-0000-0000BA330000}"/>
    <cellStyle name="Followed Hyperlink 3" xfId="6949" hidden="1" xr:uid="{00000000-0005-0000-0000-0000BB330000}"/>
    <cellStyle name="Followed Hyperlink 3" xfId="6988" hidden="1" xr:uid="{00000000-0005-0000-0000-0000BC330000}"/>
    <cellStyle name="Followed Hyperlink 3" xfId="6990" hidden="1" xr:uid="{00000000-0005-0000-0000-0000BD330000}"/>
    <cellStyle name="Followed Hyperlink 3" xfId="6986" hidden="1" xr:uid="{00000000-0005-0000-0000-0000BE330000}"/>
    <cellStyle name="Followed Hyperlink 3" xfId="6985" hidden="1" xr:uid="{00000000-0005-0000-0000-0000BF330000}"/>
    <cellStyle name="Followed Hyperlink 3" xfId="6991" hidden="1" xr:uid="{00000000-0005-0000-0000-0000C0330000}"/>
    <cellStyle name="Followed Hyperlink 3" xfId="6994" hidden="1" xr:uid="{00000000-0005-0000-0000-0000C1330000}"/>
    <cellStyle name="Followed Hyperlink 3" xfId="6997" hidden="1" xr:uid="{00000000-0005-0000-0000-0000C2330000}"/>
    <cellStyle name="Followed Hyperlink 3" xfId="7002" hidden="1" xr:uid="{00000000-0005-0000-0000-0000C3330000}"/>
    <cellStyle name="Followed Hyperlink 3" xfId="7012" hidden="1" xr:uid="{00000000-0005-0000-0000-0000C4330000}"/>
    <cellStyle name="Followed Hyperlink 3" xfId="7014" hidden="1" xr:uid="{00000000-0005-0000-0000-0000C5330000}"/>
    <cellStyle name="Followed Hyperlink 3" xfId="7010" hidden="1" xr:uid="{00000000-0005-0000-0000-0000C6330000}"/>
    <cellStyle name="Followed Hyperlink 3" xfId="7009" hidden="1" xr:uid="{00000000-0005-0000-0000-0000C7330000}"/>
    <cellStyle name="Followed Hyperlink 3" xfId="7015" hidden="1" xr:uid="{00000000-0005-0000-0000-0000C8330000}"/>
    <cellStyle name="Followed Hyperlink 3" xfId="7018" hidden="1" xr:uid="{00000000-0005-0000-0000-0000C9330000}"/>
    <cellStyle name="Followed Hyperlink 3" xfId="7021" hidden="1" xr:uid="{00000000-0005-0000-0000-0000CA330000}"/>
    <cellStyle name="Followed Hyperlink 3" xfId="7026" hidden="1" xr:uid="{00000000-0005-0000-0000-0000CB330000}"/>
    <cellStyle name="Followed Hyperlink 3" xfId="7038" hidden="1" xr:uid="{00000000-0005-0000-0000-0000CC330000}"/>
    <cellStyle name="Followed Hyperlink 3" xfId="7040" hidden="1" xr:uid="{00000000-0005-0000-0000-0000CD330000}"/>
    <cellStyle name="Followed Hyperlink 3" xfId="7036" hidden="1" xr:uid="{00000000-0005-0000-0000-0000CE330000}"/>
    <cellStyle name="Followed Hyperlink 3" xfId="7035" hidden="1" xr:uid="{00000000-0005-0000-0000-0000CF330000}"/>
    <cellStyle name="Followed Hyperlink 3" xfId="7041" hidden="1" xr:uid="{00000000-0005-0000-0000-0000D0330000}"/>
    <cellStyle name="Followed Hyperlink 3" xfId="7044" hidden="1" xr:uid="{00000000-0005-0000-0000-0000D1330000}"/>
    <cellStyle name="Followed Hyperlink 3" xfId="7047" hidden="1" xr:uid="{00000000-0005-0000-0000-0000D2330000}"/>
    <cellStyle name="Followed Hyperlink 3" xfId="7052" hidden="1" xr:uid="{00000000-0005-0000-0000-0000D3330000}"/>
    <cellStyle name="Followed Hyperlink 3" xfId="7062" hidden="1" xr:uid="{00000000-0005-0000-0000-0000D4330000}"/>
    <cellStyle name="Followed Hyperlink 3" xfId="7064" hidden="1" xr:uid="{00000000-0005-0000-0000-0000D5330000}"/>
    <cellStyle name="Followed Hyperlink 3" xfId="7060" hidden="1" xr:uid="{00000000-0005-0000-0000-0000D6330000}"/>
    <cellStyle name="Followed Hyperlink 3" xfId="7059" hidden="1" xr:uid="{00000000-0005-0000-0000-0000D7330000}"/>
    <cellStyle name="Followed Hyperlink 3" xfId="7065" hidden="1" xr:uid="{00000000-0005-0000-0000-0000D8330000}"/>
    <cellStyle name="Followed Hyperlink 3" xfId="7068" hidden="1" xr:uid="{00000000-0005-0000-0000-0000D9330000}"/>
    <cellStyle name="Followed Hyperlink 3" xfId="7071" hidden="1" xr:uid="{00000000-0005-0000-0000-0000DA330000}"/>
    <cellStyle name="Followed Hyperlink 3" xfId="7076" hidden="1" xr:uid="{00000000-0005-0000-0000-0000DB330000}"/>
    <cellStyle name="Followed Hyperlink 3" xfId="6952" hidden="1" xr:uid="{00000000-0005-0000-0000-0000DC330000}"/>
    <cellStyle name="Followed Hyperlink 3" xfId="7029" hidden="1" xr:uid="{00000000-0005-0000-0000-0000DD330000}"/>
    <cellStyle name="Followed Hyperlink 3" xfId="6956" hidden="1" xr:uid="{00000000-0005-0000-0000-0000DE330000}"/>
    <cellStyle name="Followed Hyperlink 3" xfId="6957" hidden="1" xr:uid="{00000000-0005-0000-0000-0000DF330000}"/>
    <cellStyle name="Followed Hyperlink 3" xfId="6960" hidden="1" xr:uid="{00000000-0005-0000-0000-0000E0330000}"/>
    <cellStyle name="Followed Hyperlink 3" xfId="7081" hidden="1" xr:uid="{00000000-0005-0000-0000-0000E1330000}"/>
    <cellStyle name="Followed Hyperlink 3" xfId="7084" hidden="1" xr:uid="{00000000-0005-0000-0000-0000E2330000}"/>
    <cellStyle name="Followed Hyperlink 3" xfId="7089" hidden="1" xr:uid="{00000000-0005-0000-0000-0000E3330000}"/>
    <cellStyle name="Followed Hyperlink 3" xfId="7099" hidden="1" xr:uid="{00000000-0005-0000-0000-0000E4330000}"/>
    <cellStyle name="Followed Hyperlink 3" xfId="7101" hidden="1" xr:uid="{00000000-0005-0000-0000-0000E5330000}"/>
    <cellStyle name="Followed Hyperlink 3" xfId="7097" hidden="1" xr:uid="{00000000-0005-0000-0000-0000E6330000}"/>
    <cellStyle name="Followed Hyperlink 3" xfId="7096" hidden="1" xr:uid="{00000000-0005-0000-0000-0000E7330000}"/>
    <cellStyle name="Followed Hyperlink 3" xfId="7102" hidden="1" xr:uid="{00000000-0005-0000-0000-0000E8330000}"/>
    <cellStyle name="Followed Hyperlink 3" xfId="7105" hidden="1" xr:uid="{00000000-0005-0000-0000-0000E9330000}"/>
    <cellStyle name="Followed Hyperlink 3" xfId="7108" hidden="1" xr:uid="{00000000-0005-0000-0000-0000EA330000}"/>
    <cellStyle name="Followed Hyperlink 3" xfId="7113" hidden="1" xr:uid="{00000000-0005-0000-0000-0000EB330000}"/>
    <cellStyle name="Followed Hyperlink 3" xfId="7124" hidden="1" xr:uid="{00000000-0005-0000-0000-0000EC330000}"/>
    <cellStyle name="Followed Hyperlink 3" xfId="7126" hidden="1" xr:uid="{00000000-0005-0000-0000-0000ED330000}"/>
    <cellStyle name="Followed Hyperlink 3" xfId="7122" hidden="1" xr:uid="{00000000-0005-0000-0000-0000EE330000}"/>
    <cellStyle name="Followed Hyperlink 3" xfId="7121" hidden="1" xr:uid="{00000000-0005-0000-0000-0000EF330000}"/>
    <cellStyle name="Followed Hyperlink 3" xfId="7127" hidden="1" xr:uid="{00000000-0005-0000-0000-0000F0330000}"/>
    <cellStyle name="Followed Hyperlink 3" xfId="7130" hidden="1" xr:uid="{00000000-0005-0000-0000-0000F1330000}"/>
    <cellStyle name="Followed Hyperlink 3" xfId="7133" hidden="1" xr:uid="{00000000-0005-0000-0000-0000F2330000}"/>
    <cellStyle name="Followed Hyperlink 3" xfId="7138" hidden="1" xr:uid="{00000000-0005-0000-0000-0000F3330000}"/>
    <cellStyle name="Followed Hyperlink 3" xfId="7148" hidden="1" xr:uid="{00000000-0005-0000-0000-0000F4330000}"/>
    <cellStyle name="Followed Hyperlink 3" xfId="7150" hidden="1" xr:uid="{00000000-0005-0000-0000-0000F5330000}"/>
    <cellStyle name="Followed Hyperlink 3" xfId="7146" hidden="1" xr:uid="{00000000-0005-0000-0000-0000F6330000}"/>
    <cellStyle name="Followed Hyperlink 3" xfId="7145" hidden="1" xr:uid="{00000000-0005-0000-0000-0000F7330000}"/>
    <cellStyle name="Followed Hyperlink 3" xfId="7151" hidden="1" xr:uid="{00000000-0005-0000-0000-0000F8330000}"/>
    <cellStyle name="Followed Hyperlink 3" xfId="7154" hidden="1" xr:uid="{00000000-0005-0000-0000-0000F9330000}"/>
    <cellStyle name="Followed Hyperlink 3" xfId="7157" hidden="1" xr:uid="{00000000-0005-0000-0000-0000FA330000}"/>
    <cellStyle name="Followed Hyperlink 3" xfId="7162" hidden="1" xr:uid="{00000000-0005-0000-0000-0000FB330000}"/>
    <cellStyle name="Followed Hyperlink 3" xfId="6973" hidden="1" xr:uid="{00000000-0005-0000-0000-0000FC330000}"/>
    <cellStyle name="Followed Hyperlink 3" xfId="7116" hidden="1" xr:uid="{00000000-0005-0000-0000-0000FD330000}"/>
    <cellStyle name="Followed Hyperlink 3" xfId="6970" hidden="1" xr:uid="{00000000-0005-0000-0000-0000FE330000}"/>
    <cellStyle name="Followed Hyperlink 3" xfId="6962" hidden="1" xr:uid="{00000000-0005-0000-0000-0000FF330000}"/>
    <cellStyle name="Followed Hyperlink 3" xfId="6967" hidden="1" xr:uid="{00000000-0005-0000-0000-000000340000}"/>
    <cellStyle name="Followed Hyperlink 3" xfId="7167" hidden="1" xr:uid="{00000000-0005-0000-0000-000001340000}"/>
    <cellStyle name="Followed Hyperlink 3" xfId="7170" hidden="1" xr:uid="{00000000-0005-0000-0000-000002340000}"/>
    <cellStyle name="Followed Hyperlink 3" xfId="7175" hidden="1" xr:uid="{00000000-0005-0000-0000-000003340000}"/>
    <cellStyle name="Followed Hyperlink 3" xfId="7185" hidden="1" xr:uid="{00000000-0005-0000-0000-000004340000}"/>
    <cellStyle name="Followed Hyperlink 3" xfId="7187" hidden="1" xr:uid="{00000000-0005-0000-0000-000005340000}"/>
    <cellStyle name="Followed Hyperlink 3" xfId="7183" hidden="1" xr:uid="{00000000-0005-0000-0000-000006340000}"/>
    <cellStyle name="Followed Hyperlink 3" xfId="7182" hidden="1" xr:uid="{00000000-0005-0000-0000-000007340000}"/>
    <cellStyle name="Followed Hyperlink 3" xfId="7188" hidden="1" xr:uid="{00000000-0005-0000-0000-000008340000}"/>
    <cellStyle name="Followed Hyperlink 3" xfId="7191" hidden="1" xr:uid="{00000000-0005-0000-0000-000009340000}"/>
    <cellStyle name="Followed Hyperlink 3" xfId="7194" hidden="1" xr:uid="{00000000-0005-0000-0000-00000A340000}"/>
    <cellStyle name="Followed Hyperlink 3" xfId="7199" hidden="1" xr:uid="{00000000-0005-0000-0000-00000B340000}"/>
    <cellStyle name="Followed Hyperlink 3" xfId="7210" hidden="1" xr:uid="{00000000-0005-0000-0000-00000C340000}"/>
    <cellStyle name="Followed Hyperlink 3" xfId="7212" hidden="1" xr:uid="{00000000-0005-0000-0000-00000D340000}"/>
    <cellStyle name="Followed Hyperlink 3" xfId="7208" hidden="1" xr:uid="{00000000-0005-0000-0000-00000E340000}"/>
    <cellStyle name="Followed Hyperlink 3" xfId="7207" hidden="1" xr:uid="{00000000-0005-0000-0000-00000F340000}"/>
    <cellStyle name="Followed Hyperlink 3" xfId="7213" hidden="1" xr:uid="{00000000-0005-0000-0000-000010340000}"/>
    <cellStyle name="Followed Hyperlink 3" xfId="7216" hidden="1" xr:uid="{00000000-0005-0000-0000-000011340000}"/>
    <cellStyle name="Followed Hyperlink 3" xfId="7219" hidden="1" xr:uid="{00000000-0005-0000-0000-000012340000}"/>
    <cellStyle name="Followed Hyperlink 3" xfId="7224" hidden="1" xr:uid="{00000000-0005-0000-0000-000013340000}"/>
    <cellStyle name="Followed Hyperlink 3" xfId="7234" hidden="1" xr:uid="{00000000-0005-0000-0000-000014340000}"/>
    <cellStyle name="Followed Hyperlink 3" xfId="7236" hidden="1" xr:uid="{00000000-0005-0000-0000-000015340000}"/>
    <cellStyle name="Followed Hyperlink 3" xfId="7232" hidden="1" xr:uid="{00000000-0005-0000-0000-000016340000}"/>
    <cellStyle name="Followed Hyperlink 3" xfId="7231" hidden="1" xr:uid="{00000000-0005-0000-0000-000017340000}"/>
    <cellStyle name="Followed Hyperlink 3" xfId="7237" hidden="1" xr:uid="{00000000-0005-0000-0000-000018340000}"/>
    <cellStyle name="Followed Hyperlink 3" xfId="7240" hidden="1" xr:uid="{00000000-0005-0000-0000-000019340000}"/>
    <cellStyle name="Followed Hyperlink 3" xfId="7243" hidden="1" xr:uid="{00000000-0005-0000-0000-00001A340000}"/>
    <cellStyle name="Followed Hyperlink 3" xfId="7248" hidden="1" xr:uid="{00000000-0005-0000-0000-00001B340000}"/>
    <cellStyle name="Followed Hyperlink 3" xfId="6978" hidden="1" xr:uid="{00000000-0005-0000-0000-00001C340000}"/>
    <cellStyle name="Followed Hyperlink 3" xfId="7202" hidden="1" xr:uid="{00000000-0005-0000-0000-00001D340000}"/>
    <cellStyle name="Followed Hyperlink 3" xfId="6974" hidden="1" xr:uid="{00000000-0005-0000-0000-00001E340000}"/>
    <cellStyle name="Followed Hyperlink 3" xfId="6979" hidden="1" xr:uid="{00000000-0005-0000-0000-00001F340000}"/>
    <cellStyle name="Followed Hyperlink 3" xfId="6966" hidden="1" xr:uid="{00000000-0005-0000-0000-000020340000}"/>
    <cellStyle name="Followed Hyperlink 3" xfId="7253" hidden="1" xr:uid="{00000000-0005-0000-0000-000021340000}"/>
    <cellStyle name="Followed Hyperlink 3" xfId="7256" hidden="1" xr:uid="{00000000-0005-0000-0000-000022340000}"/>
    <cellStyle name="Followed Hyperlink 3" xfId="7261" hidden="1" xr:uid="{00000000-0005-0000-0000-000023340000}"/>
    <cellStyle name="Followed Hyperlink 3" xfId="7271" hidden="1" xr:uid="{00000000-0005-0000-0000-000024340000}"/>
    <cellStyle name="Followed Hyperlink 3" xfId="7273" hidden="1" xr:uid="{00000000-0005-0000-0000-000025340000}"/>
    <cellStyle name="Followed Hyperlink 3" xfId="7269" hidden="1" xr:uid="{00000000-0005-0000-0000-000026340000}"/>
    <cellStyle name="Followed Hyperlink 3" xfId="7268" hidden="1" xr:uid="{00000000-0005-0000-0000-000027340000}"/>
    <cellStyle name="Followed Hyperlink 3" xfId="7274" hidden="1" xr:uid="{00000000-0005-0000-0000-000028340000}"/>
    <cellStyle name="Followed Hyperlink 3" xfId="7277" hidden="1" xr:uid="{00000000-0005-0000-0000-000029340000}"/>
    <cellStyle name="Followed Hyperlink 3" xfId="7280" hidden="1" xr:uid="{00000000-0005-0000-0000-00002A340000}"/>
    <cellStyle name="Followed Hyperlink 3" xfId="7285" hidden="1" xr:uid="{00000000-0005-0000-0000-00002B340000}"/>
    <cellStyle name="Followed Hyperlink 3" xfId="7295" hidden="1" xr:uid="{00000000-0005-0000-0000-00002C340000}"/>
    <cellStyle name="Followed Hyperlink 3" xfId="7297" hidden="1" xr:uid="{00000000-0005-0000-0000-00002D340000}"/>
    <cellStyle name="Followed Hyperlink 3" xfId="7293" hidden="1" xr:uid="{00000000-0005-0000-0000-00002E340000}"/>
    <cellStyle name="Followed Hyperlink 3" xfId="7292" hidden="1" xr:uid="{00000000-0005-0000-0000-00002F340000}"/>
    <cellStyle name="Followed Hyperlink 3" xfId="7298" hidden="1" xr:uid="{00000000-0005-0000-0000-000030340000}"/>
    <cellStyle name="Followed Hyperlink 3" xfId="7301" hidden="1" xr:uid="{00000000-0005-0000-0000-000031340000}"/>
    <cellStyle name="Followed Hyperlink 3" xfId="7304" hidden="1" xr:uid="{00000000-0005-0000-0000-000032340000}"/>
    <cellStyle name="Followed Hyperlink 3" xfId="7309" hidden="1" xr:uid="{00000000-0005-0000-0000-000033340000}"/>
    <cellStyle name="Followed Hyperlink 3" xfId="7319" hidden="1" xr:uid="{00000000-0005-0000-0000-000034340000}"/>
    <cellStyle name="Followed Hyperlink 3" xfId="7321" hidden="1" xr:uid="{00000000-0005-0000-0000-000035340000}"/>
    <cellStyle name="Followed Hyperlink 3" xfId="7317" hidden="1" xr:uid="{00000000-0005-0000-0000-000036340000}"/>
    <cellStyle name="Followed Hyperlink 3" xfId="7316" hidden="1" xr:uid="{00000000-0005-0000-0000-000037340000}"/>
    <cellStyle name="Followed Hyperlink 3" xfId="7322" hidden="1" xr:uid="{00000000-0005-0000-0000-000038340000}"/>
    <cellStyle name="Followed Hyperlink 3" xfId="7325" hidden="1" xr:uid="{00000000-0005-0000-0000-000039340000}"/>
    <cellStyle name="Followed Hyperlink 3" xfId="7328" hidden="1" xr:uid="{00000000-0005-0000-0000-00003A340000}"/>
    <cellStyle name="Followed Hyperlink 3" xfId="7333" hidden="1" xr:uid="{00000000-0005-0000-0000-00003B340000}"/>
    <cellStyle name="Followed Hyperlink 3" xfId="6825" hidden="1" xr:uid="{00000000-0005-0000-0000-00003C340000}"/>
    <cellStyle name="Followed Hyperlink 3" xfId="6902" hidden="1" xr:uid="{00000000-0005-0000-0000-00003D340000}"/>
    <cellStyle name="Followed Hyperlink 3" xfId="6829" hidden="1" xr:uid="{00000000-0005-0000-0000-00003E340000}"/>
    <cellStyle name="Followed Hyperlink 3" xfId="6830" hidden="1" xr:uid="{00000000-0005-0000-0000-00003F340000}"/>
    <cellStyle name="Followed Hyperlink 3" xfId="6833" hidden="1" xr:uid="{00000000-0005-0000-0000-000040340000}"/>
    <cellStyle name="Followed Hyperlink 3" xfId="7338" hidden="1" xr:uid="{00000000-0005-0000-0000-000041340000}"/>
    <cellStyle name="Followed Hyperlink 3" xfId="7341" hidden="1" xr:uid="{00000000-0005-0000-0000-000042340000}"/>
    <cellStyle name="Followed Hyperlink 3" xfId="7346" hidden="1" xr:uid="{00000000-0005-0000-0000-000043340000}"/>
    <cellStyle name="Followed Hyperlink 3" xfId="7356" hidden="1" xr:uid="{00000000-0005-0000-0000-000044340000}"/>
    <cellStyle name="Followed Hyperlink 3" xfId="7358" hidden="1" xr:uid="{00000000-0005-0000-0000-000045340000}"/>
    <cellStyle name="Followed Hyperlink 3" xfId="7354" hidden="1" xr:uid="{00000000-0005-0000-0000-000046340000}"/>
    <cellStyle name="Followed Hyperlink 3" xfId="7353" hidden="1" xr:uid="{00000000-0005-0000-0000-000047340000}"/>
    <cellStyle name="Followed Hyperlink 3" xfId="7359" hidden="1" xr:uid="{00000000-0005-0000-0000-000048340000}"/>
    <cellStyle name="Followed Hyperlink 3" xfId="7362" hidden="1" xr:uid="{00000000-0005-0000-0000-000049340000}"/>
    <cellStyle name="Followed Hyperlink 3" xfId="7365" hidden="1" xr:uid="{00000000-0005-0000-0000-00004A340000}"/>
    <cellStyle name="Followed Hyperlink 3" xfId="7370" hidden="1" xr:uid="{00000000-0005-0000-0000-00004B340000}"/>
    <cellStyle name="Followed Hyperlink 3" xfId="7381" hidden="1" xr:uid="{00000000-0005-0000-0000-00004C340000}"/>
    <cellStyle name="Followed Hyperlink 3" xfId="7383" hidden="1" xr:uid="{00000000-0005-0000-0000-00004D340000}"/>
    <cellStyle name="Followed Hyperlink 3" xfId="7379" hidden="1" xr:uid="{00000000-0005-0000-0000-00004E340000}"/>
    <cellStyle name="Followed Hyperlink 3" xfId="7378" hidden="1" xr:uid="{00000000-0005-0000-0000-00004F340000}"/>
    <cellStyle name="Followed Hyperlink 3" xfId="7384" hidden="1" xr:uid="{00000000-0005-0000-0000-000050340000}"/>
    <cellStyle name="Followed Hyperlink 3" xfId="7387" hidden="1" xr:uid="{00000000-0005-0000-0000-000051340000}"/>
    <cellStyle name="Followed Hyperlink 3" xfId="7390" hidden="1" xr:uid="{00000000-0005-0000-0000-000052340000}"/>
    <cellStyle name="Followed Hyperlink 3" xfId="7395" hidden="1" xr:uid="{00000000-0005-0000-0000-000053340000}"/>
    <cellStyle name="Followed Hyperlink 3" xfId="7405" hidden="1" xr:uid="{00000000-0005-0000-0000-000054340000}"/>
    <cellStyle name="Followed Hyperlink 3" xfId="7407" hidden="1" xr:uid="{00000000-0005-0000-0000-000055340000}"/>
    <cellStyle name="Followed Hyperlink 3" xfId="7403" hidden="1" xr:uid="{00000000-0005-0000-0000-000056340000}"/>
    <cellStyle name="Followed Hyperlink 3" xfId="7402" hidden="1" xr:uid="{00000000-0005-0000-0000-000057340000}"/>
    <cellStyle name="Followed Hyperlink 3" xfId="7408" hidden="1" xr:uid="{00000000-0005-0000-0000-000058340000}"/>
    <cellStyle name="Followed Hyperlink 3" xfId="7411" hidden="1" xr:uid="{00000000-0005-0000-0000-000059340000}"/>
    <cellStyle name="Followed Hyperlink 3" xfId="7414" hidden="1" xr:uid="{00000000-0005-0000-0000-00005A340000}"/>
    <cellStyle name="Followed Hyperlink 3" xfId="7419" hidden="1" xr:uid="{00000000-0005-0000-0000-00005B340000}"/>
    <cellStyle name="Followed Hyperlink 3" xfId="7458" hidden="1" xr:uid="{00000000-0005-0000-0000-00005C340000}"/>
    <cellStyle name="Followed Hyperlink 3" xfId="7460" hidden="1" xr:uid="{00000000-0005-0000-0000-00005D340000}"/>
    <cellStyle name="Followed Hyperlink 3" xfId="7456" hidden="1" xr:uid="{00000000-0005-0000-0000-00005E340000}"/>
    <cellStyle name="Followed Hyperlink 3" xfId="7455" hidden="1" xr:uid="{00000000-0005-0000-0000-00005F340000}"/>
    <cellStyle name="Followed Hyperlink 3" xfId="7461" hidden="1" xr:uid="{00000000-0005-0000-0000-000060340000}"/>
    <cellStyle name="Followed Hyperlink 3" xfId="7464" hidden="1" xr:uid="{00000000-0005-0000-0000-000061340000}"/>
    <cellStyle name="Followed Hyperlink 3" xfId="7467" hidden="1" xr:uid="{00000000-0005-0000-0000-000062340000}"/>
    <cellStyle name="Followed Hyperlink 3" xfId="7472" hidden="1" xr:uid="{00000000-0005-0000-0000-000063340000}"/>
    <cellStyle name="Followed Hyperlink 3" xfId="7482" hidden="1" xr:uid="{00000000-0005-0000-0000-000064340000}"/>
    <cellStyle name="Followed Hyperlink 3" xfId="7484" hidden="1" xr:uid="{00000000-0005-0000-0000-000065340000}"/>
    <cellStyle name="Followed Hyperlink 3" xfId="7480" hidden="1" xr:uid="{00000000-0005-0000-0000-000066340000}"/>
    <cellStyle name="Followed Hyperlink 3" xfId="7479" hidden="1" xr:uid="{00000000-0005-0000-0000-000067340000}"/>
    <cellStyle name="Followed Hyperlink 3" xfId="7485" hidden="1" xr:uid="{00000000-0005-0000-0000-000068340000}"/>
    <cellStyle name="Followed Hyperlink 3" xfId="7488" hidden="1" xr:uid="{00000000-0005-0000-0000-000069340000}"/>
    <cellStyle name="Followed Hyperlink 3" xfId="7491" hidden="1" xr:uid="{00000000-0005-0000-0000-00006A340000}"/>
    <cellStyle name="Followed Hyperlink 3" xfId="7496" hidden="1" xr:uid="{00000000-0005-0000-0000-00006B340000}"/>
    <cellStyle name="Followed Hyperlink 3" xfId="7508" hidden="1" xr:uid="{00000000-0005-0000-0000-00006C340000}"/>
    <cellStyle name="Followed Hyperlink 3" xfId="7510" hidden="1" xr:uid="{00000000-0005-0000-0000-00006D340000}"/>
    <cellStyle name="Followed Hyperlink 3" xfId="7506" hidden="1" xr:uid="{00000000-0005-0000-0000-00006E340000}"/>
    <cellStyle name="Followed Hyperlink 3" xfId="7505" hidden="1" xr:uid="{00000000-0005-0000-0000-00006F340000}"/>
    <cellStyle name="Followed Hyperlink 3" xfId="7511" hidden="1" xr:uid="{00000000-0005-0000-0000-000070340000}"/>
    <cellStyle name="Followed Hyperlink 3" xfId="7514" hidden="1" xr:uid="{00000000-0005-0000-0000-000071340000}"/>
    <cellStyle name="Followed Hyperlink 3" xfId="7517" hidden="1" xr:uid="{00000000-0005-0000-0000-000072340000}"/>
    <cellStyle name="Followed Hyperlink 3" xfId="7522" hidden="1" xr:uid="{00000000-0005-0000-0000-000073340000}"/>
    <cellStyle name="Followed Hyperlink 3" xfId="7532" hidden="1" xr:uid="{00000000-0005-0000-0000-000074340000}"/>
    <cellStyle name="Followed Hyperlink 3" xfId="7534" hidden="1" xr:uid="{00000000-0005-0000-0000-000075340000}"/>
    <cellStyle name="Followed Hyperlink 3" xfId="7530" hidden="1" xr:uid="{00000000-0005-0000-0000-000076340000}"/>
    <cellStyle name="Followed Hyperlink 3" xfId="7529" hidden="1" xr:uid="{00000000-0005-0000-0000-000077340000}"/>
    <cellStyle name="Followed Hyperlink 3" xfId="7535" hidden="1" xr:uid="{00000000-0005-0000-0000-000078340000}"/>
    <cellStyle name="Followed Hyperlink 3" xfId="7538" hidden="1" xr:uid="{00000000-0005-0000-0000-000079340000}"/>
    <cellStyle name="Followed Hyperlink 3" xfId="7541" hidden="1" xr:uid="{00000000-0005-0000-0000-00007A340000}"/>
    <cellStyle name="Followed Hyperlink 3" xfId="7546" hidden="1" xr:uid="{00000000-0005-0000-0000-00007B340000}"/>
    <cellStyle name="Followed Hyperlink 3" xfId="7422" hidden="1" xr:uid="{00000000-0005-0000-0000-00007C340000}"/>
    <cellStyle name="Followed Hyperlink 3" xfId="7499" hidden="1" xr:uid="{00000000-0005-0000-0000-00007D340000}"/>
    <cellStyle name="Followed Hyperlink 3" xfId="7426" hidden="1" xr:uid="{00000000-0005-0000-0000-00007E340000}"/>
    <cellStyle name="Followed Hyperlink 3" xfId="7427" hidden="1" xr:uid="{00000000-0005-0000-0000-00007F340000}"/>
    <cellStyle name="Followed Hyperlink 3" xfId="7430" hidden="1" xr:uid="{00000000-0005-0000-0000-000080340000}"/>
    <cellStyle name="Followed Hyperlink 3" xfId="7551" hidden="1" xr:uid="{00000000-0005-0000-0000-000081340000}"/>
    <cellStyle name="Followed Hyperlink 3" xfId="7554" hidden="1" xr:uid="{00000000-0005-0000-0000-000082340000}"/>
    <cellStyle name="Followed Hyperlink 3" xfId="7559" hidden="1" xr:uid="{00000000-0005-0000-0000-000083340000}"/>
    <cellStyle name="Followed Hyperlink 3" xfId="7569" hidden="1" xr:uid="{00000000-0005-0000-0000-000084340000}"/>
    <cellStyle name="Followed Hyperlink 3" xfId="7571" hidden="1" xr:uid="{00000000-0005-0000-0000-000085340000}"/>
    <cellStyle name="Followed Hyperlink 3" xfId="7567" hidden="1" xr:uid="{00000000-0005-0000-0000-000086340000}"/>
    <cellStyle name="Followed Hyperlink 3" xfId="7566" hidden="1" xr:uid="{00000000-0005-0000-0000-000087340000}"/>
    <cellStyle name="Followed Hyperlink 3" xfId="7572" hidden="1" xr:uid="{00000000-0005-0000-0000-000088340000}"/>
    <cellStyle name="Followed Hyperlink 3" xfId="7575" hidden="1" xr:uid="{00000000-0005-0000-0000-000089340000}"/>
    <cellStyle name="Followed Hyperlink 3" xfId="7578" hidden="1" xr:uid="{00000000-0005-0000-0000-00008A340000}"/>
    <cellStyle name="Followed Hyperlink 3" xfId="7583" hidden="1" xr:uid="{00000000-0005-0000-0000-00008B340000}"/>
    <cellStyle name="Followed Hyperlink 3" xfId="7594" hidden="1" xr:uid="{00000000-0005-0000-0000-00008C340000}"/>
    <cellStyle name="Followed Hyperlink 3" xfId="7596" hidden="1" xr:uid="{00000000-0005-0000-0000-00008D340000}"/>
    <cellStyle name="Followed Hyperlink 3" xfId="7592" hidden="1" xr:uid="{00000000-0005-0000-0000-00008E340000}"/>
    <cellStyle name="Followed Hyperlink 3" xfId="7591" hidden="1" xr:uid="{00000000-0005-0000-0000-00008F340000}"/>
    <cellStyle name="Followed Hyperlink 3" xfId="7597" hidden="1" xr:uid="{00000000-0005-0000-0000-000090340000}"/>
    <cellStyle name="Followed Hyperlink 3" xfId="7600" hidden="1" xr:uid="{00000000-0005-0000-0000-000091340000}"/>
    <cellStyle name="Followed Hyperlink 3" xfId="7603" hidden="1" xr:uid="{00000000-0005-0000-0000-000092340000}"/>
    <cellStyle name="Followed Hyperlink 3" xfId="7608" hidden="1" xr:uid="{00000000-0005-0000-0000-000093340000}"/>
    <cellStyle name="Followed Hyperlink 3" xfId="7618" hidden="1" xr:uid="{00000000-0005-0000-0000-000094340000}"/>
    <cellStyle name="Followed Hyperlink 3" xfId="7620" hidden="1" xr:uid="{00000000-0005-0000-0000-000095340000}"/>
    <cellStyle name="Followed Hyperlink 3" xfId="7616" hidden="1" xr:uid="{00000000-0005-0000-0000-000096340000}"/>
    <cellStyle name="Followed Hyperlink 3" xfId="7615" hidden="1" xr:uid="{00000000-0005-0000-0000-000097340000}"/>
    <cellStyle name="Followed Hyperlink 3" xfId="7621" hidden="1" xr:uid="{00000000-0005-0000-0000-000098340000}"/>
    <cellStyle name="Followed Hyperlink 3" xfId="7624" hidden="1" xr:uid="{00000000-0005-0000-0000-000099340000}"/>
    <cellStyle name="Followed Hyperlink 3" xfId="7627" hidden="1" xr:uid="{00000000-0005-0000-0000-00009A340000}"/>
    <cellStyle name="Followed Hyperlink 3" xfId="7632" hidden="1" xr:uid="{00000000-0005-0000-0000-00009B340000}"/>
    <cellStyle name="Followed Hyperlink 3" xfId="7443" hidden="1" xr:uid="{00000000-0005-0000-0000-00009C340000}"/>
    <cellStyle name="Followed Hyperlink 3" xfId="7586" hidden="1" xr:uid="{00000000-0005-0000-0000-00009D340000}"/>
    <cellStyle name="Followed Hyperlink 3" xfId="7440" hidden="1" xr:uid="{00000000-0005-0000-0000-00009E340000}"/>
    <cellStyle name="Followed Hyperlink 3" xfId="7432" hidden="1" xr:uid="{00000000-0005-0000-0000-00009F340000}"/>
    <cellStyle name="Followed Hyperlink 3" xfId="7437" hidden="1" xr:uid="{00000000-0005-0000-0000-0000A0340000}"/>
    <cellStyle name="Followed Hyperlink 3" xfId="7637" hidden="1" xr:uid="{00000000-0005-0000-0000-0000A1340000}"/>
    <cellStyle name="Followed Hyperlink 3" xfId="7640" hidden="1" xr:uid="{00000000-0005-0000-0000-0000A2340000}"/>
    <cellStyle name="Followed Hyperlink 3" xfId="7645" hidden="1" xr:uid="{00000000-0005-0000-0000-0000A3340000}"/>
    <cellStyle name="Followed Hyperlink 3" xfId="7655" hidden="1" xr:uid="{00000000-0005-0000-0000-0000A4340000}"/>
    <cellStyle name="Followed Hyperlink 3" xfId="7657" hidden="1" xr:uid="{00000000-0005-0000-0000-0000A5340000}"/>
    <cellStyle name="Followed Hyperlink 3" xfId="7653" hidden="1" xr:uid="{00000000-0005-0000-0000-0000A6340000}"/>
    <cellStyle name="Followed Hyperlink 3" xfId="7652" hidden="1" xr:uid="{00000000-0005-0000-0000-0000A7340000}"/>
    <cellStyle name="Followed Hyperlink 3" xfId="7658" hidden="1" xr:uid="{00000000-0005-0000-0000-0000A8340000}"/>
    <cellStyle name="Followed Hyperlink 3" xfId="7661" hidden="1" xr:uid="{00000000-0005-0000-0000-0000A9340000}"/>
    <cellStyle name="Followed Hyperlink 3" xfId="7664" hidden="1" xr:uid="{00000000-0005-0000-0000-0000AA340000}"/>
    <cellStyle name="Followed Hyperlink 3" xfId="7669" hidden="1" xr:uid="{00000000-0005-0000-0000-0000AB340000}"/>
    <cellStyle name="Followed Hyperlink 3" xfId="7680" hidden="1" xr:uid="{00000000-0005-0000-0000-0000AC340000}"/>
    <cellStyle name="Followed Hyperlink 3" xfId="7682" hidden="1" xr:uid="{00000000-0005-0000-0000-0000AD340000}"/>
    <cellStyle name="Followed Hyperlink 3" xfId="7678" hidden="1" xr:uid="{00000000-0005-0000-0000-0000AE340000}"/>
    <cellStyle name="Followed Hyperlink 3" xfId="7677" hidden="1" xr:uid="{00000000-0005-0000-0000-0000AF340000}"/>
    <cellStyle name="Followed Hyperlink 3" xfId="7683" hidden="1" xr:uid="{00000000-0005-0000-0000-0000B0340000}"/>
    <cellStyle name="Followed Hyperlink 3" xfId="7686" hidden="1" xr:uid="{00000000-0005-0000-0000-0000B1340000}"/>
    <cellStyle name="Followed Hyperlink 3" xfId="7689" hidden="1" xr:uid="{00000000-0005-0000-0000-0000B2340000}"/>
    <cellStyle name="Followed Hyperlink 3" xfId="7694" hidden="1" xr:uid="{00000000-0005-0000-0000-0000B3340000}"/>
    <cellStyle name="Followed Hyperlink 3" xfId="7704" hidden="1" xr:uid="{00000000-0005-0000-0000-0000B4340000}"/>
    <cellStyle name="Followed Hyperlink 3" xfId="7706" hidden="1" xr:uid="{00000000-0005-0000-0000-0000B5340000}"/>
    <cellStyle name="Followed Hyperlink 3" xfId="7702" hidden="1" xr:uid="{00000000-0005-0000-0000-0000B6340000}"/>
    <cellStyle name="Followed Hyperlink 3" xfId="7701" hidden="1" xr:uid="{00000000-0005-0000-0000-0000B7340000}"/>
    <cellStyle name="Followed Hyperlink 3" xfId="7707" hidden="1" xr:uid="{00000000-0005-0000-0000-0000B8340000}"/>
    <cellStyle name="Followed Hyperlink 3" xfId="7710" hidden="1" xr:uid="{00000000-0005-0000-0000-0000B9340000}"/>
    <cellStyle name="Followed Hyperlink 3" xfId="7713" hidden="1" xr:uid="{00000000-0005-0000-0000-0000BA340000}"/>
    <cellStyle name="Followed Hyperlink 3" xfId="7718" hidden="1" xr:uid="{00000000-0005-0000-0000-0000BB340000}"/>
    <cellStyle name="Followed Hyperlink 3" xfId="7448" hidden="1" xr:uid="{00000000-0005-0000-0000-0000BC340000}"/>
    <cellStyle name="Followed Hyperlink 3" xfId="7672" hidden="1" xr:uid="{00000000-0005-0000-0000-0000BD340000}"/>
    <cellStyle name="Followed Hyperlink 3" xfId="7444" hidden="1" xr:uid="{00000000-0005-0000-0000-0000BE340000}"/>
    <cellStyle name="Followed Hyperlink 3" xfId="7449" hidden="1" xr:uid="{00000000-0005-0000-0000-0000BF340000}"/>
    <cellStyle name="Followed Hyperlink 3" xfId="7436" hidden="1" xr:uid="{00000000-0005-0000-0000-0000C0340000}"/>
    <cellStyle name="Followed Hyperlink 3" xfId="7723" hidden="1" xr:uid="{00000000-0005-0000-0000-0000C1340000}"/>
    <cellStyle name="Followed Hyperlink 3" xfId="7726" hidden="1" xr:uid="{00000000-0005-0000-0000-0000C2340000}"/>
    <cellStyle name="Followed Hyperlink 3" xfId="7731" hidden="1" xr:uid="{00000000-0005-0000-0000-0000C3340000}"/>
    <cellStyle name="Followed Hyperlink 3" xfId="7741" hidden="1" xr:uid="{00000000-0005-0000-0000-0000C4340000}"/>
    <cellStyle name="Followed Hyperlink 3" xfId="7743" hidden="1" xr:uid="{00000000-0005-0000-0000-0000C5340000}"/>
    <cellStyle name="Followed Hyperlink 3" xfId="7739" hidden="1" xr:uid="{00000000-0005-0000-0000-0000C6340000}"/>
    <cellStyle name="Followed Hyperlink 3" xfId="7738" hidden="1" xr:uid="{00000000-0005-0000-0000-0000C7340000}"/>
    <cellStyle name="Followed Hyperlink 3" xfId="7744" hidden="1" xr:uid="{00000000-0005-0000-0000-0000C8340000}"/>
    <cellStyle name="Followed Hyperlink 3" xfId="7747" hidden="1" xr:uid="{00000000-0005-0000-0000-0000C9340000}"/>
    <cellStyle name="Followed Hyperlink 3" xfId="7750" hidden="1" xr:uid="{00000000-0005-0000-0000-0000CA340000}"/>
    <cellStyle name="Followed Hyperlink 3" xfId="7755" hidden="1" xr:uid="{00000000-0005-0000-0000-0000CB340000}"/>
    <cellStyle name="Followed Hyperlink 3" xfId="7765" hidden="1" xr:uid="{00000000-0005-0000-0000-0000CC340000}"/>
    <cellStyle name="Followed Hyperlink 3" xfId="7767" hidden="1" xr:uid="{00000000-0005-0000-0000-0000CD340000}"/>
    <cellStyle name="Followed Hyperlink 3" xfId="7763" hidden="1" xr:uid="{00000000-0005-0000-0000-0000CE340000}"/>
    <cellStyle name="Followed Hyperlink 3" xfId="7762" hidden="1" xr:uid="{00000000-0005-0000-0000-0000CF340000}"/>
    <cellStyle name="Followed Hyperlink 3" xfId="7768" hidden="1" xr:uid="{00000000-0005-0000-0000-0000D0340000}"/>
    <cellStyle name="Followed Hyperlink 3" xfId="7771" hidden="1" xr:uid="{00000000-0005-0000-0000-0000D1340000}"/>
    <cellStyle name="Followed Hyperlink 3" xfId="7774" hidden="1" xr:uid="{00000000-0005-0000-0000-0000D2340000}"/>
    <cellStyle name="Followed Hyperlink 3" xfId="7779" hidden="1" xr:uid="{00000000-0005-0000-0000-0000D3340000}"/>
    <cellStyle name="Followed Hyperlink 3" xfId="7789" hidden="1" xr:uid="{00000000-0005-0000-0000-0000D4340000}"/>
    <cellStyle name="Followed Hyperlink 3" xfId="7791" hidden="1" xr:uid="{00000000-0005-0000-0000-0000D5340000}"/>
    <cellStyle name="Followed Hyperlink 3" xfId="7787" hidden="1" xr:uid="{00000000-0005-0000-0000-0000D6340000}"/>
    <cellStyle name="Followed Hyperlink 3" xfId="7786" hidden="1" xr:uid="{00000000-0005-0000-0000-0000D7340000}"/>
    <cellStyle name="Followed Hyperlink 3" xfId="7792" hidden="1" xr:uid="{00000000-0005-0000-0000-0000D8340000}"/>
    <cellStyle name="Followed Hyperlink 3" xfId="7795" hidden="1" xr:uid="{00000000-0005-0000-0000-0000D9340000}"/>
    <cellStyle name="Followed Hyperlink 3" xfId="7798" hidden="1" xr:uid="{00000000-0005-0000-0000-0000DA340000}"/>
    <cellStyle name="Followed Hyperlink 3" xfId="7803" hidden="1" xr:uid="{00000000-0005-0000-0000-0000DB340000}"/>
    <cellStyle name="Followed Hyperlink 3" xfId="6846" hidden="1" xr:uid="{00000000-0005-0000-0000-0000DC340000}"/>
    <cellStyle name="Followed Hyperlink 3" xfId="7373" hidden="1" xr:uid="{00000000-0005-0000-0000-0000DD340000}"/>
    <cellStyle name="Followed Hyperlink 3" xfId="6843" hidden="1" xr:uid="{00000000-0005-0000-0000-0000DE340000}"/>
    <cellStyle name="Followed Hyperlink 3" xfId="6835" hidden="1" xr:uid="{00000000-0005-0000-0000-0000DF340000}"/>
    <cellStyle name="Followed Hyperlink 3" xfId="6840" hidden="1" xr:uid="{00000000-0005-0000-0000-0000E0340000}"/>
    <cellStyle name="Followed Hyperlink 3" xfId="7808" hidden="1" xr:uid="{00000000-0005-0000-0000-0000E1340000}"/>
    <cellStyle name="Followed Hyperlink 3" xfId="7811" hidden="1" xr:uid="{00000000-0005-0000-0000-0000E2340000}"/>
    <cellStyle name="Followed Hyperlink 3" xfId="7816" hidden="1" xr:uid="{00000000-0005-0000-0000-0000E3340000}"/>
    <cellStyle name="Followed Hyperlink 3" xfId="7826" hidden="1" xr:uid="{00000000-0005-0000-0000-0000E4340000}"/>
    <cellStyle name="Followed Hyperlink 3" xfId="7828" hidden="1" xr:uid="{00000000-0005-0000-0000-0000E5340000}"/>
    <cellStyle name="Followed Hyperlink 3" xfId="7824" hidden="1" xr:uid="{00000000-0005-0000-0000-0000E6340000}"/>
    <cellStyle name="Followed Hyperlink 3" xfId="7823" hidden="1" xr:uid="{00000000-0005-0000-0000-0000E7340000}"/>
    <cellStyle name="Followed Hyperlink 3" xfId="7829" hidden="1" xr:uid="{00000000-0005-0000-0000-0000E8340000}"/>
    <cellStyle name="Followed Hyperlink 3" xfId="7832" hidden="1" xr:uid="{00000000-0005-0000-0000-0000E9340000}"/>
    <cellStyle name="Followed Hyperlink 3" xfId="7835" hidden="1" xr:uid="{00000000-0005-0000-0000-0000EA340000}"/>
    <cellStyle name="Followed Hyperlink 3" xfId="7840" hidden="1" xr:uid="{00000000-0005-0000-0000-0000EB340000}"/>
    <cellStyle name="Followed Hyperlink 3" xfId="7851" hidden="1" xr:uid="{00000000-0005-0000-0000-0000EC340000}"/>
    <cellStyle name="Followed Hyperlink 3" xfId="7853" hidden="1" xr:uid="{00000000-0005-0000-0000-0000ED340000}"/>
    <cellStyle name="Followed Hyperlink 3" xfId="7849" hidden="1" xr:uid="{00000000-0005-0000-0000-0000EE340000}"/>
    <cellStyle name="Followed Hyperlink 3" xfId="7848" hidden="1" xr:uid="{00000000-0005-0000-0000-0000EF340000}"/>
    <cellStyle name="Followed Hyperlink 3" xfId="7854" hidden="1" xr:uid="{00000000-0005-0000-0000-0000F0340000}"/>
    <cellStyle name="Followed Hyperlink 3" xfId="7857" hidden="1" xr:uid="{00000000-0005-0000-0000-0000F1340000}"/>
    <cellStyle name="Followed Hyperlink 3" xfId="7860" hidden="1" xr:uid="{00000000-0005-0000-0000-0000F2340000}"/>
    <cellStyle name="Followed Hyperlink 3" xfId="7865" hidden="1" xr:uid="{00000000-0005-0000-0000-0000F3340000}"/>
    <cellStyle name="Followed Hyperlink 3" xfId="7875" hidden="1" xr:uid="{00000000-0005-0000-0000-0000F4340000}"/>
    <cellStyle name="Followed Hyperlink 3" xfId="7877" hidden="1" xr:uid="{00000000-0005-0000-0000-0000F5340000}"/>
    <cellStyle name="Followed Hyperlink 3" xfId="7873" hidden="1" xr:uid="{00000000-0005-0000-0000-0000F6340000}"/>
    <cellStyle name="Followed Hyperlink 3" xfId="7872" hidden="1" xr:uid="{00000000-0005-0000-0000-0000F7340000}"/>
    <cellStyle name="Followed Hyperlink 3" xfId="7878" hidden="1" xr:uid="{00000000-0005-0000-0000-0000F8340000}"/>
    <cellStyle name="Followed Hyperlink 3" xfId="7881" hidden="1" xr:uid="{00000000-0005-0000-0000-0000F9340000}"/>
    <cellStyle name="Followed Hyperlink 3" xfId="7884" hidden="1" xr:uid="{00000000-0005-0000-0000-0000FA340000}"/>
    <cellStyle name="Followed Hyperlink 3" xfId="7889" hidden="1" xr:uid="{00000000-0005-0000-0000-0000FB340000}"/>
    <cellStyle name="Followed Hyperlink 3" xfId="7928" hidden="1" xr:uid="{00000000-0005-0000-0000-0000FC340000}"/>
    <cellStyle name="Followed Hyperlink 3" xfId="7930" hidden="1" xr:uid="{00000000-0005-0000-0000-0000FD340000}"/>
    <cellStyle name="Followed Hyperlink 3" xfId="7926" hidden="1" xr:uid="{00000000-0005-0000-0000-0000FE340000}"/>
    <cellStyle name="Followed Hyperlink 3" xfId="7925" hidden="1" xr:uid="{00000000-0005-0000-0000-0000FF340000}"/>
    <cellStyle name="Followed Hyperlink 3" xfId="7931" hidden="1" xr:uid="{00000000-0005-0000-0000-000000350000}"/>
    <cellStyle name="Followed Hyperlink 3" xfId="7934" hidden="1" xr:uid="{00000000-0005-0000-0000-000001350000}"/>
    <cellStyle name="Followed Hyperlink 3" xfId="7937" hidden="1" xr:uid="{00000000-0005-0000-0000-000002350000}"/>
    <cellStyle name="Followed Hyperlink 3" xfId="7942" hidden="1" xr:uid="{00000000-0005-0000-0000-000003350000}"/>
    <cellStyle name="Followed Hyperlink 3" xfId="7952" hidden="1" xr:uid="{00000000-0005-0000-0000-000004350000}"/>
    <cellStyle name="Followed Hyperlink 3" xfId="7954" hidden="1" xr:uid="{00000000-0005-0000-0000-000005350000}"/>
    <cellStyle name="Followed Hyperlink 3" xfId="7950" hidden="1" xr:uid="{00000000-0005-0000-0000-000006350000}"/>
    <cellStyle name="Followed Hyperlink 3" xfId="7949" hidden="1" xr:uid="{00000000-0005-0000-0000-000007350000}"/>
    <cellStyle name="Followed Hyperlink 3" xfId="7955" hidden="1" xr:uid="{00000000-0005-0000-0000-000008350000}"/>
    <cellStyle name="Followed Hyperlink 3" xfId="7958" hidden="1" xr:uid="{00000000-0005-0000-0000-000009350000}"/>
    <cellStyle name="Followed Hyperlink 3" xfId="7961" hidden="1" xr:uid="{00000000-0005-0000-0000-00000A350000}"/>
    <cellStyle name="Followed Hyperlink 3" xfId="7966" hidden="1" xr:uid="{00000000-0005-0000-0000-00000B350000}"/>
    <cellStyle name="Followed Hyperlink 3" xfId="7978" hidden="1" xr:uid="{00000000-0005-0000-0000-00000C350000}"/>
    <cellStyle name="Followed Hyperlink 3" xfId="7980" hidden="1" xr:uid="{00000000-0005-0000-0000-00000D350000}"/>
    <cellStyle name="Followed Hyperlink 3" xfId="7976" hidden="1" xr:uid="{00000000-0005-0000-0000-00000E350000}"/>
    <cellStyle name="Followed Hyperlink 3" xfId="7975" hidden="1" xr:uid="{00000000-0005-0000-0000-00000F350000}"/>
    <cellStyle name="Followed Hyperlink 3" xfId="7981" hidden="1" xr:uid="{00000000-0005-0000-0000-000010350000}"/>
    <cellStyle name="Followed Hyperlink 3" xfId="7984" hidden="1" xr:uid="{00000000-0005-0000-0000-000011350000}"/>
    <cellStyle name="Followed Hyperlink 3" xfId="7987" hidden="1" xr:uid="{00000000-0005-0000-0000-000012350000}"/>
    <cellStyle name="Followed Hyperlink 3" xfId="7992" hidden="1" xr:uid="{00000000-0005-0000-0000-000013350000}"/>
    <cellStyle name="Followed Hyperlink 3" xfId="8002" hidden="1" xr:uid="{00000000-0005-0000-0000-000014350000}"/>
    <cellStyle name="Followed Hyperlink 3" xfId="8004" hidden="1" xr:uid="{00000000-0005-0000-0000-000015350000}"/>
    <cellStyle name="Followed Hyperlink 3" xfId="8000" hidden="1" xr:uid="{00000000-0005-0000-0000-000016350000}"/>
    <cellStyle name="Followed Hyperlink 3" xfId="7999" hidden="1" xr:uid="{00000000-0005-0000-0000-000017350000}"/>
    <cellStyle name="Followed Hyperlink 3" xfId="8005" hidden="1" xr:uid="{00000000-0005-0000-0000-000018350000}"/>
    <cellStyle name="Followed Hyperlink 3" xfId="8008" hidden="1" xr:uid="{00000000-0005-0000-0000-000019350000}"/>
    <cellStyle name="Followed Hyperlink 3" xfId="8011" hidden="1" xr:uid="{00000000-0005-0000-0000-00001A350000}"/>
    <cellStyle name="Followed Hyperlink 3" xfId="8016" hidden="1" xr:uid="{00000000-0005-0000-0000-00001B350000}"/>
    <cellStyle name="Followed Hyperlink 3" xfId="7892" hidden="1" xr:uid="{00000000-0005-0000-0000-00001C350000}"/>
    <cellStyle name="Followed Hyperlink 3" xfId="7969" hidden="1" xr:uid="{00000000-0005-0000-0000-00001D350000}"/>
    <cellStyle name="Followed Hyperlink 3" xfId="7896" hidden="1" xr:uid="{00000000-0005-0000-0000-00001E350000}"/>
    <cellStyle name="Followed Hyperlink 3" xfId="7897" hidden="1" xr:uid="{00000000-0005-0000-0000-00001F350000}"/>
    <cellStyle name="Followed Hyperlink 3" xfId="7900" hidden="1" xr:uid="{00000000-0005-0000-0000-000020350000}"/>
    <cellStyle name="Followed Hyperlink 3" xfId="8021" hidden="1" xr:uid="{00000000-0005-0000-0000-000021350000}"/>
    <cellStyle name="Followed Hyperlink 3" xfId="8024" hidden="1" xr:uid="{00000000-0005-0000-0000-000022350000}"/>
    <cellStyle name="Followed Hyperlink 3" xfId="8029" hidden="1" xr:uid="{00000000-0005-0000-0000-000023350000}"/>
    <cellStyle name="Followed Hyperlink 3" xfId="8039" hidden="1" xr:uid="{00000000-0005-0000-0000-000024350000}"/>
    <cellStyle name="Followed Hyperlink 3" xfId="8041" hidden="1" xr:uid="{00000000-0005-0000-0000-000025350000}"/>
    <cellStyle name="Followed Hyperlink 3" xfId="8037" hidden="1" xr:uid="{00000000-0005-0000-0000-000026350000}"/>
    <cellStyle name="Followed Hyperlink 3" xfId="8036" hidden="1" xr:uid="{00000000-0005-0000-0000-000027350000}"/>
    <cellStyle name="Followed Hyperlink 3" xfId="8042" hidden="1" xr:uid="{00000000-0005-0000-0000-000028350000}"/>
    <cellStyle name="Followed Hyperlink 3" xfId="8045" hidden="1" xr:uid="{00000000-0005-0000-0000-000029350000}"/>
    <cellStyle name="Followed Hyperlink 3" xfId="8048" hidden="1" xr:uid="{00000000-0005-0000-0000-00002A350000}"/>
    <cellStyle name="Followed Hyperlink 3" xfId="8053" hidden="1" xr:uid="{00000000-0005-0000-0000-00002B350000}"/>
    <cellStyle name="Followed Hyperlink 3" xfId="8064" hidden="1" xr:uid="{00000000-0005-0000-0000-00002C350000}"/>
    <cellStyle name="Followed Hyperlink 3" xfId="8066" hidden="1" xr:uid="{00000000-0005-0000-0000-00002D350000}"/>
    <cellStyle name="Followed Hyperlink 3" xfId="8062" hidden="1" xr:uid="{00000000-0005-0000-0000-00002E350000}"/>
    <cellStyle name="Followed Hyperlink 3" xfId="8061" hidden="1" xr:uid="{00000000-0005-0000-0000-00002F350000}"/>
    <cellStyle name="Followed Hyperlink 3" xfId="8067" hidden="1" xr:uid="{00000000-0005-0000-0000-000030350000}"/>
    <cellStyle name="Followed Hyperlink 3" xfId="8070" hidden="1" xr:uid="{00000000-0005-0000-0000-000031350000}"/>
    <cellStyle name="Followed Hyperlink 3" xfId="8073" hidden="1" xr:uid="{00000000-0005-0000-0000-000032350000}"/>
    <cellStyle name="Followed Hyperlink 3" xfId="8078" hidden="1" xr:uid="{00000000-0005-0000-0000-000033350000}"/>
    <cellStyle name="Followed Hyperlink 3" xfId="8088" hidden="1" xr:uid="{00000000-0005-0000-0000-000034350000}"/>
    <cellStyle name="Followed Hyperlink 3" xfId="8090" hidden="1" xr:uid="{00000000-0005-0000-0000-000035350000}"/>
    <cellStyle name="Followed Hyperlink 3" xfId="8086" hidden="1" xr:uid="{00000000-0005-0000-0000-000036350000}"/>
    <cellStyle name="Followed Hyperlink 3" xfId="8085" hidden="1" xr:uid="{00000000-0005-0000-0000-000037350000}"/>
    <cellStyle name="Followed Hyperlink 3" xfId="8091" hidden="1" xr:uid="{00000000-0005-0000-0000-000038350000}"/>
    <cellStyle name="Followed Hyperlink 3" xfId="8094" hidden="1" xr:uid="{00000000-0005-0000-0000-000039350000}"/>
    <cellStyle name="Followed Hyperlink 3" xfId="8097" hidden="1" xr:uid="{00000000-0005-0000-0000-00003A350000}"/>
    <cellStyle name="Followed Hyperlink 3" xfId="8102" hidden="1" xr:uid="{00000000-0005-0000-0000-00003B350000}"/>
    <cellStyle name="Followed Hyperlink 3" xfId="7913" hidden="1" xr:uid="{00000000-0005-0000-0000-00003C350000}"/>
    <cellStyle name="Followed Hyperlink 3" xfId="8056" hidden="1" xr:uid="{00000000-0005-0000-0000-00003D350000}"/>
    <cellStyle name="Followed Hyperlink 3" xfId="7910" hidden="1" xr:uid="{00000000-0005-0000-0000-00003E350000}"/>
    <cellStyle name="Followed Hyperlink 3" xfId="7902" hidden="1" xr:uid="{00000000-0005-0000-0000-00003F350000}"/>
    <cellStyle name="Followed Hyperlink 3" xfId="7907" hidden="1" xr:uid="{00000000-0005-0000-0000-000040350000}"/>
    <cellStyle name="Followed Hyperlink 3" xfId="8107" hidden="1" xr:uid="{00000000-0005-0000-0000-000041350000}"/>
    <cellStyle name="Followed Hyperlink 3" xfId="8110" hidden="1" xr:uid="{00000000-0005-0000-0000-000042350000}"/>
    <cellStyle name="Followed Hyperlink 3" xfId="8115" hidden="1" xr:uid="{00000000-0005-0000-0000-000043350000}"/>
    <cellStyle name="Followed Hyperlink 3" xfId="8125" hidden="1" xr:uid="{00000000-0005-0000-0000-000044350000}"/>
    <cellStyle name="Followed Hyperlink 3" xfId="8127" hidden="1" xr:uid="{00000000-0005-0000-0000-000045350000}"/>
    <cellStyle name="Followed Hyperlink 3" xfId="8123" hidden="1" xr:uid="{00000000-0005-0000-0000-000046350000}"/>
    <cellStyle name="Followed Hyperlink 3" xfId="8122" hidden="1" xr:uid="{00000000-0005-0000-0000-000047350000}"/>
    <cellStyle name="Followed Hyperlink 3" xfId="8128" hidden="1" xr:uid="{00000000-0005-0000-0000-000048350000}"/>
    <cellStyle name="Followed Hyperlink 3" xfId="8131" hidden="1" xr:uid="{00000000-0005-0000-0000-000049350000}"/>
    <cellStyle name="Followed Hyperlink 3" xfId="8134" hidden="1" xr:uid="{00000000-0005-0000-0000-00004A350000}"/>
    <cellStyle name="Followed Hyperlink 3" xfId="8139" hidden="1" xr:uid="{00000000-0005-0000-0000-00004B350000}"/>
    <cellStyle name="Followed Hyperlink 3" xfId="8150" hidden="1" xr:uid="{00000000-0005-0000-0000-00004C350000}"/>
    <cellStyle name="Followed Hyperlink 3" xfId="8152" hidden="1" xr:uid="{00000000-0005-0000-0000-00004D350000}"/>
    <cellStyle name="Followed Hyperlink 3" xfId="8148" hidden="1" xr:uid="{00000000-0005-0000-0000-00004E350000}"/>
    <cellStyle name="Followed Hyperlink 3" xfId="8147" hidden="1" xr:uid="{00000000-0005-0000-0000-00004F350000}"/>
    <cellStyle name="Followed Hyperlink 3" xfId="8153" hidden="1" xr:uid="{00000000-0005-0000-0000-000050350000}"/>
    <cellStyle name="Followed Hyperlink 3" xfId="8156" hidden="1" xr:uid="{00000000-0005-0000-0000-000051350000}"/>
    <cellStyle name="Followed Hyperlink 3" xfId="8159" hidden="1" xr:uid="{00000000-0005-0000-0000-000052350000}"/>
    <cellStyle name="Followed Hyperlink 3" xfId="8164" hidden="1" xr:uid="{00000000-0005-0000-0000-000053350000}"/>
    <cellStyle name="Followed Hyperlink 3" xfId="8174" hidden="1" xr:uid="{00000000-0005-0000-0000-000054350000}"/>
    <cellStyle name="Followed Hyperlink 3" xfId="8176" hidden="1" xr:uid="{00000000-0005-0000-0000-000055350000}"/>
    <cellStyle name="Followed Hyperlink 3" xfId="8172" hidden="1" xr:uid="{00000000-0005-0000-0000-000056350000}"/>
    <cellStyle name="Followed Hyperlink 3" xfId="8171" hidden="1" xr:uid="{00000000-0005-0000-0000-000057350000}"/>
    <cellStyle name="Followed Hyperlink 3" xfId="8177" hidden="1" xr:uid="{00000000-0005-0000-0000-000058350000}"/>
    <cellStyle name="Followed Hyperlink 3" xfId="8180" hidden="1" xr:uid="{00000000-0005-0000-0000-000059350000}"/>
    <cellStyle name="Followed Hyperlink 3" xfId="8183" hidden="1" xr:uid="{00000000-0005-0000-0000-00005A350000}"/>
    <cellStyle name="Followed Hyperlink 3" xfId="8188" hidden="1" xr:uid="{00000000-0005-0000-0000-00005B350000}"/>
    <cellStyle name="Followed Hyperlink 3" xfId="7918" hidden="1" xr:uid="{00000000-0005-0000-0000-00005C350000}"/>
    <cellStyle name="Followed Hyperlink 3" xfId="8142" hidden="1" xr:uid="{00000000-0005-0000-0000-00005D350000}"/>
    <cellStyle name="Followed Hyperlink 3" xfId="7914" hidden="1" xr:uid="{00000000-0005-0000-0000-00005E350000}"/>
    <cellStyle name="Followed Hyperlink 3" xfId="7919" hidden="1" xr:uid="{00000000-0005-0000-0000-00005F350000}"/>
    <cellStyle name="Followed Hyperlink 3" xfId="7906" hidden="1" xr:uid="{00000000-0005-0000-0000-000060350000}"/>
    <cellStyle name="Followed Hyperlink 3" xfId="8193" hidden="1" xr:uid="{00000000-0005-0000-0000-000061350000}"/>
    <cellStyle name="Followed Hyperlink 3" xfId="8196" hidden="1" xr:uid="{00000000-0005-0000-0000-000062350000}"/>
    <cellStyle name="Followed Hyperlink 3" xfId="8201" hidden="1" xr:uid="{00000000-0005-0000-0000-000063350000}"/>
    <cellStyle name="Followed Hyperlink 3" xfId="8211" hidden="1" xr:uid="{00000000-0005-0000-0000-000064350000}"/>
    <cellStyle name="Followed Hyperlink 3" xfId="8213" hidden="1" xr:uid="{00000000-0005-0000-0000-000065350000}"/>
    <cellStyle name="Followed Hyperlink 3" xfId="8209" hidden="1" xr:uid="{00000000-0005-0000-0000-000066350000}"/>
    <cellStyle name="Followed Hyperlink 3" xfId="8208" hidden="1" xr:uid="{00000000-0005-0000-0000-000067350000}"/>
    <cellStyle name="Followed Hyperlink 3" xfId="8214" hidden="1" xr:uid="{00000000-0005-0000-0000-000068350000}"/>
    <cellStyle name="Followed Hyperlink 3" xfId="8217" hidden="1" xr:uid="{00000000-0005-0000-0000-000069350000}"/>
    <cellStyle name="Followed Hyperlink 3" xfId="8220" hidden="1" xr:uid="{00000000-0005-0000-0000-00006A350000}"/>
    <cellStyle name="Followed Hyperlink 3" xfId="8225" hidden="1" xr:uid="{00000000-0005-0000-0000-00006B350000}"/>
    <cellStyle name="Followed Hyperlink 3" xfId="8235" hidden="1" xr:uid="{00000000-0005-0000-0000-00006C350000}"/>
    <cellStyle name="Followed Hyperlink 3" xfId="8237" hidden="1" xr:uid="{00000000-0005-0000-0000-00006D350000}"/>
    <cellStyle name="Followed Hyperlink 3" xfId="8233" hidden="1" xr:uid="{00000000-0005-0000-0000-00006E350000}"/>
    <cellStyle name="Followed Hyperlink 3" xfId="8232" hidden="1" xr:uid="{00000000-0005-0000-0000-00006F350000}"/>
    <cellStyle name="Followed Hyperlink 3" xfId="8238" hidden="1" xr:uid="{00000000-0005-0000-0000-000070350000}"/>
    <cellStyle name="Followed Hyperlink 3" xfId="8241" hidden="1" xr:uid="{00000000-0005-0000-0000-000071350000}"/>
    <cellStyle name="Followed Hyperlink 3" xfId="8244" hidden="1" xr:uid="{00000000-0005-0000-0000-000072350000}"/>
    <cellStyle name="Followed Hyperlink 3" xfId="8249" hidden="1" xr:uid="{00000000-0005-0000-0000-000073350000}"/>
    <cellStyle name="Followed Hyperlink 3" xfId="8259" hidden="1" xr:uid="{00000000-0005-0000-0000-000074350000}"/>
    <cellStyle name="Followed Hyperlink 3" xfId="8261" hidden="1" xr:uid="{00000000-0005-0000-0000-000075350000}"/>
    <cellStyle name="Followed Hyperlink 3" xfId="8257" hidden="1" xr:uid="{00000000-0005-0000-0000-000076350000}"/>
    <cellStyle name="Followed Hyperlink 3" xfId="8256" hidden="1" xr:uid="{00000000-0005-0000-0000-000077350000}"/>
    <cellStyle name="Followed Hyperlink 3" xfId="8262" hidden="1" xr:uid="{00000000-0005-0000-0000-000078350000}"/>
    <cellStyle name="Followed Hyperlink 3" xfId="8265" hidden="1" xr:uid="{00000000-0005-0000-0000-000079350000}"/>
    <cellStyle name="Followed Hyperlink 3" xfId="8268" hidden="1" xr:uid="{00000000-0005-0000-0000-00007A350000}"/>
    <cellStyle name="Followed Hyperlink 3" xfId="8273" hidden="1" xr:uid="{00000000-0005-0000-0000-00007B350000}"/>
    <cellStyle name="Followed Hyperlink 3" xfId="6851" hidden="1" xr:uid="{00000000-0005-0000-0000-00007C350000}"/>
    <cellStyle name="Followed Hyperlink 3" xfId="7843" hidden="1" xr:uid="{00000000-0005-0000-0000-00007D350000}"/>
    <cellStyle name="Followed Hyperlink 3" xfId="6847" hidden="1" xr:uid="{00000000-0005-0000-0000-00007E350000}"/>
    <cellStyle name="Followed Hyperlink 3" xfId="6852" hidden="1" xr:uid="{00000000-0005-0000-0000-00007F350000}"/>
    <cellStyle name="Followed Hyperlink 3" xfId="6839" hidden="1" xr:uid="{00000000-0005-0000-0000-000080350000}"/>
    <cellStyle name="Followed Hyperlink 3" xfId="8278" hidden="1" xr:uid="{00000000-0005-0000-0000-000081350000}"/>
    <cellStyle name="Followed Hyperlink 3" xfId="8281" hidden="1" xr:uid="{00000000-0005-0000-0000-000082350000}"/>
    <cellStyle name="Followed Hyperlink 3" xfId="8286" hidden="1" xr:uid="{00000000-0005-0000-0000-000083350000}"/>
    <cellStyle name="Followed Hyperlink 3" xfId="8296" hidden="1" xr:uid="{00000000-0005-0000-0000-000084350000}"/>
    <cellStyle name="Followed Hyperlink 3" xfId="8298" hidden="1" xr:uid="{00000000-0005-0000-0000-000085350000}"/>
    <cellStyle name="Followed Hyperlink 3" xfId="8294" hidden="1" xr:uid="{00000000-0005-0000-0000-000086350000}"/>
    <cellStyle name="Followed Hyperlink 3" xfId="8293" hidden="1" xr:uid="{00000000-0005-0000-0000-000087350000}"/>
    <cellStyle name="Followed Hyperlink 3" xfId="8299" hidden="1" xr:uid="{00000000-0005-0000-0000-000088350000}"/>
    <cellStyle name="Followed Hyperlink 3" xfId="8302" hidden="1" xr:uid="{00000000-0005-0000-0000-000089350000}"/>
    <cellStyle name="Followed Hyperlink 3" xfId="8305" hidden="1" xr:uid="{00000000-0005-0000-0000-00008A350000}"/>
    <cellStyle name="Followed Hyperlink 3" xfId="8310" hidden="1" xr:uid="{00000000-0005-0000-0000-00008B350000}"/>
    <cellStyle name="Followed Hyperlink 3" xfId="8320" hidden="1" xr:uid="{00000000-0005-0000-0000-00008C350000}"/>
    <cellStyle name="Followed Hyperlink 3" xfId="8322" hidden="1" xr:uid="{00000000-0005-0000-0000-00008D350000}"/>
    <cellStyle name="Followed Hyperlink 3" xfId="8318" hidden="1" xr:uid="{00000000-0005-0000-0000-00008E350000}"/>
    <cellStyle name="Followed Hyperlink 3" xfId="8317" hidden="1" xr:uid="{00000000-0005-0000-0000-00008F350000}"/>
    <cellStyle name="Followed Hyperlink 3" xfId="8323" hidden="1" xr:uid="{00000000-0005-0000-0000-000090350000}"/>
    <cellStyle name="Followed Hyperlink 3" xfId="8326" hidden="1" xr:uid="{00000000-0005-0000-0000-000091350000}"/>
    <cellStyle name="Followed Hyperlink 3" xfId="8329" hidden="1" xr:uid="{00000000-0005-0000-0000-000092350000}"/>
    <cellStyle name="Followed Hyperlink 3" xfId="8334" hidden="1" xr:uid="{00000000-0005-0000-0000-000093350000}"/>
    <cellStyle name="Followed Hyperlink 3" xfId="8344" hidden="1" xr:uid="{00000000-0005-0000-0000-000094350000}"/>
    <cellStyle name="Followed Hyperlink 3" xfId="8346" hidden="1" xr:uid="{00000000-0005-0000-0000-000095350000}"/>
    <cellStyle name="Followed Hyperlink 3" xfId="8342" hidden="1" xr:uid="{00000000-0005-0000-0000-000096350000}"/>
    <cellStyle name="Followed Hyperlink 3" xfId="8341" hidden="1" xr:uid="{00000000-0005-0000-0000-000097350000}"/>
    <cellStyle name="Followed Hyperlink 3" xfId="8347" hidden="1" xr:uid="{00000000-0005-0000-0000-000098350000}"/>
    <cellStyle name="Followed Hyperlink 3" xfId="8350" hidden="1" xr:uid="{00000000-0005-0000-0000-000099350000}"/>
    <cellStyle name="Followed Hyperlink 3" xfId="8353" hidden="1" xr:uid="{00000000-0005-0000-0000-00009A350000}"/>
    <cellStyle name="Followed Hyperlink 3" xfId="8358" hidden="1" xr:uid="{00000000-0005-0000-0000-00009B350000}"/>
    <cellStyle name="Followed Hyperlink 3" xfId="8397" hidden="1" xr:uid="{00000000-0005-0000-0000-00009C350000}"/>
    <cellStyle name="Followed Hyperlink 3" xfId="8399" hidden="1" xr:uid="{00000000-0005-0000-0000-00009D350000}"/>
    <cellStyle name="Followed Hyperlink 3" xfId="8395" hidden="1" xr:uid="{00000000-0005-0000-0000-00009E350000}"/>
    <cellStyle name="Followed Hyperlink 3" xfId="8394" hidden="1" xr:uid="{00000000-0005-0000-0000-00009F350000}"/>
    <cellStyle name="Followed Hyperlink 3" xfId="8400" hidden="1" xr:uid="{00000000-0005-0000-0000-0000A0350000}"/>
    <cellStyle name="Followed Hyperlink 3" xfId="8403" hidden="1" xr:uid="{00000000-0005-0000-0000-0000A1350000}"/>
    <cellStyle name="Followed Hyperlink 3" xfId="8406" hidden="1" xr:uid="{00000000-0005-0000-0000-0000A2350000}"/>
    <cellStyle name="Followed Hyperlink 3" xfId="8411" hidden="1" xr:uid="{00000000-0005-0000-0000-0000A3350000}"/>
    <cellStyle name="Followed Hyperlink 3" xfId="8421" hidden="1" xr:uid="{00000000-0005-0000-0000-0000A4350000}"/>
    <cellStyle name="Followed Hyperlink 3" xfId="8423" hidden="1" xr:uid="{00000000-0005-0000-0000-0000A5350000}"/>
    <cellStyle name="Followed Hyperlink 3" xfId="8419" hidden="1" xr:uid="{00000000-0005-0000-0000-0000A6350000}"/>
    <cellStyle name="Followed Hyperlink 3" xfId="8418" hidden="1" xr:uid="{00000000-0005-0000-0000-0000A7350000}"/>
    <cellStyle name="Followed Hyperlink 3" xfId="8424" hidden="1" xr:uid="{00000000-0005-0000-0000-0000A8350000}"/>
    <cellStyle name="Followed Hyperlink 3" xfId="8427" hidden="1" xr:uid="{00000000-0005-0000-0000-0000A9350000}"/>
    <cellStyle name="Followed Hyperlink 3" xfId="8430" hidden="1" xr:uid="{00000000-0005-0000-0000-0000AA350000}"/>
    <cellStyle name="Followed Hyperlink 3" xfId="8435" hidden="1" xr:uid="{00000000-0005-0000-0000-0000AB350000}"/>
    <cellStyle name="Followed Hyperlink 3" xfId="8447" hidden="1" xr:uid="{00000000-0005-0000-0000-0000AC350000}"/>
    <cellStyle name="Followed Hyperlink 3" xfId="8449" hidden="1" xr:uid="{00000000-0005-0000-0000-0000AD350000}"/>
    <cellStyle name="Followed Hyperlink 3" xfId="8445" hidden="1" xr:uid="{00000000-0005-0000-0000-0000AE350000}"/>
    <cellStyle name="Followed Hyperlink 3" xfId="8444" hidden="1" xr:uid="{00000000-0005-0000-0000-0000AF350000}"/>
    <cellStyle name="Followed Hyperlink 3" xfId="8450" hidden="1" xr:uid="{00000000-0005-0000-0000-0000B0350000}"/>
    <cellStyle name="Followed Hyperlink 3" xfId="8453" hidden="1" xr:uid="{00000000-0005-0000-0000-0000B1350000}"/>
    <cellStyle name="Followed Hyperlink 3" xfId="8456" hidden="1" xr:uid="{00000000-0005-0000-0000-0000B2350000}"/>
    <cellStyle name="Followed Hyperlink 3" xfId="8461" hidden="1" xr:uid="{00000000-0005-0000-0000-0000B3350000}"/>
    <cellStyle name="Followed Hyperlink 3" xfId="8471" hidden="1" xr:uid="{00000000-0005-0000-0000-0000B4350000}"/>
    <cellStyle name="Followed Hyperlink 3" xfId="8473" hidden="1" xr:uid="{00000000-0005-0000-0000-0000B5350000}"/>
    <cellStyle name="Followed Hyperlink 3" xfId="8469" hidden="1" xr:uid="{00000000-0005-0000-0000-0000B6350000}"/>
    <cellStyle name="Followed Hyperlink 3" xfId="8468" hidden="1" xr:uid="{00000000-0005-0000-0000-0000B7350000}"/>
    <cellStyle name="Followed Hyperlink 3" xfId="8474" hidden="1" xr:uid="{00000000-0005-0000-0000-0000B8350000}"/>
    <cellStyle name="Followed Hyperlink 3" xfId="8477" hidden="1" xr:uid="{00000000-0005-0000-0000-0000B9350000}"/>
    <cellStyle name="Followed Hyperlink 3" xfId="8480" hidden="1" xr:uid="{00000000-0005-0000-0000-0000BA350000}"/>
    <cellStyle name="Followed Hyperlink 3" xfId="8485" hidden="1" xr:uid="{00000000-0005-0000-0000-0000BB350000}"/>
    <cellStyle name="Followed Hyperlink 3" xfId="8361" hidden="1" xr:uid="{00000000-0005-0000-0000-0000BC350000}"/>
    <cellStyle name="Followed Hyperlink 3" xfId="8438" hidden="1" xr:uid="{00000000-0005-0000-0000-0000BD350000}"/>
    <cellStyle name="Followed Hyperlink 3" xfId="8365" hidden="1" xr:uid="{00000000-0005-0000-0000-0000BE350000}"/>
    <cellStyle name="Followed Hyperlink 3" xfId="8366" hidden="1" xr:uid="{00000000-0005-0000-0000-0000BF350000}"/>
    <cellStyle name="Followed Hyperlink 3" xfId="8369" hidden="1" xr:uid="{00000000-0005-0000-0000-0000C0350000}"/>
    <cellStyle name="Followed Hyperlink 3" xfId="8490" hidden="1" xr:uid="{00000000-0005-0000-0000-0000C1350000}"/>
    <cellStyle name="Followed Hyperlink 3" xfId="8493" hidden="1" xr:uid="{00000000-0005-0000-0000-0000C2350000}"/>
    <cellStyle name="Followed Hyperlink 3" xfId="8498" hidden="1" xr:uid="{00000000-0005-0000-0000-0000C3350000}"/>
    <cellStyle name="Followed Hyperlink 3" xfId="8508" hidden="1" xr:uid="{00000000-0005-0000-0000-0000C4350000}"/>
    <cellStyle name="Followed Hyperlink 3" xfId="8510" hidden="1" xr:uid="{00000000-0005-0000-0000-0000C5350000}"/>
    <cellStyle name="Followed Hyperlink 3" xfId="8506" hidden="1" xr:uid="{00000000-0005-0000-0000-0000C6350000}"/>
    <cellStyle name="Followed Hyperlink 3" xfId="8505" hidden="1" xr:uid="{00000000-0005-0000-0000-0000C7350000}"/>
    <cellStyle name="Followed Hyperlink 3" xfId="8511" hidden="1" xr:uid="{00000000-0005-0000-0000-0000C8350000}"/>
    <cellStyle name="Followed Hyperlink 3" xfId="8514" hidden="1" xr:uid="{00000000-0005-0000-0000-0000C9350000}"/>
    <cellStyle name="Followed Hyperlink 3" xfId="8517" hidden="1" xr:uid="{00000000-0005-0000-0000-0000CA350000}"/>
    <cellStyle name="Followed Hyperlink 3" xfId="8522" hidden="1" xr:uid="{00000000-0005-0000-0000-0000CB350000}"/>
    <cellStyle name="Followed Hyperlink 3" xfId="8533" hidden="1" xr:uid="{00000000-0005-0000-0000-0000CC350000}"/>
    <cellStyle name="Followed Hyperlink 3" xfId="8535" hidden="1" xr:uid="{00000000-0005-0000-0000-0000CD350000}"/>
    <cellStyle name="Followed Hyperlink 3" xfId="8531" hidden="1" xr:uid="{00000000-0005-0000-0000-0000CE350000}"/>
    <cellStyle name="Followed Hyperlink 3" xfId="8530" hidden="1" xr:uid="{00000000-0005-0000-0000-0000CF350000}"/>
    <cellStyle name="Followed Hyperlink 3" xfId="8536" hidden="1" xr:uid="{00000000-0005-0000-0000-0000D0350000}"/>
    <cellStyle name="Followed Hyperlink 3" xfId="8539" hidden="1" xr:uid="{00000000-0005-0000-0000-0000D1350000}"/>
    <cellStyle name="Followed Hyperlink 3" xfId="8542" hidden="1" xr:uid="{00000000-0005-0000-0000-0000D2350000}"/>
    <cellStyle name="Followed Hyperlink 3" xfId="8547" hidden="1" xr:uid="{00000000-0005-0000-0000-0000D3350000}"/>
    <cellStyle name="Followed Hyperlink 3" xfId="8557" hidden="1" xr:uid="{00000000-0005-0000-0000-0000D4350000}"/>
    <cellStyle name="Followed Hyperlink 3" xfId="8559" hidden="1" xr:uid="{00000000-0005-0000-0000-0000D5350000}"/>
    <cellStyle name="Followed Hyperlink 3" xfId="8555" hidden="1" xr:uid="{00000000-0005-0000-0000-0000D6350000}"/>
    <cellStyle name="Followed Hyperlink 3" xfId="8554" hidden="1" xr:uid="{00000000-0005-0000-0000-0000D7350000}"/>
    <cellStyle name="Followed Hyperlink 3" xfId="8560" hidden="1" xr:uid="{00000000-0005-0000-0000-0000D8350000}"/>
    <cellStyle name="Followed Hyperlink 3" xfId="8563" hidden="1" xr:uid="{00000000-0005-0000-0000-0000D9350000}"/>
    <cellStyle name="Followed Hyperlink 3" xfId="8566" hidden="1" xr:uid="{00000000-0005-0000-0000-0000DA350000}"/>
    <cellStyle name="Followed Hyperlink 3" xfId="8571" hidden="1" xr:uid="{00000000-0005-0000-0000-0000DB350000}"/>
    <cellStyle name="Followed Hyperlink 3" xfId="8382" hidden="1" xr:uid="{00000000-0005-0000-0000-0000DC350000}"/>
    <cellStyle name="Followed Hyperlink 3" xfId="8525" hidden="1" xr:uid="{00000000-0005-0000-0000-0000DD350000}"/>
    <cellStyle name="Followed Hyperlink 3" xfId="8379" hidden="1" xr:uid="{00000000-0005-0000-0000-0000DE350000}"/>
    <cellStyle name="Followed Hyperlink 3" xfId="8371" hidden="1" xr:uid="{00000000-0005-0000-0000-0000DF350000}"/>
    <cellStyle name="Followed Hyperlink 3" xfId="8376" hidden="1" xr:uid="{00000000-0005-0000-0000-0000E0350000}"/>
    <cellStyle name="Followed Hyperlink 3" xfId="8576" hidden="1" xr:uid="{00000000-0005-0000-0000-0000E1350000}"/>
    <cellStyle name="Followed Hyperlink 3" xfId="8579" hidden="1" xr:uid="{00000000-0005-0000-0000-0000E2350000}"/>
    <cellStyle name="Followed Hyperlink 3" xfId="8584" hidden="1" xr:uid="{00000000-0005-0000-0000-0000E3350000}"/>
    <cellStyle name="Followed Hyperlink 3" xfId="8594" hidden="1" xr:uid="{00000000-0005-0000-0000-0000E4350000}"/>
    <cellStyle name="Followed Hyperlink 3" xfId="8596" hidden="1" xr:uid="{00000000-0005-0000-0000-0000E5350000}"/>
    <cellStyle name="Followed Hyperlink 3" xfId="8592" hidden="1" xr:uid="{00000000-0005-0000-0000-0000E6350000}"/>
    <cellStyle name="Followed Hyperlink 3" xfId="8591" hidden="1" xr:uid="{00000000-0005-0000-0000-0000E7350000}"/>
    <cellStyle name="Followed Hyperlink 3" xfId="8597" hidden="1" xr:uid="{00000000-0005-0000-0000-0000E8350000}"/>
    <cellStyle name="Followed Hyperlink 3" xfId="8600" hidden="1" xr:uid="{00000000-0005-0000-0000-0000E9350000}"/>
    <cellStyle name="Followed Hyperlink 3" xfId="8603" hidden="1" xr:uid="{00000000-0005-0000-0000-0000EA350000}"/>
    <cellStyle name="Followed Hyperlink 3" xfId="8608" hidden="1" xr:uid="{00000000-0005-0000-0000-0000EB350000}"/>
    <cellStyle name="Followed Hyperlink 3" xfId="8619" hidden="1" xr:uid="{00000000-0005-0000-0000-0000EC350000}"/>
    <cellStyle name="Followed Hyperlink 3" xfId="8621" hidden="1" xr:uid="{00000000-0005-0000-0000-0000ED350000}"/>
    <cellStyle name="Followed Hyperlink 3" xfId="8617" hidden="1" xr:uid="{00000000-0005-0000-0000-0000EE350000}"/>
    <cellStyle name="Followed Hyperlink 3" xfId="8616" hidden="1" xr:uid="{00000000-0005-0000-0000-0000EF350000}"/>
    <cellStyle name="Followed Hyperlink 3" xfId="8622" hidden="1" xr:uid="{00000000-0005-0000-0000-0000F0350000}"/>
    <cellStyle name="Followed Hyperlink 3" xfId="8625" hidden="1" xr:uid="{00000000-0005-0000-0000-0000F1350000}"/>
    <cellStyle name="Followed Hyperlink 3" xfId="8628" hidden="1" xr:uid="{00000000-0005-0000-0000-0000F2350000}"/>
    <cellStyle name="Followed Hyperlink 3" xfId="8633" hidden="1" xr:uid="{00000000-0005-0000-0000-0000F3350000}"/>
    <cellStyle name="Followed Hyperlink 3" xfId="8643" hidden="1" xr:uid="{00000000-0005-0000-0000-0000F4350000}"/>
    <cellStyle name="Followed Hyperlink 3" xfId="8645" hidden="1" xr:uid="{00000000-0005-0000-0000-0000F5350000}"/>
    <cellStyle name="Followed Hyperlink 3" xfId="8641" hidden="1" xr:uid="{00000000-0005-0000-0000-0000F6350000}"/>
    <cellStyle name="Followed Hyperlink 3" xfId="8640" hidden="1" xr:uid="{00000000-0005-0000-0000-0000F7350000}"/>
    <cellStyle name="Followed Hyperlink 3" xfId="8646" hidden="1" xr:uid="{00000000-0005-0000-0000-0000F8350000}"/>
    <cellStyle name="Followed Hyperlink 3" xfId="8649" hidden="1" xr:uid="{00000000-0005-0000-0000-0000F9350000}"/>
    <cellStyle name="Followed Hyperlink 3" xfId="8652" hidden="1" xr:uid="{00000000-0005-0000-0000-0000FA350000}"/>
    <cellStyle name="Followed Hyperlink 3" xfId="8657" hidden="1" xr:uid="{00000000-0005-0000-0000-0000FB350000}"/>
    <cellStyle name="Followed Hyperlink 3" xfId="8387" hidden="1" xr:uid="{00000000-0005-0000-0000-0000FC350000}"/>
    <cellStyle name="Followed Hyperlink 3" xfId="8611" hidden="1" xr:uid="{00000000-0005-0000-0000-0000FD350000}"/>
    <cellStyle name="Followed Hyperlink 3" xfId="8383" hidden="1" xr:uid="{00000000-0005-0000-0000-0000FE350000}"/>
    <cellStyle name="Followed Hyperlink 3" xfId="8388" hidden="1" xr:uid="{00000000-0005-0000-0000-0000FF350000}"/>
    <cellStyle name="Followed Hyperlink 3" xfId="8375" hidden="1" xr:uid="{00000000-0005-0000-0000-000000360000}"/>
    <cellStyle name="Followed Hyperlink 3" xfId="8662" hidden="1" xr:uid="{00000000-0005-0000-0000-000001360000}"/>
    <cellStyle name="Followed Hyperlink 3" xfId="8665" hidden="1" xr:uid="{00000000-0005-0000-0000-000002360000}"/>
    <cellStyle name="Followed Hyperlink 3" xfId="8670" hidden="1" xr:uid="{00000000-0005-0000-0000-000003360000}"/>
    <cellStyle name="Followed Hyperlink 3" xfId="8680" hidden="1" xr:uid="{00000000-0005-0000-0000-000004360000}"/>
    <cellStyle name="Followed Hyperlink 3" xfId="8682" hidden="1" xr:uid="{00000000-0005-0000-0000-000005360000}"/>
    <cellStyle name="Followed Hyperlink 3" xfId="8678" hidden="1" xr:uid="{00000000-0005-0000-0000-000006360000}"/>
    <cellStyle name="Followed Hyperlink 3" xfId="8677" hidden="1" xr:uid="{00000000-0005-0000-0000-000007360000}"/>
    <cellStyle name="Followed Hyperlink 3" xfId="8683" hidden="1" xr:uid="{00000000-0005-0000-0000-000008360000}"/>
    <cellStyle name="Followed Hyperlink 3" xfId="8686" hidden="1" xr:uid="{00000000-0005-0000-0000-000009360000}"/>
    <cellStyle name="Followed Hyperlink 3" xfId="8689" hidden="1" xr:uid="{00000000-0005-0000-0000-00000A360000}"/>
    <cellStyle name="Followed Hyperlink 3" xfId="8694" hidden="1" xr:uid="{00000000-0005-0000-0000-00000B360000}"/>
    <cellStyle name="Followed Hyperlink 3" xfId="8704" hidden="1" xr:uid="{00000000-0005-0000-0000-00000C360000}"/>
    <cellStyle name="Followed Hyperlink 3" xfId="8706" hidden="1" xr:uid="{00000000-0005-0000-0000-00000D360000}"/>
    <cellStyle name="Followed Hyperlink 3" xfId="8702" hidden="1" xr:uid="{00000000-0005-0000-0000-00000E360000}"/>
    <cellStyle name="Followed Hyperlink 3" xfId="8701" hidden="1" xr:uid="{00000000-0005-0000-0000-00000F360000}"/>
    <cellStyle name="Followed Hyperlink 3" xfId="8707" hidden="1" xr:uid="{00000000-0005-0000-0000-000010360000}"/>
    <cellStyle name="Followed Hyperlink 3" xfId="8710" hidden="1" xr:uid="{00000000-0005-0000-0000-000011360000}"/>
    <cellStyle name="Followed Hyperlink 3" xfId="8713" hidden="1" xr:uid="{00000000-0005-0000-0000-000012360000}"/>
    <cellStyle name="Followed Hyperlink 3" xfId="8718" hidden="1" xr:uid="{00000000-0005-0000-0000-000013360000}"/>
    <cellStyle name="Followed Hyperlink 3" xfId="8728" hidden="1" xr:uid="{00000000-0005-0000-0000-000014360000}"/>
    <cellStyle name="Followed Hyperlink 3" xfId="8730" hidden="1" xr:uid="{00000000-0005-0000-0000-000015360000}"/>
    <cellStyle name="Followed Hyperlink 3" xfId="8726" hidden="1" xr:uid="{00000000-0005-0000-0000-000016360000}"/>
    <cellStyle name="Followed Hyperlink 3" xfId="8725" hidden="1" xr:uid="{00000000-0005-0000-0000-000017360000}"/>
    <cellStyle name="Followed Hyperlink 3" xfId="8731" hidden="1" xr:uid="{00000000-0005-0000-0000-000018360000}"/>
    <cellStyle name="Followed Hyperlink 3" xfId="8734" hidden="1" xr:uid="{00000000-0005-0000-0000-000019360000}"/>
    <cellStyle name="Followed Hyperlink 3" xfId="8737" hidden="1" xr:uid="{00000000-0005-0000-0000-00001A360000}"/>
    <cellStyle name="Followed Hyperlink 3" xfId="8742" hidden="1" xr:uid="{00000000-0005-0000-0000-00001B360000}"/>
    <cellStyle name="Followed Hyperlink 3" xfId="539" hidden="1" xr:uid="{00000000-0005-0000-0000-00001C360000}"/>
    <cellStyle name="Followed Hyperlink 3" xfId="630" hidden="1" xr:uid="{00000000-0005-0000-0000-00001D360000}"/>
    <cellStyle name="Followed Hyperlink 3" xfId="543" hidden="1" xr:uid="{00000000-0005-0000-0000-00001E360000}"/>
    <cellStyle name="Followed Hyperlink 3" xfId="544" hidden="1" xr:uid="{00000000-0005-0000-0000-00001F360000}"/>
    <cellStyle name="Followed Hyperlink 3" xfId="548" hidden="1" xr:uid="{00000000-0005-0000-0000-000020360000}"/>
    <cellStyle name="Followed Hyperlink 3" xfId="8755" hidden="1" xr:uid="{00000000-0005-0000-0000-000021360000}"/>
    <cellStyle name="Followed Hyperlink 3" xfId="8758" hidden="1" xr:uid="{00000000-0005-0000-0000-000022360000}"/>
    <cellStyle name="Followed Hyperlink 3" xfId="8763" hidden="1" xr:uid="{00000000-0005-0000-0000-000023360000}"/>
    <cellStyle name="Followed Hyperlink 3" xfId="8773" hidden="1" xr:uid="{00000000-0005-0000-0000-000024360000}"/>
    <cellStyle name="Followed Hyperlink 3" xfId="8775" hidden="1" xr:uid="{00000000-0005-0000-0000-000025360000}"/>
    <cellStyle name="Followed Hyperlink 3" xfId="8771" hidden="1" xr:uid="{00000000-0005-0000-0000-000026360000}"/>
    <cellStyle name="Followed Hyperlink 3" xfId="8770" hidden="1" xr:uid="{00000000-0005-0000-0000-000027360000}"/>
    <cellStyle name="Followed Hyperlink 3" xfId="8776" hidden="1" xr:uid="{00000000-0005-0000-0000-000028360000}"/>
    <cellStyle name="Followed Hyperlink 3" xfId="8779" hidden="1" xr:uid="{00000000-0005-0000-0000-000029360000}"/>
    <cellStyle name="Followed Hyperlink 3" xfId="8782" hidden="1" xr:uid="{00000000-0005-0000-0000-00002A360000}"/>
    <cellStyle name="Followed Hyperlink 3" xfId="8787" hidden="1" xr:uid="{00000000-0005-0000-0000-00002B360000}"/>
    <cellStyle name="Followed Hyperlink 3" xfId="8799" hidden="1" xr:uid="{00000000-0005-0000-0000-00002C360000}"/>
    <cellStyle name="Followed Hyperlink 3" xfId="8801" hidden="1" xr:uid="{00000000-0005-0000-0000-00002D360000}"/>
    <cellStyle name="Followed Hyperlink 3" xfId="8797" hidden="1" xr:uid="{00000000-0005-0000-0000-00002E360000}"/>
    <cellStyle name="Followed Hyperlink 3" xfId="8796" hidden="1" xr:uid="{00000000-0005-0000-0000-00002F360000}"/>
    <cellStyle name="Followed Hyperlink 3" xfId="8802" hidden="1" xr:uid="{00000000-0005-0000-0000-000030360000}"/>
    <cellStyle name="Followed Hyperlink 3" xfId="8805" hidden="1" xr:uid="{00000000-0005-0000-0000-000031360000}"/>
    <cellStyle name="Followed Hyperlink 3" xfId="8808" hidden="1" xr:uid="{00000000-0005-0000-0000-000032360000}"/>
    <cellStyle name="Followed Hyperlink 3" xfId="8813" hidden="1" xr:uid="{00000000-0005-0000-0000-000033360000}"/>
    <cellStyle name="Followed Hyperlink 3" xfId="8823" hidden="1" xr:uid="{00000000-0005-0000-0000-000034360000}"/>
    <cellStyle name="Followed Hyperlink 3" xfId="8825" hidden="1" xr:uid="{00000000-0005-0000-0000-000035360000}"/>
    <cellStyle name="Followed Hyperlink 3" xfId="8821" hidden="1" xr:uid="{00000000-0005-0000-0000-000036360000}"/>
    <cellStyle name="Followed Hyperlink 3" xfId="8820" hidden="1" xr:uid="{00000000-0005-0000-0000-000037360000}"/>
    <cellStyle name="Followed Hyperlink 3" xfId="8826" hidden="1" xr:uid="{00000000-0005-0000-0000-000038360000}"/>
    <cellStyle name="Followed Hyperlink 3" xfId="8829" hidden="1" xr:uid="{00000000-0005-0000-0000-000039360000}"/>
    <cellStyle name="Followed Hyperlink 3" xfId="8832" hidden="1" xr:uid="{00000000-0005-0000-0000-00003A360000}"/>
    <cellStyle name="Followed Hyperlink 3" xfId="8837" hidden="1" xr:uid="{00000000-0005-0000-0000-00003B360000}"/>
    <cellStyle name="Followed Hyperlink 3" xfId="8876" hidden="1" xr:uid="{00000000-0005-0000-0000-00003C360000}"/>
    <cellStyle name="Followed Hyperlink 3" xfId="8878" hidden="1" xr:uid="{00000000-0005-0000-0000-00003D360000}"/>
    <cellStyle name="Followed Hyperlink 3" xfId="8874" hidden="1" xr:uid="{00000000-0005-0000-0000-00003E360000}"/>
    <cellStyle name="Followed Hyperlink 3" xfId="8873" hidden="1" xr:uid="{00000000-0005-0000-0000-00003F360000}"/>
    <cellStyle name="Followed Hyperlink 3" xfId="8879" hidden="1" xr:uid="{00000000-0005-0000-0000-000040360000}"/>
    <cellStyle name="Followed Hyperlink 3" xfId="8882" hidden="1" xr:uid="{00000000-0005-0000-0000-000041360000}"/>
    <cellStyle name="Followed Hyperlink 3" xfId="8885" hidden="1" xr:uid="{00000000-0005-0000-0000-000042360000}"/>
    <cellStyle name="Followed Hyperlink 3" xfId="8890" hidden="1" xr:uid="{00000000-0005-0000-0000-000043360000}"/>
    <cellStyle name="Followed Hyperlink 3" xfId="8900" hidden="1" xr:uid="{00000000-0005-0000-0000-000044360000}"/>
    <cellStyle name="Followed Hyperlink 3" xfId="8902" hidden="1" xr:uid="{00000000-0005-0000-0000-000045360000}"/>
    <cellStyle name="Followed Hyperlink 3" xfId="8898" hidden="1" xr:uid="{00000000-0005-0000-0000-000046360000}"/>
    <cellStyle name="Followed Hyperlink 3" xfId="8897" hidden="1" xr:uid="{00000000-0005-0000-0000-000047360000}"/>
    <cellStyle name="Followed Hyperlink 3" xfId="8903" hidden="1" xr:uid="{00000000-0005-0000-0000-000048360000}"/>
    <cellStyle name="Followed Hyperlink 3" xfId="8906" hidden="1" xr:uid="{00000000-0005-0000-0000-000049360000}"/>
    <cellStyle name="Followed Hyperlink 3" xfId="8909" hidden="1" xr:uid="{00000000-0005-0000-0000-00004A360000}"/>
    <cellStyle name="Followed Hyperlink 3" xfId="8914" hidden="1" xr:uid="{00000000-0005-0000-0000-00004B360000}"/>
    <cellStyle name="Followed Hyperlink 3" xfId="8926" hidden="1" xr:uid="{00000000-0005-0000-0000-00004C360000}"/>
    <cellStyle name="Followed Hyperlink 3" xfId="8928" hidden="1" xr:uid="{00000000-0005-0000-0000-00004D360000}"/>
    <cellStyle name="Followed Hyperlink 3" xfId="8924" hidden="1" xr:uid="{00000000-0005-0000-0000-00004E360000}"/>
    <cellStyle name="Followed Hyperlink 3" xfId="8923" hidden="1" xr:uid="{00000000-0005-0000-0000-00004F360000}"/>
    <cellStyle name="Followed Hyperlink 3" xfId="8929" hidden="1" xr:uid="{00000000-0005-0000-0000-000050360000}"/>
    <cellStyle name="Followed Hyperlink 3" xfId="8932" hidden="1" xr:uid="{00000000-0005-0000-0000-000051360000}"/>
    <cellStyle name="Followed Hyperlink 3" xfId="8935" hidden="1" xr:uid="{00000000-0005-0000-0000-000052360000}"/>
    <cellStyle name="Followed Hyperlink 3" xfId="8940" hidden="1" xr:uid="{00000000-0005-0000-0000-000053360000}"/>
    <cellStyle name="Followed Hyperlink 3" xfId="8950" hidden="1" xr:uid="{00000000-0005-0000-0000-000054360000}"/>
    <cellStyle name="Followed Hyperlink 3" xfId="8952" hidden="1" xr:uid="{00000000-0005-0000-0000-000055360000}"/>
    <cellStyle name="Followed Hyperlink 3" xfId="8948" hidden="1" xr:uid="{00000000-0005-0000-0000-000056360000}"/>
    <cellStyle name="Followed Hyperlink 3" xfId="8947" hidden="1" xr:uid="{00000000-0005-0000-0000-000057360000}"/>
    <cellStyle name="Followed Hyperlink 3" xfId="8953" hidden="1" xr:uid="{00000000-0005-0000-0000-000058360000}"/>
    <cellStyle name="Followed Hyperlink 3" xfId="8956" hidden="1" xr:uid="{00000000-0005-0000-0000-000059360000}"/>
    <cellStyle name="Followed Hyperlink 3" xfId="8959" hidden="1" xr:uid="{00000000-0005-0000-0000-00005A360000}"/>
    <cellStyle name="Followed Hyperlink 3" xfId="8964" hidden="1" xr:uid="{00000000-0005-0000-0000-00005B360000}"/>
    <cellStyle name="Followed Hyperlink 3" xfId="9003" hidden="1" xr:uid="{00000000-0005-0000-0000-00005C360000}"/>
    <cellStyle name="Followed Hyperlink 3" xfId="9005" hidden="1" xr:uid="{00000000-0005-0000-0000-00005D360000}"/>
    <cellStyle name="Followed Hyperlink 3" xfId="9001" hidden="1" xr:uid="{00000000-0005-0000-0000-00005E360000}"/>
    <cellStyle name="Followed Hyperlink 3" xfId="9000" hidden="1" xr:uid="{00000000-0005-0000-0000-00005F360000}"/>
    <cellStyle name="Followed Hyperlink 3" xfId="9006" hidden="1" xr:uid="{00000000-0005-0000-0000-000060360000}"/>
    <cellStyle name="Followed Hyperlink 3" xfId="9009" hidden="1" xr:uid="{00000000-0005-0000-0000-000061360000}"/>
    <cellStyle name="Followed Hyperlink 3" xfId="9012" hidden="1" xr:uid="{00000000-0005-0000-0000-000062360000}"/>
    <cellStyle name="Followed Hyperlink 3" xfId="9017" hidden="1" xr:uid="{00000000-0005-0000-0000-000063360000}"/>
    <cellStyle name="Followed Hyperlink 3" xfId="9027" hidden="1" xr:uid="{00000000-0005-0000-0000-000064360000}"/>
    <cellStyle name="Followed Hyperlink 3" xfId="9029" hidden="1" xr:uid="{00000000-0005-0000-0000-000065360000}"/>
    <cellStyle name="Followed Hyperlink 3" xfId="9025" hidden="1" xr:uid="{00000000-0005-0000-0000-000066360000}"/>
    <cellStyle name="Followed Hyperlink 3" xfId="9024" hidden="1" xr:uid="{00000000-0005-0000-0000-000067360000}"/>
    <cellStyle name="Followed Hyperlink 3" xfId="9030" hidden="1" xr:uid="{00000000-0005-0000-0000-000068360000}"/>
    <cellStyle name="Followed Hyperlink 3" xfId="9033" hidden="1" xr:uid="{00000000-0005-0000-0000-000069360000}"/>
    <cellStyle name="Followed Hyperlink 3" xfId="9036" hidden="1" xr:uid="{00000000-0005-0000-0000-00006A360000}"/>
    <cellStyle name="Followed Hyperlink 3" xfId="9041" hidden="1" xr:uid="{00000000-0005-0000-0000-00006B360000}"/>
    <cellStyle name="Followed Hyperlink 3" xfId="9053" hidden="1" xr:uid="{00000000-0005-0000-0000-00006C360000}"/>
    <cellStyle name="Followed Hyperlink 3" xfId="9055" hidden="1" xr:uid="{00000000-0005-0000-0000-00006D360000}"/>
    <cellStyle name="Followed Hyperlink 3" xfId="9051" hidden="1" xr:uid="{00000000-0005-0000-0000-00006E360000}"/>
    <cellStyle name="Followed Hyperlink 3" xfId="9050" hidden="1" xr:uid="{00000000-0005-0000-0000-00006F360000}"/>
    <cellStyle name="Followed Hyperlink 3" xfId="9056" hidden="1" xr:uid="{00000000-0005-0000-0000-000070360000}"/>
    <cellStyle name="Followed Hyperlink 3" xfId="9059" hidden="1" xr:uid="{00000000-0005-0000-0000-000071360000}"/>
    <cellStyle name="Followed Hyperlink 3" xfId="9062" hidden="1" xr:uid="{00000000-0005-0000-0000-000072360000}"/>
    <cellStyle name="Followed Hyperlink 3" xfId="9067" hidden="1" xr:uid="{00000000-0005-0000-0000-000073360000}"/>
    <cellStyle name="Followed Hyperlink 3" xfId="9077" hidden="1" xr:uid="{00000000-0005-0000-0000-000074360000}"/>
    <cellStyle name="Followed Hyperlink 3" xfId="9079" hidden="1" xr:uid="{00000000-0005-0000-0000-000075360000}"/>
    <cellStyle name="Followed Hyperlink 3" xfId="9075" hidden="1" xr:uid="{00000000-0005-0000-0000-000076360000}"/>
    <cellStyle name="Followed Hyperlink 3" xfId="9074" hidden="1" xr:uid="{00000000-0005-0000-0000-000077360000}"/>
    <cellStyle name="Followed Hyperlink 3" xfId="9080" hidden="1" xr:uid="{00000000-0005-0000-0000-000078360000}"/>
    <cellStyle name="Followed Hyperlink 3" xfId="9083" hidden="1" xr:uid="{00000000-0005-0000-0000-000079360000}"/>
    <cellStyle name="Followed Hyperlink 3" xfId="9086" hidden="1" xr:uid="{00000000-0005-0000-0000-00007A360000}"/>
    <cellStyle name="Followed Hyperlink 3" xfId="9091" hidden="1" xr:uid="{00000000-0005-0000-0000-00007B360000}"/>
    <cellStyle name="Followed Hyperlink 3" xfId="9130" hidden="1" xr:uid="{00000000-0005-0000-0000-00007C360000}"/>
    <cellStyle name="Followed Hyperlink 3" xfId="9132" hidden="1" xr:uid="{00000000-0005-0000-0000-00007D360000}"/>
    <cellStyle name="Followed Hyperlink 3" xfId="9128" hidden="1" xr:uid="{00000000-0005-0000-0000-00007E360000}"/>
    <cellStyle name="Followed Hyperlink 3" xfId="9127" hidden="1" xr:uid="{00000000-0005-0000-0000-00007F360000}"/>
    <cellStyle name="Followed Hyperlink 3" xfId="9133" hidden="1" xr:uid="{00000000-0005-0000-0000-000080360000}"/>
    <cellStyle name="Followed Hyperlink 3" xfId="9136" hidden="1" xr:uid="{00000000-0005-0000-0000-000081360000}"/>
    <cellStyle name="Followed Hyperlink 3" xfId="9139" hidden="1" xr:uid="{00000000-0005-0000-0000-000082360000}"/>
    <cellStyle name="Followed Hyperlink 3" xfId="9144" hidden="1" xr:uid="{00000000-0005-0000-0000-000083360000}"/>
    <cellStyle name="Followed Hyperlink 3" xfId="9154" hidden="1" xr:uid="{00000000-0005-0000-0000-000084360000}"/>
    <cellStyle name="Followed Hyperlink 3" xfId="9156" hidden="1" xr:uid="{00000000-0005-0000-0000-000085360000}"/>
    <cellStyle name="Followed Hyperlink 3" xfId="9152" hidden="1" xr:uid="{00000000-0005-0000-0000-000086360000}"/>
    <cellStyle name="Followed Hyperlink 3" xfId="9151" hidden="1" xr:uid="{00000000-0005-0000-0000-000087360000}"/>
    <cellStyle name="Followed Hyperlink 3" xfId="9157" hidden="1" xr:uid="{00000000-0005-0000-0000-000088360000}"/>
    <cellStyle name="Followed Hyperlink 3" xfId="9160" hidden="1" xr:uid="{00000000-0005-0000-0000-000089360000}"/>
    <cellStyle name="Followed Hyperlink 3" xfId="9163" hidden="1" xr:uid="{00000000-0005-0000-0000-00008A360000}"/>
    <cellStyle name="Followed Hyperlink 3" xfId="9168" hidden="1" xr:uid="{00000000-0005-0000-0000-00008B360000}"/>
    <cellStyle name="Followed Hyperlink 3" xfId="9180" hidden="1" xr:uid="{00000000-0005-0000-0000-00008C360000}"/>
    <cellStyle name="Followed Hyperlink 3" xfId="9182" hidden="1" xr:uid="{00000000-0005-0000-0000-00008D360000}"/>
    <cellStyle name="Followed Hyperlink 3" xfId="9178" hidden="1" xr:uid="{00000000-0005-0000-0000-00008E360000}"/>
    <cellStyle name="Followed Hyperlink 3" xfId="9177" hidden="1" xr:uid="{00000000-0005-0000-0000-00008F360000}"/>
    <cellStyle name="Followed Hyperlink 3" xfId="9183" hidden="1" xr:uid="{00000000-0005-0000-0000-000090360000}"/>
    <cellStyle name="Followed Hyperlink 3" xfId="9186" hidden="1" xr:uid="{00000000-0005-0000-0000-000091360000}"/>
    <cellStyle name="Followed Hyperlink 3" xfId="9189" hidden="1" xr:uid="{00000000-0005-0000-0000-000092360000}"/>
    <cellStyle name="Followed Hyperlink 3" xfId="9194" hidden="1" xr:uid="{00000000-0005-0000-0000-000093360000}"/>
    <cellStyle name="Followed Hyperlink 3" xfId="9204" hidden="1" xr:uid="{00000000-0005-0000-0000-000094360000}"/>
    <cellStyle name="Followed Hyperlink 3" xfId="9206" hidden="1" xr:uid="{00000000-0005-0000-0000-000095360000}"/>
    <cellStyle name="Followed Hyperlink 3" xfId="9202" hidden="1" xr:uid="{00000000-0005-0000-0000-000096360000}"/>
    <cellStyle name="Followed Hyperlink 3" xfId="9201" hidden="1" xr:uid="{00000000-0005-0000-0000-000097360000}"/>
    <cellStyle name="Followed Hyperlink 3" xfId="9207" hidden="1" xr:uid="{00000000-0005-0000-0000-000098360000}"/>
    <cellStyle name="Followed Hyperlink 3" xfId="9210" hidden="1" xr:uid="{00000000-0005-0000-0000-000099360000}"/>
    <cellStyle name="Followed Hyperlink 3" xfId="9213" hidden="1" xr:uid="{00000000-0005-0000-0000-00009A360000}"/>
    <cellStyle name="Followed Hyperlink 3" xfId="9218" hidden="1" xr:uid="{00000000-0005-0000-0000-00009B360000}"/>
    <cellStyle name="Followed Hyperlink 3" xfId="9094" hidden="1" xr:uid="{00000000-0005-0000-0000-00009C360000}"/>
    <cellStyle name="Followed Hyperlink 3" xfId="9171" hidden="1" xr:uid="{00000000-0005-0000-0000-00009D360000}"/>
    <cellStyle name="Followed Hyperlink 3" xfId="9098" hidden="1" xr:uid="{00000000-0005-0000-0000-00009E360000}"/>
    <cellStyle name="Followed Hyperlink 3" xfId="9099" hidden="1" xr:uid="{00000000-0005-0000-0000-00009F360000}"/>
    <cellStyle name="Followed Hyperlink 3" xfId="9102" hidden="1" xr:uid="{00000000-0005-0000-0000-0000A0360000}"/>
    <cellStyle name="Followed Hyperlink 3" xfId="9223" hidden="1" xr:uid="{00000000-0005-0000-0000-0000A1360000}"/>
    <cellStyle name="Followed Hyperlink 3" xfId="9226" hidden="1" xr:uid="{00000000-0005-0000-0000-0000A2360000}"/>
    <cellStyle name="Followed Hyperlink 3" xfId="9231" hidden="1" xr:uid="{00000000-0005-0000-0000-0000A3360000}"/>
    <cellStyle name="Followed Hyperlink 3" xfId="9241" hidden="1" xr:uid="{00000000-0005-0000-0000-0000A4360000}"/>
    <cellStyle name="Followed Hyperlink 3" xfId="9243" hidden="1" xr:uid="{00000000-0005-0000-0000-0000A5360000}"/>
    <cellStyle name="Followed Hyperlink 3" xfId="9239" hidden="1" xr:uid="{00000000-0005-0000-0000-0000A6360000}"/>
    <cellStyle name="Followed Hyperlink 3" xfId="9238" hidden="1" xr:uid="{00000000-0005-0000-0000-0000A7360000}"/>
    <cellStyle name="Followed Hyperlink 3" xfId="9244" hidden="1" xr:uid="{00000000-0005-0000-0000-0000A8360000}"/>
    <cellStyle name="Followed Hyperlink 3" xfId="9247" hidden="1" xr:uid="{00000000-0005-0000-0000-0000A9360000}"/>
    <cellStyle name="Followed Hyperlink 3" xfId="9250" hidden="1" xr:uid="{00000000-0005-0000-0000-0000AA360000}"/>
    <cellStyle name="Followed Hyperlink 3" xfId="9255" hidden="1" xr:uid="{00000000-0005-0000-0000-0000AB360000}"/>
    <cellStyle name="Followed Hyperlink 3" xfId="9266" hidden="1" xr:uid="{00000000-0005-0000-0000-0000AC360000}"/>
    <cellStyle name="Followed Hyperlink 3" xfId="9268" hidden="1" xr:uid="{00000000-0005-0000-0000-0000AD360000}"/>
    <cellStyle name="Followed Hyperlink 3" xfId="9264" hidden="1" xr:uid="{00000000-0005-0000-0000-0000AE360000}"/>
    <cellStyle name="Followed Hyperlink 3" xfId="9263" hidden="1" xr:uid="{00000000-0005-0000-0000-0000AF360000}"/>
    <cellStyle name="Followed Hyperlink 3" xfId="9269" hidden="1" xr:uid="{00000000-0005-0000-0000-0000B0360000}"/>
    <cellStyle name="Followed Hyperlink 3" xfId="9272" hidden="1" xr:uid="{00000000-0005-0000-0000-0000B1360000}"/>
    <cellStyle name="Followed Hyperlink 3" xfId="9275" hidden="1" xr:uid="{00000000-0005-0000-0000-0000B2360000}"/>
    <cellStyle name="Followed Hyperlink 3" xfId="9280" hidden="1" xr:uid="{00000000-0005-0000-0000-0000B3360000}"/>
    <cellStyle name="Followed Hyperlink 3" xfId="9290" hidden="1" xr:uid="{00000000-0005-0000-0000-0000B4360000}"/>
    <cellStyle name="Followed Hyperlink 3" xfId="9292" hidden="1" xr:uid="{00000000-0005-0000-0000-0000B5360000}"/>
    <cellStyle name="Followed Hyperlink 3" xfId="9288" hidden="1" xr:uid="{00000000-0005-0000-0000-0000B6360000}"/>
    <cellStyle name="Followed Hyperlink 3" xfId="9287" hidden="1" xr:uid="{00000000-0005-0000-0000-0000B7360000}"/>
    <cellStyle name="Followed Hyperlink 3" xfId="9293" hidden="1" xr:uid="{00000000-0005-0000-0000-0000B8360000}"/>
    <cellStyle name="Followed Hyperlink 3" xfId="9296" hidden="1" xr:uid="{00000000-0005-0000-0000-0000B9360000}"/>
    <cellStyle name="Followed Hyperlink 3" xfId="9299" hidden="1" xr:uid="{00000000-0005-0000-0000-0000BA360000}"/>
    <cellStyle name="Followed Hyperlink 3" xfId="9304" hidden="1" xr:uid="{00000000-0005-0000-0000-0000BB360000}"/>
    <cellStyle name="Followed Hyperlink 3" xfId="9115" hidden="1" xr:uid="{00000000-0005-0000-0000-0000BC360000}"/>
    <cellStyle name="Followed Hyperlink 3" xfId="9258" hidden="1" xr:uid="{00000000-0005-0000-0000-0000BD360000}"/>
    <cellStyle name="Followed Hyperlink 3" xfId="9112" hidden="1" xr:uid="{00000000-0005-0000-0000-0000BE360000}"/>
    <cellStyle name="Followed Hyperlink 3" xfId="9104" hidden="1" xr:uid="{00000000-0005-0000-0000-0000BF360000}"/>
    <cellStyle name="Followed Hyperlink 3" xfId="9109" hidden="1" xr:uid="{00000000-0005-0000-0000-0000C0360000}"/>
    <cellStyle name="Followed Hyperlink 3" xfId="9309" hidden="1" xr:uid="{00000000-0005-0000-0000-0000C1360000}"/>
    <cellStyle name="Followed Hyperlink 3" xfId="9312" hidden="1" xr:uid="{00000000-0005-0000-0000-0000C2360000}"/>
    <cellStyle name="Followed Hyperlink 3" xfId="9317" hidden="1" xr:uid="{00000000-0005-0000-0000-0000C3360000}"/>
    <cellStyle name="Followed Hyperlink 3" xfId="9327" hidden="1" xr:uid="{00000000-0005-0000-0000-0000C4360000}"/>
    <cellStyle name="Followed Hyperlink 3" xfId="9329" hidden="1" xr:uid="{00000000-0005-0000-0000-0000C5360000}"/>
    <cellStyle name="Followed Hyperlink 3" xfId="9325" hidden="1" xr:uid="{00000000-0005-0000-0000-0000C6360000}"/>
    <cellStyle name="Followed Hyperlink 3" xfId="9324" hidden="1" xr:uid="{00000000-0005-0000-0000-0000C7360000}"/>
    <cellStyle name="Followed Hyperlink 3" xfId="9330" hidden="1" xr:uid="{00000000-0005-0000-0000-0000C8360000}"/>
    <cellStyle name="Followed Hyperlink 3" xfId="9333" hidden="1" xr:uid="{00000000-0005-0000-0000-0000C9360000}"/>
    <cellStyle name="Followed Hyperlink 3" xfId="9336" hidden="1" xr:uid="{00000000-0005-0000-0000-0000CA360000}"/>
    <cellStyle name="Followed Hyperlink 3" xfId="9341" hidden="1" xr:uid="{00000000-0005-0000-0000-0000CB360000}"/>
    <cellStyle name="Followed Hyperlink 3" xfId="9352" hidden="1" xr:uid="{00000000-0005-0000-0000-0000CC360000}"/>
    <cellStyle name="Followed Hyperlink 3" xfId="9354" hidden="1" xr:uid="{00000000-0005-0000-0000-0000CD360000}"/>
    <cellStyle name="Followed Hyperlink 3" xfId="9350" hidden="1" xr:uid="{00000000-0005-0000-0000-0000CE360000}"/>
    <cellStyle name="Followed Hyperlink 3" xfId="9349" hidden="1" xr:uid="{00000000-0005-0000-0000-0000CF360000}"/>
    <cellStyle name="Followed Hyperlink 3" xfId="9355" hidden="1" xr:uid="{00000000-0005-0000-0000-0000D0360000}"/>
    <cellStyle name="Followed Hyperlink 3" xfId="9358" hidden="1" xr:uid="{00000000-0005-0000-0000-0000D1360000}"/>
    <cellStyle name="Followed Hyperlink 3" xfId="9361" hidden="1" xr:uid="{00000000-0005-0000-0000-0000D2360000}"/>
    <cellStyle name="Followed Hyperlink 3" xfId="9366" hidden="1" xr:uid="{00000000-0005-0000-0000-0000D3360000}"/>
    <cellStyle name="Followed Hyperlink 3" xfId="9376" hidden="1" xr:uid="{00000000-0005-0000-0000-0000D4360000}"/>
    <cellStyle name="Followed Hyperlink 3" xfId="9378" hidden="1" xr:uid="{00000000-0005-0000-0000-0000D5360000}"/>
    <cellStyle name="Followed Hyperlink 3" xfId="9374" hidden="1" xr:uid="{00000000-0005-0000-0000-0000D6360000}"/>
    <cellStyle name="Followed Hyperlink 3" xfId="9373" hidden="1" xr:uid="{00000000-0005-0000-0000-0000D7360000}"/>
    <cellStyle name="Followed Hyperlink 3" xfId="9379" hidden="1" xr:uid="{00000000-0005-0000-0000-0000D8360000}"/>
    <cellStyle name="Followed Hyperlink 3" xfId="9382" hidden="1" xr:uid="{00000000-0005-0000-0000-0000D9360000}"/>
    <cellStyle name="Followed Hyperlink 3" xfId="9385" hidden="1" xr:uid="{00000000-0005-0000-0000-0000DA360000}"/>
    <cellStyle name="Followed Hyperlink 3" xfId="9390" hidden="1" xr:uid="{00000000-0005-0000-0000-0000DB360000}"/>
    <cellStyle name="Followed Hyperlink 3" xfId="9120" hidden="1" xr:uid="{00000000-0005-0000-0000-0000DC360000}"/>
    <cellStyle name="Followed Hyperlink 3" xfId="9344" hidden="1" xr:uid="{00000000-0005-0000-0000-0000DD360000}"/>
    <cellStyle name="Followed Hyperlink 3" xfId="9116" hidden="1" xr:uid="{00000000-0005-0000-0000-0000DE360000}"/>
    <cellStyle name="Followed Hyperlink 3" xfId="9121" hidden="1" xr:uid="{00000000-0005-0000-0000-0000DF360000}"/>
    <cellStyle name="Followed Hyperlink 3" xfId="9108" hidden="1" xr:uid="{00000000-0005-0000-0000-0000E0360000}"/>
    <cellStyle name="Followed Hyperlink 3" xfId="9395" hidden="1" xr:uid="{00000000-0005-0000-0000-0000E1360000}"/>
    <cellStyle name="Followed Hyperlink 3" xfId="9398" hidden="1" xr:uid="{00000000-0005-0000-0000-0000E2360000}"/>
    <cellStyle name="Followed Hyperlink 3" xfId="9403" hidden="1" xr:uid="{00000000-0005-0000-0000-0000E3360000}"/>
    <cellStyle name="Followed Hyperlink 3" xfId="9413" hidden="1" xr:uid="{00000000-0005-0000-0000-0000E4360000}"/>
    <cellStyle name="Followed Hyperlink 3" xfId="9415" hidden="1" xr:uid="{00000000-0005-0000-0000-0000E5360000}"/>
    <cellStyle name="Followed Hyperlink 3" xfId="9411" hidden="1" xr:uid="{00000000-0005-0000-0000-0000E6360000}"/>
    <cellStyle name="Followed Hyperlink 3" xfId="9410" hidden="1" xr:uid="{00000000-0005-0000-0000-0000E7360000}"/>
    <cellStyle name="Followed Hyperlink 3" xfId="9416" hidden="1" xr:uid="{00000000-0005-0000-0000-0000E8360000}"/>
    <cellStyle name="Followed Hyperlink 3" xfId="9419" hidden="1" xr:uid="{00000000-0005-0000-0000-0000E9360000}"/>
    <cellStyle name="Followed Hyperlink 3" xfId="9422" hidden="1" xr:uid="{00000000-0005-0000-0000-0000EA360000}"/>
    <cellStyle name="Followed Hyperlink 3" xfId="9427" hidden="1" xr:uid="{00000000-0005-0000-0000-0000EB360000}"/>
    <cellStyle name="Followed Hyperlink 3" xfId="9437" hidden="1" xr:uid="{00000000-0005-0000-0000-0000EC360000}"/>
    <cellStyle name="Followed Hyperlink 3" xfId="9439" hidden="1" xr:uid="{00000000-0005-0000-0000-0000ED360000}"/>
    <cellStyle name="Followed Hyperlink 3" xfId="9435" hidden="1" xr:uid="{00000000-0005-0000-0000-0000EE360000}"/>
    <cellStyle name="Followed Hyperlink 3" xfId="9434" hidden="1" xr:uid="{00000000-0005-0000-0000-0000EF360000}"/>
    <cellStyle name="Followed Hyperlink 3" xfId="9440" hidden="1" xr:uid="{00000000-0005-0000-0000-0000F0360000}"/>
    <cellStyle name="Followed Hyperlink 3" xfId="9443" hidden="1" xr:uid="{00000000-0005-0000-0000-0000F1360000}"/>
    <cellStyle name="Followed Hyperlink 3" xfId="9446" hidden="1" xr:uid="{00000000-0005-0000-0000-0000F2360000}"/>
    <cellStyle name="Followed Hyperlink 3" xfId="9451" hidden="1" xr:uid="{00000000-0005-0000-0000-0000F3360000}"/>
    <cellStyle name="Followed Hyperlink 3" xfId="9461" hidden="1" xr:uid="{00000000-0005-0000-0000-0000F4360000}"/>
    <cellStyle name="Followed Hyperlink 3" xfId="9463" hidden="1" xr:uid="{00000000-0005-0000-0000-0000F5360000}"/>
    <cellStyle name="Followed Hyperlink 3" xfId="9459" hidden="1" xr:uid="{00000000-0005-0000-0000-0000F6360000}"/>
    <cellStyle name="Followed Hyperlink 3" xfId="9458" hidden="1" xr:uid="{00000000-0005-0000-0000-0000F7360000}"/>
    <cellStyle name="Followed Hyperlink 3" xfId="9464" hidden="1" xr:uid="{00000000-0005-0000-0000-0000F8360000}"/>
    <cellStyle name="Followed Hyperlink 3" xfId="9467" hidden="1" xr:uid="{00000000-0005-0000-0000-0000F9360000}"/>
    <cellStyle name="Followed Hyperlink 3" xfId="9470" hidden="1" xr:uid="{00000000-0005-0000-0000-0000FA360000}"/>
    <cellStyle name="Followed Hyperlink 3" xfId="9475" hidden="1" xr:uid="{00000000-0005-0000-0000-0000FB360000}"/>
    <cellStyle name="Followed Hyperlink 3" xfId="8967" hidden="1" xr:uid="{00000000-0005-0000-0000-0000FC360000}"/>
    <cellStyle name="Followed Hyperlink 3" xfId="9044" hidden="1" xr:uid="{00000000-0005-0000-0000-0000FD360000}"/>
    <cellStyle name="Followed Hyperlink 3" xfId="8971" hidden="1" xr:uid="{00000000-0005-0000-0000-0000FE360000}"/>
    <cellStyle name="Followed Hyperlink 3" xfId="8972" hidden="1" xr:uid="{00000000-0005-0000-0000-0000FF360000}"/>
    <cellStyle name="Followed Hyperlink 3" xfId="8975" hidden="1" xr:uid="{00000000-0005-0000-0000-000000370000}"/>
    <cellStyle name="Followed Hyperlink 3" xfId="9480" hidden="1" xr:uid="{00000000-0005-0000-0000-000001370000}"/>
    <cellStyle name="Followed Hyperlink 3" xfId="9483" hidden="1" xr:uid="{00000000-0005-0000-0000-000002370000}"/>
    <cellStyle name="Followed Hyperlink 3" xfId="9488" hidden="1" xr:uid="{00000000-0005-0000-0000-000003370000}"/>
    <cellStyle name="Followed Hyperlink 3" xfId="9498" hidden="1" xr:uid="{00000000-0005-0000-0000-000004370000}"/>
    <cellStyle name="Followed Hyperlink 3" xfId="9500" hidden="1" xr:uid="{00000000-0005-0000-0000-000005370000}"/>
    <cellStyle name="Followed Hyperlink 3" xfId="9496" hidden="1" xr:uid="{00000000-0005-0000-0000-000006370000}"/>
    <cellStyle name="Followed Hyperlink 3" xfId="9495" hidden="1" xr:uid="{00000000-0005-0000-0000-000007370000}"/>
    <cellStyle name="Followed Hyperlink 3" xfId="9501" hidden="1" xr:uid="{00000000-0005-0000-0000-000008370000}"/>
    <cellStyle name="Followed Hyperlink 3" xfId="9504" hidden="1" xr:uid="{00000000-0005-0000-0000-000009370000}"/>
    <cellStyle name="Followed Hyperlink 3" xfId="9507" hidden="1" xr:uid="{00000000-0005-0000-0000-00000A370000}"/>
    <cellStyle name="Followed Hyperlink 3" xfId="9512" hidden="1" xr:uid="{00000000-0005-0000-0000-00000B370000}"/>
    <cellStyle name="Followed Hyperlink 3" xfId="9523" hidden="1" xr:uid="{00000000-0005-0000-0000-00000C370000}"/>
    <cellStyle name="Followed Hyperlink 3" xfId="9525" hidden="1" xr:uid="{00000000-0005-0000-0000-00000D370000}"/>
    <cellStyle name="Followed Hyperlink 3" xfId="9521" hidden="1" xr:uid="{00000000-0005-0000-0000-00000E370000}"/>
    <cellStyle name="Followed Hyperlink 3" xfId="9520" hidden="1" xr:uid="{00000000-0005-0000-0000-00000F370000}"/>
    <cellStyle name="Followed Hyperlink 3" xfId="9526" hidden="1" xr:uid="{00000000-0005-0000-0000-000010370000}"/>
    <cellStyle name="Followed Hyperlink 3" xfId="9529" hidden="1" xr:uid="{00000000-0005-0000-0000-000011370000}"/>
    <cellStyle name="Followed Hyperlink 3" xfId="9532" hidden="1" xr:uid="{00000000-0005-0000-0000-000012370000}"/>
    <cellStyle name="Followed Hyperlink 3" xfId="9537" hidden="1" xr:uid="{00000000-0005-0000-0000-000013370000}"/>
    <cellStyle name="Followed Hyperlink 3" xfId="9547" hidden="1" xr:uid="{00000000-0005-0000-0000-000014370000}"/>
    <cellStyle name="Followed Hyperlink 3" xfId="9549" hidden="1" xr:uid="{00000000-0005-0000-0000-000015370000}"/>
    <cellStyle name="Followed Hyperlink 3" xfId="9545" hidden="1" xr:uid="{00000000-0005-0000-0000-000016370000}"/>
    <cellStyle name="Followed Hyperlink 3" xfId="9544" hidden="1" xr:uid="{00000000-0005-0000-0000-000017370000}"/>
    <cellStyle name="Followed Hyperlink 3" xfId="9550" hidden="1" xr:uid="{00000000-0005-0000-0000-000018370000}"/>
    <cellStyle name="Followed Hyperlink 3" xfId="9553" hidden="1" xr:uid="{00000000-0005-0000-0000-000019370000}"/>
    <cellStyle name="Followed Hyperlink 3" xfId="9556" hidden="1" xr:uid="{00000000-0005-0000-0000-00001A370000}"/>
    <cellStyle name="Followed Hyperlink 3" xfId="9561" hidden="1" xr:uid="{00000000-0005-0000-0000-00001B370000}"/>
    <cellStyle name="Followed Hyperlink 3" xfId="9600" hidden="1" xr:uid="{00000000-0005-0000-0000-00001C370000}"/>
    <cellStyle name="Followed Hyperlink 3" xfId="9602" hidden="1" xr:uid="{00000000-0005-0000-0000-00001D370000}"/>
    <cellStyle name="Followed Hyperlink 3" xfId="9598" hidden="1" xr:uid="{00000000-0005-0000-0000-00001E370000}"/>
    <cellStyle name="Followed Hyperlink 3" xfId="9597" hidden="1" xr:uid="{00000000-0005-0000-0000-00001F370000}"/>
    <cellStyle name="Followed Hyperlink 3" xfId="9603" hidden="1" xr:uid="{00000000-0005-0000-0000-000020370000}"/>
    <cellStyle name="Followed Hyperlink 3" xfId="9606" hidden="1" xr:uid="{00000000-0005-0000-0000-000021370000}"/>
    <cellStyle name="Followed Hyperlink 3" xfId="9609" hidden="1" xr:uid="{00000000-0005-0000-0000-000022370000}"/>
    <cellStyle name="Followed Hyperlink 3" xfId="9614" hidden="1" xr:uid="{00000000-0005-0000-0000-000023370000}"/>
    <cellStyle name="Followed Hyperlink 3" xfId="9624" hidden="1" xr:uid="{00000000-0005-0000-0000-000024370000}"/>
    <cellStyle name="Followed Hyperlink 3" xfId="9626" hidden="1" xr:uid="{00000000-0005-0000-0000-000025370000}"/>
    <cellStyle name="Followed Hyperlink 3" xfId="9622" hidden="1" xr:uid="{00000000-0005-0000-0000-000026370000}"/>
    <cellStyle name="Followed Hyperlink 3" xfId="9621" hidden="1" xr:uid="{00000000-0005-0000-0000-000027370000}"/>
    <cellStyle name="Followed Hyperlink 3" xfId="9627" hidden="1" xr:uid="{00000000-0005-0000-0000-000028370000}"/>
    <cellStyle name="Followed Hyperlink 3" xfId="9630" hidden="1" xr:uid="{00000000-0005-0000-0000-000029370000}"/>
    <cellStyle name="Followed Hyperlink 3" xfId="9633" hidden="1" xr:uid="{00000000-0005-0000-0000-00002A370000}"/>
    <cellStyle name="Followed Hyperlink 3" xfId="9638" hidden="1" xr:uid="{00000000-0005-0000-0000-00002B370000}"/>
    <cellStyle name="Followed Hyperlink 3" xfId="9650" hidden="1" xr:uid="{00000000-0005-0000-0000-00002C370000}"/>
    <cellStyle name="Followed Hyperlink 3" xfId="9652" hidden="1" xr:uid="{00000000-0005-0000-0000-00002D370000}"/>
    <cellStyle name="Followed Hyperlink 3" xfId="9648" hidden="1" xr:uid="{00000000-0005-0000-0000-00002E370000}"/>
    <cellStyle name="Followed Hyperlink 3" xfId="9647" hidden="1" xr:uid="{00000000-0005-0000-0000-00002F370000}"/>
    <cellStyle name="Followed Hyperlink 3" xfId="9653" hidden="1" xr:uid="{00000000-0005-0000-0000-000030370000}"/>
    <cellStyle name="Followed Hyperlink 3" xfId="9656" hidden="1" xr:uid="{00000000-0005-0000-0000-000031370000}"/>
    <cellStyle name="Followed Hyperlink 3" xfId="9659" hidden="1" xr:uid="{00000000-0005-0000-0000-000032370000}"/>
    <cellStyle name="Followed Hyperlink 3" xfId="9664" hidden="1" xr:uid="{00000000-0005-0000-0000-000033370000}"/>
    <cellStyle name="Followed Hyperlink 3" xfId="9674" hidden="1" xr:uid="{00000000-0005-0000-0000-000034370000}"/>
    <cellStyle name="Followed Hyperlink 3" xfId="9676" hidden="1" xr:uid="{00000000-0005-0000-0000-000035370000}"/>
    <cellStyle name="Followed Hyperlink 3" xfId="9672" hidden="1" xr:uid="{00000000-0005-0000-0000-000036370000}"/>
    <cellStyle name="Followed Hyperlink 3" xfId="9671" hidden="1" xr:uid="{00000000-0005-0000-0000-000037370000}"/>
    <cellStyle name="Followed Hyperlink 3" xfId="9677" hidden="1" xr:uid="{00000000-0005-0000-0000-000038370000}"/>
    <cellStyle name="Followed Hyperlink 3" xfId="9680" hidden="1" xr:uid="{00000000-0005-0000-0000-000039370000}"/>
    <cellStyle name="Followed Hyperlink 3" xfId="9683" hidden="1" xr:uid="{00000000-0005-0000-0000-00003A370000}"/>
    <cellStyle name="Followed Hyperlink 3" xfId="9688" hidden="1" xr:uid="{00000000-0005-0000-0000-00003B370000}"/>
    <cellStyle name="Followed Hyperlink 3" xfId="9564" hidden="1" xr:uid="{00000000-0005-0000-0000-00003C370000}"/>
    <cellStyle name="Followed Hyperlink 3" xfId="9641" hidden="1" xr:uid="{00000000-0005-0000-0000-00003D370000}"/>
    <cellStyle name="Followed Hyperlink 3" xfId="9568" hidden="1" xr:uid="{00000000-0005-0000-0000-00003E370000}"/>
    <cellStyle name="Followed Hyperlink 3" xfId="9569" hidden="1" xr:uid="{00000000-0005-0000-0000-00003F370000}"/>
    <cellStyle name="Followed Hyperlink 3" xfId="9572" hidden="1" xr:uid="{00000000-0005-0000-0000-000040370000}"/>
    <cellStyle name="Followed Hyperlink 3" xfId="9693" hidden="1" xr:uid="{00000000-0005-0000-0000-000041370000}"/>
    <cellStyle name="Followed Hyperlink 3" xfId="9696" hidden="1" xr:uid="{00000000-0005-0000-0000-000042370000}"/>
    <cellStyle name="Followed Hyperlink 3" xfId="9701" hidden="1" xr:uid="{00000000-0005-0000-0000-000043370000}"/>
    <cellStyle name="Followed Hyperlink 3" xfId="9711" hidden="1" xr:uid="{00000000-0005-0000-0000-000044370000}"/>
    <cellStyle name="Followed Hyperlink 3" xfId="9713" hidden="1" xr:uid="{00000000-0005-0000-0000-000045370000}"/>
    <cellStyle name="Followed Hyperlink 3" xfId="9709" hidden="1" xr:uid="{00000000-0005-0000-0000-000046370000}"/>
    <cellStyle name="Followed Hyperlink 3" xfId="9708" hidden="1" xr:uid="{00000000-0005-0000-0000-000047370000}"/>
    <cellStyle name="Followed Hyperlink 3" xfId="9714" hidden="1" xr:uid="{00000000-0005-0000-0000-000048370000}"/>
    <cellStyle name="Followed Hyperlink 3" xfId="9717" hidden="1" xr:uid="{00000000-0005-0000-0000-000049370000}"/>
    <cellStyle name="Followed Hyperlink 3" xfId="9720" hidden="1" xr:uid="{00000000-0005-0000-0000-00004A370000}"/>
    <cellStyle name="Followed Hyperlink 3" xfId="9725" hidden="1" xr:uid="{00000000-0005-0000-0000-00004B370000}"/>
    <cellStyle name="Followed Hyperlink 3" xfId="9736" hidden="1" xr:uid="{00000000-0005-0000-0000-00004C370000}"/>
    <cellStyle name="Followed Hyperlink 3" xfId="9738" hidden="1" xr:uid="{00000000-0005-0000-0000-00004D370000}"/>
    <cellStyle name="Followed Hyperlink 3" xfId="9734" hidden="1" xr:uid="{00000000-0005-0000-0000-00004E370000}"/>
    <cellStyle name="Followed Hyperlink 3" xfId="9733" hidden="1" xr:uid="{00000000-0005-0000-0000-00004F370000}"/>
    <cellStyle name="Followed Hyperlink 3" xfId="9739" hidden="1" xr:uid="{00000000-0005-0000-0000-000050370000}"/>
    <cellStyle name="Followed Hyperlink 3" xfId="9742" hidden="1" xr:uid="{00000000-0005-0000-0000-000051370000}"/>
    <cellStyle name="Followed Hyperlink 3" xfId="9745" hidden="1" xr:uid="{00000000-0005-0000-0000-000052370000}"/>
    <cellStyle name="Followed Hyperlink 3" xfId="9750" hidden="1" xr:uid="{00000000-0005-0000-0000-000053370000}"/>
    <cellStyle name="Followed Hyperlink 3" xfId="9760" hidden="1" xr:uid="{00000000-0005-0000-0000-000054370000}"/>
    <cellStyle name="Followed Hyperlink 3" xfId="9762" hidden="1" xr:uid="{00000000-0005-0000-0000-000055370000}"/>
    <cellStyle name="Followed Hyperlink 3" xfId="9758" hidden="1" xr:uid="{00000000-0005-0000-0000-000056370000}"/>
    <cellStyle name="Followed Hyperlink 3" xfId="9757" hidden="1" xr:uid="{00000000-0005-0000-0000-000057370000}"/>
    <cellStyle name="Followed Hyperlink 3" xfId="9763" hidden="1" xr:uid="{00000000-0005-0000-0000-000058370000}"/>
    <cellStyle name="Followed Hyperlink 3" xfId="9766" hidden="1" xr:uid="{00000000-0005-0000-0000-000059370000}"/>
    <cellStyle name="Followed Hyperlink 3" xfId="9769" hidden="1" xr:uid="{00000000-0005-0000-0000-00005A370000}"/>
    <cellStyle name="Followed Hyperlink 3" xfId="9774" hidden="1" xr:uid="{00000000-0005-0000-0000-00005B370000}"/>
    <cellStyle name="Followed Hyperlink 3" xfId="9585" hidden="1" xr:uid="{00000000-0005-0000-0000-00005C370000}"/>
    <cellStyle name="Followed Hyperlink 3" xfId="9728" hidden="1" xr:uid="{00000000-0005-0000-0000-00005D370000}"/>
    <cellStyle name="Followed Hyperlink 3" xfId="9582" hidden="1" xr:uid="{00000000-0005-0000-0000-00005E370000}"/>
    <cellStyle name="Followed Hyperlink 3" xfId="9574" hidden="1" xr:uid="{00000000-0005-0000-0000-00005F370000}"/>
    <cellStyle name="Followed Hyperlink 3" xfId="9579" hidden="1" xr:uid="{00000000-0005-0000-0000-000060370000}"/>
    <cellStyle name="Followed Hyperlink 3" xfId="9779" hidden="1" xr:uid="{00000000-0005-0000-0000-000061370000}"/>
    <cellStyle name="Followed Hyperlink 3" xfId="9782" hidden="1" xr:uid="{00000000-0005-0000-0000-000062370000}"/>
    <cellStyle name="Followed Hyperlink 3" xfId="9787" hidden="1" xr:uid="{00000000-0005-0000-0000-000063370000}"/>
    <cellStyle name="Followed Hyperlink 3" xfId="9797" hidden="1" xr:uid="{00000000-0005-0000-0000-000064370000}"/>
    <cellStyle name="Followed Hyperlink 3" xfId="9799" hidden="1" xr:uid="{00000000-0005-0000-0000-000065370000}"/>
    <cellStyle name="Followed Hyperlink 3" xfId="9795" hidden="1" xr:uid="{00000000-0005-0000-0000-000066370000}"/>
    <cellStyle name="Followed Hyperlink 3" xfId="9794" hidden="1" xr:uid="{00000000-0005-0000-0000-000067370000}"/>
    <cellStyle name="Followed Hyperlink 3" xfId="9800" hidden="1" xr:uid="{00000000-0005-0000-0000-000068370000}"/>
    <cellStyle name="Followed Hyperlink 3" xfId="9803" hidden="1" xr:uid="{00000000-0005-0000-0000-000069370000}"/>
    <cellStyle name="Followed Hyperlink 3" xfId="9806" hidden="1" xr:uid="{00000000-0005-0000-0000-00006A370000}"/>
    <cellStyle name="Followed Hyperlink 3" xfId="9811" hidden="1" xr:uid="{00000000-0005-0000-0000-00006B370000}"/>
    <cellStyle name="Followed Hyperlink 3" xfId="9822" hidden="1" xr:uid="{00000000-0005-0000-0000-00006C370000}"/>
    <cellStyle name="Followed Hyperlink 3" xfId="9824" hidden="1" xr:uid="{00000000-0005-0000-0000-00006D370000}"/>
    <cellStyle name="Followed Hyperlink 3" xfId="9820" hidden="1" xr:uid="{00000000-0005-0000-0000-00006E370000}"/>
    <cellStyle name="Followed Hyperlink 3" xfId="9819" hidden="1" xr:uid="{00000000-0005-0000-0000-00006F370000}"/>
    <cellStyle name="Followed Hyperlink 3" xfId="9825" hidden="1" xr:uid="{00000000-0005-0000-0000-000070370000}"/>
    <cellStyle name="Followed Hyperlink 3" xfId="9828" hidden="1" xr:uid="{00000000-0005-0000-0000-000071370000}"/>
    <cellStyle name="Followed Hyperlink 3" xfId="9831" hidden="1" xr:uid="{00000000-0005-0000-0000-000072370000}"/>
    <cellStyle name="Followed Hyperlink 3" xfId="9836" hidden="1" xr:uid="{00000000-0005-0000-0000-000073370000}"/>
    <cellStyle name="Followed Hyperlink 3" xfId="9846" hidden="1" xr:uid="{00000000-0005-0000-0000-000074370000}"/>
    <cellStyle name="Followed Hyperlink 3" xfId="9848" hidden="1" xr:uid="{00000000-0005-0000-0000-000075370000}"/>
    <cellStyle name="Followed Hyperlink 3" xfId="9844" hidden="1" xr:uid="{00000000-0005-0000-0000-000076370000}"/>
    <cellStyle name="Followed Hyperlink 3" xfId="9843" hidden="1" xr:uid="{00000000-0005-0000-0000-000077370000}"/>
    <cellStyle name="Followed Hyperlink 3" xfId="9849" hidden="1" xr:uid="{00000000-0005-0000-0000-000078370000}"/>
    <cellStyle name="Followed Hyperlink 3" xfId="9852" hidden="1" xr:uid="{00000000-0005-0000-0000-000079370000}"/>
    <cellStyle name="Followed Hyperlink 3" xfId="9855" hidden="1" xr:uid="{00000000-0005-0000-0000-00007A370000}"/>
    <cellStyle name="Followed Hyperlink 3" xfId="9860" hidden="1" xr:uid="{00000000-0005-0000-0000-00007B370000}"/>
    <cellStyle name="Followed Hyperlink 3" xfId="9590" hidden="1" xr:uid="{00000000-0005-0000-0000-00007C370000}"/>
    <cellStyle name="Followed Hyperlink 3" xfId="9814" hidden="1" xr:uid="{00000000-0005-0000-0000-00007D370000}"/>
    <cellStyle name="Followed Hyperlink 3" xfId="9586" hidden="1" xr:uid="{00000000-0005-0000-0000-00007E370000}"/>
    <cellStyle name="Followed Hyperlink 3" xfId="9591" hidden="1" xr:uid="{00000000-0005-0000-0000-00007F370000}"/>
    <cellStyle name="Followed Hyperlink 3" xfId="9578" hidden="1" xr:uid="{00000000-0005-0000-0000-000080370000}"/>
    <cellStyle name="Followed Hyperlink 3" xfId="9865" hidden="1" xr:uid="{00000000-0005-0000-0000-000081370000}"/>
    <cellStyle name="Followed Hyperlink 3" xfId="9868" hidden="1" xr:uid="{00000000-0005-0000-0000-000082370000}"/>
    <cellStyle name="Followed Hyperlink 3" xfId="9873" hidden="1" xr:uid="{00000000-0005-0000-0000-000083370000}"/>
    <cellStyle name="Followed Hyperlink 3" xfId="9883" hidden="1" xr:uid="{00000000-0005-0000-0000-000084370000}"/>
    <cellStyle name="Followed Hyperlink 3" xfId="9885" hidden="1" xr:uid="{00000000-0005-0000-0000-000085370000}"/>
    <cellStyle name="Followed Hyperlink 3" xfId="9881" hidden="1" xr:uid="{00000000-0005-0000-0000-000086370000}"/>
    <cellStyle name="Followed Hyperlink 3" xfId="9880" hidden="1" xr:uid="{00000000-0005-0000-0000-000087370000}"/>
    <cellStyle name="Followed Hyperlink 3" xfId="9886" hidden="1" xr:uid="{00000000-0005-0000-0000-000088370000}"/>
    <cellStyle name="Followed Hyperlink 3" xfId="9889" hidden="1" xr:uid="{00000000-0005-0000-0000-000089370000}"/>
    <cellStyle name="Followed Hyperlink 3" xfId="9892" hidden="1" xr:uid="{00000000-0005-0000-0000-00008A370000}"/>
    <cellStyle name="Followed Hyperlink 3" xfId="9897" hidden="1" xr:uid="{00000000-0005-0000-0000-00008B370000}"/>
    <cellStyle name="Followed Hyperlink 3" xfId="9907" hidden="1" xr:uid="{00000000-0005-0000-0000-00008C370000}"/>
    <cellStyle name="Followed Hyperlink 3" xfId="9909" hidden="1" xr:uid="{00000000-0005-0000-0000-00008D370000}"/>
    <cellStyle name="Followed Hyperlink 3" xfId="9905" hidden="1" xr:uid="{00000000-0005-0000-0000-00008E370000}"/>
    <cellStyle name="Followed Hyperlink 3" xfId="9904" hidden="1" xr:uid="{00000000-0005-0000-0000-00008F370000}"/>
    <cellStyle name="Followed Hyperlink 3" xfId="9910" hidden="1" xr:uid="{00000000-0005-0000-0000-000090370000}"/>
    <cellStyle name="Followed Hyperlink 3" xfId="9913" hidden="1" xr:uid="{00000000-0005-0000-0000-000091370000}"/>
    <cellStyle name="Followed Hyperlink 3" xfId="9916" hidden="1" xr:uid="{00000000-0005-0000-0000-000092370000}"/>
    <cellStyle name="Followed Hyperlink 3" xfId="9921" hidden="1" xr:uid="{00000000-0005-0000-0000-000093370000}"/>
    <cellStyle name="Followed Hyperlink 3" xfId="9931" hidden="1" xr:uid="{00000000-0005-0000-0000-000094370000}"/>
    <cellStyle name="Followed Hyperlink 3" xfId="9933" hidden="1" xr:uid="{00000000-0005-0000-0000-000095370000}"/>
    <cellStyle name="Followed Hyperlink 3" xfId="9929" hidden="1" xr:uid="{00000000-0005-0000-0000-000096370000}"/>
    <cellStyle name="Followed Hyperlink 3" xfId="9928" hidden="1" xr:uid="{00000000-0005-0000-0000-000097370000}"/>
    <cellStyle name="Followed Hyperlink 3" xfId="9934" hidden="1" xr:uid="{00000000-0005-0000-0000-000098370000}"/>
    <cellStyle name="Followed Hyperlink 3" xfId="9937" hidden="1" xr:uid="{00000000-0005-0000-0000-000099370000}"/>
    <cellStyle name="Followed Hyperlink 3" xfId="9940" hidden="1" xr:uid="{00000000-0005-0000-0000-00009A370000}"/>
    <cellStyle name="Followed Hyperlink 3" xfId="9945" hidden="1" xr:uid="{00000000-0005-0000-0000-00009B370000}"/>
    <cellStyle name="Followed Hyperlink 3" xfId="8988" hidden="1" xr:uid="{00000000-0005-0000-0000-00009C370000}"/>
    <cellStyle name="Followed Hyperlink 3" xfId="9515" hidden="1" xr:uid="{00000000-0005-0000-0000-00009D370000}"/>
    <cellStyle name="Followed Hyperlink 3" xfId="8985" hidden="1" xr:uid="{00000000-0005-0000-0000-00009E370000}"/>
    <cellStyle name="Followed Hyperlink 3" xfId="8977" hidden="1" xr:uid="{00000000-0005-0000-0000-00009F370000}"/>
    <cellStyle name="Followed Hyperlink 3" xfId="8982" hidden="1" xr:uid="{00000000-0005-0000-0000-0000A0370000}"/>
    <cellStyle name="Followed Hyperlink 3" xfId="9950" hidden="1" xr:uid="{00000000-0005-0000-0000-0000A1370000}"/>
    <cellStyle name="Followed Hyperlink 3" xfId="9953" hidden="1" xr:uid="{00000000-0005-0000-0000-0000A2370000}"/>
    <cellStyle name="Followed Hyperlink 3" xfId="9958" hidden="1" xr:uid="{00000000-0005-0000-0000-0000A3370000}"/>
    <cellStyle name="Followed Hyperlink 3" xfId="9968" hidden="1" xr:uid="{00000000-0005-0000-0000-0000A4370000}"/>
    <cellStyle name="Followed Hyperlink 3" xfId="9970" hidden="1" xr:uid="{00000000-0005-0000-0000-0000A5370000}"/>
    <cellStyle name="Followed Hyperlink 3" xfId="9966" hidden="1" xr:uid="{00000000-0005-0000-0000-0000A6370000}"/>
    <cellStyle name="Followed Hyperlink 3" xfId="9965" hidden="1" xr:uid="{00000000-0005-0000-0000-0000A7370000}"/>
    <cellStyle name="Followed Hyperlink 3" xfId="9971" hidden="1" xr:uid="{00000000-0005-0000-0000-0000A8370000}"/>
    <cellStyle name="Followed Hyperlink 3" xfId="9974" hidden="1" xr:uid="{00000000-0005-0000-0000-0000A9370000}"/>
    <cellStyle name="Followed Hyperlink 3" xfId="9977" hidden="1" xr:uid="{00000000-0005-0000-0000-0000AA370000}"/>
    <cellStyle name="Followed Hyperlink 3" xfId="9982" hidden="1" xr:uid="{00000000-0005-0000-0000-0000AB370000}"/>
    <cellStyle name="Followed Hyperlink 3" xfId="9993" hidden="1" xr:uid="{00000000-0005-0000-0000-0000AC370000}"/>
    <cellStyle name="Followed Hyperlink 3" xfId="9995" hidden="1" xr:uid="{00000000-0005-0000-0000-0000AD370000}"/>
    <cellStyle name="Followed Hyperlink 3" xfId="9991" hidden="1" xr:uid="{00000000-0005-0000-0000-0000AE370000}"/>
    <cellStyle name="Followed Hyperlink 3" xfId="9990" hidden="1" xr:uid="{00000000-0005-0000-0000-0000AF370000}"/>
    <cellStyle name="Followed Hyperlink 3" xfId="9996" hidden="1" xr:uid="{00000000-0005-0000-0000-0000B0370000}"/>
    <cellStyle name="Followed Hyperlink 3" xfId="9999" hidden="1" xr:uid="{00000000-0005-0000-0000-0000B1370000}"/>
    <cellStyle name="Followed Hyperlink 3" xfId="10002" hidden="1" xr:uid="{00000000-0005-0000-0000-0000B2370000}"/>
    <cellStyle name="Followed Hyperlink 3" xfId="10007" hidden="1" xr:uid="{00000000-0005-0000-0000-0000B3370000}"/>
    <cellStyle name="Followed Hyperlink 3" xfId="10017" hidden="1" xr:uid="{00000000-0005-0000-0000-0000B4370000}"/>
    <cellStyle name="Followed Hyperlink 3" xfId="10019" hidden="1" xr:uid="{00000000-0005-0000-0000-0000B5370000}"/>
    <cellStyle name="Followed Hyperlink 3" xfId="10015" hidden="1" xr:uid="{00000000-0005-0000-0000-0000B6370000}"/>
    <cellStyle name="Followed Hyperlink 3" xfId="10014" hidden="1" xr:uid="{00000000-0005-0000-0000-0000B7370000}"/>
    <cellStyle name="Followed Hyperlink 3" xfId="10020" hidden="1" xr:uid="{00000000-0005-0000-0000-0000B8370000}"/>
    <cellStyle name="Followed Hyperlink 3" xfId="10023" hidden="1" xr:uid="{00000000-0005-0000-0000-0000B9370000}"/>
    <cellStyle name="Followed Hyperlink 3" xfId="10026" hidden="1" xr:uid="{00000000-0005-0000-0000-0000BA370000}"/>
    <cellStyle name="Followed Hyperlink 3" xfId="10031" hidden="1" xr:uid="{00000000-0005-0000-0000-0000BB370000}"/>
    <cellStyle name="Followed Hyperlink 3" xfId="10070" hidden="1" xr:uid="{00000000-0005-0000-0000-0000BC370000}"/>
    <cellStyle name="Followed Hyperlink 3" xfId="10072" hidden="1" xr:uid="{00000000-0005-0000-0000-0000BD370000}"/>
    <cellStyle name="Followed Hyperlink 3" xfId="10068" hidden="1" xr:uid="{00000000-0005-0000-0000-0000BE370000}"/>
    <cellStyle name="Followed Hyperlink 3" xfId="10067" hidden="1" xr:uid="{00000000-0005-0000-0000-0000BF370000}"/>
    <cellStyle name="Followed Hyperlink 3" xfId="10073" hidden="1" xr:uid="{00000000-0005-0000-0000-0000C0370000}"/>
    <cellStyle name="Followed Hyperlink 3" xfId="10076" hidden="1" xr:uid="{00000000-0005-0000-0000-0000C1370000}"/>
    <cellStyle name="Followed Hyperlink 3" xfId="10079" hidden="1" xr:uid="{00000000-0005-0000-0000-0000C2370000}"/>
    <cellStyle name="Followed Hyperlink 3" xfId="10084" hidden="1" xr:uid="{00000000-0005-0000-0000-0000C3370000}"/>
    <cellStyle name="Followed Hyperlink 3" xfId="10094" hidden="1" xr:uid="{00000000-0005-0000-0000-0000C4370000}"/>
    <cellStyle name="Followed Hyperlink 3" xfId="10096" hidden="1" xr:uid="{00000000-0005-0000-0000-0000C5370000}"/>
    <cellStyle name="Followed Hyperlink 3" xfId="10092" hidden="1" xr:uid="{00000000-0005-0000-0000-0000C6370000}"/>
    <cellStyle name="Followed Hyperlink 3" xfId="10091" hidden="1" xr:uid="{00000000-0005-0000-0000-0000C7370000}"/>
    <cellStyle name="Followed Hyperlink 3" xfId="10097" hidden="1" xr:uid="{00000000-0005-0000-0000-0000C8370000}"/>
    <cellStyle name="Followed Hyperlink 3" xfId="10100" hidden="1" xr:uid="{00000000-0005-0000-0000-0000C9370000}"/>
    <cellStyle name="Followed Hyperlink 3" xfId="10103" hidden="1" xr:uid="{00000000-0005-0000-0000-0000CA370000}"/>
    <cellStyle name="Followed Hyperlink 3" xfId="10108" hidden="1" xr:uid="{00000000-0005-0000-0000-0000CB370000}"/>
    <cellStyle name="Followed Hyperlink 3" xfId="10120" hidden="1" xr:uid="{00000000-0005-0000-0000-0000CC370000}"/>
    <cellStyle name="Followed Hyperlink 3" xfId="10122" hidden="1" xr:uid="{00000000-0005-0000-0000-0000CD370000}"/>
    <cellStyle name="Followed Hyperlink 3" xfId="10118" hidden="1" xr:uid="{00000000-0005-0000-0000-0000CE370000}"/>
    <cellStyle name="Followed Hyperlink 3" xfId="10117" hidden="1" xr:uid="{00000000-0005-0000-0000-0000CF370000}"/>
    <cellStyle name="Followed Hyperlink 3" xfId="10123" hidden="1" xr:uid="{00000000-0005-0000-0000-0000D0370000}"/>
    <cellStyle name="Followed Hyperlink 3" xfId="10126" hidden="1" xr:uid="{00000000-0005-0000-0000-0000D1370000}"/>
    <cellStyle name="Followed Hyperlink 3" xfId="10129" hidden="1" xr:uid="{00000000-0005-0000-0000-0000D2370000}"/>
    <cellStyle name="Followed Hyperlink 3" xfId="10134" hidden="1" xr:uid="{00000000-0005-0000-0000-0000D3370000}"/>
    <cellStyle name="Followed Hyperlink 3" xfId="10144" hidden="1" xr:uid="{00000000-0005-0000-0000-0000D4370000}"/>
    <cellStyle name="Followed Hyperlink 3" xfId="10146" hidden="1" xr:uid="{00000000-0005-0000-0000-0000D5370000}"/>
    <cellStyle name="Followed Hyperlink 3" xfId="10142" hidden="1" xr:uid="{00000000-0005-0000-0000-0000D6370000}"/>
    <cellStyle name="Followed Hyperlink 3" xfId="10141" hidden="1" xr:uid="{00000000-0005-0000-0000-0000D7370000}"/>
    <cellStyle name="Followed Hyperlink 3" xfId="10147" hidden="1" xr:uid="{00000000-0005-0000-0000-0000D8370000}"/>
    <cellStyle name="Followed Hyperlink 3" xfId="10150" hidden="1" xr:uid="{00000000-0005-0000-0000-0000D9370000}"/>
    <cellStyle name="Followed Hyperlink 3" xfId="10153" hidden="1" xr:uid="{00000000-0005-0000-0000-0000DA370000}"/>
    <cellStyle name="Followed Hyperlink 3" xfId="10158" hidden="1" xr:uid="{00000000-0005-0000-0000-0000DB370000}"/>
    <cellStyle name="Followed Hyperlink 3" xfId="10034" hidden="1" xr:uid="{00000000-0005-0000-0000-0000DC370000}"/>
    <cellStyle name="Followed Hyperlink 3" xfId="10111" hidden="1" xr:uid="{00000000-0005-0000-0000-0000DD370000}"/>
    <cellStyle name="Followed Hyperlink 3" xfId="10038" hidden="1" xr:uid="{00000000-0005-0000-0000-0000DE370000}"/>
    <cellStyle name="Followed Hyperlink 3" xfId="10039" hidden="1" xr:uid="{00000000-0005-0000-0000-0000DF370000}"/>
    <cellStyle name="Followed Hyperlink 3" xfId="10042" hidden="1" xr:uid="{00000000-0005-0000-0000-0000E0370000}"/>
    <cellStyle name="Followed Hyperlink 3" xfId="10163" hidden="1" xr:uid="{00000000-0005-0000-0000-0000E1370000}"/>
    <cellStyle name="Followed Hyperlink 3" xfId="10166" hidden="1" xr:uid="{00000000-0005-0000-0000-0000E2370000}"/>
    <cellStyle name="Followed Hyperlink 3" xfId="10171" hidden="1" xr:uid="{00000000-0005-0000-0000-0000E3370000}"/>
    <cellStyle name="Followed Hyperlink 3" xfId="10181" hidden="1" xr:uid="{00000000-0005-0000-0000-0000E4370000}"/>
    <cellStyle name="Followed Hyperlink 3" xfId="10183" hidden="1" xr:uid="{00000000-0005-0000-0000-0000E5370000}"/>
    <cellStyle name="Followed Hyperlink 3" xfId="10179" hidden="1" xr:uid="{00000000-0005-0000-0000-0000E6370000}"/>
    <cellStyle name="Followed Hyperlink 3" xfId="10178" hidden="1" xr:uid="{00000000-0005-0000-0000-0000E7370000}"/>
    <cellStyle name="Followed Hyperlink 3" xfId="10184" hidden="1" xr:uid="{00000000-0005-0000-0000-0000E8370000}"/>
    <cellStyle name="Followed Hyperlink 3" xfId="10187" hidden="1" xr:uid="{00000000-0005-0000-0000-0000E9370000}"/>
    <cellStyle name="Followed Hyperlink 3" xfId="10190" hidden="1" xr:uid="{00000000-0005-0000-0000-0000EA370000}"/>
    <cellStyle name="Followed Hyperlink 3" xfId="10195" hidden="1" xr:uid="{00000000-0005-0000-0000-0000EB370000}"/>
    <cellStyle name="Followed Hyperlink 3" xfId="10206" hidden="1" xr:uid="{00000000-0005-0000-0000-0000EC370000}"/>
    <cellStyle name="Followed Hyperlink 3" xfId="10208" hidden="1" xr:uid="{00000000-0005-0000-0000-0000ED370000}"/>
    <cellStyle name="Followed Hyperlink 3" xfId="10204" hidden="1" xr:uid="{00000000-0005-0000-0000-0000EE370000}"/>
    <cellStyle name="Followed Hyperlink 3" xfId="10203" hidden="1" xr:uid="{00000000-0005-0000-0000-0000EF370000}"/>
    <cellStyle name="Followed Hyperlink 3" xfId="10209" hidden="1" xr:uid="{00000000-0005-0000-0000-0000F0370000}"/>
    <cellStyle name="Followed Hyperlink 3" xfId="10212" hidden="1" xr:uid="{00000000-0005-0000-0000-0000F1370000}"/>
    <cellStyle name="Followed Hyperlink 3" xfId="10215" hidden="1" xr:uid="{00000000-0005-0000-0000-0000F2370000}"/>
    <cellStyle name="Followed Hyperlink 3" xfId="10220" hidden="1" xr:uid="{00000000-0005-0000-0000-0000F3370000}"/>
    <cellStyle name="Followed Hyperlink 3" xfId="10230" hidden="1" xr:uid="{00000000-0005-0000-0000-0000F4370000}"/>
    <cellStyle name="Followed Hyperlink 3" xfId="10232" hidden="1" xr:uid="{00000000-0005-0000-0000-0000F5370000}"/>
    <cellStyle name="Followed Hyperlink 3" xfId="10228" hidden="1" xr:uid="{00000000-0005-0000-0000-0000F6370000}"/>
    <cellStyle name="Followed Hyperlink 3" xfId="10227" hidden="1" xr:uid="{00000000-0005-0000-0000-0000F7370000}"/>
    <cellStyle name="Followed Hyperlink 3" xfId="10233" hidden="1" xr:uid="{00000000-0005-0000-0000-0000F8370000}"/>
    <cellStyle name="Followed Hyperlink 3" xfId="10236" hidden="1" xr:uid="{00000000-0005-0000-0000-0000F9370000}"/>
    <cellStyle name="Followed Hyperlink 3" xfId="10239" hidden="1" xr:uid="{00000000-0005-0000-0000-0000FA370000}"/>
    <cellStyle name="Followed Hyperlink 3" xfId="10244" hidden="1" xr:uid="{00000000-0005-0000-0000-0000FB370000}"/>
    <cellStyle name="Followed Hyperlink 3" xfId="10055" hidden="1" xr:uid="{00000000-0005-0000-0000-0000FC370000}"/>
    <cellStyle name="Followed Hyperlink 3" xfId="10198" hidden="1" xr:uid="{00000000-0005-0000-0000-0000FD370000}"/>
    <cellStyle name="Followed Hyperlink 3" xfId="10052" hidden="1" xr:uid="{00000000-0005-0000-0000-0000FE370000}"/>
    <cellStyle name="Followed Hyperlink 3" xfId="10044" hidden="1" xr:uid="{00000000-0005-0000-0000-0000FF370000}"/>
    <cellStyle name="Followed Hyperlink 3" xfId="10049" hidden="1" xr:uid="{00000000-0005-0000-0000-000000380000}"/>
    <cellStyle name="Followed Hyperlink 3" xfId="10249" hidden="1" xr:uid="{00000000-0005-0000-0000-000001380000}"/>
    <cellStyle name="Followed Hyperlink 3" xfId="10252" hidden="1" xr:uid="{00000000-0005-0000-0000-000002380000}"/>
    <cellStyle name="Followed Hyperlink 3" xfId="10257" hidden="1" xr:uid="{00000000-0005-0000-0000-000003380000}"/>
    <cellStyle name="Followed Hyperlink 3" xfId="10267" hidden="1" xr:uid="{00000000-0005-0000-0000-000004380000}"/>
    <cellStyle name="Followed Hyperlink 3" xfId="10269" hidden="1" xr:uid="{00000000-0005-0000-0000-000005380000}"/>
    <cellStyle name="Followed Hyperlink 3" xfId="10265" hidden="1" xr:uid="{00000000-0005-0000-0000-000006380000}"/>
    <cellStyle name="Followed Hyperlink 3" xfId="10264" hidden="1" xr:uid="{00000000-0005-0000-0000-000007380000}"/>
    <cellStyle name="Followed Hyperlink 3" xfId="10270" hidden="1" xr:uid="{00000000-0005-0000-0000-000008380000}"/>
    <cellStyle name="Followed Hyperlink 3" xfId="10273" hidden="1" xr:uid="{00000000-0005-0000-0000-000009380000}"/>
    <cellStyle name="Followed Hyperlink 3" xfId="10276" hidden="1" xr:uid="{00000000-0005-0000-0000-00000A380000}"/>
    <cellStyle name="Followed Hyperlink 3" xfId="10281" hidden="1" xr:uid="{00000000-0005-0000-0000-00000B380000}"/>
    <cellStyle name="Followed Hyperlink 3" xfId="10292" hidden="1" xr:uid="{00000000-0005-0000-0000-00000C380000}"/>
    <cellStyle name="Followed Hyperlink 3" xfId="10294" hidden="1" xr:uid="{00000000-0005-0000-0000-00000D380000}"/>
    <cellStyle name="Followed Hyperlink 3" xfId="10290" hidden="1" xr:uid="{00000000-0005-0000-0000-00000E380000}"/>
    <cellStyle name="Followed Hyperlink 3" xfId="10289" hidden="1" xr:uid="{00000000-0005-0000-0000-00000F380000}"/>
    <cellStyle name="Followed Hyperlink 3" xfId="10295" hidden="1" xr:uid="{00000000-0005-0000-0000-000010380000}"/>
    <cellStyle name="Followed Hyperlink 3" xfId="10298" hidden="1" xr:uid="{00000000-0005-0000-0000-000011380000}"/>
    <cellStyle name="Followed Hyperlink 3" xfId="10301" hidden="1" xr:uid="{00000000-0005-0000-0000-000012380000}"/>
    <cellStyle name="Followed Hyperlink 3" xfId="10306" hidden="1" xr:uid="{00000000-0005-0000-0000-000013380000}"/>
    <cellStyle name="Followed Hyperlink 3" xfId="10316" hidden="1" xr:uid="{00000000-0005-0000-0000-000014380000}"/>
    <cellStyle name="Followed Hyperlink 3" xfId="10318" hidden="1" xr:uid="{00000000-0005-0000-0000-000015380000}"/>
    <cellStyle name="Followed Hyperlink 3" xfId="10314" hidden="1" xr:uid="{00000000-0005-0000-0000-000016380000}"/>
    <cellStyle name="Followed Hyperlink 3" xfId="10313" hidden="1" xr:uid="{00000000-0005-0000-0000-000017380000}"/>
    <cellStyle name="Followed Hyperlink 3" xfId="10319" hidden="1" xr:uid="{00000000-0005-0000-0000-000018380000}"/>
    <cellStyle name="Followed Hyperlink 3" xfId="10322" hidden="1" xr:uid="{00000000-0005-0000-0000-000019380000}"/>
    <cellStyle name="Followed Hyperlink 3" xfId="10325" hidden="1" xr:uid="{00000000-0005-0000-0000-00001A380000}"/>
    <cellStyle name="Followed Hyperlink 3" xfId="10330" hidden="1" xr:uid="{00000000-0005-0000-0000-00001B380000}"/>
    <cellStyle name="Followed Hyperlink 3" xfId="10060" hidden="1" xr:uid="{00000000-0005-0000-0000-00001C380000}"/>
    <cellStyle name="Followed Hyperlink 3" xfId="10284" hidden="1" xr:uid="{00000000-0005-0000-0000-00001D380000}"/>
    <cellStyle name="Followed Hyperlink 3" xfId="10056" hidden="1" xr:uid="{00000000-0005-0000-0000-00001E380000}"/>
    <cellStyle name="Followed Hyperlink 3" xfId="10061" hidden="1" xr:uid="{00000000-0005-0000-0000-00001F380000}"/>
    <cellStyle name="Followed Hyperlink 3" xfId="10048" hidden="1" xr:uid="{00000000-0005-0000-0000-000020380000}"/>
    <cellStyle name="Followed Hyperlink 3" xfId="10335" hidden="1" xr:uid="{00000000-0005-0000-0000-000021380000}"/>
    <cellStyle name="Followed Hyperlink 3" xfId="10338" hidden="1" xr:uid="{00000000-0005-0000-0000-000022380000}"/>
    <cellStyle name="Followed Hyperlink 3" xfId="10343" hidden="1" xr:uid="{00000000-0005-0000-0000-000023380000}"/>
    <cellStyle name="Followed Hyperlink 3" xfId="10353" hidden="1" xr:uid="{00000000-0005-0000-0000-000024380000}"/>
    <cellStyle name="Followed Hyperlink 3" xfId="10355" hidden="1" xr:uid="{00000000-0005-0000-0000-000025380000}"/>
    <cellStyle name="Followed Hyperlink 3" xfId="10351" hidden="1" xr:uid="{00000000-0005-0000-0000-000026380000}"/>
    <cellStyle name="Followed Hyperlink 3" xfId="10350" hidden="1" xr:uid="{00000000-0005-0000-0000-000027380000}"/>
    <cellStyle name="Followed Hyperlink 3" xfId="10356" hidden="1" xr:uid="{00000000-0005-0000-0000-000028380000}"/>
    <cellStyle name="Followed Hyperlink 3" xfId="10359" hidden="1" xr:uid="{00000000-0005-0000-0000-000029380000}"/>
    <cellStyle name="Followed Hyperlink 3" xfId="10362" hidden="1" xr:uid="{00000000-0005-0000-0000-00002A380000}"/>
    <cellStyle name="Followed Hyperlink 3" xfId="10367" hidden="1" xr:uid="{00000000-0005-0000-0000-00002B380000}"/>
    <cellStyle name="Followed Hyperlink 3" xfId="10377" hidden="1" xr:uid="{00000000-0005-0000-0000-00002C380000}"/>
    <cellStyle name="Followed Hyperlink 3" xfId="10379" hidden="1" xr:uid="{00000000-0005-0000-0000-00002D380000}"/>
    <cellStyle name="Followed Hyperlink 3" xfId="10375" hidden="1" xr:uid="{00000000-0005-0000-0000-00002E380000}"/>
    <cellStyle name="Followed Hyperlink 3" xfId="10374" hidden="1" xr:uid="{00000000-0005-0000-0000-00002F380000}"/>
    <cellStyle name="Followed Hyperlink 3" xfId="10380" hidden="1" xr:uid="{00000000-0005-0000-0000-000030380000}"/>
    <cellStyle name="Followed Hyperlink 3" xfId="10383" hidden="1" xr:uid="{00000000-0005-0000-0000-000031380000}"/>
    <cellStyle name="Followed Hyperlink 3" xfId="10386" hidden="1" xr:uid="{00000000-0005-0000-0000-000032380000}"/>
    <cellStyle name="Followed Hyperlink 3" xfId="10391" hidden="1" xr:uid="{00000000-0005-0000-0000-000033380000}"/>
    <cellStyle name="Followed Hyperlink 3" xfId="10401" hidden="1" xr:uid="{00000000-0005-0000-0000-000034380000}"/>
    <cellStyle name="Followed Hyperlink 3" xfId="10403" hidden="1" xr:uid="{00000000-0005-0000-0000-000035380000}"/>
    <cellStyle name="Followed Hyperlink 3" xfId="10399" hidden="1" xr:uid="{00000000-0005-0000-0000-000036380000}"/>
    <cellStyle name="Followed Hyperlink 3" xfId="10398" hidden="1" xr:uid="{00000000-0005-0000-0000-000037380000}"/>
    <cellStyle name="Followed Hyperlink 3" xfId="10404" hidden="1" xr:uid="{00000000-0005-0000-0000-000038380000}"/>
    <cellStyle name="Followed Hyperlink 3" xfId="10407" hidden="1" xr:uid="{00000000-0005-0000-0000-000039380000}"/>
    <cellStyle name="Followed Hyperlink 3" xfId="10410" hidden="1" xr:uid="{00000000-0005-0000-0000-00003A380000}"/>
    <cellStyle name="Followed Hyperlink 3" xfId="10415" hidden="1" xr:uid="{00000000-0005-0000-0000-00003B380000}"/>
    <cellStyle name="Followed Hyperlink 3" xfId="8993" hidden="1" xr:uid="{00000000-0005-0000-0000-00003C380000}"/>
    <cellStyle name="Followed Hyperlink 3" xfId="9985" hidden="1" xr:uid="{00000000-0005-0000-0000-00003D380000}"/>
    <cellStyle name="Followed Hyperlink 3" xfId="8989" hidden="1" xr:uid="{00000000-0005-0000-0000-00003E380000}"/>
    <cellStyle name="Followed Hyperlink 3" xfId="8994" hidden="1" xr:uid="{00000000-0005-0000-0000-00003F380000}"/>
    <cellStyle name="Followed Hyperlink 3" xfId="8981" hidden="1" xr:uid="{00000000-0005-0000-0000-000040380000}"/>
    <cellStyle name="Followed Hyperlink 3" xfId="10420" hidden="1" xr:uid="{00000000-0005-0000-0000-000041380000}"/>
    <cellStyle name="Followed Hyperlink 3" xfId="10423" hidden="1" xr:uid="{00000000-0005-0000-0000-000042380000}"/>
    <cellStyle name="Followed Hyperlink 3" xfId="10428" hidden="1" xr:uid="{00000000-0005-0000-0000-000043380000}"/>
    <cellStyle name="Followed Hyperlink 3" xfId="10438" hidden="1" xr:uid="{00000000-0005-0000-0000-000044380000}"/>
    <cellStyle name="Followed Hyperlink 3" xfId="10440" hidden="1" xr:uid="{00000000-0005-0000-0000-000045380000}"/>
    <cellStyle name="Followed Hyperlink 3" xfId="10436" hidden="1" xr:uid="{00000000-0005-0000-0000-000046380000}"/>
    <cellStyle name="Followed Hyperlink 3" xfId="10435" hidden="1" xr:uid="{00000000-0005-0000-0000-000047380000}"/>
    <cellStyle name="Followed Hyperlink 3" xfId="10441" hidden="1" xr:uid="{00000000-0005-0000-0000-000048380000}"/>
    <cellStyle name="Followed Hyperlink 3" xfId="10444" hidden="1" xr:uid="{00000000-0005-0000-0000-000049380000}"/>
    <cellStyle name="Followed Hyperlink 3" xfId="10447" hidden="1" xr:uid="{00000000-0005-0000-0000-00004A380000}"/>
    <cellStyle name="Followed Hyperlink 3" xfId="10452" hidden="1" xr:uid="{00000000-0005-0000-0000-00004B380000}"/>
    <cellStyle name="Followed Hyperlink 3" xfId="10462" hidden="1" xr:uid="{00000000-0005-0000-0000-00004C380000}"/>
    <cellStyle name="Followed Hyperlink 3" xfId="10464" hidden="1" xr:uid="{00000000-0005-0000-0000-00004D380000}"/>
    <cellStyle name="Followed Hyperlink 3" xfId="10460" hidden="1" xr:uid="{00000000-0005-0000-0000-00004E380000}"/>
    <cellStyle name="Followed Hyperlink 3" xfId="10459" hidden="1" xr:uid="{00000000-0005-0000-0000-00004F380000}"/>
    <cellStyle name="Followed Hyperlink 3" xfId="10465" hidden="1" xr:uid="{00000000-0005-0000-0000-000050380000}"/>
    <cellStyle name="Followed Hyperlink 3" xfId="10468" hidden="1" xr:uid="{00000000-0005-0000-0000-000051380000}"/>
    <cellStyle name="Followed Hyperlink 3" xfId="10471" hidden="1" xr:uid="{00000000-0005-0000-0000-000052380000}"/>
    <cellStyle name="Followed Hyperlink 3" xfId="10476" hidden="1" xr:uid="{00000000-0005-0000-0000-000053380000}"/>
    <cellStyle name="Followed Hyperlink 3" xfId="10486" hidden="1" xr:uid="{00000000-0005-0000-0000-000054380000}"/>
    <cellStyle name="Followed Hyperlink 3" xfId="10488" hidden="1" xr:uid="{00000000-0005-0000-0000-000055380000}"/>
    <cellStyle name="Followed Hyperlink 3" xfId="10484" hidden="1" xr:uid="{00000000-0005-0000-0000-000056380000}"/>
    <cellStyle name="Followed Hyperlink 3" xfId="10483" hidden="1" xr:uid="{00000000-0005-0000-0000-000057380000}"/>
    <cellStyle name="Followed Hyperlink 3" xfId="10489" hidden="1" xr:uid="{00000000-0005-0000-0000-000058380000}"/>
    <cellStyle name="Followed Hyperlink 3" xfId="10492" hidden="1" xr:uid="{00000000-0005-0000-0000-000059380000}"/>
    <cellStyle name="Followed Hyperlink 3" xfId="10495" hidden="1" xr:uid="{00000000-0005-0000-0000-00005A380000}"/>
    <cellStyle name="Followed Hyperlink 3" xfId="10500" hidden="1" xr:uid="{00000000-0005-0000-0000-00005B380000}"/>
    <cellStyle name="Followed Hyperlink 3" xfId="10539" hidden="1" xr:uid="{00000000-0005-0000-0000-00005C380000}"/>
    <cellStyle name="Followed Hyperlink 3" xfId="10541" hidden="1" xr:uid="{00000000-0005-0000-0000-00005D380000}"/>
    <cellStyle name="Followed Hyperlink 3" xfId="10537" hidden="1" xr:uid="{00000000-0005-0000-0000-00005E380000}"/>
    <cellStyle name="Followed Hyperlink 3" xfId="10536" hidden="1" xr:uid="{00000000-0005-0000-0000-00005F380000}"/>
    <cellStyle name="Followed Hyperlink 3" xfId="10542" hidden="1" xr:uid="{00000000-0005-0000-0000-000060380000}"/>
    <cellStyle name="Followed Hyperlink 3" xfId="10545" hidden="1" xr:uid="{00000000-0005-0000-0000-000061380000}"/>
    <cellStyle name="Followed Hyperlink 3" xfId="10548" hidden="1" xr:uid="{00000000-0005-0000-0000-000062380000}"/>
    <cellStyle name="Followed Hyperlink 3" xfId="10553" hidden="1" xr:uid="{00000000-0005-0000-0000-000063380000}"/>
    <cellStyle name="Followed Hyperlink 3" xfId="10563" hidden="1" xr:uid="{00000000-0005-0000-0000-000064380000}"/>
    <cellStyle name="Followed Hyperlink 3" xfId="10565" hidden="1" xr:uid="{00000000-0005-0000-0000-000065380000}"/>
    <cellStyle name="Followed Hyperlink 3" xfId="10561" hidden="1" xr:uid="{00000000-0005-0000-0000-000066380000}"/>
    <cellStyle name="Followed Hyperlink 3" xfId="10560" hidden="1" xr:uid="{00000000-0005-0000-0000-000067380000}"/>
    <cellStyle name="Followed Hyperlink 3" xfId="10566" hidden="1" xr:uid="{00000000-0005-0000-0000-000068380000}"/>
    <cellStyle name="Followed Hyperlink 3" xfId="10569" hidden="1" xr:uid="{00000000-0005-0000-0000-000069380000}"/>
    <cellStyle name="Followed Hyperlink 3" xfId="10572" hidden="1" xr:uid="{00000000-0005-0000-0000-00006A380000}"/>
    <cellStyle name="Followed Hyperlink 3" xfId="10577" hidden="1" xr:uid="{00000000-0005-0000-0000-00006B380000}"/>
    <cellStyle name="Followed Hyperlink 3" xfId="10589" hidden="1" xr:uid="{00000000-0005-0000-0000-00006C380000}"/>
    <cellStyle name="Followed Hyperlink 3" xfId="10591" hidden="1" xr:uid="{00000000-0005-0000-0000-00006D380000}"/>
    <cellStyle name="Followed Hyperlink 3" xfId="10587" hidden="1" xr:uid="{00000000-0005-0000-0000-00006E380000}"/>
    <cellStyle name="Followed Hyperlink 3" xfId="10586" hidden="1" xr:uid="{00000000-0005-0000-0000-00006F380000}"/>
    <cellStyle name="Followed Hyperlink 3" xfId="10592" hidden="1" xr:uid="{00000000-0005-0000-0000-000070380000}"/>
    <cellStyle name="Followed Hyperlink 3" xfId="10595" hidden="1" xr:uid="{00000000-0005-0000-0000-000071380000}"/>
    <cellStyle name="Followed Hyperlink 3" xfId="10598" hidden="1" xr:uid="{00000000-0005-0000-0000-000072380000}"/>
    <cellStyle name="Followed Hyperlink 3" xfId="10603" hidden="1" xr:uid="{00000000-0005-0000-0000-000073380000}"/>
    <cellStyle name="Followed Hyperlink 3" xfId="10613" hidden="1" xr:uid="{00000000-0005-0000-0000-000074380000}"/>
    <cellStyle name="Followed Hyperlink 3" xfId="10615" hidden="1" xr:uid="{00000000-0005-0000-0000-000075380000}"/>
    <cellStyle name="Followed Hyperlink 3" xfId="10611" hidden="1" xr:uid="{00000000-0005-0000-0000-000076380000}"/>
    <cellStyle name="Followed Hyperlink 3" xfId="10610" hidden="1" xr:uid="{00000000-0005-0000-0000-000077380000}"/>
    <cellStyle name="Followed Hyperlink 3" xfId="10616" hidden="1" xr:uid="{00000000-0005-0000-0000-000078380000}"/>
    <cellStyle name="Followed Hyperlink 3" xfId="10619" hidden="1" xr:uid="{00000000-0005-0000-0000-000079380000}"/>
    <cellStyle name="Followed Hyperlink 3" xfId="10622" hidden="1" xr:uid="{00000000-0005-0000-0000-00007A380000}"/>
    <cellStyle name="Followed Hyperlink 3" xfId="10627" hidden="1" xr:uid="{00000000-0005-0000-0000-00007B380000}"/>
    <cellStyle name="Followed Hyperlink 3" xfId="10503" hidden="1" xr:uid="{00000000-0005-0000-0000-00007C380000}"/>
    <cellStyle name="Followed Hyperlink 3" xfId="10580" hidden="1" xr:uid="{00000000-0005-0000-0000-00007D380000}"/>
    <cellStyle name="Followed Hyperlink 3" xfId="10507" hidden="1" xr:uid="{00000000-0005-0000-0000-00007E380000}"/>
    <cellStyle name="Followed Hyperlink 3" xfId="10508" hidden="1" xr:uid="{00000000-0005-0000-0000-00007F380000}"/>
    <cellStyle name="Followed Hyperlink 3" xfId="10511" hidden="1" xr:uid="{00000000-0005-0000-0000-000080380000}"/>
    <cellStyle name="Followed Hyperlink 3" xfId="10632" hidden="1" xr:uid="{00000000-0005-0000-0000-000081380000}"/>
    <cellStyle name="Followed Hyperlink 3" xfId="10635" hidden="1" xr:uid="{00000000-0005-0000-0000-000082380000}"/>
    <cellStyle name="Followed Hyperlink 3" xfId="10640" hidden="1" xr:uid="{00000000-0005-0000-0000-000083380000}"/>
    <cellStyle name="Followed Hyperlink 3" xfId="10650" hidden="1" xr:uid="{00000000-0005-0000-0000-000084380000}"/>
    <cellStyle name="Followed Hyperlink 3" xfId="10652" hidden="1" xr:uid="{00000000-0005-0000-0000-000085380000}"/>
    <cellStyle name="Followed Hyperlink 3" xfId="10648" hidden="1" xr:uid="{00000000-0005-0000-0000-000086380000}"/>
    <cellStyle name="Followed Hyperlink 3" xfId="10647" hidden="1" xr:uid="{00000000-0005-0000-0000-000087380000}"/>
    <cellStyle name="Followed Hyperlink 3" xfId="10653" hidden="1" xr:uid="{00000000-0005-0000-0000-000088380000}"/>
    <cellStyle name="Followed Hyperlink 3" xfId="10656" hidden="1" xr:uid="{00000000-0005-0000-0000-000089380000}"/>
    <cellStyle name="Followed Hyperlink 3" xfId="10659" hidden="1" xr:uid="{00000000-0005-0000-0000-00008A380000}"/>
    <cellStyle name="Followed Hyperlink 3" xfId="10664" hidden="1" xr:uid="{00000000-0005-0000-0000-00008B380000}"/>
    <cellStyle name="Followed Hyperlink 3" xfId="10675" hidden="1" xr:uid="{00000000-0005-0000-0000-00008C380000}"/>
    <cellStyle name="Followed Hyperlink 3" xfId="10677" hidden="1" xr:uid="{00000000-0005-0000-0000-00008D380000}"/>
    <cellStyle name="Followed Hyperlink 3" xfId="10673" hidden="1" xr:uid="{00000000-0005-0000-0000-00008E380000}"/>
    <cellStyle name="Followed Hyperlink 3" xfId="10672" hidden="1" xr:uid="{00000000-0005-0000-0000-00008F380000}"/>
    <cellStyle name="Followed Hyperlink 3" xfId="10678" hidden="1" xr:uid="{00000000-0005-0000-0000-000090380000}"/>
    <cellStyle name="Followed Hyperlink 3" xfId="10681" hidden="1" xr:uid="{00000000-0005-0000-0000-000091380000}"/>
    <cellStyle name="Followed Hyperlink 3" xfId="10684" hidden="1" xr:uid="{00000000-0005-0000-0000-000092380000}"/>
    <cellStyle name="Followed Hyperlink 3" xfId="10689" hidden="1" xr:uid="{00000000-0005-0000-0000-000093380000}"/>
    <cellStyle name="Followed Hyperlink 3" xfId="10699" hidden="1" xr:uid="{00000000-0005-0000-0000-000094380000}"/>
    <cellStyle name="Followed Hyperlink 3" xfId="10701" hidden="1" xr:uid="{00000000-0005-0000-0000-000095380000}"/>
    <cellStyle name="Followed Hyperlink 3" xfId="10697" hidden="1" xr:uid="{00000000-0005-0000-0000-000096380000}"/>
    <cellStyle name="Followed Hyperlink 3" xfId="10696" hidden="1" xr:uid="{00000000-0005-0000-0000-000097380000}"/>
    <cellStyle name="Followed Hyperlink 3" xfId="10702" hidden="1" xr:uid="{00000000-0005-0000-0000-000098380000}"/>
    <cellStyle name="Followed Hyperlink 3" xfId="10705" hidden="1" xr:uid="{00000000-0005-0000-0000-000099380000}"/>
    <cellStyle name="Followed Hyperlink 3" xfId="10708" hidden="1" xr:uid="{00000000-0005-0000-0000-00009A380000}"/>
    <cellStyle name="Followed Hyperlink 3" xfId="10713" hidden="1" xr:uid="{00000000-0005-0000-0000-00009B380000}"/>
    <cellStyle name="Followed Hyperlink 3" xfId="10524" hidden="1" xr:uid="{00000000-0005-0000-0000-00009C380000}"/>
    <cellStyle name="Followed Hyperlink 3" xfId="10667" hidden="1" xr:uid="{00000000-0005-0000-0000-00009D380000}"/>
    <cellStyle name="Followed Hyperlink 3" xfId="10521" hidden="1" xr:uid="{00000000-0005-0000-0000-00009E380000}"/>
    <cellStyle name="Followed Hyperlink 3" xfId="10513" hidden="1" xr:uid="{00000000-0005-0000-0000-00009F380000}"/>
    <cellStyle name="Followed Hyperlink 3" xfId="10518" hidden="1" xr:uid="{00000000-0005-0000-0000-0000A0380000}"/>
    <cellStyle name="Followed Hyperlink 3" xfId="10718" hidden="1" xr:uid="{00000000-0005-0000-0000-0000A1380000}"/>
    <cellStyle name="Followed Hyperlink 3" xfId="10721" hidden="1" xr:uid="{00000000-0005-0000-0000-0000A2380000}"/>
    <cellStyle name="Followed Hyperlink 3" xfId="10726" hidden="1" xr:uid="{00000000-0005-0000-0000-0000A3380000}"/>
    <cellStyle name="Followed Hyperlink 3" xfId="10736" hidden="1" xr:uid="{00000000-0005-0000-0000-0000A4380000}"/>
    <cellStyle name="Followed Hyperlink 3" xfId="10738" hidden="1" xr:uid="{00000000-0005-0000-0000-0000A5380000}"/>
    <cellStyle name="Followed Hyperlink 3" xfId="10734" hidden="1" xr:uid="{00000000-0005-0000-0000-0000A6380000}"/>
    <cellStyle name="Followed Hyperlink 3" xfId="10733" hidden="1" xr:uid="{00000000-0005-0000-0000-0000A7380000}"/>
    <cellStyle name="Followed Hyperlink 3" xfId="10739" hidden="1" xr:uid="{00000000-0005-0000-0000-0000A8380000}"/>
    <cellStyle name="Followed Hyperlink 3" xfId="10742" hidden="1" xr:uid="{00000000-0005-0000-0000-0000A9380000}"/>
    <cellStyle name="Followed Hyperlink 3" xfId="10745" hidden="1" xr:uid="{00000000-0005-0000-0000-0000AA380000}"/>
    <cellStyle name="Followed Hyperlink 3" xfId="10750" hidden="1" xr:uid="{00000000-0005-0000-0000-0000AB380000}"/>
    <cellStyle name="Followed Hyperlink 3" xfId="10761" hidden="1" xr:uid="{00000000-0005-0000-0000-0000AC380000}"/>
    <cellStyle name="Followed Hyperlink 3" xfId="10763" hidden="1" xr:uid="{00000000-0005-0000-0000-0000AD380000}"/>
    <cellStyle name="Followed Hyperlink 3" xfId="10759" hidden="1" xr:uid="{00000000-0005-0000-0000-0000AE380000}"/>
    <cellStyle name="Followed Hyperlink 3" xfId="10758" hidden="1" xr:uid="{00000000-0005-0000-0000-0000AF380000}"/>
    <cellStyle name="Followed Hyperlink 3" xfId="10764" hidden="1" xr:uid="{00000000-0005-0000-0000-0000B0380000}"/>
    <cellStyle name="Followed Hyperlink 3" xfId="10767" hidden="1" xr:uid="{00000000-0005-0000-0000-0000B1380000}"/>
    <cellStyle name="Followed Hyperlink 3" xfId="10770" hidden="1" xr:uid="{00000000-0005-0000-0000-0000B2380000}"/>
    <cellStyle name="Followed Hyperlink 3" xfId="10775" hidden="1" xr:uid="{00000000-0005-0000-0000-0000B3380000}"/>
    <cellStyle name="Followed Hyperlink 3" xfId="10785" hidden="1" xr:uid="{00000000-0005-0000-0000-0000B4380000}"/>
    <cellStyle name="Followed Hyperlink 3" xfId="10787" hidden="1" xr:uid="{00000000-0005-0000-0000-0000B5380000}"/>
    <cellStyle name="Followed Hyperlink 3" xfId="10783" hidden="1" xr:uid="{00000000-0005-0000-0000-0000B6380000}"/>
    <cellStyle name="Followed Hyperlink 3" xfId="10782" hidden="1" xr:uid="{00000000-0005-0000-0000-0000B7380000}"/>
    <cellStyle name="Followed Hyperlink 3" xfId="10788" hidden="1" xr:uid="{00000000-0005-0000-0000-0000B8380000}"/>
    <cellStyle name="Followed Hyperlink 3" xfId="10791" hidden="1" xr:uid="{00000000-0005-0000-0000-0000B9380000}"/>
    <cellStyle name="Followed Hyperlink 3" xfId="10794" hidden="1" xr:uid="{00000000-0005-0000-0000-0000BA380000}"/>
    <cellStyle name="Followed Hyperlink 3" xfId="10799" hidden="1" xr:uid="{00000000-0005-0000-0000-0000BB380000}"/>
    <cellStyle name="Followed Hyperlink 3" xfId="10529" hidden="1" xr:uid="{00000000-0005-0000-0000-0000BC380000}"/>
    <cellStyle name="Followed Hyperlink 3" xfId="10753" hidden="1" xr:uid="{00000000-0005-0000-0000-0000BD380000}"/>
    <cellStyle name="Followed Hyperlink 3" xfId="10525" hidden="1" xr:uid="{00000000-0005-0000-0000-0000BE380000}"/>
    <cellStyle name="Followed Hyperlink 3" xfId="10530" hidden="1" xr:uid="{00000000-0005-0000-0000-0000BF380000}"/>
    <cellStyle name="Followed Hyperlink 3" xfId="10517" hidden="1" xr:uid="{00000000-0005-0000-0000-0000C0380000}"/>
    <cellStyle name="Followed Hyperlink 3" xfId="10804" hidden="1" xr:uid="{00000000-0005-0000-0000-0000C1380000}"/>
    <cellStyle name="Followed Hyperlink 3" xfId="10807" hidden="1" xr:uid="{00000000-0005-0000-0000-0000C2380000}"/>
    <cellStyle name="Followed Hyperlink 3" xfId="10812" hidden="1" xr:uid="{00000000-0005-0000-0000-0000C3380000}"/>
    <cellStyle name="Followed Hyperlink 3" xfId="10822" hidden="1" xr:uid="{00000000-0005-0000-0000-0000C4380000}"/>
    <cellStyle name="Followed Hyperlink 3" xfId="10824" hidden="1" xr:uid="{00000000-0005-0000-0000-0000C5380000}"/>
    <cellStyle name="Followed Hyperlink 3" xfId="10820" hidden="1" xr:uid="{00000000-0005-0000-0000-0000C6380000}"/>
    <cellStyle name="Followed Hyperlink 3" xfId="10819" hidden="1" xr:uid="{00000000-0005-0000-0000-0000C7380000}"/>
    <cellStyle name="Followed Hyperlink 3" xfId="10825" hidden="1" xr:uid="{00000000-0005-0000-0000-0000C8380000}"/>
    <cellStyle name="Followed Hyperlink 3" xfId="10828" hidden="1" xr:uid="{00000000-0005-0000-0000-0000C9380000}"/>
    <cellStyle name="Followed Hyperlink 3" xfId="10831" hidden="1" xr:uid="{00000000-0005-0000-0000-0000CA380000}"/>
    <cellStyle name="Followed Hyperlink 3" xfId="10836" hidden="1" xr:uid="{00000000-0005-0000-0000-0000CB380000}"/>
    <cellStyle name="Followed Hyperlink 3" xfId="10846" hidden="1" xr:uid="{00000000-0005-0000-0000-0000CC380000}"/>
    <cellStyle name="Followed Hyperlink 3" xfId="10848" hidden="1" xr:uid="{00000000-0005-0000-0000-0000CD380000}"/>
    <cellStyle name="Followed Hyperlink 3" xfId="10844" hidden="1" xr:uid="{00000000-0005-0000-0000-0000CE380000}"/>
    <cellStyle name="Followed Hyperlink 3" xfId="10843" hidden="1" xr:uid="{00000000-0005-0000-0000-0000CF380000}"/>
    <cellStyle name="Followed Hyperlink 3" xfId="10849" hidden="1" xr:uid="{00000000-0005-0000-0000-0000D0380000}"/>
    <cellStyle name="Followed Hyperlink 3" xfId="10852" hidden="1" xr:uid="{00000000-0005-0000-0000-0000D1380000}"/>
    <cellStyle name="Followed Hyperlink 3" xfId="10855" hidden="1" xr:uid="{00000000-0005-0000-0000-0000D2380000}"/>
    <cellStyle name="Followed Hyperlink 3" xfId="10860" hidden="1" xr:uid="{00000000-0005-0000-0000-0000D3380000}"/>
    <cellStyle name="Followed Hyperlink 3" xfId="10870" hidden="1" xr:uid="{00000000-0005-0000-0000-0000D4380000}"/>
    <cellStyle name="Followed Hyperlink 3" xfId="10872" hidden="1" xr:uid="{00000000-0005-0000-0000-0000D5380000}"/>
    <cellStyle name="Followed Hyperlink 3" xfId="10868" hidden="1" xr:uid="{00000000-0005-0000-0000-0000D6380000}"/>
    <cellStyle name="Followed Hyperlink 3" xfId="10867" hidden="1" xr:uid="{00000000-0005-0000-0000-0000D7380000}"/>
    <cellStyle name="Followed Hyperlink 3" xfId="10873" hidden="1" xr:uid="{00000000-0005-0000-0000-0000D8380000}"/>
    <cellStyle name="Followed Hyperlink 3" xfId="10876" hidden="1" xr:uid="{00000000-0005-0000-0000-0000D9380000}"/>
    <cellStyle name="Followed Hyperlink 3" xfId="10879" hidden="1" xr:uid="{00000000-0005-0000-0000-0000DA380000}"/>
    <cellStyle name="Followed Hyperlink 3" xfId="10884" hidden="1" xr:uid="{00000000-0005-0000-0000-0000DB380000}"/>
    <cellStyle name="Followed Hyperlink 3" xfId="8840" hidden="1" xr:uid="{00000000-0005-0000-0000-0000DC380000}"/>
    <cellStyle name="Followed Hyperlink 3" xfId="8917" hidden="1" xr:uid="{00000000-0005-0000-0000-0000DD380000}"/>
    <cellStyle name="Followed Hyperlink 3" xfId="8844" hidden="1" xr:uid="{00000000-0005-0000-0000-0000DE380000}"/>
    <cellStyle name="Followed Hyperlink 3" xfId="8845" hidden="1" xr:uid="{00000000-0005-0000-0000-0000DF380000}"/>
    <cellStyle name="Followed Hyperlink 3" xfId="8848" hidden="1" xr:uid="{00000000-0005-0000-0000-0000E0380000}"/>
    <cellStyle name="Followed Hyperlink 3" xfId="10889" hidden="1" xr:uid="{00000000-0005-0000-0000-0000E1380000}"/>
    <cellStyle name="Followed Hyperlink 3" xfId="10892" hidden="1" xr:uid="{00000000-0005-0000-0000-0000E2380000}"/>
    <cellStyle name="Followed Hyperlink 3" xfId="10897" hidden="1" xr:uid="{00000000-0005-0000-0000-0000E3380000}"/>
    <cellStyle name="Followed Hyperlink 3" xfId="10907" hidden="1" xr:uid="{00000000-0005-0000-0000-0000E4380000}"/>
    <cellStyle name="Followed Hyperlink 3" xfId="10909" hidden="1" xr:uid="{00000000-0005-0000-0000-0000E5380000}"/>
    <cellStyle name="Followed Hyperlink 3" xfId="10905" hidden="1" xr:uid="{00000000-0005-0000-0000-0000E6380000}"/>
    <cellStyle name="Followed Hyperlink 3" xfId="10904" hidden="1" xr:uid="{00000000-0005-0000-0000-0000E7380000}"/>
    <cellStyle name="Followed Hyperlink 3" xfId="10910" hidden="1" xr:uid="{00000000-0005-0000-0000-0000E8380000}"/>
    <cellStyle name="Followed Hyperlink 3" xfId="10913" hidden="1" xr:uid="{00000000-0005-0000-0000-0000E9380000}"/>
    <cellStyle name="Followed Hyperlink 3" xfId="10916" hidden="1" xr:uid="{00000000-0005-0000-0000-0000EA380000}"/>
    <cellStyle name="Followed Hyperlink 3" xfId="10921" hidden="1" xr:uid="{00000000-0005-0000-0000-0000EB380000}"/>
    <cellStyle name="Followed Hyperlink 3" xfId="10932" hidden="1" xr:uid="{00000000-0005-0000-0000-0000EC380000}"/>
    <cellStyle name="Followed Hyperlink 3" xfId="10934" hidden="1" xr:uid="{00000000-0005-0000-0000-0000ED380000}"/>
    <cellStyle name="Followed Hyperlink 3" xfId="10930" hidden="1" xr:uid="{00000000-0005-0000-0000-0000EE380000}"/>
    <cellStyle name="Followed Hyperlink 3" xfId="10929" hidden="1" xr:uid="{00000000-0005-0000-0000-0000EF380000}"/>
    <cellStyle name="Followed Hyperlink 3" xfId="10935" hidden="1" xr:uid="{00000000-0005-0000-0000-0000F0380000}"/>
    <cellStyle name="Followed Hyperlink 3" xfId="10938" hidden="1" xr:uid="{00000000-0005-0000-0000-0000F1380000}"/>
    <cellStyle name="Followed Hyperlink 3" xfId="10941" hidden="1" xr:uid="{00000000-0005-0000-0000-0000F2380000}"/>
    <cellStyle name="Followed Hyperlink 3" xfId="10946" hidden="1" xr:uid="{00000000-0005-0000-0000-0000F3380000}"/>
    <cellStyle name="Followed Hyperlink 3" xfId="10956" hidden="1" xr:uid="{00000000-0005-0000-0000-0000F4380000}"/>
    <cellStyle name="Followed Hyperlink 3" xfId="10958" hidden="1" xr:uid="{00000000-0005-0000-0000-0000F5380000}"/>
    <cellStyle name="Followed Hyperlink 3" xfId="10954" hidden="1" xr:uid="{00000000-0005-0000-0000-0000F6380000}"/>
    <cellStyle name="Followed Hyperlink 3" xfId="10953" hidden="1" xr:uid="{00000000-0005-0000-0000-0000F7380000}"/>
    <cellStyle name="Followed Hyperlink 3" xfId="10959" hidden="1" xr:uid="{00000000-0005-0000-0000-0000F8380000}"/>
    <cellStyle name="Followed Hyperlink 3" xfId="10962" hidden="1" xr:uid="{00000000-0005-0000-0000-0000F9380000}"/>
    <cellStyle name="Followed Hyperlink 3" xfId="10965" hidden="1" xr:uid="{00000000-0005-0000-0000-0000FA380000}"/>
    <cellStyle name="Followed Hyperlink 3" xfId="10970" hidden="1" xr:uid="{00000000-0005-0000-0000-0000FB380000}"/>
    <cellStyle name="Followed Hyperlink 3" xfId="11009" hidden="1" xr:uid="{00000000-0005-0000-0000-0000FC380000}"/>
    <cellStyle name="Followed Hyperlink 3" xfId="11011" hidden="1" xr:uid="{00000000-0005-0000-0000-0000FD380000}"/>
    <cellStyle name="Followed Hyperlink 3" xfId="11007" hidden="1" xr:uid="{00000000-0005-0000-0000-0000FE380000}"/>
    <cellStyle name="Followed Hyperlink 3" xfId="11006" hidden="1" xr:uid="{00000000-0005-0000-0000-0000FF380000}"/>
    <cellStyle name="Followed Hyperlink 3" xfId="11012" hidden="1" xr:uid="{00000000-0005-0000-0000-000000390000}"/>
    <cellStyle name="Followed Hyperlink 3" xfId="11015" hidden="1" xr:uid="{00000000-0005-0000-0000-000001390000}"/>
    <cellStyle name="Followed Hyperlink 3" xfId="11018" hidden="1" xr:uid="{00000000-0005-0000-0000-000002390000}"/>
    <cellStyle name="Followed Hyperlink 3" xfId="11023" hidden="1" xr:uid="{00000000-0005-0000-0000-000003390000}"/>
    <cellStyle name="Followed Hyperlink 3" xfId="11033" hidden="1" xr:uid="{00000000-0005-0000-0000-000004390000}"/>
    <cellStyle name="Followed Hyperlink 3" xfId="11035" hidden="1" xr:uid="{00000000-0005-0000-0000-000005390000}"/>
    <cellStyle name="Followed Hyperlink 3" xfId="11031" hidden="1" xr:uid="{00000000-0005-0000-0000-000006390000}"/>
    <cellStyle name="Followed Hyperlink 3" xfId="11030" hidden="1" xr:uid="{00000000-0005-0000-0000-000007390000}"/>
    <cellStyle name="Followed Hyperlink 3" xfId="11036" hidden="1" xr:uid="{00000000-0005-0000-0000-000008390000}"/>
    <cellStyle name="Followed Hyperlink 3" xfId="11039" hidden="1" xr:uid="{00000000-0005-0000-0000-000009390000}"/>
    <cellStyle name="Followed Hyperlink 3" xfId="11042" hidden="1" xr:uid="{00000000-0005-0000-0000-00000A390000}"/>
    <cellStyle name="Followed Hyperlink 3" xfId="11047" hidden="1" xr:uid="{00000000-0005-0000-0000-00000B390000}"/>
    <cellStyle name="Followed Hyperlink 3" xfId="11059" hidden="1" xr:uid="{00000000-0005-0000-0000-00000C390000}"/>
    <cellStyle name="Followed Hyperlink 3" xfId="11061" hidden="1" xr:uid="{00000000-0005-0000-0000-00000D390000}"/>
    <cellStyle name="Followed Hyperlink 3" xfId="11057" hidden="1" xr:uid="{00000000-0005-0000-0000-00000E390000}"/>
    <cellStyle name="Followed Hyperlink 3" xfId="11056" hidden="1" xr:uid="{00000000-0005-0000-0000-00000F390000}"/>
    <cellStyle name="Followed Hyperlink 3" xfId="11062" hidden="1" xr:uid="{00000000-0005-0000-0000-000010390000}"/>
    <cellStyle name="Followed Hyperlink 3" xfId="11065" hidden="1" xr:uid="{00000000-0005-0000-0000-000011390000}"/>
    <cellStyle name="Followed Hyperlink 3" xfId="11068" hidden="1" xr:uid="{00000000-0005-0000-0000-000012390000}"/>
    <cellStyle name="Followed Hyperlink 3" xfId="11073" hidden="1" xr:uid="{00000000-0005-0000-0000-000013390000}"/>
    <cellStyle name="Followed Hyperlink 3" xfId="11083" hidden="1" xr:uid="{00000000-0005-0000-0000-000014390000}"/>
    <cellStyle name="Followed Hyperlink 3" xfId="11085" hidden="1" xr:uid="{00000000-0005-0000-0000-000015390000}"/>
    <cellStyle name="Followed Hyperlink 3" xfId="11081" hidden="1" xr:uid="{00000000-0005-0000-0000-000016390000}"/>
    <cellStyle name="Followed Hyperlink 3" xfId="11080" hidden="1" xr:uid="{00000000-0005-0000-0000-000017390000}"/>
    <cellStyle name="Followed Hyperlink 3" xfId="11086" hidden="1" xr:uid="{00000000-0005-0000-0000-000018390000}"/>
    <cellStyle name="Followed Hyperlink 3" xfId="11089" hidden="1" xr:uid="{00000000-0005-0000-0000-000019390000}"/>
    <cellStyle name="Followed Hyperlink 3" xfId="11092" hidden="1" xr:uid="{00000000-0005-0000-0000-00001A390000}"/>
    <cellStyle name="Followed Hyperlink 3" xfId="11097" hidden="1" xr:uid="{00000000-0005-0000-0000-00001B390000}"/>
    <cellStyle name="Followed Hyperlink 3" xfId="11136" hidden="1" xr:uid="{00000000-0005-0000-0000-00001C390000}"/>
    <cellStyle name="Followed Hyperlink 3" xfId="11138" hidden="1" xr:uid="{00000000-0005-0000-0000-00001D390000}"/>
    <cellStyle name="Followed Hyperlink 3" xfId="11134" hidden="1" xr:uid="{00000000-0005-0000-0000-00001E390000}"/>
    <cellStyle name="Followed Hyperlink 3" xfId="11133" hidden="1" xr:uid="{00000000-0005-0000-0000-00001F390000}"/>
    <cellStyle name="Followed Hyperlink 3" xfId="11139" hidden="1" xr:uid="{00000000-0005-0000-0000-000020390000}"/>
    <cellStyle name="Followed Hyperlink 3" xfId="11142" hidden="1" xr:uid="{00000000-0005-0000-0000-000021390000}"/>
    <cellStyle name="Followed Hyperlink 3" xfId="11145" hidden="1" xr:uid="{00000000-0005-0000-0000-000022390000}"/>
    <cellStyle name="Followed Hyperlink 3" xfId="11150" hidden="1" xr:uid="{00000000-0005-0000-0000-000023390000}"/>
    <cellStyle name="Followed Hyperlink 3" xfId="11160" hidden="1" xr:uid="{00000000-0005-0000-0000-000024390000}"/>
    <cellStyle name="Followed Hyperlink 3" xfId="11162" hidden="1" xr:uid="{00000000-0005-0000-0000-000025390000}"/>
    <cellStyle name="Followed Hyperlink 3" xfId="11158" hidden="1" xr:uid="{00000000-0005-0000-0000-000026390000}"/>
    <cellStyle name="Followed Hyperlink 3" xfId="11157" hidden="1" xr:uid="{00000000-0005-0000-0000-000027390000}"/>
    <cellStyle name="Followed Hyperlink 3" xfId="11163" hidden="1" xr:uid="{00000000-0005-0000-0000-000028390000}"/>
    <cellStyle name="Followed Hyperlink 3" xfId="11166" hidden="1" xr:uid="{00000000-0005-0000-0000-000029390000}"/>
    <cellStyle name="Followed Hyperlink 3" xfId="11169" hidden="1" xr:uid="{00000000-0005-0000-0000-00002A390000}"/>
    <cellStyle name="Followed Hyperlink 3" xfId="11174" hidden="1" xr:uid="{00000000-0005-0000-0000-00002B390000}"/>
    <cellStyle name="Followed Hyperlink 3" xfId="11186" hidden="1" xr:uid="{00000000-0005-0000-0000-00002C390000}"/>
    <cellStyle name="Followed Hyperlink 3" xfId="11188" hidden="1" xr:uid="{00000000-0005-0000-0000-00002D390000}"/>
    <cellStyle name="Followed Hyperlink 3" xfId="11184" hidden="1" xr:uid="{00000000-0005-0000-0000-00002E390000}"/>
    <cellStyle name="Followed Hyperlink 3" xfId="11183" hidden="1" xr:uid="{00000000-0005-0000-0000-00002F390000}"/>
    <cellStyle name="Followed Hyperlink 3" xfId="11189" hidden="1" xr:uid="{00000000-0005-0000-0000-000030390000}"/>
    <cellStyle name="Followed Hyperlink 3" xfId="11192" hidden="1" xr:uid="{00000000-0005-0000-0000-000031390000}"/>
    <cellStyle name="Followed Hyperlink 3" xfId="11195" hidden="1" xr:uid="{00000000-0005-0000-0000-000032390000}"/>
    <cellStyle name="Followed Hyperlink 3" xfId="11200" hidden="1" xr:uid="{00000000-0005-0000-0000-000033390000}"/>
    <cellStyle name="Followed Hyperlink 3" xfId="11210" hidden="1" xr:uid="{00000000-0005-0000-0000-000034390000}"/>
    <cellStyle name="Followed Hyperlink 3" xfId="11212" hidden="1" xr:uid="{00000000-0005-0000-0000-000035390000}"/>
    <cellStyle name="Followed Hyperlink 3" xfId="11208" hidden="1" xr:uid="{00000000-0005-0000-0000-000036390000}"/>
    <cellStyle name="Followed Hyperlink 3" xfId="11207" hidden="1" xr:uid="{00000000-0005-0000-0000-000037390000}"/>
    <cellStyle name="Followed Hyperlink 3" xfId="11213" hidden="1" xr:uid="{00000000-0005-0000-0000-000038390000}"/>
    <cellStyle name="Followed Hyperlink 3" xfId="11216" hidden="1" xr:uid="{00000000-0005-0000-0000-000039390000}"/>
    <cellStyle name="Followed Hyperlink 3" xfId="11219" hidden="1" xr:uid="{00000000-0005-0000-0000-00003A390000}"/>
    <cellStyle name="Followed Hyperlink 3" xfId="11224" hidden="1" xr:uid="{00000000-0005-0000-0000-00003B390000}"/>
    <cellStyle name="Followed Hyperlink 3" xfId="11100" hidden="1" xr:uid="{00000000-0005-0000-0000-00003C390000}"/>
    <cellStyle name="Followed Hyperlink 3" xfId="11177" hidden="1" xr:uid="{00000000-0005-0000-0000-00003D390000}"/>
    <cellStyle name="Followed Hyperlink 3" xfId="11104" hidden="1" xr:uid="{00000000-0005-0000-0000-00003E390000}"/>
    <cellStyle name="Followed Hyperlink 3" xfId="11105" hidden="1" xr:uid="{00000000-0005-0000-0000-00003F390000}"/>
    <cellStyle name="Followed Hyperlink 3" xfId="11108" hidden="1" xr:uid="{00000000-0005-0000-0000-000040390000}"/>
    <cellStyle name="Followed Hyperlink 3" xfId="11229" hidden="1" xr:uid="{00000000-0005-0000-0000-000041390000}"/>
    <cellStyle name="Followed Hyperlink 3" xfId="11232" hidden="1" xr:uid="{00000000-0005-0000-0000-000042390000}"/>
    <cellStyle name="Followed Hyperlink 3" xfId="11237" hidden="1" xr:uid="{00000000-0005-0000-0000-000043390000}"/>
    <cellStyle name="Followed Hyperlink 3" xfId="11247" hidden="1" xr:uid="{00000000-0005-0000-0000-000044390000}"/>
    <cellStyle name="Followed Hyperlink 3" xfId="11249" hidden="1" xr:uid="{00000000-0005-0000-0000-000045390000}"/>
    <cellStyle name="Followed Hyperlink 3" xfId="11245" hidden="1" xr:uid="{00000000-0005-0000-0000-000046390000}"/>
    <cellStyle name="Followed Hyperlink 3" xfId="11244" hidden="1" xr:uid="{00000000-0005-0000-0000-000047390000}"/>
    <cellStyle name="Followed Hyperlink 3" xfId="11250" hidden="1" xr:uid="{00000000-0005-0000-0000-000048390000}"/>
    <cellStyle name="Followed Hyperlink 3" xfId="11253" hidden="1" xr:uid="{00000000-0005-0000-0000-000049390000}"/>
    <cellStyle name="Followed Hyperlink 3" xfId="11256" hidden="1" xr:uid="{00000000-0005-0000-0000-00004A390000}"/>
    <cellStyle name="Followed Hyperlink 3" xfId="11261" hidden="1" xr:uid="{00000000-0005-0000-0000-00004B390000}"/>
    <cellStyle name="Followed Hyperlink 3" xfId="11272" hidden="1" xr:uid="{00000000-0005-0000-0000-00004C390000}"/>
    <cellStyle name="Followed Hyperlink 3" xfId="11274" hidden="1" xr:uid="{00000000-0005-0000-0000-00004D390000}"/>
    <cellStyle name="Followed Hyperlink 3" xfId="11270" hidden="1" xr:uid="{00000000-0005-0000-0000-00004E390000}"/>
    <cellStyle name="Followed Hyperlink 3" xfId="11269" hidden="1" xr:uid="{00000000-0005-0000-0000-00004F390000}"/>
    <cellStyle name="Followed Hyperlink 3" xfId="11275" hidden="1" xr:uid="{00000000-0005-0000-0000-000050390000}"/>
    <cellStyle name="Followed Hyperlink 3" xfId="11278" hidden="1" xr:uid="{00000000-0005-0000-0000-000051390000}"/>
    <cellStyle name="Followed Hyperlink 3" xfId="11281" hidden="1" xr:uid="{00000000-0005-0000-0000-000052390000}"/>
    <cellStyle name="Followed Hyperlink 3" xfId="11286" hidden="1" xr:uid="{00000000-0005-0000-0000-000053390000}"/>
    <cellStyle name="Followed Hyperlink 3" xfId="11296" hidden="1" xr:uid="{00000000-0005-0000-0000-000054390000}"/>
    <cellStyle name="Followed Hyperlink 3" xfId="11298" hidden="1" xr:uid="{00000000-0005-0000-0000-000055390000}"/>
    <cellStyle name="Followed Hyperlink 3" xfId="11294" hidden="1" xr:uid="{00000000-0005-0000-0000-000056390000}"/>
    <cellStyle name="Followed Hyperlink 3" xfId="11293" hidden="1" xr:uid="{00000000-0005-0000-0000-000057390000}"/>
    <cellStyle name="Followed Hyperlink 3" xfId="11299" hidden="1" xr:uid="{00000000-0005-0000-0000-000058390000}"/>
    <cellStyle name="Followed Hyperlink 3" xfId="11302" hidden="1" xr:uid="{00000000-0005-0000-0000-000059390000}"/>
    <cellStyle name="Followed Hyperlink 3" xfId="11305" hidden="1" xr:uid="{00000000-0005-0000-0000-00005A390000}"/>
    <cellStyle name="Followed Hyperlink 3" xfId="11310" hidden="1" xr:uid="{00000000-0005-0000-0000-00005B390000}"/>
    <cellStyle name="Followed Hyperlink 3" xfId="11121" hidden="1" xr:uid="{00000000-0005-0000-0000-00005C390000}"/>
    <cellStyle name="Followed Hyperlink 3" xfId="11264" hidden="1" xr:uid="{00000000-0005-0000-0000-00005D390000}"/>
    <cellStyle name="Followed Hyperlink 3" xfId="11118" hidden="1" xr:uid="{00000000-0005-0000-0000-00005E390000}"/>
    <cellStyle name="Followed Hyperlink 3" xfId="11110" hidden="1" xr:uid="{00000000-0005-0000-0000-00005F390000}"/>
    <cellStyle name="Followed Hyperlink 3" xfId="11115" hidden="1" xr:uid="{00000000-0005-0000-0000-000060390000}"/>
    <cellStyle name="Followed Hyperlink 3" xfId="11315" hidden="1" xr:uid="{00000000-0005-0000-0000-000061390000}"/>
    <cellStyle name="Followed Hyperlink 3" xfId="11318" hidden="1" xr:uid="{00000000-0005-0000-0000-000062390000}"/>
    <cellStyle name="Followed Hyperlink 3" xfId="11323" hidden="1" xr:uid="{00000000-0005-0000-0000-000063390000}"/>
    <cellStyle name="Followed Hyperlink 3" xfId="11333" hidden="1" xr:uid="{00000000-0005-0000-0000-000064390000}"/>
    <cellStyle name="Followed Hyperlink 3" xfId="11335" hidden="1" xr:uid="{00000000-0005-0000-0000-000065390000}"/>
    <cellStyle name="Followed Hyperlink 3" xfId="11331" hidden="1" xr:uid="{00000000-0005-0000-0000-000066390000}"/>
    <cellStyle name="Followed Hyperlink 3" xfId="11330" hidden="1" xr:uid="{00000000-0005-0000-0000-000067390000}"/>
    <cellStyle name="Followed Hyperlink 3" xfId="11336" hidden="1" xr:uid="{00000000-0005-0000-0000-000068390000}"/>
    <cellStyle name="Followed Hyperlink 3" xfId="11339" hidden="1" xr:uid="{00000000-0005-0000-0000-000069390000}"/>
    <cellStyle name="Followed Hyperlink 3" xfId="11342" hidden="1" xr:uid="{00000000-0005-0000-0000-00006A390000}"/>
    <cellStyle name="Followed Hyperlink 3" xfId="11347" hidden="1" xr:uid="{00000000-0005-0000-0000-00006B390000}"/>
    <cellStyle name="Followed Hyperlink 3" xfId="11358" hidden="1" xr:uid="{00000000-0005-0000-0000-00006C390000}"/>
    <cellStyle name="Followed Hyperlink 3" xfId="11360" hidden="1" xr:uid="{00000000-0005-0000-0000-00006D390000}"/>
    <cellStyle name="Followed Hyperlink 3" xfId="11356" hidden="1" xr:uid="{00000000-0005-0000-0000-00006E390000}"/>
    <cellStyle name="Followed Hyperlink 3" xfId="11355" hidden="1" xr:uid="{00000000-0005-0000-0000-00006F390000}"/>
    <cellStyle name="Followed Hyperlink 3" xfId="11361" hidden="1" xr:uid="{00000000-0005-0000-0000-000070390000}"/>
    <cellStyle name="Followed Hyperlink 3" xfId="11364" hidden="1" xr:uid="{00000000-0005-0000-0000-000071390000}"/>
    <cellStyle name="Followed Hyperlink 3" xfId="11367" hidden="1" xr:uid="{00000000-0005-0000-0000-000072390000}"/>
    <cellStyle name="Followed Hyperlink 3" xfId="11372" hidden="1" xr:uid="{00000000-0005-0000-0000-000073390000}"/>
    <cellStyle name="Followed Hyperlink 3" xfId="11382" hidden="1" xr:uid="{00000000-0005-0000-0000-000074390000}"/>
    <cellStyle name="Followed Hyperlink 3" xfId="11384" hidden="1" xr:uid="{00000000-0005-0000-0000-000075390000}"/>
    <cellStyle name="Followed Hyperlink 3" xfId="11380" hidden="1" xr:uid="{00000000-0005-0000-0000-000076390000}"/>
    <cellStyle name="Followed Hyperlink 3" xfId="11379" hidden="1" xr:uid="{00000000-0005-0000-0000-000077390000}"/>
    <cellStyle name="Followed Hyperlink 3" xfId="11385" hidden="1" xr:uid="{00000000-0005-0000-0000-000078390000}"/>
    <cellStyle name="Followed Hyperlink 3" xfId="11388" hidden="1" xr:uid="{00000000-0005-0000-0000-000079390000}"/>
    <cellStyle name="Followed Hyperlink 3" xfId="11391" hidden="1" xr:uid="{00000000-0005-0000-0000-00007A390000}"/>
    <cellStyle name="Followed Hyperlink 3" xfId="11396" hidden="1" xr:uid="{00000000-0005-0000-0000-00007B390000}"/>
    <cellStyle name="Followed Hyperlink 3" xfId="11126" hidden="1" xr:uid="{00000000-0005-0000-0000-00007C390000}"/>
    <cellStyle name="Followed Hyperlink 3" xfId="11350" hidden="1" xr:uid="{00000000-0005-0000-0000-00007D390000}"/>
    <cellStyle name="Followed Hyperlink 3" xfId="11122" hidden="1" xr:uid="{00000000-0005-0000-0000-00007E390000}"/>
    <cellStyle name="Followed Hyperlink 3" xfId="11127" hidden="1" xr:uid="{00000000-0005-0000-0000-00007F390000}"/>
    <cellStyle name="Followed Hyperlink 3" xfId="11114" hidden="1" xr:uid="{00000000-0005-0000-0000-000080390000}"/>
    <cellStyle name="Followed Hyperlink 3" xfId="11401" hidden="1" xr:uid="{00000000-0005-0000-0000-000081390000}"/>
    <cellStyle name="Followed Hyperlink 3" xfId="11404" hidden="1" xr:uid="{00000000-0005-0000-0000-000082390000}"/>
    <cellStyle name="Followed Hyperlink 3" xfId="11409" hidden="1" xr:uid="{00000000-0005-0000-0000-000083390000}"/>
    <cellStyle name="Followed Hyperlink 3" xfId="11419" hidden="1" xr:uid="{00000000-0005-0000-0000-000084390000}"/>
    <cellStyle name="Followed Hyperlink 3" xfId="11421" hidden="1" xr:uid="{00000000-0005-0000-0000-000085390000}"/>
    <cellStyle name="Followed Hyperlink 3" xfId="11417" hidden="1" xr:uid="{00000000-0005-0000-0000-000086390000}"/>
    <cellStyle name="Followed Hyperlink 3" xfId="11416" hidden="1" xr:uid="{00000000-0005-0000-0000-000087390000}"/>
    <cellStyle name="Followed Hyperlink 3" xfId="11422" hidden="1" xr:uid="{00000000-0005-0000-0000-000088390000}"/>
    <cellStyle name="Followed Hyperlink 3" xfId="11425" hidden="1" xr:uid="{00000000-0005-0000-0000-000089390000}"/>
    <cellStyle name="Followed Hyperlink 3" xfId="11428" hidden="1" xr:uid="{00000000-0005-0000-0000-00008A390000}"/>
    <cellStyle name="Followed Hyperlink 3" xfId="11433" hidden="1" xr:uid="{00000000-0005-0000-0000-00008B390000}"/>
    <cellStyle name="Followed Hyperlink 3" xfId="11443" hidden="1" xr:uid="{00000000-0005-0000-0000-00008C390000}"/>
    <cellStyle name="Followed Hyperlink 3" xfId="11445" hidden="1" xr:uid="{00000000-0005-0000-0000-00008D390000}"/>
    <cellStyle name="Followed Hyperlink 3" xfId="11441" hidden="1" xr:uid="{00000000-0005-0000-0000-00008E390000}"/>
    <cellStyle name="Followed Hyperlink 3" xfId="11440" hidden="1" xr:uid="{00000000-0005-0000-0000-00008F390000}"/>
    <cellStyle name="Followed Hyperlink 3" xfId="11446" hidden="1" xr:uid="{00000000-0005-0000-0000-000090390000}"/>
    <cellStyle name="Followed Hyperlink 3" xfId="11449" hidden="1" xr:uid="{00000000-0005-0000-0000-000091390000}"/>
    <cellStyle name="Followed Hyperlink 3" xfId="11452" hidden="1" xr:uid="{00000000-0005-0000-0000-000092390000}"/>
    <cellStyle name="Followed Hyperlink 3" xfId="11457" hidden="1" xr:uid="{00000000-0005-0000-0000-000093390000}"/>
    <cellStyle name="Followed Hyperlink 3" xfId="11467" hidden="1" xr:uid="{00000000-0005-0000-0000-000094390000}"/>
    <cellStyle name="Followed Hyperlink 3" xfId="11469" hidden="1" xr:uid="{00000000-0005-0000-0000-000095390000}"/>
    <cellStyle name="Followed Hyperlink 3" xfId="11465" hidden="1" xr:uid="{00000000-0005-0000-0000-000096390000}"/>
    <cellStyle name="Followed Hyperlink 3" xfId="11464" hidden="1" xr:uid="{00000000-0005-0000-0000-000097390000}"/>
    <cellStyle name="Followed Hyperlink 3" xfId="11470" hidden="1" xr:uid="{00000000-0005-0000-0000-000098390000}"/>
    <cellStyle name="Followed Hyperlink 3" xfId="11473" hidden="1" xr:uid="{00000000-0005-0000-0000-000099390000}"/>
    <cellStyle name="Followed Hyperlink 3" xfId="11476" hidden="1" xr:uid="{00000000-0005-0000-0000-00009A390000}"/>
    <cellStyle name="Followed Hyperlink 3" xfId="11481" hidden="1" xr:uid="{00000000-0005-0000-0000-00009B390000}"/>
    <cellStyle name="Followed Hyperlink 3" xfId="10973" hidden="1" xr:uid="{00000000-0005-0000-0000-00009C390000}"/>
    <cellStyle name="Followed Hyperlink 3" xfId="11050" hidden="1" xr:uid="{00000000-0005-0000-0000-00009D390000}"/>
    <cellStyle name="Followed Hyperlink 3" xfId="10977" hidden="1" xr:uid="{00000000-0005-0000-0000-00009E390000}"/>
    <cellStyle name="Followed Hyperlink 3" xfId="10978" hidden="1" xr:uid="{00000000-0005-0000-0000-00009F390000}"/>
    <cellStyle name="Followed Hyperlink 3" xfId="10981" hidden="1" xr:uid="{00000000-0005-0000-0000-0000A0390000}"/>
    <cellStyle name="Followed Hyperlink 3" xfId="11486" hidden="1" xr:uid="{00000000-0005-0000-0000-0000A1390000}"/>
    <cellStyle name="Followed Hyperlink 3" xfId="11489" hidden="1" xr:uid="{00000000-0005-0000-0000-0000A2390000}"/>
    <cellStyle name="Followed Hyperlink 3" xfId="11494" hidden="1" xr:uid="{00000000-0005-0000-0000-0000A3390000}"/>
    <cellStyle name="Followed Hyperlink 3" xfId="11504" hidden="1" xr:uid="{00000000-0005-0000-0000-0000A4390000}"/>
    <cellStyle name="Followed Hyperlink 3" xfId="11506" hidden="1" xr:uid="{00000000-0005-0000-0000-0000A5390000}"/>
    <cellStyle name="Followed Hyperlink 3" xfId="11502" hidden="1" xr:uid="{00000000-0005-0000-0000-0000A6390000}"/>
    <cellStyle name="Followed Hyperlink 3" xfId="11501" hidden="1" xr:uid="{00000000-0005-0000-0000-0000A7390000}"/>
    <cellStyle name="Followed Hyperlink 3" xfId="11507" hidden="1" xr:uid="{00000000-0005-0000-0000-0000A8390000}"/>
    <cellStyle name="Followed Hyperlink 3" xfId="11510" hidden="1" xr:uid="{00000000-0005-0000-0000-0000A9390000}"/>
    <cellStyle name="Followed Hyperlink 3" xfId="11513" hidden="1" xr:uid="{00000000-0005-0000-0000-0000AA390000}"/>
    <cellStyle name="Followed Hyperlink 3" xfId="11518" hidden="1" xr:uid="{00000000-0005-0000-0000-0000AB390000}"/>
    <cellStyle name="Followed Hyperlink 3" xfId="11529" hidden="1" xr:uid="{00000000-0005-0000-0000-0000AC390000}"/>
    <cellStyle name="Followed Hyperlink 3" xfId="11531" hidden="1" xr:uid="{00000000-0005-0000-0000-0000AD390000}"/>
    <cellStyle name="Followed Hyperlink 3" xfId="11527" hidden="1" xr:uid="{00000000-0005-0000-0000-0000AE390000}"/>
    <cellStyle name="Followed Hyperlink 3" xfId="11526" hidden="1" xr:uid="{00000000-0005-0000-0000-0000AF390000}"/>
    <cellStyle name="Followed Hyperlink 3" xfId="11532" hidden="1" xr:uid="{00000000-0005-0000-0000-0000B0390000}"/>
    <cellStyle name="Followed Hyperlink 3" xfId="11535" hidden="1" xr:uid="{00000000-0005-0000-0000-0000B1390000}"/>
    <cellStyle name="Followed Hyperlink 3" xfId="11538" hidden="1" xr:uid="{00000000-0005-0000-0000-0000B2390000}"/>
    <cellStyle name="Followed Hyperlink 3" xfId="11543" hidden="1" xr:uid="{00000000-0005-0000-0000-0000B3390000}"/>
    <cellStyle name="Followed Hyperlink 3" xfId="11553" hidden="1" xr:uid="{00000000-0005-0000-0000-0000B4390000}"/>
    <cellStyle name="Followed Hyperlink 3" xfId="11555" hidden="1" xr:uid="{00000000-0005-0000-0000-0000B5390000}"/>
    <cellStyle name="Followed Hyperlink 3" xfId="11551" hidden="1" xr:uid="{00000000-0005-0000-0000-0000B6390000}"/>
    <cellStyle name="Followed Hyperlink 3" xfId="11550" hidden="1" xr:uid="{00000000-0005-0000-0000-0000B7390000}"/>
    <cellStyle name="Followed Hyperlink 3" xfId="11556" hidden="1" xr:uid="{00000000-0005-0000-0000-0000B8390000}"/>
    <cellStyle name="Followed Hyperlink 3" xfId="11559" hidden="1" xr:uid="{00000000-0005-0000-0000-0000B9390000}"/>
    <cellStyle name="Followed Hyperlink 3" xfId="11562" hidden="1" xr:uid="{00000000-0005-0000-0000-0000BA390000}"/>
    <cellStyle name="Followed Hyperlink 3" xfId="11567" hidden="1" xr:uid="{00000000-0005-0000-0000-0000BB390000}"/>
    <cellStyle name="Followed Hyperlink 3" xfId="11606" hidden="1" xr:uid="{00000000-0005-0000-0000-0000BC390000}"/>
    <cellStyle name="Followed Hyperlink 3" xfId="11608" hidden="1" xr:uid="{00000000-0005-0000-0000-0000BD390000}"/>
    <cellStyle name="Followed Hyperlink 3" xfId="11604" hidden="1" xr:uid="{00000000-0005-0000-0000-0000BE390000}"/>
    <cellStyle name="Followed Hyperlink 3" xfId="11603" hidden="1" xr:uid="{00000000-0005-0000-0000-0000BF390000}"/>
    <cellStyle name="Followed Hyperlink 3" xfId="11609" hidden="1" xr:uid="{00000000-0005-0000-0000-0000C0390000}"/>
    <cellStyle name="Followed Hyperlink 3" xfId="11612" hidden="1" xr:uid="{00000000-0005-0000-0000-0000C1390000}"/>
    <cellStyle name="Followed Hyperlink 3" xfId="11615" hidden="1" xr:uid="{00000000-0005-0000-0000-0000C2390000}"/>
    <cellStyle name="Followed Hyperlink 3" xfId="11620" hidden="1" xr:uid="{00000000-0005-0000-0000-0000C3390000}"/>
    <cellStyle name="Followed Hyperlink 3" xfId="11630" hidden="1" xr:uid="{00000000-0005-0000-0000-0000C4390000}"/>
    <cellStyle name="Followed Hyperlink 3" xfId="11632" hidden="1" xr:uid="{00000000-0005-0000-0000-0000C5390000}"/>
    <cellStyle name="Followed Hyperlink 3" xfId="11628" hidden="1" xr:uid="{00000000-0005-0000-0000-0000C6390000}"/>
    <cellStyle name="Followed Hyperlink 3" xfId="11627" hidden="1" xr:uid="{00000000-0005-0000-0000-0000C7390000}"/>
    <cellStyle name="Followed Hyperlink 3" xfId="11633" hidden="1" xr:uid="{00000000-0005-0000-0000-0000C8390000}"/>
    <cellStyle name="Followed Hyperlink 3" xfId="11636" hidden="1" xr:uid="{00000000-0005-0000-0000-0000C9390000}"/>
    <cellStyle name="Followed Hyperlink 3" xfId="11639" hidden="1" xr:uid="{00000000-0005-0000-0000-0000CA390000}"/>
    <cellStyle name="Followed Hyperlink 3" xfId="11644" hidden="1" xr:uid="{00000000-0005-0000-0000-0000CB390000}"/>
    <cellStyle name="Followed Hyperlink 3" xfId="11656" hidden="1" xr:uid="{00000000-0005-0000-0000-0000CC390000}"/>
    <cellStyle name="Followed Hyperlink 3" xfId="11658" hidden="1" xr:uid="{00000000-0005-0000-0000-0000CD390000}"/>
    <cellStyle name="Followed Hyperlink 3" xfId="11654" hidden="1" xr:uid="{00000000-0005-0000-0000-0000CE390000}"/>
    <cellStyle name="Followed Hyperlink 3" xfId="11653" hidden="1" xr:uid="{00000000-0005-0000-0000-0000CF390000}"/>
    <cellStyle name="Followed Hyperlink 3" xfId="11659" hidden="1" xr:uid="{00000000-0005-0000-0000-0000D0390000}"/>
    <cellStyle name="Followed Hyperlink 3" xfId="11662" hidden="1" xr:uid="{00000000-0005-0000-0000-0000D1390000}"/>
    <cellStyle name="Followed Hyperlink 3" xfId="11665" hidden="1" xr:uid="{00000000-0005-0000-0000-0000D2390000}"/>
    <cellStyle name="Followed Hyperlink 3" xfId="11670" hidden="1" xr:uid="{00000000-0005-0000-0000-0000D3390000}"/>
    <cellStyle name="Followed Hyperlink 3" xfId="11680" hidden="1" xr:uid="{00000000-0005-0000-0000-0000D4390000}"/>
    <cellStyle name="Followed Hyperlink 3" xfId="11682" hidden="1" xr:uid="{00000000-0005-0000-0000-0000D5390000}"/>
    <cellStyle name="Followed Hyperlink 3" xfId="11678" hidden="1" xr:uid="{00000000-0005-0000-0000-0000D6390000}"/>
    <cellStyle name="Followed Hyperlink 3" xfId="11677" hidden="1" xr:uid="{00000000-0005-0000-0000-0000D7390000}"/>
    <cellStyle name="Followed Hyperlink 3" xfId="11683" hidden="1" xr:uid="{00000000-0005-0000-0000-0000D8390000}"/>
    <cellStyle name="Followed Hyperlink 3" xfId="11686" hidden="1" xr:uid="{00000000-0005-0000-0000-0000D9390000}"/>
    <cellStyle name="Followed Hyperlink 3" xfId="11689" hidden="1" xr:uid="{00000000-0005-0000-0000-0000DA390000}"/>
    <cellStyle name="Followed Hyperlink 3" xfId="11694" hidden="1" xr:uid="{00000000-0005-0000-0000-0000DB390000}"/>
    <cellStyle name="Followed Hyperlink 3" xfId="11570" hidden="1" xr:uid="{00000000-0005-0000-0000-0000DC390000}"/>
    <cellStyle name="Followed Hyperlink 3" xfId="11647" hidden="1" xr:uid="{00000000-0005-0000-0000-0000DD390000}"/>
    <cellStyle name="Followed Hyperlink 3" xfId="11574" hidden="1" xr:uid="{00000000-0005-0000-0000-0000DE390000}"/>
    <cellStyle name="Followed Hyperlink 3" xfId="11575" hidden="1" xr:uid="{00000000-0005-0000-0000-0000DF390000}"/>
    <cellStyle name="Followed Hyperlink 3" xfId="11578" hidden="1" xr:uid="{00000000-0005-0000-0000-0000E0390000}"/>
    <cellStyle name="Followed Hyperlink 3" xfId="11699" hidden="1" xr:uid="{00000000-0005-0000-0000-0000E1390000}"/>
    <cellStyle name="Followed Hyperlink 3" xfId="11702" hidden="1" xr:uid="{00000000-0005-0000-0000-0000E2390000}"/>
    <cellStyle name="Followed Hyperlink 3" xfId="11707" hidden="1" xr:uid="{00000000-0005-0000-0000-0000E3390000}"/>
    <cellStyle name="Followed Hyperlink 3" xfId="11717" hidden="1" xr:uid="{00000000-0005-0000-0000-0000E4390000}"/>
    <cellStyle name="Followed Hyperlink 3" xfId="11719" hidden="1" xr:uid="{00000000-0005-0000-0000-0000E5390000}"/>
    <cellStyle name="Followed Hyperlink 3" xfId="11715" hidden="1" xr:uid="{00000000-0005-0000-0000-0000E6390000}"/>
    <cellStyle name="Followed Hyperlink 3" xfId="11714" hidden="1" xr:uid="{00000000-0005-0000-0000-0000E7390000}"/>
    <cellStyle name="Followed Hyperlink 3" xfId="11720" hidden="1" xr:uid="{00000000-0005-0000-0000-0000E8390000}"/>
    <cellStyle name="Followed Hyperlink 3" xfId="11723" hidden="1" xr:uid="{00000000-0005-0000-0000-0000E9390000}"/>
    <cellStyle name="Followed Hyperlink 3" xfId="11726" hidden="1" xr:uid="{00000000-0005-0000-0000-0000EA390000}"/>
    <cellStyle name="Followed Hyperlink 3" xfId="11731" hidden="1" xr:uid="{00000000-0005-0000-0000-0000EB390000}"/>
    <cellStyle name="Followed Hyperlink 3" xfId="11742" hidden="1" xr:uid="{00000000-0005-0000-0000-0000EC390000}"/>
    <cellStyle name="Followed Hyperlink 3" xfId="11744" hidden="1" xr:uid="{00000000-0005-0000-0000-0000ED390000}"/>
    <cellStyle name="Followed Hyperlink 3" xfId="11740" hidden="1" xr:uid="{00000000-0005-0000-0000-0000EE390000}"/>
    <cellStyle name="Followed Hyperlink 3" xfId="11739" hidden="1" xr:uid="{00000000-0005-0000-0000-0000EF390000}"/>
    <cellStyle name="Followed Hyperlink 3" xfId="11745" hidden="1" xr:uid="{00000000-0005-0000-0000-0000F0390000}"/>
    <cellStyle name="Followed Hyperlink 3" xfId="11748" hidden="1" xr:uid="{00000000-0005-0000-0000-0000F1390000}"/>
    <cellStyle name="Followed Hyperlink 3" xfId="11751" hidden="1" xr:uid="{00000000-0005-0000-0000-0000F2390000}"/>
    <cellStyle name="Followed Hyperlink 3" xfId="11756" hidden="1" xr:uid="{00000000-0005-0000-0000-0000F3390000}"/>
    <cellStyle name="Followed Hyperlink 3" xfId="11766" hidden="1" xr:uid="{00000000-0005-0000-0000-0000F4390000}"/>
    <cellStyle name="Followed Hyperlink 3" xfId="11768" hidden="1" xr:uid="{00000000-0005-0000-0000-0000F5390000}"/>
    <cellStyle name="Followed Hyperlink 3" xfId="11764" hidden="1" xr:uid="{00000000-0005-0000-0000-0000F6390000}"/>
    <cellStyle name="Followed Hyperlink 3" xfId="11763" hidden="1" xr:uid="{00000000-0005-0000-0000-0000F7390000}"/>
    <cellStyle name="Followed Hyperlink 3" xfId="11769" hidden="1" xr:uid="{00000000-0005-0000-0000-0000F8390000}"/>
    <cellStyle name="Followed Hyperlink 3" xfId="11772" hidden="1" xr:uid="{00000000-0005-0000-0000-0000F9390000}"/>
    <cellStyle name="Followed Hyperlink 3" xfId="11775" hidden="1" xr:uid="{00000000-0005-0000-0000-0000FA390000}"/>
    <cellStyle name="Followed Hyperlink 3" xfId="11780" hidden="1" xr:uid="{00000000-0005-0000-0000-0000FB390000}"/>
    <cellStyle name="Followed Hyperlink 3" xfId="11591" hidden="1" xr:uid="{00000000-0005-0000-0000-0000FC390000}"/>
    <cellStyle name="Followed Hyperlink 3" xfId="11734" hidden="1" xr:uid="{00000000-0005-0000-0000-0000FD390000}"/>
    <cellStyle name="Followed Hyperlink 3" xfId="11588" hidden="1" xr:uid="{00000000-0005-0000-0000-0000FE390000}"/>
    <cellStyle name="Followed Hyperlink 3" xfId="11580" hidden="1" xr:uid="{00000000-0005-0000-0000-0000FF390000}"/>
    <cellStyle name="Followed Hyperlink 3" xfId="11585" hidden="1" xr:uid="{00000000-0005-0000-0000-0000003A0000}"/>
    <cellStyle name="Followed Hyperlink 3" xfId="11785" hidden="1" xr:uid="{00000000-0005-0000-0000-0000013A0000}"/>
    <cellStyle name="Followed Hyperlink 3" xfId="11788" hidden="1" xr:uid="{00000000-0005-0000-0000-0000023A0000}"/>
    <cellStyle name="Followed Hyperlink 3" xfId="11793" hidden="1" xr:uid="{00000000-0005-0000-0000-0000033A0000}"/>
    <cellStyle name="Followed Hyperlink 3" xfId="11803" hidden="1" xr:uid="{00000000-0005-0000-0000-0000043A0000}"/>
    <cellStyle name="Followed Hyperlink 3" xfId="11805" hidden="1" xr:uid="{00000000-0005-0000-0000-0000053A0000}"/>
    <cellStyle name="Followed Hyperlink 3" xfId="11801" hidden="1" xr:uid="{00000000-0005-0000-0000-0000063A0000}"/>
    <cellStyle name="Followed Hyperlink 3" xfId="11800" hidden="1" xr:uid="{00000000-0005-0000-0000-0000073A0000}"/>
    <cellStyle name="Followed Hyperlink 3" xfId="11806" hidden="1" xr:uid="{00000000-0005-0000-0000-0000083A0000}"/>
    <cellStyle name="Followed Hyperlink 3" xfId="11809" hidden="1" xr:uid="{00000000-0005-0000-0000-0000093A0000}"/>
    <cellStyle name="Followed Hyperlink 3" xfId="11812" hidden="1" xr:uid="{00000000-0005-0000-0000-00000A3A0000}"/>
    <cellStyle name="Followed Hyperlink 3" xfId="11817" hidden="1" xr:uid="{00000000-0005-0000-0000-00000B3A0000}"/>
    <cellStyle name="Followed Hyperlink 3" xfId="11828" hidden="1" xr:uid="{00000000-0005-0000-0000-00000C3A0000}"/>
    <cellStyle name="Followed Hyperlink 3" xfId="11830" hidden="1" xr:uid="{00000000-0005-0000-0000-00000D3A0000}"/>
    <cellStyle name="Followed Hyperlink 3" xfId="11826" hidden="1" xr:uid="{00000000-0005-0000-0000-00000E3A0000}"/>
    <cellStyle name="Followed Hyperlink 3" xfId="11825" hidden="1" xr:uid="{00000000-0005-0000-0000-00000F3A0000}"/>
    <cellStyle name="Followed Hyperlink 3" xfId="11831" hidden="1" xr:uid="{00000000-0005-0000-0000-0000103A0000}"/>
    <cellStyle name="Followed Hyperlink 3" xfId="11834" hidden="1" xr:uid="{00000000-0005-0000-0000-0000113A0000}"/>
    <cellStyle name="Followed Hyperlink 3" xfId="11837" hidden="1" xr:uid="{00000000-0005-0000-0000-0000123A0000}"/>
    <cellStyle name="Followed Hyperlink 3" xfId="11842" hidden="1" xr:uid="{00000000-0005-0000-0000-0000133A0000}"/>
    <cellStyle name="Followed Hyperlink 3" xfId="11852" hidden="1" xr:uid="{00000000-0005-0000-0000-0000143A0000}"/>
    <cellStyle name="Followed Hyperlink 3" xfId="11854" hidden="1" xr:uid="{00000000-0005-0000-0000-0000153A0000}"/>
    <cellStyle name="Followed Hyperlink 3" xfId="11850" hidden="1" xr:uid="{00000000-0005-0000-0000-0000163A0000}"/>
    <cellStyle name="Followed Hyperlink 3" xfId="11849" hidden="1" xr:uid="{00000000-0005-0000-0000-0000173A0000}"/>
    <cellStyle name="Followed Hyperlink 3" xfId="11855" hidden="1" xr:uid="{00000000-0005-0000-0000-0000183A0000}"/>
    <cellStyle name="Followed Hyperlink 3" xfId="11858" hidden="1" xr:uid="{00000000-0005-0000-0000-0000193A0000}"/>
    <cellStyle name="Followed Hyperlink 3" xfId="11861" hidden="1" xr:uid="{00000000-0005-0000-0000-00001A3A0000}"/>
    <cellStyle name="Followed Hyperlink 3" xfId="11866" hidden="1" xr:uid="{00000000-0005-0000-0000-00001B3A0000}"/>
    <cellStyle name="Followed Hyperlink 3" xfId="11596" hidden="1" xr:uid="{00000000-0005-0000-0000-00001C3A0000}"/>
    <cellStyle name="Followed Hyperlink 3" xfId="11820" hidden="1" xr:uid="{00000000-0005-0000-0000-00001D3A0000}"/>
    <cellStyle name="Followed Hyperlink 3" xfId="11592" hidden="1" xr:uid="{00000000-0005-0000-0000-00001E3A0000}"/>
    <cellStyle name="Followed Hyperlink 3" xfId="11597" hidden="1" xr:uid="{00000000-0005-0000-0000-00001F3A0000}"/>
    <cellStyle name="Followed Hyperlink 3" xfId="11584" hidden="1" xr:uid="{00000000-0005-0000-0000-0000203A0000}"/>
    <cellStyle name="Followed Hyperlink 3" xfId="11871" hidden="1" xr:uid="{00000000-0005-0000-0000-0000213A0000}"/>
    <cellStyle name="Followed Hyperlink 3" xfId="11874" hidden="1" xr:uid="{00000000-0005-0000-0000-0000223A0000}"/>
    <cellStyle name="Followed Hyperlink 3" xfId="11879" hidden="1" xr:uid="{00000000-0005-0000-0000-0000233A0000}"/>
    <cellStyle name="Followed Hyperlink 3" xfId="11889" hidden="1" xr:uid="{00000000-0005-0000-0000-0000243A0000}"/>
    <cellStyle name="Followed Hyperlink 3" xfId="11891" hidden="1" xr:uid="{00000000-0005-0000-0000-0000253A0000}"/>
    <cellStyle name="Followed Hyperlink 3" xfId="11887" hidden="1" xr:uid="{00000000-0005-0000-0000-0000263A0000}"/>
    <cellStyle name="Followed Hyperlink 3" xfId="11886" hidden="1" xr:uid="{00000000-0005-0000-0000-0000273A0000}"/>
    <cellStyle name="Followed Hyperlink 3" xfId="11892" hidden="1" xr:uid="{00000000-0005-0000-0000-0000283A0000}"/>
    <cellStyle name="Followed Hyperlink 3" xfId="11895" hidden="1" xr:uid="{00000000-0005-0000-0000-0000293A0000}"/>
    <cellStyle name="Followed Hyperlink 3" xfId="11898" hidden="1" xr:uid="{00000000-0005-0000-0000-00002A3A0000}"/>
    <cellStyle name="Followed Hyperlink 3" xfId="11903" hidden="1" xr:uid="{00000000-0005-0000-0000-00002B3A0000}"/>
    <cellStyle name="Followed Hyperlink 3" xfId="11913" hidden="1" xr:uid="{00000000-0005-0000-0000-00002C3A0000}"/>
    <cellStyle name="Followed Hyperlink 3" xfId="11915" hidden="1" xr:uid="{00000000-0005-0000-0000-00002D3A0000}"/>
    <cellStyle name="Followed Hyperlink 3" xfId="11911" hidden="1" xr:uid="{00000000-0005-0000-0000-00002E3A0000}"/>
    <cellStyle name="Followed Hyperlink 3" xfId="11910" hidden="1" xr:uid="{00000000-0005-0000-0000-00002F3A0000}"/>
    <cellStyle name="Followed Hyperlink 3" xfId="11916" hidden="1" xr:uid="{00000000-0005-0000-0000-0000303A0000}"/>
    <cellStyle name="Followed Hyperlink 3" xfId="11919" hidden="1" xr:uid="{00000000-0005-0000-0000-0000313A0000}"/>
    <cellStyle name="Followed Hyperlink 3" xfId="11922" hidden="1" xr:uid="{00000000-0005-0000-0000-0000323A0000}"/>
    <cellStyle name="Followed Hyperlink 3" xfId="11927" hidden="1" xr:uid="{00000000-0005-0000-0000-0000333A0000}"/>
    <cellStyle name="Followed Hyperlink 3" xfId="11937" hidden="1" xr:uid="{00000000-0005-0000-0000-0000343A0000}"/>
    <cellStyle name="Followed Hyperlink 3" xfId="11939" hidden="1" xr:uid="{00000000-0005-0000-0000-0000353A0000}"/>
    <cellStyle name="Followed Hyperlink 3" xfId="11935" hidden="1" xr:uid="{00000000-0005-0000-0000-0000363A0000}"/>
    <cellStyle name="Followed Hyperlink 3" xfId="11934" hidden="1" xr:uid="{00000000-0005-0000-0000-0000373A0000}"/>
    <cellStyle name="Followed Hyperlink 3" xfId="11940" hidden="1" xr:uid="{00000000-0005-0000-0000-0000383A0000}"/>
    <cellStyle name="Followed Hyperlink 3" xfId="11943" hidden="1" xr:uid="{00000000-0005-0000-0000-0000393A0000}"/>
    <cellStyle name="Followed Hyperlink 3" xfId="11946" hidden="1" xr:uid="{00000000-0005-0000-0000-00003A3A0000}"/>
    <cellStyle name="Followed Hyperlink 3" xfId="11951" hidden="1" xr:uid="{00000000-0005-0000-0000-00003B3A0000}"/>
    <cellStyle name="Followed Hyperlink 3" xfId="10994" hidden="1" xr:uid="{00000000-0005-0000-0000-00003C3A0000}"/>
    <cellStyle name="Followed Hyperlink 3" xfId="11521" hidden="1" xr:uid="{00000000-0005-0000-0000-00003D3A0000}"/>
    <cellStyle name="Followed Hyperlink 3" xfId="10991" hidden="1" xr:uid="{00000000-0005-0000-0000-00003E3A0000}"/>
    <cellStyle name="Followed Hyperlink 3" xfId="10983" hidden="1" xr:uid="{00000000-0005-0000-0000-00003F3A0000}"/>
    <cellStyle name="Followed Hyperlink 3" xfId="10988" hidden="1" xr:uid="{00000000-0005-0000-0000-0000403A0000}"/>
    <cellStyle name="Followed Hyperlink 3" xfId="11956" hidden="1" xr:uid="{00000000-0005-0000-0000-0000413A0000}"/>
    <cellStyle name="Followed Hyperlink 3" xfId="11959" hidden="1" xr:uid="{00000000-0005-0000-0000-0000423A0000}"/>
    <cellStyle name="Followed Hyperlink 3" xfId="11964" hidden="1" xr:uid="{00000000-0005-0000-0000-0000433A0000}"/>
    <cellStyle name="Followed Hyperlink 3" xfId="11974" hidden="1" xr:uid="{00000000-0005-0000-0000-0000443A0000}"/>
    <cellStyle name="Followed Hyperlink 3" xfId="11976" hidden="1" xr:uid="{00000000-0005-0000-0000-0000453A0000}"/>
    <cellStyle name="Followed Hyperlink 3" xfId="11972" hidden="1" xr:uid="{00000000-0005-0000-0000-0000463A0000}"/>
    <cellStyle name="Followed Hyperlink 3" xfId="11971" hidden="1" xr:uid="{00000000-0005-0000-0000-0000473A0000}"/>
    <cellStyle name="Followed Hyperlink 3" xfId="11977" hidden="1" xr:uid="{00000000-0005-0000-0000-0000483A0000}"/>
    <cellStyle name="Followed Hyperlink 3" xfId="11980" hidden="1" xr:uid="{00000000-0005-0000-0000-0000493A0000}"/>
    <cellStyle name="Followed Hyperlink 3" xfId="11983" hidden="1" xr:uid="{00000000-0005-0000-0000-00004A3A0000}"/>
    <cellStyle name="Followed Hyperlink 3" xfId="11988" hidden="1" xr:uid="{00000000-0005-0000-0000-00004B3A0000}"/>
    <cellStyle name="Followed Hyperlink 3" xfId="11999" hidden="1" xr:uid="{00000000-0005-0000-0000-00004C3A0000}"/>
    <cellStyle name="Followed Hyperlink 3" xfId="12001" hidden="1" xr:uid="{00000000-0005-0000-0000-00004D3A0000}"/>
    <cellStyle name="Followed Hyperlink 3" xfId="11997" hidden="1" xr:uid="{00000000-0005-0000-0000-00004E3A0000}"/>
    <cellStyle name="Followed Hyperlink 3" xfId="11996" hidden="1" xr:uid="{00000000-0005-0000-0000-00004F3A0000}"/>
    <cellStyle name="Followed Hyperlink 3" xfId="12002" hidden="1" xr:uid="{00000000-0005-0000-0000-0000503A0000}"/>
    <cellStyle name="Followed Hyperlink 3" xfId="12005" hidden="1" xr:uid="{00000000-0005-0000-0000-0000513A0000}"/>
    <cellStyle name="Followed Hyperlink 3" xfId="12008" hidden="1" xr:uid="{00000000-0005-0000-0000-0000523A0000}"/>
    <cellStyle name="Followed Hyperlink 3" xfId="12013" hidden="1" xr:uid="{00000000-0005-0000-0000-0000533A0000}"/>
    <cellStyle name="Followed Hyperlink 3" xfId="12023" hidden="1" xr:uid="{00000000-0005-0000-0000-0000543A0000}"/>
    <cellStyle name="Followed Hyperlink 3" xfId="12025" hidden="1" xr:uid="{00000000-0005-0000-0000-0000553A0000}"/>
    <cellStyle name="Followed Hyperlink 3" xfId="12021" hidden="1" xr:uid="{00000000-0005-0000-0000-0000563A0000}"/>
    <cellStyle name="Followed Hyperlink 3" xfId="12020" hidden="1" xr:uid="{00000000-0005-0000-0000-0000573A0000}"/>
    <cellStyle name="Followed Hyperlink 3" xfId="12026" hidden="1" xr:uid="{00000000-0005-0000-0000-0000583A0000}"/>
    <cellStyle name="Followed Hyperlink 3" xfId="12029" hidden="1" xr:uid="{00000000-0005-0000-0000-0000593A0000}"/>
    <cellStyle name="Followed Hyperlink 3" xfId="12032" hidden="1" xr:uid="{00000000-0005-0000-0000-00005A3A0000}"/>
    <cellStyle name="Followed Hyperlink 3" xfId="12037" hidden="1" xr:uid="{00000000-0005-0000-0000-00005B3A0000}"/>
    <cellStyle name="Followed Hyperlink 3" xfId="12076" hidden="1" xr:uid="{00000000-0005-0000-0000-00005C3A0000}"/>
    <cellStyle name="Followed Hyperlink 3" xfId="12078" hidden="1" xr:uid="{00000000-0005-0000-0000-00005D3A0000}"/>
    <cellStyle name="Followed Hyperlink 3" xfId="12074" hidden="1" xr:uid="{00000000-0005-0000-0000-00005E3A0000}"/>
    <cellStyle name="Followed Hyperlink 3" xfId="12073" hidden="1" xr:uid="{00000000-0005-0000-0000-00005F3A0000}"/>
    <cellStyle name="Followed Hyperlink 3" xfId="12079" hidden="1" xr:uid="{00000000-0005-0000-0000-0000603A0000}"/>
    <cellStyle name="Followed Hyperlink 3" xfId="12082" hidden="1" xr:uid="{00000000-0005-0000-0000-0000613A0000}"/>
    <cellStyle name="Followed Hyperlink 3" xfId="12085" hidden="1" xr:uid="{00000000-0005-0000-0000-0000623A0000}"/>
    <cellStyle name="Followed Hyperlink 3" xfId="12090" hidden="1" xr:uid="{00000000-0005-0000-0000-0000633A0000}"/>
    <cellStyle name="Followed Hyperlink 3" xfId="12100" hidden="1" xr:uid="{00000000-0005-0000-0000-0000643A0000}"/>
    <cellStyle name="Followed Hyperlink 3" xfId="12102" hidden="1" xr:uid="{00000000-0005-0000-0000-0000653A0000}"/>
    <cellStyle name="Followed Hyperlink 3" xfId="12098" hidden="1" xr:uid="{00000000-0005-0000-0000-0000663A0000}"/>
    <cellStyle name="Followed Hyperlink 3" xfId="12097" hidden="1" xr:uid="{00000000-0005-0000-0000-0000673A0000}"/>
    <cellStyle name="Followed Hyperlink 3" xfId="12103" hidden="1" xr:uid="{00000000-0005-0000-0000-0000683A0000}"/>
    <cellStyle name="Followed Hyperlink 3" xfId="12106" hidden="1" xr:uid="{00000000-0005-0000-0000-0000693A0000}"/>
    <cellStyle name="Followed Hyperlink 3" xfId="12109" hidden="1" xr:uid="{00000000-0005-0000-0000-00006A3A0000}"/>
    <cellStyle name="Followed Hyperlink 3" xfId="12114" hidden="1" xr:uid="{00000000-0005-0000-0000-00006B3A0000}"/>
    <cellStyle name="Followed Hyperlink 3" xfId="12126" hidden="1" xr:uid="{00000000-0005-0000-0000-00006C3A0000}"/>
    <cellStyle name="Followed Hyperlink 3" xfId="12128" hidden="1" xr:uid="{00000000-0005-0000-0000-00006D3A0000}"/>
    <cellStyle name="Followed Hyperlink 3" xfId="12124" hidden="1" xr:uid="{00000000-0005-0000-0000-00006E3A0000}"/>
    <cellStyle name="Followed Hyperlink 3" xfId="12123" hidden="1" xr:uid="{00000000-0005-0000-0000-00006F3A0000}"/>
    <cellStyle name="Followed Hyperlink 3" xfId="12129" hidden="1" xr:uid="{00000000-0005-0000-0000-0000703A0000}"/>
    <cellStyle name="Followed Hyperlink 3" xfId="12132" hidden="1" xr:uid="{00000000-0005-0000-0000-0000713A0000}"/>
    <cellStyle name="Followed Hyperlink 3" xfId="12135" hidden="1" xr:uid="{00000000-0005-0000-0000-0000723A0000}"/>
    <cellStyle name="Followed Hyperlink 3" xfId="12140" hidden="1" xr:uid="{00000000-0005-0000-0000-0000733A0000}"/>
    <cellStyle name="Followed Hyperlink 3" xfId="12150" hidden="1" xr:uid="{00000000-0005-0000-0000-0000743A0000}"/>
    <cellStyle name="Followed Hyperlink 3" xfId="12152" hidden="1" xr:uid="{00000000-0005-0000-0000-0000753A0000}"/>
    <cellStyle name="Followed Hyperlink 3" xfId="12148" hidden="1" xr:uid="{00000000-0005-0000-0000-0000763A0000}"/>
    <cellStyle name="Followed Hyperlink 3" xfId="12147" hidden="1" xr:uid="{00000000-0005-0000-0000-0000773A0000}"/>
    <cellStyle name="Followed Hyperlink 3" xfId="12153" hidden="1" xr:uid="{00000000-0005-0000-0000-0000783A0000}"/>
    <cellStyle name="Followed Hyperlink 3" xfId="12156" hidden="1" xr:uid="{00000000-0005-0000-0000-0000793A0000}"/>
    <cellStyle name="Followed Hyperlink 3" xfId="12159" hidden="1" xr:uid="{00000000-0005-0000-0000-00007A3A0000}"/>
    <cellStyle name="Followed Hyperlink 3" xfId="12164" hidden="1" xr:uid="{00000000-0005-0000-0000-00007B3A0000}"/>
    <cellStyle name="Followed Hyperlink 3" xfId="12040" hidden="1" xr:uid="{00000000-0005-0000-0000-00007C3A0000}"/>
    <cellStyle name="Followed Hyperlink 3" xfId="12117" hidden="1" xr:uid="{00000000-0005-0000-0000-00007D3A0000}"/>
    <cellStyle name="Followed Hyperlink 3" xfId="12044" hidden="1" xr:uid="{00000000-0005-0000-0000-00007E3A0000}"/>
    <cellStyle name="Followed Hyperlink 3" xfId="12045" hidden="1" xr:uid="{00000000-0005-0000-0000-00007F3A0000}"/>
    <cellStyle name="Followed Hyperlink 3" xfId="12048" hidden="1" xr:uid="{00000000-0005-0000-0000-0000803A0000}"/>
    <cellStyle name="Followed Hyperlink 3" xfId="12169" hidden="1" xr:uid="{00000000-0005-0000-0000-0000813A0000}"/>
    <cellStyle name="Followed Hyperlink 3" xfId="12172" hidden="1" xr:uid="{00000000-0005-0000-0000-0000823A0000}"/>
    <cellStyle name="Followed Hyperlink 3" xfId="12177" hidden="1" xr:uid="{00000000-0005-0000-0000-0000833A0000}"/>
    <cellStyle name="Followed Hyperlink 3" xfId="12187" hidden="1" xr:uid="{00000000-0005-0000-0000-0000843A0000}"/>
    <cellStyle name="Followed Hyperlink 3" xfId="12189" hidden="1" xr:uid="{00000000-0005-0000-0000-0000853A0000}"/>
    <cellStyle name="Followed Hyperlink 3" xfId="12185" hidden="1" xr:uid="{00000000-0005-0000-0000-0000863A0000}"/>
    <cellStyle name="Followed Hyperlink 3" xfId="12184" hidden="1" xr:uid="{00000000-0005-0000-0000-0000873A0000}"/>
    <cellStyle name="Followed Hyperlink 3" xfId="12190" hidden="1" xr:uid="{00000000-0005-0000-0000-0000883A0000}"/>
    <cellStyle name="Followed Hyperlink 3" xfId="12193" hidden="1" xr:uid="{00000000-0005-0000-0000-0000893A0000}"/>
    <cellStyle name="Followed Hyperlink 3" xfId="12196" hidden="1" xr:uid="{00000000-0005-0000-0000-00008A3A0000}"/>
    <cellStyle name="Followed Hyperlink 3" xfId="12201" hidden="1" xr:uid="{00000000-0005-0000-0000-00008B3A0000}"/>
    <cellStyle name="Followed Hyperlink 3" xfId="12212" hidden="1" xr:uid="{00000000-0005-0000-0000-00008C3A0000}"/>
    <cellStyle name="Followed Hyperlink 3" xfId="12214" hidden="1" xr:uid="{00000000-0005-0000-0000-00008D3A0000}"/>
    <cellStyle name="Followed Hyperlink 3" xfId="12210" hidden="1" xr:uid="{00000000-0005-0000-0000-00008E3A0000}"/>
    <cellStyle name="Followed Hyperlink 3" xfId="12209" hidden="1" xr:uid="{00000000-0005-0000-0000-00008F3A0000}"/>
    <cellStyle name="Followed Hyperlink 3" xfId="12215" hidden="1" xr:uid="{00000000-0005-0000-0000-0000903A0000}"/>
    <cellStyle name="Followed Hyperlink 3" xfId="12218" hidden="1" xr:uid="{00000000-0005-0000-0000-0000913A0000}"/>
    <cellStyle name="Followed Hyperlink 3" xfId="12221" hidden="1" xr:uid="{00000000-0005-0000-0000-0000923A0000}"/>
    <cellStyle name="Followed Hyperlink 3" xfId="12226" hidden="1" xr:uid="{00000000-0005-0000-0000-0000933A0000}"/>
    <cellStyle name="Followed Hyperlink 3" xfId="12236" hidden="1" xr:uid="{00000000-0005-0000-0000-0000943A0000}"/>
    <cellStyle name="Followed Hyperlink 3" xfId="12238" hidden="1" xr:uid="{00000000-0005-0000-0000-0000953A0000}"/>
    <cellStyle name="Followed Hyperlink 3" xfId="12234" hidden="1" xr:uid="{00000000-0005-0000-0000-0000963A0000}"/>
    <cellStyle name="Followed Hyperlink 3" xfId="12233" hidden="1" xr:uid="{00000000-0005-0000-0000-0000973A0000}"/>
    <cellStyle name="Followed Hyperlink 3" xfId="12239" hidden="1" xr:uid="{00000000-0005-0000-0000-0000983A0000}"/>
    <cellStyle name="Followed Hyperlink 3" xfId="12242" hidden="1" xr:uid="{00000000-0005-0000-0000-0000993A0000}"/>
    <cellStyle name="Followed Hyperlink 3" xfId="12245" hidden="1" xr:uid="{00000000-0005-0000-0000-00009A3A0000}"/>
    <cellStyle name="Followed Hyperlink 3" xfId="12250" hidden="1" xr:uid="{00000000-0005-0000-0000-00009B3A0000}"/>
    <cellStyle name="Followed Hyperlink 3" xfId="12061" hidden="1" xr:uid="{00000000-0005-0000-0000-00009C3A0000}"/>
    <cellStyle name="Followed Hyperlink 3" xfId="12204" hidden="1" xr:uid="{00000000-0005-0000-0000-00009D3A0000}"/>
    <cellStyle name="Followed Hyperlink 3" xfId="12058" hidden="1" xr:uid="{00000000-0005-0000-0000-00009E3A0000}"/>
    <cellStyle name="Followed Hyperlink 3" xfId="12050" hidden="1" xr:uid="{00000000-0005-0000-0000-00009F3A0000}"/>
    <cellStyle name="Followed Hyperlink 3" xfId="12055" hidden="1" xr:uid="{00000000-0005-0000-0000-0000A03A0000}"/>
    <cellStyle name="Followed Hyperlink 3" xfId="12255" hidden="1" xr:uid="{00000000-0005-0000-0000-0000A13A0000}"/>
    <cellStyle name="Followed Hyperlink 3" xfId="12258" hidden="1" xr:uid="{00000000-0005-0000-0000-0000A23A0000}"/>
    <cellStyle name="Followed Hyperlink 3" xfId="12263" hidden="1" xr:uid="{00000000-0005-0000-0000-0000A33A0000}"/>
    <cellStyle name="Followed Hyperlink 3" xfId="12273" hidden="1" xr:uid="{00000000-0005-0000-0000-0000A43A0000}"/>
    <cellStyle name="Followed Hyperlink 3" xfId="12275" hidden="1" xr:uid="{00000000-0005-0000-0000-0000A53A0000}"/>
    <cellStyle name="Followed Hyperlink 3" xfId="12271" hidden="1" xr:uid="{00000000-0005-0000-0000-0000A63A0000}"/>
    <cellStyle name="Followed Hyperlink 3" xfId="12270" hidden="1" xr:uid="{00000000-0005-0000-0000-0000A73A0000}"/>
    <cellStyle name="Followed Hyperlink 3" xfId="12276" hidden="1" xr:uid="{00000000-0005-0000-0000-0000A83A0000}"/>
    <cellStyle name="Followed Hyperlink 3" xfId="12279" hidden="1" xr:uid="{00000000-0005-0000-0000-0000A93A0000}"/>
    <cellStyle name="Followed Hyperlink 3" xfId="12282" hidden="1" xr:uid="{00000000-0005-0000-0000-0000AA3A0000}"/>
    <cellStyle name="Followed Hyperlink 3" xfId="12287" hidden="1" xr:uid="{00000000-0005-0000-0000-0000AB3A0000}"/>
    <cellStyle name="Followed Hyperlink 3" xfId="12298" hidden="1" xr:uid="{00000000-0005-0000-0000-0000AC3A0000}"/>
    <cellStyle name="Followed Hyperlink 3" xfId="12300" hidden="1" xr:uid="{00000000-0005-0000-0000-0000AD3A0000}"/>
    <cellStyle name="Followed Hyperlink 3" xfId="12296" hidden="1" xr:uid="{00000000-0005-0000-0000-0000AE3A0000}"/>
    <cellStyle name="Followed Hyperlink 3" xfId="12295" hidden="1" xr:uid="{00000000-0005-0000-0000-0000AF3A0000}"/>
    <cellStyle name="Followed Hyperlink 3" xfId="12301" hidden="1" xr:uid="{00000000-0005-0000-0000-0000B03A0000}"/>
    <cellStyle name="Followed Hyperlink 3" xfId="12304" hidden="1" xr:uid="{00000000-0005-0000-0000-0000B13A0000}"/>
    <cellStyle name="Followed Hyperlink 3" xfId="12307" hidden="1" xr:uid="{00000000-0005-0000-0000-0000B23A0000}"/>
    <cellStyle name="Followed Hyperlink 3" xfId="12312" hidden="1" xr:uid="{00000000-0005-0000-0000-0000B33A0000}"/>
    <cellStyle name="Followed Hyperlink 3" xfId="12322" hidden="1" xr:uid="{00000000-0005-0000-0000-0000B43A0000}"/>
    <cellStyle name="Followed Hyperlink 3" xfId="12324" hidden="1" xr:uid="{00000000-0005-0000-0000-0000B53A0000}"/>
    <cellStyle name="Followed Hyperlink 3" xfId="12320" hidden="1" xr:uid="{00000000-0005-0000-0000-0000B63A0000}"/>
    <cellStyle name="Followed Hyperlink 3" xfId="12319" hidden="1" xr:uid="{00000000-0005-0000-0000-0000B73A0000}"/>
    <cellStyle name="Followed Hyperlink 3" xfId="12325" hidden="1" xr:uid="{00000000-0005-0000-0000-0000B83A0000}"/>
    <cellStyle name="Followed Hyperlink 3" xfId="12328" hidden="1" xr:uid="{00000000-0005-0000-0000-0000B93A0000}"/>
    <cellStyle name="Followed Hyperlink 3" xfId="12331" hidden="1" xr:uid="{00000000-0005-0000-0000-0000BA3A0000}"/>
    <cellStyle name="Followed Hyperlink 3" xfId="12336" hidden="1" xr:uid="{00000000-0005-0000-0000-0000BB3A0000}"/>
    <cellStyle name="Followed Hyperlink 3" xfId="12066" hidden="1" xr:uid="{00000000-0005-0000-0000-0000BC3A0000}"/>
    <cellStyle name="Followed Hyperlink 3" xfId="12290" hidden="1" xr:uid="{00000000-0005-0000-0000-0000BD3A0000}"/>
    <cellStyle name="Followed Hyperlink 3" xfId="12062" hidden="1" xr:uid="{00000000-0005-0000-0000-0000BE3A0000}"/>
    <cellStyle name="Followed Hyperlink 3" xfId="12067" hidden="1" xr:uid="{00000000-0005-0000-0000-0000BF3A0000}"/>
    <cellStyle name="Followed Hyperlink 3" xfId="12054" hidden="1" xr:uid="{00000000-0005-0000-0000-0000C03A0000}"/>
    <cellStyle name="Followed Hyperlink 3" xfId="12341" hidden="1" xr:uid="{00000000-0005-0000-0000-0000C13A0000}"/>
    <cellStyle name="Followed Hyperlink 3" xfId="12344" hidden="1" xr:uid="{00000000-0005-0000-0000-0000C23A0000}"/>
    <cellStyle name="Followed Hyperlink 3" xfId="12349" hidden="1" xr:uid="{00000000-0005-0000-0000-0000C33A0000}"/>
    <cellStyle name="Followed Hyperlink 3" xfId="12359" hidden="1" xr:uid="{00000000-0005-0000-0000-0000C43A0000}"/>
    <cellStyle name="Followed Hyperlink 3" xfId="12361" hidden="1" xr:uid="{00000000-0005-0000-0000-0000C53A0000}"/>
    <cellStyle name="Followed Hyperlink 3" xfId="12357" hidden="1" xr:uid="{00000000-0005-0000-0000-0000C63A0000}"/>
    <cellStyle name="Followed Hyperlink 3" xfId="12356" hidden="1" xr:uid="{00000000-0005-0000-0000-0000C73A0000}"/>
    <cellStyle name="Followed Hyperlink 3" xfId="12362" hidden="1" xr:uid="{00000000-0005-0000-0000-0000C83A0000}"/>
    <cellStyle name="Followed Hyperlink 3" xfId="12365" hidden="1" xr:uid="{00000000-0005-0000-0000-0000C93A0000}"/>
    <cellStyle name="Followed Hyperlink 3" xfId="12368" hidden="1" xr:uid="{00000000-0005-0000-0000-0000CA3A0000}"/>
    <cellStyle name="Followed Hyperlink 3" xfId="12373" hidden="1" xr:uid="{00000000-0005-0000-0000-0000CB3A0000}"/>
    <cellStyle name="Followed Hyperlink 3" xfId="12383" hidden="1" xr:uid="{00000000-0005-0000-0000-0000CC3A0000}"/>
    <cellStyle name="Followed Hyperlink 3" xfId="12385" hidden="1" xr:uid="{00000000-0005-0000-0000-0000CD3A0000}"/>
    <cellStyle name="Followed Hyperlink 3" xfId="12381" hidden="1" xr:uid="{00000000-0005-0000-0000-0000CE3A0000}"/>
    <cellStyle name="Followed Hyperlink 3" xfId="12380" hidden="1" xr:uid="{00000000-0005-0000-0000-0000CF3A0000}"/>
    <cellStyle name="Followed Hyperlink 3" xfId="12386" hidden="1" xr:uid="{00000000-0005-0000-0000-0000D03A0000}"/>
    <cellStyle name="Followed Hyperlink 3" xfId="12389" hidden="1" xr:uid="{00000000-0005-0000-0000-0000D13A0000}"/>
    <cellStyle name="Followed Hyperlink 3" xfId="12392" hidden="1" xr:uid="{00000000-0005-0000-0000-0000D23A0000}"/>
    <cellStyle name="Followed Hyperlink 3" xfId="12397" hidden="1" xr:uid="{00000000-0005-0000-0000-0000D33A0000}"/>
    <cellStyle name="Followed Hyperlink 3" xfId="12407" hidden="1" xr:uid="{00000000-0005-0000-0000-0000D43A0000}"/>
    <cellStyle name="Followed Hyperlink 3" xfId="12409" hidden="1" xr:uid="{00000000-0005-0000-0000-0000D53A0000}"/>
    <cellStyle name="Followed Hyperlink 3" xfId="12405" hidden="1" xr:uid="{00000000-0005-0000-0000-0000D63A0000}"/>
    <cellStyle name="Followed Hyperlink 3" xfId="12404" hidden="1" xr:uid="{00000000-0005-0000-0000-0000D73A0000}"/>
    <cellStyle name="Followed Hyperlink 3" xfId="12410" hidden="1" xr:uid="{00000000-0005-0000-0000-0000D83A0000}"/>
    <cellStyle name="Followed Hyperlink 3" xfId="12413" hidden="1" xr:uid="{00000000-0005-0000-0000-0000D93A0000}"/>
    <cellStyle name="Followed Hyperlink 3" xfId="12416" hidden="1" xr:uid="{00000000-0005-0000-0000-0000DA3A0000}"/>
    <cellStyle name="Followed Hyperlink 3" xfId="12421" hidden="1" xr:uid="{00000000-0005-0000-0000-0000DB3A0000}"/>
    <cellStyle name="Followed Hyperlink 3" xfId="10999" hidden="1" xr:uid="{00000000-0005-0000-0000-0000DC3A0000}"/>
    <cellStyle name="Followed Hyperlink 3" xfId="11991" hidden="1" xr:uid="{00000000-0005-0000-0000-0000DD3A0000}"/>
    <cellStyle name="Followed Hyperlink 3" xfId="10995" hidden="1" xr:uid="{00000000-0005-0000-0000-0000DE3A0000}"/>
    <cellStyle name="Followed Hyperlink 3" xfId="11000" hidden="1" xr:uid="{00000000-0005-0000-0000-0000DF3A0000}"/>
    <cellStyle name="Followed Hyperlink 3" xfId="10987" hidden="1" xr:uid="{00000000-0005-0000-0000-0000E03A0000}"/>
    <cellStyle name="Followed Hyperlink 3" xfId="12426" hidden="1" xr:uid="{00000000-0005-0000-0000-0000E13A0000}"/>
    <cellStyle name="Followed Hyperlink 3" xfId="12429" hidden="1" xr:uid="{00000000-0005-0000-0000-0000E23A0000}"/>
    <cellStyle name="Followed Hyperlink 3" xfId="12434" hidden="1" xr:uid="{00000000-0005-0000-0000-0000E33A0000}"/>
    <cellStyle name="Followed Hyperlink 3" xfId="12444" hidden="1" xr:uid="{00000000-0005-0000-0000-0000E43A0000}"/>
    <cellStyle name="Followed Hyperlink 3" xfId="12446" hidden="1" xr:uid="{00000000-0005-0000-0000-0000E53A0000}"/>
    <cellStyle name="Followed Hyperlink 3" xfId="12442" hidden="1" xr:uid="{00000000-0005-0000-0000-0000E63A0000}"/>
    <cellStyle name="Followed Hyperlink 3" xfId="12441" hidden="1" xr:uid="{00000000-0005-0000-0000-0000E73A0000}"/>
    <cellStyle name="Followed Hyperlink 3" xfId="12447" hidden="1" xr:uid="{00000000-0005-0000-0000-0000E83A0000}"/>
    <cellStyle name="Followed Hyperlink 3" xfId="12450" hidden="1" xr:uid="{00000000-0005-0000-0000-0000E93A0000}"/>
    <cellStyle name="Followed Hyperlink 3" xfId="12453" hidden="1" xr:uid="{00000000-0005-0000-0000-0000EA3A0000}"/>
    <cellStyle name="Followed Hyperlink 3" xfId="12458" hidden="1" xr:uid="{00000000-0005-0000-0000-0000EB3A0000}"/>
    <cellStyle name="Followed Hyperlink 3" xfId="12468" hidden="1" xr:uid="{00000000-0005-0000-0000-0000EC3A0000}"/>
    <cellStyle name="Followed Hyperlink 3" xfId="12470" hidden="1" xr:uid="{00000000-0005-0000-0000-0000ED3A0000}"/>
    <cellStyle name="Followed Hyperlink 3" xfId="12466" hidden="1" xr:uid="{00000000-0005-0000-0000-0000EE3A0000}"/>
    <cellStyle name="Followed Hyperlink 3" xfId="12465" hidden="1" xr:uid="{00000000-0005-0000-0000-0000EF3A0000}"/>
    <cellStyle name="Followed Hyperlink 3" xfId="12471" hidden="1" xr:uid="{00000000-0005-0000-0000-0000F03A0000}"/>
    <cellStyle name="Followed Hyperlink 3" xfId="12474" hidden="1" xr:uid="{00000000-0005-0000-0000-0000F13A0000}"/>
    <cellStyle name="Followed Hyperlink 3" xfId="12477" hidden="1" xr:uid="{00000000-0005-0000-0000-0000F23A0000}"/>
    <cellStyle name="Followed Hyperlink 3" xfId="12482" hidden="1" xr:uid="{00000000-0005-0000-0000-0000F33A0000}"/>
    <cellStyle name="Followed Hyperlink 3" xfId="12492" hidden="1" xr:uid="{00000000-0005-0000-0000-0000F43A0000}"/>
    <cellStyle name="Followed Hyperlink 3" xfId="12494" hidden="1" xr:uid="{00000000-0005-0000-0000-0000F53A0000}"/>
    <cellStyle name="Followed Hyperlink 3" xfId="12490" hidden="1" xr:uid="{00000000-0005-0000-0000-0000F63A0000}"/>
    <cellStyle name="Followed Hyperlink 3" xfId="12489" hidden="1" xr:uid="{00000000-0005-0000-0000-0000F73A0000}"/>
    <cellStyle name="Followed Hyperlink 3" xfId="12495" hidden="1" xr:uid="{00000000-0005-0000-0000-0000F83A0000}"/>
    <cellStyle name="Followed Hyperlink 3" xfId="12498" hidden="1" xr:uid="{00000000-0005-0000-0000-0000F93A0000}"/>
    <cellStyle name="Followed Hyperlink 3" xfId="12501" hidden="1" xr:uid="{00000000-0005-0000-0000-0000FA3A0000}"/>
    <cellStyle name="Followed Hyperlink 3" xfId="12506" hidden="1" xr:uid="{00000000-0005-0000-0000-0000FB3A0000}"/>
    <cellStyle name="Followed Hyperlink 3" xfId="12545" hidden="1" xr:uid="{00000000-0005-0000-0000-0000FC3A0000}"/>
    <cellStyle name="Followed Hyperlink 3" xfId="12547" hidden="1" xr:uid="{00000000-0005-0000-0000-0000FD3A0000}"/>
    <cellStyle name="Followed Hyperlink 3" xfId="12543" hidden="1" xr:uid="{00000000-0005-0000-0000-0000FE3A0000}"/>
    <cellStyle name="Followed Hyperlink 3" xfId="12542" hidden="1" xr:uid="{00000000-0005-0000-0000-0000FF3A0000}"/>
    <cellStyle name="Followed Hyperlink 3" xfId="12548" hidden="1" xr:uid="{00000000-0005-0000-0000-0000003B0000}"/>
    <cellStyle name="Followed Hyperlink 3" xfId="12551" hidden="1" xr:uid="{00000000-0005-0000-0000-0000013B0000}"/>
    <cellStyle name="Followed Hyperlink 3" xfId="12554" hidden="1" xr:uid="{00000000-0005-0000-0000-0000023B0000}"/>
    <cellStyle name="Followed Hyperlink 3" xfId="12559" hidden="1" xr:uid="{00000000-0005-0000-0000-0000033B0000}"/>
    <cellStyle name="Followed Hyperlink 3" xfId="12569" hidden="1" xr:uid="{00000000-0005-0000-0000-0000043B0000}"/>
    <cellStyle name="Followed Hyperlink 3" xfId="12571" hidden="1" xr:uid="{00000000-0005-0000-0000-0000053B0000}"/>
    <cellStyle name="Followed Hyperlink 3" xfId="12567" hidden="1" xr:uid="{00000000-0005-0000-0000-0000063B0000}"/>
    <cellStyle name="Followed Hyperlink 3" xfId="12566" hidden="1" xr:uid="{00000000-0005-0000-0000-0000073B0000}"/>
    <cellStyle name="Followed Hyperlink 3" xfId="12572" hidden="1" xr:uid="{00000000-0005-0000-0000-0000083B0000}"/>
    <cellStyle name="Followed Hyperlink 3" xfId="12575" hidden="1" xr:uid="{00000000-0005-0000-0000-0000093B0000}"/>
    <cellStyle name="Followed Hyperlink 3" xfId="12578" hidden="1" xr:uid="{00000000-0005-0000-0000-00000A3B0000}"/>
    <cellStyle name="Followed Hyperlink 3" xfId="12583" hidden="1" xr:uid="{00000000-0005-0000-0000-00000B3B0000}"/>
    <cellStyle name="Followed Hyperlink 3" xfId="12595" hidden="1" xr:uid="{00000000-0005-0000-0000-00000C3B0000}"/>
    <cellStyle name="Followed Hyperlink 3" xfId="12597" hidden="1" xr:uid="{00000000-0005-0000-0000-00000D3B0000}"/>
    <cellStyle name="Followed Hyperlink 3" xfId="12593" hidden="1" xr:uid="{00000000-0005-0000-0000-00000E3B0000}"/>
    <cellStyle name="Followed Hyperlink 3" xfId="12592" hidden="1" xr:uid="{00000000-0005-0000-0000-00000F3B0000}"/>
    <cellStyle name="Followed Hyperlink 3" xfId="12598" hidden="1" xr:uid="{00000000-0005-0000-0000-0000103B0000}"/>
    <cellStyle name="Followed Hyperlink 3" xfId="12601" hidden="1" xr:uid="{00000000-0005-0000-0000-0000113B0000}"/>
    <cellStyle name="Followed Hyperlink 3" xfId="12604" hidden="1" xr:uid="{00000000-0005-0000-0000-0000123B0000}"/>
    <cellStyle name="Followed Hyperlink 3" xfId="12609" hidden="1" xr:uid="{00000000-0005-0000-0000-0000133B0000}"/>
    <cellStyle name="Followed Hyperlink 3" xfId="12619" hidden="1" xr:uid="{00000000-0005-0000-0000-0000143B0000}"/>
    <cellStyle name="Followed Hyperlink 3" xfId="12621" hidden="1" xr:uid="{00000000-0005-0000-0000-0000153B0000}"/>
    <cellStyle name="Followed Hyperlink 3" xfId="12617" hidden="1" xr:uid="{00000000-0005-0000-0000-0000163B0000}"/>
    <cellStyle name="Followed Hyperlink 3" xfId="12616" hidden="1" xr:uid="{00000000-0005-0000-0000-0000173B0000}"/>
    <cellStyle name="Followed Hyperlink 3" xfId="12622" hidden="1" xr:uid="{00000000-0005-0000-0000-0000183B0000}"/>
    <cellStyle name="Followed Hyperlink 3" xfId="12625" hidden="1" xr:uid="{00000000-0005-0000-0000-0000193B0000}"/>
    <cellStyle name="Followed Hyperlink 3" xfId="12628" hidden="1" xr:uid="{00000000-0005-0000-0000-00001A3B0000}"/>
    <cellStyle name="Followed Hyperlink 3" xfId="12633" hidden="1" xr:uid="{00000000-0005-0000-0000-00001B3B0000}"/>
    <cellStyle name="Followed Hyperlink 3" xfId="12509" hidden="1" xr:uid="{00000000-0005-0000-0000-00001C3B0000}"/>
    <cellStyle name="Followed Hyperlink 3" xfId="12586" hidden="1" xr:uid="{00000000-0005-0000-0000-00001D3B0000}"/>
    <cellStyle name="Followed Hyperlink 3" xfId="12513" hidden="1" xr:uid="{00000000-0005-0000-0000-00001E3B0000}"/>
    <cellStyle name="Followed Hyperlink 3" xfId="12514" hidden="1" xr:uid="{00000000-0005-0000-0000-00001F3B0000}"/>
    <cellStyle name="Followed Hyperlink 3" xfId="12517" hidden="1" xr:uid="{00000000-0005-0000-0000-0000203B0000}"/>
    <cellStyle name="Followed Hyperlink 3" xfId="12638" hidden="1" xr:uid="{00000000-0005-0000-0000-0000213B0000}"/>
    <cellStyle name="Followed Hyperlink 3" xfId="12641" hidden="1" xr:uid="{00000000-0005-0000-0000-0000223B0000}"/>
    <cellStyle name="Followed Hyperlink 3" xfId="12646" hidden="1" xr:uid="{00000000-0005-0000-0000-0000233B0000}"/>
    <cellStyle name="Followed Hyperlink 3" xfId="12656" hidden="1" xr:uid="{00000000-0005-0000-0000-0000243B0000}"/>
    <cellStyle name="Followed Hyperlink 3" xfId="12658" hidden="1" xr:uid="{00000000-0005-0000-0000-0000253B0000}"/>
    <cellStyle name="Followed Hyperlink 3" xfId="12654" hidden="1" xr:uid="{00000000-0005-0000-0000-0000263B0000}"/>
    <cellStyle name="Followed Hyperlink 3" xfId="12653" hidden="1" xr:uid="{00000000-0005-0000-0000-0000273B0000}"/>
    <cellStyle name="Followed Hyperlink 3" xfId="12659" hidden="1" xr:uid="{00000000-0005-0000-0000-0000283B0000}"/>
    <cellStyle name="Followed Hyperlink 3" xfId="12662" hidden="1" xr:uid="{00000000-0005-0000-0000-0000293B0000}"/>
    <cellStyle name="Followed Hyperlink 3" xfId="12665" hidden="1" xr:uid="{00000000-0005-0000-0000-00002A3B0000}"/>
    <cellStyle name="Followed Hyperlink 3" xfId="12670" hidden="1" xr:uid="{00000000-0005-0000-0000-00002B3B0000}"/>
    <cellStyle name="Followed Hyperlink 3" xfId="12681" hidden="1" xr:uid="{00000000-0005-0000-0000-00002C3B0000}"/>
    <cellStyle name="Followed Hyperlink 3" xfId="12683" hidden="1" xr:uid="{00000000-0005-0000-0000-00002D3B0000}"/>
    <cellStyle name="Followed Hyperlink 3" xfId="12679" hidden="1" xr:uid="{00000000-0005-0000-0000-00002E3B0000}"/>
    <cellStyle name="Followed Hyperlink 3" xfId="12678" hidden="1" xr:uid="{00000000-0005-0000-0000-00002F3B0000}"/>
    <cellStyle name="Followed Hyperlink 3" xfId="12684" hidden="1" xr:uid="{00000000-0005-0000-0000-0000303B0000}"/>
    <cellStyle name="Followed Hyperlink 3" xfId="12687" hidden="1" xr:uid="{00000000-0005-0000-0000-0000313B0000}"/>
    <cellStyle name="Followed Hyperlink 3" xfId="12690" hidden="1" xr:uid="{00000000-0005-0000-0000-0000323B0000}"/>
    <cellStyle name="Followed Hyperlink 3" xfId="12695" hidden="1" xr:uid="{00000000-0005-0000-0000-0000333B0000}"/>
    <cellStyle name="Followed Hyperlink 3" xfId="12705" hidden="1" xr:uid="{00000000-0005-0000-0000-0000343B0000}"/>
    <cellStyle name="Followed Hyperlink 3" xfId="12707" hidden="1" xr:uid="{00000000-0005-0000-0000-0000353B0000}"/>
    <cellStyle name="Followed Hyperlink 3" xfId="12703" hidden="1" xr:uid="{00000000-0005-0000-0000-0000363B0000}"/>
    <cellStyle name="Followed Hyperlink 3" xfId="12702" hidden="1" xr:uid="{00000000-0005-0000-0000-0000373B0000}"/>
    <cellStyle name="Followed Hyperlink 3" xfId="12708" hidden="1" xr:uid="{00000000-0005-0000-0000-0000383B0000}"/>
    <cellStyle name="Followed Hyperlink 3" xfId="12711" hidden="1" xr:uid="{00000000-0005-0000-0000-0000393B0000}"/>
    <cellStyle name="Followed Hyperlink 3" xfId="12714" hidden="1" xr:uid="{00000000-0005-0000-0000-00003A3B0000}"/>
    <cellStyle name="Followed Hyperlink 3" xfId="12719" hidden="1" xr:uid="{00000000-0005-0000-0000-00003B3B0000}"/>
    <cellStyle name="Followed Hyperlink 3" xfId="12530" hidden="1" xr:uid="{00000000-0005-0000-0000-00003C3B0000}"/>
    <cellStyle name="Followed Hyperlink 3" xfId="12673" hidden="1" xr:uid="{00000000-0005-0000-0000-00003D3B0000}"/>
    <cellStyle name="Followed Hyperlink 3" xfId="12527" hidden="1" xr:uid="{00000000-0005-0000-0000-00003E3B0000}"/>
    <cellStyle name="Followed Hyperlink 3" xfId="12519" hidden="1" xr:uid="{00000000-0005-0000-0000-00003F3B0000}"/>
    <cellStyle name="Followed Hyperlink 3" xfId="12524" hidden="1" xr:uid="{00000000-0005-0000-0000-0000403B0000}"/>
    <cellStyle name="Followed Hyperlink 3" xfId="12724" hidden="1" xr:uid="{00000000-0005-0000-0000-0000413B0000}"/>
    <cellStyle name="Followed Hyperlink 3" xfId="12727" hidden="1" xr:uid="{00000000-0005-0000-0000-0000423B0000}"/>
    <cellStyle name="Followed Hyperlink 3" xfId="12732" hidden="1" xr:uid="{00000000-0005-0000-0000-0000433B0000}"/>
    <cellStyle name="Followed Hyperlink 3" xfId="12742" hidden="1" xr:uid="{00000000-0005-0000-0000-0000443B0000}"/>
    <cellStyle name="Followed Hyperlink 3" xfId="12744" hidden="1" xr:uid="{00000000-0005-0000-0000-0000453B0000}"/>
    <cellStyle name="Followed Hyperlink 3" xfId="12740" hidden="1" xr:uid="{00000000-0005-0000-0000-0000463B0000}"/>
    <cellStyle name="Followed Hyperlink 3" xfId="12739" hidden="1" xr:uid="{00000000-0005-0000-0000-0000473B0000}"/>
    <cellStyle name="Followed Hyperlink 3" xfId="12745" hidden="1" xr:uid="{00000000-0005-0000-0000-0000483B0000}"/>
    <cellStyle name="Followed Hyperlink 3" xfId="12748" hidden="1" xr:uid="{00000000-0005-0000-0000-0000493B0000}"/>
    <cellStyle name="Followed Hyperlink 3" xfId="12751" hidden="1" xr:uid="{00000000-0005-0000-0000-00004A3B0000}"/>
    <cellStyle name="Followed Hyperlink 3" xfId="12756" hidden="1" xr:uid="{00000000-0005-0000-0000-00004B3B0000}"/>
    <cellStyle name="Followed Hyperlink 3" xfId="12767" hidden="1" xr:uid="{00000000-0005-0000-0000-00004C3B0000}"/>
    <cellStyle name="Followed Hyperlink 3" xfId="12769" hidden="1" xr:uid="{00000000-0005-0000-0000-00004D3B0000}"/>
    <cellStyle name="Followed Hyperlink 3" xfId="12765" hidden="1" xr:uid="{00000000-0005-0000-0000-00004E3B0000}"/>
    <cellStyle name="Followed Hyperlink 3" xfId="12764" hidden="1" xr:uid="{00000000-0005-0000-0000-00004F3B0000}"/>
    <cellStyle name="Followed Hyperlink 3" xfId="12770" hidden="1" xr:uid="{00000000-0005-0000-0000-0000503B0000}"/>
    <cellStyle name="Followed Hyperlink 3" xfId="12773" hidden="1" xr:uid="{00000000-0005-0000-0000-0000513B0000}"/>
    <cellStyle name="Followed Hyperlink 3" xfId="12776" hidden="1" xr:uid="{00000000-0005-0000-0000-0000523B0000}"/>
    <cellStyle name="Followed Hyperlink 3" xfId="12781" hidden="1" xr:uid="{00000000-0005-0000-0000-0000533B0000}"/>
    <cellStyle name="Followed Hyperlink 3" xfId="12791" hidden="1" xr:uid="{00000000-0005-0000-0000-0000543B0000}"/>
    <cellStyle name="Followed Hyperlink 3" xfId="12793" hidden="1" xr:uid="{00000000-0005-0000-0000-0000553B0000}"/>
    <cellStyle name="Followed Hyperlink 3" xfId="12789" hidden="1" xr:uid="{00000000-0005-0000-0000-0000563B0000}"/>
    <cellStyle name="Followed Hyperlink 3" xfId="12788" hidden="1" xr:uid="{00000000-0005-0000-0000-0000573B0000}"/>
    <cellStyle name="Followed Hyperlink 3" xfId="12794" hidden="1" xr:uid="{00000000-0005-0000-0000-0000583B0000}"/>
    <cellStyle name="Followed Hyperlink 3" xfId="12797" hidden="1" xr:uid="{00000000-0005-0000-0000-0000593B0000}"/>
    <cellStyle name="Followed Hyperlink 3" xfId="12800" hidden="1" xr:uid="{00000000-0005-0000-0000-00005A3B0000}"/>
    <cellStyle name="Followed Hyperlink 3" xfId="12805" hidden="1" xr:uid="{00000000-0005-0000-0000-00005B3B0000}"/>
    <cellStyle name="Followed Hyperlink 3" xfId="12535" hidden="1" xr:uid="{00000000-0005-0000-0000-00005C3B0000}"/>
    <cellStyle name="Followed Hyperlink 3" xfId="12759" hidden="1" xr:uid="{00000000-0005-0000-0000-00005D3B0000}"/>
    <cellStyle name="Followed Hyperlink 3" xfId="12531" hidden="1" xr:uid="{00000000-0005-0000-0000-00005E3B0000}"/>
    <cellStyle name="Followed Hyperlink 3" xfId="12536" hidden="1" xr:uid="{00000000-0005-0000-0000-00005F3B0000}"/>
    <cellStyle name="Followed Hyperlink 3" xfId="12523" hidden="1" xr:uid="{00000000-0005-0000-0000-0000603B0000}"/>
    <cellStyle name="Followed Hyperlink 3" xfId="12810" hidden="1" xr:uid="{00000000-0005-0000-0000-0000613B0000}"/>
    <cellStyle name="Followed Hyperlink 3" xfId="12813" hidden="1" xr:uid="{00000000-0005-0000-0000-0000623B0000}"/>
    <cellStyle name="Followed Hyperlink 3" xfId="12818" hidden="1" xr:uid="{00000000-0005-0000-0000-0000633B0000}"/>
    <cellStyle name="Followed Hyperlink 3" xfId="12828" hidden="1" xr:uid="{00000000-0005-0000-0000-0000643B0000}"/>
    <cellStyle name="Followed Hyperlink 3" xfId="12830" hidden="1" xr:uid="{00000000-0005-0000-0000-0000653B0000}"/>
    <cellStyle name="Followed Hyperlink 3" xfId="12826" hidden="1" xr:uid="{00000000-0005-0000-0000-0000663B0000}"/>
    <cellStyle name="Followed Hyperlink 3" xfId="12825" hidden="1" xr:uid="{00000000-0005-0000-0000-0000673B0000}"/>
    <cellStyle name="Followed Hyperlink 3" xfId="12831" hidden="1" xr:uid="{00000000-0005-0000-0000-0000683B0000}"/>
    <cellStyle name="Followed Hyperlink 3" xfId="12834" hidden="1" xr:uid="{00000000-0005-0000-0000-0000693B0000}"/>
    <cellStyle name="Followed Hyperlink 3" xfId="12837" hidden="1" xr:uid="{00000000-0005-0000-0000-00006A3B0000}"/>
    <cellStyle name="Followed Hyperlink 3" xfId="12842" hidden="1" xr:uid="{00000000-0005-0000-0000-00006B3B0000}"/>
    <cellStyle name="Followed Hyperlink 3" xfId="12852" hidden="1" xr:uid="{00000000-0005-0000-0000-00006C3B0000}"/>
    <cellStyle name="Followed Hyperlink 3" xfId="12854" hidden="1" xr:uid="{00000000-0005-0000-0000-00006D3B0000}"/>
    <cellStyle name="Followed Hyperlink 3" xfId="12850" hidden="1" xr:uid="{00000000-0005-0000-0000-00006E3B0000}"/>
    <cellStyle name="Followed Hyperlink 3" xfId="12849" hidden="1" xr:uid="{00000000-0005-0000-0000-00006F3B0000}"/>
    <cellStyle name="Followed Hyperlink 3" xfId="12855" hidden="1" xr:uid="{00000000-0005-0000-0000-0000703B0000}"/>
    <cellStyle name="Followed Hyperlink 3" xfId="12858" hidden="1" xr:uid="{00000000-0005-0000-0000-0000713B0000}"/>
    <cellStyle name="Followed Hyperlink 3" xfId="12861" hidden="1" xr:uid="{00000000-0005-0000-0000-0000723B0000}"/>
    <cellStyle name="Followed Hyperlink 3" xfId="12866" hidden="1" xr:uid="{00000000-0005-0000-0000-0000733B0000}"/>
    <cellStyle name="Followed Hyperlink 3" xfId="12876" hidden="1" xr:uid="{00000000-0005-0000-0000-0000743B0000}"/>
    <cellStyle name="Followed Hyperlink 3" xfId="12878" hidden="1" xr:uid="{00000000-0005-0000-0000-0000753B0000}"/>
    <cellStyle name="Followed Hyperlink 3" xfId="12874" hidden="1" xr:uid="{00000000-0005-0000-0000-0000763B0000}"/>
    <cellStyle name="Followed Hyperlink 3" xfId="12873" hidden="1" xr:uid="{00000000-0005-0000-0000-0000773B0000}"/>
    <cellStyle name="Followed Hyperlink 3" xfId="12879" hidden="1" xr:uid="{00000000-0005-0000-0000-0000783B0000}"/>
    <cellStyle name="Followed Hyperlink 3" xfId="12882" hidden="1" xr:uid="{00000000-0005-0000-0000-0000793B0000}"/>
    <cellStyle name="Followed Hyperlink 3" xfId="12885" hidden="1" xr:uid="{00000000-0005-0000-0000-00007A3B0000}"/>
    <cellStyle name="Followed Hyperlink 3" xfId="12890" hidden="1" xr:uid="{00000000-0005-0000-0000-00007B3B0000}"/>
    <cellStyle name="Followed Hyperlink 3" xfId="8861" hidden="1" xr:uid="{00000000-0005-0000-0000-00007C3B0000}"/>
    <cellStyle name="Followed Hyperlink 3" xfId="10924" hidden="1" xr:uid="{00000000-0005-0000-0000-00007D3B0000}"/>
    <cellStyle name="Followed Hyperlink 3" xfId="8858" hidden="1" xr:uid="{00000000-0005-0000-0000-00007E3B0000}"/>
    <cellStyle name="Followed Hyperlink 3" xfId="8850" hidden="1" xr:uid="{00000000-0005-0000-0000-00007F3B0000}"/>
    <cellStyle name="Followed Hyperlink 3" xfId="8855" hidden="1" xr:uid="{00000000-0005-0000-0000-0000803B0000}"/>
    <cellStyle name="Followed Hyperlink 3" xfId="12895" hidden="1" xr:uid="{00000000-0005-0000-0000-0000813B0000}"/>
    <cellStyle name="Followed Hyperlink 3" xfId="12898" hidden="1" xr:uid="{00000000-0005-0000-0000-0000823B0000}"/>
    <cellStyle name="Followed Hyperlink 3" xfId="12903" hidden="1" xr:uid="{00000000-0005-0000-0000-0000833B0000}"/>
    <cellStyle name="Followed Hyperlink 3" xfId="12913" hidden="1" xr:uid="{00000000-0005-0000-0000-0000843B0000}"/>
    <cellStyle name="Followed Hyperlink 3" xfId="12915" hidden="1" xr:uid="{00000000-0005-0000-0000-0000853B0000}"/>
    <cellStyle name="Followed Hyperlink 3" xfId="12911" hidden="1" xr:uid="{00000000-0005-0000-0000-0000863B0000}"/>
    <cellStyle name="Followed Hyperlink 3" xfId="12910" hidden="1" xr:uid="{00000000-0005-0000-0000-0000873B0000}"/>
    <cellStyle name="Followed Hyperlink 3" xfId="12916" hidden="1" xr:uid="{00000000-0005-0000-0000-0000883B0000}"/>
    <cellStyle name="Followed Hyperlink 3" xfId="12919" hidden="1" xr:uid="{00000000-0005-0000-0000-0000893B0000}"/>
    <cellStyle name="Followed Hyperlink 3" xfId="12922" hidden="1" xr:uid="{00000000-0005-0000-0000-00008A3B0000}"/>
    <cellStyle name="Followed Hyperlink 3" xfId="12927" hidden="1" xr:uid="{00000000-0005-0000-0000-00008B3B0000}"/>
    <cellStyle name="Followed Hyperlink 3" xfId="12938" hidden="1" xr:uid="{00000000-0005-0000-0000-00008C3B0000}"/>
    <cellStyle name="Followed Hyperlink 3" xfId="12940" hidden="1" xr:uid="{00000000-0005-0000-0000-00008D3B0000}"/>
    <cellStyle name="Followed Hyperlink 3" xfId="12936" hidden="1" xr:uid="{00000000-0005-0000-0000-00008E3B0000}"/>
    <cellStyle name="Followed Hyperlink 3" xfId="12935" hidden="1" xr:uid="{00000000-0005-0000-0000-00008F3B0000}"/>
    <cellStyle name="Followed Hyperlink 3" xfId="12941" hidden="1" xr:uid="{00000000-0005-0000-0000-0000903B0000}"/>
    <cellStyle name="Followed Hyperlink 3" xfId="12944" hidden="1" xr:uid="{00000000-0005-0000-0000-0000913B0000}"/>
    <cellStyle name="Followed Hyperlink 3" xfId="12947" hidden="1" xr:uid="{00000000-0005-0000-0000-0000923B0000}"/>
    <cellStyle name="Followed Hyperlink 3" xfId="12952" hidden="1" xr:uid="{00000000-0005-0000-0000-0000933B0000}"/>
    <cellStyle name="Followed Hyperlink 3" xfId="12962" hidden="1" xr:uid="{00000000-0005-0000-0000-0000943B0000}"/>
    <cellStyle name="Followed Hyperlink 3" xfId="12964" hidden="1" xr:uid="{00000000-0005-0000-0000-0000953B0000}"/>
    <cellStyle name="Followed Hyperlink 3" xfId="12960" hidden="1" xr:uid="{00000000-0005-0000-0000-0000963B0000}"/>
    <cellStyle name="Followed Hyperlink 3" xfId="12959" hidden="1" xr:uid="{00000000-0005-0000-0000-0000973B0000}"/>
    <cellStyle name="Followed Hyperlink 3" xfId="12965" hidden="1" xr:uid="{00000000-0005-0000-0000-0000983B0000}"/>
    <cellStyle name="Followed Hyperlink 3" xfId="12968" hidden="1" xr:uid="{00000000-0005-0000-0000-0000993B0000}"/>
    <cellStyle name="Followed Hyperlink 3" xfId="12971" hidden="1" xr:uid="{00000000-0005-0000-0000-00009A3B0000}"/>
    <cellStyle name="Followed Hyperlink 3" xfId="12976" hidden="1" xr:uid="{00000000-0005-0000-0000-00009B3B0000}"/>
    <cellStyle name="Followed Hyperlink 3" xfId="13015" hidden="1" xr:uid="{00000000-0005-0000-0000-00009C3B0000}"/>
    <cellStyle name="Followed Hyperlink 3" xfId="13017" hidden="1" xr:uid="{00000000-0005-0000-0000-00009D3B0000}"/>
    <cellStyle name="Followed Hyperlink 3" xfId="13013" hidden="1" xr:uid="{00000000-0005-0000-0000-00009E3B0000}"/>
    <cellStyle name="Followed Hyperlink 3" xfId="13012" hidden="1" xr:uid="{00000000-0005-0000-0000-00009F3B0000}"/>
    <cellStyle name="Followed Hyperlink 3" xfId="13018" hidden="1" xr:uid="{00000000-0005-0000-0000-0000A03B0000}"/>
    <cellStyle name="Followed Hyperlink 3" xfId="13021" hidden="1" xr:uid="{00000000-0005-0000-0000-0000A13B0000}"/>
    <cellStyle name="Followed Hyperlink 3" xfId="13024" hidden="1" xr:uid="{00000000-0005-0000-0000-0000A23B0000}"/>
    <cellStyle name="Followed Hyperlink 3" xfId="13029" hidden="1" xr:uid="{00000000-0005-0000-0000-0000A33B0000}"/>
    <cellStyle name="Followed Hyperlink 3" xfId="13039" hidden="1" xr:uid="{00000000-0005-0000-0000-0000A43B0000}"/>
    <cellStyle name="Followed Hyperlink 3" xfId="13041" hidden="1" xr:uid="{00000000-0005-0000-0000-0000A53B0000}"/>
    <cellStyle name="Followed Hyperlink 3" xfId="13037" hidden="1" xr:uid="{00000000-0005-0000-0000-0000A63B0000}"/>
    <cellStyle name="Followed Hyperlink 3" xfId="13036" hidden="1" xr:uid="{00000000-0005-0000-0000-0000A73B0000}"/>
    <cellStyle name="Followed Hyperlink 3" xfId="13042" hidden="1" xr:uid="{00000000-0005-0000-0000-0000A83B0000}"/>
    <cellStyle name="Followed Hyperlink 3" xfId="13045" hidden="1" xr:uid="{00000000-0005-0000-0000-0000A93B0000}"/>
    <cellStyle name="Followed Hyperlink 3" xfId="13048" hidden="1" xr:uid="{00000000-0005-0000-0000-0000AA3B0000}"/>
    <cellStyle name="Followed Hyperlink 3" xfId="13053" hidden="1" xr:uid="{00000000-0005-0000-0000-0000AB3B0000}"/>
    <cellStyle name="Followed Hyperlink 3" xfId="13065" hidden="1" xr:uid="{00000000-0005-0000-0000-0000AC3B0000}"/>
    <cellStyle name="Followed Hyperlink 3" xfId="13067" hidden="1" xr:uid="{00000000-0005-0000-0000-0000AD3B0000}"/>
    <cellStyle name="Followed Hyperlink 3" xfId="13063" hidden="1" xr:uid="{00000000-0005-0000-0000-0000AE3B0000}"/>
    <cellStyle name="Followed Hyperlink 3" xfId="13062" hidden="1" xr:uid="{00000000-0005-0000-0000-0000AF3B0000}"/>
    <cellStyle name="Followed Hyperlink 3" xfId="13068" hidden="1" xr:uid="{00000000-0005-0000-0000-0000B03B0000}"/>
    <cellStyle name="Followed Hyperlink 3" xfId="13071" hidden="1" xr:uid="{00000000-0005-0000-0000-0000B13B0000}"/>
    <cellStyle name="Followed Hyperlink 3" xfId="13074" hidden="1" xr:uid="{00000000-0005-0000-0000-0000B23B0000}"/>
    <cellStyle name="Followed Hyperlink 3" xfId="13079" hidden="1" xr:uid="{00000000-0005-0000-0000-0000B33B0000}"/>
    <cellStyle name="Followed Hyperlink 3" xfId="13089" hidden="1" xr:uid="{00000000-0005-0000-0000-0000B43B0000}"/>
    <cellStyle name="Followed Hyperlink 3" xfId="13091" hidden="1" xr:uid="{00000000-0005-0000-0000-0000B53B0000}"/>
    <cellStyle name="Followed Hyperlink 3" xfId="13087" hidden="1" xr:uid="{00000000-0005-0000-0000-0000B63B0000}"/>
    <cellStyle name="Followed Hyperlink 3" xfId="13086" hidden="1" xr:uid="{00000000-0005-0000-0000-0000B73B0000}"/>
    <cellStyle name="Followed Hyperlink 3" xfId="13092" hidden="1" xr:uid="{00000000-0005-0000-0000-0000B83B0000}"/>
    <cellStyle name="Followed Hyperlink 3" xfId="13095" hidden="1" xr:uid="{00000000-0005-0000-0000-0000B93B0000}"/>
    <cellStyle name="Followed Hyperlink 3" xfId="13098" hidden="1" xr:uid="{00000000-0005-0000-0000-0000BA3B0000}"/>
    <cellStyle name="Followed Hyperlink 3" xfId="13103" hidden="1" xr:uid="{00000000-0005-0000-0000-0000BB3B0000}"/>
    <cellStyle name="Followed Hyperlink 3" xfId="13142" hidden="1" xr:uid="{00000000-0005-0000-0000-0000BC3B0000}"/>
    <cellStyle name="Followed Hyperlink 3" xfId="13144" hidden="1" xr:uid="{00000000-0005-0000-0000-0000BD3B0000}"/>
    <cellStyle name="Followed Hyperlink 3" xfId="13140" hidden="1" xr:uid="{00000000-0005-0000-0000-0000BE3B0000}"/>
    <cellStyle name="Followed Hyperlink 3" xfId="13139" hidden="1" xr:uid="{00000000-0005-0000-0000-0000BF3B0000}"/>
    <cellStyle name="Followed Hyperlink 3" xfId="13145" hidden="1" xr:uid="{00000000-0005-0000-0000-0000C03B0000}"/>
    <cellStyle name="Followed Hyperlink 3" xfId="13148" hidden="1" xr:uid="{00000000-0005-0000-0000-0000C13B0000}"/>
    <cellStyle name="Followed Hyperlink 3" xfId="13151" hidden="1" xr:uid="{00000000-0005-0000-0000-0000C23B0000}"/>
    <cellStyle name="Followed Hyperlink 3" xfId="13156" hidden="1" xr:uid="{00000000-0005-0000-0000-0000C33B0000}"/>
    <cellStyle name="Followed Hyperlink 3" xfId="13166" hidden="1" xr:uid="{00000000-0005-0000-0000-0000C43B0000}"/>
    <cellStyle name="Followed Hyperlink 3" xfId="13168" hidden="1" xr:uid="{00000000-0005-0000-0000-0000C53B0000}"/>
    <cellStyle name="Followed Hyperlink 3" xfId="13164" hidden="1" xr:uid="{00000000-0005-0000-0000-0000C63B0000}"/>
    <cellStyle name="Followed Hyperlink 3" xfId="13163" hidden="1" xr:uid="{00000000-0005-0000-0000-0000C73B0000}"/>
    <cellStyle name="Followed Hyperlink 3" xfId="13169" hidden="1" xr:uid="{00000000-0005-0000-0000-0000C83B0000}"/>
    <cellStyle name="Followed Hyperlink 3" xfId="13172" hidden="1" xr:uid="{00000000-0005-0000-0000-0000C93B0000}"/>
    <cellStyle name="Followed Hyperlink 3" xfId="13175" hidden="1" xr:uid="{00000000-0005-0000-0000-0000CA3B0000}"/>
    <cellStyle name="Followed Hyperlink 3" xfId="13180" hidden="1" xr:uid="{00000000-0005-0000-0000-0000CB3B0000}"/>
    <cellStyle name="Followed Hyperlink 3" xfId="13192" hidden="1" xr:uid="{00000000-0005-0000-0000-0000CC3B0000}"/>
    <cellStyle name="Followed Hyperlink 3" xfId="13194" hidden="1" xr:uid="{00000000-0005-0000-0000-0000CD3B0000}"/>
    <cellStyle name="Followed Hyperlink 3" xfId="13190" hidden="1" xr:uid="{00000000-0005-0000-0000-0000CE3B0000}"/>
    <cellStyle name="Followed Hyperlink 3" xfId="13189" hidden="1" xr:uid="{00000000-0005-0000-0000-0000CF3B0000}"/>
    <cellStyle name="Followed Hyperlink 3" xfId="13195" hidden="1" xr:uid="{00000000-0005-0000-0000-0000D03B0000}"/>
    <cellStyle name="Followed Hyperlink 3" xfId="13198" hidden="1" xr:uid="{00000000-0005-0000-0000-0000D13B0000}"/>
    <cellStyle name="Followed Hyperlink 3" xfId="13201" hidden="1" xr:uid="{00000000-0005-0000-0000-0000D23B0000}"/>
    <cellStyle name="Followed Hyperlink 3" xfId="13206" hidden="1" xr:uid="{00000000-0005-0000-0000-0000D33B0000}"/>
    <cellStyle name="Followed Hyperlink 3" xfId="13216" hidden="1" xr:uid="{00000000-0005-0000-0000-0000D43B0000}"/>
    <cellStyle name="Followed Hyperlink 3" xfId="13218" hidden="1" xr:uid="{00000000-0005-0000-0000-0000D53B0000}"/>
    <cellStyle name="Followed Hyperlink 3" xfId="13214" hidden="1" xr:uid="{00000000-0005-0000-0000-0000D63B0000}"/>
    <cellStyle name="Followed Hyperlink 3" xfId="13213" hidden="1" xr:uid="{00000000-0005-0000-0000-0000D73B0000}"/>
    <cellStyle name="Followed Hyperlink 3" xfId="13219" hidden="1" xr:uid="{00000000-0005-0000-0000-0000D83B0000}"/>
    <cellStyle name="Followed Hyperlink 3" xfId="13222" hidden="1" xr:uid="{00000000-0005-0000-0000-0000D93B0000}"/>
    <cellStyle name="Followed Hyperlink 3" xfId="13225" hidden="1" xr:uid="{00000000-0005-0000-0000-0000DA3B0000}"/>
    <cellStyle name="Followed Hyperlink 3" xfId="13230" hidden="1" xr:uid="{00000000-0005-0000-0000-0000DB3B0000}"/>
    <cellStyle name="Followed Hyperlink 3" xfId="13106" hidden="1" xr:uid="{00000000-0005-0000-0000-0000DC3B0000}"/>
    <cellStyle name="Followed Hyperlink 3" xfId="13183" hidden="1" xr:uid="{00000000-0005-0000-0000-0000DD3B0000}"/>
    <cellStyle name="Followed Hyperlink 3" xfId="13110" hidden="1" xr:uid="{00000000-0005-0000-0000-0000DE3B0000}"/>
    <cellStyle name="Followed Hyperlink 3" xfId="13111" hidden="1" xr:uid="{00000000-0005-0000-0000-0000DF3B0000}"/>
    <cellStyle name="Followed Hyperlink 3" xfId="13114" hidden="1" xr:uid="{00000000-0005-0000-0000-0000E03B0000}"/>
    <cellStyle name="Followed Hyperlink 3" xfId="13235" hidden="1" xr:uid="{00000000-0005-0000-0000-0000E13B0000}"/>
    <cellStyle name="Followed Hyperlink 3" xfId="13238" hidden="1" xr:uid="{00000000-0005-0000-0000-0000E23B0000}"/>
    <cellStyle name="Followed Hyperlink 3" xfId="13243" hidden="1" xr:uid="{00000000-0005-0000-0000-0000E33B0000}"/>
    <cellStyle name="Followed Hyperlink 3" xfId="13253" hidden="1" xr:uid="{00000000-0005-0000-0000-0000E43B0000}"/>
    <cellStyle name="Followed Hyperlink 3" xfId="13255" hidden="1" xr:uid="{00000000-0005-0000-0000-0000E53B0000}"/>
    <cellStyle name="Followed Hyperlink 3" xfId="13251" hidden="1" xr:uid="{00000000-0005-0000-0000-0000E63B0000}"/>
    <cellStyle name="Followed Hyperlink 3" xfId="13250" hidden="1" xr:uid="{00000000-0005-0000-0000-0000E73B0000}"/>
    <cellStyle name="Followed Hyperlink 3" xfId="13256" hidden="1" xr:uid="{00000000-0005-0000-0000-0000E83B0000}"/>
    <cellStyle name="Followed Hyperlink 3" xfId="13259" hidden="1" xr:uid="{00000000-0005-0000-0000-0000E93B0000}"/>
    <cellStyle name="Followed Hyperlink 3" xfId="13262" hidden="1" xr:uid="{00000000-0005-0000-0000-0000EA3B0000}"/>
    <cellStyle name="Followed Hyperlink 3" xfId="13267" hidden="1" xr:uid="{00000000-0005-0000-0000-0000EB3B0000}"/>
    <cellStyle name="Followed Hyperlink 3" xfId="13278" hidden="1" xr:uid="{00000000-0005-0000-0000-0000EC3B0000}"/>
    <cellStyle name="Followed Hyperlink 3" xfId="13280" hidden="1" xr:uid="{00000000-0005-0000-0000-0000ED3B0000}"/>
    <cellStyle name="Followed Hyperlink 3" xfId="13276" hidden="1" xr:uid="{00000000-0005-0000-0000-0000EE3B0000}"/>
    <cellStyle name="Followed Hyperlink 3" xfId="13275" hidden="1" xr:uid="{00000000-0005-0000-0000-0000EF3B0000}"/>
    <cellStyle name="Followed Hyperlink 3" xfId="13281" hidden="1" xr:uid="{00000000-0005-0000-0000-0000F03B0000}"/>
    <cellStyle name="Followed Hyperlink 3" xfId="13284" hidden="1" xr:uid="{00000000-0005-0000-0000-0000F13B0000}"/>
    <cellStyle name="Followed Hyperlink 3" xfId="13287" hidden="1" xr:uid="{00000000-0005-0000-0000-0000F23B0000}"/>
    <cellStyle name="Followed Hyperlink 3" xfId="13292" hidden="1" xr:uid="{00000000-0005-0000-0000-0000F33B0000}"/>
    <cellStyle name="Followed Hyperlink 3" xfId="13302" hidden="1" xr:uid="{00000000-0005-0000-0000-0000F43B0000}"/>
    <cellStyle name="Followed Hyperlink 3" xfId="13304" hidden="1" xr:uid="{00000000-0005-0000-0000-0000F53B0000}"/>
    <cellStyle name="Followed Hyperlink 3" xfId="13300" hidden="1" xr:uid="{00000000-0005-0000-0000-0000F63B0000}"/>
    <cellStyle name="Followed Hyperlink 3" xfId="13299" hidden="1" xr:uid="{00000000-0005-0000-0000-0000F73B0000}"/>
    <cellStyle name="Followed Hyperlink 3" xfId="13305" hidden="1" xr:uid="{00000000-0005-0000-0000-0000F83B0000}"/>
    <cellStyle name="Followed Hyperlink 3" xfId="13308" hidden="1" xr:uid="{00000000-0005-0000-0000-0000F93B0000}"/>
    <cellStyle name="Followed Hyperlink 3" xfId="13311" hidden="1" xr:uid="{00000000-0005-0000-0000-0000FA3B0000}"/>
    <cellStyle name="Followed Hyperlink 3" xfId="13316" hidden="1" xr:uid="{00000000-0005-0000-0000-0000FB3B0000}"/>
    <cellStyle name="Followed Hyperlink 3" xfId="13127" hidden="1" xr:uid="{00000000-0005-0000-0000-0000FC3B0000}"/>
    <cellStyle name="Followed Hyperlink 3" xfId="13270" hidden="1" xr:uid="{00000000-0005-0000-0000-0000FD3B0000}"/>
    <cellStyle name="Followed Hyperlink 3" xfId="13124" hidden="1" xr:uid="{00000000-0005-0000-0000-0000FE3B0000}"/>
    <cellStyle name="Followed Hyperlink 3" xfId="13116" hidden="1" xr:uid="{00000000-0005-0000-0000-0000FF3B0000}"/>
    <cellStyle name="Followed Hyperlink 3" xfId="13121" hidden="1" xr:uid="{00000000-0005-0000-0000-0000003C0000}"/>
    <cellStyle name="Followed Hyperlink 3" xfId="13321" hidden="1" xr:uid="{00000000-0005-0000-0000-0000013C0000}"/>
    <cellStyle name="Followed Hyperlink 3" xfId="13324" hidden="1" xr:uid="{00000000-0005-0000-0000-0000023C0000}"/>
    <cellStyle name="Followed Hyperlink 3" xfId="13329" hidden="1" xr:uid="{00000000-0005-0000-0000-0000033C0000}"/>
    <cellStyle name="Followed Hyperlink 3" xfId="13339" hidden="1" xr:uid="{00000000-0005-0000-0000-0000043C0000}"/>
    <cellStyle name="Followed Hyperlink 3" xfId="13341" hidden="1" xr:uid="{00000000-0005-0000-0000-0000053C0000}"/>
    <cellStyle name="Followed Hyperlink 3" xfId="13337" hidden="1" xr:uid="{00000000-0005-0000-0000-0000063C0000}"/>
    <cellStyle name="Followed Hyperlink 3" xfId="13336" hidden="1" xr:uid="{00000000-0005-0000-0000-0000073C0000}"/>
    <cellStyle name="Followed Hyperlink 3" xfId="13342" hidden="1" xr:uid="{00000000-0005-0000-0000-0000083C0000}"/>
    <cellStyle name="Followed Hyperlink 3" xfId="13345" hidden="1" xr:uid="{00000000-0005-0000-0000-0000093C0000}"/>
    <cellStyle name="Followed Hyperlink 3" xfId="13348" hidden="1" xr:uid="{00000000-0005-0000-0000-00000A3C0000}"/>
    <cellStyle name="Followed Hyperlink 3" xfId="13353" hidden="1" xr:uid="{00000000-0005-0000-0000-00000B3C0000}"/>
    <cellStyle name="Followed Hyperlink 3" xfId="13364" hidden="1" xr:uid="{00000000-0005-0000-0000-00000C3C0000}"/>
    <cellStyle name="Followed Hyperlink 3" xfId="13366" hidden="1" xr:uid="{00000000-0005-0000-0000-00000D3C0000}"/>
    <cellStyle name="Followed Hyperlink 3" xfId="13362" hidden="1" xr:uid="{00000000-0005-0000-0000-00000E3C0000}"/>
    <cellStyle name="Followed Hyperlink 3" xfId="13361" hidden="1" xr:uid="{00000000-0005-0000-0000-00000F3C0000}"/>
    <cellStyle name="Followed Hyperlink 3" xfId="13367" hidden="1" xr:uid="{00000000-0005-0000-0000-0000103C0000}"/>
    <cellStyle name="Followed Hyperlink 3" xfId="13370" hidden="1" xr:uid="{00000000-0005-0000-0000-0000113C0000}"/>
    <cellStyle name="Followed Hyperlink 3" xfId="13373" hidden="1" xr:uid="{00000000-0005-0000-0000-0000123C0000}"/>
    <cellStyle name="Followed Hyperlink 3" xfId="13378" hidden="1" xr:uid="{00000000-0005-0000-0000-0000133C0000}"/>
    <cellStyle name="Followed Hyperlink 3" xfId="13388" hidden="1" xr:uid="{00000000-0005-0000-0000-0000143C0000}"/>
    <cellStyle name="Followed Hyperlink 3" xfId="13390" hidden="1" xr:uid="{00000000-0005-0000-0000-0000153C0000}"/>
    <cellStyle name="Followed Hyperlink 3" xfId="13386" hidden="1" xr:uid="{00000000-0005-0000-0000-0000163C0000}"/>
    <cellStyle name="Followed Hyperlink 3" xfId="13385" hidden="1" xr:uid="{00000000-0005-0000-0000-0000173C0000}"/>
    <cellStyle name="Followed Hyperlink 3" xfId="13391" hidden="1" xr:uid="{00000000-0005-0000-0000-0000183C0000}"/>
    <cellStyle name="Followed Hyperlink 3" xfId="13394" hidden="1" xr:uid="{00000000-0005-0000-0000-0000193C0000}"/>
    <cellStyle name="Followed Hyperlink 3" xfId="13397" hidden="1" xr:uid="{00000000-0005-0000-0000-00001A3C0000}"/>
    <cellStyle name="Followed Hyperlink 3" xfId="13402" hidden="1" xr:uid="{00000000-0005-0000-0000-00001B3C0000}"/>
    <cellStyle name="Followed Hyperlink 3" xfId="13132" hidden="1" xr:uid="{00000000-0005-0000-0000-00001C3C0000}"/>
    <cellStyle name="Followed Hyperlink 3" xfId="13356" hidden="1" xr:uid="{00000000-0005-0000-0000-00001D3C0000}"/>
    <cellStyle name="Followed Hyperlink 3" xfId="13128" hidden="1" xr:uid="{00000000-0005-0000-0000-00001E3C0000}"/>
    <cellStyle name="Followed Hyperlink 3" xfId="13133" hidden="1" xr:uid="{00000000-0005-0000-0000-00001F3C0000}"/>
    <cellStyle name="Followed Hyperlink 3" xfId="13120" hidden="1" xr:uid="{00000000-0005-0000-0000-0000203C0000}"/>
    <cellStyle name="Followed Hyperlink 3" xfId="13407" hidden="1" xr:uid="{00000000-0005-0000-0000-0000213C0000}"/>
    <cellStyle name="Followed Hyperlink 3" xfId="13410" hidden="1" xr:uid="{00000000-0005-0000-0000-0000223C0000}"/>
    <cellStyle name="Followed Hyperlink 3" xfId="13415" hidden="1" xr:uid="{00000000-0005-0000-0000-0000233C0000}"/>
    <cellStyle name="Followed Hyperlink 3" xfId="13425" hidden="1" xr:uid="{00000000-0005-0000-0000-0000243C0000}"/>
    <cellStyle name="Followed Hyperlink 3" xfId="13427" hidden="1" xr:uid="{00000000-0005-0000-0000-0000253C0000}"/>
    <cellStyle name="Followed Hyperlink 3" xfId="13423" hidden="1" xr:uid="{00000000-0005-0000-0000-0000263C0000}"/>
    <cellStyle name="Followed Hyperlink 3" xfId="13422" hidden="1" xr:uid="{00000000-0005-0000-0000-0000273C0000}"/>
    <cellStyle name="Followed Hyperlink 3" xfId="13428" hidden="1" xr:uid="{00000000-0005-0000-0000-0000283C0000}"/>
    <cellStyle name="Followed Hyperlink 3" xfId="13431" hidden="1" xr:uid="{00000000-0005-0000-0000-0000293C0000}"/>
    <cellStyle name="Followed Hyperlink 3" xfId="13434" hidden="1" xr:uid="{00000000-0005-0000-0000-00002A3C0000}"/>
    <cellStyle name="Followed Hyperlink 3" xfId="13439" hidden="1" xr:uid="{00000000-0005-0000-0000-00002B3C0000}"/>
    <cellStyle name="Followed Hyperlink 3" xfId="13449" hidden="1" xr:uid="{00000000-0005-0000-0000-00002C3C0000}"/>
    <cellStyle name="Followed Hyperlink 3" xfId="13451" hidden="1" xr:uid="{00000000-0005-0000-0000-00002D3C0000}"/>
    <cellStyle name="Followed Hyperlink 3" xfId="13447" hidden="1" xr:uid="{00000000-0005-0000-0000-00002E3C0000}"/>
    <cellStyle name="Followed Hyperlink 3" xfId="13446" hidden="1" xr:uid="{00000000-0005-0000-0000-00002F3C0000}"/>
    <cellStyle name="Followed Hyperlink 3" xfId="13452" hidden="1" xr:uid="{00000000-0005-0000-0000-0000303C0000}"/>
    <cellStyle name="Followed Hyperlink 3" xfId="13455" hidden="1" xr:uid="{00000000-0005-0000-0000-0000313C0000}"/>
    <cellStyle name="Followed Hyperlink 3" xfId="13458" hidden="1" xr:uid="{00000000-0005-0000-0000-0000323C0000}"/>
    <cellStyle name="Followed Hyperlink 3" xfId="13463" hidden="1" xr:uid="{00000000-0005-0000-0000-0000333C0000}"/>
    <cellStyle name="Followed Hyperlink 3" xfId="13473" hidden="1" xr:uid="{00000000-0005-0000-0000-0000343C0000}"/>
    <cellStyle name="Followed Hyperlink 3" xfId="13475" hidden="1" xr:uid="{00000000-0005-0000-0000-0000353C0000}"/>
    <cellStyle name="Followed Hyperlink 3" xfId="13471" hidden="1" xr:uid="{00000000-0005-0000-0000-0000363C0000}"/>
    <cellStyle name="Followed Hyperlink 3" xfId="13470" hidden="1" xr:uid="{00000000-0005-0000-0000-0000373C0000}"/>
    <cellStyle name="Followed Hyperlink 3" xfId="13476" hidden="1" xr:uid="{00000000-0005-0000-0000-0000383C0000}"/>
    <cellStyle name="Followed Hyperlink 3" xfId="13479" hidden="1" xr:uid="{00000000-0005-0000-0000-0000393C0000}"/>
    <cellStyle name="Followed Hyperlink 3" xfId="13482" hidden="1" xr:uid="{00000000-0005-0000-0000-00003A3C0000}"/>
    <cellStyle name="Followed Hyperlink 3" xfId="13487" hidden="1" xr:uid="{00000000-0005-0000-0000-00003B3C0000}"/>
    <cellStyle name="Followed Hyperlink 3" xfId="12979" hidden="1" xr:uid="{00000000-0005-0000-0000-00003C3C0000}"/>
    <cellStyle name="Followed Hyperlink 3" xfId="13056" hidden="1" xr:uid="{00000000-0005-0000-0000-00003D3C0000}"/>
    <cellStyle name="Followed Hyperlink 3" xfId="12983" hidden="1" xr:uid="{00000000-0005-0000-0000-00003E3C0000}"/>
    <cellStyle name="Followed Hyperlink 3" xfId="12984" hidden="1" xr:uid="{00000000-0005-0000-0000-00003F3C0000}"/>
    <cellStyle name="Followed Hyperlink 3" xfId="12987" hidden="1" xr:uid="{00000000-0005-0000-0000-0000403C0000}"/>
    <cellStyle name="Followed Hyperlink 3" xfId="13492" hidden="1" xr:uid="{00000000-0005-0000-0000-0000413C0000}"/>
    <cellStyle name="Followed Hyperlink 3" xfId="13495" hidden="1" xr:uid="{00000000-0005-0000-0000-0000423C0000}"/>
    <cellStyle name="Followed Hyperlink 3" xfId="13500" hidden="1" xr:uid="{00000000-0005-0000-0000-0000433C0000}"/>
    <cellStyle name="Followed Hyperlink 3" xfId="13510" hidden="1" xr:uid="{00000000-0005-0000-0000-0000443C0000}"/>
    <cellStyle name="Followed Hyperlink 3" xfId="13512" hidden="1" xr:uid="{00000000-0005-0000-0000-0000453C0000}"/>
    <cellStyle name="Followed Hyperlink 3" xfId="13508" hidden="1" xr:uid="{00000000-0005-0000-0000-0000463C0000}"/>
    <cellStyle name="Followed Hyperlink 3" xfId="13507" hidden="1" xr:uid="{00000000-0005-0000-0000-0000473C0000}"/>
    <cellStyle name="Followed Hyperlink 3" xfId="13513" hidden="1" xr:uid="{00000000-0005-0000-0000-0000483C0000}"/>
    <cellStyle name="Followed Hyperlink 3" xfId="13516" hidden="1" xr:uid="{00000000-0005-0000-0000-0000493C0000}"/>
    <cellStyle name="Followed Hyperlink 3" xfId="13519" hidden="1" xr:uid="{00000000-0005-0000-0000-00004A3C0000}"/>
    <cellStyle name="Followed Hyperlink 3" xfId="13524" hidden="1" xr:uid="{00000000-0005-0000-0000-00004B3C0000}"/>
    <cellStyle name="Followed Hyperlink 3" xfId="13535" hidden="1" xr:uid="{00000000-0005-0000-0000-00004C3C0000}"/>
    <cellStyle name="Followed Hyperlink 3" xfId="13537" hidden="1" xr:uid="{00000000-0005-0000-0000-00004D3C0000}"/>
    <cellStyle name="Followed Hyperlink 3" xfId="13533" hidden="1" xr:uid="{00000000-0005-0000-0000-00004E3C0000}"/>
    <cellStyle name="Followed Hyperlink 3" xfId="13532" hidden="1" xr:uid="{00000000-0005-0000-0000-00004F3C0000}"/>
    <cellStyle name="Followed Hyperlink 3" xfId="13538" hidden="1" xr:uid="{00000000-0005-0000-0000-0000503C0000}"/>
    <cellStyle name="Followed Hyperlink 3" xfId="13541" hidden="1" xr:uid="{00000000-0005-0000-0000-0000513C0000}"/>
    <cellStyle name="Followed Hyperlink 3" xfId="13544" hidden="1" xr:uid="{00000000-0005-0000-0000-0000523C0000}"/>
    <cellStyle name="Followed Hyperlink 3" xfId="13549" hidden="1" xr:uid="{00000000-0005-0000-0000-0000533C0000}"/>
    <cellStyle name="Followed Hyperlink 3" xfId="13559" hidden="1" xr:uid="{00000000-0005-0000-0000-0000543C0000}"/>
    <cellStyle name="Followed Hyperlink 3" xfId="13561" hidden="1" xr:uid="{00000000-0005-0000-0000-0000553C0000}"/>
    <cellStyle name="Followed Hyperlink 3" xfId="13557" hidden="1" xr:uid="{00000000-0005-0000-0000-0000563C0000}"/>
    <cellStyle name="Followed Hyperlink 3" xfId="13556" hidden="1" xr:uid="{00000000-0005-0000-0000-0000573C0000}"/>
    <cellStyle name="Followed Hyperlink 3" xfId="13562" hidden="1" xr:uid="{00000000-0005-0000-0000-0000583C0000}"/>
    <cellStyle name="Followed Hyperlink 3" xfId="13565" hidden="1" xr:uid="{00000000-0005-0000-0000-0000593C0000}"/>
    <cellStyle name="Followed Hyperlink 3" xfId="13568" hidden="1" xr:uid="{00000000-0005-0000-0000-00005A3C0000}"/>
    <cellStyle name="Followed Hyperlink 3" xfId="13573" hidden="1" xr:uid="{00000000-0005-0000-0000-00005B3C0000}"/>
    <cellStyle name="Followed Hyperlink 3" xfId="13612" hidden="1" xr:uid="{00000000-0005-0000-0000-00005C3C0000}"/>
    <cellStyle name="Followed Hyperlink 3" xfId="13614" hidden="1" xr:uid="{00000000-0005-0000-0000-00005D3C0000}"/>
    <cellStyle name="Followed Hyperlink 3" xfId="13610" hidden="1" xr:uid="{00000000-0005-0000-0000-00005E3C0000}"/>
    <cellStyle name="Followed Hyperlink 3" xfId="13609" hidden="1" xr:uid="{00000000-0005-0000-0000-00005F3C0000}"/>
    <cellStyle name="Followed Hyperlink 3" xfId="13615" hidden="1" xr:uid="{00000000-0005-0000-0000-0000603C0000}"/>
    <cellStyle name="Followed Hyperlink 3" xfId="13618" hidden="1" xr:uid="{00000000-0005-0000-0000-0000613C0000}"/>
    <cellStyle name="Followed Hyperlink 3" xfId="13621" hidden="1" xr:uid="{00000000-0005-0000-0000-0000623C0000}"/>
    <cellStyle name="Followed Hyperlink 3" xfId="13626" hidden="1" xr:uid="{00000000-0005-0000-0000-0000633C0000}"/>
    <cellStyle name="Followed Hyperlink 3" xfId="13636" hidden="1" xr:uid="{00000000-0005-0000-0000-0000643C0000}"/>
    <cellStyle name="Followed Hyperlink 3" xfId="13638" hidden="1" xr:uid="{00000000-0005-0000-0000-0000653C0000}"/>
    <cellStyle name="Followed Hyperlink 3" xfId="13634" hidden="1" xr:uid="{00000000-0005-0000-0000-0000663C0000}"/>
    <cellStyle name="Followed Hyperlink 3" xfId="13633" hidden="1" xr:uid="{00000000-0005-0000-0000-0000673C0000}"/>
    <cellStyle name="Followed Hyperlink 3" xfId="13639" hidden="1" xr:uid="{00000000-0005-0000-0000-0000683C0000}"/>
    <cellStyle name="Followed Hyperlink 3" xfId="13642" hidden="1" xr:uid="{00000000-0005-0000-0000-0000693C0000}"/>
    <cellStyle name="Followed Hyperlink 3" xfId="13645" hidden="1" xr:uid="{00000000-0005-0000-0000-00006A3C0000}"/>
    <cellStyle name="Followed Hyperlink 3" xfId="13650" hidden="1" xr:uid="{00000000-0005-0000-0000-00006B3C0000}"/>
    <cellStyle name="Followed Hyperlink 3" xfId="13662" hidden="1" xr:uid="{00000000-0005-0000-0000-00006C3C0000}"/>
    <cellStyle name="Followed Hyperlink 3" xfId="13664" hidden="1" xr:uid="{00000000-0005-0000-0000-00006D3C0000}"/>
    <cellStyle name="Followed Hyperlink 3" xfId="13660" hidden="1" xr:uid="{00000000-0005-0000-0000-00006E3C0000}"/>
    <cellStyle name="Followed Hyperlink 3" xfId="13659" hidden="1" xr:uid="{00000000-0005-0000-0000-00006F3C0000}"/>
    <cellStyle name="Followed Hyperlink 3" xfId="13665" hidden="1" xr:uid="{00000000-0005-0000-0000-0000703C0000}"/>
    <cellStyle name="Followed Hyperlink 3" xfId="13668" hidden="1" xr:uid="{00000000-0005-0000-0000-0000713C0000}"/>
    <cellStyle name="Followed Hyperlink 3" xfId="13671" hidden="1" xr:uid="{00000000-0005-0000-0000-0000723C0000}"/>
    <cellStyle name="Followed Hyperlink 3" xfId="13676" hidden="1" xr:uid="{00000000-0005-0000-0000-0000733C0000}"/>
    <cellStyle name="Followed Hyperlink 3" xfId="13686" hidden="1" xr:uid="{00000000-0005-0000-0000-0000743C0000}"/>
    <cellStyle name="Followed Hyperlink 3" xfId="13688" hidden="1" xr:uid="{00000000-0005-0000-0000-0000753C0000}"/>
    <cellStyle name="Followed Hyperlink 3" xfId="13684" hidden="1" xr:uid="{00000000-0005-0000-0000-0000763C0000}"/>
    <cellStyle name="Followed Hyperlink 3" xfId="13683" hidden="1" xr:uid="{00000000-0005-0000-0000-0000773C0000}"/>
    <cellStyle name="Followed Hyperlink 3" xfId="13689" hidden="1" xr:uid="{00000000-0005-0000-0000-0000783C0000}"/>
    <cellStyle name="Followed Hyperlink 3" xfId="13692" hidden="1" xr:uid="{00000000-0005-0000-0000-0000793C0000}"/>
    <cellStyle name="Followed Hyperlink 3" xfId="13695" hidden="1" xr:uid="{00000000-0005-0000-0000-00007A3C0000}"/>
    <cellStyle name="Followed Hyperlink 3" xfId="13700" hidden="1" xr:uid="{00000000-0005-0000-0000-00007B3C0000}"/>
    <cellStyle name="Followed Hyperlink 3" xfId="13576" hidden="1" xr:uid="{00000000-0005-0000-0000-00007C3C0000}"/>
    <cellStyle name="Followed Hyperlink 3" xfId="13653" hidden="1" xr:uid="{00000000-0005-0000-0000-00007D3C0000}"/>
    <cellStyle name="Followed Hyperlink 3" xfId="13580" hidden="1" xr:uid="{00000000-0005-0000-0000-00007E3C0000}"/>
    <cellStyle name="Followed Hyperlink 3" xfId="13581" hidden="1" xr:uid="{00000000-0005-0000-0000-00007F3C0000}"/>
    <cellStyle name="Followed Hyperlink 3" xfId="13584" hidden="1" xr:uid="{00000000-0005-0000-0000-0000803C0000}"/>
    <cellStyle name="Followed Hyperlink 3" xfId="13705" hidden="1" xr:uid="{00000000-0005-0000-0000-0000813C0000}"/>
    <cellStyle name="Followed Hyperlink 3" xfId="13708" hidden="1" xr:uid="{00000000-0005-0000-0000-0000823C0000}"/>
    <cellStyle name="Followed Hyperlink 3" xfId="13713" hidden="1" xr:uid="{00000000-0005-0000-0000-0000833C0000}"/>
    <cellStyle name="Followed Hyperlink 3" xfId="13723" hidden="1" xr:uid="{00000000-0005-0000-0000-0000843C0000}"/>
    <cellStyle name="Followed Hyperlink 3" xfId="13725" hidden="1" xr:uid="{00000000-0005-0000-0000-0000853C0000}"/>
    <cellStyle name="Followed Hyperlink 3" xfId="13721" hidden="1" xr:uid="{00000000-0005-0000-0000-0000863C0000}"/>
    <cellStyle name="Followed Hyperlink 3" xfId="13720" hidden="1" xr:uid="{00000000-0005-0000-0000-0000873C0000}"/>
    <cellStyle name="Followed Hyperlink 3" xfId="13726" hidden="1" xr:uid="{00000000-0005-0000-0000-0000883C0000}"/>
    <cellStyle name="Followed Hyperlink 3" xfId="13729" hidden="1" xr:uid="{00000000-0005-0000-0000-0000893C0000}"/>
    <cellStyle name="Followed Hyperlink 3" xfId="13732" hidden="1" xr:uid="{00000000-0005-0000-0000-00008A3C0000}"/>
    <cellStyle name="Followed Hyperlink 3" xfId="13737" hidden="1" xr:uid="{00000000-0005-0000-0000-00008B3C0000}"/>
    <cellStyle name="Followed Hyperlink 3" xfId="13748" hidden="1" xr:uid="{00000000-0005-0000-0000-00008C3C0000}"/>
    <cellStyle name="Followed Hyperlink 3" xfId="13750" hidden="1" xr:uid="{00000000-0005-0000-0000-00008D3C0000}"/>
    <cellStyle name="Followed Hyperlink 3" xfId="13746" hidden="1" xr:uid="{00000000-0005-0000-0000-00008E3C0000}"/>
    <cellStyle name="Followed Hyperlink 3" xfId="13745" hidden="1" xr:uid="{00000000-0005-0000-0000-00008F3C0000}"/>
    <cellStyle name="Followed Hyperlink 3" xfId="13751" hidden="1" xr:uid="{00000000-0005-0000-0000-0000903C0000}"/>
    <cellStyle name="Followed Hyperlink 3" xfId="13754" hidden="1" xr:uid="{00000000-0005-0000-0000-0000913C0000}"/>
    <cellStyle name="Followed Hyperlink 3" xfId="13757" hidden="1" xr:uid="{00000000-0005-0000-0000-0000923C0000}"/>
    <cellStyle name="Followed Hyperlink 3" xfId="13762" hidden="1" xr:uid="{00000000-0005-0000-0000-0000933C0000}"/>
    <cellStyle name="Followed Hyperlink 3" xfId="13772" hidden="1" xr:uid="{00000000-0005-0000-0000-0000943C0000}"/>
    <cellStyle name="Followed Hyperlink 3" xfId="13774" hidden="1" xr:uid="{00000000-0005-0000-0000-0000953C0000}"/>
    <cellStyle name="Followed Hyperlink 3" xfId="13770" hidden="1" xr:uid="{00000000-0005-0000-0000-0000963C0000}"/>
    <cellStyle name="Followed Hyperlink 3" xfId="13769" hidden="1" xr:uid="{00000000-0005-0000-0000-0000973C0000}"/>
    <cellStyle name="Followed Hyperlink 3" xfId="13775" hidden="1" xr:uid="{00000000-0005-0000-0000-0000983C0000}"/>
    <cellStyle name="Followed Hyperlink 3" xfId="13778" hidden="1" xr:uid="{00000000-0005-0000-0000-0000993C0000}"/>
    <cellStyle name="Followed Hyperlink 3" xfId="13781" hidden="1" xr:uid="{00000000-0005-0000-0000-00009A3C0000}"/>
    <cellStyle name="Followed Hyperlink 3" xfId="13786" hidden="1" xr:uid="{00000000-0005-0000-0000-00009B3C0000}"/>
    <cellStyle name="Followed Hyperlink 3" xfId="13597" hidden="1" xr:uid="{00000000-0005-0000-0000-00009C3C0000}"/>
    <cellStyle name="Followed Hyperlink 3" xfId="13740" hidden="1" xr:uid="{00000000-0005-0000-0000-00009D3C0000}"/>
    <cellStyle name="Followed Hyperlink 3" xfId="13594" hidden="1" xr:uid="{00000000-0005-0000-0000-00009E3C0000}"/>
    <cellStyle name="Followed Hyperlink 3" xfId="13586" hidden="1" xr:uid="{00000000-0005-0000-0000-00009F3C0000}"/>
    <cellStyle name="Followed Hyperlink 3" xfId="13591" hidden="1" xr:uid="{00000000-0005-0000-0000-0000A03C0000}"/>
    <cellStyle name="Followed Hyperlink 3" xfId="13791" hidden="1" xr:uid="{00000000-0005-0000-0000-0000A13C0000}"/>
    <cellStyle name="Followed Hyperlink 3" xfId="13794" hidden="1" xr:uid="{00000000-0005-0000-0000-0000A23C0000}"/>
    <cellStyle name="Followed Hyperlink 3" xfId="13799" hidden="1" xr:uid="{00000000-0005-0000-0000-0000A33C0000}"/>
    <cellStyle name="Followed Hyperlink 3" xfId="13809" hidden="1" xr:uid="{00000000-0005-0000-0000-0000A43C0000}"/>
    <cellStyle name="Followed Hyperlink 3" xfId="13811" hidden="1" xr:uid="{00000000-0005-0000-0000-0000A53C0000}"/>
    <cellStyle name="Followed Hyperlink 3" xfId="13807" hidden="1" xr:uid="{00000000-0005-0000-0000-0000A63C0000}"/>
    <cellStyle name="Followed Hyperlink 3" xfId="13806" hidden="1" xr:uid="{00000000-0005-0000-0000-0000A73C0000}"/>
    <cellStyle name="Followed Hyperlink 3" xfId="13812" hidden="1" xr:uid="{00000000-0005-0000-0000-0000A83C0000}"/>
    <cellStyle name="Followed Hyperlink 3" xfId="13815" hidden="1" xr:uid="{00000000-0005-0000-0000-0000A93C0000}"/>
    <cellStyle name="Followed Hyperlink 3" xfId="13818" hidden="1" xr:uid="{00000000-0005-0000-0000-0000AA3C0000}"/>
    <cellStyle name="Followed Hyperlink 3" xfId="13823" hidden="1" xr:uid="{00000000-0005-0000-0000-0000AB3C0000}"/>
    <cellStyle name="Followed Hyperlink 3" xfId="13834" hidden="1" xr:uid="{00000000-0005-0000-0000-0000AC3C0000}"/>
    <cellStyle name="Followed Hyperlink 3" xfId="13836" hidden="1" xr:uid="{00000000-0005-0000-0000-0000AD3C0000}"/>
    <cellStyle name="Followed Hyperlink 3" xfId="13832" hidden="1" xr:uid="{00000000-0005-0000-0000-0000AE3C0000}"/>
    <cellStyle name="Followed Hyperlink 3" xfId="13831" hidden="1" xr:uid="{00000000-0005-0000-0000-0000AF3C0000}"/>
    <cellStyle name="Followed Hyperlink 3" xfId="13837" hidden="1" xr:uid="{00000000-0005-0000-0000-0000B03C0000}"/>
    <cellStyle name="Followed Hyperlink 3" xfId="13840" hidden="1" xr:uid="{00000000-0005-0000-0000-0000B13C0000}"/>
    <cellStyle name="Followed Hyperlink 3" xfId="13843" hidden="1" xr:uid="{00000000-0005-0000-0000-0000B23C0000}"/>
    <cellStyle name="Followed Hyperlink 3" xfId="13848" hidden="1" xr:uid="{00000000-0005-0000-0000-0000B33C0000}"/>
    <cellStyle name="Followed Hyperlink 3" xfId="13858" hidden="1" xr:uid="{00000000-0005-0000-0000-0000B43C0000}"/>
    <cellStyle name="Followed Hyperlink 3" xfId="13860" hidden="1" xr:uid="{00000000-0005-0000-0000-0000B53C0000}"/>
    <cellStyle name="Followed Hyperlink 3" xfId="13856" hidden="1" xr:uid="{00000000-0005-0000-0000-0000B63C0000}"/>
    <cellStyle name="Followed Hyperlink 3" xfId="13855" hidden="1" xr:uid="{00000000-0005-0000-0000-0000B73C0000}"/>
    <cellStyle name="Followed Hyperlink 3" xfId="13861" hidden="1" xr:uid="{00000000-0005-0000-0000-0000B83C0000}"/>
    <cellStyle name="Followed Hyperlink 3" xfId="13864" hidden="1" xr:uid="{00000000-0005-0000-0000-0000B93C0000}"/>
    <cellStyle name="Followed Hyperlink 3" xfId="13867" hidden="1" xr:uid="{00000000-0005-0000-0000-0000BA3C0000}"/>
    <cellStyle name="Followed Hyperlink 3" xfId="13872" hidden="1" xr:uid="{00000000-0005-0000-0000-0000BB3C0000}"/>
    <cellStyle name="Followed Hyperlink 3" xfId="13602" hidden="1" xr:uid="{00000000-0005-0000-0000-0000BC3C0000}"/>
    <cellStyle name="Followed Hyperlink 3" xfId="13826" hidden="1" xr:uid="{00000000-0005-0000-0000-0000BD3C0000}"/>
    <cellStyle name="Followed Hyperlink 3" xfId="13598" hidden="1" xr:uid="{00000000-0005-0000-0000-0000BE3C0000}"/>
    <cellStyle name="Followed Hyperlink 3" xfId="13603" hidden="1" xr:uid="{00000000-0005-0000-0000-0000BF3C0000}"/>
    <cellStyle name="Followed Hyperlink 3" xfId="13590" hidden="1" xr:uid="{00000000-0005-0000-0000-0000C03C0000}"/>
    <cellStyle name="Followed Hyperlink 3" xfId="13877" hidden="1" xr:uid="{00000000-0005-0000-0000-0000C13C0000}"/>
    <cellStyle name="Followed Hyperlink 3" xfId="13880" hidden="1" xr:uid="{00000000-0005-0000-0000-0000C23C0000}"/>
    <cellStyle name="Followed Hyperlink 3" xfId="13885" hidden="1" xr:uid="{00000000-0005-0000-0000-0000C33C0000}"/>
    <cellStyle name="Followed Hyperlink 3" xfId="13895" hidden="1" xr:uid="{00000000-0005-0000-0000-0000C43C0000}"/>
    <cellStyle name="Followed Hyperlink 3" xfId="13897" hidden="1" xr:uid="{00000000-0005-0000-0000-0000C53C0000}"/>
    <cellStyle name="Followed Hyperlink 3" xfId="13893" hidden="1" xr:uid="{00000000-0005-0000-0000-0000C63C0000}"/>
    <cellStyle name="Followed Hyperlink 3" xfId="13892" hidden="1" xr:uid="{00000000-0005-0000-0000-0000C73C0000}"/>
    <cellStyle name="Followed Hyperlink 3" xfId="13898" hidden="1" xr:uid="{00000000-0005-0000-0000-0000C83C0000}"/>
    <cellStyle name="Followed Hyperlink 3" xfId="13901" hidden="1" xr:uid="{00000000-0005-0000-0000-0000C93C0000}"/>
    <cellStyle name="Followed Hyperlink 3" xfId="13904" hidden="1" xr:uid="{00000000-0005-0000-0000-0000CA3C0000}"/>
    <cellStyle name="Followed Hyperlink 3" xfId="13909" hidden="1" xr:uid="{00000000-0005-0000-0000-0000CB3C0000}"/>
    <cellStyle name="Followed Hyperlink 3" xfId="13919" hidden="1" xr:uid="{00000000-0005-0000-0000-0000CC3C0000}"/>
    <cellStyle name="Followed Hyperlink 3" xfId="13921" hidden="1" xr:uid="{00000000-0005-0000-0000-0000CD3C0000}"/>
    <cellStyle name="Followed Hyperlink 3" xfId="13917" hidden="1" xr:uid="{00000000-0005-0000-0000-0000CE3C0000}"/>
    <cellStyle name="Followed Hyperlink 3" xfId="13916" hidden="1" xr:uid="{00000000-0005-0000-0000-0000CF3C0000}"/>
    <cellStyle name="Followed Hyperlink 3" xfId="13922" hidden="1" xr:uid="{00000000-0005-0000-0000-0000D03C0000}"/>
    <cellStyle name="Followed Hyperlink 3" xfId="13925" hidden="1" xr:uid="{00000000-0005-0000-0000-0000D13C0000}"/>
    <cellStyle name="Followed Hyperlink 3" xfId="13928" hidden="1" xr:uid="{00000000-0005-0000-0000-0000D23C0000}"/>
    <cellStyle name="Followed Hyperlink 3" xfId="13933" hidden="1" xr:uid="{00000000-0005-0000-0000-0000D33C0000}"/>
    <cellStyle name="Followed Hyperlink 3" xfId="13943" hidden="1" xr:uid="{00000000-0005-0000-0000-0000D43C0000}"/>
    <cellStyle name="Followed Hyperlink 3" xfId="13945" hidden="1" xr:uid="{00000000-0005-0000-0000-0000D53C0000}"/>
    <cellStyle name="Followed Hyperlink 3" xfId="13941" hidden="1" xr:uid="{00000000-0005-0000-0000-0000D63C0000}"/>
    <cellStyle name="Followed Hyperlink 3" xfId="13940" hidden="1" xr:uid="{00000000-0005-0000-0000-0000D73C0000}"/>
    <cellStyle name="Followed Hyperlink 3" xfId="13946" hidden="1" xr:uid="{00000000-0005-0000-0000-0000D83C0000}"/>
    <cellStyle name="Followed Hyperlink 3" xfId="13949" hidden="1" xr:uid="{00000000-0005-0000-0000-0000D93C0000}"/>
    <cellStyle name="Followed Hyperlink 3" xfId="13952" hidden="1" xr:uid="{00000000-0005-0000-0000-0000DA3C0000}"/>
    <cellStyle name="Followed Hyperlink 3" xfId="13957" hidden="1" xr:uid="{00000000-0005-0000-0000-0000DB3C0000}"/>
    <cellStyle name="Followed Hyperlink 3" xfId="13000" hidden="1" xr:uid="{00000000-0005-0000-0000-0000DC3C0000}"/>
    <cellStyle name="Followed Hyperlink 3" xfId="13527" hidden="1" xr:uid="{00000000-0005-0000-0000-0000DD3C0000}"/>
    <cellStyle name="Followed Hyperlink 3" xfId="12997" hidden="1" xr:uid="{00000000-0005-0000-0000-0000DE3C0000}"/>
    <cellStyle name="Followed Hyperlink 3" xfId="12989" hidden="1" xr:uid="{00000000-0005-0000-0000-0000DF3C0000}"/>
    <cellStyle name="Followed Hyperlink 3" xfId="12994" hidden="1" xr:uid="{00000000-0005-0000-0000-0000E03C0000}"/>
    <cellStyle name="Followed Hyperlink 3" xfId="13962" hidden="1" xr:uid="{00000000-0005-0000-0000-0000E13C0000}"/>
    <cellStyle name="Followed Hyperlink 3" xfId="13965" hidden="1" xr:uid="{00000000-0005-0000-0000-0000E23C0000}"/>
    <cellStyle name="Followed Hyperlink 3" xfId="13970" hidden="1" xr:uid="{00000000-0005-0000-0000-0000E33C0000}"/>
    <cellStyle name="Followed Hyperlink 3" xfId="13980" hidden="1" xr:uid="{00000000-0005-0000-0000-0000E43C0000}"/>
    <cellStyle name="Followed Hyperlink 3" xfId="13982" hidden="1" xr:uid="{00000000-0005-0000-0000-0000E53C0000}"/>
    <cellStyle name="Followed Hyperlink 3" xfId="13978" hidden="1" xr:uid="{00000000-0005-0000-0000-0000E63C0000}"/>
    <cellStyle name="Followed Hyperlink 3" xfId="13977" hidden="1" xr:uid="{00000000-0005-0000-0000-0000E73C0000}"/>
    <cellStyle name="Followed Hyperlink 3" xfId="13983" hidden="1" xr:uid="{00000000-0005-0000-0000-0000E83C0000}"/>
    <cellStyle name="Followed Hyperlink 3" xfId="13986" hidden="1" xr:uid="{00000000-0005-0000-0000-0000E93C0000}"/>
    <cellStyle name="Followed Hyperlink 3" xfId="13989" hidden="1" xr:uid="{00000000-0005-0000-0000-0000EA3C0000}"/>
    <cellStyle name="Followed Hyperlink 3" xfId="13994" hidden="1" xr:uid="{00000000-0005-0000-0000-0000EB3C0000}"/>
    <cellStyle name="Followed Hyperlink 3" xfId="14005" hidden="1" xr:uid="{00000000-0005-0000-0000-0000EC3C0000}"/>
    <cellStyle name="Followed Hyperlink 3" xfId="14007" hidden="1" xr:uid="{00000000-0005-0000-0000-0000ED3C0000}"/>
    <cellStyle name="Followed Hyperlink 3" xfId="14003" hidden="1" xr:uid="{00000000-0005-0000-0000-0000EE3C0000}"/>
    <cellStyle name="Followed Hyperlink 3" xfId="14002" hidden="1" xr:uid="{00000000-0005-0000-0000-0000EF3C0000}"/>
    <cellStyle name="Followed Hyperlink 3" xfId="14008" hidden="1" xr:uid="{00000000-0005-0000-0000-0000F03C0000}"/>
    <cellStyle name="Followed Hyperlink 3" xfId="14011" hidden="1" xr:uid="{00000000-0005-0000-0000-0000F13C0000}"/>
    <cellStyle name="Followed Hyperlink 3" xfId="14014" hidden="1" xr:uid="{00000000-0005-0000-0000-0000F23C0000}"/>
    <cellStyle name="Followed Hyperlink 3" xfId="14019" hidden="1" xr:uid="{00000000-0005-0000-0000-0000F33C0000}"/>
    <cellStyle name="Followed Hyperlink 3" xfId="14029" hidden="1" xr:uid="{00000000-0005-0000-0000-0000F43C0000}"/>
    <cellStyle name="Followed Hyperlink 3" xfId="14031" hidden="1" xr:uid="{00000000-0005-0000-0000-0000F53C0000}"/>
    <cellStyle name="Followed Hyperlink 3" xfId="14027" hidden="1" xr:uid="{00000000-0005-0000-0000-0000F63C0000}"/>
    <cellStyle name="Followed Hyperlink 3" xfId="14026" hidden="1" xr:uid="{00000000-0005-0000-0000-0000F73C0000}"/>
    <cellStyle name="Followed Hyperlink 3" xfId="14032" hidden="1" xr:uid="{00000000-0005-0000-0000-0000F83C0000}"/>
    <cellStyle name="Followed Hyperlink 3" xfId="14035" hidden="1" xr:uid="{00000000-0005-0000-0000-0000F93C0000}"/>
    <cellStyle name="Followed Hyperlink 3" xfId="14038" hidden="1" xr:uid="{00000000-0005-0000-0000-0000FA3C0000}"/>
    <cellStyle name="Followed Hyperlink 3" xfId="14043" hidden="1" xr:uid="{00000000-0005-0000-0000-0000FB3C0000}"/>
    <cellStyle name="Followed Hyperlink 3" xfId="14082" hidden="1" xr:uid="{00000000-0005-0000-0000-0000FC3C0000}"/>
    <cellStyle name="Followed Hyperlink 3" xfId="14084" hidden="1" xr:uid="{00000000-0005-0000-0000-0000FD3C0000}"/>
    <cellStyle name="Followed Hyperlink 3" xfId="14080" hidden="1" xr:uid="{00000000-0005-0000-0000-0000FE3C0000}"/>
    <cellStyle name="Followed Hyperlink 3" xfId="14079" hidden="1" xr:uid="{00000000-0005-0000-0000-0000FF3C0000}"/>
    <cellStyle name="Followed Hyperlink 3" xfId="14085" hidden="1" xr:uid="{00000000-0005-0000-0000-0000003D0000}"/>
    <cellStyle name="Followed Hyperlink 3" xfId="14088" hidden="1" xr:uid="{00000000-0005-0000-0000-0000013D0000}"/>
    <cellStyle name="Followed Hyperlink 3" xfId="14091" hidden="1" xr:uid="{00000000-0005-0000-0000-0000023D0000}"/>
    <cellStyle name="Followed Hyperlink 3" xfId="14096" hidden="1" xr:uid="{00000000-0005-0000-0000-0000033D0000}"/>
    <cellStyle name="Followed Hyperlink 3" xfId="14106" hidden="1" xr:uid="{00000000-0005-0000-0000-0000043D0000}"/>
    <cellStyle name="Followed Hyperlink 3" xfId="14108" hidden="1" xr:uid="{00000000-0005-0000-0000-0000053D0000}"/>
    <cellStyle name="Followed Hyperlink 3" xfId="14104" hidden="1" xr:uid="{00000000-0005-0000-0000-0000063D0000}"/>
    <cellStyle name="Followed Hyperlink 3" xfId="14103" hidden="1" xr:uid="{00000000-0005-0000-0000-0000073D0000}"/>
    <cellStyle name="Followed Hyperlink 3" xfId="14109" hidden="1" xr:uid="{00000000-0005-0000-0000-0000083D0000}"/>
    <cellStyle name="Followed Hyperlink 3" xfId="14112" hidden="1" xr:uid="{00000000-0005-0000-0000-0000093D0000}"/>
    <cellStyle name="Followed Hyperlink 3" xfId="14115" hidden="1" xr:uid="{00000000-0005-0000-0000-00000A3D0000}"/>
    <cellStyle name="Followed Hyperlink 3" xfId="14120" hidden="1" xr:uid="{00000000-0005-0000-0000-00000B3D0000}"/>
    <cellStyle name="Followed Hyperlink 3" xfId="14132" hidden="1" xr:uid="{00000000-0005-0000-0000-00000C3D0000}"/>
    <cellStyle name="Followed Hyperlink 3" xfId="14134" hidden="1" xr:uid="{00000000-0005-0000-0000-00000D3D0000}"/>
    <cellStyle name="Followed Hyperlink 3" xfId="14130" hidden="1" xr:uid="{00000000-0005-0000-0000-00000E3D0000}"/>
    <cellStyle name="Followed Hyperlink 3" xfId="14129" hidden="1" xr:uid="{00000000-0005-0000-0000-00000F3D0000}"/>
    <cellStyle name="Followed Hyperlink 3" xfId="14135" hidden="1" xr:uid="{00000000-0005-0000-0000-0000103D0000}"/>
    <cellStyle name="Followed Hyperlink 3" xfId="14138" hidden="1" xr:uid="{00000000-0005-0000-0000-0000113D0000}"/>
    <cellStyle name="Followed Hyperlink 3" xfId="14141" hidden="1" xr:uid="{00000000-0005-0000-0000-0000123D0000}"/>
    <cellStyle name="Followed Hyperlink 3" xfId="14146" hidden="1" xr:uid="{00000000-0005-0000-0000-0000133D0000}"/>
    <cellStyle name="Followed Hyperlink 3" xfId="14156" hidden="1" xr:uid="{00000000-0005-0000-0000-0000143D0000}"/>
    <cellStyle name="Followed Hyperlink 3" xfId="14158" hidden="1" xr:uid="{00000000-0005-0000-0000-0000153D0000}"/>
    <cellStyle name="Followed Hyperlink 3" xfId="14154" hidden="1" xr:uid="{00000000-0005-0000-0000-0000163D0000}"/>
    <cellStyle name="Followed Hyperlink 3" xfId="14153" hidden="1" xr:uid="{00000000-0005-0000-0000-0000173D0000}"/>
    <cellStyle name="Followed Hyperlink 3" xfId="14159" hidden="1" xr:uid="{00000000-0005-0000-0000-0000183D0000}"/>
    <cellStyle name="Followed Hyperlink 3" xfId="14162" hidden="1" xr:uid="{00000000-0005-0000-0000-0000193D0000}"/>
    <cellStyle name="Followed Hyperlink 3" xfId="14165" hidden="1" xr:uid="{00000000-0005-0000-0000-00001A3D0000}"/>
    <cellStyle name="Followed Hyperlink 3" xfId="14170" hidden="1" xr:uid="{00000000-0005-0000-0000-00001B3D0000}"/>
    <cellStyle name="Followed Hyperlink 3" xfId="14046" hidden="1" xr:uid="{00000000-0005-0000-0000-00001C3D0000}"/>
    <cellStyle name="Followed Hyperlink 3" xfId="14123" hidden="1" xr:uid="{00000000-0005-0000-0000-00001D3D0000}"/>
    <cellStyle name="Followed Hyperlink 3" xfId="14050" hidden="1" xr:uid="{00000000-0005-0000-0000-00001E3D0000}"/>
    <cellStyle name="Followed Hyperlink 3" xfId="14051" hidden="1" xr:uid="{00000000-0005-0000-0000-00001F3D0000}"/>
    <cellStyle name="Followed Hyperlink 3" xfId="14054" hidden="1" xr:uid="{00000000-0005-0000-0000-0000203D0000}"/>
    <cellStyle name="Followed Hyperlink 3" xfId="14175" hidden="1" xr:uid="{00000000-0005-0000-0000-0000213D0000}"/>
    <cellStyle name="Followed Hyperlink 3" xfId="14178" hidden="1" xr:uid="{00000000-0005-0000-0000-0000223D0000}"/>
    <cellStyle name="Followed Hyperlink 3" xfId="14183" hidden="1" xr:uid="{00000000-0005-0000-0000-0000233D0000}"/>
    <cellStyle name="Followed Hyperlink 3" xfId="14193" hidden="1" xr:uid="{00000000-0005-0000-0000-0000243D0000}"/>
    <cellStyle name="Followed Hyperlink 3" xfId="14195" hidden="1" xr:uid="{00000000-0005-0000-0000-0000253D0000}"/>
    <cellStyle name="Followed Hyperlink 3" xfId="14191" hidden="1" xr:uid="{00000000-0005-0000-0000-0000263D0000}"/>
    <cellStyle name="Followed Hyperlink 3" xfId="14190" hidden="1" xr:uid="{00000000-0005-0000-0000-0000273D0000}"/>
    <cellStyle name="Followed Hyperlink 3" xfId="14196" hidden="1" xr:uid="{00000000-0005-0000-0000-0000283D0000}"/>
    <cellStyle name="Followed Hyperlink 3" xfId="14199" hidden="1" xr:uid="{00000000-0005-0000-0000-0000293D0000}"/>
    <cellStyle name="Followed Hyperlink 3" xfId="14202" hidden="1" xr:uid="{00000000-0005-0000-0000-00002A3D0000}"/>
    <cellStyle name="Followed Hyperlink 3" xfId="14207" hidden="1" xr:uid="{00000000-0005-0000-0000-00002B3D0000}"/>
    <cellStyle name="Followed Hyperlink 3" xfId="14218" hidden="1" xr:uid="{00000000-0005-0000-0000-00002C3D0000}"/>
    <cellStyle name="Followed Hyperlink 3" xfId="14220" hidden="1" xr:uid="{00000000-0005-0000-0000-00002D3D0000}"/>
    <cellStyle name="Followed Hyperlink 3" xfId="14216" hidden="1" xr:uid="{00000000-0005-0000-0000-00002E3D0000}"/>
    <cellStyle name="Followed Hyperlink 3" xfId="14215" hidden="1" xr:uid="{00000000-0005-0000-0000-00002F3D0000}"/>
    <cellStyle name="Followed Hyperlink 3" xfId="14221" hidden="1" xr:uid="{00000000-0005-0000-0000-0000303D0000}"/>
    <cellStyle name="Followed Hyperlink 3" xfId="14224" hidden="1" xr:uid="{00000000-0005-0000-0000-0000313D0000}"/>
    <cellStyle name="Followed Hyperlink 3" xfId="14227" hidden="1" xr:uid="{00000000-0005-0000-0000-0000323D0000}"/>
    <cellStyle name="Followed Hyperlink 3" xfId="14232" hidden="1" xr:uid="{00000000-0005-0000-0000-0000333D0000}"/>
    <cellStyle name="Followed Hyperlink 3" xfId="14242" hidden="1" xr:uid="{00000000-0005-0000-0000-0000343D0000}"/>
    <cellStyle name="Followed Hyperlink 3" xfId="14244" hidden="1" xr:uid="{00000000-0005-0000-0000-0000353D0000}"/>
    <cellStyle name="Followed Hyperlink 3" xfId="14240" hidden="1" xr:uid="{00000000-0005-0000-0000-0000363D0000}"/>
    <cellStyle name="Followed Hyperlink 3" xfId="14239" hidden="1" xr:uid="{00000000-0005-0000-0000-0000373D0000}"/>
    <cellStyle name="Followed Hyperlink 3" xfId="14245" hidden="1" xr:uid="{00000000-0005-0000-0000-0000383D0000}"/>
    <cellStyle name="Followed Hyperlink 3" xfId="14248" hidden="1" xr:uid="{00000000-0005-0000-0000-0000393D0000}"/>
    <cellStyle name="Followed Hyperlink 3" xfId="14251" hidden="1" xr:uid="{00000000-0005-0000-0000-00003A3D0000}"/>
    <cellStyle name="Followed Hyperlink 3" xfId="14256" hidden="1" xr:uid="{00000000-0005-0000-0000-00003B3D0000}"/>
    <cellStyle name="Followed Hyperlink 3" xfId="14067" hidden="1" xr:uid="{00000000-0005-0000-0000-00003C3D0000}"/>
    <cellStyle name="Followed Hyperlink 3" xfId="14210" hidden="1" xr:uid="{00000000-0005-0000-0000-00003D3D0000}"/>
    <cellStyle name="Followed Hyperlink 3" xfId="14064" hidden="1" xr:uid="{00000000-0005-0000-0000-00003E3D0000}"/>
    <cellStyle name="Followed Hyperlink 3" xfId="14056" hidden="1" xr:uid="{00000000-0005-0000-0000-00003F3D0000}"/>
    <cellStyle name="Followed Hyperlink 3" xfId="14061" hidden="1" xr:uid="{00000000-0005-0000-0000-0000403D0000}"/>
    <cellStyle name="Followed Hyperlink 3" xfId="14261" hidden="1" xr:uid="{00000000-0005-0000-0000-0000413D0000}"/>
    <cellStyle name="Followed Hyperlink 3" xfId="14264" hidden="1" xr:uid="{00000000-0005-0000-0000-0000423D0000}"/>
    <cellStyle name="Followed Hyperlink 3" xfId="14269" hidden="1" xr:uid="{00000000-0005-0000-0000-0000433D0000}"/>
    <cellStyle name="Followed Hyperlink 3" xfId="14279" hidden="1" xr:uid="{00000000-0005-0000-0000-0000443D0000}"/>
    <cellStyle name="Followed Hyperlink 3" xfId="14281" hidden="1" xr:uid="{00000000-0005-0000-0000-0000453D0000}"/>
    <cellStyle name="Followed Hyperlink 3" xfId="14277" hidden="1" xr:uid="{00000000-0005-0000-0000-0000463D0000}"/>
    <cellStyle name="Followed Hyperlink 3" xfId="14276" hidden="1" xr:uid="{00000000-0005-0000-0000-0000473D0000}"/>
    <cellStyle name="Followed Hyperlink 3" xfId="14282" hidden="1" xr:uid="{00000000-0005-0000-0000-0000483D0000}"/>
    <cellStyle name="Followed Hyperlink 3" xfId="14285" hidden="1" xr:uid="{00000000-0005-0000-0000-0000493D0000}"/>
    <cellStyle name="Followed Hyperlink 3" xfId="14288" hidden="1" xr:uid="{00000000-0005-0000-0000-00004A3D0000}"/>
    <cellStyle name="Followed Hyperlink 3" xfId="14293" hidden="1" xr:uid="{00000000-0005-0000-0000-00004B3D0000}"/>
    <cellStyle name="Followed Hyperlink 3" xfId="14304" hidden="1" xr:uid="{00000000-0005-0000-0000-00004C3D0000}"/>
    <cellStyle name="Followed Hyperlink 3" xfId="14306" hidden="1" xr:uid="{00000000-0005-0000-0000-00004D3D0000}"/>
    <cellStyle name="Followed Hyperlink 3" xfId="14302" hidden="1" xr:uid="{00000000-0005-0000-0000-00004E3D0000}"/>
    <cellStyle name="Followed Hyperlink 3" xfId="14301" hidden="1" xr:uid="{00000000-0005-0000-0000-00004F3D0000}"/>
    <cellStyle name="Followed Hyperlink 3" xfId="14307" hidden="1" xr:uid="{00000000-0005-0000-0000-0000503D0000}"/>
    <cellStyle name="Followed Hyperlink 3" xfId="14310" hidden="1" xr:uid="{00000000-0005-0000-0000-0000513D0000}"/>
    <cellStyle name="Followed Hyperlink 3" xfId="14313" hidden="1" xr:uid="{00000000-0005-0000-0000-0000523D0000}"/>
    <cellStyle name="Followed Hyperlink 3" xfId="14318" hidden="1" xr:uid="{00000000-0005-0000-0000-0000533D0000}"/>
    <cellStyle name="Followed Hyperlink 3" xfId="14328" hidden="1" xr:uid="{00000000-0005-0000-0000-0000543D0000}"/>
    <cellStyle name="Followed Hyperlink 3" xfId="14330" hidden="1" xr:uid="{00000000-0005-0000-0000-0000553D0000}"/>
    <cellStyle name="Followed Hyperlink 3" xfId="14326" hidden="1" xr:uid="{00000000-0005-0000-0000-0000563D0000}"/>
    <cellStyle name="Followed Hyperlink 3" xfId="14325" hidden="1" xr:uid="{00000000-0005-0000-0000-0000573D0000}"/>
    <cellStyle name="Followed Hyperlink 3" xfId="14331" hidden="1" xr:uid="{00000000-0005-0000-0000-0000583D0000}"/>
    <cellStyle name="Followed Hyperlink 3" xfId="14334" hidden="1" xr:uid="{00000000-0005-0000-0000-0000593D0000}"/>
    <cellStyle name="Followed Hyperlink 3" xfId="14337" hidden="1" xr:uid="{00000000-0005-0000-0000-00005A3D0000}"/>
    <cellStyle name="Followed Hyperlink 3" xfId="14342" hidden="1" xr:uid="{00000000-0005-0000-0000-00005B3D0000}"/>
    <cellStyle name="Followed Hyperlink 3" xfId="14072" hidden="1" xr:uid="{00000000-0005-0000-0000-00005C3D0000}"/>
    <cellStyle name="Followed Hyperlink 3" xfId="14296" hidden="1" xr:uid="{00000000-0005-0000-0000-00005D3D0000}"/>
    <cellStyle name="Followed Hyperlink 3" xfId="14068" hidden="1" xr:uid="{00000000-0005-0000-0000-00005E3D0000}"/>
    <cellStyle name="Followed Hyperlink 3" xfId="14073" hidden="1" xr:uid="{00000000-0005-0000-0000-00005F3D0000}"/>
    <cellStyle name="Followed Hyperlink 3" xfId="14060" hidden="1" xr:uid="{00000000-0005-0000-0000-0000603D0000}"/>
    <cellStyle name="Followed Hyperlink 3" xfId="14347" hidden="1" xr:uid="{00000000-0005-0000-0000-0000613D0000}"/>
    <cellStyle name="Followed Hyperlink 3" xfId="14350" hidden="1" xr:uid="{00000000-0005-0000-0000-0000623D0000}"/>
    <cellStyle name="Followed Hyperlink 3" xfId="14355" hidden="1" xr:uid="{00000000-0005-0000-0000-0000633D0000}"/>
    <cellStyle name="Followed Hyperlink 3" xfId="14365" hidden="1" xr:uid="{00000000-0005-0000-0000-0000643D0000}"/>
    <cellStyle name="Followed Hyperlink 3" xfId="14367" hidden="1" xr:uid="{00000000-0005-0000-0000-0000653D0000}"/>
    <cellStyle name="Followed Hyperlink 3" xfId="14363" hidden="1" xr:uid="{00000000-0005-0000-0000-0000663D0000}"/>
    <cellStyle name="Followed Hyperlink 3" xfId="14362" hidden="1" xr:uid="{00000000-0005-0000-0000-0000673D0000}"/>
    <cellStyle name="Followed Hyperlink 3" xfId="14368" hidden="1" xr:uid="{00000000-0005-0000-0000-0000683D0000}"/>
    <cellStyle name="Followed Hyperlink 3" xfId="14371" hidden="1" xr:uid="{00000000-0005-0000-0000-0000693D0000}"/>
    <cellStyle name="Followed Hyperlink 3" xfId="14374" hidden="1" xr:uid="{00000000-0005-0000-0000-00006A3D0000}"/>
    <cellStyle name="Followed Hyperlink 3" xfId="14379" hidden="1" xr:uid="{00000000-0005-0000-0000-00006B3D0000}"/>
    <cellStyle name="Followed Hyperlink 3" xfId="14389" hidden="1" xr:uid="{00000000-0005-0000-0000-00006C3D0000}"/>
    <cellStyle name="Followed Hyperlink 3" xfId="14391" hidden="1" xr:uid="{00000000-0005-0000-0000-00006D3D0000}"/>
    <cellStyle name="Followed Hyperlink 3" xfId="14387" hidden="1" xr:uid="{00000000-0005-0000-0000-00006E3D0000}"/>
    <cellStyle name="Followed Hyperlink 3" xfId="14386" hidden="1" xr:uid="{00000000-0005-0000-0000-00006F3D0000}"/>
    <cellStyle name="Followed Hyperlink 3" xfId="14392" hidden="1" xr:uid="{00000000-0005-0000-0000-0000703D0000}"/>
    <cellStyle name="Followed Hyperlink 3" xfId="14395" hidden="1" xr:uid="{00000000-0005-0000-0000-0000713D0000}"/>
    <cellStyle name="Followed Hyperlink 3" xfId="14398" hidden="1" xr:uid="{00000000-0005-0000-0000-0000723D0000}"/>
    <cellStyle name="Followed Hyperlink 3" xfId="14403" hidden="1" xr:uid="{00000000-0005-0000-0000-0000733D0000}"/>
    <cellStyle name="Followed Hyperlink 3" xfId="14413" hidden="1" xr:uid="{00000000-0005-0000-0000-0000743D0000}"/>
    <cellStyle name="Followed Hyperlink 3" xfId="14415" hidden="1" xr:uid="{00000000-0005-0000-0000-0000753D0000}"/>
    <cellStyle name="Followed Hyperlink 3" xfId="14411" hidden="1" xr:uid="{00000000-0005-0000-0000-0000763D0000}"/>
    <cellStyle name="Followed Hyperlink 3" xfId="14410" hidden="1" xr:uid="{00000000-0005-0000-0000-0000773D0000}"/>
    <cellStyle name="Followed Hyperlink 3" xfId="14416" hidden="1" xr:uid="{00000000-0005-0000-0000-0000783D0000}"/>
    <cellStyle name="Followed Hyperlink 3" xfId="14419" hidden="1" xr:uid="{00000000-0005-0000-0000-0000793D0000}"/>
    <cellStyle name="Followed Hyperlink 3" xfId="14422" hidden="1" xr:uid="{00000000-0005-0000-0000-00007A3D0000}"/>
    <cellStyle name="Followed Hyperlink 3" xfId="14427" hidden="1" xr:uid="{00000000-0005-0000-0000-00007B3D0000}"/>
    <cellStyle name="Followed Hyperlink 3" xfId="13005" hidden="1" xr:uid="{00000000-0005-0000-0000-00007C3D0000}"/>
    <cellStyle name="Followed Hyperlink 3" xfId="13997" hidden="1" xr:uid="{00000000-0005-0000-0000-00007D3D0000}"/>
    <cellStyle name="Followed Hyperlink 3" xfId="13001" hidden="1" xr:uid="{00000000-0005-0000-0000-00007E3D0000}"/>
    <cellStyle name="Followed Hyperlink 3" xfId="13006" hidden="1" xr:uid="{00000000-0005-0000-0000-00007F3D0000}"/>
    <cellStyle name="Followed Hyperlink 3" xfId="12993" hidden="1" xr:uid="{00000000-0005-0000-0000-0000803D0000}"/>
    <cellStyle name="Followed Hyperlink 3" xfId="14432" hidden="1" xr:uid="{00000000-0005-0000-0000-0000813D0000}"/>
    <cellStyle name="Followed Hyperlink 3" xfId="14435" hidden="1" xr:uid="{00000000-0005-0000-0000-0000823D0000}"/>
    <cellStyle name="Followed Hyperlink 3" xfId="14440" hidden="1" xr:uid="{00000000-0005-0000-0000-0000833D0000}"/>
    <cellStyle name="Followed Hyperlink 3" xfId="14450" hidden="1" xr:uid="{00000000-0005-0000-0000-0000843D0000}"/>
    <cellStyle name="Followed Hyperlink 3" xfId="14452" hidden="1" xr:uid="{00000000-0005-0000-0000-0000853D0000}"/>
    <cellStyle name="Followed Hyperlink 3" xfId="14448" hidden="1" xr:uid="{00000000-0005-0000-0000-0000863D0000}"/>
    <cellStyle name="Followed Hyperlink 3" xfId="14447" hidden="1" xr:uid="{00000000-0005-0000-0000-0000873D0000}"/>
    <cellStyle name="Followed Hyperlink 3" xfId="14453" hidden="1" xr:uid="{00000000-0005-0000-0000-0000883D0000}"/>
    <cellStyle name="Followed Hyperlink 3" xfId="14456" hidden="1" xr:uid="{00000000-0005-0000-0000-0000893D0000}"/>
    <cellStyle name="Followed Hyperlink 3" xfId="14459" hidden="1" xr:uid="{00000000-0005-0000-0000-00008A3D0000}"/>
    <cellStyle name="Followed Hyperlink 3" xfId="14464" hidden="1" xr:uid="{00000000-0005-0000-0000-00008B3D0000}"/>
    <cellStyle name="Followed Hyperlink 3" xfId="14474" hidden="1" xr:uid="{00000000-0005-0000-0000-00008C3D0000}"/>
    <cellStyle name="Followed Hyperlink 3" xfId="14476" hidden="1" xr:uid="{00000000-0005-0000-0000-00008D3D0000}"/>
    <cellStyle name="Followed Hyperlink 3" xfId="14472" hidden="1" xr:uid="{00000000-0005-0000-0000-00008E3D0000}"/>
    <cellStyle name="Followed Hyperlink 3" xfId="14471" hidden="1" xr:uid="{00000000-0005-0000-0000-00008F3D0000}"/>
    <cellStyle name="Followed Hyperlink 3" xfId="14477" hidden="1" xr:uid="{00000000-0005-0000-0000-0000903D0000}"/>
    <cellStyle name="Followed Hyperlink 3" xfId="14480" hidden="1" xr:uid="{00000000-0005-0000-0000-0000913D0000}"/>
    <cellStyle name="Followed Hyperlink 3" xfId="14483" hidden="1" xr:uid="{00000000-0005-0000-0000-0000923D0000}"/>
    <cellStyle name="Followed Hyperlink 3" xfId="14488" hidden="1" xr:uid="{00000000-0005-0000-0000-0000933D0000}"/>
    <cellStyle name="Followed Hyperlink 3" xfId="14498" hidden="1" xr:uid="{00000000-0005-0000-0000-0000943D0000}"/>
    <cellStyle name="Followed Hyperlink 3" xfId="14500" hidden="1" xr:uid="{00000000-0005-0000-0000-0000953D0000}"/>
    <cellStyle name="Followed Hyperlink 3" xfId="14496" hidden="1" xr:uid="{00000000-0005-0000-0000-0000963D0000}"/>
    <cellStyle name="Followed Hyperlink 3" xfId="14495" hidden="1" xr:uid="{00000000-0005-0000-0000-0000973D0000}"/>
    <cellStyle name="Followed Hyperlink 3" xfId="14501" hidden="1" xr:uid="{00000000-0005-0000-0000-0000983D0000}"/>
    <cellStyle name="Followed Hyperlink 3" xfId="14504" hidden="1" xr:uid="{00000000-0005-0000-0000-0000993D0000}"/>
    <cellStyle name="Followed Hyperlink 3" xfId="14507" hidden="1" xr:uid="{00000000-0005-0000-0000-00009A3D0000}"/>
    <cellStyle name="Followed Hyperlink 3" xfId="14512" hidden="1" xr:uid="{00000000-0005-0000-0000-00009B3D0000}"/>
    <cellStyle name="Followed Hyperlink 3" xfId="14551" hidden="1" xr:uid="{00000000-0005-0000-0000-00009C3D0000}"/>
    <cellStyle name="Followed Hyperlink 3" xfId="14553" hidden="1" xr:uid="{00000000-0005-0000-0000-00009D3D0000}"/>
    <cellStyle name="Followed Hyperlink 3" xfId="14549" hidden="1" xr:uid="{00000000-0005-0000-0000-00009E3D0000}"/>
    <cellStyle name="Followed Hyperlink 3" xfId="14548" hidden="1" xr:uid="{00000000-0005-0000-0000-00009F3D0000}"/>
    <cellStyle name="Followed Hyperlink 3" xfId="14554" hidden="1" xr:uid="{00000000-0005-0000-0000-0000A03D0000}"/>
    <cellStyle name="Followed Hyperlink 3" xfId="14557" hidden="1" xr:uid="{00000000-0005-0000-0000-0000A13D0000}"/>
    <cellStyle name="Followed Hyperlink 3" xfId="14560" hidden="1" xr:uid="{00000000-0005-0000-0000-0000A23D0000}"/>
    <cellStyle name="Followed Hyperlink 3" xfId="14565" hidden="1" xr:uid="{00000000-0005-0000-0000-0000A33D0000}"/>
    <cellStyle name="Followed Hyperlink 3" xfId="14575" hidden="1" xr:uid="{00000000-0005-0000-0000-0000A43D0000}"/>
    <cellStyle name="Followed Hyperlink 3" xfId="14577" hidden="1" xr:uid="{00000000-0005-0000-0000-0000A53D0000}"/>
    <cellStyle name="Followed Hyperlink 3" xfId="14573" hidden="1" xr:uid="{00000000-0005-0000-0000-0000A63D0000}"/>
    <cellStyle name="Followed Hyperlink 3" xfId="14572" hidden="1" xr:uid="{00000000-0005-0000-0000-0000A73D0000}"/>
    <cellStyle name="Followed Hyperlink 3" xfId="14578" hidden="1" xr:uid="{00000000-0005-0000-0000-0000A83D0000}"/>
    <cellStyle name="Followed Hyperlink 3" xfId="14581" hidden="1" xr:uid="{00000000-0005-0000-0000-0000A93D0000}"/>
    <cellStyle name="Followed Hyperlink 3" xfId="14584" hidden="1" xr:uid="{00000000-0005-0000-0000-0000AA3D0000}"/>
    <cellStyle name="Followed Hyperlink 3" xfId="14589" hidden="1" xr:uid="{00000000-0005-0000-0000-0000AB3D0000}"/>
    <cellStyle name="Followed Hyperlink 3" xfId="14601" hidden="1" xr:uid="{00000000-0005-0000-0000-0000AC3D0000}"/>
    <cellStyle name="Followed Hyperlink 3" xfId="14603" hidden="1" xr:uid="{00000000-0005-0000-0000-0000AD3D0000}"/>
    <cellStyle name="Followed Hyperlink 3" xfId="14599" hidden="1" xr:uid="{00000000-0005-0000-0000-0000AE3D0000}"/>
    <cellStyle name="Followed Hyperlink 3" xfId="14598" hidden="1" xr:uid="{00000000-0005-0000-0000-0000AF3D0000}"/>
    <cellStyle name="Followed Hyperlink 3" xfId="14604" hidden="1" xr:uid="{00000000-0005-0000-0000-0000B03D0000}"/>
    <cellStyle name="Followed Hyperlink 3" xfId="14607" hidden="1" xr:uid="{00000000-0005-0000-0000-0000B13D0000}"/>
    <cellStyle name="Followed Hyperlink 3" xfId="14610" hidden="1" xr:uid="{00000000-0005-0000-0000-0000B23D0000}"/>
    <cellStyle name="Followed Hyperlink 3" xfId="14615" hidden="1" xr:uid="{00000000-0005-0000-0000-0000B33D0000}"/>
    <cellStyle name="Followed Hyperlink 3" xfId="14625" hidden="1" xr:uid="{00000000-0005-0000-0000-0000B43D0000}"/>
    <cellStyle name="Followed Hyperlink 3" xfId="14627" hidden="1" xr:uid="{00000000-0005-0000-0000-0000B53D0000}"/>
    <cellStyle name="Followed Hyperlink 3" xfId="14623" hidden="1" xr:uid="{00000000-0005-0000-0000-0000B63D0000}"/>
    <cellStyle name="Followed Hyperlink 3" xfId="14622" hidden="1" xr:uid="{00000000-0005-0000-0000-0000B73D0000}"/>
    <cellStyle name="Followed Hyperlink 3" xfId="14628" hidden="1" xr:uid="{00000000-0005-0000-0000-0000B83D0000}"/>
    <cellStyle name="Followed Hyperlink 3" xfId="14631" hidden="1" xr:uid="{00000000-0005-0000-0000-0000B93D0000}"/>
    <cellStyle name="Followed Hyperlink 3" xfId="14634" hidden="1" xr:uid="{00000000-0005-0000-0000-0000BA3D0000}"/>
    <cellStyle name="Followed Hyperlink 3" xfId="14639" hidden="1" xr:uid="{00000000-0005-0000-0000-0000BB3D0000}"/>
    <cellStyle name="Followed Hyperlink 3" xfId="14515" hidden="1" xr:uid="{00000000-0005-0000-0000-0000BC3D0000}"/>
    <cellStyle name="Followed Hyperlink 3" xfId="14592" hidden="1" xr:uid="{00000000-0005-0000-0000-0000BD3D0000}"/>
    <cellStyle name="Followed Hyperlink 3" xfId="14519" hidden="1" xr:uid="{00000000-0005-0000-0000-0000BE3D0000}"/>
    <cellStyle name="Followed Hyperlink 3" xfId="14520" hidden="1" xr:uid="{00000000-0005-0000-0000-0000BF3D0000}"/>
    <cellStyle name="Followed Hyperlink 3" xfId="14523" hidden="1" xr:uid="{00000000-0005-0000-0000-0000C03D0000}"/>
    <cellStyle name="Followed Hyperlink 3" xfId="14644" hidden="1" xr:uid="{00000000-0005-0000-0000-0000C13D0000}"/>
    <cellStyle name="Followed Hyperlink 3" xfId="14647" hidden="1" xr:uid="{00000000-0005-0000-0000-0000C23D0000}"/>
    <cellStyle name="Followed Hyperlink 3" xfId="14652" hidden="1" xr:uid="{00000000-0005-0000-0000-0000C33D0000}"/>
    <cellStyle name="Followed Hyperlink 3" xfId="14662" hidden="1" xr:uid="{00000000-0005-0000-0000-0000C43D0000}"/>
    <cellStyle name="Followed Hyperlink 3" xfId="14664" hidden="1" xr:uid="{00000000-0005-0000-0000-0000C53D0000}"/>
    <cellStyle name="Followed Hyperlink 3" xfId="14660" hidden="1" xr:uid="{00000000-0005-0000-0000-0000C63D0000}"/>
    <cellStyle name="Followed Hyperlink 3" xfId="14659" hidden="1" xr:uid="{00000000-0005-0000-0000-0000C73D0000}"/>
    <cellStyle name="Followed Hyperlink 3" xfId="14665" hidden="1" xr:uid="{00000000-0005-0000-0000-0000C83D0000}"/>
    <cellStyle name="Followed Hyperlink 3" xfId="14668" hidden="1" xr:uid="{00000000-0005-0000-0000-0000C93D0000}"/>
    <cellStyle name="Followed Hyperlink 3" xfId="14671" hidden="1" xr:uid="{00000000-0005-0000-0000-0000CA3D0000}"/>
    <cellStyle name="Followed Hyperlink 3" xfId="14676" hidden="1" xr:uid="{00000000-0005-0000-0000-0000CB3D0000}"/>
    <cellStyle name="Followed Hyperlink 3" xfId="14687" hidden="1" xr:uid="{00000000-0005-0000-0000-0000CC3D0000}"/>
    <cellStyle name="Followed Hyperlink 3" xfId="14689" hidden="1" xr:uid="{00000000-0005-0000-0000-0000CD3D0000}"/>
    <cellStyle name="Followed Hyperlink 3" xfId="14685" hidden="1" xr:uid="{00000000-0005-0000-0000-0000CE3D0000}"/>
    <cellStyle name="Followed Hyperlink 3" xfId="14684" hidden="1" xr:uid="{00000000-0005-0000-0000-0000CF3D0000}"/>
    <cellStyle name="Followed Hyperlink 3" xfId="14690" hidden="1" xr:uid="{00000000-0005-0000-0000-0000D03D0000}"/>
    <cellStyle name="Followed Hyperlink 3" xfId="14693" hidden="1" xr:uid="{00000000-0005-0000-0000-0000D13D0000}"/>
    <cellStyle name="Followed Hyperlink 3" xfId="14696" hidden="1" xr:uid="{00000000-0005-0000-0000-0000D23D0000}"/>
    <cellStyle name="Followed Hyperlink 3" xfId="14701" hidden="1" xr:uid="{00000000-0005-0000-0000-0000D33D0000}"/>
    <cellStyle name="Followed Hyperlink 3" xfId="14711" hidden="1" xr:uid="{00000000-0005-0000-0000-0000D43D0000}"/>
    <cellStyle name="Followed Hyperlink 3" xfId="14713" hidden="1" xr:uid="{00000000-0005-0000-0000-0000D53D0000}"/>
    <cellStyle name="Followed Hyperlink 3" xfId="14709" hidden="1" xr:uid="{00000000-0005-0000-0000-0000D63D0000}"/>
    <cellStyle name="Followed Hyperlink 3" xfId="14708" hidden="1" xr:uid="{00000000-0005-0000-0000-0000D73D0000}"/>
    <cellStyle name="Followed Hyperlink 3" xfId="14714" hidden="1" xr:uid="{00000000-0005-0000-0000-0000D83D0000}"/>
    <cellStyle name="Followed Hyperlink 3" xfId="14717" hidden="1" xr:uid="{00000000-0005-0000-0000-0000D93D0000}"/>
    <cellStyle name="Followed Hyperlink 3" xfId="14720" hidden="1" xr:uid="{00000000-0005-0000-0000-0000DA3D0000}"/>
    <cellStyle name="Followed Hyperlink 3" xfId="14725" hidden="1" xr:uid="{00000000-0005-0000-0000-0000DB3D0000}"/>
    <cellStyle name="Followed Hyperlink 3" xfId="14536" hidden="1" xr:uid="{00000000-0005-0000-0000-0000DC3D0000}"/>
    <cellStyle name="Followed Hyperlink 3" xfId="14679" hidden="1" xr:uid="{00000000-0005-0000-0000-0000DD3D0000}"/>
    <cellStyle name="Followed Hyperlink 3" xfId="14533" hidden="1" xr:uid="{00000000-0005-0000-0000-0000DE3D0000}"/>
    <cellStyle name="Followed Hyperlink 3" xfId="14525" hidden="1" xr:uid="{00000000-0005-0000-0000-0000DF3D0000}"/>
    <cellStyle name="Followed Hyperlink 3" xfId="14530" hidden="1" xr:uid="{00000000-0005-0000-0000-0000E03D0000}"/>
    <cellStyle name="Followed Hyperlink 3" xfId="14730" hidden="1" xr:uid="{00000000-0005-0000-0000-0000E13D0000}"/>
    <cellStyle name="Followed Hyperlink 3" xfId="14733" hidden="1" xr:uid="{00000000-0005-0000-0000-0000E23D0000}"/>
    <cellStyle name="Followed Hyperlink 3" xfId="14738" hidden="1" xr:uid="{00000000-0005-0000-0000-0000E33D0000}"/>
    <cellStyle name="Followed Hyperlink 3" xfId="14748" hidden="1" xr:uid="{00000000-0005-0000-0000-0000E43D0000}"/>
    <cellStyle name="Followed Hyperlink 3" xfId="14750" hidden="1" xr:uid="{00000000-0005-0000-0000-0000E53D0000}"/>
    <cellStyle name="Followed Hyperlink 3" xfId="14746" hidden="1" xr:uid="{00000000-0005-0000-0000-0000E63D0000}"/>
    <cellStyle name="Followed Hyperlink 3" xfId="14745" hidden="1" xr:uid="{00000000-0005-0000-0000-0000E73D0000}"/>
    <cellStyle name="Followed Hyperlink 3" xfId="14751" hidden="1" xr:uid="{00000000-0005-0000-0000-0000E83D0000}"/>
    <cellStyle name="Followed Hyperlink 3" xfId="14754" hidden="1" xr:uid="{00000000-0005-0000-0000-0000E93D0000}"/>
    <cellStyle name="Followed Hyperlink 3" xfId="14757" hidden="1" xr:uid="{00000000-0005-0000-0000-0000EA3D0000}"/>
    <cellStyle name="Followed Hyperlink 3" xfId="14762" hidden="1" xr:uid="{00000000-0005-0000-0000-0000EB3D0000}"/>
    <cellStyle name="Followed Hyperlink 3" xfId="14773" hidden="1" xr:uid="{00000000-0005-0000-0000-0000EC3D0000}"/>
    <cellStyle name="Followed Hyperlink 3" xfId="14775" hidden="1" xr:uid="{00000000-0005-0000-0000-0000ED3D0000}"/>
    <cellStyle name="Followed Hyperlink 3" xfId="14771" hidden="1" xr:uid="{00000000-0005-0000-0000-0000EE3D0000}"/>
    <cellStyle name="Followed Hyperlink 3" xfId="14770" hidden="1" xr:uid="{00000000-0005-0000-0000-0000EF3D0000}"/>
    <cellStyle name="Followed Hyperlink 3" xfId="14776" hidden="1" xr:uid="{00000000-0005-0000-0000-0000F03D0000}"/>
    <cellStyle name="Followed Hyperlink 3" xfId="14779" hidden="1" xr:uid="{00000000-0005-0000-0000-0000F13D0000}"/>
    <cellStyle name="Followed Hyperlink 3" xfId="14782" hidden="1" xr:uid="{00000000-0005-0000-0000-0000F23D0000}"/>
    <cellStyle name="Followed Hyperlink 3" xfId="14787" hidden="1" xr:uid="{00000000-0005-0000-0000-0000F33D0000}"/>
    <cellStyle name="Followed Hyperlink 3" xfId="14797" hidden="1" xr:uid="{00000000-0005-0000-0000-0000F43D0000}"/>
    <cellStyle name="Followed Hyperlink 3" xfId="14799" hidden="1" xr:uid="{00000000-0005-0000-0000-0000F53D0000}"/>
    <cellStyle name="Followed Hyperlink 3" xfId="14795" hidden="1" xr:uid="{00000000-0005-0000-0000-0000F63D0000}"/>
    <cellStyle name="Followed Hyperlink 3" xfId="14794" hidden="1" xr:uid="{00000000-0005-0000-0000-0000F73D0000}"/>
    <cellStyle name="Followed Hyperlink 3" xfId="14800" hidden="1" xr:uid="{00000000-0005-0000-0000-0000F83D0000}"/>
    <cellStyle name="Followed Hyperlink 3" xfId="14803" hidden="1" xr:uid="{00000000-0005-0000-0000-0000F93D0000}"/>
    <cellStyle name="Followed Hyperlink 3" xfId="14806" hidden="1" xr:uid="{00000000-0005-0000-0000-0000FA3D0000}"/>
    <cellStyle name="Followed Hyperlink 3" xfId="14811" hidden="1" xr:uid="{00000000-0005-0000-0000-0000FB3D0000}"/>
    <cellStyle name="Followed Hyperlink 3" xfId="14541" hidden="1" xr:uid="{00000000-0005-0000-0000-0000FC3D0000}"/>
    <cellStyle name="Followed Hyperlink 3" xfId="14765" hidden="1" xr:uid="{00000000-0005-0000-0000-0000FD3D0000}"/>
    <cellStyle name="Followed Hyperlink 3" xfId="14537" hidden="1" xr:uid="{00000000-0005-0000-0000-0000FE3D0000}"/>
    <cellStyle name="Followed Hyperlink 3" xfId="14542" hidden="1" xr:uid="{00000000-0005-0000-0000-0000FF3D0000}"/>
    <cellStyle name="Followed Hyperlink 3" xfId="14529" hidden="1" xr:uid="{00000000-0005-0000-0000-0000003E0000}"/>
    <cellStyle name="Followed Hyperlink 3" xfId="14816" hidden="1" xr:uid="{00000000-0005-0000-0000-0000013E0000}"/>
    <cellStyle name="Followed Hyperlink 3" xfId="14819" hidden="1" xr:uid="{00000000-0005-0000-0000-0000023E0000}"/>
    <cellStyle name="Followed Hyperlink 3" xfId="14824" hidden="1" xr:uid="{00000000-0005-0000-0000-0000033E0000}"/>
    <cellStyle name="Followed Hyperlink 3" xfId="14834" hidden="1" xr:uid="{00000000-0005-0000-0000-0000043E0000}"/>
    <cellStyle name="Followed Hyperlink 3" xfId="14836" hidden="1" xr:uid="{00000000-0005-0000-0000-0000053E0000}"/>
    <cellStyle name="Followed Hyperlink 3" xfId="14832" hidden="1" xr:uid="{00000000-0005-0000-0000-0000063E0000}"/>
    <cellStyle name="Followed Hyperlink 3" xfId="14831" hidden="1" xr:uid="{00000000-0005-0000-0000-0000073E0000}"/>
    <cellStyle name="Followed Hyperlink 3" xfId="14837" hidden="1" xr:uid="{00000000-0005-0000-0000-0000083E0000}"/>
    <cellStyle name="Followed Hyperlink 3" xfId="14840" hidden="1" xr:uid="{00000000-0005-0000-0000-0000093E0000}"/>
    <cellStyle name="Followed Hyperlink 3" xfId="14843" hidden="1" xr:uid="{00000000-0005-0000-0000-00000A3E0000}"/>
    <cellStyle name="Followed Hyperlink 3" xfId="14848" hidden="1" xr:uid="{00000000-0005-0000-0000-00000B3E0000}"/>
    <cellStyle name="Followed Hyperlink 3" xfId="14858" hidden="1" xr:uid="{00000000-0005-0000-0000-00000C3E0000}"/>
    <cellStyle name="Followed Hyperlink 3" xfId="14860" hidden="1" xr:uid="{00000000-0005-0000-0000-00000D3E0000}"/>
    <cellStyle name="Followed Hyperlink 3" xfId="14856" hidden="1" xr:uid="{00000000-0005-0000-0000-00000E3E0000}"/>
    <cellStyle name="Followed Hyperlink 3" xfId="14855" hidden="1" xr:uid="{00000000-0005-0000-0000-00000F3E0000}"/>
    <cellStyle name="Followed Hyperlink 3" xfId="14861" hidden="1" xr:uid="{00000000-0005-0000-0000-0000103E0000}"/>
    <cellStyle name="Followed Hyperlink 3" xfId="14864" hidden="1" xr:uid="{00000000-0005-0000-0000-0000113E0000}"/>
    <cellStyle name="Followed Hyperlink 3" xfId="14867" hidden="1" xr:uid="{00000000-0005-0000-0000-0000123E0000}"/>
    <cellStyle name="Followed Hyperlink 3" xfId="14872" hidden="1" xr:uid="{00000000-0005-0000-0000-0000133E0000}"/>
    <cellStyle name="Followed Hyperlink 3" xfId="14882" hidden="1" xr:uid="{00000000-0005-0000-0000-0000143E0000}"/>
    <cellStyle name="Followed Hyperlink 3" xfId="14884" hidden="1" xr:uid="{00000000-0005-0000-0000-0000153E0000}"/>
    <cellStyle name="Followed Hyperlink 3" xfId="14880" hidden="1" xr:uid="{00000000-0005-0000-0000-0000163E0000}"/>
    <cellStyle name="Followed Hyperlink 3" xfId="14879" hidden="1" xr:uid="{00000000-0005-0000-0000-0000173E0000}"/>
    <cellStyle name="Followed Hyperlink 3" xfId="14885" hidden="1" xr:uid="{00000000-0005-0000-0000-0000183E0000}"/>
    <cellStyle name="Followed Hyperlink 3" xfId="14888" hidden="1" xr:uid="{00000000-0005-0000-0000-0000193E0000}"/>
    <cellStyle name="Followed Hyperlink 3" xfId="14891" hidden="1" xr:uid="{00000000-0005-0000-0000-00001A3E0000}"/>
    <cellStyle name="Followed Hyperlink 3" xfId="14896" hidden="1" xr:uid="{00000000-0005-0000-0000-00001B3E0000}"/>
    <cellStyle name="Followed Hyperlink 3" xfId="8866" hidden="1" xr:uid="{00000000-0005-0000-0000-00001C3E0000}"/>
    <cellStyle name="Followed Hyperlink 3" xfId="12930" hidden="1" xr:uid="{00000000-0005-0000-0000-00001D3E0000}"/>
    <cellStyle name="Followed Hyperlink 3" xfId="8862" hidden="1" xr:uid="{00000000-0005-0000-0000-00001E3E0000}"/>
    <cellStyle name="Followed Hyperlink 3" xfId="8867" hidden="1" xr:uid="{00000000-0005-0000-0000-00001F3E0000}"/>
    <cellStyle name="Followed Hyperlink 3" xfId="8854" hidden="1" xr:uid="{00000000-0005-0000-0000-0000203E0000}"/>
    <cellStyle name="Followed Hyperlink 3" xfId="14901" hidden="1" xr:uid="{00000000-0005-0000-0000-0000213E0000}"/>
    <cellStyle name="Followed Hyperlink 3" xfId="14904" hidden="1" xr:uid="{00000000-0005-0000-0000-0000223E0000}"/>
    <cellStyle name="Followed Hyperlink 3" xfId="14909" hidden="1" xr:uid="{00000000-0005-0000-0000-0000233E0000}"/>
    <cellStyle name="Followed Hyperlink 3" xfId="14919" hidden="1" xr:uid="{00000000-0005-0000-0000-0000243E0000}"/>
    <cellStyle name="Followed Hyperlink 3" xfId="14921" hidden="1" xr:uid="{00000000-0005-0000-0000-0000253E0000}"/>
    <cellStyle name="Followed Hyperlink 3" xfId="14917" hidden="1" xr:uid="{00000000-0005-0000-0000-0000263E0000}"/>
    <cellStyle name="Followed Hyperlink 3" xfId="14916" hidden="1" xr:uid="{00000000-0005-0000-0000-0000273E0000}"/>
    <cellStyle name="Followed Hyperlink 3" xfId="14922" hidden="1" xr:uid="{00000000-0005-0000-0000-0000283E0000}"/>
    <cellStyle name="Followed Hyperlink 3" xfId="14925" hidden="1" xr:uid="{00000000-0005-0000-0000-0000293E0000}"/>
    <cellStyle name="Followed Hyperlink 3" xfId="14928" hidden="1" xr:uid="{00000000-0005-0000-0000-00002A3E0000}"/>
    <cellStyle name="Followed Hyperlink 3" xfId="14933" hidden="1" xr:uid="{00000000-0005-0000-0000-00002B3E0000}"/>
    <cellStyle name="Followed Hyperlink 3" xfId="14943" hidden="1" xr:uid="{00000000-0005-0000-0000-00002C3E0000}"/>
    <cellStyle name="Followed Hyperlink 3" xfId="14945" hidden="1" xr:uid="{00000000-0005-0000-0000-00002D3E0000}"/>
    <cellStyle name="Followed Hyperlink 3" xfId="14941" hidden="1" xr:uid="{00000000-0005-0000-0000-00002E3E0000}"/>
    <cellStyle name="Followed Hyperlink 3" xfId="14940" hidden="1" xr:uid="{00000000-0005-0000-0000-00002F3E0000}"/>
    <cellStyle name="Followed Hyperlink 3" xfId="14946" hidden="1" xr:uid="{00000000-0005-0000-0000-0000303E0000}"/>
    <cellStyle name="Followed Hyperlink 3" xfId="14949" hidden="1" xr:uid="{00000000-0005-0000-0000-0000313E0000}"/>
    <cellStyle name="Followed Hyperlink 3" xfId="14952" hidden="1" xr:uid="{00000000-0005-0000-0000-0000323E0000}"/>
    <cellStyle name="Followed Hyperlink 3" xfId="14957" hidden="1" xr:uid="{00000000-0005-0000-0000-0000333E0000}"/>
    <cellStyle name="Followed Hyperlink 3" xfId="14967" hidden="1" xr:uid="{00000000-0005-0000-0000-0000343E0000}"/>
    <cellStyle name="Followed Hyperlink 3" xfId="14969" hidden="1" xr:uid="{00000000-0005-0000-0000-0000353E0000}"/>
    <cellStyle name="Followed Hyperlink 3" xfId="14965" hidden="1" xr:uid="{00000000-0005-0000-0000-0000363E0000}"/>
    <cellStyle name="Followed Hyperlink 3" xfId="14964" hidden="1" xr:uid="{00000000-0005-0000-0000-0000373E0000}"/>
    <cellStyle name="Followed Hyperlink 3" xfId="14970" hidden="1" xr:uid="{00000000-0005-0000-0000-0000383E0000}"/>
    <cellStyle name="Followed Hyperlink 3" xfId="14973" hidden="1" xr:uid="{00000000-0005-0000-0000-0000393E0000}"/>
    <cellStyle name="Followed Hyperlink 3" xfId="14976" hidden="1" xr:uid="{00000000-0005-0000-0000-00003A3E0000}"/>
    <cellStyle name="Followed Hyperlink 3" xfId="14981" hidden="1" xr:uid="{00000000-0005-0000-0000-00003B3E0000}"/>
    <cellStyle name="Followed Hyperlink 3" xfId="15020" hidden="1" xr:uid="{00000000-0005-0000-0000-00003C3E0000}"/>
    <cellStyle name="Followed Hyperlink 3" xfId="15022" hidden="1" xr:uid="{00000000-0005-0000-0000-00003D3E0000}"/>
    <cellStyle name="Followed Hyperlink 3" xfId="15018" hidden="1" xr:uid="{00000000-0005-0000-0000-00003E3E0000}"/>
    <cellStyle name="Followed Hyperlink 3" xfId="15017" hidden="1" xr:uid="{00000000-0005-0000-0000-00003F3E0000}"/>
    <cellStyle name="Followed Hyperlink 3" xfId="15023" hidden="1" xr:uid="{00000000-0005-0000-0000-0000403E0000}"/>
    <cellStyle name="Followed Hyperlink 3" xfId="15026" hidden="1" xr:uid="{00000000-0005-0000-0000-0000413E0000}"/>
    <cellStyle name="Followed Hyperlink 3" xfId="15029" hidden="1" xr:uid="{00000000-0005-0000-0000-0000423E0000}"/>
    <cellStyle name="Followed Hyperlink 3" xfId="15034" hidden="1" xr:uid="{00000000-0005-0000-0000-0000433E0000}"/>
    <cellStyle name="Followed Hyperlink 3" xfId="15044" hidden="1" xr:uid="{00000000-0005-0000-0000-0000443E0000}"/>
    <cellStyle name="Followed Hyperlink 3" xfId="15046" hidden="1" xr:uid="{00000000-0005-0000-0000-0000453E0000}"/>
    <cellStyle name="Followed Hyperlink 3" xfId="15042" hidden="1" xr:uid="{00000000-0005-0000-0000-0000463E0000}"/>
    <cellStyle name="Followed Hyperlink 3" xfId="15041" hidden="1" xr:uid="{00000000-0005-0000-0000-0000473E0000}"/>
    <cellStyle name="Followed Hyperlink 3" xfId="15047" hidden="1" xr:uid="{00000000-0005-0000-0000-0000483E0000}"/>
    <cellStyle name="Followed Hyperlink 3" xfId="15050" hidden="1" xr:uid="{00000000-0005-0000-0000-0000493E0000}"/>
    <cellStyle name="Followed Hyperlink 3" xfId="15053" hidden="1" xr:uid="{00000000-0005-0000-0000-00004A3E0000}"/>
    <cellStyle name="Followed Hyperlink 3" xfId="15058" hidden="1" xr:uid="{00000000-0005-0000-0000-00004B3E0000}"/>
    <cellStyle name="Followed Hyperlink 3" xfId="15070" hidden="1" xr:uid="{00000000-0005-0000-0000-00004C3E0000}"/>
    <cellStyle name="Followed Hyperlink 3" xfId="15072" hidden="1" xr:uid="{00000000-0005-0000-0000-00004D3E0000}"/>
    <cellStyle name="Followed Hyperlink 3" xfId="15068" hidden="1" xr:uid="{00000000-0005-0000-0000-00004E3E0000}"/>
    <cellStyle name="Followed Hyperlink 3" xfId="15067" hidden="1" xr:uid="{00000000-0005-0000-0000-00004F3E0000}"/>
    <cellStyle name="Followed Hyperlink 3" xfId="15073" hidden="1" xr:uid="{00000000-0005-0000-0000-0000503E0000}"/>
    <cellStyle name="Followed Hyperlink 3" xfId="15076" hidden="1" xr:uid="{00000000-0005-0000-0000-0000513E0000}"/>
    <cellStyle name="Followed Hyperlink 3" xfId="15079" hidden="1" xr:uid="{00000000-0005-0000-0000-0000523E0000}"/>
    <cellStyle name="Followed Hyperlink 3" xfId="15084" hidden="1" xr:uid="{00000000-0005-0000-0000-0000533E0000}"/>
    <cellStyle name="Followed Hyperlink 3" xfId="15094" hidden="1" xr:uid="{00000000-0005-0000-0000-0000543E0000}"/>
    <cellStyle name="Followed Hyperlink 3" xfId="15096" hidden="1" xr:uid="{00000000-0005-0000-0000-0000553E0000}"/>
    <cellStyle name="Followed Hyperlink 3" xfId="15092" hidden="1" xr:uid="{00000000-0005-0000-0000-0000563E0000}"/>
    <cellStyle name="Followed Hyperlink 3" xfId="15091" hidden="1" xr:uid="{00000000-0005-0000-0000-0000573E0000}"/>
    <cellStyle name="Followed Hyperlink 3" xfId="15097" hidden="1" xr:uid="{00000000-0005-0000-0000-0000583E0000}"/>
    <cellStyle name="Followed Hyperlink 3" xfId="15100" hidden="1" xr:uid="{00000000-0005-0000-0000-0000593E0000}"/>
    <cellStyle name="Followed Hyperlink 3" xfId="15103" hidden="1" xr:uid="{00000000-0005-0000-0000-00005A3E0000}"/>
    <cellStyle name="Followed Hyperlink 3" xfId="15108" hidden="1" xr:uid="{00000000-0005-0000-0000-00005B3E0000}"/>
    <cellStyle name="Followed Hyperlink 3" xfId="15147" hidden="1" xr:uid="{00000000-0005-0000-0000-00005C3E0000}"/>
    <cellStyle name="Followed Hyperlink 3" xfId="15149" hidden="1" xr:uid="{00000000-0005-0000-0000-00005D3E0000}"/>
    <cellStyle name="Followed Hyperlink 3" xfId="15145" hidden="1" xr:uid="{00000000-0005-0000-0000-00005E3E0000}"/>
    <cellStyle name="Followed Hyperlink 3" xfId="15144" hidden="1" xr:uid="{00000000-0005-0000-0000-00005F3E0000}"/>
    <cellStyle name="Followed Hyperlink 3" xfId="15150" hidden="1" xr:uid="{00000000-0005-0000-0000-0000603E0000}"/>
    <cellStyle name="Followed Hyperlink 3" xfId="15153" hidden="1" xr:uid="{00000000-0005-0000-0000-0000613E0000}"/>
    <cellStyle name="Followed Hyperlink 3" xfId="15156" hidden="1" xr:uid="{00000000-0005-0000-0000-0000623E0000}"/>
    <cellStyle name="Followed Hyperlink 3" xfId="15161" hidden="1" xr:uid="{00000000-0005-0000-0000-0000633E0000}"/>
    <cellStyle name="Followed Hyperlink 3" xfId="15171" hidden="1" xr:uid="{00000000-0005-0000-0000-0000643E0000}"/>
    <cellStyle name="Followed Hyperlink 3" xfId="15173" hidden="1" xr:uid="{00000000-0005-0000-0000-0000653E0000}"/>
    <cellStyle name="Followed Hyperlink 3" xfId="15169" hidden="1" xr:uid="{00000000-0005-0000-0000-0000663E0000}"/>
    <cellStyle name="Followed Hyperlink 3" xfId="15168" hidden="1" xr:uid="{00000000-0005-0000-0000-0000673E0000}"/>
    <cellStyle name="Followed Hyperlink 3" xfId="15174" hidden="1" xr:uid="{00000000-0005-0000-0000-0000683E0000}"/>
    <cellStyle name="Followed Hyperlink 3" xfId="15177" hidden="1" xr:uid="{00000000-0005-0000-0000-0000693E0000}"/>
    <cellStyle name="Followed Hyperlink 3" xfId="15180" hidden="1" xr:uid="{00000000-0005-0000-0000-00006A3E0000}"/>
    <cellStyle name="Followed Hyperlink 3" xfId="15185" hidden="1" xr:uid="{00000000-0005-0000-0000-00006B3E0000}"/>
    <cellStyle name="Followed Hyperlink 3" xfId="15197" hidden="1" xr:uid="{00000000-0005-0000-0000-00006C3E0000}"/>
    <cellStyle name="Followed Hyperlink 3" xfId="15199" hidden="1" xr:uid="{00000000-0005-0000-0000-00006D3E0000}"/>
    <cellStyle name="Followed Hyperlink 3" xfId="15195" hidden="1" xr:uid="{00000000-0005-0000-0000-00006E3E0000}"/>
    <cellStyle name="Followed Hyperlink 3" xfId="15194" hidden="1" xr:uid="{00000000-0005-0000-0000-00006F3E0000}"/>
    <cellStyle name="Followed Hyperlink 3" xfId="15200" hidden="1" xr:uid="{00000000-0005-0000-0000-0000703E0000}"/>
    <cellStyle name="Followed Hyperlink 3" xfId="15203" hidden="1" xr:uid="{00000000-0005-0000-0000-0000713E0000}"/>
    <cellStyle name="Followed Hyperlink 3" xfId="15206" hidden="1" xr:uid="{00000000-0005-0000-0000-0000723E0000}"/>
    <cellStyle name="Followed Hyperlink 3" xfId="15211" hidden="1" xr:uid="{00000000-0005-0000-0000-0000733E0000}"/>
    <cellStyle name="Followed Hyperlink 3" xfId="15221" hidden="1" xr:uid="{00000000-0005-0000-0000-0000743E0000}"/>
    <cellStyle name="Followed Hyperlink 3" xfId="15223" hidden="1" xr:uid="{00000000-0005-0000-0000-0000753E0000}"/>
    <cellStyle name="Followed Hyperlink 3" xfId="15219" hidden="1" xr:uid="{00000000-0005-0000-0000-0000763E0000}"/>
    <cellStyle name="Followed Hyperlink 3" xfId="15218" hidden="1" xr:uid="{00000000-0005-0000-0000-0000773E0000}"/>
    <cellStyle name="Followed Hyperlink 3" xfId="15224" hidden="1" xr:uid="{00000000-0005-0000-0000-0000783E0000}"/>
    <cellStyle name="Followed Hyperlink 3" xfId="15227" hidden="1" xr:uid="{00000000-0005-0000-0000-0000793E0000}"/>
    <cellStyle name="Followed Hyperlink 3" xfId="15230" hidden="1" xr:uid="{00000000-0005-0000-0000-00007A3E0000}"/>
    <cellStyle name="Followed Hyperlink 3" xfId="15235" hidden="1" xr:uid="{00000000-0005-0000-0000-00007B3E0000}"/>
    <cellStyle name="Followed Hyperlink 3" xfId="15111" hidden="1" xr:uid="{00000000-0005-0000-0000-00007C3E0000}"/>
    <cellStyle name="Followed Hyperlink 3" xfId="15188" hidden="1" xr:uid="{00000000-0005-0000-0000-00007D3E0000}"/>
    <cellStyle name="Followed Hyperlink 3" xfId="15115" hidden="1" xr:uid="{00000000-0005-0000-0000-00007E3E0000}"/>
    <cellStyle name="Followed Hyperlink 3" xfId="15116" hidden="1" xr:uid="{00000000-0005-0000-0000-00007F3E0000}"/>
    <cellStyle name="Followed Hyperlink 3" xfId="15119" hidden="1" xr:uid="{00000000-0005-0000-0000-0000803E0000}"/>
    <cellStyle name="Followed Hyperlink 3" xfId="15240" hidden="1" xr:uid="{00000000-0005-0000-0000-0000813E0000}"/>
    <cellStyle name="Followed Hyperlink 3" xfId="15243" hidden="1" xr:uid="{00000000-0005-0000-0000-0000823E0000}"/>
    <cellStyle name="Followed Hyperlink 3" xfId="15248" hidden="1" xr:uid="{00000000-0005-0000-0000-0000833E0000}"/>
    <cellStyle name="Followed Hyperlink 3" xfId="15258" hidden="1" xr:uid="{00000000-0005-0000-0000-0000843E0000}"/>
    <cellStyle name="Followed Hyperlink 3" xfId="15260" hidden="1" xr:uid="{00000000-0005-0000-0000-0000853E0000}"/>
    <cellStyle name="Followed Hyperlink 3" xfId="15256" hidden="1" xr:uid="{00000000-0005-0000-0000-0000863E0000}"/>
    <cellStyle name="Followed Hyperlink 3" xfId="15255" hidden="1" xr:uid="{00000000-0005-0000-0000-0000873E0000}"/>
    <cellStyle name="Followed Hyperlink 3" xfId="15261" hidden="1" xr:uid="{00000000-0005-0000-0000-0000883E0000}"/>
    <cellStyle name="Followed Hyperlink 3" xfId="15264" hidden="1" xr:uid="{00000000-0005-0000-0000-0000893E0000}"/>
    <cellStyle name="Followed Hyperlink 3" xfId="15267" hidden="1" xr:uid="{00000000-0005-0000-0000-00008A3E0000}"/>
    <cellStyle name="Followed Hyperlink 3" xfId="15272" hidden="1" xr:uid="{00000000-0005-0000-0000-00008B3E0000}"/>
    <cellStyle name="Followed Hyperlink 3" xfId="15283" hidden="1" xr:uid="{00000000-0005-0000-0000-00008C3E0000}"/>
    <cellStyle name="Followed Hyperlink 3" xfId="15285" hidden="1" xr:uid="{00000000-0005-0000-0000-00008D3E0000}"/>
    <cellStyle name="Followed Hyperlink 3" xfId="15281" hidden="1" xr:uid="{00000000-0005-0000-0000-00008E3E0000}"/>
    <cellStyle name="Followed Hyperlink 3" xfId="15280" hidden="1" xr:uid="{00000000-0005-0000-0000-00008F3E0000}"/>
    <cellStyle name="Followed Hyperlink 3" xfId="15286" hidden="1" xr:uid="{00000000-0005-0000-0000-0000903E0000}"/>
    <cellStyle name="Followed Hyperlink 3" xfId="15289" hidden="1" xr:uid="{00000000-0005-0000-0000-0000913E0000}"/>
    <cellStyle name="Followed Hyperlink 3" xfId="15292" hidden="1" xr:uid="{00000000-0005-0000-0000-0000923E0000}"/>
    <cellStyle name="Followed Hyperlink 3" xfId="15297" hidden="1" xr:uid="{00000000-0005-0000-0000-0000933E0000}"/>
    <cellStyle name="Followed Hyperlink 3" xfId="15307" hidden="1" xr:uid="{00000000-0005-0000-0000-0000943E0000}"/>
    <cellStyle name="Followed Hyperlink 3" xfId="15309" hidden="1" xr:uid="{00000000-0005-0000-0000-0000953E0000}"/>
    <cellStyle name="Followed Hyperlink 3" xfId="15305" hidden="1" xr:uid="{00000000-0005-0000-0000-0000963E0000}"/>
    <cellStyle name="Followed Hyperlink 3" xfId="15304" hidden="1" xr:uid="{00000000-0005-0000-0000-0000973E0000}"/>
    <cellStyle name="Followed Hyperlink 3" xfId="15310" hidden="1" xr:uid="{00000000-0005-0000-0000-0000983E0000}"/>
    <cellStyle name="Followed Hyperlink 3" xfId="15313" hidden="1" xr:uid="{00000000-0005-0000-0000-0000993E0000}"/>
    <cellStyle name="Followed Hyperlink 3" xfId="15316" hidden="1" xr:uid="{00000000-0005-0000-0000-00009A3E0000}"/>
    <cellStyle name="Followed Hyperlink 3" xfId="15321" hidden="1" xr:uid="{00000000-0005-0000-0000-00009B3E0000}"/>
    <cellStyle name="Followed Hyperlink 3" xfId="15132" hidden="1" xr:uid="{00000000-0005-0000-0000-00009C3E0000}"/>
    <cellStyle name="Followed Hyperlink 3" xfId="15275" hidden="1" xr:uid="{00000000-0005-0000-0000-00009D3E0000}"/>
    <cellStyle name="Followed Hyperlink 3" xfId="15129" hidden="1" xr:uid="{00000000-0005-0000-0000-00009E3E0000}"/>
    <cellStyle name="Followed Hyperlink 3" xfId="15121" hidden="1" xr:uid="{00000000-0005-0000-0000-00009F3E0000}"/>
    <cellStyle name="Followed Hyperlink 3" xfId="15126" hidden="1" xr:uid="{00000000-0005-0000-0000-0000A03E0000}"/>
    <cellStyle name="Followed Hyperlink 3" xfId="15326" hidden="1" xr:uid="{00000000-0005-0000-0000-0000A13E0000}"/>
    <cellStyle name="Followed Hyperlink 3" xfId="15329" hidden="1" xr:uid="{00000000-0005-0000-0000-0000A23E0000}"/>
    <cellStyle name="Followed Hyperlink 3" xfId="15334" hidden="1" xr:uid="{00000000-0005-0000-0000-0000A33E0000}"/>
    <cellStyle name="Followed Hyperlink 3" xfId="15344" hidden="1" xr:uid="{00000000-0005-0000-0000-0000A43E0000}"/>
    <cellStyle name="Followed Hyperlink 3" xfId="15346" hidden="1" xr:uid="{00000000-0005-0000-0000-0000A53E0000}"/>
    <cellStyle name="Followed Hyperlink 3" xfId="15342" hidden="1" xr:uid="{00000000-0005-0000-0000-0000A63E0000}"/>
    <cellStyle name="Followed Hyperlink 3" xfId="15341" hidden="1" xr:uid="{00000000-0005-0000-0000-0000A73E0000}"/>
    <cellStyle name="Followed Hyperlink 3" xfId="15347" hidden="1" xr:uid="{00000000-0005-0000-0000-0000A83E0000}"/>
    <cellStyle name="Followed Hyperlink 3" xfId="15350" hidden="1" xr:uid="{00000000-0005-0000-0000-0000A93E0000}"/>
    <cellStyle name="Followed Hyperlink 3" xfId="15353" hidden="1" xr:uid="{00000000-0005-0000-0000-0000AA3E0000}"/>
    <cellStyle name="Followed Hyperlink 3" xfId="15358" hidden="1" xr:uid="{00000000-0005-0000-0000-0000AB3E0000}"/>
    <cellStyle name="Followed Hyperlink 3" xfId="15369" hidden="1" xr:uid="{00000000-0005-0000-0000-0000AC3E0000}"/>
    <cellStyle name="Followed Hyperlink 3" xfId="15371" hidden="1" xr:uid="{00000000-0005-0000-0000-0000AD3E0000}"/>
    <cellStyle name="Followed Hyperlink 3" xfId="15367" hidden="1" xr:uid="{00000000-0005-0000-0000-0000AE3E0000}"/>
    <cellStyle name="Followed Hyperlink 3" xfId="15366" hidden="1" xr:uid="{00000000-0005-0000-0000-0000AF3E0000}"/>
    <cellStyle name="Followed Hyperlink 3" xfId="15372" hidden="1" xr:uid="{00000000-0005-0000-0000-0000B03E0000}"/>
    <cellStyle name="Followed Hyperlink 3" xfId="15375" hidden="1" xr:uid="{00000000-0005-0000-0000-0000B13E0000}"/>
    <cellStyle name="Followed Hyperlink 3" xfId="15378" hidden="1" xr:uid="{00000000-0005-0000-0000-0000B23E0000}"/>
    <cellStyle name="Followed Hyperlink 3" xfId="15383" hidden="1" xr:uid="{00000000-0005-0000-0000-0000B33E0000}"/>
    <cellStyle name="Followed Hyperlink 3" xfId="15393" hidden="1" xr:uid="{00000000-0005-0000-0000-0000B43E0000}"/>
    <cellStyle name="Followed Hyperlink 3" xfId="15395" hidden="1" xr:uid="{00000000-0005-0000-0000-0000B53E0000}"/>
    <cellStyle name="Followed Hyperlink 3" xfId="15391" hidden="1" xr:uid="{00000000-0005-0000-0000-0000B63E0000}"/>
    <cellStyle name="Followed Hyperlink 3" xfId="15390" hidden="1" xr:uid="{00000000-0005-0000-0000-0000B73E0000}"/>
    <cellStyle name="Followed Hyperlink 3" xfId="15396" hidden="1" xr:uid="{00000000-0005-0000-0000-0000B83E0000}"/>
    <cellStyle name="Followed Hyperlink 3" xfId="15399" hidden="1" xr:uid="{00000000-0005-0000-0000-0000B93E0000}"/>
    <cellStyle name="Followed Hyperlink 3" xfId="15402" hidden="1" xr:uid="{00000000-0005-0000-0000-0000BA3E0000}"/>
    <cellStyle name="Followed Hyperlink 3" xfId="15407" hidden="1" xr:uid="{00000000-0005-0000-0000-0000BB3E0000}"/>
    <cellStyle name="Followed Hyperlink 3" xfId="15137" hidden="1" xr:uid="{00000000-0005-0000-0000-0000BC3E0000}"/>
    <cellStyle name="Followed Hyperlink 3" xfId="15361" hidden="1" xr:uid="{00000000-0005-0000-0000-0000BD3E0000}"/>
    <cellStyle name="Followed Hyperlink 3" xfId="15133" hidden="1" xr:uid="{00000000-0005-0000-0000-0000BE3E0000}"/>
    <cellStyle name="Followed Hyperlink 3" xfId="15138" hidden="1" xr:uid="{00000000-0005-0000-0000-0000BF3E0000}"/>
    <cellStyle name="Followed Hyperlink 3" xfId="15125" hidden="1" xr:uid="{00000000-0005-0000-0000-0000C03E0000}"/>
    <cellStyle name="Followed Hyperlink 3" xfId="15412" hidden="1" xr:uid="{00000000-0005-0000-0000-0000C13E0000}"/>
    <cellStyle name="Followed Hyperlink 3" xfId="15415" hidden="1" xr:uid="{00000000-0005-0000-0000-0000C23E0000}"/>
    <cellStyle name="Followed Hyperlink 3" xfId="15420" hidden="1" xr:uid="{00000000-0005-0000-0000-0000C33E0000}"/>
    <cellStyle name="Followed Hyperlink 3" xfId="15430" hidden="1" xr:uid="{00000000-0005-0000-0000-0000C43E0000}"/>
    <cellStyle name="Followed Hyperlink 3" xfId="15432" hidden="1" xr:uid="{00000000-0005-0000-0000-0000C53E0000}"/>
    <cellStyle name="Followed Hyperlink 3" xfId="15428" hidden="1" xr:uid="{00000000-0005-0000-0000-0000C63E0000}"/>
    <cellStyle name="Followed Hyperlink 3" xfId="15427" hidden="1" xr:uid="{00000000-0005-0000-0000-0000C73E0000}"/>
    <cellStyle name="Followed Hyperlink 3" xfId="15433" hidden="1" xr:uid="{00000000-0005-0000-0000-0000C83E0000}"/>
    <cellStyle name="Followed Hyperlink 3" xfId="15436" hidden="1" xr:uid="{00000000-0005-0000-0000-0000C93E0000}"/>
    <cellStyle name="Followed Hyperlink 3" xfId="15439" hidden="1" xr:uid="{00000000-0005-0000-0000-0000CA3E0000}"/>
    <cellStyle name="Followed Hyperlink 3" xfId="15444" hidden="1" xr:uid="{00000000-0005-0000-0000-0000CB3E0000}"/>
    <cellStyle name="Followed Hyperlink 3" xfId="15454" hidden="1" xr:uid="{00000000-0005-0000-0000-0000CC3E0000}"/>
    <cellStyle name="Followed Hyperlink 3" xfId="15456" hidden="1" xr:uid="{00000000-0005-0000-0000-0000CD3E0000}"/>
    <cellStyle name="Followed Hyperlink 3" xfId="15452" hidden="1" xr:uid="{00000000-0005-0000-0000-0000CE3E0000}"/>
    <cellStyle name="Followed Hyperlink 3" xfId="15451" hidden="1" xr:uid="{00000000-0005-0000-0000-0000CF3E0000}"/>
    <cellStyle name="Followed Hyperlink 3" xfId="15457" hidden="1" xr:uid="{00000000-0005-0000-0000-0000D03E0000}"/>
    <cellStyle name="Followed Hyperlink 3" xfId="15460" hidden="1" xr:uid="{00000000-0005-0000-0000-0000D13E0000}"/>
    <cellStyle name="Followed Hyperlink 3" xfId="15463" hidden="1" xr:uid="{00000000-0005-0000-0000-0000D23E0000}"/>
    <cellStyle name="Followed Hyperlink 3" xfId="15468" hidden="1" xr:uid="{00000000-0005-0000-0000-0000D33E0000}"/>
    <cellStyle name="Followed Hyperlink 3" xfId="15478" hidden="1" xr:uid="{00000000-0005-0000-0000-0000D43E0000}"/>
    <cellStyle name="Followed Hyperlink 3" xfId="15480" hidden="1" xr:uid="{00000000-0005-0000-0000-0000D53E0000}"/>
    <cellStyle name="Followed Hyperlink 3" xfId="15476" hidden="1" xr:uid="{00000000-0005-0000-0000-0000D63E0000}"/>
    <cellStyle name="Followed Hyperlink 3" xfId="15475" hidden="1" xr:uid="{00000000-0005-0000-0000-0000D73E0000}"/>
    <cellStyle name="Followed Hyperlink 3" xfId="15481" hidden="1" xr:uid="{00000000-0005-0000-0000-0000D83E0000}"/>
    <cellStyle name="Followed Hyperlink 3" xfId="15484" hidden="1" xr:uid="{00000000-0005-0000-0000-0000D93E0000}"/>
    <cellStyle name="Followed Hyperlink 3" xfId="15487" hidden="1" xr:uid="{00000000-0005-0000-0000-0000DA3E0000}"/>
    <cellStyle name="Followed Hyperlink 3" xfId="15492" hidden="1" xr:uid="{00000000-0005-0000-0000-0000DB3E0000}"/>
    <cellStyle name="Followed Hyperlink 3" xfId="14984" hidden="1" xr:uid="{00000000-0005-0000-0000-0000DC3E0000}"/>
    <cellStyle name="Followed Hyperlink 3" xfId="15061" hidden="1" xr:uid="{00000000-0005-0000-0000-0000DD3E0000}"/>
    <cellStyle name="Followed Hyperlink 3" xfId="14988" hidden="1" xr:uid="{00000000-0005-0000-0000-0000DE3E0000}"/>
    <cellStyle name="Followed Hyperlink 3" xfId="14989" hidden="1" xr:uid="{00000000-0005-0000-0000-0000DF3E0000}"/>
    <cellStyle name="Followed Hyperlink 3" xfId="14992" hidden="1" xr:uid="{00000000-0005-0000-0000-0000E03E0000}"/>
    <cellStyle name="Followed Hyperlink 3" xfId="15497" hidden="1" xr:uid="{00000000-0005-0000-0000-0000E13E0000}"/>
    <cellStyle name="Followed Hyperlink 3" xfId="15500" hidden="1" xr:uid="{00000000-0005-0000-0000-0000E23E0000}"/>
    <cellStyle name="Followed Hyperlink 3" xfId="15505" hidden="1" xr:uid="{00000000-0005-0000-0000-0000E33E0000}"/>
    <cellStyle name="Followed Hyperlink 3" xfId="15515" hidden="1" xr:uid="{00000000-0005-0000-0000-0000E43E0000}"/>
    <cellStyle name="Followed Hyperlink 3" xfId="15517" hidden="1" xr:uid="{00000000-0005-0000-0000-0000E53E0000}"/>
    <cellStyle name="Followed Hyperlink 3" xfId="15513" hidden="1" xr:uid="{00000000-0005-0000-0000-0000E63E0000}"/>
    <cellStyle name="Followed Hyperlink 3" xfId="15512" hidden="1" xr:uid="{00000000-0005-0000-0000-0000E73E0000}"/>
    <cellStyle name="Followed Hyperlink 3" xfId="15518" hidden="1" xr:uid="{00000000-0005-0000-0000-0000E83E0000}"/>
    <cellStyle name="Followed Hyperlink 3" xfId="15521" hidden="1" xr:uid="{00000000-0005-0000-0000-0000E93E0000}"/>
    <cellStyle name="Followed Hyperlink 3" xfId="15524" hidden="1" xr:uid="{00000000-0005-0000-0000-0000EA3E0000}"/>
    <cellStyle name="Followed Hyperlink 3" xfId="15529" hidden="1" xr:uid="{00000000-0005-0000-0000-0000EB3E0000}"/>
    <cellStyle name="Followed Hyperlink 3" xfId="15540" hidden="1" xr:uid="{00000000-0005-0000-0000-0000EC3E0000}"/>
    <cellStyle name="Followed Hyperlink 3" xfId="15542" hidden="1" xr:uid="{00000000-0005-0000-0000-0000ED3E0000}"/>
    <cellStyle name="Followed Hyperlink 3" xfId="15538" hidden="1" xr:uid="{00000000-0005-0000-0000-0000EE3E0000}"/>
    <cellStyle name="Followed Hyperlink 3" xfId="15537" hidden="1" xr:uid="{00000000-0005-0000-0000-0000EF3E0000}"/>
    <cellStyle name="Followed Hyperlink 3" xfId="15543" hidden="1" xr:uid="{00000000-0005-0000-0000-0000F03E0000}"/>
    <cellStyle name="Followed Hyperlink 3" xfId="15546" hidden="1" xr:uid="{00000000-0005-0000-0000-0000F13E0000}"/>
    <cellStyle name="Followed Hyperlink 3" xfId="15549" hidden="1" xr:uid="{00000000-0005-0000-0000-0000F23E0000}"/>
    <cellStyle name="Followed Hyperlink 3" xfId="15554" hidden="1" xr:uid="{00000000-0005-0000-0000-0000F33E0000}"/>
    <cellStyle name="Followed Hyperlink 3" xfId="15564" hidden="1" xr:uid="{00000000-0005-0000-0000-0000F43E0000}"/>
    <cellStyle name="Followed Hyperlink 3" xfId="15566" hidden="1" xr:uid="{00000000-0005-0000-0000-0000F53E0000}"/>
    <cellStyle name="Followed Hyperlink 3" xfId="15562" hidden="1" xr:uid="{00000000-0005-0000-0000-0000F63E0000}"/>
    <cellStyle name="Followed Hyperlink 3" xfId="15561" hidden="1" xr:uid="{00000000-0005-0000-0000-0000F73E0000}"/>
    <cellStyle name="Followed Hyperlink 3" xfId="15567" hidden="1" xr:uid="{00000000-0005-0000-0000-0000F83E0000}"/>
    <cellStyle name="Followed Hyperlink 3" xfId="15570" hidden="1" xr:uid="{00000000-0005-0000-0000-0000F93E0000}"/>
    <cellStyle name="Followed Hyperlink 3" xfId="15573" hidden="1" xr:uid="{00000000-0005-0000-0000-0000FA3E0000}"/>
    <cellStyle name="Followed Hyperlink 3" xfId="15578" hidden="1" xr:uid="{00000000-0005-0000-0000-0000FB3E0000}"/>
    <cellStyle name="Followed Hyperlink 3" xfId="15617" hidden="1" xr:uid="{00000000-0005-0000-0000-0000FC3E0000}"/>
    <cellStyle name="Followed Hyperlink 3" xfId="15619" hidden="1" xr:uid="{00000000-0005-0000-0000-0000FD3E0000}"/>
    <cellStyle name="Followed Hyperlink 3" xfId="15615" hidden="1" xr:uid="{00000000-0005-0000-0000-0000FE3E0000}"/>
    <cellStyle name="Followed Hyperlink 3" xfId="15614" hidden="1" xr:uid="{00000000-0005-0000-0000-0000FF3E0000}"/>
    <cellStyle name="Followed Hyperlink 3" xfId="15620" hidden="1" xr:uid="{00000000-0005-0000-0000-0000003F0000}"/>
    <cellStyle name="Followed Hyperlink 3" xfId="15623" hidden="1" xr:uid="{00000000-0005-0000-0000-0000013F0000}"/>
    <cellStyle name="Followed Hyperlink 3" xfId="15626" hidden="1" xr:uid="{00000000-0005-0000-0000-0000023F0000}"/>
    <cellStyle name="Followed Hyperlink 3" xfId="15631" hidden="1" xr:uid="{00000000-0005-0000-0000-0000033F0000}"/>
    <cellStyle name="Followed Hyperlink 3" xfId="15641" hidden="1" xr:uid="{00000000-0005-0000-0000-0000043F0000}"/>
    <cellStyle name="Followed Hyperlink 3" xfId="15643" hidden="1" xr:uid="{00000000-0005-0000-0000-0000053F0000}"/>
    <cellStyle name="Followed Hyperlink 3" xfId="15639" hidden="1" xr:uid="{00000000-0005-0000-0000-0000063F0000}"/>
    <cellStyle name="Followed Hyperlink 3" xfId="15638" hidden="1" xr:uid="{00000000-0005-0000-0000-0000073F0000}"/>
    <cellStyle name="Followed Hyperlink 3" xfId="15644" hidden="1" xr:uid="{00000000-0005-0000-0000-0000083F0000}"/>
    <cellStyle name="Followed Hyperlink 3" xfId="15647" hidden="1" xr:uid="{00000000-0005-0000-0000-0000093F0000}"/>
    <cellStyle name="Followed Hyperlink 3" xfId="15650" hidden="1" xr:uid="{00000000-0005-0000-0000-00000A3F0000}"/>
    <cellStyle name="Followed Hyperlink 3" xfId="15655" hidden="1" xr:uid="{00000000-0005-0000-0000-00000B3F0000}"/>
    <cellStyle name="Followed Hyperlink 3" xfId="15667" hidden="1" xr:uid="{00000000-0005-0000-0000-00000C3F0000}"/>
    <cellStyle name="Followed Hyperlink 3" xfId="15669" hidden="1" xr:uid="{00000000-0005-0000-0000-00000D3F0000}"/>
    <cellStyle name="Followed Hyperlink 3" xfId="15665" hidden="1" xr:uid="{00000000-0005-0000-0000-00000E3F0000}"/>
    <cellStyle name="Followed Hyperlink 3" xfId="15664" hidden="1" xr:uid="{00000000-0005-0000-0000-00000F3F0000}"/>
    <cellStyle name="Followed Hyperlink 3" xfId="15670" hidden="1" xr:uid="{00000000-0005-0000-0000-0000103F0000}"/>
    <cellStyle name="Followed Hyperlink 3" xfId="15673" hidden="1" xr:uid="{00000000-0005-0000-0000-0000113F0000}"/>
    <cellStyle name="Followed Hyperlink 3" xfId="15676" hidden="1" xr:uid="{00000000-0005-0000-0000-0000123F0000}"/>
    <cellStyle name="Followed Hyperlink 3" xfId="15681" hidden="1" xr:uid="{00000000-0005-0000-0000-0000133F0000}"/>
    <cellStyle name="Followed Hyperlink 3" xfId="15691" hidden="1" xr:uid="{00000000-0005-0000-0000-0000143F0000}"/>
    <cellStyle name="Followed Hyperlink 3" xfId="15693" hidden="1" xr:uid="{00000000-0005-0000-0000-0000153F0000}"/>
    <cellStyle name="Followed Hyperlink 3" xfId="15689" hidden="1" xr:uid="{00000000-0005-0000-0000-0000163F0000}"/>
    <cellStyle name="Followed Hyperlink 3" xfId="15688" hidden="1" xr:uid="{00000000-0005-0000-0000-0000173F0000}"/>
    <cellStyle name="Followed Hyperlink 3" xfId="15694" hidden="1" xr:uid="{00000000-0005-0000-0000-0000183F0000}"/>
    <cellStyle name="Followed Hyperlink 3" xfId="15697" hidden="1" xr:uid="{00000000-0005-0000-0000-0000193F0000}"/>
    <cellStyle name="Followed Hyperlink 3" xfId="15700" hidden="1" xr:uid="{00000000-0005-0000-0000-00001A3F0000}"/>
    <cellStyle name="Followed Hyperlink 3" xfId="15705" hidden="1" xr:uid="{00000000-0005-0000-0000-00001B3F0000}"/>
    <cellStyle name="Followed Hyperlink 3" xfId="15581" hidden="1" xr:uid="{00000000-0005-0000-0000-00001C3F0000}"/>
    <cellStyle name="Followed Hyperlink 3" xfId="15658" hidden="1" xr:uid="{00000000-0005-0000-0000-00001D3F0000}"/>
    <cellStyle name="Followed Hyperlink 3" xfId="15585" hidden="1" xr:uid="{00000000-0005-0000-0000-00001E3F0000}"/>
    <cellStyle name="Followed Hyperlink 3" xfId="15586" hidden="1" xr:uid="{00000000-0005-0000-0000-00001F3F0000}"/>
    <cellStyle name="Followed Hyperlink 3" xfId="15589" hidden="1" xr:uid="{00000000-0005-0000-0000-0000203F0000}"/>
    <cellStyle name="Followed Hyperlink 3" xfId="15710" hidden="1" xr:uid="{00000000-0005-0000-0000-0000213F0000}"/>
    <cellStyle name="Followed Hyperlink 3" xfId="15713" hidden="1" xr:uid="{00000000-0005-0000-0000-0000223F0000}"/>
    <cellStyle name="Followed Hyperlink 3" xfId="15718" hidden="1" xr:uid="{00000000-0005-0000-0000-0000233F0000}"/>
    <cellStyle name="Followed Hyperlink 3" xfId="15728" hidden="1" xr:uid="{00000000-0005-0000-0000-0000243F0000}"/>
    <cellStyle name="Followed Hyperlink 3" xfId="15730" hidden="1" xr:uid="{00000000-0005-0000-0000-0000253F0000}"/>
    <cellStyle name="Followed Hyperlink 3" xfId="15726" hidden="1" xr:uid="{00000000-0005-0000-0000-0000263F0000}"/>
    <cellStyle name="Followed Hyperlink 3" xfId="15725" hidden="1" xr:uid="{00000000-0005-0000-0000-0000273F0000}"/>
    <cellStyle name="Followed Hyperlink 3" xfId="15731" hidden="1" xr:uid="{00000000-0005-0000-0000-0000283F0000}"/>
    <cellStyle name="Followed Hyperlink 3" xfId="15734" hidden="1" xr:uid="{00000000-0005-0000-0000-0000293F0000}"/>
    <cellStyle name="Followed Hyperlink 3" xfId="15737" hidden="1" xr:uid="{00000000-0005-0000-0000-00002A3F0000}"/>
    <cellStyle name="Followed Hyperlink 3" xfId="15742" hidden="1" xr:uid="{00000000-0005-0000-0000-00002B3F0000}"/>
    <cellStyle name="Followed Hyperlink 3" xfId="15753" hidden="1" xr:uid="{00000000-0005-0000-0000-00002C3F0000}"/>
    <cellStyle name="Followed Hyperlink 3" xfId="15755" hidden="1" xr:uid="{00000000-0005-0000-0000-00002D3F0000}"/>
    <cellStyle name="Followed Hyperlink 3" xfId="15751" hidden="1" xr:uid="{00000000-0005-0000-0000-00002E3F0000}"/>
    <cellStyle name="Followed Hyperlink 3" xfId="15750" hidden="1" xr:uid="{00000000-0005-0000-0000-00002F3F0000}"/>
    <cellStyle name="Followed Hyperlink 3" xfId="15756" hidden="1" xr:uid="{00000000-0005-0000-0000-0000303F0000}"/>
    <cellStyle name="Followed Hyperlink 3" xfId="15759" hidden="1" xr:uid="{00000000-0005-0000-0000-0000313F0000}"/>
    <cellStyle name="Followed Hyperlink 3" xfId="15762" hidden="1" xr:uid="{00000000-0005-0000-0000-0000323F0000}"/>
    <cellStyle name="Followed Hyperlink 3" xfId="15767" hidden="1" xr:uid="{00000000-0005-0000-0000-0000333F0000}"/>
    <cellStyle name="Followed Hyperlink 3" xfId="15777" hidden="1" xr:uid="{00000000-0005-0000-0000-0000343F0000}"/>
    <cellStyle name="Followed Hyperlink 3" xfId="15779" hidden="1" xr:uid="{00000000-0005-0000-0000-0000353F0000}"/>
    <cellStyle name="Followed Hyperlink 3" xfId="15775" hidden="1" xr:uid="{00000000-0005-0000-0000-0000363F0000}"/>
    <cellStyle name="Followed Hyperlink 3" xfId="15774" hidden="1" xr:uid="{00000000-0005-0000-0000-0000373F0000}"/>
    <cellStyle name="Followed Hyperlink 3" xfId="15780" hidden="1" xr:uid="{00000000-0005-0000-0000-0000383F0000}"/>
    <cellStyle name="Followed Hyperlink 3" xfId="15783" hidden="1" xr:uid="{00000000-0005-0000-0000-0000393F0000}"/>
    <cellStyle name="Followed Hyperlink 3" xfId="15786" hidden="1" xr:uid="{00000000-0005-0000-0000-00003A3F0000}"/>
    <cellStyle name="Followed Hyperlink 3" xfId="15791" hidden="1" xr:uid="{00000000-0005-0000-0000-00003B3F0000}"/>
    <cellStyle name="Followed Hyperlink 3" xfId="15602" hidden="1" xr:uid="{00000000-0005-0000-0000-00003C3F0000}"/>
    <cellStyle name="Followed Hyperlink 3" xfId="15745" hidden="1" xr:uid="{00000000-0005-0000-0000-00003D3F0000}"/>
    <cellStyle name="Followed Hyperlink 3" xfId="15599" hidden="1" xr:uid="{00000000-0005-0000-0000-00003E3F0000}"/>
    <cellStyle name="Followed Hyperlink 3" xfId="15591" hidden="1" xr:uid="{00000000-0005-0000-0000-00003F3F0000}"/>
    <cellStyle name="Followed Hyperlink 3" xfId="15596" hidden="1" xr:uid="{00000000-0005-0000-0000-0000403F0000}"/>
    <cellStyle name="Followed Hyperlink 3" xfId="15796" hidden="1" xr:uid="{00000000-0005-0000-0000-0000413F0000}"/>
    <cellStyle name="Followed Hyperlink 3" xfId="15799" hidden="1" xr:uid="{00000000-0005-0000-0000-0000423F0000}"/>
    <cellStyle name="Followed Hyperlink 3" xfId="15804" hidden="1" xr:uid="{00000000-0005-0000-0000-0000433F0000}"/>
    <cellStyle name="Followed Hyperlink 3" xfId="15814" hidden="1" xr:uid="{00000000-0005-0000-0000-0000443F0000}"/>
    <cellStyle name="Followed Hyperlink 3" xfId="15816" hidden="1" xr:uid="{00000000-0005-0000-0000-0000453F0000}"/>
    <cellStyle name="Followed Hyperlink 3" xfId="15812" hidden="1" xr:uid="{00000000-0005-0000-0000-0000463F0000}"/>
    <cellStyle name="Followed Hyperlink 3" xfId="15811" hidden="1" xr:uid="{00000000-0005-0000-0000-0000473F0000}"/>
    <cellStyle name="Followed Hyperlink 3" xfId="15817" hidden="1" xr:uid="{00000000-0005-0000-0000-0000483F0000}"/>
    <cellStyle name="Followed Hyperlink 3" xfId="15820" hidden="1" xr:uid="{00000000-0005-0000-0000-0000493F0000}"/>
    <cellStyle name="Followed Hyperlink 3" xfId="15823" hidden="1" xr:uid="{00000000-0005-0000-0000-00004A3F0000}"/>
    <cellStyle name="Followed Hyperlink 3" xfId="15828" hidden="1" xr:uid="{00000000-0005-0000-0000-00004B3F0000}"/>
    <cellStyle name="Followed Hyperlink 3" xfId="15839" hidden="1" xr:uid="{00000000-0005-0000-0000-00004C3F0000}"/>
    <cellStyle name="Followed Hyperlink 3" xfId="15841" hidden="1" xr:uid="{00000000-0005-0000-0000-00004D3F0000}"/>
    <cellStyle name="Followed Hyperlink 3" xfId="15837" hidden="1" xr:uid="{00000000-0005-0000-0000-00004E3F0000}"/>
    <cellStyle name="Followed Hyperlink 3" xfId="15836" hidden="1" xr:uid="{00000000-0005-0000-0000-00004F3F0000}"/>
    <cellStyle name="Followed Hyperlink 3" xfId="15842" hidden="1" xr:uid="{00000000-0005-0000-0000-0000503F0000}"/>
    <cellStyle name="Followed Hyperlink 3" xfId="15845" hidden="1" xr:uid="{00000000-0005-0000-0000-0000513F0000}"/>
    <cellStyle name="Followed Hyperlink 3" xfId="15848" hidden="1" xr:uid="{00000000-0005-0000-0000-0000523F0000}"/>
    <cellStyle name="Followed Hyperlink 3" xfId="15853" hidden="1" xr:uid="{00000000-0005-0000-0000-0000533F0000}"/>
    <cellStyle name="Followed Hyperlink 3" xfId="15863" hidden="1" xr:uid="{00000000-0005-0000-0000-0000543F0000}"/>
    <cellStyle name="Followed Hyperlink 3" xfId="15865" hidden="1" xr:uid="{00000000-0005-0000-0000-0000553F0000}"/>
    <cellStyle name="Followed Hyperlink 3" xfId="15861" hidden="1" xr:uid="{00000000-0005-0000-0000-0000563F0000}"/>
    <cellStyle name="Followed Hyperlink 3" xfId="15860" hidden="1" xr:uid="{00000000-0005-0000-0000-0000573F0000}"/>
    <cellStyle name="Followed Hyperlink 3" xfId="15866" hidden="1" xr:uid="{00000000-0005-0000-0000-0000583F0000}"/>
    <cellStyle name="Followed Hyperlink 3" xfId="15869" hidden="1" xr:uid="{00000000-0005-0000-0000-0000593F0000}"/>
    <cellStyle name="Followed Hyperlink 3" xfId="15872" hidden="1" xr:uid="{00000000-0005-0000-0000-00005A3F0000}"/>
    <cellStyle name="Followed Hyperlink 3" xfId="15877" hidden="1" xr:uid="{00000000-0005-0000-0000-00005B3F0000}"/>
    <cellStyle name="Followed Hyperlink 3" xfId="15607" hidden="1" xr:uid="{00000000-0005-0000-0000-00005C3F0000}"/>
    <cellStyle name="Followed Hyperlink 3" xfId="15831" hidden="1" xr:uid="{00000000-0005-0000-0000-00005D3F0000}"/>
    <cellStyle name="Followed Hyperlink 3" xfId="15603" hidden="1" xr:uid="{00000000-0005-0000-0000-00005E3F0000}"/>
    <cellStyle name="Followed Hyperlink 3" xfId="15608" hidden="1" xr:uid="{00000000-0005-0000-0000-00005F3F0000}"/>
    <cellStyle name="Followed Hyperlink 3" xfId="15595" hidden="1" xr:uid="{00000000-0005-0000-0000-0000603F0000}"/>
    <cellStyle name="Followed Hyperlink 3" xfId="15882" hidden="1" xr:uid="{00000000-0005-0000-0000-0000613F0000}"/>
    <cellStyle name="Followed Hyperlink 3" xfId="15885" hidden="1" xr:uid="{00000000-0005-0000-0000-0000623F0000}"/>
    <cellStyle name="Followed Hyperlink 3" xfId="15890" hidden="1" xr:uid="{00000000-0005-0000-0000-0000633F0000}"/>
    <cellStyle name="Followed Hyperlink 3" xfId="15900" hidden="1" xr:uid="{00000000-0005-0000-0000-0000643F0000}"/>
    <cellStyle name="Followed Hyperlink 3" xfId="15902" hidden="1" xr:uid="{00000000-0005-0000-0000-0000653F0000}"/>
    <cellStyle name="Followed Hyperlink 3" xfId="15898" hidden="1" xr:uid="{00000000-0005-0000-0000-0000663F0000}"/>
    <cellStyle name="Followed Hyperlink 3" xfId="15897" hidden="1" xr:uid="{00000000-0005-0000-0000-0000673F0000}"/>
    <cellStyle name="Followed Hyperlink 3" xfId="15903" hidden="1" xr:uid="{00000000-0005-0000-0000-0000683F0000}"/>
    <cellStyle name="Followed Hyperlink 3" xfId="15906" hidden="1" xr:uid="{00000000-0005-0000-0000-0000693F0000}"/>
    <cellStyle name="Followed Hyperlink 3" xfId="15909" hidden="1" xr:uid="{00000000-0005-0000-0000-00006A3F0000}"/>
    <cellStyle name="Followed Hyperlink 3" xfId="15914" hidden="1" xr:uid="{00000000-0005-0000-0000-00006B3F0000}"/>
    <cellStyle name="Followed Hyperlink 3" xfId="15924" hidden="1" xr:uid="{00000000-0005-0000-0000-00006C3F0000}"/>
    <cellStyle name="Followed Hyperlink 3" xfId="15926" hidden="1" xr:uid="{00000000-0005-0000-0000-00006D3F0000}"/>
    <cellStyle name="Followed Hyperlink 3" xfId="15922" hidden="1" xr:uid="{00000000-0005-0000-0000-00006E3F0000}"/>
    <cellStyle name="Followed Hyperlink 3" xfId="15921" hidden="1" xr:uid="{00000000-0005-0000-0000-00006F3F0000}"/>
    <cellStyle name="Followed Hyperlink 3" xfId="15927" hidden="1" xr:uid="{00000000-0005-0000-0000-0000703F0000}"/>
    <cellStyle name="Followed Hyperlink 3" xfId="15930" hidden="1" xr:uid="{00000000-0005-0000-0000-0000713F0000}"/>
    <cellStyle name="Followed Hyperlink 3" xfId="15933" hidden="1" xr:uid="{00000000-0005-0000-0000-0000723F0000}"/>
    <cellStyle name="Followed Hyperlink 3" xfId="15938" hidden="1" xr:uid="{00000000-0005-0000-0000-0000733F0000}"/>
    <cellStyle name="Followed Hyperlink 3" xfId="15948" hidden="1" xr:uid="{00000000-0005-0000-0000-0000743F0000}"/>
    <cellStyle name="Followed Hyperlink 3" xfId="15950" hidden="1" xr:uid="{00000000-0005-0000-0000-0000753F0000}"/>
    <cellStyle name="Followed Hyperlink 3" xfId="15946" hidden="1" xr:uid="{00000000-0005-0000-0000-0000763F0000}"/>
    <cellStyle name="Followed Hyperlink 3" xfId="15945" hidden="1" xr:uid="{00000000-0005-0000-0000-0000773F0000}"/>
    <cellStyle name="Followed Hyperlink 3" xfId="15951" hidden="1" xr:uid="{00000000-0005-0000-0000-0000783F0000}"/>
    <cellStyle name="Followed Hyperlink 3" xfId="15954" hidden="1" xr:uid="{00000000-0005-0000-0000-0000793F0000}"/>
    <cellStyle name="Followed Hyperlink 3" xfId="15957" hidden="1" xr:uid="{00000000-0005-0000-0000-00007A3F0000}"/>
    <cellStyle name="Followed Hyperlink 3" xfId="15962" hidden="1" xr:uid="{00000000-0005-0000-0000-00007B3F0000}"/>
    <cellStyle name="Followed Hyperlink 3" xfId="15005" hidden="1" xr:uid="{00000000-0005-0000-0000-00007C3F0000}"/>
    <cellStyle name="Followed Hyperlink 3" xfId="15532" hidden="1" xr:uid="{00000000-0005-0000-0000-00007D3F0000}"/>
    <cellStyle name="Followed Hyperlink 3" xfId="15002" hidden="1" xr:uid="{00000000-0005-0000-0000-00007E3F0000}"/>
    <cellStyle name="Followed Hyperlink 3" xfId="14994" hidden="1" xr:uid="{00000000-0005-0000-0000-00007F3F0000}"/>
    <cellStyle name="Followed Hyperlink 3" xfId="14999" hidden="1" xr:uid="{00000000-0005-0000-0000-0000803F0000}"/>
    <cellStyle name="Followed Hyperlink 3" xfId="15967" hidden="1" xr:uid="{00000000-0005-0000-0000-0000813F0000}"/>
    <cellStyle name="Followed Hyperlink 3" xfId="15970" hidden="1" xr:uid="{00000000-0005-0000-0000-0000823F0000}"/>
    <cellStyle name="Followed Hyperlink 3" xfId="15975" hidden="1" xr:uid="{00000000-0005-0000-0000-0000833F0000}"/>
    <cellStyle name="Followed Hyperlink 3" xfId="15985" hidden="1" xr:uid="{00000000-0005-0000-0000-0000843F0000}"/>
    <cellStyle name="Followed Hyperlink 3" xfId="15987" hidden="1" xr:uid="{00000000-0005-0000-0000-0000853F0000}"/>
    <cellStyle name="Followed Hyperlink 3" xfId="15983" hidden="1" xr:uid="{00000000-0005-0000-0000-0000863F0000}"/>
    <cellStyle name="Followed Hyperlink 3" xfId="15982" hidden="1" xr:uid="{00000000-0005-0000-0000-0000873F0000}"/>
    <cellStyle name="Followed Hyperlink 3" xfId="15988" hidden="1" xr:uid="{00000000-0005-0000-0000-0000883F0000}"/>
    <cellStyle name="Followed Hyperlink 3" xfId="15991" hidden="1" xr:uid="{00000000-0005-0000-0000-0000893F0000}"/>
    <cellStyle name="Followed Hyperlink 3" xfId="15994" hidden="1" xr:uid="{00000000-0005-0000-0000-00008A3F0000}"/>
    <cellStyle name="Followed Hyperlink 3" xfId="15999" hidden="1" xr:uid="{00000000-0005-0000-0000-00008B3F0000}"/>
    <cellStyle name="Followed Hyperlink 3" xfId="16010" hidden="1" xr:uid="{00000000-0005-0000-0000-00008C3F0000}"/>
    <cellStyle name="Followed Hyperlink 3" xfId="16012" hidden="1" xr:uid="{00000000-0005-0000-0000-00008D3F0000}"/>
    <cellStyle name="Followed Hyperlink 3" xfId="16008" hidden="1" xr:uid="{00000000-0005-0000-0000-00008E3F0000}"/>
    <cellStyle name="Followed Hyperlink 3" xfId="16007" hidden="1" xr:uid="{00000000-0005-0000-0000-00008F3F0000}"/>
    <cellStyle name="Followed Hyperlink 3" xfId="16013" hidden="1" xr:uid="{00000000-0005-0000-0000-0000903F0000}"/>
    <cellStyle name="Followed Hyperlink 3" xfId="16016" hidden="1" xr:uid="{00000000-0005-0000-0000-0000913F0000}"/>
    <cellStyle name="Followed Hyperlink 3" xfId="16019" hidden="1" xr:uid="{00000000-0005-0000-0000-0000923F0000}"/>
    <cellStyle name="Followed Hyperlink 3" xfId="16024" hidden="1" xr:uid="{00000000-0005-0000-0000-0000933F0000}"/>
    <cellStyle name="Followed Hyperlink 3" xfId="16034" hidden="1" xr:uid="{00000000-0005-0000-0000-0000943F0000}"/>
    <cellStyle name="Followed Hyperlink 3" xfId="16036" hidden="1" xr:uid="{00000000-0005-0000-0000-0000953F0000}"/>
    <cellStyle name="Followed Hyperlink 3" xfId="16032" hidden="1" xr:uid="{00000000-0005-0000-0000-0000963F0000}"/>
    <cellStyle name="Followed Hyperlink 3" xfId="16031" hidden="1" xr:uid="{00000000-0005-0000-0000-0000973F0000}"/>
    <cellStyle name="Followed Hyperlink 3" xfId="16037" hidden="1" xr:uid="{00000000-0005-0000-0000-0000983F0000}"/>
    <cellStyle name="Followed Hyperlink 3" xfId="16040" hidden="1" xr:uid="{00000000-0005-0000-0000-0000993F0000}"/>
    <cellStyle name="Followed Hyperlink 3" xfId="16043" hidden="1" xr:uid="{00000000-0005-0000-0000-00009A3F0000}"/>
    <cellStyle name="Followed Hyperlink 3" xfId="16048" hidden="1" xr:uid="{00000000-0005-0000-0000-00009B3F0000}"/>
    <cellStyle name="Followed Hyperlink 3" xfId="16087" hidden="1" xr:uid="{00000000-0005-0000-0000-00009C3F0000}"/>
    <cellStyle name="Followed Hyperlink 3" xfId="16089" hidden="1" xr:uid="{00000000-0005-0000-0000-00009D3F0000}"/>
    <cellStyle name="Followed Hyperlink 3" xfId="16085" hidden="1" xr:uid="{00000000-0005-0000-0000-00009E3F0000}"/>
    <cellStyle name="Followed Hyperlink 3" xfId="16084" hidden="1" xr:uid="{00000000-0005-0000-0000-00009F3F0000}"/>
    <cellStyle name="Followed Hyperlink 3" xfId="16090" hidden="1" xr:uid="{00000000-0005-0000-0000-0000A03F0000}"/>
    <cellStyle name="Followed Hyperlink 3" xfId="16093" hidden="1" xr:uid="{00000000-0005-0000-0000-0000A13F0000}"/>
    <cellStyle name="Followed Hyperlink 3" xfId="16096" hidden="1" xr:uid="{00000000-0005-0000-0000-0000A23F0000}"/>
    <cellStyle name="Followed Hyperlink 3" xfId="16101" hidden="1" xr:uid="{00000000-0005-0000-0000-0000A33F0000}"/>
    <cellStyle name="Followed Hyperlink 3" xfId="16111" hidden="1" xr:uid="{00000000-0005-0000-0000-0000A43F0000}"/>
    <cellStyle name="Followed Hyperlink 3" xfId="16113" hidden="1" xr:uid="{00000000-0005-0000-0000-0000A53F0000}"/>
    <cellStyle name="Followed Hyperlink 3" xfId="16109" hidden="1" xr:uid="{00000000-0005-0000-0000-0000A63F0000}"/>
    <cellStyle name="Followed Hyperlink 3" xfId="16108" hidden="1" xr:uid="{00000000-0005-0000-0000-0000A73F0000}"/>
    <cellStyle name="Followed Hyperlink 3" xfId="16114" hidden="1" xr:uid="{00000000-0005-0000-0000-0000A83F0000}"/>
    <cellStyle name="Followed Hyperlink 3" xfId="16117" hidden="1" xr:uid="{00000000-0005-0000-0000-0000A93F0000}"/>
    <cellStyle name="Followed Hyperlink 3" xfId="16120" hidden="1" xr:uid="{00000000-0005-0000-0000-0000AA3F0000}"/>
    <cellStyle name="Followed Hyperlink 3" xfId="16125" hidden="1" xr:uid="{00000000-0005-0000-0000-0000AB3F0000}"/>
    <cellStyle name="Followed Hyperlink 3" xfId="16137" hidden="1" xr:uid="{00000000-0005-0000-0000-0000AC3F0000}"/>
    <cellStyle name="Followed Hyperlink 3" xfId="16139" hidden="1" xr:uid="{00000000-0005-0000-0000-0000AD3F0000}"/>
    <cellStyle name="Followed Hyperlink 3" xfId="16135" hidden="1" xr:uid="{00000000-0005-0000-0000-0000AE3F0000}"/>
    <cellStyle name="Followed Hyperlink 3" xfId="16134" hidden="1" xr:uid="{00000000-0005-0000-0000-0000AF3F0000}"/>
    <cellStyle name="Followed Hyperlink 3" xfId="16140" hidden="1" xr:uid="{00000000-0005-0000-0000-0000B03F0000}"/>
    <cellStyle name="Followed Hyperlink 3" xfId="16143" hidden="1" xr:uid="{00000000-0005-0000-0000-0000B13F0000}"/>
    <cellStyle name="Followed Hyperlink 3" xfId="16146" hidden="1" xr:uid="{00000000-0005-0000-0000-0000B23F0000}"/>
    <cellStyle name="Followed Hyperlink 3" xfId="16151" hidden="1" xr:uid="{00000000-0005-0000-0000-0000B33F0000}"/>
    <cellStyle name="Followed Hyperlink 3" xfId="16161" hidden="1" xr:uid="{00000000-0005-0000-0000-0000B43F0000}"/>
    <cellStyle name="Followed Hyperlink 3" xfId="16163" hidden="1" xr:uid="{00000000-0005-0000-0000-0000B53F0000}"/>
    <cellStyle name="Followed Hyperlink 3" xfId="16159" hidden="1" xr:uid="{00000000-0005-0000-0000-0000B63F0000}"/>
    <cellStyle name="Followed Hyperlink 3" xfId="16158" hidden="1" xr:uid="{00000000-0005-0000-0000-0000B73F0000}"/>
    <cellStyle name="Followed Hyperlink 3" xfId="16164" hidden="1" xr:uid="{00000000-0005-0000-0000-0000B83F0000}"/>
    <cellStyle name="Followed Hyperlink 3" xfId="16167" hidden="1" xr:uid="{00000000-0005-0000-0000-0000B93F0000}"/>
    <cellStyle name="Followed Hyperlink 3" xfId="16170" hidden="1" xr:uid="{00000000-0005-0000-0000-0000BA3F0000}"/>
    <cellStyle name="Followed Hyperlink 3" xfId="16175" hidden="1" xr:uid="{00000000-0005-0000-0000-0000BB3F0000}"/>
    <cellStyle name="Followed Hyperlink 3" xfId="16051" hidden="1" xr:uid="{00000000-0005-0000-0000-0000BC3F0000}"/>
    <cellStyle name="Followed Hyperlink 3" xfId="16128" hidden="1" xr:uid="{00000000-0005-0000-0000-0000BD3F0000}"/>
    <cellStyle name="Followed Hyperlink 3" xfId="16055" hidden="1" xr:uid="{00000000-0005-0000-0000-0000BE3F0000}"/>
    <cellStyle name="Followed Hyperlink 3" xfId="16056" hidden="1" xr:uid="{00000000-0005-0000-0000-0000BF3F0000}"/>
    <cellStyle name="Followed Hyperlink 3" xfId="16059" hidden="1" xr:uid="{00000000-0005-0000-0000-0000C03F0000}"/>
    <cellStyle name="Followed Hyperlink 3" xfId="16180" hidden="1" xr:uid="{00000000-0005-0000-0000-0000C13F0000}"/>
    <cellStyle name="Followed Hyperlink 3" xfId="16183" hidden="1" xr:uid="{00000000-0005-0000-0000-0000C23F0000}"/>
    <cellStyle name="Followed Hyperlink 3" xfId="16188" hidden="1" xr:uid="{00000000-0005-0000-0000-0000C33F0000}"/>
    <cellStyle name="Followed Hyperlink 3" xfId="16198" hidden="1" xr:uid="{00000000-0005-0000-0000-0000C43F0000}"/>
    <cellStyle name="Followed Hyperlink 3" xfId="16200" hidden="1" xr:uid="{00000000-0005-0000-0000-0000C53F0000}"/>
    <cellStyle name="Followed Hyperlink 3" xfId="16196" hidden="1" xr:uid="{00000000-0005-0000-0000-0000C63F0000}"/>
    <cellStyle name="Followed Hyperlink 3" xfId="16195" hidden="1" xr:uid="{00000000-0005-0000-0000-0000C73F0000}"/>
    <cellStyle name="Followed Hyperlink 3" xfId="16201" hidden="1" xr:uid="{00000000-0005-0000-0000-0000C83F0000}"/>
    <cellStyle name="Followed Hyperlink 3" xfId="16204" hidden="1" xr:uid="{00000000-0005-0000-0000-0000C93F0000}"/>
    <cellStyle name="Followed Hyperlink 3" xfId="16207" hidden="1" xr:uid="{00000000-0005-0000-0000-0000CA3F0000}"/>
    <cellStyle name="Followed Hyperlink 3" xfId="16212" hidden="1" xr:uid="{00000000-0005-0000-0000-0000CB3F0000}"/>
    <cellStyle name="Followed Hyperlink 3" xfId="16223" hidden="1" xr:uid="{00000000-0005-0000-0000-0000CC3F0000}"/>
    <cellStyle name="Followed Hyperlink 3" xfId="16225" hidden="1" xr:uid="{00000000-0005-0000-0000-0000CD3F0000}"/>
    <cellStyle name="Followed Hyperlink 3" xfId="16221" hidden="1" xr:uid="{00000000-0005-0000-0000-0000CE3F0000}"/>
    <cellStyle name="Followed Hyperlink 3" xfId="16220" hidden="1" xr:uid="{00000000-0005-0000-0000-0000CF3F0000}"/>
    <cellStyle name="Followed Hyperlink 3" xfId="16226" hidden="1" xr:uid="{00000000-0005-0000-0000-0000D03F0000}"/>
    <cellStyle name="Followed Hyperlink 3" xfId="16229" hidden="1" xr:uid="{00000000-0005-0000-0000-0000D13F0000}"/>
    <cellStyle name="Followed Hyperlink 3" xfId="16232" hidden="1" xr:uid="{00000000-0005-0000-0000-0000D23F0000}"/>
    <cellStyle name="Followed Hyperlink 3" xfId="16237" hidden="1" xr:uid="{00000000-0005-0000-0000-0000D33F0000}"/>
    <cellStyle name="Followed Hyperlink 3" xfId="16247" hidden="1" xr:uid="{00000000-0005-0000-0000-0000D43F0000}"/>
    <cellStyle name="Followed Hyperlink 3" xfId="16249" hidden="1" xr:uid="{00000000-0005-0000-0000-0000D53F0000}"/>
    <cellStyle name="Followed Hyperlink 3" xfId="16245" hidden="1" xr:uid="{00000000-0005-0000-0000-0000D63F0000}"/>
    <cellStyle name="Followed Hyperlink 3" xfId="16244" hidden="1" xr:uid="{00000000-0005-0000-0000-0000D73F0000}"/>
    <cellStyle name="Followed Hyperlink 3" xfId="16250" hidden="1" xr:uid="{00000000-0005-0000-0000-0000D83F0000}"/>
    <cellStyle name="Followed Hyperlink 3" xfId="16253" hidden="1" xr:uid="{00000000-0005-0000-0000-0000D93F0000}"/>
    <cellStyle name="Followed Hyperlink 3" xfId="16256" hidden="1" xr:uid="{00000000-0005-0000-0000-0000DA3F0000}"/>
    <cellStyle name="Followed Hyperlink 3" xfId="16261" hidden="1" xr:uid="{00000000-0005-0000-0000-0000DB3F0000}"/>
    <cellStyle name="Followed Hyperlink 3" xfId="16072" hidden="1" xr:uid="{00000000-0005-0000-0000-0000DC3F0000}"/>
    <cellStyle name="Followed Hyperlink 3" xfId="16215" hidden="1" xr:uid="{00000000-0005-0000-0000-0000DD3F0000}"/>
    <cellStyle name="Followed Hyperlink 3" xfId="16069" hidden="1" xr:uid="{00000000-0005-0000-0000-0000DE3F0000}"/>
    <cellStyle name="Followed Hyperlink 3" xfId="16061" hidden="1" xr:uid="{00000000-0005-0000-0000-0000DF3F0000}"/>
    <cellStyle name="Followed Hyperlink 3" xfId="16066" hidden="1" xr:uid="{00000000-0005-0000-0000-0000E03F0000}"/>
    <cellStyle name="Followed Hyperlink 3" xfId="16266" hidden="1" xr:uid="{00000000-0005-0000-0000-0000E13F0000}"/>
    <cellStyle name="Followed Hyperlink 3" xfId="16269" hidden="1" xr:uid="{00000000-0005-0000-0000-0000E23F0000}"/>
    <cellStyle name="Followed Hyperlink 3" xfId="16274" hidden="1" xr:uid="{00000000-0005-0000-0000-0000E33F0000}"/>
    <cellStyle name="Followed Hyperlink 3" xfId="16284" hidden="1" xr:uid="{00000000-0005-0000-0000-0000E43F0000}"/>
    <cellStyle name="Followed Hyperlink 3" xfId="16286" hidden="1" xr:uid="{00000000-0005-0000-0000-0000E53F0000}"/>
    <cellStyle name="Followed Hyperlink 3" xfId="16282" hidden="1" xr:uid="{00000000-0005-0000-0000-0000E63F0000}"/>
    <cellStyle name="Followed Hyperlink 3" xfId="16281" hidden="1" xr:uid="{00000000-0005-0000-0000-0000E73F0000}"/>
    <cellStyle name="Followed Hyperlink 3" xfId="16287" hidden="1" xr:uid="{00000000-0005-0000-0000-0000E83F0000}"/>
    <cellStyle name="Followed Hyperlink 3" xfId="16290" hidden="1" xr:uid="{00000000-0005-0000-0000-0000E93F0000}"/>
    <cellStyle name="Followed Hyperlink 3" xfId="16293" hidden="1" xr:uid="{00000000-0005-0000-0000-0000EA3F0000}"/>
    <cellStyle name="Followed Hyperlink 3" xfId="16298" hidden="1" xr:uid="{00000000-0005-0000-0000-0000EB3F0000}"/>
    <cellStyle name="Followed Hyperlink 3" xfId="16309" hidden="1" xr:uid="{00000000-0005-0000-0000-0000EC3F0000}"/>
    <cellStyle name="Followed Hyperlink 3" xfId="16311" hidden="1" xr:uid="{00000000-0005-0000-0000-0000ED3F0000}"/>
    <cellStyle name="Followed Hyperlink 3" xfId="16307" hidden="1" xr:uid="{00000000-0005-0000-0000-0000EE3F0000}"/>
    <cellStyle name="Followed Hyperlink 3" xfId="16306" hidden="1" xr:uid="{00000000-0005-0000-0000-0000EF3F0000}"/>
    <cellStyle name="Followed Hyperlink 3" xfId="16312" hidden="1" xr:uid="{00000000-0005-0000-0000-0000F03F0000}"/>
    <cellStyle name="Followed Hyperlink 3" xfId="16315" hidden="1" xr:uid="{00000000-0005-0000-0000-0000F13F0000}"/>
    <cellStyle name="Followed Hyperlink 3" xfId="16318" hidden="1" xr:uid="{00000000-0005-0000-0000-0000F23F0000}"/>
    <cellStyle name="Followed Hyperlink 3" xfId="16323" hidden="1" xr:uid="{00000000-0005-0000-0000-0000F33F0000}"/>
    <cellStyle name="Followed Hyperlink 3" xfId="16333" hidden="1" xr:uid="{00000000-0005-0000-0000-0000F43F0000}"/>
    <cellStyle name="Followed Hyperlink 3" xfId="16335" hidden="1" xr:uid="{00000000-0005-0000-0000-0000F53F0000}"/>
    <cellStyle name="Followed Hyperlink 3" xfId="16331" hidden="1" xr:uid="{00000000-0005-0000-0000-0000F63F0000}"/>
    <cellStyle name="Followed Hyperlink 3" xfId="16330" hidden="1" xr:uid="{00000000-0005-0000-0000-0000F73F0000}"/>
    <cellStyle name="Followed Hyperlink 3" xfId="16336" hidden="1" xr:uid="{00000000-0005-0000-0000-0000F83F0000}"/>
    <cellStyle name="Followed Hyperlink 3" xfId="16339" hidden="1" xr:uid="{00000000-0005-0000-0000-0000F93F0000}"/>
    <cellStyle name="Followed Hyperlink 3" xfId="16342" hidden="1" xr:uid="{00000000-0005-0000-0000-0000FA3F0000}"/>
    <cellStyle name="Followed Hyperlink 3" xfId="16347" hidden="1" xr:uid="{00000000-0005-0000-0000-0000FB3F0000}"/>
    <cellStyle name="Followed Hyperlink 3" xfId="16077" hidden="1" xr:uid="{00000000-0005-0000-0000-0000FC3F0000}"/>
    <cellStyle name="Followed Hyperlink 3" xfId="16301" hidden="1" xr:uid="{00000000-0005-0000-0000-0000FD3F0000}"/>
    <cellStyle name="Followed Hyperlink 3" xfId="16073" hidden="1" xr:uid="{00000000-0005-0000-0000-0000FE3F0000}"/>
    <cellStyle name="Followed Hyperlink 3" xfId="16078" hidden="1" xr:uid="{00000000-0005-0000-0000-0000FF3F0000}"/>
    <cellStyle name="Followed Hyperlink 3" xfId="16065" hidden="1" xr:uid="{00000000-0005-0000-0000-000000400000}"/>
    <cellStyle name="Followed Hyperlink 3" xfId="16352" hidden="1" xr:uid="{00000000-0005-0000-0000-000001400000}"/>
    <cellStyle name="Followed Hyperlink 3" xfId="16355" hidden="1" xr:uid="{00000000-0005-0000-0000-000002400000}"/>
    <cellStyle name="Followed Hyperlink 3" xfId="16360" hidden="1" xr:uid="{00000000-0005-0000-0000-000003400000}"/>
    <cellStyle name="Followed Hyperlink 3" xfId="16370" hidden="1" xr:uid="{00000000-0005-0000-0000-000004400000}"/>
    <cellStyle name="Followed Hyperlink 3" xfId="16372" hidden="1" xr:uid="{00000000-0005-0000-0000-000005400000}"/>
    <cellStyle name="Followed Hyperlink 3" xfId="16368" hidden="1" xr:uid="{00000000-0005-0000-0000-000006400000}"/>
    <cellStyle name="Followed Hyperlink 3" xfId="16367" hidden="1" xr:uid="{00000000-0005-0000-0000-000007400000}"/>
    <cellStyle name="Followed Hyperlink 3" xfId="16373" hidden="1" xr:uid="{00000000-0005-0000-0000-000008400000}"/>
    <cellStyle name="Followed Hyperlink 3" xfId="16376" hidden="1" xr:uid="{00000000-0005-0000-0000-000009400000}"/>
    <cellStyle name="Followed Hyperlink 3" xfId="16379" hidden="1" xr:uid="{00000000-0005-0000-0000-00000A400000}"/>
    <cellStyle name="Followed Hyperlink 3" xfId="16384" hidden="1" xr:uid="{00000000-0005-0000-0000-00000B400000}"/>
    <cellStyle name="Followed Hyperlink 3" xfId="16394" hidden="1" xr:uid="{00000000-0005-0000-0000-00000C400000}"/>
    <cellStyle name="Followed Hyperlink 3" xfId="16396" hidden="1" xr:uid="{00000000-0005-0000-0000-00000D400000}"/>
    <cellStyle name="Followed Hyperlink 3" xfId="16392" hidden="1" xr:uid="{00000000-0005-0000-0000-00000E400000}"/>
    <cellStyle name="Followed Hyperlink 3" xfId="16391" hidden="1" xr:uid="{00000000-0005-0000-0000-00000F400000}"/>
    <cellStyle name="Followed Hyperlink 3" xfId="16397" hidden="1" xr:uid="{00000000-0005-0000-0000-000010400000}"/>
    <cellStyle name="Followed Hyperlink 3" xfId="16400" hidden="1" xr:uid="{00000000-0005-0000-0000-000011400000}"/>
    <cellStyle name="Followed Hyperlink 3" xfId="16403" hidden="1" xr:uid="{00000000-0005-0000-0000-000012400000}"/>
    <cellStyle name="Followed Hyperlink 3" xfId="16408" hidden="1" xr:uid="{00000000-0005-0000-0000-000013400000}"/>
    <cellStyle name="Followed Hyperlink 3" xfId="16418" hidden="1" xr:uid="{00000000-0005-0000-0000-000014400000}"/>
    <cellStyle name="Followed Hyperlink 3" xfId="16420" hidden="1" xr:uid="{00000000-0005-0000-0000-000015400000}"/>
    <cellStyle name="Followed Hyperlink 3" xfId="16416" hidden="1" xr:uid="{00000000-0005-0000-0000-000016400000}"/>
    <cellStyle name="Followed Hyperlink 3" xfId="16415" hidden="1" xr:uid="{00000000-0005-0000-0000-000017400000}"/>
    <cellStyle name="Followed Hyperlink 3" xfId="16421" hidden="1" xr:uid="{00000000-0005-0000-0000-000018400000}"/>
    <cellStyle name="Followed Hyperlink 3" xfId="16424" hidden="1" xr:uid="{00000000-0005-0000-0000-000019400000}"/>
    <cellStyle name="Followed Hyperlink 3" xfId="16427" hidden="1" xr:uid="{00000000-0005-0000-0000-00001A400000}"/>
    <cellStyle name="Followed Hyperlink 3" xfId="16432" hidden="1" xr:uid="{00000000-0005-0000-0000-00001B400000}"/>
    <cellStyle name="Followed Hyperlink 3" xfId="15010" hidden="1" xr:uid="{00000000-0005-0000-0000-00001C400000}"/>
    <cellStyle name="Followed Hyperlink 3" xfId="16002" hidden="1" xr:uid="{00000000-0005-0000-0000-00001D400000}"/>
    <cellStyle name="Followed Hyperlink 3" xfId="15006" hidden="1" xr:uid="{00000000-0005-0000-0000-00001E400000}"/>
    <cellStyle name="Followed Hyperlink 3" xfId="15011" hidden="1" xr:uid="{00000000-0005-0000-0000-00001F400000}"/>
    <cellStyle name="Followed Hyperlink 3" xfId="14998" hidden="1" xr:uid="{00000000-0005-0000-0000-000020400000}"/>
    <cellStyle name="Followed Hyperlink 3" xfId="16437" hidden="1" xr:uid="{00000000-0005-0000-0000-000021400000}"/>
    <cellStyle name="Followed Hyperlink 3" xfId="16440" hidden="1" xr:uid="{00000000-0005-0000-0000-000022400000}"/>
    <cellStyle name="Followed Hyperlink 3" xfId="16445" hidden="1" xr:uid="{00000000-0005-0000-0000-000023400000}"/>
    <cellStyle name="Followed Hyperlink 3" xfId="16455" hidden="1" xr:uid="{00000000-0005-0000-0000-000024400000}"/>
    <cellStyle name="Followed Hyperlink 3" xfId="16457" hidden="1" xr:uid="{00000000-0005-0000-0000-000025400000}"/>
    <cellStyle name="Followed Hyperlink 3" xfId="16453" hidden="1" xr:uid="{00000000-0005-0000-0000-000026400000}"/>
    <cellStyle name="Followed Hyperlink 3" xfId="16452" hidden="1" xr:uid="{00000000-0005-0000-0000-000027400000}"/>
    <cellStyle name="Followed Hyperlink 3" xfId="16458" hidden="1" xr:uid="{00000000-0005-0000-0000-000028400000}"/>
    <cellStyle name="Followed Hyperlink 3" xfId="16461" hidden="1" xr:uid="{00000000-0005-0000-0000-000029400000}"/>
    <cellStyle name="Followed Hyperlink 3" xfId="16464" hidden="1" xr:uid="{00000000-0005-0000-0000-00002A400000}"/>
    <cellStyle name="Followed Hyperlink 3" xfId="16469" hidden="1" xr:uid="{00000000-0005-0000-0000-00002B400000}"/>
    <cellStyle name="Followed Hyperlink 3" xfId="16479" hidden="1" xr:uid="{00000000-0005-0000-0000-00002C400000}"/>
    <cellStyle name="Followed Hyperlink 3" xfId="16481" hidden="1" xr:uid="{00000000-0005-0000-0000-00002D400000}"/>
    <cellStyle name="Followed Hyperlink 3" xfId="16477" hidden="1" xr:uid="{00000000-0005-0000-0000-00002E400000}"/>
    <cellStyle name="Followed Hyperlink 3" xfId="16476" hidden="1" xr:uid="{00000000-0005-0000-0000-00002F400000}"/>
    <cellStyle name="Followed Hyperlink 3" xfId="16482" hidden="1" xr:uid="{00000000-0005-0000-0000-000030400000}"/>
    <cellStyle name="Followed Hyperlink 3" xfId="16485" hidden="1" xr:uid="{00000000-0005-0000-0000-000031400000}"/>
    <cellStyle name="Followed Hyperlink 3" xfId="16488" hidden="1" xr:uid="{00000000-0005-0000-0000-000032400000}"/>
    <cellStyle name="Followed Hyperlink 3" xfId="16493" hidden="1" xr:uid="{00000000-0005-0000-0000-000033400000}"/>
    <cellStyle name="Followed Hyperlink 3" xfId="16503" hidden="1" xr:uid="{00000000-0005-0000-0000-000034400000}"/>
    <cellStyle name="Followed Hyperlink 3" xfId="16505" hidden="1" xr:uid="{00000000-0005-0000-0000-000035400000}"/>
    <cellStyle name="Followed Hyperlink 3" xfId="16501" hidden="1" xr:uid="{00000000-0005-0000-0000-000036400000}"/>
    <cellStyle name="Followed Hyperlink 3" xfId="16500" hidden="1" xr:uid="{00000000-0005-0000-0000-000037400000}"/>
    <cellStyle name="Followed Hyperlink 3" xfId="16506" hidden="1" xr:uid="{00000000-0005-0000-0000-000038400000}"/>
    <cellStyle name="Followed Hyperlink 3" xfId="16509" hidden="1" xr:uid="{00000000-0005-0000-0000-000039400000}"/>
    <cellStyle name="Followed Hyperlink 3" xfId="16512" hidden="1" xr:uid="{00000000-0005-0000-0000-00003A400000}"/>
    <cellStyle name="Followed Hyperlink 3" xfId="16517" hidden="1" xr:uid="{00000000-0005-0000-0000-00003B400000}"/>
    <cellStyle name="Followed Hyperlink 3" xfId="16556" hidden="1" xr:uid="{00000000-0005-0000-0000-00003C400000}"/>
    <cellStyle name="Followed Hyperlink 3" xfId="16558" hidden="1" xr:uid="{00000000-0005-0000-0000-00003D400000}"/>
    <cellStyle name="Followed Hyperlink 3" xfId="16554" hidden="1" xr:uid="{00000000-0005-0000-0000-00003E400000}"/>
    <cellStyle name="Followed Hyperlink 3" xfId="16553" hidden="1" xr:uid="{00000000-0005-0000-0000-00003F400000}"/>
    <cellStyle name="Followed Hyperlink 3" xfId="16559" hidden="1" xr:uid="{00000000-0005-0000-0000-000040400000}"/>
    <cellStyle name="Followed Hyperlink 3" xfId="16562" hidden="1" xr:uid="{00000000-0005-0000-0000-000041400000}"/>
    <cellStyle name="Followed Hyperlink 3" xfId="16565" hidden="1" xr:uid="{00000000-0005-0000-0000-000042400000}"/>
    <cellStyle name="Followed Hyperlink 3" xfId="16570" hidden="1" xr:uid="{00000000-0005-0000-0000-000043400000}"/>
    <cellStyle name="Followed Hyperlink 3" xfId="16580" hidden="1" xr:uid="{00000000-0005-0000-0000-000044400000}"/>
    <cellStyle name="Followed Hyperlink 3" xfId="16582" hidden="1" xr:uid="{00000000-0005-0000-0000-000045400000}"/>
    <cellStyle name="Followed Hyperlink 3" xfId="16578" hidden="1" xr:uid="{00000000-0005-0000-0000-000046400000}"/>
    <cellStyle name="Followed Hyperlink 3" xfId="16577" hidden="1" xr:uid="{00000000-0005-0000-0000-000047400000}"/>
    <cellStyle name="Followed Hyperlink 3" xfId="16583" hidden="1" xr:uid="{00000000-0005-0000-0000-000048400000}"/>
    <cellStyle name="Followed Hyperlink 3" xfId="16586" hidden="1" xr:uid="{00000000-0005-0000-0000-000049400000}"/>
    <cellStyle name="Followed Hyperlink 3" xfId="16589" hidden="1" xr:uid="{00000000-0005-0000-0000-00004A400000}"/>
    <cellStyle name="Followed Hyperlink 3" xfId="16594" hidden="1" xr:uid="{00000000-0005-0000-0000-00004B400000}"/>
    <cellStyle name="Followed Hyperlink 3" xfId="16606" hidden="1" xr:uid="{00000000-0005-0000-0000-00004C400000}"/>
    <cellStyle name="Followed Hyperlink 3" xfId="16608" hidden="1" xr:uid="{00000000-0005-0000-0000-00004D400000}"/>
    <cellStyle name="Followed Hyperlink 3" xfId="16604" hidden="1" xr:uid="{00000000-0005-0000-0000-00004E400000}"/>
    <cellStyle name="Followed Hyperlink 3" xfId="16603" hidden="1" xr:uid="{00000000-0005-0000-0000-00004F400000}"/>
    <cellStyle name="Followed Hyperlink 3" xfId="16609" hidden="1" xr:uid="{00000000-0005-0000-0000-000050400000}"/>
    <cellStyle name="Followed Hyperlink 3" xfId="16612" hidden="1" xr:uid="{00000000-0005-0000-0000-000051400000}"/>
    <cellStyle name="Followed Hyperlink 3" xfId="16615" hidden="1" xr:uid="{00000000-0005-0000-0000-000052400000}"/>
    <cellStyle name="Followed Hyperlink 3" xfId="16620" hidden="1" xr:uid="{00000000-0005-0000-0000-000053400000}"/>
    <cellStyle name="Followed Hyperlink 3" xfId="16630" hidden="1" xr:uid="{00000000-0005-0000-0000-000054400000}"/>
    <cellStyle name="Followed Hyperlink 3" xfId="16632" hidden="1" xr:uid="{00000000-0005-0000-0000-000055400000}"/>
    <cellStyle name="Followed Hyperlink 3" xfId="16628" hidden="1" xr:uid="{00000000-0005-0000-0000-000056400000}"/>
    <cellStyle name="Followed Hyperlink 3" xfId="16627" hidden="1" xr:uid="{00000000-0005-0000-0000-000057400000}"/>
    <cellStyle name="Followed Hyperlink 3" xfId="16633" hidden="1" xr:uid="{00000000-0005-0000-0000-000058400000}"/>
    <cellStyle name="Followed Hyperlink 3" xfId="16636" hidden="1" xr:uid="{00000000-0005-0000-0000-000059400000}"/>
    <cellStyle name="Followed Hyperlink 3" xfId="16639" hidden="1" xr:uid="{00000000-0005-0000-0000-00005A400000}"/>
    <cellStyle name="Followed Hyperlink 3" xfId="16644" hidden="1" xr:uid="{00000000-0005-0000-0000-00005B400000}"/>
    <cellStyle name="Followed Hyperlink 3" xfId="16520" hidden="1" xr:uid="{00000000-0005-0000-0000-00005C400000}"/>
    <cellStyle name="Followed Hyperlink 3" xfId="16597" hidden="1" xr:uid="{00000000-0005-0000-0000-00005D400000}"/>
    <cellStyle name="Followed Hyperlink 3" xfId="16524" hidden="1" xr:uid="{00000000-0005-0000-0000-00005E400000}"/>
    <cellStyle name="Followed Hyperlink 3" xfId="16525" hidden="1" xr:uid="{00000000-0005-0000-0000-00005F400000}"/>
    <cellStyle name="Followed Hyperlink 3" xfId="16528" hidden="1" xr:uid="{00000000-0005-0000-0000-000060400000}"/>
    <cellStyle name="Followed Hyperlink 3" xfId="16649" hidden="1" xr:uid="{00000000-0005-0000-0000-000061400000}"/>
    <cellStyle name="Followed Hyperlink 3" xfId="16652" hidden="1" xr:uid="{00000000-0005-0000-0000-000062400000}"/>
    <cellStyle name="Followed Hyperlink 3" xfId="16657" hidden="1" xr:uid="{00000000-0005-0000-0000-000063400000}"/>
    <cellStyle name="Followed Hyperlink 3" xfId="16667" hidden="1" xr:uid="{00000000-0005-0000-0000-000064400000}"/>
    <cellStyle name="Followed Hyperlink 3" xfId="16669" hidden="1" xr:uid="{00000000-0005-0000-0000-000065400000}"/>
    <cellStyle name="Followed Hyperlink 3" xfId="16665" hidden="1" xr:uid="{00000000-0005-0000-0000-000066400000}"/>
    <cellStyle name="Followed Hyperlink 3" xfId="16664" hidden="1" xr:uid="{00000000-0005-0000-0000-000067400000}"/>
    <cellStyle name="Followed Hyperlink 3" xfId="16670" hidden="1" xr:uid="{00000000-0005-0000-0000-000068400000}"/>
    <cellStyle name="Followed Hyperlink 3" xfId="16673" hidden="1" xr:uid="{00000000-0005-0000-0000-000069400000}"/>
    <cellStyle name="Followed Hyperlink 3" xfId="16676" hidden="1" xr:uid="{00000000-0005-0000-0000-00006A400000}"/>
    <cellStyle name="Followed Hyperlink 3" xfId="16681" hidden="1" xr:uid="{00000000-0005-0000-0000-00006B400000}"/>
    <cellStyle name="Followed Hyperlink 3" xfId="16692" hidden="1" xr:uid="{00000000-0005-0000-0000-00006C400000}"/>
    <cellStyle name="Followed Hyperlink 3" xfId="16694" hidden="1" xr:uid="{00000000-0005-0000-0000-00006D400000}"/>
    <cellStyle name="Followed Hyperlink 3" xfId="16690" hidden="1" xr:uid="{00000000-0005-0000-0000-00006E400000}"/>
    <cellStyle name="Followed Hyperlink 3" xfId="16689" hidden="1" xr:uid="{00000000-0005-0000-0000-00006F400000}"/>
    <cellStyle name="Followed Hyperlink 3" xfId="16695" hidden="1" xr:uid="{00000000-0005-0000-0000-000070400000}"/>
    <cellStyle name="Followed Hyperlink 3" xfId="16698" hidden="1" xr:uid="{00000000-0005-0000-0000-000071400000}"/>
    <cellStyle name="Followed Hyperlink 3" xfId="16701" hidden="1" xr:uid="{00000000-0005-0000-0000-000072400000}"/>
    <cellStyle name="Followed Hyperlink 3" xfId="16706" hidden="1" xr:uid="{00000000-0005-0000-0000-000073400000}"/>
    <cellStyle name="Followed Hyperlink 3" xfId="16716" hidden="1" xr:uid="{00000000-0005-0000-0000-000074400000}"/>
    <cellStyle name="Followed Hyperlink 3" xfId="16718" hidden="1" xr:uid="{00000000-0005-0000-0000-000075400000}"/>
    <cellStyle name="Followed Hyperlink 3" xfId="16714" hidden="1" xr:uid="{00000000-0005-0000-0000-000076400000}"/>
    <cellStyle name="Followed Hyperlink 3" xfId="16713" hidden="1" xr:uid="{00000000-0005-0000-0000-000077400000}"/>
    <cellStyle name="Followed Hyperlink 3" xfId="16719" hidden="1" xr:uid="{00000000-0005-0000-0000-000078400000}"/>
    <cellStyle name="Followed Hyperlink 3" xfId="16722" hidden="1" xr:uid="{00000000-0005-0000-0000-000079400000}"/>
    <cellStyle name="Followed Hyperlink 3" xfId="16725" hidden="1" xr:uid="{00000000-0005-0000-0000-00007A400000}"/>
    <cellStyle name="Followed Hyperlink 3" xfId="16730" hidden="1" xr:uid="{00000000-0005-0000-0000-00007B400000}"/>
    <cellStyle name="Followed Hyperlink 3" xfId="16541" hidden="1" xr:uid="{00000000-0005-0000-0000-00007C400000}"/>
    <cellStyle name="Followed Hyperlink 3" xfId="16684" hidden="1" xr:uid="{00000000-0005-0000-0000-00007D400000}"/>
    <cellStyle name="Followed Hyperlink 3" xfId="16538" hidden="1" xr:uid="{00000000-0005-0000-0000-00007E400000}"/>
    <cellStyle name="Followed Hyperlink 3" xfId="16530" hidden="1" xr:uid="{00000000-0005-0000-0000-00007F400000}"/>
    <cellStyle name="Followed Hyperlink 3" xfId="16535" hidden="1" xr:uid="{00000000-0005-0000-0000-000080400000}"/>
    <cellStyle name="Followed Hyperlink 3" xfId="16735" hidden="1" xr:uid="{00000000-0005-0000-0000-000081400000}"/>
    <cellStyle name="Followed Hyperlink 3" xfId="16738" hidden="1" xr:uid="{00000000-0005-0000-0000-000082400000}"/>
    <cellStyle name="Followed Hyperlink 3" xfId="16743" hidden="1" xr:uid="{00000000-0005-0000-0000-000083400000}"/>
    <cellStyle name="Followed Hyperlink 3" xfId="16753" hidden="1" xr:uid="{00000000-0005-0000-0000-000084400000}"/>
    <cellStyle name="Followed Hyperlink 3" xfId="16755" hidden="1" xr:uid="{00000000-0005-0000-0000-000085400000}"/>
    <cellStyle name="Followed Hyperlink 3" xfId="16751" hidden="1" xr:uid="{00000000-0005-0000-0000-000086400000}"/>
    <cellStyle name="Followed Hyperlink 3" xfId="16750" hidden="1" xr:uid="{00000000-0005-0000-0000-000087400000}"/>
    <cellStyle name="Followed Hyperlink 3" xfId="16756" hidden="1" xr:uid="{00000000-0005-0000-0000-000088400000}"/>
    <cellStyle name="Followed Hyperlink 3" xfId="16759" hidden="1" xr:uid="{00000000-0005-0000-0000-000089400000}"/>
    <cellStyle name="Followed Hyperlink 3" xfId="16762" hidden="1" xr:uid="{00000000-0005-0000-0000-00008A400000}"/>
    <cellStyle name="Followed Hyperlink 3" xfId="16767" hidden="1" xr:uid="{00000000-0005-0000-0000-00008B400000}"/>
    <cellStyle name="Followed Hyperlink 3" xfId="16778" hidden="1" xr:uid="{00000000-0005-0000-0000-00008C400000}"/>
    <cellStyle name="Followed Hyperlink 3" xfId="16780" hidden="1" xr:uid="{00000000-0005-0000-0000-00008D400000}"/>
    <cellStyle name="Followed Hyperlink 3" xfId="16776" hidden="1" xr:uid="{00000000-0005-0000-0000-00008E400000}"/>
    <cellStyle name="Followed Hyperlink 3" xfId="16775" hidden="1" xr:uid="{00000000-0005-0000-0000-00008F400000}"/>
    <cellStyle name="Followed Hyperlink 3" xfId="16781" hidden="1" xr:uid="{00000000-0005-0000-0000-000090400000}"/>
    <cellStyle name="Followed Hyperlink 3" xfId="16784" hidden="1" xr:uid="{00000000-0005-0000-0000-000091400000}"/>
    <cellStyle name="Followed Hyperlink 3" xfId="16787" hidden="1" xr:uid="{00000000-0005-0000-0000-000092400000}"/>
    <cellStyle name="Followed Hyperlink 3" xfId="16792" hidden="1" xr:uid="{00000000-0005-0000-0000-000093400000}"/>
    <cellStyle name="Followed Hyperlink 3" xfId="16802" hidden="1" xr:uid="{00000000-0005-0000-0000-000094400000}"/>
    <cellStyle name="Followed Hyperlink 3" xfId="16804" hidden="1" xr:uid="{00000000-0005-0000-0000-000095400000}"/>
    <cellStyle name="Followed Hyperlink 3" xfId="16800" hidden="1" xr:uid="{00000000-0005-0000-0000-000096400000}"/>
    <cellStyle name="Followed Hyperlink 3" xfId="16799" hidden="1" xr:uid="{00000000-0005-0000-0000-000097400000}"/>
    <cellStyle name="Followed Hyperlink 3" xfId="16805" hidden="1" xr:uid="{00000000-0005-0000-0000-000098400000}"/>
    <cellStyle name="Followed Hyperlink 3" xfId="16808" hidden="1" xr:uid="{00000000-0005-0000-0000-000099400000}"/>
    <cellStyle name="Followed Hyperlink 3" xfId="16811" hidden="1" xr:uid="{00000000-0005-0000-0000-00009A400000}"/>
    <cellStyle name="Followed Hyperlink 3" xfId="16816" hidden="1" xr:uid="{00000000-0005-0000-0000-00009B400000}"/>
    <cellStyle name="Followed Hyperlink 3" xfId="16546" hidden="1" xr:uid="{00000000-0005-0000-0000-00009C400000}"/>
    <cellStyle name="Followed Hyperlink 3" xfId="16770" hidden="1" xr:uid="{00000000-0005-0000-0000-00009D400000}"/>
    <cellStyle name="Followed Hyperlink 3" xfId="16542" hidden="1" xr:uid="{00000000-0005-0000-0000-00009E400000}"/>
    <cellStyle name="Followed Hyperlink 3" xfId="16547" hidden="1" xr:uid="{00000000-0005-0000-0000-00009F400000}"/>
    <cellStyle name="Followed Hyperlink 3" xfId="16534" hidden="1" xr:uid="{00000000-0005-0000-0000-0000A0400000}"/>
    <cellStyle name="Followed Hyperlink 3" xfId="16821" hidden="1" xr:uid="{00000000-0005-0000-0000-0000A1400000}"/>
    <cellStyle name="Followed Hyperlink 3" xfId="16824" hidden="1" xr:uid="{00000000-0005-0000-0000-0000A2400000}"/>
    <cellStyle name="Followed Hyperlink 3" xfId="16829" hidden="1" xr:uid="{00000000-0005-0000-0000-0000A3400000}"/>
    <cellStyle name="Followed Hyperlink 3" xfId="16839" hidden="1" xr:uid="{00000000-0005-0000-0000-0000A4400000}"/>
    <cellStyle name="Followed Hyperlink 3" xfId="16841" hidden="1" xr:uid="{00000000-0005-0000-0000-0000A5400000}"/>
    <cellStyle name="Followed Hyperlink 3" xfId="16837" hidden="1" xr:uid="{00000000-0005-0000-0000-0000A6400000}"/>
    <cellStyle name="Followed Hyperlink 3" xfId="16836" hidden="1" xr:uid="{00000000-0005-0000-0000-0000A7400000}"/>
    <cellStyle name="Followed Hyperlink 3" xfId="16842" hidden="1" xr:uid="{00000000-0005-0000-0000-0000A8400000}"/>
    <cellStyle name="Followed Hyperlink 3" xfId="16845" hidden="1" xr:uid="{00000000-0005-0000-0000-0000A9400000}"/>
    <cellStyle name="Followed Hyperlink 3" xfId="16848" hidden="1" xr:uid="{00000000-0005-0000-0000-0000AA400000}"/>
    <cellStyle name="Followed Hyperlink 3" xfId="16853" hidden="1" xr:uid="{00000000-0005-0000-0000-0000AB400000}"/>
    <cellStyle name="Followed Hyperlink 3" xfId="16863" hidden="1" xr:uid="{00000000-0005-0000-0000-0000AC400000}"/>
    <cellStyle name="Followed Hyperlink 3" xfId="16865" hidden="1" xr:uid="{00000000-0005-0000-0000-0000AD400000}"/>
    <cellStyle name="Followed Hyperlink 3" xfId="16861" hidden="1" xr:uid="{00000000-0005-0000-0000-0000AE400000}"/>
    <cellStyle name="Followed Hyperlink 3" xfId="16860" hidden="1" xr:uid="{00000000-0005-0000-0000-0000AF400000}"/>
    <cellStyle name="Followed Hyperlink 3" xfId="16866" hidden="1" xr:uid="{00000000-0005-0000-0000-0000B0400000}"/>
    <cellStyle name="Followed Hyperlink 3" xfId="16869" hidden="1" xr:uid="{00000000-0005-0000-0000-0000B1400000}"/>
    <cellStyle name="Followed Hyperlink 3" xfId="16872" hidden="1" xr:uid="{00000000-0005-0000-0000-0000B2400000}"/>
    <cellStyle name="Followed Hyperlink 3" xfId="16877" hidden="1" xr:uid="{00000000-0005-0000-0000-0000B3400000}"/>
    <cellStyle name="Followed Hyperlink 3" xfId="16887" hidden="1" xr:uid="{00000000-0005-0000-0000-0000B4400000}"/>
    <cellStyle name="Followed Hyperlink 3" xfId="16889" hidden="1" xr:uid="{00000000-0005-0000-0000-0000B5400000}"/>
    <cellStyle name="Followed Hyperlink 3" xfId="16885" hidden="1" xr:uid="{00000000-0005-0000-0000-0000B6400000}"/>
    <cellStyle name="Followed Hyperlink 3" xfId="16884" hidden="1" xr:uid="{00000000-0005-0000-0000-0000B7400000}"/>
    <cellStyle name="Followed Hyperlink 3" xfId="16890" hidden="1" xr:uid="{00000000-0005-0000-0000-0000B8400000}"/>
    <cellStyle name="Followed Hyperlink 3" xfId="16893" hidden="1" xr:uid="{00000000-0005-0000-0000-0000B9400000}"/>
    <cellStyle name="Followed Hyperlink 3" xfId="16896" hidden="1" xr:uid="{00000000-0005-0000-0000-0000BA400000}"/>
    <cellStyle name="Followed Hyperlink 3" xfId="16901" hidden="1" xr:uid="{00000000-0005-0000-0000-0000BB400000}"/>
    <cellStyle name="Followed Hyperlink 3" xfId="561" hidden="1" xr:uid="{00000000-0005-0000-0000-0000BC400000}"/>
    <cellStyle name="Followed Hyperlink 3" xfId="551" hidden="1" xr:uid="{00000000-0005-0000-0000-0000BD400000}"/>
    <cellStyle name="Followed Hyperlink 3" xfId="557" hidden="1" xr:uid="{00000000-0005-0000-0000-0000BE400000}"/>
    <cellStyle name="Followed Hyperlink 3" xfId="556" hidden="1" xr:uid="{00000000-0005-0000-0000-0000BF400000}"/>
    <cellStyle name="Followed Hyperlink 3" xfId="555" hidden="1" xr:uid="{00000000-0005-0000-0000-0000C0400000}"/>
    <cellStyle name="Followed Hyperlink 3" xfId="562" hidden="1" xr:uid="{00000000-0005-0000-0000-0000C1400000}"/>
    <cellStyle name="Followed Hyperlink 3" xfId="552" hidden="1" xr:uid="{00000000-0005-0000-0000-0000C2400000}"/>
    <cellStyle name="Followed Hyperlink 3" xfId="16906" hidden="1" xr:uid="{00000000-0005-0000-0000-0000C3400000}"/>
    <cellStyle name="Followed Hyperlink 3" xfId="16916" hidden="1" xr:uid="{00000000-0005-0000-0000-0000C4400000}"/>
    <cellStyle name="Followed Hyperlink 3" xfId="16918" hidden="1" xr:uid="{00000000-0005-0000-0000-0000C5400000}"/>
    <cellStyle name="Followed Hyperlink 3" xfId="16914" hidden="1" xr:uid="{00000000-0005-0000-0000-0000C6400000}"/>
    <cellStyle name="Followed Hyperlink 3" xfId="16913" hidden="1" xr:uid="{00000000-0005-0000-0000-0000C7400000}"/>
    <cellStyle name="Followed Hyperlink 3" xfId="16919" hidden="1" xr:uid="{00000000-0005-0000-0000-0000C8400000}"/>
    <cellStyle name="Followed Hyperlink 3" xfId="16922" hidden="1" xr:uid="{00000000-0005-0000-0000-0000C9400000}"/>
    <cellStyle name="Followed Hyperlink 3" xfId="16925" hidden="1" xr:uid="{00000000-0005-0000-0000-0000CA400000}"/>
    <cellStyle name="Followed Hyperlink 3" xfId="16930" hidden="1" xr:uid="{00000000-0005-0000-0000-0000CB400000}"/>
    <cellStyle name="Followed Hyperlink 3" xfId="16941" hidden="1" xr:uid="{00000000-0005-0000-0000-0000CC400000}"/>
    <cellStyle name="Followed Hyperlink 3" xfId="16943" hidden="1" xr:uid="{00000000-0005-0000-0000-0000CD400000}"/>
    <cellStyle name="Followed Hyperlink 3" xfId="16939" hidden="1" xr:uid="{00000000-0005-0000-0000-0000CE400000}"/>
    <cellStyle name="Followed Hyperlink 3" xfId="16938" hidden="1" xr:uid="{00000000-0005-0000-0000-0000CF400000}"/>
    <cellStyle name="Followed Hyperlink 3" xfId="16944" hidden="1" xr:uid="{00000000-0005-0000-0000-0000D0400000}"/>
    <cellStyle name="Followed Hyperlink 3" xfId="16947" hidden="1" xr:uid="{00000000-0005-0000-0000-0000D1400000}"/>
    <cellStyle name="Followed Hyperlink 3" xfId="16950" hidden="1" xr:uid="{00000000-0005-0000-0000-0000D2400000}"/>
    <cellStyle name="Followed Hyperlink 3" xfId="16955" hidden="1" xr:uid="{00000000-0005-0000-0000-0000D3400000}"/>
    <cellStyle name="Followed Hyperlink 3" xfId="16965" hidden="1" xr:uid="{00000000-0005-0000-0000-0000D4400000}"/>
    <cellStyle name="Followed Hyperlink 3" xfId="16967" hidden="1" xr:uid="{00000000-0005-0000-0000-0000D5400000}"/>
    <cellStyle name="Followed Hyperlink 3" xfId="16963" hidden="1" xr:uid="{00000000-0005-0000-0000-0000D6400000}"/>
    <cellStyle name="Followed Hyperlink 3" xfId="16962" hidden="1" xr:uid="{00000000-0005-0000-0000-0000D7400000}"/>
    <cellStyle name="Followed Hyperlink 3" xfId="16968" hidden="1" xr:uid="{00000000-0005-0000-0000-0000D8400000}"/>
    <cellStyle name="Followed Hyperlink 3" xfId="16971" hidden="1" xr:uid="{00000000-0005-0000-0000-0000D9400000}"/>
    <cellStyle name="Followed Hyperlink 3" xfId="16974" hidden="1" xr:uid="{00000000-0005-0000-0000-0000DA400000}"/>
    <cellStyle name="Followed Hyperlink 3" xfId="16979" hidden="1" xr:uid="{00000000-0005-0000-0000-0000DB400000}"/>
    <cellStyle name="Followed Hyperlink 3" xfId="17018" hidden="1" xr:uid="{00000000-0005-0000-0000-0000DC400000}"/>
    <cellStyle name="Followed Hyperlink 3" xfId="17020" hidden="1" xr:uid="{00000000-0005-0000-0000-0000DD400000}"/>
    <cellStyle name="Followed Hyperlink 3" xfId="17016" hidden="1" xr:uid="{00000000-0005-0000-0000-0000DE400000}"/>
    <cellStyle name="Followed Hyperlink 3" xfId="17015" hidden="1" xr:uid="{00000000-0005-0000-0000-0000DF400000}"/>
    <cellStyle name="Followed Hyperlink 3" xfId="17021" hidden="1" xr:uid="{00000000-0005-0000-0000-0000E0400000}"/>
    <cellStyle name="Followed Hyperlink 3" xfId="17024" hidden="1" xr:uid="{00000000-0005-0000-0000-0000E1400000}"/>
    <cellStyle name="Followed Hyperlink 3" xfId="17027" hidden="1" xr:uid="{00000000-0005-0000-0000-0000E2400000}"/>
    <cellStyle name="Followed Hyperlink 3" xfId="17032" hidden="1" xr:uid="{00000000-0005-0000-0000-0000E3400000}"/>
    <cellStyle name="Followed Hyperlink 3" xfId="17042" hidden="1" xr:uid="{00000000-0005-0000-0000-0000E4400000}"/>
    <cellStyle name="Followed Hyperlink 3" xfId="17044" hidden="1" xr:uid="{00000000-0005-0000-0000-0000E5400000}"/>
    <cellStyle name="Followed Hyperlink 3" xfId="17040" hidden="1" xr:uid="{00000000-0005-0000-0000-0000E6400000}"/>
    <cellStyle name="Followed Hyperlink 3" xfId="17039" hidden="1" xr:uid="{00000000-0005-0000-0000-0000E7400000}"/>
    <cellStyle name="Followed Hyperlink 3" xfId="17045" hidden="1" xr:uid="{00000000-0005-0000-0000-0000E8400000}"/>
    <cellStyle name="Followed Hyperlink 3" xfId="17048" hidden="1" xr:uid="{00000000-0005-0000-0000-0000E9400000}"/>
    <cellStyle name="Followed Hyperlink 3" xfId="17051" hidden="1" xr:uid="{00000000-0005-0000-0000-0000EA400000}"/>
    <cellStyle name="Followed Hyperlink 3" xfId="17056" hidden="1" xr:uid="{00000000-0005-0000-0000-0000EB400000}"/>
    <cellStyle name="Followed Hyperlink 3" xfId="17068" hidden="1" xr:uid="{00000000-0005-0000-0000-0000EC400000}"/>
    <cellStyle name="Followed Hyperlink 3" xfId="17070" hidden="1" xr:uid="{00000000-0005-0000-0000-0000ED400000}"/>
    <cellStyle name="Followed Hyperlink 3" xfId="17066" hidden="1" xr:uid="{00000000-0005-0000-0000-0000EE400000}"/>
    <cellStyle name="Followed Hyperlink 3" xfId="17065" hidden="1" xr:uid="{00000000-0005-0000-0000-0000EF400000}"/>
    <cellStyle name="Followed Hyperlink 3" xfId="17071" hidden="1" xr:uid="{00000000-0005-0000-0000-0000F0400000}"/>
    <cellStyle name="Followed Hyperlink 3" xfId="17074" hidden="1" xr:uid="{00000000-0005-0000-0000-0000F1400000}"/>
    <cellStyle name="Followed Hyperlink 3" xfId="17077" hidden="1" xr:uid="{00000000-0005-0000-0000-0000F2400000}"/>
    <cellStyle name="Followed Hyperlink 3" xfId="17082" hidden="1" xr:uid="{00000000-0005-0000-0000-0000F3400000}"/>
    <cellStyle name="Followed Hyperlink 3" xfId="17092" hidden="1" xr:uid="{00000000-0005-0000-0000-0000F4400000}"/>
    <cellStyle name="Followed Hyperlink 3" xfId="17094" hidden="1" xr:uid="{00000000-0005-0000-0000-0000F5400000}"/>
    <cellStyle name="Followed Hyperlink 3" xfId="17090" hidden="1" xr:uid="{00000000-0005-0000-0000-0000F6400000}"/>
    <cellStyle name="Followed Hyperlink 3" xfId="17089" hidden="1" xr:uid="{00000000-0005-0000-0000-0000F7400000}"/>
    <cellStyle name="Followed Hyperlink 3" xfId="17095" hidden="1" xr:uid="{00000000-0005-0000-0000-0000F8400000}"/>
    <cellStyle name="Followed Hyperlink 3" xfId="17098" hidden="1" xr:uid="{00000000-0005-0000-0000-0000F9400000}"/>
    <cellStyle name="Followed Hyperlink 3" xfId="17101" hidden="1" xr:uid="{00000000-0005-0000-0000-0000FA400000}"/>
    <cellStyle name="Followed Hyperlink 3" xfId="17106" hidden="1" xr:uid="{00000000-0005-0000-0000-0000FB400000}"/>
    <cellStyle name="Followed Hyperlink 3" xfId="17145" hidden="1" xr:uid="{00000000-0005-0000-0000-0000FC400000}"/>
    <cellStyle name="Followed Hyperlink 3" xfId="17147" hidden="1" xr:uid="{00000000-0005-0000-0000-0000FD400000}"/>
    <cellStyle name="Followed Hyperlink 3" xfId="17143" hidden="1" xr:uid="{00000000-0005-0000-0000-0000FE400000}"/>
    <cellStyle name="Followed Hyperlink 3" xfId="17142" hidden="1" xr:uid="{00000000-0005-0000-0000-0000FF400000}"/>
    <cellStyle name="Followed Hyperlink 3" xfId="17148" hidden="1" xr:uid="{00000000-0005-0000-0000-000000410000}"/>
    <cellStyle name="Followed Hyperlink 3" xfId="17151" hidden="1" xr:uid="{00000000-0005-0000-0000-000001410000}"/>
    <cellStyle name="Followed Hyperlink 3" xfId="17154" hidden="1" xr:uid="{00000000-0005-0000-0000-000002410000}"/>
    <cellStyle name="Followed Hyperlink 3" xfId="17159" hidden="1" xr:uid="{00000000-0005-0000-0000-000003410000}"/>
    <cellStyle name="Followed Hyperlink 3" xfId="17169" hidden="1" xr:uid="{00000000-0005-0000-0000-000004410000}"/>
    <cellStyle name="Followed Hyperlink 3" xfId="17171" hidden="1" xr:uid="{00000000-0005-0000-0000-000005410000}"/>
    <cellStyle name="Followed Hyperlink 3" xfId="17167" hidden="1" xr:uid="{00000000-0005-0000-0000-000006410000}"/>
    <cellStyle name="Followed Hyperlink 3" xfId="17166" hidden="1" xr:uid="{00000000-0005-0000-0000-000007410000}"/>
    <cellStyle name="Followed Hyperlink 3" xfId="17172" hidden="1" xr:uid="{00000000-0005-0000-0000-000008410000}"/>
    <cellStyle name="Followed Hyperlink 3" xfId="17175" hidden="1" xr:uid="{00000000-0005-0000-0000-000009410000}"/>
    <cellStyle name="Followed Hyperlink 3" xfId="17178" hidden="1" xr:uid="{00000000-0005-0000-0000-00000A410000}"/>
    <cellStyle name="Followed Hyperlink 3" xfId="17183" hidden="1" xr:uid="{00000000-0005-0000-0000-00000B410000}"/>
    <cellStyle name="Followed Hyperlink 3" xfId="17195" hidden="1" xr:uid="{00000000-0005-0000-0000-00000C410000}"/>
    <cellStyle name="Followed Hyperlink 3" xfId="17197" hidden="1" xr:uid="{00000000-0005-0000-0000-00000D410000}"/>
    <cellStyle name="Followed Hyperlink 3" xfId="17193" hidden="1" xr:uid="{00000000-0005-0000-0000-00000E410000}"/>
    <cellStyle name="Followed Hyperlink 3" xfId="17192" hidden="1" xr:uid="{00000000-0005-0000-0000-00000F410000}"/>
    <cellStyle name="Followed Hyperlink 3" xfId="17198" hidden="1" xr:uid="{00000000-0005-0000-0000-000010410000}"/>
    <cellStyle name="Followed Hyperlink 3" xfId="17201" hidden="1" xr:uid="{00000000-0005-0000-0000-000011410000}"/>
    <cellStyle name="Followed Hyperlink 3" xfId="17204" hidden="1" xr:uid="{00000000-0005-0000-0000-000012410000}"/>
    <cellStyle name="Followed Hyperlink 3" xfId="17209" hidden="1" xr:uid="{00000000-0005-0000-0000-000013410000}"/>
    <cellStyle name="Followed Hyperlink 3" xfId="17219" hidden="1" xr:uid="{00000000-0005-0000-0000-000014410000}"/>
    <cellStyle name="Followed Hyperlink 3" xfId="17221" hidden="1" xr:uid="{00000000-0005-0000-0000-000015410000}"/>
    <cellStyle name="Followed Hyperlink 3" xfId="17217" hidden="1" xr:uid="{00000000-0005-0000-0000-000016410000}"/>
    <cellStyle name="Followed Hyperlink 3" xfId="17216" hidden="1" xr:uid="{00000000-0005-0000-0000-000017410000}"/>
    <cellStyle name="Followed Hyperlink 3" xfId="17222" hidden="1" xr:uid="{00000000-0005-0000-0000-000018410000}"/>
    <cellStyle name="Followed Hyperlink 3" xfId="17225" hidden="1" xr:uid="{00000000-0005-0000-0000-000019410000}"/>
    <cellStyle name="Followed Hyperlink 3" xfId="17228" hidden="1" xr:uid="{00000000-0005-0000-0000-00001A410000}"/>
    <cellStyle name="Followed Hyperlink 3" xfId="17233" hidden="1" xr:uid="{00000000-0005-0000-0000-00001B410000}"/>
    <cellStyle name="Followed Hyperlink 3" xfId="17272" hidden="1" xr:uid="{00000000-0005-0000-0000-00001C410000}"/>
    <cellStyle name="Followed Hyperlink 3" xfId="17274" hidden="1" xr:uid="{00000000-0005-0000-0000-00001D410000}"/>
    <cellStyle name="Followed Hyperlink 3" xfId="17270" hidden="1" xr:uid="{00000000-0005-0000-0000-00001E410000}"/>
    <cellStyle name="Followed Hyperlink 3" xfId="17269" hidden="1" xr:uid="{00000000-0005-0000-0000-00001F410000}"/>
    <cellStyle name="Followed Hyperlink 3" xfId="17275" hidden="1" xr:uid="{00000000-0005-0000-0000-000020410000}"/>
    <cellStyle name="Followed Hyperlink 3" xfId="17278" hidden="1" xr:uid="{00000000-0005-0000-0000-000021410000}"/>
    <cellStyle name="Followed Hyperlink 3" xfId="17281" hidden="1" xr:uid="{00000000-0005-0000-0000-000022410000}"/>
    <cellStyle name="Followed Hyperlink 3" xfId="17286" hidden="1" xr:uid="{00000000-0005-0000-0000-000023410000}"/>
    <cellStyle name="Followed Hyperlink 3" xfId="17296" hidden="1" xr:uid="{00000000-0005-0000-0000-000024410000}"/>
    <cellStyle name="Followed Hyperlink 3" xfId="17298" hidden="1" xr:uid="{00000000-0005-0000-0000-000025410000}"/>
    <cellStyle name="Followed Hyperlink 3" xfId="17294" hidden="1" xr:uid="{00000000-0005-0000-0000-000026410000}"/>
    <cellStyle name="Followed Hyperlink 3" xfId="17293" hidden="1" xr:uid="{00000000-0005-0000-0000-000027410000}"/>
    <cellStyle name="Followed Hyperlink 3" xfId="17299" hidden="1" xr:uid="{00000000-0005-0000-0000-000028410000}"/>
    <cellStyle name="Followed Hyperlink 3" xfId="17302" hidden="1" xr:uid="{00000000-0005-0000-0000-000029410000}"/>
    <cellStyle name="Followed Hyperlink 3" xfId="17305" hidden="1" xr:uid="{00000000-0005-0000-0000-00002A410000}"/>
    <cellStyle name="Followed Hyperlink 3" xfId="17310" hidden="1" xr:uid="{00000000-0005-0000-0000-00002B410000}"/>
    <cellStyle name="Followed Hyperlink 3" xfId="17322" hidden="1" xr:uid="{00000000-0005-0000-0000-00002C410000}"/>
    <cellStyle name="Followed Hyperlink 3" xfId="17324" hidden="1" xr:uid="{00000000-0005-0000-0000-00002D410000}"/>
    <cellStyle name="Followed Hyperlink 3" xfId="17320" hidden="1" xr:uid="{00000000-0005-0000-0000-00002E410000}"/>
    <cellStyle name="Followed Hyperlink 3" xfId="17319" hidden="1" xr:uid="{00000000-0005-0000-0000-00002F410000}"/>
    <cellStyle name="Followed Hyperlink 3" xfId="17325" hidden="1" xr:uid="{00000000-0005-0000-0000-000030410000}"/>
    <cellStyle name="Followed Hyperlink 3" xfId="17328" hidden="1" xr:uid="{00000000-0005-0000-0000-000031410000}"/>
    <cellStyle name="Followed Hyperlink 3" xfId="17331" hidden="1" xr:uid="{00000000-0005-0000-0000-000032410000}"/>
    <cellStyle name="Followed Hyperlink 3" xfId="17336" hidden="1" xr:uid="{00000000-0005-0000-0000-000033410000}"/>
    <cellStyle name="Followed Hyperlink 3" xfId="17346" hidden="1" xr:uid="{00000000-0005-0000-0000-000034410000}"/>
    <cellStyle name="Followed Hyperlink 3" xfId="17348" hidden="1" xr:uid="{00000000-0005-0000-0000-000035410000}"/>
    <cellStyle name="Followed Hyperlink 3" xfId="17344" hidden="1" xr:uid="{00000000-0005-0000-0000-000036410000}"/>
    <cellStyle name="Followed Hyperlink 3" xfId="17343" hidden="1" xr:uid="{00000000-0005-0000-0000-000037410000}"/>
    <cellStyle name="Followed Hyperlink 3" xfId="17349" hidden="1" xr:uid="{00000000-0005-0000-0000-000038410000}"/>
    <cellStyle name="Followed Hyperlink 3" xfId="17352" hidden="1" xr:uid="{00000000-0005-0000-0000-000039410000}"/>
    <cellStyle name="Followed Hyperlink 3" xfId="17355" hidden="1" xr:uid="{00000000-0005-0000-0000-00003A410000}"/>
    <cellStyle name="Followed Hyperlink 3" xfId="17360" hidden="1" xr:uid="{00000000-0005-0000-0000-00003B410000}"/>
    <cellStyle name="Followed Hyperlink 3" xfId="17236" hidden="1" xr:uid="{00000000-0005-0000-0000-00003C410000}"/>
    <cellStyle name="Followed Hyperlink 3" xfId="17313" hidden="1" xr:uid="{00000000-0005-0000-0000-00003D410000}"/>
    <cellStyle name="Followed Hyperlink 3" xfId="17240" hidden="1" xr:uid="{00000000-0005-0000-0000-00003E410000}"/>
    <cellStyle name="Followed Hyperlink 3" xfId="17241" hidden="1" xr:uid="{00000000-0005-0000-0000-00003F410000}"/>
    <cellStyle name="Followed Hyperlink 3" xfId="17244" hidden="1" xr:uid="{00000000-0005-0000-0000-000040410000}"/>
    <cellStyle name="Followed Hyperlink 3" xfId="17365" hidden="1" xr:uid="{00000000-0005-0000-0000-000041410000}"/>
    <cellStyle name="Followed Hyperlink 3" xfId="17368" hidden="1" xr:uid="{00000000-0005-0000-0000-000042410000}"/>
    <cellStyle name="Followed Hyperlink 3" xfId="17373" hidden="1" xr:uid="{00000000-0005-0000-0000-000043410000}"/>
    <cellStyle name="Followed Hyperlink 3" xfId="17383" hidden="1" xr:uid="{00000000-0005-0000-0000-000044410000}"/>
    <cellStyle name="Followed Hyperlink 3" xfId="17385" hidden="1" xr:uid="{00000000-0005-0000-0000-000045410000}"/>
    <cellStyle name="Followed Hyperlink 3" xfId="17381" hidden="1" xr:uid="{00000000-0005-0000-0000-000046410000}"/>
    <cellStyle name="Followed Hyperlink 3" xfId="17380" hidden="1" xr:uid="{00000000-0005-0000-0000-000047410000}"/>
    <cellStyle name="Followed Hyperlink 3" xfId="17386" hidden="1" xr:uid="{00000000-0005-0000-0000-000048410000}"/>
    <cellStyle name="Followed Hyperlink 3" xfId="17389" hidden="1" xr:uid="{00000000-0005-0000-0000-000049410000}"/>
    <cellStyle name="Followed Hyperlink 3" xfId="17392" hidden="1" xr:uid="{00000000-0005-0000-0000-00004A410000}"/>
    <cellStyle name="Followed Hyperlink 3" xfId="17397" hidden="1" xr:uid="{00000000-0005-0000-0000-00004B410000}"/>
    <cellStyle name="Followed Hyperlink 3" xfId="17408" hidden="1" xr:uid="{00000000-0005-0000-0000-00004C410000}"/>
    <cellStyle name="Followed Hyperlink 3" xfId="17410" hidden="1" xr:uid="{00000000-0005-0000-0000-00004D410000}"/>
    <cellStyle name="Followed Hyperlink 3" xfId="17406" hidden="1" xr:uid="{00000000-0005-0000-0000-00004E410000}"/>
    <cellStyle name="Followed Hyperlink 3" xfId="17405" hidden="1" xr:uid="{00000000-0005-0000-0000-00004F410000}"/>
    <cellStyle name="Followed Hyperlink 3" xfId="17411" hidden="1" xr:uid="{00000000-0005-0000-0000-000050410000}"/>
    <cellStyle name="Followed Hyperlink 3" xfId="17414" hidden="1" xr:uid="{00000000-0005-0000-0000-000051410000}"/>
    <cellStyle name="Followed Hyperlink 3" xfId="17417" hidden="1" xr:uid="{00000000-0005-0000-0000-000052410000}"/>
    <cellStyle name="Followed Hyperlink 3" xfId="17422" hidden="1" xr:uid="{00000000-0005-0000-0000-000053410000}"/>
    <cellStyle name="Followed Hyperlink 3" xfId="17432" hidden="1" xr:uid="{00000000-0005-0000-0000-000054410000}"/>
    <cellStyle name="Followed Hyperlink 3" xfId="17434" hidden="1" xr:uid="{00000000-0005-0000-0000-000055410000}"/>
    <cellStyle name="Followed Hyperlink 3" xfId="17430" hidden="1" xr:uid="{00000000-0005-0000-0000-000056410000}"/>
    <cellStyle name="Followed Hyperlink 3" xfId="17429" hidden="1" xr:uid="{00000000-0005-0000-0000-000057410000}"/>
    <cellStyle name="Followed Hyperlink 3" xfId="17435" hidden="1" xr:uid="{00000000-0005-0000-0000-000058410000}"/>
    <cellStyle name="Followed Hyperlink 3" xfId="17438" hidden="1" xr:uid="{00000000-0005-0000-0000-000059410000}"/>
    <cellStyle name="Followed Hyperlink 3" xfId="17441" hidden="1" xr:uid="{00000000-0005-0000-0000-00005A410000}"/>
    <cellStyle name="Followed Hyperlink 3" xfId="17446" hidden="1" xr:uid="{00000000-0005-0000-0000-00005B410000}"/>
    <cellStyle name="Followed Hyperlink 3" xfId="17257" hidden="1" xr:uid="{00000000-0005-0000-0000-00005C410000}"/>
    <cellStyle name="Followed Hyperlink 3" xfId="17400" hidden="1" xr:uid="{00000000-0005-0000-0000-00005D410000}"/>
    <cellStyle name="Followed Hyperlink 3" xfId="17254" hidden="1" xr:uid="{00000000-0005-0000-0000-00005E410000}"/>
    <cellStyle name="Followed Hyperlink 3" xfId="17246" hidden="1" xr:uid="{00000000-0005-0000-0000-00005F410000}"/>
    <cellStyle name="Followed Hyperlink 3" xfId="17251" hidden="1" xr:uid="{00000000-0005-0000-0000-000060410000}"/>
    <cellStyle name="Followed Hyperlink 3" xfId="17451" hidden="1" xr:uid="{00000000-0005-0000-0000-000061410000}"/>
    <cellStyle name="Followed Hyperlink 3" xfId="17454" hidden="1" xr:uid="{00000000-0005-0000-0000-000062410000}"/>
    <cellStyle name="Followed Hyperlink 3" xfId="17459" hidden="1" xr:uid="{00000000-0005-0000-0000-000063410000}"/>
    <cellStyle name="Followed Hyperlink 3" xfId="17469" hidden="1" xr:uid="{00000000-0005-0000-0000-000064410000}"/>
    <cellStyle name="Followed Hyperlink 3" xfId="17471" hidden="1" xr:uid="{00000000-0005-0000-0000-000065410000}"/>
    <cellStyle name="Followed Hyperlink 3" xfId="17467" hidden="1" xr:uid="{00000000-0005-0000-0000-000066410000}"/>
    <cellStyle name="Followed Hyperlink 3" xfId="17466" hidden="1" xr:uid="{00000000-0005-0000-0000-000067410000}"/>
    <cellStyle name="Followed Hyperlink 3" xfId="17472" hidden="1" xr:uid="{00000000-0005-0000-0000-000068410000}"/>
    <cellStyle name="Followed Hyperlink 3" xfId="17475" hidden="1" xr:uid="{00000000-0005-0000-0000-000069410000}"/>
    <cellStyle name="Followed Hyperlink 3" xfId="17478" hidden="1" xr:uid="{00000000-0005-0000-0000-00006A410000}"/>
    <cellStyle name="Followed Hyperlink 3" xfId="17483" hidden="1" xr:uid="{00000000-0005-0000-0000-00006B410000}"/>
    <cellStyle name="Followed Hyperlink 3" xfId="17494" hidden="1" xr:uid="{00000000-0005-0000-0000-00006C410000}"/>
    <cellStyle name="Followed Hyperlink 3" xfId="17496" hidden="1" xr:uid="{00000000-0005-0000-0000-00006D410000}"/>
    <cellStyle name="Followed Hyperlink 3" xfId="17492" hidden="1" xr:uid="{00000000-0005-0000-0000-00006E410000}"/>
    <cellStyle name="Followed Hyperlink 3" xfId="17491" hidden="1" xr:uid="{00000000-0005-0000-0000-00006F410000}"/>
    <cellStyle name="Followed Hyperlink 3" xfId="17497" hidden="1" xr:uid="{00000000-0005-0000-0000-000070410000}"/>
    <cellStyle name="Followed Hyperlink 3" xfId="17500" hidden="1" xr:uid="{00000000-0005-0000-0000-000071410000}"/>
    <cellStyle name="Followed Hyperlink 3" xfId="17503" hidden="1" xr:uid="{00000000-0005-0000-0000-000072410000}"/>
    <cellStyle name="Followed Hyperlink 3" xfId="17508" hidden="1" xr:uid="{00000000-0005-0000-0000-000073410000}"/>
    <cellStyle name="Followed Hyperlink 3" xfId="17518" hidden="1" xr:uid="{00000000-0005-0000-0000-000074410000}"/>
    <cellStyle name="Followed Hyperlink 3" xfId="17520" hidden="1" xr:uid="{00000000-0005-0000-0000-000075410000}"/>
    <cellStyle name="Followed Hyperlink 3" xfId="17516" hidden="1" xr:uid="{00000000-0005-0000-0000-000076410000}"/>
    <cellStyle name="Followed Hyperlink 3" xfId="17515" hidden="1" xr:uid="{00000000-0005-0000-0000-000077410000}"/>
    <cellStyle name="Followed Hyperlink 3" xfId="17521" hidden="1" xr:uid="{00000000-0005-0000-0000-000078410000}"/>
    <cellStyle name="Followed Hyperlink 3" xfId="17524" hidden="1" xr:uid="{00000000-0005-0000-0000-000079410000}"/>
    <cellStyle name="Followed Hyperlink 3" xfId="17527" hidden="1" xr:uid="{00000000-0005-0000-0000-00007A410000}"/>
    <cellStyle name="Followed Hyperlink 3" xfId="17532" hidden="1" xr:uid="{00000000-0005-0000-0000-00007B410000}"/>
    <cellStyle name="Followed Hyperlink 3" xfId="17262" hidden="1" xr:uid="{00000000-0005-0000-0000-00007C410000}"/>
    <cellStyle name="Followed Hyperlink 3" xfId="17486" hidden="1" xr:uid="{00000000-0005-0000-0000-00007D410000}"/>
    <cellStyle name="Followed Hyperlink 3" xfId="17258" hidden="1" xr:uid="{00000000-0005-0000-0000-00007E410000}"/>
    <cellStyle name="Followed Hyperlink 3" xfId="17263" hidden="1" xr:uid="{00000000-0005-0000-0000-00007F410000}"/>
    <cellStyle name="Followed Hyperlink 3" xfId="17250" hidden="1" xr:uid="{00000000-0005-0000-0000-000080410000}"/>
    <cellStyle name="Followed Hyperlink 3" xfId="17537" hidden="1" xr:uid="{00000000-0005-0000-0000-000081410000}"/>
    <cellStyle name="Followed Hyperlink 3" xfId="17540" hidden="1" xr:uid="{00000000-0005-0000-0000-000082410000}"/>
    <cellStyle name="Followed Hyperlink 3" xfId="17545" hidden="1" xr:uid="{00000000-0005-0000-0000-000083410000}"/>
    <cellStyle name="Followed Hyperlink 3" xfId="17555" hidden="1" xr:uid="{00000000-0005-0000-0000-000084410000}"/>
    <cellStyle name="Followed Hyperlink 3" xfId="17557" hidden="1" xr:uid="{00000000-0005-0000-0000-000085410000}"/>
    <cellStyle name="Followed Hyperlink 3" xfId="17553" hidden="1" xr:uid="{00000000-0005-0000-0000-000086410000}"/>
    <cellStyle name="Followed Hyperlink 3" xfId="17552" hidden="1" xr:uid="{00000000-0005-0000-0000-000087410000}"/>
    <cellStyle name="Followed Hyperlink 3" xfId="17558" hidden="1" xr:uid="{00000000-0005-0000-0000-000088410000}"/>
    <cellStyle name="Followed Hyperlink 3" xfId="17561" hidden="1" xr:uid="{00000000-0005-0000-0000-000089410000}"/>
    <cellStyle name="Followed Hyperlink 3" xfId="17564" hidden="1" xr:uid="{00000000-0005-0000-0000-00008A410000}"/>
    <cellStyle name="Followed Hyperlink 3" xfId="17569" hidden="1" xr:uid="{00000000-0005-0000-0000-00008B410000}"/>
    <cellStyle name="Followed Hyperlink 3" xfId="17579" hidden="1" xr:uid="{00000000-0005-0000-0000-00008C410000}"/>
    <cellStyle name="Followed Hyperlink 3" xfId="17581" hidden="1" xr:uid="{00000000-0005-0000-0000-00008D410000}"/>
    <cellStyle name="Followed Hyperlink 3" xfId="17577" hidden="1" xr:uid="{00000000-0005-0000-0000-00008E410000}"/>
    <cellStyle name="Followed Hyperlink 3" xfId="17576" hidden="1" xr:uid="{00000000-0005-0000-0000-00008F410000}"/>
    <cellStyle name="Followed Hyperlink 3" xfId="17582" hidden="1" xr:uid="{00000000-0005-0000-0000-000090410000}"/>
    <cellStyle name="Followed Hyperlink 3" xfId="17585" hidden="1" xr:uid="{00000000-0005-0000-0000-000091410000}"/>
    <cellStyle name="Followed Hyperlink 3" xfId="17588" hidden="1" xr:uid="{00000000-0005-0000-0000-000092410000}"/>
    <cellStyle name="Followed Hyperlink 3" xfId="17593" hidden="1" xr:uid="{00000000-0005-0000-0000-000093410000}"/>
    <cellStyle name="Followed Hyperlink 3" xfId="17603" hidden="1" xr:uid="{00000000-0005-0000-0000-000094410000}"/>
    <cellStyle name="Followed Hyperlink 3" xfId="17605" hidden="1" xr:uid="{00000000-0005-0000-0000-000095410000}"/>
    <cellStyle name="Followed Hyperlink 3" xfId="17601" hidden="1" xr:uid="{00000000-0005-0000-0000-000096410000}"/>
    <cellStyle name="Followed Hyperlink 3" xfId="17600" hidden="1" xr:uid="{00000000-0005-0000-0000-000097410000}"/>
    <cellStyle name="Followed Hyperlink 3" xfId="17606" hidden="1" xr:uid="{00000000-0005-0000-0000-000098410000}"/>
    <cellStyle name="Followed Hyperlink 3" xfId="17609" hidden="1" xr:uid="{00000000-0005-0000-0000-000099410000}"/>
    <cellStyle name="Followed Hyperlink 3" xfId="17612" hidden="1" xr:uid="{00000000-0005-0000-0000-00009A410000}"/>
    <cellStyle name="Followed Hyperlink 3" xfId="17617" hidden="1" xr:uid="{00000000-0005-0000-0000-00009B410000}"/>
    <cellStyle name="Followed Hyperlink 3" xfId="17109" hidden="1" xr:uid="{00000000-0005-0000-0000-00009C410000}"/>
    <cellStyle name="Followed Hyperlink 3" xfId="17186" hidden="1" xr:uid="{00000000-0005-0000-0000-00009D410000}"/>
    <cellStyle name="Followed Hyperlink 3" xfId="17113" hidden="1" xr:uid="{00000000-0005-0000-0000-00009E410000}"/>
    <cellStyle name="Followed Hyperlink 3" xfId="17114" hidden="1" xr:uid="{00000000-0005-0000-0000-00009F410000}"/>
    <cellStyle name="Followed Hyperlink 3" xfId="17117" hidden="1" xr:uid="{00000000-0005-0000-0000-0000A0410000}"/>
    <cellStyle name="Followed Hyperlink 3" xfId="17622" hidden="1" xr:uid="{00000000-0005-0000-0000-0000A1410000}"/>
    <cellStyle name="Followed Hyperlink 3" xfId="17625" hidden="1" xr:uid="{00000000-0005-0000-0000-0000A2410000}"/>
    <cellStyle name="Followed Hyperlink 3" xfId="17630" hidden="1" xr:uid="{00000000-0005-0000-0000-0000A3410000}"/>
    <cellStyle name="Followed Hyperlink 3" xfId="17640" hidden="1" xr:uid="{00000000-0005-0000-0000-0000A4410000}"/>
    <cellStyle name="Followed Hyperlink 3" xfId="17642" hidden="1" xr:uid="{00000000-0005-0000-0000-0000A5410000}"/>
    <cellStyle name="Followed Hyperlink 3" xfId="17638" hidden="1" xr:uid="{00000000-0005-0000-0000-0000A6410000}"/>
    <cellStyle name="Followed Hyperlink 3" xfId="17637" hidden="1" xr:uid="{00000000-0005-0000-0000-0000A7410000}"/>
    <cellStyle name="Followed Hyperlink 3" xfId="17643" hidden="1" xr:uid="{00000000-0005-0000-0000-0000A8410000}"/>
    <cellStyle name="Followed Hyperlink 3" xfId="17646" hidden="1" xr:uid="{00000000-0005-0000-0000-0000A9410000}"/>
    <cellStyle name="Followed Hyperlink 3" xfId="17649" hidden="1" xr:uid="{00000000-0005-0000-0000-0000AA410000}"/>
    <cellStyle name="Followed Hyperlink 3" xfId="17654" hidden="1" xr:uid="{00000000-0005-0000-0000-0000AB410000}"/>
    <cellStyle name="Followed Hyperlink 3" xfId="17665" hidden="1" xr:uid="{00000000-0005-0000-0000-0000AC410000}"/>
    <cellStyle name="Followed Hyperlink 3" xfId="17667" hidden="1" xr:uid="{00000000-0005-0000-0000-0000AD410000}"/>
    <cellStyle name="Followed Hyperlink 3" xfId="17663" hidden="1" xr:uid="{00000000-0005-0000-0000-0000AE410000}"/>
    <cellStyle name="Followed Hyperlink 3" xfId="17662" hidden="1" xr:uid="{00000000-0005-0000-0000-0000AF410000}"/>
    <cellStyle name="Followed Hyperlink 3" xfId="17668" hidden="1" xr:uid="{00000000-0005-0000-0000-0000B0410000}"/>
    <cellStyle name="Followed Hyperlink 3" xfId="17671" hidden="1" xr:uid="{00000000-0005-0000-0000-0000B1410000}"/>
    <cellStyle name="Followed Hyperlink 3" xfId="17674" hidden="1" xr:uid="{00000000-0005-0000-0000-0000B2410000}"/>
    <cellStyle name="Followed Hyperlink 3" xfId="17679" hidden="1" xr:uid="{00000000-0005-0000-0000-0000B3410000}"/>
    <cellStyle name="Followed Hyperlink 3" xfId="17689" hidden="1" xr:uid="{00000000-0005-0000-0000-0000B4410000}"/>
    <cellStyle name="Followed Hyperlink 3" xfId="17691" hidden="1" xr:uid="{00000000-0005-0000-0000-0000B5410000}"/>
    <cellStyle name="Followed Hyperlink 3" xfId="17687" hidden="1" xr:uid="{00000000-0005-0000-0000-0000B6410000}"/>
    <cellStyle name="Followed Hyperlink 3" xfId="17686" hidden="1" xr:uid="{00000000-0005-0000-0000-0000B7410000}"/>
    <cellStyle name="Followed Hyperlink 3" xfId="17692" hidden="1" xr:uid="{00000000-0005-0000-0000-0000B8410000}"/>
    <cellStyle name="Followed Hyperlink 3" xfId="17695" hidden="1" xr:uid="{00000000-0005-0000-0000-0000B9410000}"/>
    <cellStyle name="Followed Hyperlink 3" xfId="17698" hidden="1" xr:uid="{00000000-0005-0000-0000-0000BA410000}"/>
    <cellStyle name="Followed Hyperlink 3" xfId="17703" hidden="1" xr:uid="{00000000-0005-0000-0000-0000BB410000}"/>
    <cellStyle name="Followed Hyperlink 3" xfId="17742" hidden="1" xr:uid="{00000000-0005-0000-0000-0000BC410000}"/>
    <cellStyle name="Followed Hyperlink 3" xfId="17744" hidden="1" xr:uid="{00000000-0005-0000-0000-0000BD410000}"/>
    <cellStyle name="Followed Hyperlink 3" xfId="17740" hidden="1" xr:uid="{00000000-0005-0000-0000-0000BE410000}"/>
    <cellStyle name="Followed Hyperlink 3" xfId="17739" hidden="1" xr:uid="{00000000-0005-0000-0000-0000BF410000}"/>
    <cellStyle name="Followed Hyperlink 3" xfId="17745" hidden="1" xr:uid="{00000000-0005-0000-0000-0000C0410000}"/>
    <cellStyle name="Followed Hyperlink 3" xfId="17748" hidden="1" xr:uid="{00000000-0005-0000-0000-0000C1410000}"/>
    <cellStyle name="Followed Hyperlink 3" xfId="17751" hidden="1" xr:uid="{00000000-0005-0000-0000-0000C2410000}"/>
    <cellStyle name="Followed Hyperlink 3" xfId="17756" hidden="1" xr:uid="{00000000-0005-0000-0000-0000C3410000}"/>
    <cellStyle name="Followed Hyperlink 3" xfId="17766" hidden="1" xr:uid="{00000000-0005-0000-0000-0000C4410000}"/>
    <cellStyle name="Followed Hyperlink 3" xfId="17768" hidden="1" xr:uid="{00000000-0005-0000-0000-0000C5410000}"/>
    <cellStyle name="Followed Hyperlink 3" xfId="17764" hidden="1" xr:uid="{00000000-0005-0000-0000-0000C6410000}"/>
    <cellStyle name="Followed Hyperlink 3" xfId="17763" hidden="1" xr:uid="{00000000-0005-0000-0000-0000C7410000}"/>
    <cellStyle name="Followed Hyperlink 3" xfId="17769" hidden="1" xr:uid="{00000000-0005-0000-0000-0000C8410000}"/>
    <cellStyle name="Followed Hyperlink 3" xfId="17772" hidden="1" xr:uid="{00000000-0005-0000-0000-0000C9410000}"/>
    <cellStyle name="Followed Hyperlink 3" xfId="17775" hidden="1" xr:uid="{00000000-0005-0000-0000-0000CA410000}"/>
    <cellStyle name="Followed Hyperlink 3" xfId="17780" hidden="1" xr:uid="{00000000-0005-0000-0000-0000CB410000}"/>
    <cellStyle name="Followed Hyperlink 3" xfId="17792" hidden="1" xr:uid="{00000000-0005-0000-0000-0000CC410000}"/>
    <cellStyle name="Followed Hyperlink 3" xfId="17794" hidden="1" xr:uid="{00000000-0005-0000-0000-0000CD410000}"/>
    <cellStyle name="Followed Hyperlink 3" xfId="17790" hidden="1" xr:uid="{00000000-0005-0000-0000-0000CE410000}"/>
    <cellStyle name="Followed Hyperlink 3" xfId="17789" hidden="1" xr:uid="{00000000-0005-0000-0000-0000CF410000}"/>
    <cellStyle name="Followed Hyperlink 3" xfId="17795" hidden="1" xr:uid="{00000000-0005-0000-0000-0000D0410000}"/>
    <cellStyle name="Followed Hyperlink 3" xfId="17798" hidden="1" xr:uid="{00000000-0005-0000-0000-0000D1410000}"/>
    <cellStyle name="Followed Hyperlink 3" xfId="17801" hidden="1" xr:uid="{00000000-0005-0000-0000-0000D2410000}"/>
    <cellStyle name="Followed Hyperlink 3" xfId="17806" hidden="1" xr:uid="{00000000-0005-0000-0000-0000D3410000}"/>
    <cellStyle name="Followed Hyperlink 3" xfId="17816" hidden="1" xr:uid="{00000000-0005-0000-0000-0000D4410000}"/>
    <cellStyle name="Followed Hyperlink 3" xfId="17818" hidden="1" xr:uid="{00000000-0005-0000-0000-0000D5410000}"/>
    <cellStyle name="Followed Hyperlink 3" xfId="17814" hidden="1" xr:uid="{00000000-0005-0000-0000-0000D6410000}"/>
    <cellStyle name="Followed Hyperlink 3" xfId="17813" hidden="1" xr:uid="{00000000-0005-0000-0000-0000D7410000}"/>
    <cellStyle name="Followed Hyperlink 3" xfId="17819" hidden="1" xr:uid="{00000000-0005-0000-0000-0000D8410000}"/>
    <cellStyle name="Followed Hyperlink 3" xfId="17822" hidden="1" xr:uid="{00000000-0005-0000-0000-0000D9410000}"/>
    <cellStyle name="Followed Hyperlink 3" xfId="17825" hidden="1" xr:uid="{00000000-0005-0000-0000-0000DA410000}"/>
    <cellStyle name="Followed Hyperlink 3" xfId="17830" hidden="1" xr:uid="{00000000-0005-0000-0000-0000DB410000}"/>
    <cellStyle name="Followed Hyperlink 3" xfId="17706" hidden="1" xr:uid="{00000000-0005-0000-0000-0000DC410000}"/>
    <cellStyle name="Followed Hyperlink 3" xfId="17783" hidden="1" xr:uid="{00000000-0005-0000-0000-0000DD410000}"/>
    <cellStyle name="Followed Hyperlink 3" xfId="17710" hidden="1" xr:uid="{00000000-0005-0000-0000-0000DE410000}"/>
    <cellStyle name="Followed Hyperlink 3" xfId="17711" hidden="1" xr:uid="{00000000-0005-0000-0000-0000DF410000}"/>
    <cellStyle name="Followed Hyperlink 3" xfId="17714" hidden="1" xr:uid="{00000000-0005-0000-0000-0000E0410000}"/>
    <cellStyle name="Followed Hyperlink 3" xfId="17835" hidden="1" xr:uid="{00000000-0005-0000-0000-0000E1410000}"/>
    <cellStyle name="Followed Hyperlink 3" xfId="17838" hidden="1" xr:uid="{00000000-0005-0000-0000-0000E2410000}"/>
    <cellStyle name="Followed Hyperlink 3" xfId="17843" hidden="1" xr:uid="{00000000-0005-0000-0000-0000E3410000}"/>
    <cellStyle name="Followed Hyperlink 3" xfId="17853" hidden="1" xr:uid="{00000000-0005-0000-0000-0000E4410000}"/>
    <cellStyle name="Followed Hyperlink 3" xfId="17855" hidden="1" xr:uid="{00000000-0005-0000-0000-0000E5410000}"/>
    <cellStyle name="Followed Hyperlink 3" xfId="17851" hidden="1" xr:uid="{00000000-0005-0000-0000-0000E6410000}"/>
    <cellStyle name="Followed Hyperlink 3" xfId="17850" hidden="1" xr:uid="{00000000-0005-0000-0000-0000E7410000}"/>
    <cellStyle name="Followed Hyperlink 3" xfId="17856" hidden="1" xr:uid="{00000000-0005-0000-0000-0000E8410000}"/>
    <cellStyle name="Followed Hyperlink 3" xfId="17859" hidden="1" xr:uid="{00000000-0005-0000-0000-0000E9410000}"/>
    <cellStyle name="Followed Hyperlink 3" xfId="17862" hidden="1" xr:uid="{00000000-0005-0000-0000-0000EA410000}"/>
    <cellStyle name="Followed Hyperlink 3" xfId="17867" hidden="1" xr:uid="{00000000-0005-0000-0000-0000EB410000}"/>
    <cellStyle name="Followed Hyperlink 3" xfId="17878" hidden="1" xr:uid="{00000000-0005-0000-0000-0000EC410000}"/>
    <cellStyle name="Followed Hyperlink 3" xfId="17880" hidden="1" xr:uid="{00000000-0005-0000-0000-0000ED410000}"/>
    <cellStyle name="Followed Hyperlink 3" xfId="17876" hidden="1" xr:uid="{00000000-0005-0000-0000-0000EE410000}"/>
    <cellStyle name="Followed Hyperlink 3" xfId="17875" hidden="1" xr:uid="{00000000-0005-0000-0000-0000EF410000}"/>
    <cellStyle name="Followed Hyperlink 3" xfId="17881" hidden="1" xr:uid="{00000000-0005-0000-0000-0000F0410000}"/>
    <cellStyle name="Followed Hyperlink 3" xfId="17884" hidden="1" xr:uid="{00000000-0005-0000-0000-0000F1410000}"/>
    <cellStyle name="Followed Hyperlink 3" xfId="17887" hidden="1" xr:uid="{00000000-0005-0000-0000-0000F2410000}"/>
    <cellStyle name="Followed Hyperlink 3" xfId="17892" hidden="1" xr:uid="{00000000-0005-0000-0000-0000F3410000}"/>
    <cellStyle name="Followed Hyperlink 3" xfId="17902" hidden="1" xr:uid="{00000000-0005-0000-0000-0000F4410000}"/>
    <cellStyle name="Followed Hyperlink 3" xfId="17904" hidden="1" xr:uid="{00000000-0005-0000-0000-0000F5410000}"/>
    <cellStyle name="Followed Hyperlink 3" xfId="17900" hidden="1" xr:uid="{00000000-0005-0000-0000-0000F6410000}"/>
    <cellStyle name="Followed Hyperlink 3" xfId="17899" hidden="1" xr:uid="{00000000-0005-0000-0000-0000F7410000}"/>
    <cellStyle name="Followed Hyperlink 3" xfId="17905" hidden="1" xr:uid="{00000000-0005-0000-0000-0000F8410000}"/>
    <cellStyle name="Followed Hyperlink 3" xfId="17908" hidden="1" xr:uid="{00000000-0005-0000-0000-0000F9410000}"/>
    <cellStyle name="Followed Hyperlink 3" xfId="17911" hidden="1" xr:uid="{00000000-0005-0000-0000-0000FA410000}"/>
    <cellStyle name="Followed Hyperlink 3" xfId="17916" hidden="1" xr:uid="{00000000-0005-0000-0000-0000FB410000}"/>
    <cellStyle name="Followed Hyperlink 3" xfId="17727" hidden="1" xr:uid="{00000000-0005-0000-0000-0000FC410000}"/>
    <cellStyle name="Followed Hyperlink 3" xfId="17870" hidden="1" xr:uid="{00000000-0005-0000-0000-0000FD410000}"/>
    <cellStyle name="Followed Hyperlink 3" xfId="17724" hidden="1" xr:uid="{00000000-0005-0000-0000-0000FE410000}"/>
    <cellStyle name="Followed Hyperlink 3" xfId="17716" hidden="1" xr:uid="{00000000-0005-0000-0000-0000FF410000}"/>
    <cellStyle name="Followed Hyperlink 3" xfId="17721" hidden="1" xr:uid="{00000000-0005-0000-0000-000000420000}"/>
    <cellStyle name="Followed Hyperlink 3" xfId="17921" hidden="1" xr:uid="{00000000-0005-0000-0000-000001420000}"/>
    <cellStyle name="Followed Hyperlink 3" xfId="17924" hidden="1" xr:uid="{00000000-0005-0000-0000-000002420000}"/>
    <cellStyle name="Followed Hyperlink 3" xfId="17929" hidden="1" xr:uid="{00000000-0005-0000-0000-000003420000}"/>
    <cellStyle name="Followed Hyperlink 3" xfId="17939" hidden="1" xr:uid="{00000000-0005-0000-0000-000004420000}"/>
    <cellStyle name="Followed Hyperlink 3" xfId="17941" hidden="1" xr:uid="{00000000-0005-0000-0000-000005420000}"/>
    <cellStyle name="Followed Hyperlink 3" xfId="17937" hidden="1" xr:uid="{00000000-0005-0000-0000-000006420000}"/>
    <cellStyle name="Followed Hyperlink 3" xfId="17936" hidden="1" xr:uid="{00000000-0005-0000-0000-000007420000}"/>
    <cellStyle name="Followed Hyperlink 3" xfId="17942" hidden="1" xr:uid="{00000000-0005-0000-0000-000008420000}"/>
    <cellStyle name="Followed Hyperlink 3" xfId="17945" hidden="1" xr:uid="{00000000-0005-0000-0000-000009420000}"/>
    <cellStyle name="Followed Hyperlink 3" xfId="17948" hidden="1" xr:uid="{00000000-0005-0000-0000-00000A420000}"/>
    <cellStyle name="Followed Hyperlink 3" xfId="17953" hidden="1" xr:uid="{00000000-0005-0000-0000-00000B420000}"/>
    <cellStyle name="Followed Hyperlink 3" xfId="17964" hidden="1" xr:uid="{00000000-0005-0000-0000-00000C420000}"/>
    <cellStyle name="Followed Hyperlink 3" xfId="17966" hidden="1" xr:uid="{00000000-0005-0000-0000-00000D420000}"/>
    <cellStyle name="Followed Hyperlink 3" xfId="17962" hidden="1" xr:uid="{00000000-0005-0000-0000-00000E420000}"/>
    <cellStyle name="Followed Hyperlink 3" xfId="17961" hidden="1" xr:uid="{00000000-0005-0000-0000-00000F420000}"/>
    <cellStyle name="Followed Hyperlink 3" xfId="17967" hidden="1" xr:uid="{00000000-0005-0000-0000-000010420000}"/>
    <cellStyle name="Followed Hyperlink 3" xfId="17970" hidden="1" xr:uid="{00000000-0005-0000-0000-000011420000}"/>
    <cellStyle name="Followed Hyperlink 3" xfId="17973" hidden="1" xr:uid="{00000000-0005-0000-0000-000012420000}"/>
    <cellStyle name="Followed Hyperlink 3" xfId="17978" hidden="1" xr:uid="{00000000-0005-0000-0000-000013420000}"/>
    <cellStyle name="Followed Hyperlink 3" xfId="17988" hidden="1" xr:uid="{00000000-0005-0000-0000-000014420000}"/>
    <cellStyle name="Followed Hyperlink 3" xfId="17990" hidden="1" xr:uid="{00000000-0005-0000-0000-000015420000}"/>
    <cellStyle name="Followed Hyperlink 3" xfId="17986" hidden="1" xr:uid="{00000000-0005-0000-0000-000016420000}"/>
    <cellStyle name="Followed Hyperlink 3" xfId="17985" hidden="1" xr:uid="{00000000-0005-0000-0000-000017420000}"/>
    <cellStyle name="Followed Hyperlink 3" xfId="17991" hidden="1" xr:uid="{00000000-0005-0000-0000-000018420000}"/>
    <cellStyle name="Followed Hyperlink 3" xfId="17994" hidden="1" xr:uid="{00000000-0005-0000-0000-000019420000}"/>
    <cellStyle name="Followed Hyperlink 3" xfId="17997" hidden="1" xr:uid="{00000000-0005-0000-0000-00001A420000}"/>
    <cellStyle name="Followed Hyperlink 3" xfId="18002" hidden="1" xr:uid="{00000000-0005-0000-0000-00001B420000}"/>
    <cellStyle name="Followed Hyperlink 3" xfId="17732" hidden="1" xr:uid="{00000000-0005-0000-0000-00001C420000}"/>
    <cellStyle name="Followed Hyperlink 3" xfId="17956" hidden="1" xr:uid="{00000000-0005-0000-0000-00001D420000}"/>
    <cellStyle name="Followed Hyperlink 3" xfId="17728" hidden="1" xr:uid="{00000000-0005-0000-0000-00001E420000}"/>
    <cellStyle name="Followed Hyperlink 3" xfId="17733" hidden="1" xr:uid="{00000000-0005-0000-0000-00001F420000}"/>
    <cellStyle name="Followed Hyperlink 3" xfId="17720" hidden="1" xr:uid="{00000000-0005-0000-0000-000020420000}"/>
    <cellStyle name="Followed Hyperlink 3" xfId="18007" hidden="1" xr:uid="{00000000-0005-0000-0000-000021420000}"/>
    <cellStyle name="Followed Hyperlink 3" xfId="18010" hidden="1" xr:uid="{00000000-0005-0000-0000-000022420000}"/>
    <cellStyle name="Followed Hyperlink 3" xfId="18015" hidden="1" xr:uid="{00000000-0005-0000-0000-000023420000}"/>
    <cellStyle name="Followed Hyperlink 3" xfId="18025" hidden="1" xr:uid="{00000000-0005-0000-0000-000024420000}"/>
    <cellStyle name="Followed Hyperlink 3" xfId="18027" hidden="1" xr:uid="{00000000-0005-0000-0000-000025420000}"/>
    <cellStyle name="Followed Hyperlink 3" xfId="18023" hidden="1" xr:uid="{00000000-0005-0000-0000-000026420000}"/>
    <cellStyle name="Followed Hyperlink 3" xfId="18022" hidden="1" xr:uid="{00000000-0005-0000-0000-000027420000}"/>
    <cellStyle name="Followed Hyperlink 3" xfId="18028" hidden="1" xr:uid="{00000000-0005-0000-0000-000028420000}"/>
    <cellStyle name="Followed Hyperlink 3" xfId="18031" hidden="1" xr:uid="{00000000-0005-0000-0000-000029420000}"/>
    <cellStyle name="Followed Hyperlink 3" xfId="18034" hidden="1" xr:uid="{00000000-0005-0000-0000-00002A420000}"/>
    <cellStyle name="Followed Hyperlink 3" xfId="18039" hidden="1" xr:uid="{00000000-0005-0000-0000-00002B420000}"/>
    <cellStyle name="Followed Hyperlink 3" xfId="18049" hidden="1" xr:uid="{00000000-0005-0000-0000-00002C420000}"/>
    <cellStyle name="Followed Hyperlink 3" xfId="18051" hidden="1" xr:uid="{00000000-0005-0000-0000-00002D420000}"/>
    <cellStyle name="Followed Hyperlink 3" xfId="18047" hidden="1" xr:uid="{00000000-0005-0000-0000-00002E420000}"/>
    <cellStyle name="Followed Hyperlink 3" xfId="18046" hidden="1" xr:uid="{00000000-0005-0000-0000-00002F420000}"/>
    <cellStyle name="Followed Hyperlink 3" xfId="18052" hidden="1" xr:uid="{00000000-0005-0000-0000-000030420000}"/>
    <cellStyle name="Followed Hyperlink 3" xfId="18055" hidden="1" xr:uid="{00000000-0005-0000-0000-000031420000}"/>
    <cellStyle name="Followed Hyperlink 3" xfId="18058" hidden="1" xr:uid="{00000000-0005-0000-0000-000032420000}"/>
    <cellStyle name="Followed Hyperlink 3" xfId="18063" hidden="1" xr:uid="{00000000-0005-0000-0000-000033420000}"/>
    <cellStyle name="Followed Hyperlink 3" xfId="18073" hidden="1" xr:uid="{00000000-0005-0000-0000-000034420000}"/>
    <cellStyle name="Followed Hyperlink 3" xfId="18075" hidden="1" xr:uid="{00000000-0005-0000-0000-000035420000}"/>
    <cellStyle name="Followed Hyperlink 3" xfId="18071" hidden="1" xr:uid="{00000000-0005-0000-0000-000036420000}"/>
    <cellStyle name="Followed Hyperlink 3" xfId="18070" hidden="1" xr:uid="{00000000-0005-0000-0000-000037420000}"/>
    <cellStyle name="Followed Hyperlink 3" xfId="18076" hidden="1" xr:uid="{00000000-0005-0000-0000-000038420000}"/>
    <cellStyle name="Followed Hyperlink 3" xfId="18079" hidden="1" xr:uid="{00000000-0005-0000-0000-000039420000}"/>
    <cellStyle name="Followed Hyperlink 3" xfId="18082" hidden="1" xr:uid="{00000000-0005-0000-0000-00003A420000}"/>
    <cellStyle name="Followed Hyperlink 3" xfId="18087" hidden="1" xr:uid="{00000000-0005-0000-0000-00003B420000}"/>
    <cellStyle name="Followed Hyperlink 3" xfId="17130" hidden="1" xr:uid="{00000000-0005-0000-0000-00003C420000}"/>
    <cellStyle name="Followed Hyperlink 3" xfId="17657" hidden="1" xr:uid="{00000000-0005-0000-0000-00003D420000}"/>
    <cellStyle name="Followed Hyperlink 3" xfId="17127" hidden="1" xr:uid="{00000000-0005-0000-0000-00003E420000}"/>
    <cellStyle name="Followed Hyperlink 3" xfId="17119" hidden="1" xr:uid="{00000000-0005-0000-0000-00003F420000}"/>
    <cellStyle name="Followed Hyperlink 3" xfId="17124" hidden="1" xr:uid="{00000000-0005-0000-0000-000040420000}"/>
    <cellStyle name="Followed Hyperlink 3" xfId="18092" hidden="1" xr:uid="{00000000-0005-0000-0000-000041420000}"/>
    <cellStyle name="Followed Hyperlink 3" xfId="18095" hidden="1" xr:uid="{00000000-0005-0000-0000-000042420000}"/>
    <cellStyle name="Followed Hyperlink 3" xfId="18100" hidden="1" xr:uid="{00000000-0005-0000-0000-000043420000}"/>
    <cellStyle name="Followed Hyperlink 3" xfId="18110" hidden="1" xr:uid="{00000000-0005-0000-0000-000044420000}"/>
    <cellStyle name="Followed Hyperlink 3" xfId="18112" hidden="1" xr:uid="{00000000-0005-0000-0000-000045420000}"/>
    <cellStyle name="Followed Hyperlink 3" xfId="18108" hidden="1" xr:uid="{00000000-0005-0000-0000-000046420000}"/>
    <cellStyle name="Followed Hyperlink 3" xfId="18107" hidden="1" xr:uid="{00000000-0005-0000-0000-000047420000}"/>
    <cellStyle name="Followed Hyperlink 3" xfId="18113" hidden="1" xr:uid="{00000000-0005-0000-0000-000048420000}"/>
    <cellStyle name="Followed Hyperlink 3" xfId="18116" hidden="1" xr:uid="{00000000-0005-0000-0000-000049420000}"/>
    <cellStyle name="Followed Hyperlink 3" xfId="18119" hidden="1" xr:uid="{00000000-0005-0000-0000-00004A420000}"/>
    <cellStyle name="Followed Hyperlink 3" xfId="18124" hidden="1" xr:uid="{00000000-0005-0000-0000-00004B420000}"/>
    <cellStyle name="Followed Hyperlink 3" xfId="18135" hidden="1" xr:uid="{00000000-0005-0000-0000-00004C420000}"/>
    <cellStyle name="Followed Hyperlink 3" xfId="18137" hidden="1" xr:uid="{00000000-0005-0000-0000-00004D420000}"/>
    <cellStyle name="Followed Hyperlink 3" xfId="18133" hidden="1" xr:uid="{00000000-0005-0000-0000-00004E420000}"/>
    <cellStyle name="Followed Hyperlink 3" xfId="18132" hidden="1" xr:uid="{00000000-0005-0000-0000-00004F420000}"/>
    <cellStyle name="Followed Hyperlink 3" xfId="18138" hidden="1" xr:uid="{00000000-0005-0000-0000-000050420000}"/>
    <cellStyle name="Followed Hyperlink 3" xfId="18141" hidden="1" xr:uid="{00000000-0005-0000-0000-000051420000}"/>
    <cellStyle name="Followed Hyperlink 3" xfId="18144" hidden="1" xr:uid="{00000000-0005-0000-0000-000052420000}"/>
    <cellStyle name="Followed Hyperlink 3" xfId="18149" hidden="1" xr:uid="{00000000-0005-0000-0000-000053420000}"/>
    <cellStyle name="Followed Hyperlink 3" xfId="18159" hidden="1" xr:uid="{00000000-0005-0000-0000-000054420000}"/>
    <cellStyle name="Followed Hyperlink 3" xfId="18161" hidden="1" xr:uid="{00000000-0005-0000-0000-000055420000}"/>
    <cellStyle name="Followed Hyperlink 3" xfId="18157" hidden="1" xr:uid="{00000000-0005-0000-0000-000056420000}"/>
    <cellStyle name="Followed Hyperlink 3" xfId="18156" hidden="1" xr:uid="{00000000-0005-0000-0000-000057420000}"/>
    <cellStyle name="Followed Hyperlink 3" xfId="18162" hidden="1" xr:uid="{00000000-0005-0000-0000-000058420000}"/>
    <cellStyle name="Followed Hyperlink 3" xfId="18165" hidden="1" xr:uid="{00000000-0005-0000-0000-000059420000}"/>
    <cellStyle name="Followed Hyperlink 3" xfId="18168" hidden="1" xr:uid="{00000000-0005-0000-0000-00005A420000}"/>
    <cellStyle name="Followed Hyperlink 3" xfId="18173" hidden="1" xr:uid="{00000000-0005-0000-0000-00005B420000}"/>
    <cellStyle name="Followed Hyperlink 3" xfId="18212" hidden="1" xr:uid="{00000000-0005-0000-0000-00005C420000}"/>
    <cellStyle name="Followed Hyperlink 3" xfId="18214" hidden="1" xr:uid="{00000000-0005-0000-0000-00005D420000}"/>
    <cellStyle name="Followed Hyperlink 3" xfId="18210" hidden="1" xr:uid="{00000000-0005-0000-0000-00005E420000}"/>
    <cellStyle name="Followed Hyperlink 3" xfId="18209" hidden="1" xr:uid="{00000000-0005-0000-0000-00005F420000}"/>
    <cellStyle name="Followed Hyperlink 3" xfId="18215" hidden="1" xr:uid="{00000000-0005-0000-0000-000060420000}"/>
    <cellStyle name="Followed Hyperlink 3" xfId="18218" hidden="1" xr:uid="{00000000-0005-0000-0000-000061420000}"/>
    <cellStyle name="Followed Hyperlink 3" xfId="18221" hidden="1" xr:uid="{00000000-0005-0000-0000-000062420000}"/>
    <cellStyle name="Followed Hyperlink 3" xfId="18226" hidden="1" xr:uid="{00000000-0005-0000-0000-000063420000}"/>
    <cellStyle name="Followed Hyperlink 3" xfId="18236" hidden="1" xr:uid="{00000000-0005-0000-0000-000064420000}"/>
    <cellStyle name="Followed Hyperlink 3" xfId="18238" hidden="1" xr:uid="{00000000-0005-0000-0000-000065420000}"/>
    <cellStyle name="Followed Hyperlink 3" xfId="18234" hidden="1" xr:uid="{00000000-0005-0000-0000-000066420000}"/>
    <cellStyle name="Followed Hyperlink 3" xfId="18233" hidden="1" xr:uid="{00000000-0005-0000-0000-000067420000}"/>
    <cellStyle name="Followed Hyperlink 3" xfId="18239" hidden="1" xr:uid="{00000000-0005-0000-0000-000068420000}"/>
    <cellStyle name="Followed Hyperlink 3" xfId="18242" hidden="1" xr:uid="{00000000-0005-0000-0000-000069420000}"/>
    <cellStyle name="Followed Hyperlink 3" xfId="18245" hidden="1" xr:uid="{00000000-0005-0000-0000-00006A420000}"/>
    <cellStyle name="Followed Hyperlink 3" xfId="18250" hidden="1" xr:uid="{00000000-0005-0000-0000-00006B420000}"/>
    <cellStyle name="Followed Hyperlink 3" xfId="18262" hidden="1" xr:uid="{00000000-0005-0000-0000-00006C420000}"/>
    <cellStyle name="Followed Hyperlink 3" xfId="18264" hidden="1" xr:uid="{00000000-0005-0000-0000-00006D420000}"/>
    <cellStyle name="Followed Hyperlink 3" xfId="18260" hidden="1" xr:uid="{00000000-0005-0000-0000-00006E420000}"/>
    <cellStyle name="Followed Hyperlink 3" xfId="18259" hidden="1" xr:uid="{00000000-0005-0000-0000-00006F420000}"/>
    <cellStyle name="Followed Hyperlink 3" xfId="18265" hidden="1" xr:uid="{00000000-0005-0000-0000-000070420000}"/>
    <cellStyle name="Followed Hyperlink 3" xfId="18268" hidden="1" xr:uid="{00000000-0005-0000-0000-000071420000}"/>
    <cellStyle name="Followed Hyperlink 3" xfId="18271" hidden="1" xr:uid="{00000000-0005-0000-0000-000072420000}"/>
    <cellStyle name="Followed Hyperlink 3" xfId="18276" hidden="1" xr:uid="{00000000-0005-0000-0000-000073420000}"/>
    <cellStyle name="Followed Hyperlink 3" xfId="18286" hidden="1" xr:uid="{00000000-0005-0000-0000-000074420000}"/>
    <cellStyle name="Followed Hyperlink 3" xfId="18288" hidden="1" xr:uid="{00000000-0005-0000-0000-000075420000}"/>
    <cellStyle name="Followed Hyperlink 3" xfId="18284" hidden="1" xr:uid="{00000000-0005-0000-0000-000076420000}"/>
    <cellStyle name="Followed Hyperlink 3" xfId="18283" hidden="1" xr:uid="{00000000-0005-0000-0000-000077420000}"/>
    <cellStyle name="Followed Hyperlink 3" xfId="18289" hidden="1" xr:uid="{00000000-0005-0000-0000-000078420000}"/>
    <cellStyle name="Followed Hyperlink 3" xfId="18292" hidden="1" xr:uid="{00000000-0005-0000-0000-000079420000}"/>
    <cellStyle name="Followed Hyperlink 3" xfId="18295" hidden="1" xr:uid="{00000000-0005-0000-0000-00007A420000}"/>
    <cellStyle name="Followed Hyperlink 3" xfId="18300" hidden="1" xr:uid="{00000000-0005-0000-0000-00007B420000}"/>
    <cellStyle name="Followed Hyperlink 3" xfId="18176" hidden="1" xr:uid="{00000000-0005-0000-0000-00007C420000}"/>
    <cellStyle name="Followed Hyperlink 3" xfId="18253" hidden="1" xr:uid="{00000000-0005-0000-0000-00007D420000}"/>
    <cellStyle name="Followed Hyperlink 3" xfId="18180" hidden="1" xr:uid="{00000000-0005-0000-0000-00007E420000}"/>
    <cellStyle name="Followed Hyperlink 3" xfId="18181" hidden="1" xr:uid="{00000000-0005-0000-0000-00007F420000}"/>
    <cellStyle name="Followed Hyperlink 3" xfId="18184" hidden="1" xr:uid="{00000000-0005-0000-0000-000080420000}"/>
    <cellStyle name="Followed Hyperlink 3" xfId="18305" hidden="1" xr:uid="{00000000-0005-0000-0000-000081420000}"/>
    <cellStyle name="Followed Hyperlink 3" xfId="18308" hidden="1" xr:uid="{00000000-0005-0000-0000-000082420000}"/>
    <cellStyle name="Followed Hyperlink 3" xfId="18313" hidden="1" xr:uid="{00000000-0005-0000-0000-000083420000}"/>
    <cellStyle name="Followed Hyperlink 3" xfId="18323" hidden="1" xr:uid="{00000000-0005-0000-0000-000084420000}"/>
    <cellStyle name="Followed Hyperlink 3" xfId="18325" hidden="1" xr:uid="{00000000-0005-0000-0000-000085420000}"/>
    <cellStyle name="Followed Hyperlink 3" xfId="18321" hidden="1" xr:uid="{00000000-0005-0000-0000-000086420000}"/>
    <cellStyle name="Followed Hyperlink 3" xfId="18320" hidden="1" xr:uid="{00000000-0005-0000-0000-000087420000}"/>
    <cellStyle name="Followed Hyperlink 3" xfId="18326" hidden="1" xr:uid="{00000000-0005-0000-0000-000088420000}"/>
    <cellStyle name="Followed Hyperlink 3" xfId="18329" hidden="1" xr:uid="{00000000-0005-0000-0000-000089420000}"/>
    <cellStyle name="Followed Hyperlink 3" xfId="18332" hidden="1" xr:uid="{00000000-0005-0000-0000-00008A420000}"/>
    <cellStyle name="Followed Hyperlink 3" xfId="18337" hidden="1" xr:uid="{00000000-0005-0000-0000-00008B420000}"/>
    <cellStyle name="Followed Hyperlink 3" xfId="18348" hidden="1" xr:uid="{00000000-0005-0000-0000-00008C420000}"/>
    <cellStyle name="Followed Hyperlink 3" xfId="18350" hidden="1" xr:uid="{00000000-0005-0000-0000-00008D420000}"/>
    <cellStyle name="Followed Hyperlink 3" xfId="18346" hidden="1" xr:uid="{00000000-0005-0000-0000-00008E420000}"/>
    <cellStyle name="Followed Hyperlink 3" xfId="18345" hidden="1" xr:uid="{00000000-0005-0000-0000-00008F420000}"/>
    <cellStyle name="Followed Hyperlink 3" xfId="18351" hidden="1" xr:uid="{00000000-0005-0000-0000-000090420000}"/>
    <cellStyle name="Followed Hyperlink 3" xfId="18354" hidden="1" xr:uid="{00000000-0005-0000-0000-000091420000}"/>
    <cellStyle name="Followed Hyperlink 3" xfId="18357" hidden="1" xr:uid="{00000000-0005-0000-0000-000092420000}"/>
    <cellStyle name="Followed Hyperlink 3" xfId="18362" hidden="1" xr:uid="{00000000-0005-0000-0000-000093420000}"/>
    <cellStyle name="Followed Hyperlink 3" xfId="18372" hidden="1" xr:uid="{00000000-0005-0000-0000-000094420000}"/>
    <cellStyle name="Followed Hyperlink 3" xfId="18374" hidden="1" xr:uid="{00000000-0005-0000-0000-000095420000}"/>
    <cellStyle name="Followed Hyperlink 3" xfId="18370" hidden="1" xr:uid="{00000000-0005-0000-0000-000096420000}"/>
    <cellStyle name="Followed Hyperlink 3" xfId="18369" hidden="1" xr:uid="{00000000-0005-0000-0000-000097420000}"/>
    <cellStyle name="Followed Hyperlink 3" xfId="18375" hidden="1" xr:uid="{00000000-0005-0000-0000-000098420000}"/>
    <cellStyle name="Followed Hyperlink 3" xfId="18378" hidden="1" xr:uid="{00000000-0005-0000-0000-000099420000}"/>
    <cellStyle name="Followed Hyperlink 3" xfId="18381" hidden="1" xr:uid="{00000000-0005-0000-0000-00009A420000}"/>
    <cellStyle name="Followed Hyperlink 3" xfId="18386" hidden="1" xr:uid="{00000000-0005-0000-0000-00009B420000}"/>
    <cellStyle name="Followed Hyperlink 3" xfId="18197" hidden="1" xr:uid="{00000000-0005-0000-0000-00009C420000}"/>
    <cellStyle name="Followed Hyperlink 3" xfId="18340" hidden="1" xr:uid="{00000000-0005-0000-0000-00009D420000}"/>
    <cellStyle name="Followed Hyperlink 3" xfId="18194" hidden="1" xr:uid="{00000000-0005-0000-0000-00009E420000}"/>
    <cellStyle name="Followed Hyperlink 3" xfId="18186" hidden="1" xr:uid="{00000000-0005-0000-0000-00009F420000}"/>
    <cellStyle name="Followed Hyperlink 3" xfId="18191" hidden="1" xr:uid="{00000000-0005-0000-0000-0000A0420000}"/>
    <cellStyle name="Followed Hyperlink 3" xfId="18391" hidden="1" xr:uid="{00000000-0005-0000-0000-0000A1420000}"/>
    <cellStyle name="Followed Hyperlink 3" xfId="18394" hidden="1" xr:uid="{00000000-0005-0000-0000-0000A2420000}"/>
    <cellStyle name="Followed Hyperlink 3" xfId="18399" hidden="1" xr:uid="{00000000-0005-0000-0000-0000A3420000}"/>
    <cellStyle name="Followed Hyperlink 3" xfId="18409" hidden="1" xr:uid="{00000000-0005-0000-0000-0000A4420000}"/>
    <cellStyle name="Followed Hyperlink 3" xfId="18411" hidden="1" xr:uid="{00000000-0005-0000-0000-0000A5420000}"/>
    <cellStyle name="Followed Hyperlink 3" xfId="18407" hidden="1" xr:uid="{00000000-0005-0000-0000-0000A6420000}"/>
    <cellStyle name="Followed Hyperlink 3" xfId="18406" hidden="1" xr:uid="{00000000-0005-0000-0000-0000A7420000}"/>
    <cellStyle name="Followed Hyperlink 3" xfId="18412" hidden="1" xr:uid="{00000000-0005-0000-0000-0000A8420000}"/>
    <cellStyle name="Followed Hyperlink 3" xfId="18415" hidden="1" xr:uid="{00000000-0005-0000-0000-0000A9420000}"/>
    <cellStyle name="Followed Hyperlink 3" xfId="18418" hidden="1" xr:uid="{00000000-0005-0000-0000-0000AA420000}"/>
    <cellStyle name="Followed Hyperlink 3" xfId="18423" hidden="1" xr:uid="{00000000-0005-0000-0000-0000AB420000}"/>
    <cellStyle name="Followed Hyperlink 3" xfId="18434" hidden="1" xr:uid="{00000000-0005-0000-0000-0000AC420000}"/>
    <cellStyle name="Followed Hyperlink 3" xfId="18436" hidden="1" xr:uid="{00000000-0005-0000-0000-0000AD420000}"/>
    <cellStyle name="Followed Hyperlink 3" xfId="18432" hidden="1" xr:uid="{00000000-0005-0000-0000-0000AE420000}"/>
    <cellStyle name="Followed Hyperlink 3" xfId="18431" hidden="1" xr:uid="{00000000-0005-0000-0000-0000AF420000}"/>
    <cellStyle name="Followed Hyperlink 3" xfId="18437" hidden="1" xr:uid="{00000000-0005-0000-0000-0000B0420000}"/>
    <cellStyle name="Followed Hyperlink 3" xfId="18440" hidden="1" xr:uid="{00000000-0005-0000-0000-0000B1420000}"/>
    <cellStyle name="Followed Hyperlink 3" xfId="18443" hidden="1" xr:uid="{00000000-0005-0000-0000-0000B2420000}"/>
    <cellStyle name="Followed Hyperlink 3" xfId="18448" hidden="1" xr:uid="{00000000-0005-0000-0000-0000B3420000}"/>
    <cellStyle name="Followed Hyperlink 3" xfId="18458" hidden="1" xr:uid="{00000000-0005-0000-0000-0000B4420000}"/>
    <cellStyle name="Followed Hyperlink 3" xfId="18460" hidden="1" xr:uid="{00000000-0005-0000-0000-0000B5420000}"/>
    <cellStyle name="Followed Hyperlink 3" xfId="18456" hidden="1" xr:uid="{00000000-0005-0000-0000-0000B6420000}"/>
    <cellStyle name="Followed Hyperlink 3" xfId="18455" hidden="1" xr:uid="{00000000-0005-0000-0000-0000B7420000}"/>
    <cellStyle name="Followed Hyperlink 3" xfId="18461" hidden="1" xr:uid="{00000000-0005-0000-0000-0000B8420000}"/>
    <cellStyle name="Followed Hyperlink 3" xfId="18464" hidden="1" xr:uid="{00000000-0005-0000-0000-0000B9420000}"/>
    <cellStyle name="Followed Hyperlink 3" xfId="18467" hidden="1" xr:uid="{00000000-0005-0000-0000-0000BA420000}"/>
    <cellStyle name="Followed Hyperlink 3" xfId="18472" hidden="1" xr:uid="{00000000-0005-0000-0000-0000BB420000}"/>
    <cellStyle name="Followed Hyperlink 3" xfId="18202" hidden="1" xr:uid="{00000000-0005-0000-0000-0000BC420000}"/>
    <cellStyle name="Followed Hyperlink 3" xfId="18426" hidden="1" xr:uid="{00000000-0005-0000-0000-0000BD420000}"/>
    <cellStyle name="Followed Hyperlink 3" xfId="18198" hidden="1" xr:uid="{00000000-0005-0000-0000-0000BE420000}"/>
    <cellStyle name="Followed Hyperlink 3" xfId="18203" hidden="1" xr:uid="{00000000-0005-0000-0000-0000BF420000}"/>
    <cellStyle name="Followed Hyperlink 3" xfId="18190" hidden="1" xr:uid="{00000000-0005-0000-0000-0000C0420000}"/>
    <cellStyle name="Followed Hyperlink 3" xfId="18477" hidden="1" xr:uid="{00000000-0005-0000-0000-0000C1420000}"/>
    <cellStyle name="Followed Hyperlink 3" xfId="18480" hidden="1" xr:uid="{00000000-0005-0000-0000-0000C2420000}"/>
    <cellStyle name="Followed Hyperlink 3" xfId="18485" hidden="1" xr:uid="{00000000-0005-0000-0000-0000C3420000}"/>
    <cellStyle name="Followed Hyperlink 3" xfId="18495" hidden="1" xr:uid="{00000000-0005-0000-0000-0000C4420000}"/>
    <cellStyle name="Followed Hyperlink 3" xfId="18497" hidden="1" xr:uid="{00000000-0005-0000-0000-0000C5420000}"/>
    <cellStyle name="Followed Hyperlink 3" xfId="18493" hidden="1" xr:uid="{00000000-0005-0000-0000-0000C6420000}"/>
    <cellStyle name="Followed Hyperlink 3" xfId="18492" hidden="1" xr:uid="{00000000-0005-0000-0000-0000C7420000}"/>
    <cellStyle name="Followed Hyperlink 3" xfId="18498" hidden="1" xr:uid="{00000000-0005-0000-0000-0000C8420000}"/>
    <cellStyle name="Followed Hyperlink 3" xfId="18501" hidden="1" xr:uid="{00000000-0005-0000-0000-0000C9420000}"/>
    <cellStyle name="Followed Hyperlink 3" xfId="18504" hidden="1" xr:uid="{00000000-0005-0000-0000-0000CA420000}"/>
    <cellStyle name="Followed Hyperlink 3" xfId="18509" hidden="1" xr:uid="{00000000-0005-0000-0000-0000CB420000}"/>
    <cellStyle name="Followed Hyperlink 3" xfId="18519" hidden="1" xr:uid="{00000000-0005-0000-0000-0000CC420000}"/>
    <cellStyle name="Followed Hyperlink 3" xfId="18521" hidden="1" xr:uid="{00000000-0005-0000-0000-0000CD420000}"/>
    <cellStyle name="Followed Hyperlink 3" xfId="18517" hidden="1" xr:uid="{00000000-0005-0000-0000-0000CE420000}"/>
    <cellStyle name="Followed Hyperlink 3" xfId="18516" hidden="1" xr:uid="{00000000-0005-0000-0000-0000CF420000}"/>
    <cellStyle name="Followed Hyperlink 3" xfId="18522" hidden="1" xr:uid="{00000000-0005-0000-0000-0000D0420000}"/>
    <cellStyle name="Followed Hyperlink 3" xfId="18525" hidden="1" xr:uid="{00000000-0005-0000-0000-0000D1420000}"/>
    <cellStyle name="Followed Hyperlink 3" xfId="18528" hidden="1" xr:uid="{00000000-0005-0000-0000-0000D2420000}"/>
    <cellStyle name="Followed Hyperlink 3" xfId="18533" hidden="1" xr:uid="{00000000-0005-0000-0000-0000D3420000}"/>
    <cellStyle name="Followed Hyperlink 3" xfId="18543" hidden="1" xr:uid="{00000000-0005-0000-0000-0000D4420000}"/>
    <cellStyle name="Followed Hyperlink 3" xfId="18545" hidden="1" xr:uid="{00000000-0005-0000-0000-0000D5420000}"/>
    <cellStyle name="Followed Hyperlink 3" xfId="18541" hidden="1" xr:uid="{00000000-0005-0000-0000-0000D6420000}"/>
    <cellStyle name="Followed Hyperlink 3" xfId="18540" hidden="1" xr:uid="{00000000-0005-0000-0000-0000D7420000}"/>
    <cellStyle name="Followed Hyperlink 3" xfId="18546" hidden="1" xr:uid="{00000000-0005-0000-0000-0000D8420000}"/>
    <cellStyle name="Followed Hyperlink 3" xfId="18549" hidden="1" xr:uid="{00000000-0005-0000-0000-0000D9420000}"/>
    <cellStyle name="Followed Hyperlink 3" xfId="18552" hidden="1" xr:uid="{00000000-0005-0000-0000-0000DA420000}"/>
    <cellStyle name="Followed Hyperlink 3" xfId="18557" hidden="1" xr:uid="{00000000-0005-0000-0000-0000DB420000}"/>
    <cellStyle name="Followed Hyperlink 3" xfId="17135" hidden="1" xr:uid="{00000000-0005-0000-0000-0000DC420000}"/>
    <cellStyle name="Followed Hyperlink 3" xfId="18127" hidden="1" xr:uid="{00000000-0005-0000-0000-0000DD420000}"/>
    <cellStyle name="Followed Hyperlink 3" xfId="17131" hidden="1" xr:uid="{00000000-0005-0000-0000-0000DE420000}"/>
    <cellStyle name="Followed Hyperlink 3" xfId="17136" hidden="1" xr:uid="{00000000-0005-0000-0000-0000DF420000}"/>
    <cellStyle name="Followed Hyperlink 3" xfId="17123" hidden="1" xr:uid="{00000000-0005-0000-0000-0000E0420000}"/>
    <cellStyle name="Followed Hyperlink 3" xfId="18562" hidden="1" xr:uid="{00000000-0005-0000-0000-0000E1420000}"/>
    <cellStyle name="Followed Hyperlink 3" xfId="18565" hidden="1" xr:uid="{00000000-0005-0000-0000-0000E2420000}"/>
    <cellStyle name="Followed Hyperlink 3" xfId="18570" hidden="1" xr:uid="{00000000-0005-0000-0000-0000E3420000}"/>
    <cellStyle name="Followed Hyperlink 3" xfId="18580" hidden="1" xr:uid="{00000000-0005-0000-0000-0000E4420000}"/>
    <cellStyle name="Followed Hyperlink 3" xfId="18582" hidden="1" xr:uid="{00000000-0005-0000-0000-0000E5420000}"/>
    <cellStyle name="Followed Hyperlink 3" xfId="18578" hidden="1" xr:uid="{00000000-0005-0000-0000-0000E6420000}"/>
    <cellStyle name="Followed Hyperlink 3" xfId="18577" hidden="1" xr:uid="{00000000-0005-0000-0000-0000E7420000}"/>
    <cellStyle name="Followed Hyperlink 3" xfId="18583" hidden="1" xr:uid="{00000000-0005-0000-0000-0000E8420000}"/>
    <cellStyle name="Followed Hyperlink 3" xfId="18586" hidden="1" xr:uid="{00000000-0005-0000-0000-0000E9420000}"/>
    <cellStyle name="Followed Hyperlink 3" xfId="18589" hidden="1" xr:uid="{00000000-0005-0000-0000-0000EA420000}"/>
    <cellStyle name="Followed Hyperlink 3" xfId="18594" hidden="1" xr:uid="{00000000-0005-0000-0000-0000EB420000}"/>
    <cellStyle name="Followed Hyperlink 3" xfId="18604" hidden="1" xr:uid="{00000000-0005-0000-0000-0000EC420000}"/>
    <cellStyle name="Followed Hyperlink 3" xfId="18606" hidden="1" xr:uid="{00000000-0005-0000-0000-0000ED420000}"/>
    <cellStyle name="Followed Hyperlink 3" xfId="18602" hidden="1" xr:uid="{00000000-0005-0000-0000-0000EE420000}"/>
    <cellStyle name="Followed Hyperlink 3" xfId="18601" hidden="1" xr:uid="{00000000-0005-0000-0000-0000EF420000}"/>
    <cellStyle name="Followed Hyperlink 3" xfId="18607" hidden="1" xr:uid="{00000000-0005-0000-0000-0000F0420000}"/>
    <cellStyle name="Followed Hyperlink 3" xfId="18610" hidden="1" xr:uid="{00000000-0005-0000-0000-0000F1420000}"/>
    <cellStyle name="Followed Hyperlink 3" xfId="18613" hidden="1" xr:uid="{00000000-0005-0000-0000-0000F2420000}"/>
    <cellStyle name="Followed Hyperlink 3" xfId="18618" hidden="1" xr:uid="{00000000-0005-0000-0000-0000F3420000}"/>
    <cellStyle name="Followed Hyperlink 3" xfId="18628" hidden="1" xr:uid="{00000000-0005-0000-0000-0000F4420000}"/>
    <cellStyle name="Followed Hyperlink 3" xfId="18630" hidden="1" xr:uid="{00000000-0005-0000-0000-0000F5420000}"/>
    <cellStyle name="Followed Hyperlink 3" xfId="18626" hidden="1" xr:uid="{00000000-0005-0000-0000-0000F6420000}"/>
    <cellStyle name="Followed Hyperlink 3" xfId="18625" hidden="1" xr:uid="{00000000-0005-0000-0000-0000F7420000}"/>
    <cellStyle name="Followed Hyperlink 3" xfId="18631" hidden="1" xr:uid="{00000000-0005-0000-0000-0000F8420000}"/>
    <cellStyle name="Followed Hyperlink 3" xfId="18634" hidden="1" xr:uid="{00000000-0005-0000-0000-0000F9420000}"/>
    <cellStyle name="Followed Hyperlink 3" xfId="18637" hidden="1" xr:uid="{00000000-0005-0000-0000-0000FA420000}"/>
    <cellStyle name="Followed Hyperlink 3" xfId="18642" hidden="1" xr:uid="{00000000-0005-0000-0000-0000FB420000}"/>
    <cellStyle name="Followed Hyperlink 3" xfId="18681" hidden="1" xr:uid="{00000000-0005-0000-0000-0000FC420000}"/>
    <cellStyle name="Followed Hyperlink 3" xfId="18683" hidden="1" xr:uid="{00000000-0005-0000-0000-0000FD420000}"/>
    <cellStyle name="Followed Hyperlink 3" xfId="18679" hidden="1" xr:uid="{00000000-0005-0000-0000-0000FE420000}"/>
    <cellStyle name="Followed Hyperlink 3" xfId="18678" hidden="1" xr:uid="{00000000-0005-0000-0000-0000FF420000}"/>
    <cellStyle name="Followed Hyperlink 3" xfId="18684" hidden="1" xr:uid="{00000000-0005-0000-0000-000000430000}"/>
    <cellStyle name="Followed Hyperlink 3" xfId="18687" hidden="1" xr:uid="{00000000-0005-0000-0000-000001430000}"/>
    <cellStyle name="Followed Hyperlink 3" xfId="18690" hidden="1" xr:uid="{00000000-0005-0000-0000-000002430000}"/>
    <cellStyle name="Followed Hyperlink 3" xfId="18695" hidden="1" xr:uid="{00000000-0005-0000-0000-000003430000}"/>
    <cellStyle name="Followed Hyperlink 3" xfId="18705" hidden="1" xr:uid="{00000000-0005-0000-0000-000004430000}"/>
    <cellStyle name="Followed Hyperlink 3" xfId="18707" hidden="1" xr:uid="{00000000-0005-0000-0000-000005430000}"/>
    <cellStyle name="Followed Hyperlink 3" xfId="18703" hidden="1" xr:uid="{00000000-0005-0000-0000-000006430000}"/>
    <cellStyle name="Followed Hyperlink 3" xfId="18702" hidden="1" xr:uid="{00000000-0005-0000-0000-000007430000}"/>
    <cellStyle name="Followed Hyperlink 3" xfId="18708" hidden="1" xr:uid="{00000000-0005-0000-0000-000008430000}"/>
    <cellStyle name="Followed Hyperlink 3" xfId="18711" hidden="1" xr:uid="{00000000-0005-0000-0000-000009430000}"/>
    <cellStyle name="Followed Hyperlink 3" xfId="18714" hidden="1" xr:uid="{00000000-0005-0000-0000-00000A430000}"/>
    <cellStyle name="Followed Hyperlink 3" xfId="18719" hidden="1" xr:uid="{00000000-0005-0000-0000-00000B430000}"/>
    <cellStyle name="Followed Hyperlink 3" xfId="18731" hidden="1" xr:uid="{00000000-0005-0000-0000-00000C430000}"/>
    <cellStyle name="Followed Hyperlink 3" xfId="18733" hidden="1" xr:uid="{00000000-0005-0000-0000-00000D430000}"/>
    <cellStyle name="Followed Hyperlink 3" xfId="18729" hidden="1" xr:uid="{00000000-0005-0000-0000-00000E430000}"/>
    <cellStyle name="Followed Hyperlink 3" xfId="18728" hidden="1" xr:uid="{00000000-0005-0000-0000-00000F430000}"/>
    <cellStyle name="Followed Hyperlink 3" xfId="18734" hidden="1" xr:uid="{00000000-0005-0000-0000-000010430000}"/>
    <cellStyle name="Followed Hyperlink 3" xfId="18737" hidden="1" xr:uid="{00000000-0005-0000-0000-000011430000}"/>
    <cellStyle name="Followed Hyperlink 3" xfId="18740" hidden="1" xr:uid="{00000000-0005-0000-0000-000012430000}"/>
    <cellStyle name="Followed Hyperlink 3" xfId="18745" hidden="1" xr:uid="{00000000-0005-0000-0000-000013430000}"/>
    <cellStyle name="Followed Hyperlink 3" xfId="18755" hidden="1" xr:uid="{00000000-0005-0000-0000-000014430000}"/>
    <cellStyle name="Followed Hyperlink 3" xfId="18757" hidden="1" xr:uid="{00000000-0005-0000-0000-000015430000}"/>
    <cellStyle name="Followed Hyperlink 3" xfId="18753" hidden="1" xr:uid="{00000000-0005-0000-0000-000016430000}"/>
    <cellStyle name="Followed Hyperlink 3" xfId="18752" hidden="1" xr:uid="{00000000-0005-0000-0000-000017430000}"/>
    <cellStyle name="Followed Hyperlink 3" xfId="18758" hidden="1" xr:uid="{00000000-0005-0000-0000-000018430000}"/>
    <cellStyle name="Followed Hyperlink 3" xfId="18761" hidden="1" xr:uid="{00000000-0005-0000-0000-000019430000}"/>
    <cellStyle name="Followed Hyperlink 3" xfId="18764" hidden="1" xr:uid="{00000000-0005-0000-0000-00001A430000}"/>
    <cellStyle name="Followed Hyperlink 3" xfId="18769" hidden="1" xr:uid="{00000000-0005-0000-0000-00001B430000}"/>
    <cellStyle name="Followed Hyperlink 3" xfId="18645" hidden="1" xr:uid="{00000000-0005-0000-0000-00001C430000}"/>
    <cellStyle name="Followed Hyperlink 3" xfId="18722" hidden="1" xr:uid="{00000000-0005-0000-0000-00001D430000}"/>
    <cellStyle name="Followed Hyperlink 3" xfId="18649" hidden="1" xr:uid="{00000000-0005-0000-0000-00001E430000}"/>
    <cellStyle name="Followed Hyperlink 3" xfId="18650" hidden="1" xr:uid="{00000000-0005-0000-0000-00001F430000}"/>
    <cellStyle name="Followed Hyperlink 3" xfId="18653" hidden="1" xr:uid="{00000000-0005-0000-0000-000020430000}"/>
    <cellStyle name="Followed Hyperlink 3" xfId="18774" hidden="1" xr:uid="{00000000-0005-0000-0000-000021430000}"/>
    <cellStyle name="Followed Hyperlink 3" xfId="18777" hidden="1" xr:uid="{00000000-0005-0000-0000-000022430000}"/>
    <cellStyle name="Followed Hyperlink 3" xfId="18782" hidden="1" xr:uid="{00000000-0005-0000-0000-000023430000}"/>
    <cellStyle name="Followed Hyperlink 3" xfId="18792" hidden="1" xr:uid="{00000000-0005-0000-0000-000024430000}"/>
    <cellStyle name="Followed Hyperlink 3" xfId="18794" hidden="1" xr:uid="{00000000-0005-0000-0000-000025430000}"/>
    <cellStyle name="Followed Hyperlink 3" xfId="18790" hidden="1" xr:uid="{00000000-0005-0000-0000-000026430000}"/>
    <cellStyle name="Followed Hyperlink 3" xfId="18789" hidden="1" xr:uid="{00000000-0005-0000-0000-000027430000}"/>
    <cellStyle name="Followed Hyperlink 3" xfId="18795" hidden="1" xr:uid="{00000000-0005-0000-0000-000028430000}"/>
    <cellStyle name="Followed Hyperlink 3" xfId="18798" hidden="1" xr:uid="{00000000-0005-0000-0000-000029430000}"/>
    <cellStyle name="Followed Hyperlink 3" xfId="18801" hidden="1" xr:uid="{00000000-0005-0000-0000-00002A430000}"/>
    <cellStyle name="Followed Hyperlink 3" xfId="18806" hidden="1" xr:uid="{00000000-0005-0000-0000-00002B430000}"/>
    <cellStyle name="Followed Hyperlink 3" xfId="18817" hidden="1" xr:uid="{00000000-0005-0000-0000-00002C430000}"/>
    <cellStyle name="Followed Hyperlink 3" xfId="18819" hidden="1" xr:uid="{00000000-0005-0000-0000-00002D430000}"/>
    <cellStyle name="Followed Hyperlink 3" xfId="18815" hidden="1" xr:uid="{00000000-0005-0000-0000-00002E430000}"/>
    <cellStyle name="Followed Hyperlink 3" xfId="18814" hidden="1" xr:uid="{00000000-0005-0000-0000-00002F430000}"/>
    <cellStyle name="Followed Hyperlink 3" xfId="18820" hidden="1" xr:uid="{00000000-0005-0000-0000-000030430000}"/>
    <cellStyle name="Followed Hyperlink 3" xfId="18823" hidden="1" xr:uid="{00000000-0005-0000-0000-000031430000}"/>
    <cellStyle name="Followed Hyperlink 3" xfId="18826" hidden="1" xr:uid="{00000000-0005-0000-0000-000032430000}"/>
    <cellStyle name="Followed Hyperlink 3" xfId="18831" hidden="1" xr:uid="{00000000-0005-0000-0000-000033430000}"/>
    <cellStyle name="Followed Hyperlink 3" xfId="18841" hidden="1" xr:uid="{00000000-0005-0000-0000-000034430000}"/>
    <cellStyle name="Followed Hyperlink 3" xfId="18843" hidden="1" xr:uid="{00000000-0005-0000-0000-000035430000}"/>
    <cellStyle name="Followed Hyperlink 3" xfId="18839" hidden="1" xr:uid="{00000000-0005-0000-0000-000036430000}"/>
    <cellStyle name="Followed Hyperlink 3" xfId="18838" hidden="1" xr:uid="{00000000-0005-0000-0000-000037430000}"/>
    <cellStyle name="Followed Hyperlink 3" xfId="18844" hidden="1" xr:uid="{00000000-0005-0000-0000-000038430000}"/>
    <cellStyle name="Followed Hyperlink 3" xfId="18847" hidden="1" xr:uid="{00000000-0005-0000-0000-000039430000}"/>
    <cellStyle name="Followed Hyperlink 3" xfId="18850" hidden="1" xr:uid="{00000000-0005-0000-0000-00003A430000}"/>
    <cellStyle name="Followed Hyperlink 3" xfId="18855" hidden="1" xr:uid="{00000000-0005-0000-0000-00003B430000}"/>
    <cellStyle name="Followed Hyperlink 3" xfId="18666" hidden="1" xr:uid="{00000000-0005-0000-0000-00003C430000}"/>
    <cellStyle name="Followed Hyperlink 3" xfId="18809" hidden="1" xr:uid="{00000000-0005-0000-0000-00003D430000}"/>
    <cellStyle name="Followed Hyperlink 3" xfId="18663" hidden="1" xr:uid="{00000000-0005-0000-0000-00003E430000}"/>
    <cellStyle name="Followed Hyperlink 3" xfId="18655" hidden="1" xr:uid="{00000000-0005-0000-0000-00003F430000}"/>
    <cellStyle name="Followed Hyperlink 3" xfId="18660" hidden="1" xr:uid="{00000000-0005-0000-0000-000040430000}"/>
    <cellStyle name="Followed Hyperlink 3" xfId="18860" hidden="1" xr:uid="{00000000-0005-0000-0000-000041430000}"/>
    <cellStyle name="Followed Hyperlink 3" xfId="18863" hidden="1" xr:uid="{00000000-0005-0000-0000-000042430000}"/>
    <cellStyle name="Followed Hyperlink 3" xfId="18868" hidden="1" xr:uid="{00000000-0005-0000-0000-000043430000}"/>
    <cellStyle name="Followed Hyperlink 3" xfId="18878" hidden="1" xr:uid="{00000000-0005-0000-0000-000044430000}"/>
    <cellStyle name="Followed Hyperlink 3" xfId="18880" hidden="1" xr:uid="{00000000-0005-0000-0000-000045430000}"/>
    <cellStyle name="Followed Hyperlink 3" xfId="18876" hidden="1" xr:uid="{00000000-0005-0000-0000-000046430000}"/>
    <cellStyle name="Followed Hyperlink 3" xfId="18875" hidden="1" xr:uid="{00000000-0005-0000-0000-000047430000}"/>
    <cellStyle name="Followed Hyperlink 3" xfId="18881" hidden="1" xr:uid="{00000000-0005-0000-0000-000048430000}"/>
    <cellStyle name="Followed Hyperlink 3" xfId="18884" hidden="1" xr:uid="{00000000-0005-0000-0000-000049430000}"/>
    <cellStyle name="Followed Hyperlink 3" xfId="18887" hidden="1" xr:uid="{00000000-0005-0000-0000-00004A430000}"/>
    <cellStyle name="Followed Hyperlink 3" xfId="18892" hidden="1" xr:uid="{00000000-0005-0000-0000-00004B430000}"/>
    <cellStyle name="Followed Hyperlink 3" xfId="18903" hidden="1" xr:uid="{00000000-0005-0000-0000-00004C430000}"/>
    <cellStyle name="Followed Hyperlink 3" xfId="18905" hidden="1" xr:uid="{00000000-0005-0000-0000-00004D430000}"/>
    <cellStyle name="Followed Hyperlink 3" xfId="18901" hidden="1" xr:uid="{00000000-0005-0000-0000-00004E430000}"/>
    <cellStyle name="Followed Hyperlink 3" xfId="18900" hidden="1" xr:uid="{00000000-0005-0000-0000-00004F430000}"/>
    <cellStyle name="Followed Hyperlink 3" xfId="18906" hidden="1" xr:uid="{00000000-0005-0000-0000-000050430000}"/>
    <cellStyle name="Followed Hyperlink 3" xfId="18909" hidden="1" xr:uid="{00000000-0005-0000-0000-000051430000}"/>
    <cellStyle name="Followed Hyperlink 3" xfId="18912" hidden="1" xr:uid="{00000000-0005-0000-0000-000052430000}"/>
    <cellStyle name="Followed Hyperlink 3" xfId="18917" hidden="1" xr:uid="{00000000-0005-0000-0000-000053430000}"/>
    <cellStyle name="Followed Hyperlink 3" xfId="18927" hidden="1" xr:uid="{00000000-0005-0000-0000-000054430000}"/>
    <cellStyle name="Followed Hyperlink 3" xfId="18929" hidden="1" xr:uid="{00000000-0005-0000-0000-000055430000}"/>
    <cellStyle name="Followed Hyperlink 3" xfId="18925" hidden="1" xr:uid="{00000000-0005-0000-0000-000056430000}"/>
    <cellStyle name="Followed Hyperlink 3" xfId="18924" hidden="1" xr:uid="{00000000-0005-0000-0000-000057430000}"/>
    <cellStyle name="Followed Hyperlink 3" xfId="18930" hidden="1" xr:uid="{00000000-0005-0000-0000-000058430000}"/>
    <cellStyle name="Followed Hyperlink 3" xfId="18933" hidden="1" xr:uid="{00000000-0005-0000-0000-000059430000}"/>
    <cellStyle name="Followed Hyperlink 3" xfId="18936" hidden="1" xr:uid="{00000000-0005-0000-0000-00005A430000}"/>
    <cellStyle name="Followed Hyperlink 3" xfId="18941" hidden="1" xr:uid="{00000000-0005-0000-0000-00005B430000}"/>
    <cellStyle name="Followed Hyperlink 3" xfId="18671" hidden="1" xr:uid="{00000000-0005-0000-0000-00005C430000}"/>
    <cellStyle name="Followed Hyperlink 3" xfId="18895" hidden="1" xr:uid="{00000000-0005-0000-0000-00005D430000}"/>
    <cellStyle name="Followed Hyperlink 3" xfId="18667" hidden="1" xr:uid="{00000000-0005-0000-0000-00005E430000}"/>
    <cellStyle name="Followed Hyperlink 3" xfId="18672" hidden="1" xr:uid="{00000000-0005-0000-0000-00005F430000}"/>
    <cellStyle name="Followed Hyperlink 3" xfId="18659" hidden="1" xr:uid="{00000000-0005-0000-0000-000060430000}"/>
    <cellStyle name="Followed Hyperlink 3" xfId="18946" hidden="1" xr:uid="{00000000-0005-0000-0000-000061430000}"/>
    <cellStyle name="Followed Hyperlink 3" xfId="18949" hidden="1" xr:uid="{00000000-0005-0000-0000-000062430000}"/>
    <cellStyle name="Followed Hyperlink 3" xfId="18954" hidden="1" xr:uid="{00000000-0005-0000-0000-000063430000}"/>
    <cellStyle name="Followed Hyperlink 3" xfId="18964" hidden="1" xr:uid="{00000000-0005-0000-0000-000064430000}"/>
    <cellStyle name="Followed Hyperlink 3" xfId="18966" hidden="1" xr:uid="{00000000-0005-0000-0000-000065430000}"/>
    <cellStyle name="Followed Hyperlink 3" xfId="18962" hidden="1" xr:uid="{00000000-0005-0000-0000-000066430000}"/>
    <cellStyle name="Followed Hyperlink 3" xfId="18961" hidden="1" xr:uid="{00000000-0005-0000-0000-000067430000}"/>
    <cellStyle name="Followed Hyperlink 3" xfId="18967" hidden="1" xr:uid="{00000000-0005-0000-0000-000068430000}"/>
    <cellStyle name="Followed Hyperlink 3" xfId="18970" hidden="1" xr:uid="{00000000-0005-0000-0000-000069430000}"/>
    <cellStyle name="Followed Hyperlink 3" xfId="18973" hidden="1" xr:uid="{00000000-0005-0000-0000-00006A430000}"/>
    <cellStyle name="Followed Hyperlink 3" xfId="18978" hidden="1" xr:uid="{00000000-0005-0000-0000-00006B430000}"/>
    <cellStyle name="Followed Hyperlink 3" xfId="18988" hidden="1" xr:uid="{00000000-0005-0000-0000-00006C430000}"/>
    <cellStyle name="Followed Hyperlink 3" xfId="18990" hidden="1" xr:uid="{00000000-0005-0000-0000-00006D430000}"/>
    <cellStyle name="Followed Hyperlink 3" xfId="18986" hidden="1" xr:uid="{00000000-0005-0000-0000-00006E430000}"/>
    <cellStyle name="Followed Hyperlink 3" xfId="18985" hidden="1" xr:uid="{00000000-0005-0000-0000-00006F430000}"/>
    <cellStyle name="Followed Hyperlink 3" xfId="18991" hidden="1" xr:uid="{00000000-0005-0000-0000-000070430000}"/>
    <cellStyle name="Followed Hyperlink 3" xfId="18994" hidden="1" xr:uid="{00000000-0005-0000-0000-000071430000}"/>
    <cellStyle name="Followed Hyperlink 3" xfId="18997" hidden="1" xr:uid="{00000000-0005-0000-0000-000072430000}"/>
    <cellStyle name="Followed Hyperlink 3" xfId="19002" hidden="1" xr:uid="{00000000-0005-0000-0000-000073430000}"/>
    <cellStyle name="Followed Hyperlink 3" xfId="19012" hidden="1" xr:uid="{00000000-0005-0000-0000-000074430000}"/>
    <cellStyle name="Followed Hyperlink 3" xfId="19014" hidden="1" xr:uid="{00000000-0005-0000-0000-000075430000}"/>
    <cellStyle name="Followed Hyperlink 3" xfId="19010" hidden="1" xr:uid="{00000000-0005-0000-0000-000076430000}"/>
    <cellStyle name="Followed Hyperlink 3" xfId="19009" hidden="1" xr:uid="{00000000-0005-0000-0000-000077430000}"/>
    <cellStyle name="Followed Hyperlink 3" xfId="19015" hidden="1" xr:uid="{00000000-0005-0000-0000-000078430000}"/>
    <cellStyle name="Followed Hyperlink 3" xfId="19018" hidden="1" xr:uid="{00000000-0005-0000-0000-000079430000}"/>
    <cellStyle name="Followed Hyperlink 3" xfId="19021" hidden="1" xr:uid="{00000000-0005-0000-0000-00007A430000}"/>
    <cellStyle name="Followed Hyperlink 3" xfId="19026" hidden="1" xr:uid="{00000000-0005-0000-0000-00007B430000}"/>
    <cellStyle name="Followed Hyperlink 3" xfId="16982" hidden="1" xr:uid="{00000000-0005-0000-0000-00007C430000}"/>
    <cellStyle name="Followed Hyperlink 3" xfId="17059" hidden="1" xr:uid="{00000000-0005-0000-0000-00007D430000}"/>
    <cellStyle name="Followed Hyperlink 3" xfId="16986" hidden="1" xr:uid="{00000000-0005-0000-0000-00007E430000}"/>
    <cellStyle name="Followed Hyperlink 3" xfId="16987" hidden="1" xr:uid="{00000000-0005-0000-0000-00007F430000}"/>
    <cellStyle name="Followed Hyperlink 3" xfId="16990" hidden="1" xr:uid="{00000000-0005-0000-0000-000080430000}"/>
    <cellStyle name="Followed Hyperlink 3" xfId="19031" hidden="1" xr:uid="{00000000-0005-0000-0000-000081430000}"/>
    <cellStyle name="Followed Hyperlink 3" xfId="19034" hidden="1" xr:uid="{00000000-0005-0000-0000-000082430000}"/>
    <cellStyle name="Followed Hyperlink 3" xfId="19039" hidden="1" xr:uid="{00000000-0005-0000-0000-000083430000}"/>
    <cellStyle name="Followed Hyperlink 3" xfId="19049" hidden="1" xr:uid="{00000000-0005-0000-0000-000084430000}"/>
    <cellStyle name="Followed Hyperlink 3" xfId="19051" hidden="1" xr:uid="{00000000-0005-0000-0000-000085430000}"/>
    <cellStyle name="Followed Hyperlink 3" xfId="19047" hidden="1" xr:uid="{00000000-0005-0000-0000-000086430000}"/>
    <cellStyle name="Followed Hyperlink 3" xfId="19046" hidden="1" xr:uid="{00000000-0005-0000-0000-000087430000}"/>
    <cellStyle name="Followed Hyperlink 3" xfId="19052" hidden="1" xr:uid="{00000000-0005-0000-0000-000088430000}"/>
    <cellStyle name="Followed Hyperlink 3" xfId="19055" hidden="1" xr:uid="{00000000-0005-0000-0000-000089430000}"/>
    <cellStyle name="Followed Hyperlink 3" xfId="19058" hidden="1" xr:uid="{00000000-0005-0000-0000-00008A430000}"/>
    <cellStyle name="Followed Hyperlink 3" xfId="19063" hidden="1" xr:uid="{00000000-0005-0000-0000-00008B430000}"/>
    <cellStyle name="Followed Hyperlink 3" xfId="19074" hidden="1" xr:uid="{00000000-0005-0000-0000-00008C430000}"/>
    <cellStyle name="Followed Hyperlink 3" xfId="19076" hidden="1" xr:uid="{00000000-0005-0000-0000-00008D430000}"/>
    <cellStyle name="Followed Hyperlink 3" xfId="19072" hidden="1" xr:uid="{00000000-0005-0000-0000-00008E430000}"/>
    <cellStyle name="Followed Hyperlink 3" xfId="19071" hidden="1" xr:uid="{00000000-0005-0000-0000-00008F430000}"/>
    <cellStyle name="Followed Hyperlink 3" xfId="19077" hidden="1" xr:uid="{00000000-0005-0000-0000-000090430000}"/>
    <cellStyle name="Followed Hyperlink 3" xfId="19080" hidden="1" xr:uid="{00000000-0005-0000-0000-000091430000}"/>
    <cellStyle name="Followed Hyperlink 3" xfId="19083" hidden="1" xr:uid="{00000000-0005-0000-0000-000092430000}"/>
    <cellStyle name="Followed Hyperlink 3" xfId="19088" hidden="1" xr:uid="{00000000-0005-0000-0000-000093430000}"/>
    <cellStyle name="Followed Hyperlink 3" xfId="19098" hidden="1" xr:uid="{00000000-0005-0000-0000-000094430000}"/>
    <cellStyle name="Followed Hyperlink 3" xfId="19100" hidden="1" xr:uid="{00000000-0005-0000-0000-000095430000}"/>
    <cellStyle name="Followed Hyperlink 3" xfId="19096" hidden="1" xr:uid="{00000000-0005-0000-0000-000096430000}"/>
    <cellStyle name="Followed Hyperlink 3" xfId="19095" hidden="1" xr:uid="{00000000-0005-0000-0000-000097430000}"/>
    <cellStyle name="Followed Hyperlink 3" xfId="19101" hidden="1" xr:uid="{00000000-0005-0000-0000-000098430000}"/>
    <cellStyle name="Followed Hyperlink 3" xfId="19104" hidden="1" xr:uid="{00000000-0005-0000-0000-000099430000}"/>
    <cellStyle name="Followed Hyperlink 3" xfId="19107" hidden="1" xr:uid="{00000000-0005-0000-0000-00009A430000}"/>
    <cellStyle name="Followed Hyperlink 3" xfId="19112" hidden="1" xr:uid="{00000000-0005-0000-0000-00009B430000}"/>
    <cellStyle name="Followed Hyperlink 3" xfId="19151" hidden="1" xr:uid="{00000000-0005-0000-0000-00009C430000}"/>
    <cellStyle name="Followed Hyperlink 3" xfId="19153" hidden="1" xr:uid="{00000000-0005-0000-0000-00009D430000}"/>
    <cellStyle name="Followed Hyperlink 3" xfId="19149" hidden="1" xr:uid="{00000000-0005-0000-0000-00009E430000}"/>
    <cellStyle name="Followed Hyperlink 3" xfId="19148" hidden="1" xr:uid="{00000000-0005-0000-0000-00009F430000}"/>
    <cellStyle name="Followed Hyperlink 3" xfId="19154" hidden="1" xr:uid="{00000000-0005-0000-0000-0000A0430000}"/>
    <cellStyle name="Followed Hyperlink 3" xfId="19157" hidden="1" xr:uid="{00000000-0005-0000-0000-0000A1430000}"/>
    <cellStyle name="Followed Hyperlink 3" xfId="19160" hidden="1" xr:uid="{00000000-0005-0000-0000-0000A2430000}"/>
    <cellStyle name="Followed Hyperlink 3" xfId="19165" hidden="1" xr:uid="{00000000-0005-0000-0000-0000A3430000}"/>
    <cellStyle name="Followed Hyperlink 3" xfId="19175" hidden="1" xr:uid="{00000000-0005-0000-0000-0000A4430000}"/>
    <cellStyle name="Followed Hyperlink 3" xfId="19177" hidden="1" xr:uid="{00000000-0005-0000-0000-0000A5430000}"/>
    <cellStyle name="Followed Hyperlink 3" xfId="19173" hidden="1" xr:uid="{00000000-0005-0000-0000-0000A6430000}"/>
    <cellStyle name="Followed Hyperlink 3" xfId="19172" hidden="1" xr:uid="{00000000-0005-0000-0000-0000A7430000}"/>
    <cellStyle name="Followed Hyperlink 3" xfId="19178" hidden="1" xr:uid="{00000000-0005-0000-0000-0000A8430000}"/>
    <cellStyle name="Followed Hyperlink 3" xfId="19181" hidden="1" xr:uid="{00000000-0005-0000-0000-0000A9430000}"/>
    <cellStyle name="Followed Hyperlink 3" xfId="19184" hidden="1" xr:uid="{00000000-0005-0000-0000-0000AA430000}"/>
    <cellStyle name="Followed Hyperlink 3" xfId="19189" hidden="1" xr:uid="{00000000-0005-0000-0000-0000AB430000}"/>
    <cellStyle name="Followed Hyperlink 3" xfId="19201" hidden="1" xr:uid="{00000000-0005-0000-0000-0000AC430000}"/>
    <cellStyle name="Followed Hyperlink 3" xfId="19203" hidden="1" xr:uid="{00000000-0005-0000-0000-0000AD430000}"/>
    <cellStyle name="Followed Hyperlink 3" xfId="19199" hidden="1" xr:uid="{00000000-0005-0000-0000-0000AE430000}"/>
    <cellStyle name="Followed Hyperlink 3" xfId="19198" hidden="1" xr:uid="{00000000-0005-0000-0000-0000AF430000}"/>
    <cellStyle name="Followed Hyperlink 3" xfId="19204" hidden="1" xr:uid="{00000000-0005-0000-0000-0000B0430000}"/>
    <cellStyle name="Followed Hyperlink 3" xfId="19207" hidden="1" xr:uid="{00000000-0005-0000-0000-0000B1430000}"/>
    <cellStyle name="Followed Hyperlink 3" xfId="19210" hidden="1" xr:uid="{00000000-0005-0000-0000-0000B2430000}"/>
    <cellStyle name="Followed Hyperlink 3" xfId="19215" hidden="1" xr:uid="{00000000-0005-0000-0000-0000B3430000}"/>
    <cellStyle name="Followed Hyperlink 3" xfId="19225" hidden="1" xr:uid="{00000000-0005-0000-0000-0000B4430000}"/>
    <cellStyle name="Followed Hyperlink 3" xfId="19227" hidden="1" xr:uid="{00000000-0005-0000-0000-0000B5430000}"/>
    <cellStyle name="Followed Hyperlink 3" xfId="19223" hidden="1" xr:uid="{00000000-0005-0000-0000-0000B6430000}"/>
    <cellStyle name="Followed Hyperlink 3" xfId="19222" hidden="1" xr:uid="{00000000-0005-0000-0000-0000B7430000}"/>
    <cellStyle name="Followed Hyperlink 3" xfId="19228" hidden="1" xr:uid="{00000000-0005-0000-0000-0000B8430000}"/>
    <cellStyle name="Followed Hyperlink 3" xfId="19231" hidden="1" xr:uid="{00000000-0005-0000-0000-0000B9430000}"/>
    <cellStyle name="Followed Hyperlink 3" xfId="19234" hidden="1" xr:uid="{00000000-0005-0000-0000-0000BA430000}"/>
    <cellStyle name="Followed Hyperlink 3" xfId="19239" hidden="1" xr:uid="{00000000-0005-0000-0000-0000BB430000}"/>
    <cellStyle name="Followed Hyperlink 3" xfId="19278" hidden="1" xr:uid="{00000000-0005-0000-0000-0000BC430000}"/>
    <cellStyle name="Followed Hyperlink 3" xfId="19280" hidden="1" xr:uid="{00000000-0005-0000-0000-0000BD430000}"/>
    <cellStyle name="Followed Hyperlink 3" xfId="19276" hidden="1" xr:uid="{00000000-0005-0000-0000-0000BE430000}"/>
    <cellStyle name="Followed Hyperlink 3" xfId="19275" hidden="1" xr:uid="{00000000-0005-0000-0000-0000BF430000}"/>
    <cellStyle name="Followed Hyperlink 3" xfId="19281" hidden="1" xr:uid="{00000000-0005-0000-0000-0000C0430000}"/>
    <cellStyle name="Followed Hyperlink 3" xfId="19284" hidden="1" xr:uid="{00000000-0005-0000-0000-0000C1430000}"/>
    <cellStyle name="Followed Hyperlink 3" xfId="19287" hidden="1" xr:uid="{00000000-0005-0000-0000-0000C2430000}"/>
    <cellStyle name="Followed Hyperlink 3" xfId="19292" hidden="1" xr:uid="{00000000-0005-0000-0000-0000C3430000}"/>
    <cellStyle name="Followed Hyperlink 3" xfId="19302" hidden="1" xr:uid="{00000000-0005-0000-0000-0000C4430000}"/>
    <cellStyle name="Followed Hyperlink 3" xfId="19304" hidden="1" xr:uid="{00000000-0005-0000-0000-0000C5430000}"/>
    <cellStyle name="Followed Hyperlink 3" xfId="19300" hidden="1" xr:uid="{00000000-0005-0000-0000-0000C6430000}"/>
    <cellStyle name="Followed Hyperlink 3" xfId="19299" hidden="1" xr:uid="{00000000-0005-0000-0000-0000C7430000}"/>
    <cellStyle name="Followed Hyperlink 3" xfId="19305" hidden="1" xr:uid="{00000000-0005-0000-0000-0000C8430000}"/>
    <cellStyle name="Followed Hyperlink 3" xfId="19308" hidden="1" xr:uid="{00000000-0005-0000-0000-0000C9430000}"/>
    <cellStyle name="Followed Hyperlink 3" xfId="19311" hidden="1" xr:uid="{00000000-0005-0000-0000-0000CA430000}"/>
    <cellStyle name="Followed Hyperlink 3" xfId="19316" hidden="1" xr:uid="{00000000-0005-0000-0000-0000CB430000}"/>
    <cellStyle name="Followed Hyperlink 3" xfId="19328" hidden="1" xr:uid="{00000000-0005-0000-0000-0000CC430000}"/>
    <cellStyle name="Followed Hyperlink 3" xfId="19330" hidden="1" xr:uid="{00000000-0005-0000-0000-0000CD430000}"/>
    <cellStyle name="Followed Hyperlink 3" xfId="19326" hidden="1" xr:uid="{00000000-0005-0000-0000-0000CE430000}"/>
    <cellStyle name="Followed Hyperlink 3" xfId="19325" hidden="1" xr:uid="{00000000-0005-0000-0000-0000CF430000}"/>
    <cellStyle name="Followed Hyperlink 3" xfId="19331" hidden="1" xr:uid="{00000000-0005-0000-0000-0000D0430000}"/>
    <cellStyle name="Followed Hyperlink 3" xfId="19334" hidden="1" xr:uid="{00000000-0005-0000-0000-0000D1430000}"/>
    <cellStyle name="Followed Hyperlink 3" xfId="19337" hidden="1" xr:uid="{00000000-0005-0000-0000-0000D2430000}"/>
    <cellStyle name="Followed Hyperlink 3" xfId="19342" hidden="1" xr:uid="{00000000-0005-0000-0000-0000D3430000}"/>
    <cellStyle name="Followed Hyperlink 3" xfId="19352" hidden="1" xr:uid="{00000000-0005-0000-0000-0000D4430000}"/>
    <cellStyle name="Followed Hyperlink 3" xfId="19354" hidden="1" xr:uid="{00000000-0005-0000-0000-0000D5430000}"/>
    <cellStyle name="Followed Hyperlink 3" xfId="19350" hidden="1" xr:uid="{00000000-0005-0000-0000-0000D6430000}"/>
    <cellStyle name="Followed Hyperlink 3" xfId="19349" hidden="1" xr:uid="{00000000-0005-0000-0000-0000D7430000}"/>
    <cellStyle name="Followed Hyperlink 3" xfId="19355" hidden="1" xr:uid="{00000000-0005-0000-0000-0000D8430000}"/>
    <cellStyle name="Followed Hyperlink 3" xfId="19358" hidden="1" xr:uid="{00000000-0005-0000-0000-0000D9430000}"/>
    <cellStyle name="Followed Hyperlink 3" xfId="19361" hidden="1" xr:uid="{00000000-0005-0000-0000-0000DA430000}"/>
    <cellStyle name="Followed Hyperlink 3" xfId="19366" hidden="1" xr:uid="{00000000-0005-0000-0000-0000DB430000}"/>
    <cellStyle name="Followed Hyperlink 3" xfId="19242" hidden="1" xr:uid="{00000000-0005-0000-0000-0000DC430000}"/>
    <cellStyle name="Followed Hyperlink 3" xfId="19319" hidden="1" xr:uid="{00000000-0005-0000-0000-0000DD430000}"/>
    <cellStyle name="Followed Hyperlink 3" xfId="19246" hidden="1" xr:uid="{00000000-0005-0000-0000-0000DE430000}"/>
    <cellStyle name="Followed Hyperlink 3" xfId="19247" hidden="1" xr:uid="{00000000-0005-0000-0000-0000DF430000}"/>
    <cellStyle name="Followed Hyperlink 3" xfId="19250" hidden="1" xr:uid="{00000000-0005-0000-0000-0000E0430000}"/>
    <cellStyle name="Followed Hyperlink 3" xfId="19371" hidden="1" xr:uid="{00000000-0005-0000-0000-0000E1430000}"/>
    <cellStyle name="Followed Hyperlink 3" xfId="19374" hidden="1" xr:uid="{00000000-0005-0000-0000-0000E2430000}"/>
    <cellStyle name="Followed Hyperlink 3" xfId="19379" hidden="1" xr:uid="{00000000-0005-0000-0000-0000E3430000}"/>
    <cellStyle name="Followed Hyperlink 3" xfId="19389" hidden="1" xr:uid="{00000000-0005-0000-0000-0000E4430000}"/>
    <cellStyle name="Followed Hyperlink 3" xfId="19391" hidden="1" xr:uid="{00000000-0005-0000-0000-0000E5430000}"/>
    <cellStyle name="Followed Hyperlink 3" xfId="19387" hidden="1" xr:uid="{00000000-0005-0000-0000-0000E6430000}"/>
    <cellStyle name="Followed Hyperlink 3" xfId="19386" hidden="1" xr:uid="{00000000-0005-0000-0000-0000E7430000}"/>
    <cellStyle name="Followed Hyperlink 3" xfId="19392" hidden="1" xr:uid="{00000000-0005-0000-0000-0000E8430000}"/>
    <cellStyle name="Followed Hyperlink 3" xfId="19395" hidden="1" xr:uid="{00000000-0005-0000-0000-0000E9430000}"/>
    <cellStyle name="Followed Hyperlink 3" xfId="19398" hidden="1" xr:uid="{00000000-0005-0000-0000-0000EA430000}"/>
    <cellStyle name="Followed Hyperlink 3" xfId="19403" hidden="1" xr:uid="{00000000-0005-0000-0000-0000EB430000}"/>
    <cellStyle name="Followed Hyperlink 3" xfId="19414" hidden="1" xr:uid="{00000000-0005-0000-0000-0000EC430000}"/>
    <cellStyle name="Followed Hyperlink 3" xfId="19416" hidden="1" xr:uid="{00000000-0005-0000-0000-0000ED430000}"/>
    <cellStyle name="Followed Hyperlink 3" xfId="19412" hidden="1" xr:uid="{00000000-0005-0000-0000-0000EE430000}"/>
    <cellStyle name="Followed Hyperlink 3" xfId="19411" hidden="1" xr:uid="{00000000-0005-0000-0000-0000EF430000}"/>
    <cellStyle name="Followed Hyperlink 3" xfId="19417" hidden="1" xr:uid="{00000000-0005-0000-0000-0000F0430000}"/>
    <cellStyle name="Followed Hyperlink 3" xfId="19420" hidden="1" xr:uid="{00000000-0005-0000-0000-0000F1430000}"/>
    <cellStyle name="Followed Hyperlink 3" xfId="19423" hidden="1" xr:uid="{00000000-0005-0000-0000-0000F2430000}"/>
    <cellStyle name="Followed Hyperlink 3" xfId="19428" hidden="1" xr:uid="{00000000-0005-0000-0000-0000F3430000}"/>
    <cellStyle name="Followed Hyperlink 3" xfId="19438" hidden="1" xr:uid="{00000000-0005-0000-0000-0000F4430000}"/>
    <cellStyle name="Followed Hyperlink 3" xfId="19440" hidden="1" xr:uid="{00000000-0005-0000-0000-0000F5430000}"/>
    <cellStyle name="Followed Hyperlink 3" xfId="19436" hidden="1" xr:uid="{00000000-0005-0000-0000-0000F6430000}"/>
    <cellStyle name="Followed Hyperlink 3" xfId="19435" hidden="1" xr:uid="{00000000-0005-0000-0000-0000F7430000}"/>
    <cellStyle name="Followed Hyperlink 3" xfId="19441" hidden="1" xr:uid="{00000000-0005-0000-0000-0000F8430000}"/>
    <cellStyle name="Followed Hyperlink 3" xfId="19444" hidden="1" xr:uid="{00000000-0005-0000-0000-0000F9430000}"/>
    <cellStyle name="Followed Hyperlink 3" xfId="19447" hidden="1" xr:uid="{00000000-0005-0000-0000-0000FA430000}"/>
    <cellStyle name="Followed Hyperlink 3" xfId="19452" hidden="1" xr:uid="{00000000-0005-0000-0000-0000FB430000}"/>
    <cellStyle name="Followed Hyperlink 3" xfId="19263" hidden="1" xr:uid="{00000000-0005-0000-0000-0000FC430000}"/>
    <cellStyle name="Followed Hyperlink 3" xfId="19406" hidden="1" xr:uid="{00000000-0005-0000-0000-0000FD430000}"/>
    <cellStyle name="Followed Hyperlink 3" xfId="19260" hidden="1" xr:uid="{00000000-0005-0000-0000-0000FE430000}"/>
    <cellStyle name="Followed Hyperlink 3" xfId="19252" hidden="1" xr:uid="{00000000-0005-0000-0000-0000FF430000}"/>
    <cellStyle name="Followed Hyperlink 3" xfId="19257" hidden="1" xr:uid="{00000000-0005-0000-0000-000000440000}"/>
    <cellStyle name="Followed Hyperlink 3" xfId="19457" hidden="1" xr:uid="{00000000-0005-0000-0000-000001440000}"/>
    <cellStyle name="Followed Hyperlink 3" xfId="19460" hidden="1" xr:uid="{00000000-0005-0000-0000-000002440000}"/>
    <cellStyle name="Followed Hyperlink 3" xfId="19465" hidden="1" xr:uid="{00000000-0005-0000-0000-000003440000}"/>
    <cellStyle name="Followed Hyperlink 3" xfId="19475" hidden="1" xr:uid="{00000000-0005-0000-0000-000004440000}"/>
    <cellStyle name="Followed Hyperlink 3" xfId="19477" hidden="1" xr:uid="{00000000-0005-0000-0000-000005440000}"/>
    <cellStyle name="Followed Hyperlink 3" xfId="19473" hidden="1" xr:uid="{00000000-0005-0000-0000-000006440000}"/>
    <cellStyle name="Followed Hyperlink 3" xfId="19472" hidden="1" xr:uid="{00000000-0005-0000-0000-000007440000}"/>
    <cellStyle name="Followed Hyperlink 3" xfId="19478" hidden="1" xr:uid="{00000000-0005-0000-0000-000008440000}"/>
    <cellStyle name="Followed Hyperlink 3" xfId="19481" hidden="1" xr:uid="{00000000-0005-0000-0000-000009440000}"/>
    <cellStyle name="Followed Hyperlink 3" xfId="19484" hidden="1" xr:uid="{00000000-0005-0000-0000-00000A440000}"/>
    <cellStyle name="Followed Hyperlink 3" xfId="19489" hidden="1" xr:uid="{00000000-0005-0000-0000-00000B440000}"/>
    <cellStyle name="Followed Hyperlink 3" xfId="19500" hidden="1" xr:uid="{00000000-0005-0000-0000-00000C440000}"/>
    <cellStyle name="Followed Hyperlink 3" xfId="19502" hidden="1" xr:uid="{00000000-0005-0000-0000-00000D440000}"/>
    <cellStyle name="Followed Hyperlink 3" xfId="19498" hidden="1" xr:uid="{00000000-0005-0000-0000-00000E440000}"/>
    <cellStyle name="Followed Hyperlink 3" xfId="19497" hidden="1" xr:uid="{00000000-0005-0000-0000-00000F440000}"/>
    <cellStyle name="Followed Hyperlink 3" xfId="19503" hidden="1" xr:uid="{00000000-0005-0000-0000-000010440000}"/>
    <cellStyle name="Followed Hyperlink 3" xfId="19506" hidden="1" xr:uid="{00000000-0005-0000-0000-000011440000}"/>
    <cellStyle name="Followed Hyperlink 3" xfId="19509" hidden="1" xr:uid="{00000000-0005-0000-0000-000012440000}"/>
    <cellStyle name="Followed Hyperlink 3" xfId="19514" hidden="1" xr:uid="{00000000-0005-0000-0000-000013440000}"/>
    <cellStyle name="Followed Hyperlink 3" xfId="19524" hidden="1" xr:uid="{00000000-0005-0000-0000-000014440000}"/>
    <cellStyle name="Followed Hyperlink 3" xfId="19526" hidden="1" xr:uid="{00000000-0005-0000-0000-000015440000}"/>
    <cellStyle name="Followed Hyperlink 3" xfId="19522" hidden="1" xr:uid="{00000000-0005-0000-0000-000016440000}"/>
    <cellStyle name="Followed Hyperlink 3" xfId="19521" hidden="1" xr:uid="{00000000-0005-0000-0000-000017440000}"/>
    <cellStyle name="Followed Hyperlink 3" xfId="19527" hidden="1" xr:uid="{00000000-0005-0000-0000-000018440000}"/>
    <cellStyle name="Followed Hyperlink 3" xfId="19530" hidden="1" xr:uid="{00000000-0005-0000-0000-000019440000}"/>
    <cellStyle name="Followed Hyperlink 3" xfId="19533" hidden="1" xr:uid="{00000000-0005-0000-0000-00001A440000}"/>
    <cellStyle name="Followed Hyperlink 3" xfId="19538" hidden="1" xr:uid="{00000000-0005-0000-0000-00001B440000}"/>
    <cellStyle name="Followed Hyperlink 3" xfId="19268" hidden="1" xr:uid="{00000000-0005-0000-0000-00001C440000}"/>
    <cellStyle name="Followed Hyperlink 3" xfId="19492" hidden="1" xr:uid="{00000000-0005-0000-0000-00001D440000}"/>
    <cellStyle name="Followed Hyperlink 3" xfId="19264" hidden="1" xr:uid="{00000000-0005-0000-0000-00001E440000}"/>
    <cellStyle name="Followed Hyperlink 3" xfId="19269" hidden="1" xr:uid="{00000000-0005-0000-0000-00001F440000}"/>
    <cellStyle name="Followed Hyperlink 3" xfId="19256" hidden="1" xr:uid="{00000000-0005-0000-0000-000020440000}"/>
    <cellStyle name="Followed Hyperlink 3" xfId="19543" hidden="1" xr:uid="{00000000-0005-0000-0000-000021440000}"/>
    <cellStyle name="Followed Hyperlink 3" xfId="19546" hidden="1" xr:uid="{00000000-0005-0000-0000-000022440000}"/>
    <cellStyle name="Followed Hyperlink 3" xfId="19551" hidden="1" xr:uid="{00000000-0005-0000-0000-000023440000}"/>
    <cellStyle name="Followed Hyperlink 3" xfId="19561" hidden="1" xr:uid="{00000000-0005-0000-0000-000024440000}"/>
    <cellStyle name="Followed Hyperlink 3" xfId="19563" hidden="1" xr:uid="{00000000-0005-0000-0000-000025440000}"/>
    <cellStyle name="Followed Hyperlink 3" xfId="19559" hidden="1" xr:uid="{00000000-0005-0000-0000-000026440000}"/>
    <cellStyle name="Followed Hyperlink 3" xfId="19558" hidden="1" xr:uid="{00000000-0005-0000-0000-000027440000}"/>
    <cellStyle name="Followed Hyperlink 3" xfId="19564" hidden="1" xr:uid="{00000000-0005-0000-0000-000028440000}"/>
    <cellStyle name="Followed Hyperlink 3" xfId="19567" hidden="1" xr:uid="{00000000-0005-0000-0000-000029440000}"/>
    <cellStyle name="Followed Hyperlink 3" xfId="19570" hidden="1" xr:uid="{00000000-0005-0000-0000-00002A440000}"/>
    <cellStyle name="Followed Hyperlink 3" xfId="19575" hidden="1" xr:uid="{00000000-0005-0000-0000-00002B440000}"/>
    <cellStyle name="Followed Hyperlink 3" xfId="19585" hidden="1" xr:uid="{00000000-0005-0000-0000-00002C440000}"/>
    <cellStyle name="Followed Hyperlink 3" xfId="19587" hidden="1" xr:uid="{00000000-0005-0000-0000-00002D440000}"/>
    <cellStyle name="Followed Hyperlink 3" xfId="19583" hidden="1" xr:uid="{00000000-0005-0000-0000-00002E440000}"/>
    <cellStyle name="Followed Hyperlink 3" xfId="19582" hidden="1" xr:uid="{00000000-0005-0000-0000-00002F440000}"/>
    <cellStyle name="Followed Hyperlink 3" xfId="19588" hidden="1" xr:uid="{00000000-0005-0000-0000-000030440000}"/>
    <cellStyle name="Followed Hyperlink 3" xfId="19591" hidden="1" xr:uid="{00000000-0005-0000-0000-000031440000}"/>
    <cellStyle name="Followed Hyperlink 3" xfId="19594" hidden="1" xr:uid="{00000000-0005-0000-0000-000032440000}"/>
    <cellStyle name="Followed Hyperlink 3" xfId="19599" hidden="1" xr:uid="{00000000-0005-0000-0000-000033440000}"/>
    <cellStyle name="Followed Hyperlink 3" xfId="19609" hidden="1" xr:uid="{00000000-0005-0000-0000-000034440000}"/>
    <cellStyle name="Followed Hyperlink 3" xfId="19611" hidden="1" xr:uid="{00000000-0005-0000-0000-000035440000}"/>
    <cellStyle name="Followed Hyperlink 3" xfId="19607" hidden="1" xr:uid="{00000000-0005-0000-0000-000036440000}"/>
    <cellStyle name="Followed Hyperlink 3" xfId="19606" hidden="1" xr:uid="{00000000-0005-0000-0000-000037440000}"/>
    <cellStyle name="Followed Hyperlink 3" xfId="19612" hidden="1" xr:uid="{00000000-0005-0000-0000-000038440000}"/>
    <cellStyle name="Followed Hyperlink 3" xfId="19615" hidden="1" xr:uid="{00000000-0005-0000-0000-000039440000}"/>
    <cellStyle name="Followed Hyperlink 3" xfId="19618" hidden="1" xr:uid="{00000000-0005-0000-0000-00003A440000}"/>
    <cellStyle name="Followed Hyperlink 3" xfId="19623" hidden="1" xr:uid="{00000000-0005-0000-0000-00003B440000}"/>
    <cellStyle name="Followed Hyperlink 3" xfId="19115" hidden="1" xr:uid="{00000000-0005-0000-0000-00003C440000}"/>
    <cellStyle name="Followed Hyperlink 3" xfId="19192" hidden="1" xr:uid="{00000000-0005-0000-0000-00003D440000}"/>
    <cellStyle name="Followed Hyperlink 3" xfId="19119" hidden="1" xr:uid="{00000000-0005-0000-0000-00003E440000}"/>
    <cellStyle name="Followed Hyperlink 3" xfId="19120" hidden="1" xr:uid="{00000000-0005-0000-0000-00003F440000}"/>
    <cellStyle name="Followed Hyperlink 3" xfId="19123" hidden="1" xr:uid="{00000000-0005-0000-0000-000040440000}"/>
    <cellStyle name="Followed Hyperlink 3" xfId="19628" hidden="1" xr:uid="{00000000-0005-0000-0000-000041440000}"/>
    <cellStyle name="Followed Hyperlink 3" xfId="19631" hidden="1" xr:uid="{00000000-0005-0000-0000-000042440000}"/>
    <cellStyle name="Followed Hyperlink 3" xfId="19636" hidden="1" xr:uid="{00000000-0005-0000-0000-000043440000}"/>
    <cellStyle name="Followed Hyperlink 3" xfId="19646" hidden="1" xr:uid="{00000000-0005-0000-0000-000044440000}"/>
    <cellStyle name="Followed Hyperlink 3" xfId="19648" hidden="1" xr:uid="{00000000-0005-0000-0000-000045440000}"/>
    <cellStyle name="Followed Hyperlink 3" xfId="19644" hidden="1" xr:uid="{00000000-0005-0000-0000-000046440000}"/>
    <cellStyle name="Followed Hyperlink 3" xfId="19643" hidden="1" xr:uid="{00000000-0005-0000-0000-000047440000}"/>
    <cellStyle name="Followed Hyperlink 3" xfId="19649" hidden="1" xr:uid="{00000000-0005-0000-0000-000048440000}"/>
    <cellStyle name="Followed Hyperlink 3" xfId="19652" hidden="1" xr:uid="{00000000-0005-0000-0000-000049440000}"/>
    <cellStyle name="Followed Hyperlink 3" xfId="19655" hidden="1" xr:uid="{00000000-0005-0000-0000-00004A440000}"/>
    <cellStyle name="Followed Hyperlink 3" xfId="19660" hidden="1" xr:uid="{00000000-0005-0000-0000-00004B440000}"/>
    <cellStyle name="Followed Hyperlink 3" xfId="19671" hidden="1" xr:uid="{00000000-0005-0000-0000-00004C440000}"/>
    <cellStyle name="Followed Hyperlink 3" xfId="19673" hidden="1" xr:uid="{00000000-0005-0000-0000-00004D440000}"/>
    <cellStyle name="Followed Hyperlink 3" xfId="19669" hidden="1" xr:uid="{00000000-0005-0000-0000-00004E440000}"/>
    <cellStyle name="Followed Hyperlink 3" xfId="19668" hidden="1" xr:uid="{00000000-0005-0000-0000-00004F440000}"/>
    <cellStyle name="Followed Hyperlink 3" xfId="19674" hidden="1" xr:uid="{00000000-0005-0000-0000-000050440000}"/>
    <cellStyle name="Followed Hyperlink 3" xfId="19677" hidden="1" xr:uid="{00000000-0005-0000-0000-000051440000}"/>
    <cellStyle name="Followed Hyperlink 3" xfId="19680" hidden="1" xr:uid="{00000000-0005-0000-0000-000052440000}"/>
    <cellStyle name="Followed Hyperlink 3" xfId="19685" hidden="1" xr:uid="{00000000-0005-0000-0000-000053440000}"/>
    <cellStyle name="Followed Hyperlink 3" xfId="19695" hidden="1" xr:uid="{00000000-0005-0000-0000-000054440000}"/>
    <cellStyle name="Followed Hyperlink 3" xfId="19697" hidden="1" xr:uid="{00000000-0005-0000-0000-000055440000}"/>
    <cellStyle name="Followed Hyperlink 3" xfId="19693" hidden="1" xr:uid="{00000000-0005-0000-0000-000056440000}"/>
    <cellStyle name="Followed Hyperlink 3" xfId="19692" hidden="1" xr:uid="{00000000-0005-0000-0000-000057440000}"/>
    <cellStyle name="Followed Hyperlink 3" xfId="19698" hidden="1" xr:uid="{00000000-0005-0000-0000-000058440000}"/>
    <cellStyle name="Followed Hyperlink 3" xfId="19701" hidden="1" xr:uid="{00000000-0005-0000-0000-000059440000}"/>
    <cellStyle name="Followed Hyperlink 3" xfId="19704" hidden="1" xr:uid="{00000000-0005-0000-0000-00005A440000}"/>
    <cellStyle name="Followed Hyperlink 3" xfId="19709" hidden="1" xr:uid="{00000000-0005-0000-0000-00005B440000}"/>
    <cellStyle name="Followed Hyperlink 3" xfId="19748" hidden="1" xr:uid="{00000000-0005-0000-0000-00005C440000}"/>
    <cellStyle name="Followed Hyperlink 3" xfId="19750" hidden="1" xr:uid="{00000000-0005-0000-0000-00005D440000}"/>
    <cellStyle name="Followed Hyperlink 3" xfId="19746" hidden="1" xr:uid="{00000000-0005-0000-0000-00005E440000}"/>
    <cellStyle name="Followed Hyperlink 3" xfId="19745" hidden="1" xr:uid="{00000000-0005-0000-0000-00005F440000}"/>
    <cellStyle name="Followed Hyperlink 3" xfId="19751" hidden="1" xr:uid="{00000000-0005-0000-0000-000060440000}"/>
    <cellStyle name="Followed Hyperlink 3" xfId="19754" hidden="1" xr:uid="{00000000-0005-0000-0000-000061440000}"/>
    <cellStyle name="Followed Hyperlink 3" xfId="19757" hidden="1" xr:uid="{00000000-0005-0000-0000-000062440000}"/>
    <cellStyle name="Followed Hyperlink 3" xfId="19762" hidden="1" xr:uid="{00000000-0005-0000-0000-000063440000}"/>
    <cellStyle name="Followed Hyperlink 3" xfId="19772" hidden="1" xr:uid="{00000000-0005-0000-0000-000064440000}"/>
    <cellStyle name="Followed Hyperlink 3" xfId="19774" hidden="1" xr:uid="{00000000-0005-0000-0000-000065440000}"/>
    <cellStyle name="Followed Hyperlink 3" xfId="19770" hidden="1" xr:uid="{00000000-0005-0000-0000-000066440000}"/>
    <cellStyle name="Followed Hyperlink 3" xfId="19769" hidden="1" xr:uid="{00000000-0005-0000-0000-000067440000}"/>
    <cellStyle name="Followed Hyperlink 3" xfId="19775" hidden="1" xr:uid="{00000000-0005-0000-0000-000068440000}"/>
    <cellStyle name="Followed Hyperlink 3" xfId="19778" hidden="1" xr:uid="{00000000-0005-0000-0000-000069440000}"/>
    <cellStyle name="Followed Hyperlink 3" xfId="19781" hidden="1" xr:uid="{00000000-0005-0000-0000-00006A440000}"/>
    <cellStyle name="Followed Hyperlink 3" xfId="19786" hidden="1" xr:uid="{00000000-0005-0000-0000-00006B440000}"/>
    <cellStyle name="Followed Hyperlink 3" xfId="19798" hidden="1" xr:uid="{00000000-0005-0000-0000-00006C440000}"/>
    <cellStyle name="Followed Hyperlink 3" xfId="19800" hidden="1" xr:uid="{00000000-0005-0000-0000-00006D440000}"/>
    <cellStyle name="Followed Hyperlink 3" xfId="19796" hidden="1" xr:uid="{00000000-0005-0000-0000-00006E440000}"/>
    <cellStyle name="Followed Hyperlink 3" xfId="19795" hidden="1" xr:uid="{00000000-0005-0000-0000-00006F440000}"/>
    <cellStyle name="Followed Hyperlink 3" xfId="19801" hidden="1" xr:uid="{00000000-0005-0000-0000-000070440000}"/>
    <cellStyle name="Followed Hyperlink 3" xfId="19804" hidden="1" xr:uid="{00000000-0005-0000-0000-000071440000}"/>
    <cellStyle name="Followed Hyperlink 3" xfId="19807" hidden="1" xr:uid="{00000000-0005-0000-0000-000072440000}"/>
    <cellStyle name="Followed Hyperlink 3" xfId="19812" hidden="1" xr:uid="{00000000-0005-0000-0000-000073440000}"/>
    <cellStyle name="Followed Hyperlink 3" xfId="19822" hidden="1" xr:uid="{00000000-0005-0000-0000-000074440000}"/>
    <cellStyle name="Followed Hyperlink 3" xfId="19824" hidden="1" xr:uid="{00000000-0005-0000-0000-000075440000}"/>
    <cellStyle name="Followed Hyperlink 3" xfId="19820" hidden="1" xr:uid="{00000000-0005-0000-0000-000076440000}"/>
    <cellStyle name="Followed Hyperlink 3" xfId="19819" hidden="1" xr:uid="{00000000-0005-0000-0000-000077440000}"/>
    <cellStyle name="Followed Hyperlink 3" xfId="19825" hidden="1" xr:uid="{00000000-0005-0000-0000-000078440000}"/>
    <cellStyle name="Followed Hyperlink 3" xfId="19828" hidden="1" xr:uid="{00000000-0005-0000-0000-000079440000}"/>
    <cellStyle name="Followed Hyperlink 3" xfId="19831" hidden="1" xr:uid="{00000000-0005-0000-0000-00007A440000}"/>
    <cellStyle name="Followed Hyperlink 3" xfId="19836" hidden="1" xr:uid="{00000000-0005-0000-0000-00007B440000}"/>
    <cellStyle name="Followed Hyperlink 3" xfId="19712" hidden="1" xr:uid="{00000000-0005-0000-0000-00007C440000}"/>
    <cellStyle name="Followed Hyperlink 3" xfId="19789" hidden="1" xr:uid="{00000000-0005-0000-0000-00007D440000}"/>
    <cellStyle name="Followed Hyperlink 3" xfId="19716" hidden="1" xr:uid="{00000000-0005-0000-0000-00007E440000}"/>
    <cellStyle name="Followed Hyperlink 3" xfId="19717" hidden="1" xr:uid="{00000000-0005-0000-0000-00007F440000}"/>
    <cellStyle name="Followed Hyperlink 3" xfId="19720" hidden="1" xr:uid="{00000000-0005-0000-0000-000080440000}"/>
    <cellStyle name="Followed Hyperlink 3" xfId="19841" hidden="1" xr:uid="{00000000-0005-0000-0000-000081440000}"/>
    <cellStyle name="Followed Hyperlink 3" xfId="19844" hidden="1" xr:uid="{00000000-0005-0000-0000-000082440000}"/>
    <cellStyle name="Followed Hyperlink 3" xfId="19849" hidden="1" xr:uid="{00000000-0005-0000-0000-000083440000}"/>
    <cellStyle name="Followed Hyperlink 3" xfId="19859" hidden="1" xr:uid="{00000000-0005-0000-0000-000084440000}"/>
    <cellStyle name="Followed Hyperlink 3" xfId="19861" hidden="1" xr:uid="{00000000-0005-0000-0000-000085440000}"/>
    <cellStyle name="Followed Hyperlink 3" xfId="19857" hidden="1" xr:uid="{00000000-0005-0000-0000-000086440000}"/>
    <cellStyle name="Followed Hyperlink 3" xfId="19856" hidden="1" xr:uid="{00000000-0005-0000-0000-000087440000}"/>
    <cellStyle name="Followed Hyperlink 3" xfId="19862" hidden="1" xr:uid="{00000000-0005-0000-0000-000088440000}"/>
    <cellStyle name="Followed Hyperlink 3" xfId="19865" hidden="1" xr:uid="{00000000-0005-0000-0000-000089440000}"/>
    <cellStyle name="Followed Hyperlink 3" xfId="19868" hidden="1" xr:uid="{00000000-0005-0000-0000-00008A440000}"/>
    <cellStyle name="Followed Hyperlink 3" xfId="19873" hidden="1" xr:uid="{00000000-0005-0000-0000-00008B440000}"/>
    <cellStyle name="Followed Hyperlink 3" xfId="19884" hidden="1" xr:uid="{00000000-0005-0000-0000-00008C440000}"/>
    <cellStyle name="Followed Hyperlink 3" xfId="19886" hidden="1" xr:uid="{00000000-0005-0000-0000-00008D440000}"/>
    <cellStyle name="Followed Hyperlink 3" xfId="19882" hidden="1" xr:uid="{00000000-0005-0000-0000-00008E440000}"/>
    <cellStyle name="Followed Hyperlink 3" xfId="19881" hidden="1" xr:uid="{00000000-0005-0000-0000-00008F440000}"/>
    <cellStyle name="Followed Hyperlink 3" xfId="19887" hidden="1" xr:uid="{00000000-0005-0000-0000-000090440000}"/>
    <cellStyle name="Followed Hyperlink 3" xfId="19890" hidden="1" xr:uid="{00000000-0005-0000-0000-000091440000}"/>
    <cellStyle name="Followed Hyperlink 3" xfId="19893" hidden="1" xr:uid="{00000000-0005-0000-0000-000092440000}"/>
    <cellStyle name="Followed Hyperlink 3" xfId="19898" hidden="1" xr:uid="{00000000-0005-0000-0000-000093440000}"/>
    <cellStyle name="Followed Hyperlink 3" xfId="19908" hidden="1" xr:uid="{00000000-0005-0000-0000-000094440000}"/>
    <cellStyle name="Followed Hyperlink 3" xfId="19910" hidden="1" xr:uid="{00000000-0005-0000-0000-000095440000}"/>
    <cellStyle name="Followed Hyperlink 3" xfId="19906" hidden="1" xr:uid="{00000000-0005-0000-0000-000096440000}"/>
    <cellStyle name="Followed Hyperlink 3" xfId="19905" hidden="1" xr:uid="{00000000-0005-0000-0000-000097440000}"/>
    <cellStyle name="Followed Hyperlink 3" xfId="19911" hidden="1" xr:uid="{00000000-0005-0000-0000-000098440000}"/>
    <cellStyle name="Followed Hyperlink 3" xfId="19914" hidden="1" xr:uid="{00000000-0005-0000-0000-000099440000}"/>
    <cellStyle name="Followed Hyperlink 3" xfId="19917" hidden="1" xr:uid="{00000000-0005-0000-0000-00009A440000}"/>
    <cellStyle name="Followed Hyperlink 3" xfId="19922" hidden="1" xr:uid="{00000000-0005-0000-0000-00009B440000}"/>
    <cellStyle name="Followed Hyperlink 3" xfId="19733" hidden="1" xr:uid="{00000000-0005-0000-0000-00009C440000}"/>
    <cellStyle name="Followed Hyperlink 3" xfId="19876" hidden="1" xr:uid="{00000000-0005-0000-0000-00009D440000}"/>
    <cellStyle name="Followed Hyperlink 3" xfId="19730" hidden="1" xr:uid="{00000000-0005-0000-0000-00009E440000}"/>
    <cellStyle name="Followed Hyperlink 3" xfId="19722" hidden="1" xr:uid="{00000000-0005-0000-0000-00009F440000}"/>
    <cellStyle name="Followed Hyperlink 3" xfId="19727" hidden="1" xr:uid="{00000000-0005-0000-0000-0000A0440000}"/>
    <cellStyle name="Followed Hyperlink 3" xfId="19927" hidden="1" xr:uid="{00000000-0005-0000-0000-0000A1440000}"/>
    <cellStyle name="Followed Hyperlink 3" xfId="19930" hidden="1" xr:uid="{00000000-0005-0000-0000-0000A2440000}"/>
    <cellStyle name="Followed Hyperlink 3" xfId="19935" hidden="1" xr:uid="{00000000-0005-0000-0000-0000A3440000}"/>
    <cellStyle name="Followed Hyperlink 3" xfId="19945" hidden="1" xr:uid="{00000000-0005-0000-0000-0000A4440000}"/>
    <cellStyle name="Followed Hyperlink 3" xfId="19947" hidden="1" xr:uid="{00000000-0005-0000-0000-0000A5440000}"/>
    <cellStyle name="Followed Hyperlink 3" xfId="19943" hidden="1" xr:uid="{00000000-0005-0000-0000-0000A6440000}"/>
    <cellStyle name="Followed Hyperlink 3" xfId="19942" hidden="1" xr:uid="{00000000-0005-0000-0000-0000A7440000}"/>
    <cellStyle name="Followed Hyperlink 3" xfId="19948" hidden="1" xr:uid="{00000000-0005-0000-0000-0000A8440000}"/>
    <cellStyle name="Followed Hyperlink 3" xfId="19951" hidden="1" xr:uid="{00000000-0005-0000-0000-0000A9440000}"/>
    <cellStyle name="Followed Hyperlink 3" xfId="19954" hidden="1" xr:uid="{00000000-0005-0000-0000-0000AA440000}"/>
    <cellStyle name="Followed Hyperlink 3" xfId="19959" hidden="1" xr:uid="{00000000-0005-0000-0000-0000AB440000}"/>
    <cellStyle name="Followed Hyperlink 3" xfId="19970" hidden="1" xr:uid="{00000000-0005-0000-0000-0000AC440000}"/>
    <cellStyle name="Followed Hyperlink 3" xfId="19972" hidden="1" xr:uid="{00000000-0005-0000-0000-0000AD440000}"/>
    <cellStyle name="Followed Hyperlink 3" xfId="19968" hidden="1" xr:uid="{00000000-0005-0000-0000-0000AE440000}"/>
    <cellStyle name="Followed Hyperlink 3" xfId="19967" hidden="1" xr:uid="{00000000-0005-0000-0000-0000AF440000}"/>
    <cellStyle name="Followed Hyperlink 3" xfId="19973" hidden="1" xr:uid="{00000000-0005-0000-0000-0000B0440000}"/>
    <cellStyle name="Followed Hyperlink 3" xfId="19976" hidden="1" xr:uid="{00000000-0005-0000-0000-0000B1440000}"/>
    <cellStyle name="Followed Hyperlink 3" xfId="19979" hidden="1" xr:uid="{00000000-0005-0000-0000-0000B2440000}"/>
    <cellStyle name="Followed Hyperlink 3" xfId="19984" hidden="1" xr:uid="{00000000-0005-0000-0000-0000B3440000}"/>
    <cellStyle name="Followed Hyperlink 3" xfId="19994" hidden="1" xr:uid="{00000000-0005-0000-0000-0000B4440000}"/>
    <cellStyle name="Followed Hyperlink 3" xfId="19996" hidden="1" xr:uid="{00000000-0005-0000-0000-0000B5440000}"/>
    <cellStyle name="Followed Hyperlink 3" xfId="19992" hidden="1" xr:uid="{00000000-0005-0000-0000-0000B6440000}"/>
    <cellStyle name="Followed Hyperlink 3" xfId="19991" hidden="1" xr:uid="{00000000-0005-0000-0000-0000B7440000}"/>
    <cellStyle name="Followed Hyperlink 3" xfId="19997" hidden="1" xr:uid="{00000000-0005-0000-0000-0000B8440000}"/>
    <cellStyle name="Followed Hyperlink 3" xfId="20000" hidden="1" xr:uid="{00000000-0005-0000-0000-0000B9440000}"/>
    <cellStyle name="Followed Hyperlink 3" xfId="20003" hidden="1" xr:uid="{00000000-0005-0000-0000-0000BA440000}"/>
    <cellStyle name="Followed Hyperlink 3" xfId="20008" hidden="1" xr:uid="{00000000-0005-0000-0000-0000BB440000}"/>
    <cellStyle name="Followed Hyperlink 3" xfId="19738" hidden="1" xr:uid="{00000000-0005-0000-0000-0000BC440000}"/>
    <cellStyle name="Followed Hyperlink 3" xfId="19962" hidden="1" xr:uid="{00000000-0005-0000-0000-0000BD440000}"/>
    <cellStyle name="Followed Hyperlink 3" xfId="19734" hidden="1" xr:uid="{00000000-0005-0000-0000-0000BE440000}"/>
    <cellStyle name="Followed Hyperlink 3" xfId="19739" hidden="1" xr:uid="{00000000-0005-0000-0000-0000BF440000}"/>
    <cellStyle name="Followed Hyperlink 3" xfId="19726" hidden="1" xr:uid="{00000000-0005-0000-0000-0000C0440000}"/>
    <cellStyle name="Followed Hyperlink 3" xfId="20013" hidden="1" xr:uid="{00000000-0005-0000-0000-0000C1440000}"/>
    <cellStyle name="Followed Hyperlink 3" xfId="20016" hidden="1" xr:uid="{00000000-0005-0000-0000-0000C2440000}"/>
    <cellStyle name="Followed Hyperlink 3" xfId="20021" hidden="1" xr:uid="{00000000-0005-0000-0000-0000C3440000}"/>
    <cellStyle name="Followed Hyperlink 3" xfId="20031" hidden="1" xr:uid="{00000000-0005-0000-0000-0000C4440000}"/>
    <cellStyle name="Followed Hyperlink 3" xfId="20033" hidden="1" xr:uid="{00000000-0005-0000-0000-0000C5440000}"/>
    <cellStyle name="Followed Hyperlink 3" xfId="20029" hidden="1" xr:uid="{00000000-0005-0000-0000-0000C6440000}"/>
    <cellStyle name="Followed Hyperlink 3" xfId="20028" hidden="1" xr:uid="{00000000-0005-0000-0000-0000C7440000}"/>
    <cellStyle name="Followed Hyperlink 3" xfId="20034" hidden="1" xr:uid="{00000000-0005-0000-0000-0000C8440000}"/>
    <cellStyle name="Followed Hyperlink 3" xfId="20037" hidden="1" xr:uid="{00000000-0005-0000-0000-0000C9440000}"/>
    <cellStyle name="Followed Hyperlink 3" xfId="20040" hidden="1" xr:uid="{00000000-0005-0000-0000-0000CA440000}"/>
    <cellStyle name="Followed Hyperlink 3" xfId="20045" hidden="1" xr:uid="{00000000-0005-0000-0000-0000CB440000}"/>
    <cellStyle name="Followed Hyperlink 3" xfId="20055" hidden="1" xr:uid="{00000000-0005-0000-0000-0000CC440000}"/>
    <cellStyle name="Followed Hyperlink 3" xfId="20057" hidden="1" xr:uid="{00000000-0005-0000-0000-0000CD440000}"/>
    <cellStyle name="Followed Hyperlink 3" xfId="20053" hidden="1" xr:uid="{00000000-0005-0000-0000-0000CE440000}"/>
    <cellStyle name="Followed Hyperlink 3" xfId="20052" hidden="1" xr:uid="{00000000-0005-0000-0000-0000CF440000}"/>
    <cellStyle name="Followed Hyperlink 3" xfId="20058" hidden="1" xr:uid="{00000000-0005-0000-0000-0000D0440000}"/>
    <cellStyle name="Followed Hyperlink 3" xfId="20061" hidden="1" xr:uid="{00000000-0005-0000-0000-0000D1440000}"/>
    <cellStyle name="Followed Hyperlink 3" xfId="20064" hidden="1" xr:uid="{00000000-0005-0000-0000-0000D2440000}"/>
    <cellStyle name="Followed Hyperlink 3" xfId="20069" hidden="1" xr:uid="{00000000-0005-0000-0000-0000D3440000}"/>
    <cellStyle name="Followed Hyperlink 3" xfId="20079" hidden="1" xr:uid="{00000000-0005-0000-0000-0000D4440000}"/>
    <cellStyle name="Followed Hyperlink 3" xfId="20081" hidden="1" xr:uid="{00000000-0005-0000-0000-0000D5440000}"/>
    <cellStyle name="Followed Hyperlink 3" xfId="20077" hidden="1" xr:uid="{00000000-0005-0000-0000-0000D6440000}"/>
    <cellStyle name="Followed Hyperlink 3" xfId="20076" hidden="1" xr:uid="{00000000-0005-0000-0000-0000D7440000}"/>
    <cellStyle name="Followed Hyperlink 3" xfId="20082" hidden="1" xr:uid="{00000000-0005-0000-0000-0000D8440000}"/>
    <cellStyle name="Followed Hyperlink 3" xfId="20085" hidden="1" xr:uid="{00000000-0005-0000-0000-0000D9440000}"/>
    <cellStyle name="Followed Hyperlink 3" xfId="20088" hidden="1" xr:uid="{00000000-0005-0000-0000-0000DA440000}"/>
    <cellStyle name="Followed Hyperlink 3" xfId="20093" hidden="1" xr:uid="{00000000-0005-0000-0000-0000DB440000}"/>
    <cellStyle name="Followed Hyperlink 3" xfId="19136" hidden="1" xr:uid="{00000000-0005-0000-0000-0000DC440000}"/>
    <cellStyle name="Followed Hyperlink 3" xfId="19663" hidden="1" xr:uid="{00000000-0005-0000-0000-0000DD440000}"/>
    <cellStyle name="Followed Hyperlink 3" xfId="19133" hidden="1" xr:uid="{00000000-0005-0000-0000-0000DE440000}"/>
    <cellStyle name="Followed Hyperlink 3" xfId="19125" hidden="1" xr:uid="{00000000-0005-0000-0000-0000DF440000}"/>
    <cellStyle name="Followed Hyperlink 3" xfId="19130" hidden="1" xr:uid="{00000000-0005-0000-0000-0000E0440000}"/>
    <cellStyle name="Followed Hyperlink 3" xfId="20098" hidden="1" xr:uid="{00000000-0005-0000-0000-0000E1440000}"/>
    <cellStyle name="Followed Hyperlink 3" xfId="20101" hidden="1" xr:uid="{00000000-0005-0000-0000-0000E2440000}"/>
    <cellStyle name="Followed Hyperlink 3" xfId="20106" hidden="1" xr:uid="{00000000-0005-0000-0000-0000E3440000}"/>
    <cellStyle name="Followed Hyperlink 3" xfId="20116" hidden="1" xr:uid="{00000000-0005-0000-0000-0000E4440000}"/>
    <cellStyle name="Followed Hyperlink 3" xfId="20118" hidden="1" xr:uid="{00000000-0005-0000-0000-0000E5440000}"/>
    <cellStyle name="Followed Hyperlink 3" xfId="20114" hidden="1" xr:uid="{00000000-0005-0000-0000-0000E6440000}"/>
    <cellStyle name="Followed Hyperlink 3" xfId="20113" hidden="1" xr:uid="{00000000-0005-0000-0000-0000E7440000}"/>
    <cellStyle name="Followed Hyperlink 3" xfId="20119" hidden="1" xr:uid="{00000000-0005-0000-0000-0000E8440000}"/>
    <cellStyle name="Followed Hyperlink 3" xfId="20122" hidden="1" xr:uid="{00000000-0005-0000-0000-0000E9440000}"/>
    <cellStyle name="Followed Hyperlink 3" xfId="20125" hidden="1" xr:uid="{00000000-0005-0000-0000-0000EA440000}"/>
    <cellStyle name="Followed Hyperlink 3" xfId="20130" hidden="1" xr:uid="{00000000-0005-0000-0000-0000EB440000}"/>
    <cellStyle name="Followed Hyperlink 3" xfId="20141" hidden="1" xr:uid="{00000000-0005-0000-0000-0000EC440000}"/>
    <cellStyle name="Followed Hyperlink 3" xfId="20143" hidden="1" xr:uid="{00000000-0005-0000-0000-0000ED440000}"/>
    <cellStyle name="Followed Hyperlink 3" xfId="20139" hidden="1" xr:uid="{00000000-0005-0000-0000-0000EE440000}"/>
    <cellStyle name="Followed Hyperlink 3" xfId="20138" hidden="1" xr:uid="{00000000-0005-0000-0000-0000EF440000}"/>
    <cellStyle name="Followed Hyperlink 3" xfId="20144" hidden="1" xr:uid="{00000000-0005-0000-0000-0000F0440000}"/>
    <cellStyle name="Followed Hyperlink 3" xfId="20147" hidden="1" xr:uid="{00000000-0005-0000-0000-0000F1440000}"/>
    <cellStyle name="Followed Hyperlink 3" xfId="20150" hidden="1" xr:uid="{00000000-0005-0000-0000-0000F2440000}"/>
    <cellStyle name="Followed Hyperlink 3" xfId="20155" hidden="1" xr:uid="{00000000-0005-0000-0000-0000F3440000}"/>
    <cellStyle name="Followed Hyperlink 3" xfId="20165" hidden="1" xr:uid="{00000000-0005-0000-0000-0000F4440000}"/>
    <cellStyle name="Followed Hyperlink 3" xfId="20167" hidden="1" xr:uid="{00000000-0005-0000-0000-0000F5440000}"/>
    <cellStyle name="Followed Hyperlink 3" xfId="20163" hidden="1" xr:uid="{00000000-0005-0000-0000-0000F6440000}"/>
    <cellStyle name="Followed Hyperlink 3" xfId="20162" hidden="1" xr:uid="{00000000-0005-0000-0000-0000F7440000}"/>
    <cellStyle name="Followed Hyperlink 3" xfId="20168" hidden="1" xr:uid="{00000000-0005-0000-0000-0000F8440000}"/>
    <cellStyle name="Followed Hyperlink 3" xfId="20171" hidden="1" xr:uid="{00000000-0005-0000-0000-0000F9440000}"/>
    <cellStyle name="Followed Hyperlink 3" xfId="20174" hidden="1" xr:uid="{00000000-0005-0000-0000-0000FA440000}"/>
    <cellStyle name="Followed Hyperlink 3" xfId="20179" hidden="1" xr:uid="{00000000-0005-0000-0000-0000FB440000}"/>
    <cellStyle name="Followed Hyperlink 3" xfId="20218" hidden="1" xr:uid="{00000000-0005-0000-0000-0000FC440000}"/>
    <cellStyle name="Followed Hyperlink 3" xfId="20220" hidden="1" xr:uid="{00000000-0005-0000-0000-0000FD440000}"/>
    <cellStyle name="Followed Hyperlink 3" xfId="20216" hidden="1" xr:uid="{00000000-0005-0000-0000-0000FE440000}"/>
    <cellStyle name="Followed Hyperlink 3" xfId="20215" hidden="1" xr:uid="{00000000-0005-0000-0000-0000FF440000}"/>
    <cellStyle name="Followed Hyperlink 3" xfId="20221" hidden="1" xr:uid="{00000000-0005-0000-0000-000000450000}"/>
    <cellStyle name="Followed Hyperlink 3" xfId="20224" hidden="1" xr:uid="{00000000-0005-0000-0000-000001450000}"/>
    <cellStyle name="Followed Hyperlink 3" xfId="20227" hidden="1" xr:uid="{00000000-0005-0000-0000-000002450000}"/>
    <cellStyle name="Followed Hyperlink 3" xfId="20232" hidden="1" xr:uid="{00000000-0005-0000-0000-000003450000}"/>
    <cellStyle name="Followed Hyperlink 3" xfId="20242" hidden="1" xr:uid="{00000000-0005-0000-0000-000004450000}"/>
    <cellStyle name="Followed Hyperlink 3" xfId="20244" hidden="1" xr:uid="{00000000-0005-0000-0000-000005450000}"/>
    <cellStyle name="Followed Hyperlink 3" xfId="20240" hidden="1" xr:uid="{00000000-0005-0000-0000-000006450000}"/>
    <cellStyle name="Followed Hyperlink 3" xfId="20239" hidden="1" xr:uid="{00000000-0005-0000-0000-000007450000}"/>
    <cellStyle name="Followed Hyperlink 3" xfId="20245" hidden="1" xr:uid="{00000000-0005-0000-0000-000008450000}"/>
    <cellStyle name="Followed Hyperlink 3" xfId="20248" hidden="1" xr:uid="{00000000-0005-0000-0000-000009450000}"/>
    <cellStyle name="Followed Hyperlink 3" xfId="20251" hidden="1" xr:uid="{00000000-0005-0000-0000-00000A450000}"/>
    <cellStyle name="Followed Hyperlink 3" xfId="20256" hidden="1" xr:uid="{00000000-0005-0000-0000-00000B450000}"/>
    <cellStyle name="Followed Hyperlink 3" xfId="20268" hidden="1" xr:uid="{00000000-0005-0000-0000-00000C450000}"/>
    <cellStyle name="Followed Hyperlink 3" xfId="20270" hidden="1" xr:uid="{00000000-0005-0000-0000-00000D450000}"/>
    <cellStyle name="Followed Hyperlink 3" xfId="20266" hidden="1" xr:uid="{00000000-0005-0000-0000-00000E450000}"/>
    <cellStyle name="Followed Hyperlink 3" xfId="20265" hidden="1" xr:uid="{00000000-0005-0000-0000-00000F450000}"/>
    <cellStyle name="Followed Hyperlink 3" xfId="20271" hidden="1" xr:uid="{00000000-0005-0000-0000-000010450000}"/>
    <cellStyle name="Followed Hyperlink 3" xfId="20274" hidden="1" xr:uid="{00000000-0005-0000-0000-000011450000}"/>
    <cellStyle name="Followed Hyperlink 3" xfId="20277" hidden="1" xr:uid="{00000000-0005-0000-0000-000012450000}"/>
    <cellStyle name="Followed Hyperlink 3" xfId="20282" hidden="1" xr:uid="{00000000-0005-0000-0000-000013450000}"/>
    <cellStyle name="Followed Hyperlink 3" xfId="20292" hidden="1" xr:uid="{00000000-0005-0000-0000-000014450000}"/>
    <cellStyle name="Followed Hyperlink 3" xfId="20294" hidden="1" xr:uid="{00000000-0005-0000-0000-000015450000}"/>
    <cellStyle name="Followed Hyperlink 3" xfId="20290" hidden="1" xr:uid="{00000000-0005-0000-0000-000016450000}"/>
    <cellStyle name="Followed Hyperlink 3" xfId="20289" hidden="1" xr:uid="{00000000-0005-0000-0000-000017450000}"/>
    <cellStyle name="Followed Hyperlink 3" xfId="20295" hidden="1" xr:uid="{00000000-0005-0000-0000-000018450000}"/>
    <cellStyle name="Followed Hyperlink 3" xfId="20298" hidden="1" xr:uid="{00000000-0005-0000-0000-000019450000}"/>
    <cellStyle name="Followed Hyperlink 3" xfId="20301" hidden="1" xr:uid="{00000000-0005-0000-0000-00001A450000}"/>
    <cellStyle name="Followed Hyperlink 3" xfId="20306" hidden="1" xr:uid="{00000000-0005-0000-0000-00001B450000}"/>
    <cellStyle name="Followed Hyperlink 3" xfId="20182" hidden="1" xr:uid="{00000000-0005-0000-0000-00001C450000}"/>
    <cellStyle name="Followed Hyperlink 3" xfId="20259" hidden="1" xr:uid="{00000000-0005-0000-0000-00001D450000}"/>
    <cellStyle name="Followed Hyperlink 3" xfId="20186" hidden="1" xr:uid="{00000000-0005-0000-0000-00001E450000}"/>
    <cellStyle name="Followed Hyperlink 3" xfId="20187" hidden="1" xr:uid="{00000000-0005-0000-0000-00001F450000}"/>
    <cellStyle name="Followed Hyperlink 3" xfId="20190" hidden="1" xr:uid="{00000000-0005-0000-0000-000020450000}"/>
    <cellStyle name="Followed Hyperlink 3" xfId="20311" hidden="1" xr:uid="{00000000-0005-0000-0000-000021450000}"/>
    <cellStyle name="Followed Hyperlink 3" xfId="20314" hidden="1" xr:uid="{00000000-0005-0000-0000-000022450000}"/>
    <cellStyle name="Followed Hyperlink 3" xfId="20319" hidden="1" xr:uid="{00000000-0005-0000-0000-000023450000}"/>
    <cellStyle name="Followed Hyperlink 3" xfId="20329" hidden="1" xr:uid="{00000000-0005-0000-0000-000024450000}"/>
    <cellStyle name="Followed Hyperlink 3" xfId="20331" hidden="1" xr:uid="{00000000-0005-0000-0000-000025450000}"/>
    <cellStyle name="Followed Hyperlink 3" xfId="20327" hidden="1" xr:uid="{00000000-0005-0000-0000-000026450000}"/>
    <cellStyle name="Followed Hyperlink 3" xfId="20326" hidden="1" xr:uid="{00000000-0005-0000-0000-000027450000}"/>
    <cellStyle name="Followed Hyperlink 3" xfId="20332" hidden="1" xr:uid="{00000000-0005-0000-0000-000028450000}"/>
    <cellStyle name="Followed Hyperlink 3" xfId="20335" hidden="1" xr:uid="{00000000-0005-0000-0000-000029450000}"/>
    <cellStyle name="Followed Hyperlink 3" xfId="20338" hidden="1" xr:uid="{00000000-0005-0000-0000-00002A450000}"/>
    <cellStyle name="Followed Hyperlink 3" xfId="20343" hidden="1" xr:uid="{00000000-0005-0000-0000-00002B450000}"/>
    <cellStyle name="Followed Hyperlink 3" xfId="20354" hidden="1" xr:uid="{00000000-0005-0000-0000-00002C450000}"/>
    <cellStyle name="Followed Hyperlink 3" xfId="20356" hidden="1" xr:uid="{00000000-0005-0000-0000-00002D450000}"/>
    <cellStyle name="Followed Hyperlink 3" xfId="20352" hidden="1" xr:uid="{00000000-0005-0000-0000-00002E450000}"/>
    <cellStyle name="Followed Hyperlink 3" xfId="20351" hidden="1" xr:uid="{00000000-0005-0000-0000-00002F450000}"/>
    <cellStyle name="Followed Hyperlink 3" xfId="20357" hidden="1" xr:uid="{00000000-0005-0000-0000-000030450000}"/>
    <cellStyle name="Followed Hyperlink 3" xfId="20360" hidden="1" xr:uid="{00000000-0005-0000-0000-000031450000}"/>
    <cellStyle name="Followed Hyperlink 3" xfId="20363" hidden="1" xr:uid="{00000000-0005-0000-0000-000032450000}"/>
    <cellStyle name="Followed Hyperlink 3" xfId="20368" hidden="1" xr:uid="{00000000-0005-0000-0000-000033450000}"/>
    <cellStyle name="Followed Hyperlink 3" xfId="20378" hidden="1" xr:uid="{00000000-0005-0000-0000-000034450000}"/>
    <cellStyle name="Followed Hyperlink 3" xfId="20380" hidden="1" xr:uid="{00000000-0005-0000-0000-000035450000}"/>
    <cellStyle name="Followed Hyperlink 3" xfId="20376" hidden="1" xr:uid="{00000000-0005-0000-0000-000036450000}"/>
    <cellStyle name="Followed Hyperlink 3" xfId="20375" hidden="1" xr:uid="{00000000-0005-0000-0000-000037450000}"/>
    <cellStyle name="Followed Hyperlink 3" xfId="20381" hidden="1" xr:uid="{00000000-0005-0000-0000-000038450000}"/>
    <cellStyle name="Followed Hyperlink 3" xfId="20384" hidden="1" xr:uid="{00000000-0005-0000-0000-000039450000}"/>
    <cellStyle name="Followed Hyperlink 3" xfId="20387" hidden="1" xr:uid="{00000000-0005-0000-0000-00003A450000}"/>
    <cellStyle name="Followed Hyperlink 3" xfId="20392" hidden="1" xr:uid="{00000000-0005-0000-0000-00003B450000}"/>
    <cellStyle name="Followed Hyperlink 3" xfId="20203" hidden="1" xr:uid="{00000000-0005-0000-0000-00003C450000}"/>
    <cellStyle name="Followed Hyperlink 3" xfId="20346" hidden="1" xr:uid="{00000000-0005-0000-0000-00003D450000}"/>
    <cellStyle name="Followed Hyperlink 3" xfId="20200" hidden="1" xr:uid="{00000000-0005-0000-0000-00003E450000}"/>
    <cellStyle name="Followed Hyperlink 3" xfId="20192" hidden="1" xr:uid="{00000000-0005-0000-0000-00003F450000}"/>
    <cellStyle name="Followed Hyperlink 3" xfId="20197" hidden="1" xr:uid="{00000000-0005-0000-0000-000040450000}"/>
    <cellStyle name="Followed Hyperlink 3" xfId="20397" hidden="1" xr:uid="{00000000-0005-0000-0000-000041450000}"/>
    <cellStyle name="Followed Hyperlink 3" xfId="20400" hidden="1" xr:uid="{00000000-0005-0000-0000-000042450000}"/>
    <cellStyle name="Followed Hyperlink 3" xfId="20405" hidden="1" xr:uid="{00000000-0005-0000-0000-000043450000}"/>
    <cellStyle name="Followed Hyperlink 3" xfId="20415" hidden="1" xr:uid="{00000000-0005-0000-0000-000044450000}"/>
    <cellStyle name="Followed Hyperlink 3" xfId="20417" hidden="1" xr:uid="{00000000-0005-0000-0000-000045450000}"/>
    <cellStyle name="Followed Hyperlink 3" xfId="20413" hidden="1" xr:uid="{00000000-0005-0000-0000-000046450000}"/>
    <cellStyle name="Followed Hyperlink 3" xfId="20412" hidden="1" xr:uid="{00000000-0005-0000-0000-000047450000}"/>
    <cellStyle name="Followed Hyperlink 3" xfId="20418" hidden="1" xr:uid="{00000000-0005-0000-0000-000048450000}"/>
    <cellStyle name="Followed Hyperlink 3" xfId="20421" hidden="1" xr:uid="{00000000-0005-0000-0000-000049450000}"/>
    <cellStyle name="Followed Hyperlink 3" xfId="20424" hidden="1" xr:uid="{00000000-0005-0000-0000-00004A450000}"/>
    <cellStyle name="Followed Hyperlink 3" xfId="20429" hidden="1" xr:uid="{00000000-0005-0000-0000-00004B450000}"/>
    <cellStyle name="Followed Hyperlink 3" xfId="20440" hidden="1" xr:uid="{00000000-0005-0000-0000-00004C450000}"/>
    <cellStyle name="Followed Hyperlink 3" xfId="20442" hidden="1" xr:uid="{00000000-0005-0000-0000-00004D450000}"/>
    <cellStyle name="Followed Hyperlink 3" xfId="20438" hidden="1" xr:uid="{00000000-0005-0000-0000-00004E450000}"/>
    <cellStyle name="Followed Hyperlink 3" xfId="20437" hidden="1" xr:uid="{00000000-0005-0000-0000-00004F450000}"/>
    <cellStyle name="Followed Hyperlink 3" xfId="20443" hidden="1" xr:uid="{00000000-0005-0000-0000-000050450000}"/>
    <cellStyle name="Followed Hyperlink 3" xfId="20446" hidden="1" xr:uid="{00000000-0005-0000-0000-000051450000}"/>
    <cellStyle name="Followed Hyperlink 3" xfId="20449" hidden="1" xr:uid="{00000000-0005-0000-0000-000052450000}"/>
    <cellStyle name="Followed Hyperlink 3" xfId="20454" hidden="1" xr:uid="{00000000-0005-0000-0000-000053450000}"/>
    <cellStyle name="Followed Hyperlink 3" xfId="20464" hidden="1" xr:uid="{00000000-0005-0000-0000-000054450000}"/>
    <cellStyle name="Followed Hyperlink 3" xfId="20466" hidden="1" xr:uid="{00000000-0005-0000-0000-000055450000}"/>
    <cellStyle name="Followed Hyperlink 3" xfId="20462" hidden="1" xr:uid="{00000000-0005-0000-0000-000056450000}"/>
    <cellStyle name="Followed Hyperlink 3" xfId="20461" hidden="1" xr:uid="{00000000-0005-0000-0000-000057450000}"/>
    <cellStyle name="Followed Hyperlink 3" xfId="20467" hidden="1" xr:uid="{00000000-0005-0000-0000-000058450000}"/>
    <cellStyle name="Followed Hyperlink 3" xfId="20470" hidden="1" xr:uid="{00000000-0005-0000-0000-000059450000}"/>
    <cellStyle name="Followed Hyperlink 3" xfId="20473" hidden="1" xr:uid="{00000000-0005-0000-0000-00005A450000}"/>
    <cellStyle name="Followed Hyperlink 3" xfId="20478" hidden="1" xr:uid="{00000000-0005-0000-0000-00005B450000}"/>
    <cellStyle name="Followed Hyperlink 3" xfId="20208" hidden="1" xr:uid="{00000000-0005-0000-0000-00005C450000}"/>
    <cellStyle name="Followed Hyperlink 3" xfId="20432" hidden="1" xr:uid="{00000000-0005-0000-0000-00005D450000}"/>
    <cellStyle name="Followed Hyperlink 3" xfId="20204" hidden="1" xr:uid="{00000000-0005-0000-0000-00005E450000}"/>
    <cellStyle name="Followed Hyperlink 3" xfId="20209" hidden="1" xr:uid="{00000000-0005-0000-0000-00005F450000}"/>
    <cellStyle name="Followed Hyperlink 3" xfId="20196" hidden="1" xr:uid="{00000000-0005-0000-0000-000060450000}"/>
    <cellStyle name="Followed Hyperlink 3" xfId="20483" hidden="1" xr:uid="{00000000-0005-0000-0000-000061450000}"/>
    <cellStyle name="Followed Hyperlink 3" xfId="20486" hidden="1" xr:uid="{00000000-0005-0000-0000-000062450000}"/>
    <cellStyle name="Followed Hyperlink 3" xfId="20491" hidden="1" xr:uid="{00000000-0005-0000-0000-000063450000}"/>
    <cellStyle name="Followed Hyperlink 3" xfId="20501" hidden="1" xr:uid="{00000000-0005-0000-0000-000064450000}"/>
    <cellStyle name="Followed Hyperlink 3" xfId="20503" hidden="1" xr:uid="{00000000-0005-0000-0000-000065450000}"/>
    <cellStyle name="Followed Hyperlink 3" xfId="20499" hidden="1" xr:uid="{00000000-0005-0000-0000-000066450000}"/>
    <cellStyle name="Followed Hyperlink 3" xfId="20498" hidden="1" xr:uid="{00000000-0005-0000-0000-000067450000}"/>
    <cellStyle name="Followed Hyperlink 3" xfId="20504" hidden="1" xr:uid="{00000000-0005-0000-0000-000068450000}"/>
    <cellStyle name="Followed Hyperlink 3" xfId="20507" hidden="1" xr:uid="{00000000-0005-0000-0000-000069450000}"/>
    <cellStyle name="Followed Hyperlink 3" xfId="20510" hidden="1" xr:uid="{00000000-0005-0000-0000-00006A450000}"/>
    <cellStyle name="Followed Hyperlink 3" xfId="20515" hidden="1" xr:uid="{00000000-0005-0000-0000-00006B450000}"/>
    <cellStyle name="Followed Hyperlink 3" xfId="20525" hidden="1" xr:uid="{00000000-0005-0000-0000-00006C450000}"/>
    <cellStyle name="Followed Hyperlink 3" xfId="20527" hidden="1" xr:uid="{00000000-0005-0000-0000-00006D450000}"/>
    <cellStyle name="Followed Hyperlink 3" xfId="20523" hidden="1" xr:uid="{00000000-0005-0000-0000-00006E450000}"/>
    <cellStyle name="Followed Hyperlink 3" xfId="20522" hidden="1" xr:uid="{00000000-0005-0000-0000-00006F450000}"/>
    <cellStyle name="Followed Hyperlink 3" xfId="20528" hidden="1" xr:uid="{00000000-0005-0000-0000-000070450000}"/>
    <cellStyle name="Followed Hyperlink 3" xfId="20531" hidden="1" xr:uid="{00000000-0005-0000-0000-000071450000}"/>
    <cellStyle name="Followed Hyperlink 3" xfId="20534" hidden="1" xr:uid="{00000000-0005-0000-0000-000072450000}"/>
    <cellStyle name="Followed Hyperlink 3" xfId="20539" hidden="1" xr:uid="{00000000-0005-0000-0000-000073450000}"/>
    <cellStyle name="Followed Hyperlink 3" xfId="20549" hidden="1" xr:uid="{00000000-0005-0000-0000-000074450000}"/>
    <cellStyle name="Followed Hyperlink 3" xfId="20551" hidden="1" xr:uid="{00000000-0005-0000-0000-000075450000}"/>
    <cellStyle name="Followed Hyperlink 3" xfId="20547" hidden="1" xr:uid="{00000000-0005-0000-0000-000076450000}"/>
    <cellStyle name="Followed Hyperlink 3" xfId="20546" hidden="1" xr:uid="{00000000-0005-0000-0000-000077450000}"/>
    <cellStyle name="Followed Hyperlink 3" xfId="20552" hidden="1" xr:uid="{00000000-0005-0000-0000-000078450000}"/>
    <cellStyle name="Followed Hyperlink 3" xfId="20555" hidden="1" xr:uid="{00000000-0005-0000-0000-000079450000}"/>
    <cellStyle name="Followed Hyperlink 3" xfId="20558" hidden="1" xr:uid="{00000000-0005-0000-0000-00007A450000}"/>
    <cellStyle name="Followed Hyperlink 3" xfId="20563" hidden="1" xr:uid="{00000000-0005-0000-0000-00007B450000}"/>
    <cellStyle name="Followed Hyperlink 3" xfId="19141" hidden="1" xr:uid="{00000000-0005-0000-0000-00007C450000}"/>
    <cellStyle name="Followed Hyperlink 3" xfId="20133" hidden="1" xr:uid="{00000000-0005-0000-0000-00007D450000}"/>
    <cellStyle name="Followed Hyperlink 3" xfId="19137" hidden="1" xr:uid="{00000000-0005-0000-0000-00007E450000}"/>
    <cellStyle name="Followed Hyperlink 3" xfId="19142" hidden="1" xr:uid="{00000000-0005-0000-0000-00007F450000}"/>
    <cellStyle name="Followed Hyperlink 3" xfId="19129" hidden="1" xr:uid="{00000000-0005-0000-0000-000080450000}"/>
    <cellStyle name="Followed Hyperlink 3" xfId="20568" hidden="1" xr:uid="{00000000-0005-0000-0000-000081450000}"/>
    <cellStyle name="Followed Hyperlink 3" xfId="20571" hidden="1" xr:uid="{00000000-0005-0000-0000-000082450000}"/>
    <cellStyle name="Followed Hyperlink 3" xfId="20576" hidden="1" xr:uid="{00000000-0005-0000-0000-000083450000}"/>
    <cellStyle name="Followed Hyperlink 3" xfId="20586" hidden="1" xr:uid="{00000000-0005-0000-0000-000084450000}"/>
    <cellStyle name="Followed Hyperlink 3" xfId="20588" hidden="1" xr:uid="{00000000-0005-0000-0000-000085450000}"/>
    <cellStyle name="Followed Hyperlink 3" xfId="20584" hidden="1" xr:uid="{00000000-0005-0000-0000-000086450000}"/>
    <cellStyle name="Followed Hyperlink 3" xfId="20583" hidden="1" xr:uid="{00000000-0005-0000-0000-000087450000}"/>
    <cellStyle name="Followed Hyperlink 3" xfId="20589" hidden="1" xr:uid="{00000000-0005-0000-0000-000088450000}"/>
    <cellStyle name="Followed Hyperlink 3" xfId="20592" hidden="1" xr:uid="{00000000-0005-0000-0000-000089450000}"/>
    <cellStyle name="Followed Hyperlink 3" xfId="20595" hidden="1" xr:uid="{00000000-0005-0000-0000-00008A450000}"/>
    <cellStyle name="Followed Hyperlink 3" xfId="20600" hidden="1" xr:uid="{00000000-0005-0000-0000-00008B450000}"/>
    <cellStyle name="Followed Hyperlink 3" xfId="20610" hidden="1" xr:uid="{00000000-0005-0000-0000-00008C450000}"/>
    <cellStyle name="Followed Hyperlink 3" xfId="20612" hidden="1" xr:uid="{00000000-0005-0000-0000-00008D450000}"/>
    <cellStyle name="Followed Hyperlink 3" xfId="20608" hidden="1" xr:uid="{00000000-0005-0000-0000-00008E450000}"/>
    <cellStyle name="Followed Hyperlink 3" xfId="20607" hidden="1" xr:uid="{00000000-0005-0000-0000-00008F450000}"/>
    <cellStyle name="Followed Hyperlink 3" xfId="20613" hidden="1" xr:uid="{00000000-0005-0000-0000-000090450000}"/>
    <cellStyle name="Followed Hyperlink 3" xfId="20616" hidden="1" xr:uid="{00000000-0005-0000-0000-000091450000}"/>
    <cellStyle name="Followed Hyperlink 3" xfId="20619" hidden="1" xr:uid="{00000000-0005-0000-0000-000092450000}"/>
    <cellStyle name="Followed Hyperlink 3" xfId="20624" hidden="1" xr:uid="{00000000-0005-0000-0000-000093450000}"/>
    <cellStyle name="Followed Hyperlink 3" xfId="20634" hidden="1" xr:uid="{00000000-0005-0000-0000-000094450000}"/>
    <cellStyle name="Followed Hyperlink 3" xfId="20636" hidden="1" xr:uid="{00000000-0005-0000-0000-000095450000}"/>
    <cellStyle name="Followed Hyperlink 3" xfId="20632" hidden="1" xr:uid="{00000000-0005-0000-0000-000096450000}"/>
    <cellStyle name="Followed Hyperlink 3" xfId="20631" hidden="1" xr:uid="{00000000-0005-0000-0000-000097450000}"/>
    <cellStyle name="Followed Hyperlink 3" xfId="20637" hidden="1" xr:uid="{00000000-0005-0000-0000-000098450000}"/>
    <cellStyle name="Followed Hyperlink 3" xfId="20640" hidden="1" xr:uid="{00000000-0005-0000-0000-000099450000}"/>
    <cellStyle name="Followed Hyperlink 3" xfId="20643" hidden="1" xr:uid="{00000000-0005-0000-0000-00009A450000}"/>
    <cellStyle name="Followed Hyperlink 3" xfId="20648" hidden="1" xr:uid="{00000000-0005-0000-0000-00009B450000}"/>
    <cellStyle name="Followed Hyperlink 3" xfId="20687" hidden="1" xr:uid="{00000000-0005-0000-0000-00009C450000}"/>
    <cellStyle name="Followed Hyperlink 3" xfId="20689" hidden="1" xr:uid="{00000000-0005-0000-0000-00009D450000}"/>
    <cellStyle name="Followed Hyperlink 3" xfId="20685" hidden="1" xr:uid="{00000000-0005-0000-0000-00009E450000}"/>
    <cellStyle name="Followed Hyperlink 3" xfId="20684" hidden="1" xr:uid="{00000000-0005-0000-0000-00009F450000}"/>
    <cellStyle name="Followed Hyperlink 3" xfId="20690" hidden="1" xr:uid="{00000000-0005-0000-0000-0000A0450000}"/>
    <cellStyle name="Followed Hyperlink 3" xfId="20693" hidden="1" xr:uid="{00000000-0005-0000-0000-0000A1450000}"/>
    <cellStyle name="Followed Hyperlink 3" xfId="20696" hidden="1" xr:uid="{00000000-0005-0000-0000-0000A2450000}"/>
    <cellStyle name="Followed Hyperlink 3" xfId="20701" hidden="1" xr:uid="{00000000-0005-0000-0000-0000A3450000}"/>
    <cellStyle name="Followed Hyperlink 3" xfId="20711" hidden="1" xr:uid="{00000000-0005-0000-0000-0000A4450000}"/>
    <cellStyle name="Followed Hyperlink 3" xfId="20713" hidden="1" xr:uid="{00000000-0005-0000-0000-0000A5450000}"/>
    <cellStyle name="Followed Hyperlink 3" xfId="20709" hidden="1" xr:uid="{00000000-0005-0000-0000-0000A6450000}"/>
    <cellStyle name="Followed Hyperlink 3" xfId="20708" hidden="1" xr:uid="{00000000-0005-0000-0000-0000A7450000}"/>
    <cellStyle name="Followed Hyperlink 3" xfId="20714" hidden="1" xr:uid="{00000000-0005-0000-0000-0000A8450000}"/>
    <cellStyle name="Followed Hyperlink 3" xfId="20717" hidden="1" xr:uid="{00000000-0005-0000-0000-0000A9450000}"/>
    <cellStyle name="Followed Hyperlink 3" xfId="20720" hidden="1" xr:uid="{00000000-0005-0000-0000-0000AA450000}"/>
    <cellStyle name="Followed Hyperlink 3" xfId="20725" hidden="1" xr:uid="{00000000-0005-0000-0000-0000AB450000}"/>
    <cellStyle name="Followed Hyperlink 3" xfId="20737" hidden="1" xr:uid="{00000000-0005-0000-0000-0000AC450000}"/>
    <cellStyle name="Followed Hyperlink 3" xfId="20739" hidden="1" xr:uid="{00000000-0005-0000-0000-0000AD450000}"/>
    <cellStyle name="Followed Hyperlink 3" xfId="20735" hidden="1" xr:uid="{00000000-0005-0000-0000-0000AE450000}"/>
    <cellStyle name="Followed Hyperlink 3" xfId="20734" hidden="1" xr:uid="{00000000-0005-0000-0000-0000AF450000}"/>
    <cellStyle name="Followed Hyperlink 3" xfId="20740" hidden="1" xr:uid="{00000000-0005-0000-0000-0000B0450000}"/>
    <cellStyle name="Followed Hyperlink 3" xfId="20743" hidden="1" xr:uid="{00000000-0005-0000-0000-0000B1450000}"/>
    <cellStyle name="Followed Hyperlink 3" xfId="20746" hidden="1" xr:uid="{00000000-0005-0000-0000-0000B2450000}"/>
    <cellStyle name="Followed Hyperlink 3" xfId="20751" hidden="1" xr:uid="{00000000-0005-0000-0000-0000B3450000}"/>
    <cellStyle name="Followed Hyperlink 3" xfId="20761" hidden="1" xr:uid="{00000000-0005-0000-0000-0000B4450000}"/>
    <cellStyle name="Followed Hyperlink 3" xfId="20763" hidden="1" xr:uid="{00000000-0005-0000-0000-0000B5450000}"/>
    <cellStyle name="Followed Hyperlink 3" xfId="20759" hidden="1" xr:uid="{00000000-0005-0000-0000-0000B6450000}"/>
    <cellStyle name="Followed Hyperlink 3" xfId="20758" hidden="1" xr:uid="{00000000-0005-0000-0000-0000B7450000}"/>
    <cellStyle name="Followed Hyperlink 3" xfId="20764" hidden="1" xr:uid="{00000000-0005-0000-0000-0000B8450000}"/>
    <cellStyle name="Followed Hyperlink 3" xfId="20767" hidden="1" xr:uid="{00000000-0005-0000-0000-0000B9450000}"/>
    <cellStyle name="Followed Hyperlink 3" xfId="20770" hidden="1" xr:uid="{00000000-0005-0000-0000-0000BA450000}"/>
    <cellStyle name="Followed Hyperlink 3" xfId="20775" hidden="1" xr:uid="{00000000-0005-0000-0000-0000BB450000}"/>
    <cellStyle name="Followed Hyperlink 3" xfId="20651" hidden="1" xr:uid="{00000000-0005-0000-0000-0000BC450000}"/>
    <cellStyle name="Followed Hyperlink 3" xfId="20728" hidden="1" xr:uid="{00000000-0005-0000-0000-0000BD450000}"/>
    <cellStyle name="Followed Hyperlink 3" xfId="20655" hidden="1" xr:uid="{00000000-0005-0000-0000-0000BE450000}"/>
    <cellStyle name="Followed Hyperlink 3" xfId="20656" hidden="1" xr:uid="{00000000-0005-0000-0000-0000BF450000}"/>
    <cellStyle name="Followed Hyperlink 3" xfId="20659" hidden="1" xr:uid="{00000000-0005-0000-0000-0000C0450000}"/>
    <cellStyle name="Followed Hyperlink 3" xfId="20780" hidden="1" xr:uid="{00000000-0005-0000-0000-0000C1450000}"/>
    <cellStyle name="Followed Hyperlink 3" xfId="20783" hidden="1" xr:uid="{00000000-0005-0000-0000-0000C2450000}"/>
    <cellStyle name="Followed Hyperlink 3" xfId="20788" hidden="1" xr:uid="{00000000-0005-0000-0000-0000C3450000}"/>
    <cellStyle name="Followed Hyperlink 3" xfId="20798" hidden="1" xr:uid="{00000000-0005-0000-0000-0000C4450000}"/>
    <cellStyle name="Followed Hyperlink 3" xfId="20800" hidden="1" xr:uid="{00000000-0005-0000-0000-0000C5450000}"/>
    <cellStyle name="Followed Hyperlink 3" xfId="20796" hidden="1" xr:uid="{00000000-0005-0000-0000-0000C6450000}"/>
    <cellStyle name="Followed Hyperlink 3" xfId="20795" hidden="1" xr:uid="{00000000-0005-0000-0000-0000C7450000}"/>
    <cellStyle name="Followed Hyperlink 3" xfId="20801" hidden="1" xr:uid="{00000000-0005-0000-0000-0000C8450000}"/>
    <cellStyle name="Followed Hyperlink 3" xfId="20804" hidden="1" xr:uid="{00000000-0005-0000-0000-0000C9450000}"/>
    <cellStyle name="Followed Hyperlink 3" xfId="20807" hidden="1" xr:uid="{00000000-0005-0000-0000-0000CA450000}"/>
    <cellStyle name="Followed Hyperlink 3" xfId="20812" hidden="1" xr:uid="{00000000-0005-0000-0000-0000CB450000}"/>
    <cellStyle name="Followed Hyperlink 3" xfId="20823" hidden="1" xr:uid="{00000000-0005-0000-0000-0000CC450000}"/>
    <cellStyle name="Followed Hyperlink 3" xfId="20825" hidden="1" xr:uid="{00000000-0005-0000-0000-0000CD450000}"/>
    <cellStyle name="Followed Hyperlink 3" xfId="20821" hidden="1" xr:uid="{00000000-0005-0000-0000-0000CE450000}"/>
    <cellStyle name="Followed Hyperlink 3" xfId="20820" hidden="1" xr:uid="{00000000-0005-0000-0000-0000CF450000}"/>
    <cellStyle name="Followed Hyperlink 3" xfId="20826" hidden="1" xr:uid="{00000000-0005-0000-0000-0000D0450000}"/>
    <cellStyle name="Followed Hyperlink 3" xfId="20829" hidden="1" xr:uid="{00000000-0005-0000-0000-0000D1450000}"/>
    <cellStyle name="Followed Hyperlink 3" xfId="20832" hidden="1" xr:uid="{00000000-0005-0000-0000-0000D2450000}"/>
    <cellStyle name="Followed Hyperlink 3" xfId="20837" hidden="1" xr:uid="{00000000-0005-0000-0000-0000D3450000}"/>
    <cellStyle name="Followed Hyperlink 3" xfId="20847" hidden="1" xr:uid="{00000000-0005-0000-0000-0000D4450000}"/>
    <cellStyle name="Followed Hyperlink 3" xfId="20849" hidden="1" xr:uid="{00000000-0005-0000-0000-0000D5450000}"/>
    <cellStyle name="Followed Hyperlink 3" xfId="20845" hidden="1" xr:uid="{00000000-0005-0000-0000-0000D6450000}"/>
    <cellStyle name="Followed Hyperlink 3" xfId="20844" hidden="1" xr:uid="{00000000-0005-0000-0000-0000D7450000}"/>
    <cellStyle name="Followed Hyperlink 3" xfId="20850" hidden="1" xr:uid="{00000000-0005-0000-0000-0000D8450000}"/>
    <cellStyle name="Followed Hyperlink 3" xfId="20853" hidden="1" xr:uid="{00000000-0005-0000-0000-0000D9450000}"/>
    <cellStyle name="Followed Hyperlink 3" xfId="20856" hidden="1" xr:uid="{00000000-0005-0000-0000-0000DA450000}"/>
    <cellStyle name="Followed Hyperlink 3" xfId="20861" hidden="1" xr:uid="{00000000-0005-0000-0000-0000DB450000}"/>
    <cellStyle name="Followed Hyperlink 3" xfId="20672" hidden="1" xr:uid="{00000000-0005-0000-0000-0000DC450000}"/>
    <cellStyle name="Followed Hyperlink 3" xfId="20815" hidden="1" xr:uid="{00000000-0005-0000-0000-0000DD450000}"/>
    <cellStyle name="Followed Hyperlink 3" xfId="20669" hidden="1" xr:uid="{00000000-0005-0000-0000-0000DE450000}"/>
    <cellStyle name="Followed Hyperlink 3" xfId="20661" hidden="1" xr:uid="{00000000-0005-0000-0000-0000DF450000}"/>
    <cellStyle name="Followed Hyperlink 3" xfId="20666" hidden="1" xr:uid="{00000000-0005-0000-0000-0000E0450000}"/>
    <cellStyle name="Followed Hyperlink 3" xfId="20866" hidden="1" xr:uid="{00000000-0005-0000-0000-0000E1450000}"/>
    <cellStyle name="Followed Hyperlink 3" xfId="20869" hidden="1" xr:uid="{00000000-0005-0000-0000-0000E2450000}"/>
    <cellStyle name="Followed Hyperlink 3" xfId="20874" hidden="1" xr:uid="{00000000-0005-0000-0000-0000E3450000}"/>
    <cellStyle name="Followed Hyperlink 3" xfId="20884" hidden="1" xr:uid="{00000000-0005-0000-0000-0000E4450000}"/>
    <cellStyle name="Followed Hyperlink 3" xfId="20886" hidden="1" xr:uid="{00000000-0005-0000-0000-0000E5450000}"/>
    <cellStyle name="Followed Hyperlink 3" xfId="20882" hidden="1" xr:uid="{00000000-0005-0000-0000-0000E6450000}"/>
    <cellStyle name="Followed Hyperlink 3" xfId="20881" hidden="1" xr:uid="{00000000-0005-0000-0000-0000E7450000}"/>
    <cellStyle name="Followed Hyperlink 3" xfId="20887" hidden="1" xr:uid="{00000000-0005-0000-0000-0000E8450000}"/>
    <cellStyle name="Followed Hyperlink 3" xfId="20890" hidden="1" xr:uid="{00000000-0005-0000-0000-0000E9450000}"/>
    <cellStyle name="Followed Hyperlink 3" xfId="20893" hidden="1" xr:uid="{00000000-0005-0000-0000-0000EA450000}"/>
    <cellStyle name="Followed Hyperlink 3" xfId="20898" hidden="1" xr:uid="{00000000-0005-0000-0000-0000EB450000}"/>
    <cellStyle name="Followed Hyperlink 3" xfId="20909" hidden="1" xr:uid="{00000000-0005-0000-0000-0000EC450000}"/>
    <cellStyle name="Followed Hyperlink 3" xfId="20911" hidden="1" xr:uid="{00000000-0005-0000-0000-0000ED450000}"/>
    <cellStyle name="Followed Hyperlink 3" xfId="20907" hidden="1" xr:uid="{00000000-0005-0000-0000-0000EE450000}"/>
    <cellStyle name="Followed Hyperlink 3" xfId="20906" hidden="1" xr:uid="{00000000-0005-0000-0000-0000EF450000}"/>
    <cellStyle name="Followed Hyperlink 3" xfId="20912" hidden="1" xr:uid="{00000000-0005-0000-0000-0000F0450000}"/>
    <cellStyle name="Followed Hyperlink 3" xfId="20915" hidden="1" xr:uid="{00000000-0005-0000-0000-0000F1450000}"/>
    <cellStyle name="Followed Hyperlink 3" xfId="20918" hidden="1" xr:uid="{00000000-0005-0000-0000-0000F2450000}"/>
    <cellStyle name="Followed Hyperlink 3" xfId="20923" hidden="1" xr:uid="{00000000-0005-0000-0000-0000F3450000}"/>
    <cellStyle name="Followed Hyperlink 3" xfId="20933" hidden="1" xr:uid="{00000000-0005-0000-0000-0000F4450000}"/>
    <cellStyle name="Followed Hyperlink 3" xfId="20935" hidden="1" xr:uid="{00000000-0005-0000-0000-0000F5450000}"/>
    <cellStyle name="Followed Hyperlink 3" xfId="20931" hidden="1" xr:uid="{00000000-0005-0000-0000-0000F6450000}"/>
    <cellStyle name="Followed Hyperlink 3" xfId="20930" hidden="1" xr:uid="{00000000-0005-0000-0000-0000F7450000}"/>
    <cellStyle name="Followed Hyperlink 3" xfId="20936" hidden="1" xr:uid="{00000000-0005-0000-0000-0000F8450000}"/>
    <cellStyle name="Followed Hyperlink 3" xfId="20939" hidden="1" xr:uid="{00000000-0005-0000-0000-0000F9450000}"/>
    <cellStyle name="Followed Hyperlink 3" xfId="20942" hidden="1" xr:uid="{00000000-0005-0000-0000-0000FA450000}"/>
    <cellStyle name="Followed Hyperlink 3" xfId="20947" hidden="1" xr:uid="{00000000-0005-0000-0000-0000FB450000}"/>
    <cellStyle name="Followed Hyperlink 3" xfId="20677" hidden="1" xr:uid="{00000000-0005-0000-0000-0000FC450000}"/>
    <cellStyle name="Followed Hyperlink 3" xfId="20901" hidden="1" xr:uid="{00000000-0005-0000-0000-0000FD450000}"/>
    <cellStyle name="Followed Hyperlink 3" xfId="20673" hidden="1" xr:uid="{00000000-0005-0000-0000-0000FE450000}"/>
    <cellStyle name="Followed Hyperlink 3" xfId="20678" hidden="1" xr:uid="{00000000-0005-0000-0000-0000FF450000}"/>
    <cellStyle name="Followed Hyperlink 3" xfId="20665" hidden="1" xr:uid="{00000000-0005-0000-0000-000000460000}"/>
    <cellStyle name="Followed Hyperlink 3" xfId="20952" hidden="1" xr:uid="{00000000-0005-0000-0000-000001460000}"/>
    <cellStyle name="Followed Hyperlink 3" xfId="20955" hidden="1" xr:uid="{00000000-0005-0000-0000-000002460000}"/>
    <cellStyle name="Followed Hyperlink 3" xfId="20960" hidden="1" xr:uid="{00000000-0005-0000-0000-000003460000}"/>
    <cellStyle name="Followed Hyperlink 3" xfId="20970" hidden="1" xr:uid="{00000000-0005-0000-0000-000004460000}"/>
    <cellStyle name="Followed Hyperlink 3" xfId="20972" hidden="1" xr:uid="{00000000-0005-0000-0000-000005460000}"/>
    <cellStyle name="Followed Hyperlink 3" xfId="20968" hidden="1" xr:uid="{00000000-0005-0000-0000-000006460000}"/>
    <cellStyle name="Followed Hyperlink 3" xfId="20967" hidden="1" xr:uid="{00000000-0005-0000-0000-000007460000}"/>
    <cellStyle name="Followed Hyperlink 3" xfId="20973" hidden="1" xr:uid="{00000000-0005-0000-0000-000008460000}"/>
    <cellStyle name="Followed Hyperlink 3" xfId="20976" hidden="1" xr:uid="{00000000-0005-0000-0000-000009460000}"/>
    <cellStyle name="Followed Hyperlink 3" xfId="20979" hidden="1" xr:uid="{00000000-0005-0000-0000-00000A460000}"/>
    <cellStyle name="Followed Hyperlink 3" xfId="20984" hidden="1" xr:uid="{00000000-0005-0000-0000-00000B460000}"/>
    <cellStyle name="Followed Hyperlink 3" xfId="20994" hidden="1" xr:uid="{00000000-0005-0000-0000-00000C460000}"/>
    <cellStyle name="Followed Hyperlink 3" xfId="20996" hidden="1" xr:uid="{00000000-0005-0000-0000-00000D460000}"/>
    <cellStyle name="Followed Hyperlink 3" xfId="20992" hidden="1" xr:uid="{00000000-0005-0000-0000-00000E460000}"/>
    <cellStyle name="Followed Hyperlink 3" xfId="20991" hidden="1" xr:uid="{00000000-0005-0000-0000-00000F460000}"/>
    <cellStyle name="Followed Hyperlink 3" xfId="20997" hidden="1" xr:uid="{00000000-0005-0000-0000-000010460000}"/>
    <cellStyle name="Followed Hyperlink 3" xfId="21000" hidden="1" xr:uid="{00000000-0005-0000-0000-000011460000}"/>
    <cellStyle name="Followed Hyperlink 3" xfId="21003" hidden="1" xr:uid="{00000000-0005-0000-0000-000012460000}"/>
    <cellStyle name="Followed Hyperlink 3" xfId="21008" hidden="1" xr:uid="{00000000-0005-0000-0000-000013460000}"/>
    <cellStyle name="Followed Hyperlink 3" xfId="21018" hidden="1" xr:uid="{00000000-0005-0000-0000-000014460000}"/>
    <cellStyle name="Followed Hyperlink 3" xfId="21020" hidden="1" xr:uid="{00000000-0005-0000-0000-000015460000}"/>
    <cellStyle name="Followed Hyperlink 3" xfId="21016" hidden="1" xr:uid="{00000000-0005-0000-0000-000016460000}"/>
    <cellStyle name="Followed Hyperlink 3" xfId="21015" hidden="1" xr:uid="{00000000-0005-0000-0000-000017460000}"/>
    <cellStyle name="Followed Hyperlink 3" xfId="21021" hidden="1" xr:uid="{00000000-0005-0000-0000-000018460000}"/>
    <cellStyle name="Followed Hyperlink 3" xfId="21024" hidden="1" xr:uid="{00000000-0005-0000-0000-000019460000}"/>
    <cellStyle name="Followed Hyperlink 3" xfId="21027" hidden="1" xr:uid="{00000000-0005-0000-0000-00001A460000}"/>
    <cellStyle name="Followed Hyperlink 3" xfId="21032" hidden="1" xr:uid="{00000000-0005-0000-0000-00001B460000}"/>
    <cellStyle name="Followed Hyperlink 3" xfId="17003" hidden="1" xr:uid="{00000000-0005-0000-0000-00001C460000}"/>
    <cellStyle name="Followed Hyperlink 3" xfId="19066" hidden="1" xr:uid="{00000000-0005-0000-0000-00001D460000}"/>
    <cellStyle name="Followed Hyperlink 3" xfId="17000" hidden="1" xr:uid="{00000000-0005-0000-0000-00001E460000}"/>
    <cellStyle name="Followed Hyperlink 3" xfId="16992" hidden="1" xr:uid="{00000000-0005-0000-0000-00001F460000}"/>
    <cellStyle name="Followed Hyperlink 3" xfId="16997" hidden="1" xr:uid="{00000000-0005-0000-0000-000020460000}"/>
    <cellStyle name="Followed Hyperlink 3" xfId="21037" hidden="1" xr:uid="{00000000-0005-0000-0000-000021460000}"/>
    <cellStyle name="Followed Hyperlink 3" xfId="21040" hidden="1" xr:uid="{00000000-0005-0000-0000-000022460000}"/>
    <cellStyle name="Followed Hyperlink 3" xfId="21045" hidden="1" xr:uid="{00000000-0005-0000-0000-000023460000}"/>
    <cellStyle name="Followed Hyperlink 3" xfId="21055" hidden="1" xr:uid="{00000000-0005-0000-0000-000024460000}"/>
    <cellStyle name="Followed Hyperlink 3" xfId="21057" hidden="1" xr:uid="{00000000-0005-0000-0000-000025460000}"/>
    <cellStyle name="Followed Hyperlink 3" xfId="21053" hidden="1" xr:uid="{00000000-0005-0000-0000-000026460000}"/>
    <cellStyle name="Followed Hyperlink 3" xfId="21052" hidden="1" xr:uid="{00000000-0005-0000-0000-000027460000}"/>
    <cellStyle name="Followed Hyperlink 3" xfId="21058" hidden="1" xr:uid="{00000000-0005-0000-0000-000028460000}"/>
    <cellStyle name="Followed Hyperlink 3" xfId="21061" hidden="1" xr:uid="{00000000-0005-0000-0000-000029460000}"/>
    <cellStyle name="Followed Hyperlink 3" xfId="21064" hidden="1" xr:uid="{00000000-0005-0000-0000-00002A460000}"/>
    <cellStyle name="Followed Hyperlink 3" xfId="21069" hidden="1" xr:uid="{00000000-0005-0000-0000-00002B460000}"/>
    <cellStyle name="Followed Hyperlink 3" xfId="21080" hidden="1" xr:uid="{00000000-0005-0000-0000-00002C460000}"/>
    <cellStyle name="Followed Hyperlink 3" xfId="21082" hidden="1" xr:uid="{00000000-0005-0000-0000-00002D460000}"/>
    <cellStyle name="Followed Hyperlink 3" xfId="21078" hidden="1" xr:uid="{00000000-0005-0000-0000-00002E460000}"/>
    <cellStyle name="Followed Hyperlink 3" xfId="21077" hidden="1" xr:uid="{00000000-0005-0000-0000-00002F460000}"/>
    <cellStyle name="Followed Hyperlink 3" xfId="21083" hidden="1" xr:uid="{00000000-0005-0000-0000-000030460000}"/>
    <cellStyle name="Followed Hyperlink 3" xfId="21086" hidden="1" xr:uid="{00000000-0005-0000-0000-000031460000}"/>
    <cellStyle name="Followed Hyperlink 3" xfId="21089" hidden="1" xr:uid="{00000000-0005-0000-0000-000032460000}"/>
    <cellStyle name="Followed Hyperlink 3" xfId="21094" hidden="1" xr:uid="{00000000-0005-0000-0000-000033460000}"/>
    <cellStyle name="Followed Hyperlink 3" xfId="21104" hidden="1" xr:uid="{00000000-0005-0000-0000-000034460000}"/>
    <cellStyle name="Followed Hyperlink 3" xfId="21106" hidden="1" xr:uid="{00000000-0005-0000-0000-000035460000}"/>
    <cellStyle name="Followed Hyperlink 3" xfId="21102" hidden="1" xr:uid="{00000000-0005-0000-0000-000036460000}"/>
    <cellStyle name="Followed Hyperlink 3" xfId="21101" hidden="1" xr:uid="{00000000-0005-0000-0000-000037460000}"/>
    <cellStyle name="Followed Hyperlink 3" xfId="21107" hidden="1" xr:uid="{00000000-0005-0000-0000-000038460000}"/>
    <cellStyle name="Followed Hyperlink 3" xfId="21110" hidden="1" xr:uid="{00000000-0005-0000-0000-000039460000}"/>
    <cellStyle name="Followed Hyperlink 3" xfId="21113" hidden="1" xr:uid="{00000000-0005-0000-0000-00003A460000}"/>
    <cellStyle name="Followed Hyperlink 3" xfId="21118" hidden="1" xr:uid="{00000000-0005-0000-0000-00003B460000}"/>
    <cellStyle name="Followed Hyperlink 3" xfId="21157" hidden="1" xr:uid="{00000000-0005-0000-0000-00003C460000}"/>
    <cellStyle name="Followed Hyperlink 3" xfId="21159" hidden="1" xr:uid="{00000000-0005-0000-0000-00003D460000}"/>
    <cellStyle name="Followed Hyperlink 3" xfId="21155" hidden="1" xr:uid="{00000000-0005-0000-0000-00003E460000}"/>
    <cellStyle name="Followed Hyperlink 3" xfId="21154" hidden="1" xr:uid="{00000000-0005-0000-0000-00003F460000}"/>
    <cellStyle name="Followed Hyperlink 3" xfId="21160" hidden="1" xr:uid="{00000000-0005-0000-0000-000040460000}"/>
    <cellStyle name="Followed Hyperlink 3" xfId="21163" hidden="1" xr:uid="{00000000-0005-0000-0000-000041460000}"/>
    <cellStyle name="Followed Hyperlink 3" xfId="21166" hidden="1" xr:uid="{00000000-0005-0000-0000-000042460000}"/>
    <cellStyle name="Followed Hyperlink 3" xfId="21171" hidden="1" xr:uid="{00000000-0005-0000-0000-000043460000}"/>
    <cellStyle name="Followed Hyperlink 3" xfId="21181" hidden="1" xr:uid="{00000000-0005-0000-0000-000044460000}"/>
    <cellStyle name="Followed Hyperlink 3" xfId="21183" hidden="1" xr:uid="{00000000-0005-0000-0000-000045460000}"/>
    <cellStyle name="Followed Hyperlink 3" xfId="21179" hidden="1" xr:uid="{00000000-0005-0000-0000-000046460000}"/>
    <cellStyle name="Followed Hyperlink 3" xfId="21178" hidden="1" xr:uid="{00000000-0005-0000-0000-000047460000}"/>
    <cellStyle name="Followed Hyperlink 3" xfId="21184" hidden="1" xr:uid="{00000000-0005-0000-0000-000048460000}"/>
    <cellStyle name="Followed Hyperlink 3" xfId="21187" hidden="1" xr:uid="{00000000-0005-0000-0000-000049460000}"/>
    <cellStyle name="Followed Hyperlink 3" xfId="21190" hidden="1" xr:uid="{00000000-0005-0000-0000-00004A460000}"/>
    <cellStyle name="Followed Hyperlink 3" xfId="21195" hidden="1" xr:uid="{00000000-0005-0000-0000-00004B460000}"/>
    <cellStyle name="Followed Hyperlink 3" xfId="21207" hidden="1" xr:uid="{00000000-0005-0000-0000-00004C460000}"/>
    <cellStyle name="Followed Hyperlink 3" xfId="21209" hidden="1" xr:uid="{00000000-0005-0000-0000-00004D460000}"/>
    <cellStyle name="Followed Hyperlink 3" xfId="21205" hidden="1" xr:uid="{00000000-0005-0000-0000-00004E460000}"/>
    <cellStyle name="Followed Hyperlink 3" xfId="21204" hidden="1" xr:uid="{00000000-0005-0000-0000-00004F460000}"/>
    <cellStyle name="Followed Hyperlink 3" xfId="21210" hidden="1" xr:uid="{00000000-0005-0000-0000-000050460000}"/>
    <cellStyle name="Followed Hyperlink 3" xfId="21213" hidden="1" xr:uid="{00000000-0005-0000-0000-000051460000}"/>
    <cellStyle name="Followed Hyperlink 3" xfId="21216" hidden="1" xr:uid="{00000000-0005-0000-0000-000052460000}"/>
    <cellStyle name="Followed Hyperlink 3" xfId="21221" hidden="1" xr:uid="{00000000-0005-0000-0000-000053460000}"/>
    <cellStyle name="Followed Hyperlink 3" xfId="21231" hidden="1" xr:uid="{00000000-0005-0000-0000-000054460000}"/>
    <cellStyle name="Followed Hyperlink 3" xfId="21233" hidden="1" xr:uid="{00000000-0005-0000-0000-000055460000}"/>
    <cellStyle name="Followed Hyperlink 3" xfId="21229" hidden="1" xr:uid="{00000000-0005-0000-0000-000056460000}"/>
    <cellStyle name="Followed Hyperlink 3" xfId="21228" hidden="1" xr:uid="{00000000-0005-0000-0000-000057460000}"/>
    <cellStyle name="Followed Hyperlink 3" xfId="21234" hidden="1" xr:uid="{00000000-0005-0000-0000-000058460000}"/>
    <cellStyle name="Followed Hyperlink 3" xfId="21237" hidden="1" xr:uid="{00000000-0005-0000-0000-000059460000}"/>
    <cellStyle name="Followed Hyperlink 3" xfId="21240" hidden="1" xr:uid="{00000000-0005-0000-0000-00005A460000}"/>
    <cellStyle name="Followed Hyperlink 3" xfId="21245" hidden="1" xr:uid="{00000000-0005-0000-0000-00005B460000}"/>
    <cellStyle name="Followed Hyperlink 3" xfId="21284" hidden="1" xr:uid="{00000000-0005-0000-0000-00005C460000}"/>
    <cellStyle name="Followed Hyperlink 3" xfId="21286" hidden="1" xr:uid="{00000000-0005-0000-0000-00005D460000}"/>
    <cellStyle name="Followed Hyperlink 3" xfId="21282" hidden="1" xr:uid="{00000000-0005-0000-0000-00005E460000}"/>
    <cellStyle name="Followed Hyperlink 3" xfId="21281" hidden="1" xr:uid="{00000000-0005-0000-0000-00005F460000}"/>
    <cellStyle name="Followed Hyperlink 3" xfId="21287" hidden="1" xr:uid="{00000000-0005-0000-0000-000060460000}"/>
    <cellStyle name="Followed Hyperlink 3" xfId="21290" hidden="1" xr:uid="{00000000-0005-0000-0000-000061460000}"/>
    <cellStyle name="Followed Hyperlink 3" xfId="21293" hidden="1" xr:uid="{00000000-0005-0000-0000-000062460000}"/>
    <cellStyle name="Followed Hyperlink 3" xfId="21298" hidden="1" xr:uid="{00000000-0005-0000-0000-000063460000}"/>
    <cellStyle name="Followed Hyperlink 3" xfId="21308" hidden="1" xr:uid="{00000000-0005-0000-0000-000064460000}"/>
    <cellStyle name="Followed Hyperlink 3" xfId="21310" hidden="1" xr:uid="{00000000-0005-0000-0000-000065460000}"/>
    <cellStyle name="Followed Hyperlink 3" xfId="21306" hidden="1" xr:uid="{00000000-0005-0000-0000-000066460000}"/>
    <cellStyle name="Followed Hyperlink 3" xfId="21305" hidden="1" xr:uid="{00000000-0005-0000-0000-000067460000}"/>
    <cellStyle name="Followed Hyperlink 3" xfId="21311" hidden="1" xr:uid="{00000000-0005-0000-0000-000068460000}"/>
    <cellStyle name="Followed Hyperlink 3" xfId="21314" hidden="1" xr:uid="{00000000-0005-0000-0000-000069460000}"/>
    <cellStyle name="Followed Hyperlink 3" xfId="21317" hidden="1" xr:uid="{00000000-0005-0000-0000-00006A460000}"/>
    <cellStyle name="Followed Hyperlink 3" xfId="21322" hidden="1" xr:uid="{00000000-0005-0000-0000-00006B460000}"/>
    <cellStyle name="Followed Hyperlink 3" xfId="21334" hidden="1" xr:uid="{00000000-0005-0000-0000-00006C460000}"/>
    <cellStyle name="Followed Hyperlink 3" xfId="21336" hidden="1" xr:uid="{00000000-0005-0000-0000-00006D460000}"/>
    <cellStyle name="Followed Hyperlink 3" xfId="21332" hidden="1" xr:uid="{00000000-0005-0000-0000-00006E460000}"/>
    <cellStyle name="Followed Hyperlink 3" xfId="21331" hidden="1" xr:uid="{00000000-0005-0000-0000-00006F460000}"/>
    <cellStyle name="Followed Hyperlink 3" xfId="21337" hidden="1" xr:uid="{00000000-0005-0000-0000-000070460000}"/>
    <cellStyle name="Followed Hyperlink 3" xfId="21340" hidden="1" xr:uid="{00000000-0005-0000-0000-000071460000}"/>
    <cellStyle name="Followed Hyperlink 3" xfId="21343" hidden="1" xr:uid="{00000000-0005-0000-0000-000072460000}"/>
    <cellStyle name="Followed Hyperlink 3" xfId="21348" hidden="1" xr:uid="{00000000-0005-0000-0000-000073460000}"/>
    <cellStyle name="Followed Hyperlink 3" xfId="21358" hidden="1" xr:uid="{00000000-0005-0000-0000-000074460000}"/>
    <cellStyle name="Followed Hyperlink 3" xfId="21360" hidden="1" xr:uid="{00000000-0005-0000-0000-000075460000}"/>
    <cellStyle name="Followed Hyperlink 3" xfId="21356" hidden="1" xr:uid="{00000000-0005-0000-0000-000076460000}"/>
    <cellStyle name="Followed Hyperlink 3" xfId="21355" hidden="1" xr:uid="{00000000-0005-0000-0000-000077460000}"/>
    <cellStyle name="Followed Hyperlink 3" xfId="21361" hidden="1" xr:uid="{00000000-0005-0000-0000-000078460000}"/>
    <cellStyle name="Followed Hyperlink 3" xfId="21364" hidden="1" xr:uid="{00000000-0005-0000-0000-000079460000}"/>
    <cellStyle name="Followed Hyperlink 3" xfId="21367" hidden="1" xr:uid="{00000000-0005-0000-0000-00007A460000}"/>
    <cellStyle name="Followed Hyperlink 3" xfId="21372" hidden="1" xr:uid="{00000000-0005-0000-0000-00007B460000}"/>
    <cellStyle name="Followed Hyperlink 3" xfId="21248" hidden="1" xr:uid="{00000000-0005-0000-0000-00007C460000}"/>
    <cellStyle name="Followed Hyperlink 3" xfId="21325" hidden="1" xr:uid="{00000000-0005-0000-0000-00007D460000}"/>
    <cellStyle name="Followed Hyperlink 3" xfId="21252" hidden="1" xr:uid="{00000000-0005-0000-0000-00007E460000}"/>
    <cellStyle name="Followed Hyperlink 3" xfId="21253" hidden="1" xr:uid="{00000000-0005-0000-0000-00007F460000}"/>
    <cellStyle name="Followed Hyperlink 3" xfId="21256" hidden="1" xr:uid="{00000000-0005-0000-0000-000080460000}"/>
    <cellStyle name="Followed Hyperlink 3" xfId="21377" hidden="1" xr:uid="{00000000-0005-0000-0000-000081460000}"/>
    <cellStyle name="Followed Hyperlink 3" xfId="21380" hidden="1" xr:uid="{00000000-0005-0000-0000-000082460000}"/>
    <cellStyle name="Followed Hyperlink 3" xfId="21385" hidden="1" xr:uid="{00000000-0005-0000-0000-000083460000}"/>
    <cellStyle name="Followed Hyperlink 3" xfId="21395" hidden="1" xr:uid="{00000000-0005-0000-0000-000084460000}"/>
    <cellStyle name="Followed Hyperlink 3" xfId="21397" hidden="1" xr:uid="{00000000-0005-0000-0000-000085460000}"/>
    <cellStyle name="Followed Hyperlink 3" xfId="21393" hidden="1" xr:uid="{00000000-0005-0000-0000-000086460000}"/>
    <cellStyle name="Followed Hyperlink 3" xfId="21392" hidden="1" xr:uid="{00000000-0005-0000-0000-000087460000}"/>
    <cellStyle name="Followed Hyperlink 3" xfId="21398" hidden="1" xr:uid="{00000000-0005-0000-0000-000088460000}"/>
    <cellStyle name="Followed Hyperlink 3" xfId="21401" hidden="1" xr:uid="{00000000-0005-0000-0000-000089460000}"/>
    <cellStyle name="Followed Hyperlink 3" xfId="21404" hidden="1" xr:uid="{00000000-0005-0000-0000-00008A460000}"/>
    <cellStyle name="Followed Hyperlink 3" xfId="21409" hidden="1" xr:uid="{00000000-0005-0000-0000-00008B460000}"/>
    <cellStyle name="Followed Hyperlink 3" xfId="21420" hidden="1" xr:uid="{00000000-0005-0000-0000-00008C460000}"/>
    <cellStyle name="Followed Hyperlink 3" xfId="21422" hidden="1" xr:uid="{00000000-0005-0000-0000-00008D460000}"/>
    <cellStyle name="Followed Hyperlink 3" xfId="21418" hidden="1" xr:uid="{00000000-0005-0000-0000-00008E460000}"/>
    <cellStyle name="Followed Hyperlink 3" xfId="21417" hidden="1" xr:uid="{00000000-0005-0000-0000-00008F460000}"/>
    <cellStyle name="Followed Hyperlink 3" xfId="21423" hidden="1" xr:uid="{00000000-0005-0000-0000-000090460000}"/>
    <cellStyle name="Followed Hyperlink 3" xfId="21426" hidden="1" xr:uid="{00000000-0005-0000-0000-000091460000}"/>
    <cellStyle name="Followed Hyperlink 3" xfId="21429" hidden="1" xr:uid="{00000000-0005-0000-0000-000092460000}"/>
    <cellStyle name="Followed Hyperlink 3" xfId="21434" hidden="1" xr:uid="{00000000-0005-0000-0000-000093460000}"/>
    <cellStyle name="Followed Hyperlink 3" xfId="21444" hidden="1" xr:uid="{00000000-0005-0000-0000-000094460000}"/>
    <cellStyle name="Followed Hyperlink 3" xfId="21446" hidden="1" xr:uid="{00000000-0005-0000-0000-000095460000}"/>
    <cellStyle name="Followed Hyperlink 3" xfId="21442" hidden="1" xr:uid="{00000000-0005-0000-0000-000096460000}"/>
    <cellStyle name="Followed Hyperlink 3" xfId="21441" hidden="1" xr:uid="{00000000-0005-0000-0000-000097460000}"/>
    <cellStyle name="Followed Hyperlink 3" xfId="21447" hidden="1" xr:uid="{00000000-0005-0000-0000-000098460000}"/>
    <cellStyle name="Followed Hyperlink 3" xfId="21450" hidden="1" xr:uid="{00000000-0005-0000-0000-000099460000}"/>
    <cellStyle name="Followed Hyperlink 3" xfId="21453" hidden="1" xr:uid="{00000000-0005-0000-0000-00009A460000}"/>
    <cellStyle name="Followed Hyperlink 3" xfId="21458" hidden="1" xr:uid="{00000000-0005-0000-0000-00009B460000}"/>
    <cellStyle name="Followed Hyperlink 3" xfId="21269" hidden="1" xr:uid="{00000000-0005-0000-0000-00009C460000}"/>
    <cellStyle name="Followed Hyperlink 3" xfId="21412" hidden="1" xr:uid="{00000000-0005-0000-0000-00009D460000}"/>
    <cellStyle name="Followed Hyperlink 3" xfId="21266" hidden="1" xr:uid="{00000000-0005-0000-0000-00009E460000}"/>
    <cellStyle name="Followed Hyperlink 3" xfId="21258" hidden="1" xr:uid="{00000000-0005-0000-0000-00009F460000}"/>
    <cellStyle name="Followed Hyperlink 3" xfId="21263" hidden="1" xr:uid="{00000000-0005-0000-0000-0000A0460000}"/>
    <cellStyle name="Followed Hyperlink 3" xfId="21463" hidden="1" xr:uid="{00000000-0005-0000-0000-0000A1460000}"/>
    <cellStyle name="Followed Hyperlink 3" xfId="21466" hidden="1" xr:uid="{00000000-0005-0000-0000-0000A2460000}"/>
    <cellStyle name="Followed Hyperlink 3" xfId="21471" hidden="1" xr:uid="{00000000-0005-0000-0000-0000A3460000}"/>
    <cellStyle name="Followed Hyperlink 3" xfId="21481" hidden="1" xr:uid="{00000000-0005-0000-0000-0000A4460000}"/>
    <cellStyle name="Followed Hyperlink 3" xfId="21483" hidden="1" xr:uid="{00000000-0005-0000-0000-0000A5460000}"/>
    <cellStyle name="Followed Hyperlink 3" xfId="21479" hidden="1" xr:uid="{00000000-0005-0000-0000-0000A6460000}"/>
    <cellStyle name="Followed Hyperlink 3" xfId="21478" hidden="1" xr:uid="{00000000-0005-0000-0000-0000A7460000}"/>
    <cellStyle name="Followed Hyperlink 3" xfId="21484" hidden="1" xr:uid="{00000000-0005-0000-0000-0000A8460000}"/>
    <cellStyle name="Followed Hyperlink 3" xfId="21487" hidden="1" xr:uid="{00000000-0005-0000-0000-0000A9460000}"/>
    <cellStyle name="Followed Hyperlink 3" xfId="21490" hidden="1" xr:uid="{00000000-0005-0000-0000-0000AA460000}"/>
    <cellStyle name="Followed Hyperlink 3" xfId="21495" hidden="1" xr:uid="{00000000-0005-0000-0000-0000AB460000}"/>
    <cellStyle name="Followed Hyperlink 3" xfId="21506" hidden="1" xr:uid="{00000000-0005-0000-0000-0000AC460000}"/>
    <cellStyle name="Followed Hyperlink 3" xfId="21508" hidden="1" xr:uid="{00000000-0005-0000-0000-0000AD460000}"/>
    <cellStyle name="Followed Hyperlink 3" xfId="21504" hidden="1" xr:uid="{00000000-0005-0000-0000-0000AE460000}"/>
    <cellStyle name="Followed Hyperlink 3" xfId="21503" hidden="1" xr:uid="{00000000-0005-0000-0000-0000AF460000}"/>
    <cellStyle name="Followed Hyperlink 3" xfId="21509" hidden="1" xr:uid="{00000000-0005-0000-0000-0000B0460000}"/>
    <cellStyle name="Followed Hyperlink 3" xfId="21512" hidden="1" xr:uid="{00000000-0005-0000-0000-0000B1460000}"/>
    <cellStyle name="Followed Hyperlink 3" xfId="21515" hidden="1" xr:uid="{00000000-0005-0000-0000-0000B2460000}"/>
    <cellStyle name="Followed Hyperlink 3" xfId="21520" hidden="1" xr:uid="{00000000-0005-0000-0000-0000B3460000}"/>
    <cellStyle name="Followed Hyperlink 3" xfId="21530" hidden="1" xr:uid="{00000000-0005-0000-0000-0000B4460000}"/>
    <cellStyle name="Followed Hyperlink 3" xfId="21532" hidden="1" xr:uid="{00000000-0005-0000-0000-0000B5460000}"/>
    <cellStyle name="Followed Hyperlink 3" xfId="21528" hidden="1" xr:uid="{00000000-0005-0000-0000-0000B6460000}"/>
    <cellStyle name="Followed Hyperlink 3" xfId="21527" hidden="1" xr:uid="{00000000-0005-0000-0000-0000B7460000}"/>
    <cellStyle name="Followed Hyperlink 3" xfId="21533" hidden="1" xr:uid="{00000000-0005-0000-0000-0000B8460000}"/>
    <cellStyle name="Followed Hyperlink 3" xfId="21536" hidden="1" xr:uid="{00000000-0005-0000-0000-0000B9460000}"/>
    <cellStyle name="Followed Hyperlink 3" xfId="21539" hidden="1" xr:uid="{00000000-0005-0000-0000-0000BA460000}"/>
    <cellStyle name="Followed Hyperlink 3" xfId="21544" hidden="1" xr:uid="{00000000-0005-0000-0000-0000BB460000}"/>
    <cellStyle name="Followed Hyperlink 3" xfId="21274" hidden="1" xr:uid="{00000000-0005-0000-0000-0000BC460000}"/>
    <cellStyle name="Followed Hyperlink 3" xfId="21498" hidden="1" xr:uid="{00000000-0005-0000-0000-0000BD460000}"/>
    <cellStyle name="Followed Hyperlink 3" xfId="21270" hidden="1" xr:uid="{00000000-0005-0000-0000-0000BE460000}"/>
    <cellStyle name="Followed Hyperlink 3" xfId="21275" hidden="1" xr:uid="{00000000-0005-0000-0000-0000BF460000}"/>
    <cellStyle name="Followed Hyperlink 3" xfId="21262" hidden="1" xr:uid="{00000000-0005-0000-0000-0000C0460000}"/>
    <cellStyle name="Followed Hyperlink 3" xfId="21549" hidden="1" xr:uid="{00000000-0005-0000-0000-0000C1460000}"/>
    <cellStyle name="Followed Hyperlink 3" xfId="21552" hidden="1" xr:uid="{00000000-0005-0000-0000-0000C2460000}"/>
    <cellStyle name="Followed Hyperlink 3" xfId="21557" hidden="1" xr:uid="{00000000-0005-0000-0000-0000C3460000}"/>
    <cellStyle name="Followed Hyperlink 3" xfId="21567" hidden="1" xr:uid="{00000000-0005-0000-0000-0000C4460000}"/>
    <cellStyle name="Followed Hyperlink 3" xfId="21569" hidden="1" xr:uid="{00000000-0005-0000-0000-0000C5460000}"/>
    <cellStyle name="Followed Hyperlink 3" xfId="21565" hidden="1" xr:uid="{00000000-0005-0000-0000-0000C6460000}"/>
    <cellStyle name="Followed Hyperlink 3" xfId="21564" hidden="1" xr:uid="{00000000-0005-0000-0000-0000C7460000}"/>
    <cellStyle name="Followed Hyperlink 3" xfId="21570" hidden="1" xr:uid="{00000000-0005-0000-0000-0000C8460000}"/>
    <cellStyle name="Followed Hyperlink 3" xfId="21573" hidden="1" xr:uid="{00000000-0005-0000-0000-0000C9460000}"/>
    <cellStyle name="Followed Hyperlink 3" xfId="21576" hidden="1" xr:uid="{00000000-0005-0000-0000-0000CA460000}"/>
    <cellStyle name="Followed Hyperlink 3" xfId="21581" hidden="1" xr:uid="{00000000-0005-0000-0000-0000CB460000}"/>
    <cellStyle name="Followed Hyperlink 3" xfId="21591" hidden="1" xr:uid="{00000000-0005-0000-0000-0000CC460000}"/>
    <cellStyle name="Followed Hyperlink 3" xfId="21593" hidden="1" xr:uid="{00000000-0005-0000-0000-0000CD460000}"/>
    <cellStyle name="Followed Hyperlink 3" xfId="21589" hidden="1" xr:uid="{00000000-0005-0000-0000-0000CE460000}"/>
    <cellStyle name="Followed Hyperlink 3" xfId="21588" hidden="1" xr:uid="{00000000-0005-0000-0000-0000CF460000}"/>
    <cellStyle name="Followed Hyperlink 3" xfId="21594" hidden="1" xr:uid="{00000000-0005-0000-0000-0000D0460000}"/>
    <cellStyle name="Followed Hyperlink 3" xfId="21597" hidden="1" xr:uid="{00000000-0005-0000-0000-0000D1460000}"/>
    <cellStyle name="Followed Hyperlink 3" xfId="21600" hidden="1" xr:uid="{00000000-0005-0000-0000-0000D2460000}"/>
    <cellStyle name="Followed Hyperlink 3" xfId="21605" hidden="1" xr:uid="{00000000-0005-0000-0000-0000D3460000}"/>
    <cellStyle name="Followed Hyperlink 3" xfId="21615" hidden="1" xr:uid="{00000000-0005-0000-0000-0000D4460000}"/>
    <cellStyle name="Followed Hyperlink 3" xfId="21617" hidden="1" xr:uid="{00000000-0005-0000-0000-0000D5460000}"/>
    <cellStyle name="Followed Hyperlink 3" xfId="21613" hidden="1" xr:uid="{00000000-0005-0000-0000-0000D6460000}"/>
    <cellStyle name="Followed Hyperlink 3" xfId="21612" hidden="1" xr:uid="{00000000-0005-0000-0000-0000D7460000}"/>
    <cellStyle name="Followed Hyperlink 3" xfId="21618" hidden="1" xr:uid="{00000000-0005-0000-0000-0000D8460000}"/>
    <cellStyle name="Followed Hyperlink 3" xfId="21621" hidden="1" xr:uid="{00000000-0005-0000-0000-0000D9460000}"/>
    <cellStyle name="Followed Hyperlink 3" xfId="21624" hidden="1" xr:uid="{00000000-0005-0000-0000-0000DA460000}"/>
    <cellStyle name="Followed Hyperlink 3" xfId="21629" hidden="1" xr:uid="{00000000-0005-0000-0000-0000DB460000}"/>
    <cellStyle name="Followed Hyperlink 3" xfId="21121" hidden="1" xr:uid="{00000000-0005-0000-0000-0000DC460000}"/>
    <cellStyle name="Followed Hyperlink 3" xfId="21198" hidden="1" xr:uid="{00000000-0005-0000-0000-0000DD460000}"/>
    <cellStyle name="Followed Hyperlink 3" xfId="21125" hidden="1" xr:uid="{00000000-0005-0000-0000-0000DE460000}"/>
    <cellStyle name="Followed Hyperlink 3" xfId="21126" hidden="1" xr:uid="{00000000-0005-0000-0000-0000DF460000}"/>
    <cellStyle name="Followed Hyperlink 3" xfId="21129" hidden="1" xr:uid="{00000000-0005-0000-0000-0000E0460000}"/>
    <cellStyle name="Followed Hyperlink 3" xfId="21634" hidden="1" xr:uid="{00000000-0005-0000-0000-0000E1460000}"/>
    <cellStyle name="Followed Hyperlink 3" xfId="21637" hidden="1" xr:uid="{00000000-0005-0000-0000-0000E2460000}"/>
    <cellStyle name="Followed Hyperlink 3" xfId="21642" hidden="1" xr:uid="{00000000-0005-0000-0000-0000E3460000}"/>
    <cellStyle name="Followed Hyperlink 3" xfId="21652" hidden="1" xr:uid="{00000000-0005-0000-0000-0000E4460000}"/>
    <cellStyle name="Followed Hyperlink 3" xfId="21654" hidden="1" xr:uid="{00000000-0005-0000-0000-0000E5460000}"/>
    <cellStyle name="Followed Hyperlink 3" xfId="21650" hidden="1" xr:uid="{00000000-0005-0000-0000-0000E6460000}"/>
    <cellStyle name="Followed Hyperlink 3" xfId="21649" hidden="1" xr:uid="{00000000-0005-0000-0000-0000E7460000}"/>
    <cellStyle name="Followed Hyperlink 3" xfId="21655" hidden="1" xr:uid="{00000000-0005-0000-0000-0000E8460000}"/>
    <cellStyle name="Followed Hyperlink 3" xfId="21658" hidden="1" xr:uid="{00000000-0005-0000-0000-0000E9460000}"/>
    <cellStyle name="Followed Hyperlink 3" xfId="21661" hidden="1" xr:uid="{00000000-0005-0000-0000-0000EA460000}"/>
    <cellStyle name="Followed Hyperlink 3" xfId="21666" hidden="1" xr:uid="{00000000-0005-0000-0000-0000EB460000}"/>
    <cellStyle name="Followed Hyperlink 3" xfId="21677" hidden="1" xr:uid="{00000000-0005-0000-0000-0000EC460000}"/>
    <cellStyle name="Followed Hyperlink 3" xfId="21679" hidden="1" xr:uid="{00000000-0005-0000-0000-0000ED460000}"/>
    <cellStyle name="Followed Hyperlink 3" xfId="21675" hidden="1" xr:uid="{00000000-0005-0000-0000-0000EE460000}"/>
    <cellStyle name="Followed Hyperlink 3" xfId="21674" hidden="1" xr:uid="{00000000-0005-0000-0000-0000EF460000}"/>
    <cellStyle name="Followed Hyperlink 3" xfId="21680" hidden="1" xr:uid="{00000000-0005-0000-0000-0000F0460000}"/>
    <cellStyle name="Followed Hyperlink 3" xfId="21683" hidden="1" xr:uid="{00000000-0005-0000-0000-0000F1460000}"/>
    <cellStyle name="Followed Hyperlink 3" xfId="21686" hidden="1" xr:uid="{00000000-0005-0000-0000-0000F2460000}"/>
    <cellStyle name="Followed Hyperlink 3" xfId="21691" hidden="1" xr:uid="{00000000-0005-0000-0000-0000F3460000}"/>
    <cellStyle name="Followed Hyperlink 3" xfId="21701" hidden="1" xr:uid="{00000000-0005-0000-0000-0000F4460000}"/>
    <cellStyle name="Followed Hyperlink 3" xfId="21703" hidden="1" xr:uid="{00000000-0005-0000-0000-0000F5460000}"/>
    <cellStyle name="Followed Hyperlink 3" xfId="21699" hidden="1" xr:uid="{00000000-0005-0000-0000-0000F6460000}"/>
    <cellStyle name="Followed Hyperlink 3" xfId="21698" hidden="1" xr:uid="{00000000-0005-0000-0000-0000F7460000}"/>
    <cellStyle name="Followed Hyperlink 3" xfId="21704" hidden="1" xr:uid="{00000000-0005-0000-0000-0000F8460000}"/>
    <cellStyle name="Followed Hyperlink 3" xfId="21707" hidden="1" xr:uid="{00000000-0005-0000-0000-0000F9460000}"/>
    <cellStyle name="Followed Hyperlink 3" xfId="21710" hidden="1" xr:uid="{00000000-0005-0000-0000-0000FA460000}"/>
    <cellStyle name="Followed Hyperlink 3" xfId="21715" hidden="1" xr:uid="{00000000-0005-0000-0000-0000FB460000}"/>
    <cellStyle name="Followed Hyperlink 3" xfId="21754" hidden="1" xr:uid="{00000000-0005-0000-0000-0000FC460000}"/>
    <cellStyle name="Followed Hyperlink 3" xfId="21756" hidden="1" xr:uid="{00000000-0005-0000-0000-0000FD460000}"/>
    <cellStyle name="Followed Hyperlink 3" xfId="21752" hidden="1" xr:uid="{00000000-0005-0000-0000-0000FE460000}"/>
    <cellStyle name="Followed Hyperlink 3" xfId="21751" hidden="1" xr:uid="{00000000-0005-0000-0000-0000FF460000}"/>
    <cellStyle name="Followed Hyperlink 3" xfId="21757" hidden="1" xr:uid="{00000000-0005-0000-0000-000000470000}"/>
    <cellStyle name="Followed Hyperlink 3" xfId="21760" hidden="1" xr:uid="{00000000-0005-0000-0000-000001470000}"/>
    <cellStyle name="Followed Hyperlink 3" xfId="21763" hidden="1" xr:uid="{00000000-0005-0000-0000-000002470000}"/>
    <cellStyle name="Followed Hyperlink 3" xfId="21768" hidden="1" xr:uid="{00000000-0005-0000-0000-000003470000}"/>
    <cellStyle name="Followed Hyperlink 3" xfId="21778" hidden="1" xr:uid="{00000000-0005-0000-0000-000004470000}"/>
    <cellStyle name="Followed Hyperlink 3" xfId="21780" hidden="1" xr:uid="{00000000-0005-0000-0000-000005470000}"/>
    <cellStyle name="Followed Hyperlink 3" xfId="21776" hidden="1" xr:uid="{00000000-0005-0000-0000-000006470000}"/>
    <cellStyle name="Followed Hyperlink 3" xfId="21775" hidden="1" xr:uid="{00000000-0005-0000-0000-000007470000}"/>
    <cellStyle name="Followed Hyperlink 3" xfId="21781" hidden="1" xr:uid="{00000000-0005-0000-0000-000008470000}"/>
    <cellStyle name="Followed Hyperlink 3" xfId="21784" hidden="1" xr:uid="{00000000-0005-0000-0000-000009470000}"/>
    <cellStyle name="Followed Hyperlink 3" xfId="21787" hidden="1" xr:uid="{00000000-0005-0000-0000-00000A470000}"/>
    <cellStyle name="Followed Hyperlink 3" xfId="21792" hidden="1" xr:uid="{00000000-0005-0000-0000-00000B470000}"/>
    <cellStyle name="Followed Hyperlink 3" xfId="21804" hidden="1" xr:uid="{00000000-0005-0000-0000-00000C470000}"/>
    <cellStyle name="Followed Hyperlink 3" xfId="21806" hidden="1" xr:uid="{00000000-0005-0000-0000-00000D470000}"/>
    <cellStyle name="Followed Hyperlink 3" xfId="21802" hidden="1" xr:uid="{00000000-0005-0000-0000-00000E470000}"/>
    <cellStyle name="Followed Hyperlink 3" xfId="21801" hidden="1" xr:uid="{00000000-0005-0000-0000-00000F470000}"/>
    <cellStyle name="Followed Hyperlink 3" xfId="21807" hidden="1" xr:uid="{00000000-0005-0000-0000-000010470000}"/>
    <cellStyle name="Followed Hyperlink 3" xfId="21810" hidden="1" xr:uid="{00000000-0005-0000-0000-000011470000}"/>
    <cellStyle name="Followed Hyperlink 3" xfId="21813" hidden="1" xr:uid="{00000000-0005-0000-0000-000012470000}"/>
    <cellStyle name="Followed Hyperlink 3" xfId="21818" hidden="1" xr:uid="{00000000-0005-0000-0000-000013470000}"/>
    <cellStyle name="Followed Hyperlink 3" xfId="21828" hidden="1" xr:uid="{00000000-0005-0000-0000-000014470000}"/>
    <cellStyle name="Followed Hyperlink 3" xfId="21830" hidden="1" xr:uid="{00000000-0005-0000-0000-000015470000}"/>
    <cellStyle name="Followed Hyperlink 3" xfId="21826" hidden="1" xr:uid="{00000000-0005-0000-0000-000016470000}"/>
    <cellStyle name="Followed Hyperlink 3" xfId="21825" hidden="1" xr:uid="{00000000-0005-0000-0000-000017470000}"/>
    <cellStyle name="Followed Hyperlink 3" xfId="21831" hidden="1" xr:uid="{00000000-0005-0000-0000-000018470000}"/>
    <cellStyle name="Followed Hyperlink 3" xfId="21834" hidden="1" xr:uid="{00000000-0005-0000-0000-000019470000}"/>
    <cellStyle name="Followed Hyperlink 3" xfId="21837" hidden="1" xr:uid="{00000000-0005-0000-0000-00001A470000}"/>
    <cellStyle name="Followed Hyperlink 3" xfId="21842" hidden="1" xr:uid="{00000000-0005-0000-0000-00001B470000}"/>
    <cellStyle name="Followed Hyperlink 3" xfId="21718" hidden="1" xr:uid="{00000000-0005-0000-0000-00001C470000}"/>
    <cellStyle name="Followed Hyperlink 3" xfId="21795" hidden="1" xr:uid="{00000000-0005-0000-0000-00001D470000}"/>
    <cellStyle name="Followed Hyperlink 3" xfId="21722" hidden="1" xr:uid="{00000000-0005-0000-0000-00001E470000}"/>
    <cellStyle name="Followed Hyperlink 3" xfId="21723" hidden="1" xr:uid="{00000000-0005-0000-0000-00001F470000}"/>
    <cellStyle name="Followed Hyperlink 3" xfId="21726" hidden="1" xr:uid="{00000000-0005-0000-0000-000020470000}"/>
    <cellStyle name="Followed Hyperlink 3" xfId="21847" hidden="1" xr:uid="{00000000-0005-0000-0000-000021470000}"/>
    <cellStyle name="Followed Hyperlink 3" xfId="21850" hidden="1" xr:uid="{00000000-0005-0000-0000-000022470000}"/>
    <cellStyle name="Followed Hyperlink 3" xfId="21855" hidden="1" xr:uid="{00000000-0005-0000-0000-000023470000}"/>
    <cellStyle name="Followed Hyperlink 3" xfId="21865" hidden="1" xr:uid="{00000000-0005-0000-0000-000024470000}"/>
    <cellStyle name="Followed Hyperlink 3" xfId="21867" hidden="1" xr:uid="{00000000-0005-0000-0000-000025470000}"/>
    <cellStyle name="Followed Hyperlink 3" xfId="21863" hidden="1" xr:uid="{00000000-0005-0000-0000-000026470000}"/>
    <cellStyle name="Followed Hyperlink 3" xfId="21862" hidden="1" xr:uid="{00000000-0005-0000-0000-000027470000}"/>
    <cellStyle name="Followed Hyperlink 3" xfId="21868" hidden="1" xr:uid="{00000000-0005-0000-0000-000028470000}"/>
    <cellStyle name="Followed Hyperlink 3" xfId="21871" hidden="1" xr:uid="{00000000-0005-0000-0000-000029470000}"/>
    <cellStyle name="Followed Hyperlink 3" xfId="21874" hidden="1" xr:uid="{00000000-0005-0000-0000-00002A470000}"/>
    <cellStyle name="Followed Hyperlink 3" xfId="21879" hidden="1" xr:uid="{00000000-0005-0000-0000-00002B470000}"/>
    <cellStyle name="Followed Hyperlink 3" xfId="21890" hidden="1" xr:uid="{00000000-0005-0000-0000-00002C470000}"/>
    <cellStyle name="Followed Hyperlink 3" xfId="21892" hidden="1" xr:uid="{00000000-0005-0000-0000-00002D470000}"/>
    <cellStyle name="Followed Hyperlink 3" xfId="21888" hidden="1" xr:uid="{00000000-0005-0000-0000-00002E470000}"/>
    <cellStyle name="Followed Hyperlink 3" xfId="21887" hidden="1" xr:uid="{00000000-0005-0000-0000-00002F470000}"/>
    <cellStyle name="Followed Hyperlink 3" xfId="21893" hidden="1" xr:uid="{00000000-0005-0000-0000-000030470000}"/>
    <cellStyle name="Followed Hyperlink 3" xfId="21896" hidden="1" xr:uid="{00000000-0005-0000-0000-000031470000}"/>
    <cellStyle name="Followed Hyperlink 3" xfId="21899" hidden="1" xr:uid="{00000000-0005-0000-0000-000032470000}"/>
    <cellStyle name="Followed Hyperlink 3" xfId="21904" hidden="1" xr:uid="{00000000-0005-0000-0000-000033470000}"/>
    <cellStyle name="Followed Hyperlink 3" xfId="21914" hidden="1" xr:uid="{00000000-0005-0000-0000-000034470000}"/>
    <cellStyle name="Followed Hyperlink 3" xfId="21916" hidden="1" xr:uid="{00000000-0005-0000-0000-000035470000}"/>
    <cellStyle name="Followed Hyperlink 3" xfId="21912" hidden="1" xr:uid="{00000000-0005-0000-0000-000036470000}"/>
    <cellStyle name="Followed Hyperlink 3" xfId="21911" hidden="1" xr:uid="{00000000-0005-0000-0000-000037470000}"/>
    <cellStyle name="Followed Hyperlink 3" xfId="21917" hidden="1" xr:uid="{00000000-0005-0000-0000-000038470000}"/>
    <cellStyle name="Followed Hyperlink 3" xfId="21920" hidden="1" xr:uid="{00000000-0005-0000-0000-000039470000}"/>
    <cellStyle name="Followed Hyperlink 3" xfId="21923" hidden="1" xr:uid="{00000000-0005-0000-0000-00003A470000}"/>
    <cellStyle name="Followed Hyperlink 3" xfId="21928" hidden="1" xr:uid="{00000000-0005-0000-0000-00003B470000}"/>
    <cellStyle name="Followed Hyperlink 3" xfId="21739" hidden="1" xr:uid="{00000000-0005-0000-0000-00003C470000}"/>
    <cellStyle name="Followed Hyperlink 3" xfId="21882" hidden="1" xr:uid="{00000000-0005-0000-0000-00003D470000}"/>
    <cellStyle name="Followed Hyperlink 3" xfId="21736" hidden="1" xr:uid="{00000000-0005-0000-0000-00003E470000}"/>
    <cellStyle name="Followed Hyperlink 3" xfId="21728" hidden="1" xr:uid="{00000000-0005-0000-0000-00003F470000}"/>
    <cellStyle name="Followed Hyperlink 3" xfId="21733" hidden="1" xr:uid="{00000000-0005-0000-0000-000040470000}"/>
    <cellStyle name="Followed Hyperlink 3" xfId="21933" hidden="1" xr:uid="{00000000-0005-0000-0000-000041470000}"/>
    <cellStyle name="Followed Hyperlink 3" xfId="21936" hidden="1" xr:uid="{00000000-0005-0000-0000-000042470000}"/>
    <cellStyle name="Followed Hyperlink 3" xfId="21941" hidden="1" xr:uid="{00000000-0005-0000-0000-000043470000}"/>
    <cellStyle name="Followed Hyperlink 3" xfId="21951" hidden="1" xr:uid="{00000000-0005-0000-0000-000044470000}"/>
    <cellStyle name="Followed Hyperlink 3" xfId="21953" hidden="1" xr:uid="{00000000-0005-0000-0000-000045470000}"/>
    <cellStyle name="Followed Hyperlink 3" xfId="21949" hidden="1" xr:uid="{00000000-0005-0000-0000-000046470000}"/>
    <cellStyle name="Followed Hyperlink 3" xfId="21948" hidden="1" xr:uid="{00000000-0005-0000-0000-000047470000}"/>
    <cellStyle name="Followed Hyperlink 3" xfId="21954" hidden="1" xr:uid="{00000000-0005-0000-0000-000048470000}"/>
    <cellStyle name="Followed Hyperlink 3" xfId="21957" hidden="1" xr:uid="{00000000-0005-0000-0000-000049470000}"/>
    <cellStyle name="Followed Hyperlink 3" xfId="21960" hidden="1" xr:uid="{00000000-0005-0000-0000-00004A470000}"/>
    <cellStyle name="Followed Hyperlink 3" xfId="21965" hidden="1" xr:uid="{00000000-0005-0000-0000-00004B470000}"/>
    <cellStyle name="Followed Hyperlink 3" xfId="21976" hidden="1" xr:uid="{00000000-0005-0000-0000-00004C470000}"/>
    <cellStyle name="Followed Hyperlink 3" xfId="21978" hidden="1" xr:uid="{00000000-0005-0000-0000-00004D470000}"/>
    <cellStyle name="Followed Hyperlink 3" xfId="21974" hidden="1" xr:uid="{00000000-0005-0000-0000-00004E470000}"/>
    <cellStyle name="Followed Hyperlink 3" xfId="21973" hidden="1" xr:uid="{00000000-0005-0000-0000-00004F470000}"/>
    <cellStyle name="Followed Hyperlink 3" xfId="21979" hidden="1" xr:uid="{00000000-0005-0000-0000-000050470000}"/>
    <cellStyle name="Followed Hyperlink 3" xfId="21982" hidden="1" xr:uid="{00000000-0005-0000-0000-000051470000}"/>
    <cellStyle name="Followed Hyperlink 3" xfId="21985" hidden="1" xr:uid="{00000000-0005-0000-0000-000052470000}"/>
    <cellStyle name="Followed Hyperlink 3" xfId="21990" hidden="1" xr:uid="{00000000-0005-0000-0000-000053470000}"/>
    <cellStyle name="Followed Hyperlink 3" xfId="22000" hidden="1" xr:uid="{00000000-0005-0000-0000-000054470000}"/>
    <cellStyle name="Followed Hyperlink 3" xfId="22002" hidden="1" xr:uid="{00000000-0005-0000-0000-000055470000}"/>
    <cellStyle name="Followed Hyperlink 3" xfId="21998" hidden="1" xr:uid="{00000000-0005-0000-0000-000056470000}"/>
    <cellStyle name="Followed Hyperlink 3" xfId="21997" hidden="1" xr:uid="{00000000-0005-0000-0000-000057470000}"/>
    <cellStyle name="Followed Hyperlink 3" xfId="22003" hidden="1" xr:uid="{00000000-0005-0000-0000-000058470000}"/>
    <cellStyle name="Followed Hyperlink 3" xfId="22006" hidden="1" xr:uid="{00000000-0005-0000-0000-000059470000}"/>
    <cellStyle name="Followed Hyperlink 3" xfId="22009" hidden="1" xr:uid="{00000000-0005-0000-0000-00005A470000}"/>
    <cellStyle name="Followed Hyperlink 3" xfId="22014" hidden="1" xr:uid="{00000000-0005-0000-0000-00005B470000}"/>
    <cellStyle name="Followed Hyperlink 3" xfId="21744" hidden="1" xr:uid="{00000000-0005-0000-0000-00005C470000}"/>
    <cellStyle name="Followed Hyperlink 3" xfId="21968" hidden="1" xr:uid="{00000000-0005-0000-0000-00005D470000}"/>
    <cellStyle name="Followed Hyperlink 3" xfId="21740" hidden="1" xr:uid="{00000000-0005-0000-0000-00005E470000}"/>
    <cellStyle name="Followed Hyperlink 3" xfId="21745" hidden="1" xr:uid="{00000000-0005-0000-0000-00005F470000}"/>
    <cellStyle name="Followed Hyperlink 3" xfId="21732" hidden="1" xr:uid="{00000000-0005-0000-0000-000060470000}"/>
    <cellStyle name="Followed Hyperlink 3" xfId="22019" hidden="1" xr:uid="{00000000-0005-0000-0000-000061470000}"/>
    <cellStyle name="Followed Hyperlink 3" xfId="22022" hidden="1" xr:uid="{00000000-0005-0000-0000-000062470000}"/>
    <cellStyle name="Followed Hyperlink 3" xfId="22027" hidden="1" xr:uid="{00000000-0005-0000-0000-000063470000}"/>
    <cellStyle name="Followed Hyperlink 3" xfId="22037" hidden="1" xr:uid="{00000000-0005-0000-0000-000064470000}"/>
    <cellStyle name="Followed Hyperlink 3" xfId="22039" hidden="1" xr:uid="{00000000-0005-0000-0000-000065470000}"/>
    <cellStyle name="Followed Hyperlink 3" xfId="22035" hidden="1" xr:uid="{00000000-0005-0000-0000-000066470000}"/>
    <cellStyle name="Followed Hyperlink 3" xfId="22034" hidden="1" xr:uid="{00000000-0005-0000-0000-000067470000}"/>
    <cellStyle name="Followed Hyperlink 3" xfId="22040" hidden="1" xr:uid="{00000000-0005-0000-0000-000068470000}"/>
    <cellStyle name="Followed Hyperlink 3" xfId="22043" hidden="1" xr:uid="{00000000-0005-0000-0000-000069470000}"/>
    <cellStyle name="Followed Hyperlink 3" xfId="22046" hidden="1" xr:uid="{00000000-0005-0000-0000-00006A470000}"/>
    <cellStyle name="Followed Hyperlink 3" xfId="22051" hidden="1" xr:uid="{00000000-0005-0000-0000-00006B470000}"/>
    <cellStyle name="Followed Hyperlink 3" xfId="22061" hidden="1" xr:uid="{00000000-0005-0000-0000-00006C470000}"/>
    <cellStyle name="Followed Hyperlink 3" xfId="22063" hidden="1" xr:uid="{00000000-0005-0000-0000-00006D470000}"/>
    <cellStyle name="Followed Hyperlink 3" xfId="22059" hidden="1" xr:uid="{00000000-0005-0000-0000-00006E470000}"/>
    <cellStyle name="Followed Hyperlink 3" xfId="22058" hidden="1" xr:uid="{00000000-0005-0000-0000-00006F470000}"/>
    <cellStyle name="Followed Hyperlink 3" xfId="22064" hidden="1" xr:uid="{00000000-0005-0000-0000-000070470000}"/>
    <cellStyle name="Followed Hyperlink 3" xfId="22067" hidden="1" xr:uid="{00000000-0005-0000-0000-000071470000}"/>
    <cellStyle name="Followed Hyperlink 3" xfId="22070" hidden="1" xr:uid="{00000000-0005-0000-0000-000072470000}"/>
    <cellStyle name="Followed Hyperlink 3" xfId="22075" hidden="1" xr:uid="{00000000-0005-0000-0000-000073470000}"/>
    <cellStyle name="Followed Hyperlink 3" xfId="22085" hidden="1" xr:uid="{00000000-0005-0000-0000-000074470000}"/>
    <cellStyle name="Followed Hyperlink 3" xfId="22087" hidden="1" xr:uid="{00000000-0005-0000-0000-000075470000}"/>
    <cellStyle name="Followed Hyperlink 3" xfId="22083" hidden="1" xr:uid="{00000000-0005-0000-0000-000076470000}"/>
    <cellStyle name="Followed Hyperlink 3" xfId="22082" hidden="1" xr:uid="{00000000-0005-0000-0000-000077470000}"/>
    <cellStyle name="Followed Hyperlink 3" xfId="22088" hidden="1" xr:uid="{00000000-0005-0000-0000-000078470000}"/>
    <cellStyle name="Followed Hyperlink 3" xfId="22091" hidden="1" xr:uid="{00000000-0005-0000-0000-000079470000}"/>
    <cellStyle name="Followed Hyperlink 3" xfId="22094" hidden="1" xr:uid="{00000000-0005-0000-0000-00007A470000}"/>
    <cellStyle name="Followed Hyperlink 3" xfId="22099" hidden="1" xr:uid="{00000000-0005-0000-0000-00007B470000}"/>
    <cellStyle name="Followed Hyperlink 3" xfId="21142" hidden="1" xr:uid="{00000000-0005-0000-0000-00007C470000}"/>
    <cellStyle name="Followed Hyperlink 3" xfId="21669" hidden="1" xr:uid="{00000000-0005-0000-0000-00007D470000}"/>
    <cellStyle name="Followed Hyperlink 3" xfId="21139" hidden="1" xr:uid="{00000000-0005-0000-0000-00007E470000}"/>
    <cellStyle name="Followed Hyperlink 3" xfId="21131" hidden="1" xr:uid="{00000000-0005-0000-0000-00007F470000}"/>
    <cellStyle name="Followed Hyperlink 3" xfId="21136" hidden="1" xr:uid="{00000000-0005-0000-0000-000080470000}"/>
    <cellStyle name="Followed Hyperlink 3" xfId="22104" hidden="1" xr:uid="{00000000-0005-0000-0000-000081470000}"/>
    <cellStyle name="Followed Hyperlink 3" xfId="22107" hidden="1" xr:uid="{00000000-0005-0000-0000-000082470000}"/>
    <cellStyle name="Followed Hyperlink 3" xfId="22112" hidden="1" xr:uid="{00000000-0005-0000-0000-000083470000}"/>
    <cellStyle name="Followed Hyperlink 3" xfId="22122" hidden="1" xr:uid="{00000000-0005-0000-0000-000084470000}"/>
    <cellStyle name="Followed Hyperlink 3" xfId="22124" hidden="1" xr:uid="{00000000-0005-0000-0000-000085470000}"/>
    <cellStyle name="Followed Hyperlink 3" xfId="22120" hidden="1" xr:uid="{00000000-0005-0000-0000-000086470000}"/>
    <cellStyle name="Followed Hyperlink 3" xfId="22119" hidden="1" xr:uid="{00000000-0005-0000-0000-000087470000}"/>
    <cellStyle name="Followed Hyperlink 3" xfId="22125" hidden="1" xr:uid="{00000000-0005-0000-0000-000088470000}"/>
    <cellStyle name="Followed Hyperlink 3" xfId="22128" hidden="1" xr:uid="{00000000-0005-0000-0000-000089470000}"/>
    <cellStyle name="Followed Hyperlink 3" xfId="22131" hidden="1" xr:uid="{00000000-0005-0000-0000-00008A470000}"/>
    <cellStyle name="Followed Hyperlink 3" xfId="22136" hidden="1" xr:uid="{00000000-0005-0000-0000-00008B470000}"/>
    <cellStyle name="Followed Hyperlink 3" xfId="22147" hidden="1" xr:uid="{00000000-0005-0000-0000-00008C470000}"/>
    <cellStyle name="Followed Hyperlink 3" xfId="22149" hidden="1" xr:uid="{00000000-0005-0000-0000-00008D470000}"/>
    <cellStyle name="Followed Hyperlink 3" xfId="22145" hidden="1" xr:uid="{00000000-0005-0000-0000-00008E470000}"/>
    <cellStyle name="Followed Hyperlink 3" xfId="22144" hidden="1" xr:uid="{00000000-0005-0000-0000-00008F470000}"/>
    <cellStyle name="Followed Hyperlink 3" xfId="22150" hidden="1" xr:uid="{00000000-0005-0000-0000-000090470000}"/>
    <cellStyle name="Followed Hyperlink 3" xfId="22153" hidden="1" xr:uid="{00000000-0005-0000-0000-000091470000}"/>
    <cellStyle name="Followed Hyperlink 3" xfId="22156" hidden="1" xr:uid="{00000000-0005-0000-0000-000092470000}"/>
    <cellStyle name="Followed Hyperlink 3" xfId="22161" hidden="1" xr:uid="{00000000-0005-0000-0000-000093470000}"/>
    <cellStyle name="Followed Hyperlink 3" xfId="22171" hidden="1" xr:uid="{00000000-0005-0000-0000-000094470000}"/>
    <cellStyle name="Followed Hyperlink 3" xfId="22173" hidden="1" xr:uid="{00000000-0005-0000-0000-000095470000}"/>
    <cellStyle name="Followed Hyperlink 3" xfId="22169" hidden="1" xr:uid="{00000000-0005-0000-0000-000096470000}"/>
    <cellStyle name="Followed Hyperlink 3" xfId="22168" hidden="1" xr:uid="{00000000-0005-0000-0000-000097470000}"/>
    <cellStyle name="Followed Hyperlink 3" xfId="22174" hidden="1" xr:uid="{00000000-0005-0000-0000-000098470000}"/>
    <cellStyle name="Followed Hyperlink 3" xfId="22177" hidden="1" xr:uid="{00000000-0005-0000-0000-000099470000}"/>
    <cellStyle name="Followed Hyperlink 3" xfId="22180" hidden="1" xr:uid="{00000000-0005-0000-0000-00009A470000}"/>
    <cellStyle name="Followed Hyperlink 3" xfId="22185" hidden="1" xr:uid="{00000000-0005-0000-0000-00009B470000}"/>
    <cellStyle name="Followed Hyperlink 3" xfId="22224" hidden="1" xr:uid="{00000000-0005-0000-0000-00009C470000}"/>
    <cellStyle name="Followed Hyperlink 3" xfId="22226" hidden="1" xr:uid="{00000000-0005-0000-0000-00009D470000}"/>
    <cellStyle name="Followed Hyperlink 3" xfId="22222" hidden="1" xr:uid="{00000000-0005-0000-0000-00009E470000}"/>
    <cellStyle name="Followed Hyperlink 3" xfId="22221" hidden="1" xr:uid="{00000000-0005-0000-0000-00009F470000}"/>
    <cellStyle name="Followed Hyperlink 3" xfId="22227" hidden="1" xr:uid="{00000000-0005-0000-0000-0000A0470000}"/>
    <cellStyle name="Followed Hyperlink 3" xfId="22230" hidden="1" xr:uid="{00000000-0005-0000-0000-0000A1470000}"/>
    <cellStyle name="Followed Hyperlink 3" xfId="22233" hidden="1" xr:uid="{00000000-0005-0000-0000-0000A2470000}"/>
    <cellStyle name="Followed Hyperlink 3" xfId="22238" hidden="1" xr:uid="{00000000-0005-0000-0000-0000A3470000}"/>
    <cellStyle name="Followed Hyperlink 3" xfId="22248" hidden="1" xr:uid="{00000000-0005-0000-0000-0000A4470000}"/>
    <cellStyle name="Followed Hyperlink 3" xfId="22250" hidden="1" xr:uid="{00000000-0005-0000-0000-0000A5470000}"/>
    <cellStyle name="Followed Hyperlink 3" xfId="22246" hidden="1" xr:uid="{00000000-0005-0000-0000-0000A6470000}"/>
    <cellStyle name="Followed Hyperlink 3" xfId="22245" hidden="1" xr:uid="{00000000-0005-0000-0000-0000A7470000}"/>
    <cellStyle name="Followed Hyperlink 3" xfId="22251" hidden="1" xr:uid="{00000000-0005-0000-0000-0000A8470000}"/>
    <cellStyle name="Followed Hyperlink 3" xfId="22254" hidden="1" xr:uid="{00000000-0005-0000-0000-0000A9470000}"/>
    <cellStyle name="Followed Hyperlink 3" xfId="22257" hidden="1" xr:uid="{00000000-0005-0000-0000-0000AA470000}"/>
    <cellStyle name="Followed Hyperlink 3" xfId="22262" hidden="1" xr:uid="{00000000-0005-0000-0000-0000AB470000}"/>
    <cellStyle name="Followed Hyperlink 3" xfId="22274" hidden="1" xr:uid="{00000000-0005-0000-0000-0000AC470000}"/>
    <cellStyle name="Followed Hyperlink 3" xfId="22276" hidden="1" xr:uid="{00000000-0005-0000-0000-0000AD470000}"/>
    <cellStyle name="Followed Hyperlink 3" xfId="22272" hidden="1" xr:uid="{00000000-0005-0000-0000-0000AE470000}"/>
    <cellStyle name="Followed Hyperlink 3" xfId="22271" hidden="1" xr:uid="{00000000-0005-0000-0000-0000AF470000}"/>
    <cellStyle name="Followed Hyperlink 3" xfId="22277" hidden="1" xr:uid="{00000000-0005-0000-0000-0000B0470000}"/>
    <cellStyle name="Followed Hyperlink 3" xfId="22280" hidden="1" xr:uid="{00000000-0005-0000-0000-0000B1470000}"/>
    <cellStyle name="Followed Hyperlink 3" xfId="22283" hidden="1" xr:uid="{00000000-0005-0000-0000-0000B2470000}"/>
    <cellStyle name="Followed Hyperlink 3" xfId="22288" hidden="1" xr:uid="{00000000-0005-0000-0000-0000B3470000}"/>
    <cellStyle name="Followed Hyperlink 3" xfId="22298" hidden="1" xr:uid="{00000000-0005-0000-0000-0000B4470000}"/>
    <cellStyle name="Followed Hyperlink 3" xfId="22300" hidden="1" xr:uid="{00000000-0005-0000-0000-0000B5470000}"/>
    <cellStyle name="Followed Hyperlink 3" xfId="22296" hidden="1" xr:uid="{00000000-0005-0000-0000-0000B6470000}"/>
    <cellStyle name="Followed Hyperlink 3" xfId="22295" hidden="1" xr:uid="{00000000-0005-0000-0000-0000B7470000}"/>
    <cellStyle name="Followed Hyperlink 3" xfId="22301" hidden="1" xr:uid="{00000000-0005-0000-0000-0000B8470000}"/>
    <cellStyle name="Followed Hyperlink 3" xfId="22304" hidden="1" xr:uid="{00000000-0005-0000-0000-0000B9470000}"/>
    <cellStyle name="Followed Hyperlink 3" xfId="22307" hidden="1" xr:uid="{00000000-0005-0000-0000-0000BA470000}"/>
    <cellStyle name="Followed Hyperlink 3" xfId="22312" hidden="1" xr:uid="{00000000-0005-0000-0000-0000BB470000}"/>
    <cellStyle name="Followed Hyperlink 3" xfId="22188" hidden="1" xr:uid="{00000000-0005-0000-0000-0000BC470000}"/>
    <cellStyle name="Followed Hyperlink 3" xfId="22265" hidden="1" xr:uid="{00000000-0005-0000-0000-0000BD470000}"/>
    <cellStyle name="Followed Hyperlink 3" xfId="22192" hidden="1" xr:uid="{00000000-0005-0000-0000-0000BE470000}"/>
    <cellStyle name="Followed Hyperlink 3" xfId="22193" hidden="1" xr:uid="{00000000-0005-0000-0000-0000BF470000}"/>
    <cellStyle name="Followed Hyperlink 3" xfId="22196" hidden="1" xr:uid="{00000000-0005-0000-0000-0000C0470000}"/>
    <cellStyle name="Followed Hyperlink 3" xfId="22317" hidden="1" xr:uid="{00000000-0005-0000-0000-0000C1470000}"/>
    <cellStyle name="Followed Hyperlink 3" xfId="22320" hidden="1" xr:uid="{00000000-0005-0000-0000-0000C2470000}"/>
    <cellStyle name="Followed Hyperlink 3" xfId="22325" hidden="1" xr:uid="{00000000-0005-0000-0000-0000C3470000}"/>
    <cellStyle name="Followed Hyperlink 3" xfId="22335" hidden="1" xr:uid="{00000000-0005-0000-0000-0000C4470000}"/>
    <cellStyle name="Followed Hyperlink 3" xfId="22337" hidden="1" xr:uid="{00000000-0005-0000-0000-0000C5470000}"/>
    <cellStyle name="Followed Hyperlink 3" xfId="22333" hidden="1" xr:uid="{00000000-0005-0000-0000-0000C6470000}"/>
    <cellStyle name="Followed Hyperlink 3" xfId="22332" hidden="1" xr:uid="{00000000-0005-0000-0000-0000C7470000}"/>
    <cellStyle name="Followed Hyperlink 3" xfId="22338" hidden="1" xr:uid="{00000000-0005-0000-0000-0000C8470000}"/>
    <cellStyle name="Followed Hyperlink 3" xfId="22341" hidden="1" xr:uid="{00000000-0005-0000-0000-0000C9470000}"/>
    <cellStyle name="Followed Hyperlink 3" xfId="22344" hidden="1" xr:uid="{00000000-0005-0000-0000-0000CA470000}"/>
    <cellStyle name="Followed Hyperlink 3" xfId="22349" hidden="1" xr:uid="{00000000-0005-0000-0000-0000CB470000}"/>
    <cellStyle name="Followed Hyperlink 3" xfId="22360" hidden="1" xr:uid="{00000000-0005-0000-0000-0000CC470000}"/>
    <cellStyle name="Followed Hyperlink 3" xfId="22362" hidden="1" xr:uid="{00000000-0005-0000-0000-0000CD470000}"/>
    <cellStyle name="Followed Hyperlink 3" xfId="22358" hidden="1" xr:uid="{00000000-0005-0000-0000-0000CE470000}"/>
    <cellStyle name="Followed Hyperlink 3" xfId="22357" hidden="1" xr:uid="{00000000-0005-0000-0000-0000CF470000}"/>
    <cellStyle name="Followed Hyperlink 3" xfId="22363" hidden="1" xr:uid="{00000000-0005-0000-0000-0000D0470000}"/>
    <cellStyle name="Followed Hyperlink 3" xfId="22366" hidden="1" xr:uid="{00000000-0005-0000-0000-0000D1470000}"/>
    <cellStyle name="Followed Hyperlink 3" xfId="22369" hidden="1" xr:uid="{00000000-0005-0000-0000-0000D2470000}"/>
    <cellStyle name="Followed Hyperlink 3" xfId="22374" hidden="1" xr:uid="{00000000-0005-0000-0000-0000D3470000}"/>
    <cellStyle name="Followed Hyperlink 3" xfId="22384" hidden="1" xr:uid="{00000000-0005-0000-0000-0000D4470000}"/>
    <cellStyle name="Followed Hyperlink 3" xfId="22386" hidden="1" xr:uid="{00000000-0005-0000-0000-0000D5470000}"/>
    <cellStyle name="Followed Hyperlink 3" xfId="22382" hidden="1" xr:uid="{00000000-0005-0000-0000-0000D6470000}"/>
    <cellStyle name="Followed Hyperlink 3" xfId="22381" hidden="1" xr:uid="{00000000-0005-0000-0000-0000D7470000}"/>
    <cellStyle name="Followed Hyperlink 3" xfId="22387" hidden="1" xr:uid="{00000000-0005-0000-0000-0000D8470000}"/>
    <cellStyle name="Followed Hyperlink 3" xfId="22390" hidden="1" xr:uid="{00000000-0005-0000-0000-0000D9470000}"/>
    <cellStyle name="Followed Hyperlink 3" xfId="22393" hidden="1" xr:uid="{00000000-0005-0000-0000-0000DA470000}"/>
    <cellStyle name="Followed Hyperlink 3" xfId="22398" hidden="1" xr:uid="{00000000-0005-0000-0000-0000DB470000}"/>
    <cellStyle name="Followed Hyperlink 3" xfId="22209" hidden="1" xr:uid="{00000000-0005-0000-0000-0000DC470000}"/>
    <cellStyle name="Followed Hyperlink 3" xfId="22352" hidden="1" xr:uid="{00000000-0005-0000-0000-0000DD470000}"/>
    <cellStyle name="Followed Hyperlink 3" xfId="22206" hidden="1" xr:uid="{00000000-0005-0000-0000-0000DE470000}"/>
    <cellStyle name="Followed Hyperlink 3" xfId="22198" hidden="1" xr:uid="{00000000-0005-0000-0000-0000DF470000}"/>
    <cellStyle name="Followed Hyperlink 3" xfId="22203" hidden="1" xr:uid="{00000000-0005-0000-0000-0000E0470000}"/>
    <cellStyle name="Followed Hyperlink 3" xfId="22403" hidden="1" xr:uid="{00000000-0005-0000-0000-0000E1470000}"/>
    <cellStyle name="Followed Hyperlink 3" xfId="22406" hidden="1" xr:uid="{00000000-0005-0000-0000-0000E2470000}"/>
    <cellStyle name="Followed Hyperlink 3" xfId="22411" hidden="1" xr:uid="{00000000-0005-0000-0000-0000E3470000}"/>
    <cellStyle name="Followed Hyperlink 3" xfId="22421" hidden="1" xr:uid="{00000000-0005-0000-0000-0000E4470000}"/>
    <cellStyle name="Followed Hyperlink 3" xfId="22423" hidden="1" xr:uid="{00000000-0005-0000-0000-0000E5470000}"/>
    <cellStyle name="Followed Hyperlink 3" xfId="22419" hidden="1" xr:uid="{00000000-0005-0000-0000-0000E6470000}"/>
    <cellStyle name="Followed Hyperlink 3" xfId="22418" hidden="1" xr:uid="{00000000-0005-0000-0000-0000E7470000}"/>
    <cellStyle name="Followed Hyperlink 3" xfId="22424" hidden="1" xr:uid="{00000000-0005-0000-0000-0000E8470000}"/>
    <cellStyle name="Followed Hyperlink 3" xfId="22427" hidden="1" xr:uid="{00000000-0005-0000-0000-0000E9470000}"/>
    <cellStyle name="Followed Hyperlink 3" xfId="22430" hidden="1" xr:uid="{00000000-0005-0000-0000-0000EA470000}"/>
    <cellStyle name="Followed Hyperlink 3" xfId="22435" hidden="1" xr:uid="{00000000-0005-0000-0000-0000EB470000}"/>
    <cellStyle name="Followed Hyperlink 3" xfId="22446" hidden="1" xr:uid="{00000000-0005-0000-0000-0000EC470000}"/>
    <cellStyle name="Followed Hyperlink 3" xfId="22448" hidden="1" xr:uid="{00000000-0005-0000-0000-0000ED470000}"/>
    <cellStyle name="Followed Hyperlink 3" xfId="22444" hidden="1" xr:uid="{00000000-0005-0000-0000-0000EE470000}"/>
    <cellStyle name="Followed Hyperlink 3" xfId="22443" hidden="1" xr:uid="{00000000-0005-0000-0000-0000EF470000}"/>
    <cellStyle name="Followed Hyperlink 3" xfId="22449" hidden="1" xr:uid="{00000000-0005-0000-0000-0000F0470000}"/>
    <cellStyle name="Followed Hyperlink 3" xfId="22452" hidden="1" xr:uid="{00000000-0005-0000-0000-0000F1470000}"/>
    <cellStyle name="Followed Hyperlink 3" xfId="22455" hidden="1" xr:uid="{00000000-0005-0000-0000-0000F2470000}"/>
    <cellStyle name="Followed Hyperlink 3" xfId="22460" hidden="1" xr:uid="{00000000-0005-0000-0000-0000F3470000}"/>
    <cellStyle name="Followed Hyperlink 3" xfId="22470" hidden="1" xr:uid="{00000000-0005-0000-0000-0000F4470000}"/>
    <cellStyle name="Followed Hyperlink 3" xfId="22472" hidden="1" xr:uid="{00000000-0005-0000-0000-0000F5470000}"/>
    <cellStyle name="Followed Hyperlink 3" xfId="22468" hidden="1" xr:uid="{00000000-0005-0000-0000-0000F6470000}"/>
    <cellStyle name="Followed Hyperlink 3" xfId="22467" hidden="1" xr:uid="{00000000-0005-0000-0000-0000F7470000}"/>
    <cellStyle name="Followed Hyperlink 3" xfId="22473" hidden="1" xr:uid="{00000000-0005-0000-0000-0000F8470000}"/>
    <cellStyle name="Followed Hyperlink 3" xfId="22476" hidden="1" xr:uid="{00000000-0005-0000-0000-0000F9470000}"/>
    <cellStyle name="Followed Hyperlink 3" xfId="22479" hidden="1" xr:uid="{00000000-0005-0000-0000-0000FA470000}"/>
    <cellStyle name="Followed Hyperlink 3" xfId="22484" hidden="1" xr:uid="{00000000-0005-0000-0000-0000FB470000}"/>
    <cellStyle name="Followed Hyperlink 3" xfId="22214" hidden="1" xr:uid="{00000000-0005-0000-0000-0000FC470000}"/>
    <cellStyle name="Followed Hyperlink 3" xfId="22438" hidden="1" xr:uid="{00000000-0005-0000-0000-0000FD470000}"/>
    <cellStyle name="Followed Hyperlink 3" xfId="22210" hidden="1" xr:uid="{00000000-0005-0000-0000-0000FE470000}"/>
    <cellStyle name="Followed Hyperlink 3" xfId="22215" hidden="1" xr:uid="{00000000-0005-0000-0000-0000FF470000}"/>
    <cellStyle name="Followed Hyperlink 3" xfId="22202" hidden="1" xr:uid="{00000000-0005-0000-0000-000000480000}"/>
    <cellStyle name="Followed Hyperlink 3" xfId="22489" hidden="1" xr:uid="{00000000-0005-0000-0000-000001480000}"/>
    <cellStyle name="Followed Hyperlink 3" xfId="22492" hidden="1" xr:uid="{00000000-0005-0000-0000-000002480000}"/>
    <cellStyle name="Followed Hyperlink 3" xfId="22497" hidden="1" xr:uid="{00000000-0005-0000-0000-000003480000}"/>
    <cellStyle name="Followed Hyperlink 3" xfId="22507" hidden="1" xr:uid="{00000000-0005-0000-0000-000004480000}"/>
    <cellStyle name="Followed Hyperlink 3" xfId="22509" hidden="1" xr:uid="{00000000-0005-0000-0000-000005480000}"/>
    <cellStyle name="Followed Hyperlink 3" xfId="22505" hidden="1" xr:uid="{00000000-0005-0000-0000-000006480000}"/>
    <cellStyle name="Followed Hyperlink 3" xfId="22504" hidden="1" xr:uid="{00000000-0005-0000-0000-000007480000}"/>
    <cellStyle name="Followed Hyperlink 3" xfId="22510" hidden="1" xr:uid="{00000000-0005-0000-0000-000008480000}"/>
    <cellStyle name="Followed Hyperlink 3" xfId="22513" hidden="1" xr:uid="{00000000-0005-0000-0000-000009480000}"/>
    <cellStyle name="Followed Hyperlink 3" xfId="22516" hidden="1" xr:uid="{00000000-0005-0000-0000-00000A480000}"/>
    <cellStyle name="Followed Hyperlink 3" xfId="22521" hidden="1" xr:uid="{00000000-0005-0000-0000-00000B480000}"/>
    <cellStyle name="Followed Hyperlink 3" xfId="22531" hidden="1" xr:uid="{00000000-0005-0000-0000-00000C480000}"/>
    <cellStyle name="Followed Hyperlink 3" xfId="22533" hidden="1" xr:uid="{00000000-0005-0000-0000-00000D480000}"/>
    <cellStyle name="Followed Hyperlink 3" xfId="22529" hidden="1" xr:uid="{00000000-0005-0000-0000-00000E480000}"/>
    <cellStyle name="Followed Hyperlink 3" xfId="22528" hidden="1" xr:uid="{00000000-0005-0000-0000-00000F480000}"/>
    <cellStyle name="Followed Hyperlink 3" xfId="22534" hidden="1" xr:uid="{00000000-0005-0000-0000-000010480000}"/>
    <cellStyle name="Followed Hyperlink 3" xfId="22537" hidden="1" xr:uid="{00000000-0005-0000-0000-000011480000}"/>
    <cellStyle name="Followed Hyperlink 3" xfId="22540" hidden="1" xr:uid="{00000000-0005-0000-0000-000012480000}"/>
    <cellStyle name="Followed Hyperlink 3" xfId="22545" hidden="1" xr:uid="{00000000-0005-0000-0000-000013480000}"/>
    <cellStyle name="Followed Hyperlink 3" xfId="22555" hidden="1" xr:uid="{00000000-0005-0000-0000-000014480000}"/>
    <cellStyle name="Followed Hyperlink 3" xfId="22557" hidden="1" xr:uid="{00000000-0005-0000-0000-000015480000}"/>
    <cellStyle name="Followed Hyperlink 3" xfId="22553" hidden="1" xr:uid="{00000000-0005-0000-0000-000016480000}"/>
    <cellStyle name="Followed Hyperlink 3" xfId="22552" hidden="1" xr:uid="{00000000-0005-0000-0000-000017480000}"/>
    <cellStyle name="Followed Hyperlink 3" xfId="22558" hidden="1" xr:uid="{00000000-0005-0000-0000-000018480000}"/>
    <cellStyle name="Followed Hyperlink 3" xfId="22561" hidden="1" xr:uid="{00000000-0005-0000-0000-000019480000}"/>
    <cellStyle name="Followed Hyperlink 3" xfId="22564" hidden="1" xr:uid="{00000000-0005-0000-0000-00001A480000}"/>
    <cellStyle name="Followed Hyperlink 3" xfId="22569" hidden="1" xr:uid="{00000000-0005-0000-0000-00001B480000}"/>
    <cellStyle name="Followed Hyperlink 3" xfId="21147" hidden="1" xr:uid="{00000000-0005-0000-0000-00001C480000}"/>
    <cellStyle name="Followed Hyperlink 3" xfId="22139" hidden="1" xr:uid="{00000000-0005-0000-0000-00001D480000}"/>
    <cellStyle name="Followed Hyperlink 3" xfId="21143" hidden="1" xr:uid="{00000000-0005-0000-0000-00001E480000}"/>
    <cellStyle name="Followed Hyperlink 3" xfId="21148" hidden="1" xr:uid="{00000000-0005-0000-0000-00001F480000}"/>
    <cellStyle name="Followed Hyperlink 3" xfId="21135" hidden="1" xr:uid="{00000000-0005-0000-0000-000020480000}"/>
    <cellStyle name="Followed Hyperlink 3" xfId="22574" hidden="1" xr:uid="{00000000-0005-0000-0000-000021480000}"/>
    <cellStyle name="Followed Hyperlink 3" xfId="22577" hidden="1" xr:uid="{00000000-0005-0000-0000-000022480000}"/>
    <cellStyle name="Followed Hyperlink 3" xfId="22582" hidden="1" xr:uid="{00000000-0005-0000-0000-000023480000}"/>
    <cellStyle name="Followed Hyperlink 3" xfId="22592" hidden="1" xr:uid="{00000000-0005-0000-0000-000024480000}"/>
    <cellStyle name="Followed Hyperlink 3" xfId="22594" hidden="1" xr:uid="{00000000-0005-0000-0000-000025480000}"/>
    <cellStyle name="Followed Hyperlink 3" xfId="22590" hidden="1" xr:uid="{00000000-0005-0000-0000-000026480000}"/>
    <cellStyle name="Followed Hyperlink 3" xfId="22589" hidden="1" xr:uid="{00000000-0005-0000-0000-000027480000}"/>
    <cellStyle name="Followed Hyperlink 3" xfId="22595" hidden="1" xr:uid="{00000000-0005-0000-0000-000028480000}"/>
    <cellStyle name="Followed Hyperlink 3" xfId="22598" hidden="1" xr:uid="{00000000-0005-0000-0000-000029480000}"/>
    <cellStyle name="Followed Hyperlink 3" xfId="22601" hidden="1" xr:uid="{00000000-0005-0000-0000-00002A480000}"/>
    <cellStyle name="Followed Hyperlink 3" xfId="22606" hidden="1" xr:uid="{00000000-0005-0000-0000-00002B480000}"/>
    <cellStyle name="Followed Hyperlink 3" xfId="22616" hidden="1" xr:uid="{00000000-0005-0000-0000-00002C480000}"/>
    <cellStyle name="Followed Hyperlink 3" xfId="22618" hidden="1" xr:uid="{00000000-0005-0000-0000-00002D480000}"/>
    <cellStyle name="Followed Hyperlink 3" xfId="22614" hidden="1" xr:uid="{00000000-0005-0000-0000-00002E480000}"/>
    <cellStyle name="Followed Hyperlink 3" xfId="22613" hidden="1" xr:uid="{00000000-0005-0000-0000-00002F480000}"/>
    <cellStyle name="Followed Hyperlink 3" xfId="22619" hidden="1" xr:uid="{00000000-0005-0000-0000-000030480000}"/>
    <cellStyle name="Followed Hyperlink 3" xfId="22622" hidden="1" xr:uid="{00000000-0005-0000-0000-000031480000}"/>
    <cellStyle name="Followed Hyperlink 3" xfId="22625" hidden="1" xr:uid="{00000000-0005-0000-0000-000032480000}"/>
    <cellStyle name="Followed Hyperlink 3" xfId="22630" hidden="1" xr:uid="{00000000-0005-0000-0000-000033480000}"/>
    <cellStyle name="Followed Hyperlink 3" xfId="22640" hidden="1" xr:uid="{00000000-0005-0000-0000-000034480000}"/>
    <cellStyle name="Followed Hyperlink 3" xfId="22642" hidden="1" xr:uid="{00000000-0005-0000-0000-000035480000}"/>
    <cellStyle name="Followed Hyperlink 3" xfId="22638" hidden="1" xr:uid="{00000000-0005-0000-0000-000036480000}"/>
    <cellStyle name="Followed Hyperlink 3" xfId="22637" hidden="1" xr:uid="{00000000-0005-0000-0000-000037480000}"/>
    <cellStyle name="Followed Hyperlink 3" xfId="22643" hidden="1" xr:uid="{00000000-0005-0000-0000-000038480000}"/>
    <cellStyle name="Followed Hyperlink 3" xfId="22646" hidden="1" xr:uid="{00000000-0005-0000-0000-000039480000}"/>
    <cellStyle name="Followed Hyperlink 3" xfId="22649" hidden="1" xr:uid="{00000000-0005-0000-0000-00003A480000}"/>
    <cellStyle name="Followed Hyperlink 3" xfId="22654" hidden="1" xr:uid="{00000000-0005-0000-0000-00003B480000}"/>
    <cellStyle name="Followed Hyperlink 3" xfId="22693" hidden="1" xr:uid="{00000000-0005-0000-0000-00003C480000}"/>
    <cellStyle name="Followed Hyperlink 3" xfId="22695" hidden="1" xr:uid="{00000000-0005-0000-0000-00003D480000}"/>
    <cellStyle name="Followed Hyperlink 3" xfId="22691" hidden="1" xr:uid="{00000000-0005-0000-0000-00003E480000}"/>
    <cellStyle name="Followed Hyperlink 3" xfId="22690" hidden="1" xr:uid="{00000000-0005-0000-0000-00003F480000}"/>
    <cellStyle name="Followed Hyperlink 3" xfId="22696" hidden="1" xr:uid="{00000000-0005-0000-0000-000040480000}"/>
    <cellStyle name="Followed Hyperlink 3" xfId="22699" hidden="1" xr:uid="{00000000-0005-0000-0000-000041480000}"/>
    <cellStyle name="Followed Hyperlink 3" xfId="22702" hidden="1" xr:uid="{00000000-0005-0000-0000-000042480000}"/>
    <cellStyle name="Followed Hyperlink 3" xfId="22707" hidden="1" xr:uid="{00000000-0005-0000-0000-000043480000}"/>
    <cellStyle name="Followed Hyperlink 3" xfId="22717" hidden="1" xr:uid="{00000000-0005-0000-0000-000044480000}"/>
    <cellStyle name="Followed Hyperlink 3" xfId="22719" hidden="1" xr:uid="{00000000-0005-0000-0000-000045480000}"/>
    <cellStyle name="Followed Hyperlink 3" xfId="22715" hidden="1" xr:uid="{00000000-0005-0000-0000-000046480000}"/>
    <cellStyle name="Followed Hyperlink 3" xfId="22714" hidden="1" xr:uid="{00000000-0005-0000-0000-000047480000}"/>
    <cellStyle name="Followed Hyperlink 3" xfId="22720" hidden="1" xr:uid="{00000000-0005-0000-0000-000048480000}"/>
    <cellStyle name="Followed Hyperlink 3" xfId="22723" hidden="1" xr:uid="{00000000-0005-0000-0000-000049480000}"/>
    <cellStyle name="Followed Hyperlink 3" xfId="22726" hidden="1" xr:uid="{00000000-0005-0000-0000-00004A480000}"/>
    <cellStyle name="Followed Hyperlink 3" xfId="22731" hidden="1" xr:uid="{00000000-0005-0000-0000-00004B480000}"/>
    <cellStyle name="Followed Hyperlink 3" xfId="22743" hidden="1" xr:uid="{00000000-0005-0000-0000-00004C480000}"/>
    <cellStyle name="Followed Hyperlink 3" xfId="22745" hidden="1" xr:uid="{00000000-0005-0000-0000-00004D480000}"/>
    <cellStyle name="Followed Hyperlink 3" xfId="22741" hidden="1" xr:uid="{00000000-0005-0000-0000-00004E480000}"/>
    <cellStyle name="Followed Hyperlink 3" xfId="22740" hidden="1" xr:uid="{00000000-0005-0000-0000-00004F480000}"/>
    <cellStyle name="Followed Hyperlink 3" xfId="22746" hidden="1" xr:uid="{00000000-0005-0000-0000-000050480000}"/>
    <cellStyle name="Followed Hyperlink 3" xfId="22749" hidden="1" xr:uid="{00000000-0005-0000-0000-000051480000}"/>
    <cellStyle name="Followed Hyperlink 3" xfId="22752" hidden="1" xr:uid="{00000000-0005-0000-0000-000052480000}"/>
    <cellStyle name="Followed Hyperlink 3" xfId="22757" hidden="1" xr:uid="{00000000-0005-0000-0000-000053480000}"/>
    <cellStyle name="Followed Hyperlink 3" xfId="22767" hidden="1" xr:uid="{00000000-0005-0000-0000-000054480000}"/>
    <cellStyle name="Followed Hyperlink 3" xfId="22769" hidden="1" xr:uid="{00000000-0005-0000-0000-000055480000}"/>
    <cellStyle name="Followed Hyperlink 3" xfId="22765" hidden="1" xr:uid="{00000000-0005-0000-0000-000056480000}"/>
    <cellStyle name="Followed Hyperlink 3" xfId="22764" hidden="1" xr:uid="{00000000-0005-0000-0000-000057480000}"/>
    <cellStyle name="Followed Hyperlink 3" xfId="22770" hidden="1" xr:uid="{00000000-0005-0000-0000-000058480000}"/>
    <cellStyle name="Followed Hyperlink 3" xfId="22773" hidden="1" xr:uid="{00000000-0005-0000-0000-000059480000}"/>
    <cellStyle name="Followed Hyperlink 3" xfId="22776" hidden="1" xr:uid="{00000000-0005-0000-0000-00005A480000}"/>
    <cellStyle name="Followed Hyperlink 3" xfId="22781" hidden="1" xr:uid="{00000000-0005-0000-0000-00005B480000}"/>
    <cellStyle name="Followed Hyperlink 3" xfId="22657" hidden="1" xr:uid="{00000000-0005-0000-0000-00005C480000}"/>
    <cellStyle name="Followed Hyperlink 3" xfId="22734" hidden="1" xr:uid="{00000000-0005-0000-0000-00005D480000}"/>
    <cellStyle name="Followed Hyperlink 3" xfId="22661" hidden="1" xr:uid="{00000000-0005-0000-0000-00005E480000}"/>
    <cellStyle name="Followed Hyperlink 3" xfId="22662" hidden="1" xr:uid="{00000000-0005-0000-0000-00005F480000}"/>
    <cellStyle name="Followed Hyperlink 3" xfId="22665" hidden="1" xr:uid="{00000000-0005-0000-0000-000060480000}"/>
    <cellStyle name="Followed Hyperlink 3" xfId="22786" hidden="1" xr:uid="{00000000-0005-0000-0000-000061480000}"/>
    <cellStyle name="Followed Hyperlink 3" xfId="22789" hidden="1" xr:uid="{00000000-0005-0000-0000-000062480000}"/>
    <cellStyle name="Followed Hyperlink 3" xfId="22794" hidden="1" xr:uid="{00000000-0005-0000-0000-000063480000}"/>
    <cellStyle name="Followed Hyperlink 3" xfId="22804" hidden="1" xr:uid="{00000000-0005-0000-0000-000064480000}"/>
    <cellStyle name="Followed Hyperlink 3" xfId="22806" hidden="1" xr:uid="{00000000-0005-0000-0000-000065480000}"/>
    <cellStyle name="Followed Hyperlink 3" xfId="22802" hidden="1" xr:uid="{00000000-0005-0000-0000-000066480000}"/>
    <cellStyle name="Followed Hyperlink 3" xfId="22801" hidden="1" xr:uid="{00000000-0005-0000-0000-000067480000}"/>
    <cellStyle name="Followed Hyperlink 3" xfId="22807" hidden="1" xr:uid="{00000000-0005-0000-0000-000068480000}"/>
    <cellStyle name="Followed Hyperlink 3" xfId="22810" hidden="1" xr:uid="{00000000-0005-0000-0000-000069480000}"/>
    <cellStyle name="Followed Hyperlink 3" xfId="22813" hidden="1" xr:uid="{00000000-0005-0000-0000-00006A480000}"/>
    <cellStyle name="Followed Hyperlink 3" xfId="22818" hidden="1" xr:uid="{00000000-0005-0000-0000-00006B480000}"/>
    <cellStyle name="Followed Hyperlink 3" xfId="22829" hidden="1" xr:uid="{00000000-0005-0000-0000-00006C480000}"/>
    <cellStyle name="Followed Hyperlink 3" xfId="22831" hidden="1" xr:uid="{00000000-0005-0000-0000-00006D480000}"/>
    <cellStyle name="Followed Hyperlink 3" xfId="22827" hidden="1" xr:uid="{00000000-0005-0000-0000-00006E480000}"/>
    <cellStyle name="Followed Hyperlink 3" xfId="22826" hidden="1" xr:uid="{00000000-0005-0000-0000-00006F480000}"/>
    <cellStyle name="Followed Hyperlink 3" xfId="22832" hidden="1" xr:uid="{00000000-0005-0000-0000-000070480000}"/>
    <cellStyle name="Followed Hyperlink 3" xfId="22835" hidden="1" xr:uid="{00000000-0005-0000-0000-000071480000}"/>
    <cellStyle name="Followed Hyperlink 3" xfId="22838" hidden="1" xr:uid="{00000000-0005-0000-0000-000072480000}"/>
    <cellStyle name="Followed Hyperlink 3" xfId="22843" hidden="1" xr:uid="{00000000-0005-0000-0000-000073480000}"/>
    <cellStyle name="Followed Hyperlink 3" xfId="22853" hidden="1" xr:uid="{00000000-0005-0000-0000-000074480000}"/>
    <cellStyle name="Followed Hyperlink 3" xfId="22855" hidden="1" xr:uid="{00000000-0005-0000-0000-000075480000}"/>
    <cellStyle name="Followed Hyperlink 3" xfId="22851" hidden="1" xr:uid="{00000000-0005-0000-0000-000076480000}"/>
    <cellStyle name="Followed Hyperlink 3" xfId="22850" hidden="1" xr:uid="{00000000-0005-0000-0000-000077480000}"/>
    <cellStyle name="Followed Hyperlink 3" xfId="22856" hidden="1" xr:uid="{00000000-0005-0000-0000-000078480000}"/>
    <cellStyle name="Followed Hyperlink 3" xfId="22859" hidden="1" xr:uid="{00000000-0005-0000-0000-000079480000}"/>
    <cellStyle name="Followed Hyperlink 3" xfId="22862" hidden="1" xr:uid="{00000000-0005-0000-0000-00007A480000}"/>
    <cellStyle name="Followed Hyperlink 3" xfId="22867" hidden="1" xr:uid="{00000000-0005-0000-0000-00007B480000}"/>
    <cellStyle name="Followed Hyperlink 3" xfId="22678" hidden="1" xr:uid="{00000000-0005-0000-0000-00007C480000}"/>
    <cellStyle name="Followed Hyperlink 3" xfId="22821" hidden="1" xr:uid="{00000000-0005-0000-0000-00007D480000}"/>
    <cellStyle name="Followed Hyperlink 3" xfId="22675" hidden="1" xr:uid="{00000000-0005-0000-0000-00007E480000}"/>
    <cellStyle name="Followed Hyperlink 3" xfId="22667" hidden="1" xr:uid="{00000000-0005-0000-0000-00007F480000}"/>
    <cellStyle name="Followed Hyperlink 3" xfId="22672" hidden="1" xr:uid="{00000000-0005-0000-0000-000080480000}"/>
    <cellStyle name="Followed Hyperlink 3" xfId="22872" hidden="1" xr:uid="{00000000-0005-0000-0000-000081480000}"/>
    <cellStyle name="Followed Hyperlink 3" xfId="22875" hidden="1" xr:uid="{00000000-0005-0000-0000-000082480000}"/>
    <cellStyle name="Followed Hyperlink 3" xfId="22880" hidden="1" xr:uid="{00000000-0005-0000-0000-000083480000}"/>
    <cellStyle name="Followed Hyperlink 3" xfId="22890" hidden="1" xr:uid="{00000000-0005-0000-0000-000084480000}"/>
    <cellStyle name="Followed Hyperlink 3" xfId="22892" hidden="1" xr:uid="{00000000-0005-0000-0000-000085480000}"/>
    <cellStyle name="Followed Hyperlink 3" xfId="22888" hidden="1" xr:uid="{00000000-0005-0000-0000-000086480000}"/>
    <cellStyle name="Followed Hyperlink 3" xfId="22887" hidden="1" xr:uid="{00000000-0005-0000-0000-000087480000}"/>
    <cellStyle name="Followed Hyperlink 3" xfId="22893" hidden="1" xr:uid="{00000000-0005-0000-0000-000088480000}"/>
    <cellStyle name="Followed Hyperlink 3" xfId="22896" hidden="1" xr:uid="{00000000-0005-0000-0000-000089480000}"/>
    <cellStyle name="Followed Hyperlink 3" xfId="22899" hidden="1" xr:uid="{00000000-0005-0000-0000-00008A480000}"/>
    <cellStyle name="Followed Hyperlink 3" xfId="22904" hidden="1" xr:uid="{00000000-0005-0000-0000-00008B480000}"/>
    <cellStyle name="Followed Hyperlink 3" xfId="22915" hidden="1" xr:uid="{00000000-0005-0000-0000-00008C480000}"/>
    <cellStyle name="Followed Hyperlink 3" xfId="22917" hidden="1" xr:uid="{00000000-0005-0000-0000-00008D480000}"/>
    <cellStyle name="Followed Hyperlink 3" xfId="22913" hidden="1" xr:uid="{00000000-0005-0000-0000-00008E480000}"/>
    <cellStyle name="Followed Hyperlink 3" xfId="22912" hidden="1" xr:uid="{00000000-0005-0000-0000-00008F480000}"/>
    <cellStyle name="Followed Hyperlink 3" xfId="22918" hidden="1" xr:uid="{00000000-0005-0000-0000-000090480000}"/>
    <cellStyle name="Followed Hyperlink 3" xfId="22921" hidden="1" xr:uid="{00000000-0005-0000-0000-000091480000}"/>
    <cellStyle name="Followed Hyperlink 3" xfId="22924" hidden="1" xr:uid="{00000000-0005-0000-0000-000092480000}"/>
    <cellStyle name="Followed Hyperlink 3" xfId="22929" hidden="1" xr:uid="{00000000-0005-0000-0000-000093480000}"/>
    <cellStyle name="Followed Hyperlink 3" xfId="22939" hidden="1" xr:uid="{00000000-0005-0000-0000-000094480000}"/>
    <cellStyle name="Followed Hyperlink 3" xfId="22941" hidden="1" xr:uid="{00000000-0005-0000-0000-000095480000}"/>
    <cellStyle name="Followed Hyperlink 3" xfId="22937" hidden="1" xr:uid="{00000000-0005-0000-0000-000096480000}"/>
    <cellStyle name="Followed Hyperlink 3" xfId="22936" hidden="1" xr:uid="{00000000-0005-0000-0000-000097480000}"/>
    <cellStyle name="Followed Hyperlink 3" xfId="22942" hidden="1" xr:uid="{00000000-0005-0000-0000-000098480000}"/>
    <cellStyle name="Followed Hyperlink 3" xfId="22945" hidden="1" xr:uid="{00000000-0005-0000-0000-000099480000}"/>
    <cellStyle name="Followed Hyperlink 3" xfId="22948" hidden="1" xr:uid="{00000000-0005-0000-0000-00009A480000}"/>
    <cellStyle name="Followed Hyperlink 3" xfId="22953" hidden="1" xr:uid="{00000000-0005-0000-0000-00009B480000}"/>
    <cellStyle name="Followed Hyperlink 3" xfId="22683" hidden="1" xr:uid="{00000000-0005-0000-0000-00009C480000}"/>
    <cellStyle name="Followed Hyperlink 3" xfId="22907" hidden="1" xr:uid="{00000000-0005-0000-0000-00009D480000}"/>
    <cellStyle name="Followed Hyperlink 3" xfId="22679" hidden="1" xr:uid="{00000000-0005-0000-0000-00009E480000}"/>
    <cellStyle name="Followed Hyperlink 3" xfId="22684" hidden="1" xr:uid="{00000000-0005-0000-0000-00009F480000}"/>
    <cellStyle name="Followed Hyperlink 3" xfId="22671" hidden="1" xr:uid="{00000000-0005-0000-0000-0000A0480000}"/>
    <cellStyle name="Followed Hyperlink 3" xfId="22958" hidden="1" xr:uid="{00000000-0005-0000-0000-0000A1480000}"/>
    <cellStyle name="Followed Hyperlink 3" xfId="22961" hidden="1" xr:uid="{00000000-0005-0000-0000-0000A2480000}"/>
    <cellStyle name="Followed Hyperlink 3" xfId="22966" hidden="1" xr:uid="{00000000-0005-0000-0000-0000A3480000}"/>
    <cellStyle name="Followed Hyperlink 3" xfId="22976" hidden="1" xr:uid="{00000000-0005-0000-0000-0000A4480000}"/>
    <cellStyle name="Followed Hyperlink 3" xfId="22978" hidden="1" xr:uid="{00000000-0005-0000-0000-0000A5480000}"/>
    <cellStyle name="Followed Hyperlink 3" xfId="22974" hidden="1" xr:uid="{00000000-0005-0000-0000-0000A6480000}"/>
    <cellStyle name="Followed Hyperlink 3" xfId="22973" hidden="1" xr:uid="{00000000-0005-0000-0000-0000A7480000}"/>
    <cellStyle name="Followed Hyperlink 3" xfId="22979" hidden="1" xr:uid="{00000000-0005-0000-0000-0000A8480000}"/>
    <cellStyle name="Followed Hyperlink 3" xfId="22982" hidden="1" xr:uid="{00000000-0005-0000-0000-0000A9480000}"/>
    <cellStyle name="Followed Hyperlink 3" xfId="22985" hidden="1" xr:uid="{00000000-0005-0000-0000-0000AA480000}"/>
    <cellStyle name="Followed Hyperlink 3" xfId="22990" hidden="1" xr:uid="{00000000-0005-0000-0000-0000AB480000}"/>
    <cellStyle name="Followed Hyperlink 3" xfId="23000" hidden="1" xr:uid="{00000000-0005-0000-0000-0000AC480000}"/>
    <cellStyle name="Followed Hyperlink 3" xfId="23002" hidden="1" xr:uid="{00000000-0005-0000-0000-0000AD480000}"/>
    <cellStyle name="Followed Hyperlink 3" xfId="22998" hidden="1" xr:uid="{00000000-0005-0000-0000-0000AE480000}"/>
    <cellStyle name="Followed Hyperlink 3" xfId="22997" hidden="1" xr:uid="{00000000-0005-0000-0000-0000AF480000}"/>
    <cellStyle name="Followed Hyperlink 3" xfId="23003" hidden="1" xr:uid="{00000000-0005-0000-0000-0000B0480000}"/>
    <cellStyle name="Followed Hyperlink 3" xfId="23006" hidden="1" xr:uid="{00000000-0005-0000-0000-0000B1480000}"/>
    <cellStyle name="Followed Hyperlink 3" xfId="23009" hidden="1" xr:uid="{00000000-0005-0000-0000-0000B2480000}"/>
    <cellStyle name="Followed Hyperlink 3" xfId="23014" hidden="1" xr:uid="{00000000-0005-0000-0000-0000B3480000}"/>
    <cellStyle name="Followed Hyperlink 3" xfId="23024" hidden="1" xr:uid="{00000000-0005-0000-0000-0000B4480000}"/>
    <cellStyle name="Followed Hyperlink 3" xfId="23026" hidden="1" xr:uid="{00000000-0005-0000-0000-0000B5480000}"/>
    <cellStyle name="Followed Hyperlink 3" xfId="23022" hidden="1" xr:uid="{00000000-0005-0000-0000-0000B6480000}"/>
    <cellStyle name="Followed Hyperlink 3" xfId="23021" hidden="1" xr:uid="{00000000-0005-0000-0000-0000B7480000}"/>
    <cellStyle name="Followed Hyperlink 3" xfId="23027" hidden="1" xr:uid="{00000000-0005-0000-0000-0000B8480000}"/>
    <cellStyle name="Followed Hyperlink 3" xfId="23030" hidden="1" xr:uid="{00000000-0005-0000-0000-0000B9480000}"/>
    <cellStyle name="Followed Hyperlink 3" xfId="23033" hidden="1" xr:uid="{00000000-0005-0000-0000-0000BA480000}"/>
    <cellStyle name="Followed Hyperlink 3" xfId="23038" hidden="1" xr:uid="{00000000-0005-0000-0000-0000BB480000}"/>
    <cellStyle name="Followed Hyperlink 3" xfId="17008" hidden="1" xr:uid="{00000000-0005-0000-0000-0000BC480000}"/>
    <cellStyle name="Followed Hyperlink 3" xfId="21072" hidden="1" xr:uid="{00000000-0005-0000-0000-0000BD480000}"/>
    <cellStyle name="Followed Hyperlink 3" xfId="17004" hidden="1" xr:uid="{00000000-0005-0000-0000-0000BE480000}"/>
    <cellStyle name="Followed Hyperlink 3" xfId="17009" hidden="1" xr:uid="{00000000-0005-0000-0000-0000BF480000}"/>
    <cellStyle name="Followed Hyperlink 3" xfId="16996" hidden="1" xr:uid="{00000000-0005-0000-0000-0000C0480000}"/>
    <cellStyle name="Followed Hyperlink 3" xfId="23043" hidden="1" xr:uid="{00000000-0005-0000-0000-0000C1480000}"/>
    <cellStyle name="Followed Hyperlink 3" xfId="23046" hidden="1" xr:uid="{00000000-0005-0000-0000-0000C2480000}"/>
    <cellStyle name="Followed Hyperlink 3" xfId="23051" hidden="1" xr:uid="{00000000-0005-0000-0000-0000C3480000}"/>
    <cellStyle name="Followed Hyperlink 3" xfId="23061" hidden="1" xr:uid="{00000000-0005-0000-0000-0000C4480000}"/>
    <cellStyle name="Followed Hyperlink 3" xfId="23063" hidden="1" xr:uid="{00000000-0005-0000-0000-0000C5480000}"/>
    <cellStyle name="Followed Hyperlink 3" xfId="23059" hidden="1" xr:uid="{00000000-0005-0000-0000-0000C6480000}"/>
    <cellStyle name="Followed Hyperlink 3" xfId="23058" hidden="1" xr:uid="{00000000-0005-0000-0000-0000C7480000}"/>
    <cellStyle name="Followed Hyperlink 3" xfId="23064" hidden="1" xr:uid="{00000000-0005-0000-0000-0000C8480000}"/>
    <cellStyle name="Followed Hyperlink 3" xfId="23067" hidden="1" xr:uid="{00000000-0005-0000-0000-0000C9480000}"/>
    <cellStyle name="Followed Hyperlink 3" xfId="23070" hidden="1" xr:uid="{00000000-0005-0000-0000-0000CA480000}"/>
    <cellStyle name="Followed Hyperlink 3" xfId="23075" hidden="1" xr:uid="{00000000-0005-0000-0000-0000CB480000}"/>
    <cellStyle name="Followed Hyperlink 3" xfId="23085" hidden="1" xr:uid="{00000000-0005-0000-0000-0000CC480000}"/>
    <cellStyle name="Followed Hyperlink 3" xfId="23087" hidden="1" xr:uid="{00000000-0005-0000-0000-0000CD480000}"/>
    <cellStyle name="Followed Hyperlink 3" xfId="23083" hidden="1" xr:uid="{00000000-0005-0000-0000-0000CE480000}"/>
    <cellStyle name="Followed Hyperlink 3" xfId="23082" hidden="1" xr:uid="{00000000-0005-0000-0000-0000CF480000}"/>
    <cellStyle name="Followed Hyperlink 3" xfId="23088" hidden="1" xr:uid="{00000000-0005-0000-0000-0000D0480000}"/>
    <cellStyle name="Followed Hyperlink 3" xfId="23091" hidden="1" xr:uid="{00000000-0005-0000-0000-0000D1480000}"/>
    <cellStyle name="Followed Hyperlink 3" xfId="23094" hidden="1" xr:uid="{00000000-0005-0000-0000-0000D2480000}"/>
    <cellStyle name="Followed Hyperlink 3" xfId="23099" hidden="1" xr:uid="{00000000-0005-0000-0000-0000D3480000}"/>
    <cellStyle name="Followed Hyperlink 3" xfId="23109" hidden="1" xr:uid="{00000000-0005-0000-0000-0000D4480000}"/>
    <cellStyle name="Followed Hyperlink 3" xfId="23111" hidden="1" xr:uid="{00000000-0005-0000-0000-0000D5480000}"/>
    <cellStyle name="Followed Hyperlink 3" xfId="23107" hidden="1" xr:uid="{00000000-0005-0000-0000-0000D6480000}"/>
    <cellStyle name="Followed Hyperlink 3" xfId="23106" hidden="1" xr:uid="{00000000-0005-0000-0000-0000D7480000}"/>
    <cellStyle name="Followed Hyperlink 3" xfId="23112" hidden="1" xr:uid="{00000000-0005-0000-0000-0000D8480000}"/>
    <cellStyle name="Followed Hyperlink 3" xfId="23115" hidden="1" xr:uid="{00000000-0005-0000-0000-0000D9480000}"/>
    <cellStyle name="Followed Hyperlink 3" xfId="23118" hidden="1" xr:uid="{00000000-0005-0000-0000-0000DA480000}"/>
    <cellStyle name="Followed Hyperlink 3" xfId="23123" hidden="1" xr:uid="{00000000-0005-0000-0000-0000DB480000}"/>
    <cellStyle name="Followed Hyperlink 3" xfId="23162" hidden="1" xr:uid="{00000000-0005-0000-0000-0000DC480000}"/>
    <cellStyle name="Followed Hyperlink 3" xfId="23164" hidden="1" xr:uid="{00000000-0005-0000-0000-0000DD480000}"/>
    <cellStyle name="Followed Hyperlink 3" xfId="23160" hidden="1" xr:uid="{00000000-0005-0000-0000-0000DE480000}"/>
    <cellStyle name="Followed Hyperlink 3" xfId="23159" hidden="1" xr:uid="{00000000-0005-0000-0000-0000DF480000}"/>
    <cellStyle name="Followed Hyperlink 3" xfId="23165" hidden="1" xr:uid="{00000000-0005-0000-0000-0000E0480000}"/>
    <cellStyle name="Followed Hyperlink 3" xfId="23168" hidden="1" xr:uid="{00000000-0005-0000-0000-0000E1480000}"/>
    <cellStyle name="Followed Hyperlink 3" xfId="23171" hidden="1" xr:uid="{00000000-0005-0000-0000-0000E2480000}"/>
    <cellStyle name="Followed Hyperlink 3" xfId="23176" hidden="1" xr:uid="{00000000-0005-0000-0000-0000E3480000}"/>
    <cellStyle name="Followed Hyperlink 3" xfId="23186" hidden="1" xr:uid="{00000000-0005-0000-0000-0000E4480000}"/>
    <cellStyle name="Followed Hyperlink 3" xfId="23188" hidden="1" xr:uid="{00000000-0005-0000-0000-0000E5480000}"/>
    <cellStyle name="Followed Hyperlink 3" xfId="23184" hidden="1" xr:uid="{00000000-0005-0000-0000-0000E6480000}"/>
    <cellStyle name="Followed Hyperlink 3" xfId="23183" hidden="1" xr:uid="{00000000-0005-0000-0000-0000E7480000}"/>
    <cellStyle name="Followed Hyperlink 3" xfId="23189" hidden="1" xr:uid="{00000000-0005-0000-0000-0000E8480000}"/>
    <cellStyle name="Followed Hyperlink 3" xfId="23192" hidden="1" xr:uid="{00000000-0005-0000-0000-0000E9480000}"/>
    <cellStyle name="Followed Hyperlink 3" xfId="23195" hidden="1" xr:uid="{00000000-0005-0000-0000-0000EA480000}"/>
    <cellStyle name="Followed Hyperlink 3" xfId="23200" hidden="1" xr:uid="{00000000-0005-0000-0000-0000EB480000}"/>
    <cellStyle name="Followed Hyperlink 3" xfId="23212" hidden="1" xr:uid="{00000000-0005-0000-0000-0000EC480000}"/>
    <cellStyle name="Followed Hyperlink 3" xfId="23214" hidden="1" xr:uid="{00000000-0005-0000-0000-0000ED480000}"/>
    <cellStyle name="Followed Hyperlink 3" xfId="23210" hidden="1" xr:uid="{00000000-0005-0000-0000-0000EE480000}"/>
    <cellStyle name="Followed Hyperlink 3" xfId="23209" hidden="1" xr:uid="{00000000-0005-0000-0000-0000EF480000}"/>
    <cellStyle name="Followed Hyperlink 3" xfId="23215" hidden="1" xr:uid="{00000000-0005-0000-0000-0000F0480000}"/>
    <cellStyle name="Followed Hyperlink 3" xfId="23218" hidden="1" xr:uid="{00000000-0005-0000-0000-0000F1480000}"/>
    <cellStyle name="Followed Hyperlink 3" xfId="23221" hidden="1" xr:uid="{00000000-0005-0000-0000-0000F2480000}"/>
    <cellStyle name="Followed Hyperlink 3" xfId="23226" hidden="1" xr:uid="{00000000-0005-0000-0000-0000F3480000}"/>
    <cellStyle name="Followed Hyperlink 3" xfId="23236" hidden="1" xr:uid="{00000000-0005-0000-0000-0000F4480000}"/>
    <cellStyle name="Followed Hyperlink 3" xfId="23238" hidden="1" xr:uid="{00000000-0005-0000-0000-0000F5480000}"/>
    <cellStyle name="Followed Hyperlink 3" xfId="23234" hidden="1" xr:uid="{00000000-0005-0000-0000-0000F6480000}"/>
    <cellStyle name="Followed Hyperlink 3" xfId="23233" hidden="1" xr:uid="{00000000-0005-0000-0000-0000F7480000}"/>
    <cellStyle name="Followed Hyperlink 3" xfId="23239" hidden="1" xr:uid="{00000000-0005-0000-0000-0000F8480000}"/>
    <cellStyle name="Followed Hyperlink 3" xfId="23242" hidden="1" xr:uid="{00000000-0005-0000-0000-0000F9480000}"/>
    <cellStyle name="Followed Hyperlink 3" xfId="23245" hidden="1" xr:uid="{00000000-0005-0000-0000-0000FA480000}"/>
    <cellStyle name="Followed Hyperlink 3" xfId="23250" hidden="1" xr:uid="{00000000-0005-0000-0000-0000FB480000}"/>
    <cellStyle name="Followed Hyperlink 3" xfId="23289" hidden="1" xr:uid="{00000000-0005-0000-0000-0000FC480000}"/>
    <cellStyle name="Followed Hyperlink 3" xfId="23291" hidden="1" xr:uid="{00000000-0005-0000-0000-0000FD480000}"/>
    <cellStyle name="Followed Hyperlink 3" xfId="23287" hidden="1" xr:uid="{00000000-0005-0000-0000-0000FE480000}"/>
    <cellStyle name="Followed Hyperlink 3" xfId="23286" hidden="1" xr:uid="{00000000-0005-0000-0000-0000FF480000}"/>
    <cellStyle name="Followed Hyperlink 3" xfId="23292" hidden="1" xr:uid="{00000000-0005-0000-0000-000000490000}"/>
    <cellStyle name="Followed Hyperlink 3" xfId="23295" hidden="1" xr:uid="{00000000-0005-0000-0000-000001490000}"/>
    <cellStyle name="Followed Hyperlink 3" xfId="23298" hidden="1" xr:uid="{00000000-0005-0000-0000-000002490000}"/>
    <cellStyle name="Followed Hyperlink 3" xfId="23303" hidden="1" xr:uid="{00000000-0005-0000-0000-000003490000}"/>
    <cellStyle name="Followed Hyperlink 3" xfId="23313" hidden="1" xr:uid="{00000000-0005-0000-0000-000004490000}"/>
    <cellStyle name="Followed Hyperlink 3" xfId="23315" hidden="1" xr:uid="{00000000-0005-0000-0000-000005490000}"/>
    <cellStyle name="Followed Hyperlink 3" xfId="23311" hidden="1" xr:uid="{00000000-0005-0000-0000-000006490000}"/>
    <cellStyle name="Followed Hyperlink 3" xfId="23310" hidden="1" xr:uid="{00000000-0005-0000-0000-000007490000}"/>
    <cellStyle name="Followed Hyperlink 3" xfId="23316" hidden="1" xr:uid="{00000000-0005-0000-0000-000008490000}"/>
    <cellStyle name="Followed Hyperlink 3" xfId="23319" hidden="1" xr:uid="{00000000-0005-0000-0000-000009490000}"/>
    <cellStyle name="Followed Hyperlink 3" xfId="23322" hidden="1" xr:uid="{00000000-0005-0000-0000-00000A490000}"/>
    <cellStyle name="Followed Hyperlink 3" xfId="23327" hidden="1" xr:uid="{00000000-0005-0000-0000-00000B490000}"/>
    <cellStyle name="Followed Hyperlink 3" xfId="23339" hidden="1" xr:uid="{00000000-0005-0000-0000-00000C490000}"/>
    <cellStyle name="Followed Hyperlink 3" xfId="23341" hidden="1" xr:uid="{00000000-0005-0000-0000-00000D490000}"/>
    <cellStyle name="Followed Hyperlink 3" xfId="23337" hidden="1" xr:uid="{00000000-0005-0000-0000-00000E490000}"/>
    <cellStyle name="Followed Hyperlink 3" xfId="23336" hidden="1" xr:uid="{00000000-0005-0000-0000-00000F490000}"/>
    <cellStyle name="Followed Hyperlink 3" xfId="23342" hidden="1" xr:uid="{00000000-0005-0000-0000-000010490000}"/>
    <cellStyle name="Followed Hyperlink 3" xfId="23345" hidden="1" xr:uid="{00000000-0005-0000-0000-000011490000}"/>
    <cellStyle name="Followed Hyperlink 3" xfId="23348" hidden="1" xr:uid="{00000000-0005-0000-0000-000012490000}"/>
    <cellStyle name="Followed Hyperlink 3" xfId="23353" hidden="1" xr:uid="{00000000-0005-0000-0000-000013490000}"/>
    <cellStyle name="Followed Hyperlink 3" xfId="23363" hidden="1" xr:uid="{00000000-0005-0000-0000-000014490000}"/>
    <cellStyle name="Followed Hyperlink 3" xfId="23365" hidden="1" xr:uid="{00000000-0005-0000-0000-000015490000}"/>
    <cellStyle name="Followed Hyperlink 3" xfId="23361" hidden="1" xr:uid="{00000000-0005-0000-0000-000016490000}"/>
    <cellStyle name="Followed Hyperlink 3" xfId="23360" hidden="1" xr:uid="{00000000-0005-0000-0000-000017490000}"/>
    <cellStyle name="Followed Hyperlink 3" xfId="23366" hidden="1" xr:uid="{00000000-0005-0000-0000-000018490000}"/>
    <cellStyle name="Followed Hyperlink 3" xfId="23369" hidden="1" xr:uid="{00000000-0005-0000-0000-000019490000}"/>
    <cellStyle name="Followed Hyperlink 3" xfId="23372" hidden="1" xr:uid="{00000000-0005-0000-0000-00001A490000}"/>
    <cellStyle name="Followed Hyperlink 3" xfId="23377" hidden="1" xr:uid="{00000000-0005-0000-0000-00001B490000}"/>
    <cellStyle name="Followed Hyperlink 3" xfId="23253" hidden="1" xr:uid="{00000000-0005-0000-0000-00001C490000}"/>
    <cellStyle name="Followed Hyperlink 3" xfId="23330" hidden="1" xr:uid="{00000000-0005-0000-0000-00001D490000}"/>
    <cellStyle name="Followed Hyperlink 3" xfId="23257" hidden="1" xr:uid="{00000000-0005-0000-0000-00001E490000}"/>
    <cellStyle name="Followed Hyperlink 3" xfId="23258" hidden="1" xr:uid="{00000000-0005-0000-0000-00001F490000}"/>
    <cellStyle name="Followed Hyperlink 3" xfId="23261" hidden="1" xr:uid="{00000000-0005-0000-0000-000020490000}"/>
    <cellStyle name="Followed Hyperlink 3" xfId="23382" hidden="1" xr:uid="{00000000-0005-0000-0000-000021490000}"/>
    <cellStyle name="Followed Hyperlink 3" xfId="23385" hidden="1" xr:uid="{00000000-0005-0000-0000-000022490000}"/>
    <cellStyle name="Followed Hyperlink 3" xfId="23390" hidden="1" xr:uid="{00000000-0005-0000-0000-000023490000}"/>
    <cellStyle name="Followed Hyperlink 3" xfId="23400" hidden="1" xr:uid="{00000000-0005-0000-0000-000024490000}"/>
    <cellStyle name="Followed Hyperlink 3" xfId="23402" hidden="1" xr:uid="{00000000-0005-0000-0000-000025490000}"/>
    <cellStyle name="Followed Hyperlink 3" xfId="23398" hidden="1" xr:uid="{00000000-0005-0000-0000-000026490000}"/>
    <cellStyle name="Followed Hyperlink 3" xfId="23397" hidden="1" xr:uid="{00000000-0005-0000-0000-000027490000}"/>
    <cellStyle name="Followed Hyperlink 3" xfId="23403" hidden="1" xr:uid="{00000000-0005-0000-0000-000028490000}"/>
    <cellStyle name="Followed Hyperlink 3" xfId="23406" hidden="1" xr:uid="{00000000-0005-0000-0000-000029490000}"/>
    <cellStyle name="Followed Hyperlink 3" xfId="23409" hidden="1" xr:uid="{00000000-0005-0000-0000-00002A490000}"/>
    <cellStyle name="Followed Hyperlink 3" xfId="23414" hidden="1" xr:uid="{00000000-0005-0000-0000-00002B490000}"/>
    <cellStyle name="Followed Hyperlink 3" xfId="23425" hidden="1" xr:uid="{00000000-0005-0000-0000-00002C490000}"/>
    <cellStyle name="Followed Hyperlink 3" xfId="23427" hidden="1" xr:uid="{00000000-0005-0000-0000-00002D490000}"/>
    <cellStyle name="Followed Hyperlink 3" xfId="23423" hidden="1" xr:uid="{00000000-0005-0000-0000-00002E490000}"/>
    <cellStyle name="Followed Hyperlink 3" xfId="23422" hidden="1" xr:uid="{00000000-0005-0000-0000-00002F490000}"/>
    <cellStyle name="Followed Hyperlink 3" xfId="23428" hidden="1" xr:uid="{00000000-0005-0000-0000-000030490000}"/>
    <cellStyle name="Followed Hyperlink 3" xfId="23431" hidden="1" xr:uid="{00000000-0005-0000-0000-000031490000}"/>
    <cellStyle name="Followed Hyperlink 3" xfId="23434" hidden="1" xr:uid="{00000000-0005-0000-0000-000032490000}"/>
    <cellStyle name="Followed Hyperlink 3" xfId="23439" hidden="1" xr:uid="{00000000-0005-0000-0000-000033490000}"/>
    <cellStyle name="Followed Hyperlink 3" xfId="23449" hidden="1" xr:uid="{00000000-0005-0000-0000-000034490000}"/>
    <cellStyle name="Followed Hyperlink 3" xfId="23451" hidden="1" xr:uid="{00000000-0005-0000-0000-000035490000}"/>
    <cellStyle name="Followed Hyperlink 3" xfId="23447" hidden="1" xr:uid="{00000000-0005-0000-0000-000036490000}"/>
    <cellStyle name="Followed Hyperlink 3" xfId="23446" hidden="1" xr:uid="{00000000-0005-0000-0000-000037490000}"/>
    <cellStyle name="Followed Hyperlink 3" xfId="23452" hidden="1" xr:uid="{00000000-0005-0000-0000-000038490000}"/>
    <cellStyle name="Followed Hyperlink 3" xfId="23455" hidden="1" xr:uid="{00000000-0005-0000-0000-000039490000}"/>
    <cellStyle name="Followed Hyperlink 3" xfId="23458" hidden="1" xr:uid="{00000000-0005-0000-0000-00003A490000}"/>
    <cellStyle name="Followed Hyperlink 3" xfId="23463" hidden="1" xr:uid="{00000000-0005-0000-0000-00003B490000}"/>
    <cellStyle name="Followed Hyperlink 3" xfId="23274" hidden="1" xr:uid="{00000000-0005-0000-0000-00003C490000}"/>
    <cellStyle name="Followed Hyperlink 3" xfId="23417" hidden="1" xr:uid="{00000000-0005-0000-0000-00003D490000}"/>
    <cellStyle name="Followed Hyperlink 3" xfId="23271" hidden="1" xr:uid="{00000000-0005-0000-0000-00003E490000}"/>
    <cellStyle name="Followed Hyperlink 3" xfId="23263" hidden="1" xr:uid="{00000000-0005-0000-0000-00003F490000}"/>
    <cellStyle name="Followed Hyperlink 3" xfId="23268" hidden="1" xr:uid="{00000000-0005-0000-0000-000040490000}"/>
    <cellStyle name="Followed Hyperlink 3" xfId="23468" hidden="1" xr:uid="{00000000-0005-0000-0000-000041490000}"/>
    <cellStyle name="Followed Hyperlink 3" xfId="23471" hidden="1" xr:uid="{00000000-0005-0000-0000-000042490000}"/>
    <cellStyle name="Followed Hyperlink 3" xfId="23476" hidden="1" xr:uid="{00000000-0005-0000-0000-000043490000}"/>
    <cellStyle name="Followed Hyperlink 3" xfId="23486" hidden="1" xr:uid="{00000000-0005-0000-0000-000044490000}"/>
    <cellStyle name="Followed Hyperlink 3" xfId="23488" hidden="1" xr:uid="{00000000-0005-0000-0000-000045490000}"/>
    <cellStyle name="Followed Hyperlink 3" xfId="23484" hidden="1" xr:uid="{00000000-0005-0000-0000-000046490000}"/>
    <cellStyle name="Followed Hyperlink 3" xfId="23483" hidden="1" xr:uid="{00000000-0005-0000-0000-000047490000}"/>
    <cellStyle name="Followed Hyperlink 3" xfId="23489" hidden="1" xr:uid="{00000000-0005-0000-0000-000048490000}"/>
    <cellStyle name="Followed Hyperlink 3" xfId="23492" hidden="1" xr:uid="{00000000-0005-0000-0000-000049490000}"/>
    <cellStyle name="Followed Hyperlink 3" xfId="23495" hidden="1" xr:uid="{00000000-0005-0000-0000-00004A490000}"/>
    <cellStyle name="Followed Hyperlink 3" xfId="23500" hidden="1" xr:uid="{00000000-0005-0000-0000-00004B490000}"/>
    <cellStyle name="Followed Hyperlink 3" xfId="23511" hidden="1" xr:uid="{00000000-0005-0000-0000-00004C490000}"/>
    <cellStyle name="Followed Hyperlink 3" xfId="23513" hidden="1" xr:uid="{00000000-0005-0000-0000-00004D490000}"/>
    <cellStyle name="Followed Hyperlink 3" xfId="23509" hidden="1" xr:uid="{00000000-0005-0000-0000-00004E490000}"/>
    <cellStyle name="Followed Hyperlink 3" xfId="23508" hidden="1" xr:uid="{00000000-0005-0000-0000-00004F490000}"/>
    <cellStyle name="Followed Hyperlink 3" xfId="23514" hidden="1" xr:uid="{00000000-0005-0000-0000-000050490000}"/>
    <cellStyle name="Followed Hyperlink 3" xfId="23517" hidden="1" xr:uid="{00000000-0005-0000-0000-000051490000}"/>
    <cellStyle name="Followed Hyperlink 3" xfId="23520" hidden="1" xr:uid="{00000000-0005-0000-0000-000052490000}"/>
    <cellStyle name="Followed Hyperlink 3" xfId="23525" hidden="1" xr:uid="{00000000-0005-0000-0000-000053490000}"/>
    <cellStyle name="Followed Hyperlink 3" xfId="23535" hidden="1" xr:uid="{00000000-0005-0000-0000-000054490000}"/>
    <cellStyle name="Followed Hyperlink 3" xfId="23537" hidden="1" xr:uid="{00000000-0005-0000-0000-000055490000}"/>
    <cellStyle name="Followed Hyperlink 3" xfId="23533" hidden="1" xr:uid="{00000000-0005-0000-0000-000056490000}"/>
    <cellStyle name="Followed Hyperlink 3" xfId="23532" hidden="1" xr:uid="{00000000-0005-0000-0000-000057490000}"/>
    <cellStyle name="Followed Hyperlink 3" xfId="23538" hidden="1" xr:uid="{00000000-0005-0000-0000-000058490000}"/>
    <cellStyle name="Followed Hyperlink 3" xfId="23541" hidden="1" xr:uid="{00000000-0005-0000-0000-000059490000}"/>
    <cellStyle name="Followed Hyperlink 3" xfId="23544" hidden="1" xr:uid="{00000000-0005-0000-0000-00005A490000}"/>
    <cellStyle name="Followed Hyperlink 3" xfId="23549" hidden="1" xr:uid="{00000000-0005-0000-0000-00005B490000}"/>
    <cellStyle name="Followed Hyperlink 3" xfId="23279" hidden="1" xr:uid="{00000000-0005-0000-0000-00005C490000}"/>
    <cellStyle name="Followed Hyperlink 3" xfId="23503" hidden="1" xr:uid="{00000000-0005-0000-0000-00005D490000}"/>
    <cellStyle name="Followed Hyperlink 3" xfId="23275" hidden="1" xr:uid="{00000000-0005-0000-0000-00005E490000}"/>
    <cellStyle name="Followed Hyperlink 3" xfId="23280" hidden="1" xr:uid="{00000000-0005-0000-0000-00005F490000}"/>
    <cellStyle name="Followed Hyperlink 3" xfId="23267" hidden="1" xr:uid="{00000000-0005-0000-0000-000060490000}"/>
    <cellStyle name="Followed Hyperlink 3" xfId="23554" hidden="1" xr:uid="{00000000-0005-0000-0000-000061490000}"/>
    <cellStyle name="Followed Hyperlink 3" xfId="23557" hidden="1" xr:uid="{00000000-0005-0000-0000-000062490000}"/>
    <cellStyle name="Followed Hyperlink 3" xfId="23562" hidden="1" xr:uid="{00000000-0005-0000-0000-000063490000}"/>
    <cellStyle name="Followed Hyperlink 3" xfId="23572" hidden="1" xr:uid="{00000000-0005-0000-0000-000064490000}"/>
    <cellStyle name="Followed Hyperlink 3" xfId="23574" hidden="1" xr:uid="{00000000-0005-0000-0000-000065490000}"/>
    <cellStyle name="Followed Hyperlink 3" xfId="23570" hidden="1" xr:uid="{00000000-0005-0000-0000-000066490000}"/>
    <cellStyle name="Followed Hyperlink 3" xfId="23569" hidden="1" xr:uid="{00000000-0005-0000-0000-000067490000}"/>
    <cellStyle name="Followed Hyperlink 3" xfId="23575" hidden="1" xr:uid="{00000000-0005-0000-0000-000068490000}"/>
    <cellStyle name="Followed Hyperlink 3" xfId="23578" hidden="1" xr:uid="{00000000-0005-0000-0000-000069490000}"/>
    <cellStyle name="Followed Hyperlink 3" xfId="23581" hidden="1" xr:uid="{00000000-0005-0000-0000-00006A490000}"/>
    <cellStyle name="Followed Hyperlink 3" xfId="23586" hidden="1" xr:uid="{00000000-0005-0000-0000-00006B490000}"/>
    <cellStyle name="Followed Hyperlink 3" xfId="23596" hidden="1" xr:uid="{00000000-0005-0000-0000-00006C490000}"/>
    <cellStyle name="Followed Hyperlink 3" xfId="23598" hidden="1" xr:uid="{00000000-0005-0000-0000-00006D490000}"/>
    <cellStyle name="Followed Hyperlink 3" xfId="23594" hidden="1" xr:uid="{00000000-0005-0000-0000-00006E490000}"/>
    <cellStyle name="Followed Hyperlink 3" xfId="23593" hidden="1" xr:uid="{00000000-0005-0000-0000-00006F490000}"/>
    <cellStyle name="Followed Hyperlink 3" xfId="23599" hidden="1" xr:uid="{00000000-0005-0000-0000-000070490000}"/>
    <cellStyle name="Followed Hyperlink 3" xfId="23602" hidden="1" xr:uid="{00000000-0005-0000-0000-000071490000}"/>
    <cellStyle name="Followed Hyperlink 3" xfId="23605" hidden="1" xr:uid="{00000000-0005-0000-0000-000072490000}"/>
    <cellStyle name="Followed Hyperlink 3" xfId="23610" hidden="1" xr:uid="{00000000-0005-0000-0000-000073490000}"/>
    <cellStyle name="Followed Hyperlink 3" xfId="23620" hidden="1" xr:uid="{00000000-0005-0000-0000-000074490000}"/>
    <cellStyle name="Followed Hyperlink 3" xfId="23622" hidden="1" xr:uid="{00000000-0005-0000-0000-000075490000}"/>
    <cellStyle name="Followed Hyperlink 3" xfId="23618" hidden="1" xr:uid="{00000000-0005-0000-0000-000076490000}"/>
    <cellStyle name="Followed Hyperlink 3" xfId="23617" hidden="1" xr:uid="{00000000-0005-0000-0000-000077490000}"/>
    <cellStyle name="Followed Hyperlink 3" xfId="23623" hidden="1" xr:uid="{00000000-0005-0000-0000-000078490000}"/>
    <cellStyle name="Followed Hyperlink 3" xfId="23626" hidden="1" xr:uid="{00000000-0005-0000-0000-000079490000}"/>
    <cellStyle name="Followed Hyperlink 3" xfId="23629" hidden="1" xr:uid="{00000000-0005-0000-0000-00007A490000}"/>
    <cellStyle name="Followed Hyperlink 3" xfId="23634" hidden="1" xr:uid="{00000000-0005-0000-0000-00007B490000}"/>
    <cellStyle name="Followed Hyperlink 3" xfId="23126" hidden="1" xr:uid="{00000000-0005-0000-0000-00007C490000}"/>
    <cellStyle name="Followed Hyperlink 3" xfId="23203" hidden="1" xr:uid="{00000000-0005-0000-0000-00007D490000}"/>
    <cellStyle name="Followed Hyperlink 3" xfId="23130" hidden="1" xr:uid="{00000000-0005-0000-0000-00007E490000}"/>
    <cellStyle name="Followed Hyperlink 3" xfId="23131" hidden="1" xr:uid="{00000000-0005-0000-0000-00007F490000}"/>
    <cellStyle name="Followed Hyperlink 3" xfId="23134" hidden="1" xr:uid="{00000000-0005-0000-0000-000080490000}"/>
    <cellStyle name="Followed Hyperlink 3" xfId="23639" hidden="1" xr:uid="{00000000-0005-0000-0000-000081490000}"/>
    <cellStyle name="Followed Hyperlink 3" xfId="23642" hidden="1" xr:uid="{00000000-0005-0000-0000-000082490000}"/>
    <cellStyle name="Followed Hyperlink 3" xfId="23647" hidden="1" xr:uid="{00000000-0005-0000-0000-000083490000}"/>
    <cellStyle name="Followed Hyperlink 3" xfId="23657" hidden="1" xr:uid="{00000000-0005-0000-0000-000084490000}"/>
    <cellStyle name="Followed Hyperlink 3" xfId="23659" hidden="1" xr:uid="{00000000-0005-0000-0000-000085490000}"/>
    <cellStyle name="Followed Hyperlink 3" xfId="23655" hidden="1" xr:uid="{00000000-0005-0000-0000-000086490000}"/>
    <cellStyle name="Followed Hyperlink 3" xfId="23654" hidden="1" xr:uid="{00000000-0005-0000-0000-000087490000}"/>
    <cellStyle name="Followed Hyperlink 3" xfId="23660" hidden="1" xr:uid="{00000000-0005-0000-0000-000088490000}"/>
    <cellStyle name="Followed Hyperlink 3" xfId="23663" hidden="1" xr:uid="{00000000-0005-0000-0000-000089490000}"/>
    <cellStyle name="Followed Hyperlink 3" xfId="23666" hidden="1" xr:uid="{00000000-0005-0000-0000-00008A490000}"/>
    <cellStyle name="Followed Hyperlink 3" xfId="23671" hidden="1" xr:uid="{00000000-0005-0000-0000-00008B490000}"/>
    <cellStyle name="Followed Hyperlink 3" xfId="23682" hidden="1" xr:uid="{00000000-0005-0000-0000-00008C490000}"/>
    <cellStyle name="Followed Hyperlink 3" xfId="23684" hidden="1" xr:uid="{00000000-0005-0000-0000-00008D490000}"/>
    <cellStyle name="Followed Hyperlink 3" xfId="23680" hidden="1" xr:uid="{00000000-0005-0000-0000-00008E490000}"/>
    <cellStyle name="Followed Hyperlink 3" xfId="23679" hidden="1" xr:uid="{00000000-0005-0000-0000-00008F490000}"/>
    <cellStyle name="Followed Hyperlink 3" xfId="23685" hidden="1" xr:uid="{00000000-0005-0000-0000-000090490000}"/>
    <cellStyle name="Followed Hyperlink 3" xfId="23688" hidden="1" xr:uid="{00000000-0005-0000-0000-000091490000}"/>
    <cellStyle name="Followed Hyperlink 3" xfId="23691" hidden="1" xr:uid="{00000000-0005-0000-0000-000092490000}"/>
    <cellStyle name="Followed Hyperlink 3" xfId="23696" hidden="1" xr:uid="{00000000-0005-0000-0000-000093490000}"/>
    <cellStyle name="Followed Hyperlink 3" xfId="23706" hidden="1" xr:uid="{00000000-0005-0000-0000-000094490000}"/>
    <cellStyle name="Followed Hyperlink 3" xfId="23708" hidden="1" xr:uid="{00000000-0005-0000-0000-000095490000}"/>
    <cellStyle name="Followed Hyperlink 3" xfId="23704" hidden="1" xr:uid="{00000000-0005-0000-0000-000096490000}"/>
    <cellStyle name="Followed Hyperlink 3" xfId="23703" hidden="1" xr:uid="{00000000-0005-0000-0000-000097490000}"/>
    <cellStyle name="Followed Hyperlink 3" xfId="23709" hidden="1" xr:uid="{00000000-0005-0000-0000-000098490000}"/>
    <cellStyle name="Followed Hyperlink 3" xfId="23712" hidden="1" xr:uid="{00000000-0005-0000-0000-000099490000}"/>
    <cellStyle name="Followed Hyperlink 3" xfId="23715" hidden="1" xr:uid="{00000000-0005-0000-0000-00009A490000}"/>
    <cellStyle name="Followed Hyperlink 3" xfId="23720" hidden="1" xr:uid="{00000000-0005-0000-0000-00009B490000}"/>
    <cellStyle name="Followed Hyperlink 3" xfId="23759" hidden="1" xr:uid="{00000000-0005-0000-0000-00009C490000}"/>
    <cellStyle name="Followed Hyperlink 3" xfId="23761" hidden="1" xr:uid="{00000000-0005-0000-0000-00009D490000}"/>
    <cellStyle name="Followed Hyperlink 3" xfId="23757" hidden="1" xr:uid="{00000000-0005-0000-0000-00009E490000}"/>
    <cellStyle name="Followed Hyperlink 3" xfId="23756" hidden="1" xr:uid="{00000000-0005-0000-0000-00009F490000}"/>
    <cellStyle name="Followed Hyperlink 3" xfId="23762" hidden="1" xr:uid="{00000000-0005-0000-0000-0000A0490000}"/>
    <cellStyle name="Followed Hyperlink 3" xfId="23765" hidden="1" xr:uid="{00000000-0005-0000-0000-0000A1490000}"/>
    <cellStyle name="Followed Hyperlink 3" xfId="23768" hidden="1" xr:uid="{00000000-0005-0000-0000-0000A2490000}"/>
    <cellStyle name="Followed Hyperlink 3" xfId="23773" hidden="1" xr:uid="{00000000-0005-0000-0000-0000A3490000}"/>
    <cellStyle name="Followed Hyperlink 3" xfId="23783" hidden="1" xr:uid="{00000000-0005-0000-0000-0000A4490000}"/>
    <cellStyle name="Followed Hyperlink 3" xfId="23785" hidden="1" xr:uid="{00000000-0005-0000-0000-0000A5490000}"/>
    <cellStyle name="Followed Hyperlink 3" xfId="23781" hidden="1" xr:uid="{00000000-0005-0000-0000-0000A6490000}"/>
    <cellStyle name="Followed Hyperlink 3" xfId="23780" hidden="1" xr:uid="{00000000-0005-0000-0000-0000A7490000}"/>
    <cellStyle name="Followed Hyperlink 3" xfId="23786" hidden="1" xr:uid="{00000000-0005-0000-0000-0000A8490000}"/>
    <cellStyle name="Followed Hyperlink 3" xfId="23789" hidden="1" xr:uid="{00000000-0005-0000-0000-0000A9490000}"/>
    <cellStyle name="Followed Hyperlink 3" xfId="23792" hidden="1" xr:uid="{00000000-0005-0000-0000-0000AA490000}"/>
    <cellStyle name="Followed Hyperlink 3" xfId="23797" hidden="1" xr:uid="{00000000-0005-0000-0000-0000AB490000}"/>
    <cellStyle name="Followed Hyperlink 3" xfId="23809" hidden="1" xr:uid="{00000000-0005-0000-0000-0000AC490000}"/>
    <cellStyle name="Followed Hyperlink 3" xfId="23811" hidden="1" xr:uid="{00000000-0005-0000-0000-0000AD490000}"/>
    <cellStyle name="Followed Hyperlink 3" xfId="23807" hidden="1" xr:uid="{00000000-0005-0000-0000-0000AE490000}"/>
    <cellStyle name="Followed Hyperlink 3" xfId="23806" hidden="1" xr:uid="{00000000-0005-0000-0000-0000AF490000}"/>
    <cellStyle name="Followed Hyperlink 3" xfId="23812" hidden="1" xr:uid="{00000000-0005-0000-0000-0000B0490000}"/>
    <cellStyle name="Followed Hyperlink 3" xfId="23815" hidden="1" xr:uid="{00000000-0005-0000-0000-0000B1490000}"/>
    <cellStyle name="Followed Hyperlink 3" xfId="23818" hidden="1" xr:uid="{00000000-0005-0000-0000-0000B2490000}"/>
    <cellStyle name="Followed Hyperlink 3" xfId="23823" hidden="1" xr:uid="{00000000-0005-0000-0000-0000B3490000}"/>
    <cellStyle name="Followed Hyperlink 3" xfId="23833" hidden="1" xr:uid="{00000000-0005-0000-0000-0000B4490000}"/>
    <cellStyle name="Followed Hyperlink 3" xfId="23835" hidden="1" xr:uid="{00000000-0005-0000-0000-0000B5490000}"/>
    <cellStyle name="Followed Hyperlink 3" xfId="23831" hidden="1" xr:uid="{00000000-0005-0000-0000-0000B6490000}"/>
    <cellStyle name="Followed Hyperlink 3" xfId="23830" hidden="1" xr:uid="{00000000-0005-0000-0000-0000B7490000}"/>
    <cellStyle name="Followed Hyperlink 3" xfId="23836" hidden="1" xr:uid="{00000000-0005-0000-0000-0000B8490000}"/>
    <cellStyle name="Followed Hyperlink 3" xfId="23839" hidden="1" xr:uid="{00000000-0005-0000-0000-0000B9490000}"/>
    <cellStyle name="Followed Hyperlink 3" xfId="23842" hidden="1" xr:uid="{00000000-0005-0000-0000-0000BA490000}"/>
    <cellStyle name="Followed Hyperlink 3" xfId="23847" hidden="1" xr:uid="{00000000-0005-0000-0000-0000BB490000}"/>
    <cellStyle name="Followed Hyperlink 3" xfId="23723" hidden="1" xr:uid="{00000000-0005-0000-0000-0000BC490000}"/>
    <cellStyle name="Followed Hyperlink 3" xfId="23800" hidden="1" xr:uid="{00000000-0005-0000-0000-0000BD490000}"/>
    <cellStyle name="Followed Hyperlink 3" xfId="23727" hidden="1" xr:uid="{00000000-0005-0000-0000-0000BE490000}"/>
    <cellStyle name="Followed Hyperlink 3" xfId="23728" hidden="1" xr:uid="{00000000-0005-0000-0000-0000BF490000}"/>
    <cellStyle name="Followed Hyperlink 3" xfId="23731" hidden="1" xr:uid="{00000000-0005-0000-0000-0000C0490000}"/>
    <cellStyle name="Followed Hyperlink 3" xfId="23852" hidden="1" xr:uid="{00000000-0005-0000-0000-0000C1490000}"/>
    <cellStyle name="Followed Hyperlink 3" xfId="23855" hidden="1" xr:uid="{00000000-0005-0000-0000-0000C2490000}"/>
    <cellStyle name="Followed Hyperlink 3" xfId="23860" hidden="1" xr:uid="{00000000-0005-0000-0000-0000C3490000}"/>
    <cellStyle name="Followed Hyperlink 3" xfId="23870" hidden="1" xr:uid="{00000000-0005-0000-0000-0000C4490000}"/>
    <cellStyle name="Followed Hyperlink 3" xfId="23872" hidden="1" xr:uid="{00000000-0005-0000-0000-0000C5490000}"/>
    <cellStyle name="Followed Hyperlink 3" xfId="23868" hidden="1" xr:uid="{00000000-0005-0000-0000-0000C6490000}"/>
    <cellStyle name="Followed Hyperlink 3" xfId="23867" hidden="1" xr:uid="{00000000-0005-0000-0000-0000C7490000}"/>
    <cellStyle name="Followed Hyperlink 3" xfId="23873" hidden="1" xr:uid="{00000000-0005-0000-0000-0000C8490000}"/>
    <cellStyle name="Followed Hyperlink 3" xfId="23876" hidden="1" xr:uid="{00000000-0005-0000-0000-0000C9490000}"/>
    <cellStyle name="Followed Hyperlink 3" xfId="23879" hidden="1" xr:uid="{00000000-0005-0000-0000-0000CA490000}"/>
    <cellStyle name="Followed Hyperlink 3" xfId="23884" hidden="1" xr:uid="{00000000-0005-0000-0000-0000CB490000}"/>
    <cellStyle name="Followed Hyperlink 3" xfId="23895" hidden="1" xr:uid="{00000000-0005-0000-0000-0000CC490000}"/>
    <cellStyle name="Followed Hyperlink 3" xfId="23897" hidden="1" xr:uid="{00000000-0005-0000-0000-0000CD490000}"/>
    <cellStyle name="Followed Hyperlink 3" xfId="23893" hidden="1" xr:uid="{00000000-0005-0000-0000-0000CE490000}"/>
    <cellStyle name="Followed Hyperlink 3" xfId="23892" hidden="1" xr:uid="{00000000-0005-0000-0000-0000CF490000}"/>
    <cellStyle name="Followed Hyperlink 3" xfId="23898" hidden="1" xr:uid="{00000000-0005-0000-0000-0000D0490000}"/>
    <cellStyle name="Followed Hyperlink 3" xfId="23901" hidden="1" xr:uid="{00000000-0005-0000-0000-0000D1490000}"/>
    <cellStyle name="Followed Hyperlink 3" xfId="23904" hidden="1" xr:uid="{00000000-0005-0000-0000-0000D2490000}"/>
    <cellStyle name="Followed Hyperlink 3" xfId="23909" hidden="1" xr:uid="{00000000-0005-0000-0000-0000D3490000}"/>
    <cellStyle name="Followed Hyperlink 3" xfId="23919" hidden="1" xr:uid="{00000000-0005-0000-0000-0000D4490000}"/>
    <cellStyle name="Followed Hyperlink 3" xfId="23921" hidden="1" xr:uid="{00000000-0005-0000-0000-0000D5490000}"/>
    <cellStyle name="Followed Hyperlink 3" xfId="23917" hidden="1" xr:uid="{00000000-0005-0000-0000-0000D6490000}"/>
    <cellStyle name="Followed Hyperlink 3" xfId="23916" hidden="1" xr:uid="{00000000-0005-0000-0000-0000D7490000}"/>
    <cellStyle name="Followed Hyperlink 3" xfId="23922" hidden="1" xr:uid="{00000000-0005-0000-0000-0000D8490000}"/>
    <cellStyle name="Followed Hyperlink 3" xfId="23925" hidden="1" xr:uid="{00000000-0005-0000-0000-0000D9490000}"/>
    <cellStyle name="Followed Hyperlink 3" xfId="23928" hidden="1" xr:uid="{00000000-0005-0000-0000-0000DA490000}"/>
    <cellStyle name="Followed Hyperlink 3" xfId="23933" hidden="1" xr:uid="{00000000-0005-0000-0000-0000DB490000}"/>
    <cellStyle name="Followed Hyperlink 3" xfId="23744" hidden="1" xr:uid="{00000000-0005-0000-0000-0000DC490000}"/>
    <cellStyle name="Followed Hyperlink 3" xfId="23887" hidden="1" xr:uid="{00000000-0005-0000-0000-0000DD490000}"/>
    <cellStyle name="Followed Hyperlink 3" xfId="23741" hidden="1" xr:uid="{00000000-0005-0000-0000-0000DE490000}"/>
    <cellStyle name="Followed Hyperlink 3" xfId="23733" hidden="1" xr:uid="{00000000-0005-0000-0000-0000DF490000}"/>
    <cellStyle name="Followed Hyperlink 3" xfId="23738" hidden="1" xr:uid="{00000000-0005-0000-0000-0000E0490000}"/>
    <cellStyle name="Followed Hyperlink 3" xfId="23938" hidden="1" xr:uid="{00000000-0005-0000-0000-0000E1490000}"/>
    <cellStyle name="Followed Hyperlink 3" xfId="23941" hidden="1" xr:uid="{00000000-0005-0000-0000-0000E2490000}"/>
    <cellStyle name="Followed Hyperlink 3" xfId="23946" hidden="1" xr:uid="{00000000-0005-0000-0000-0000E3490000}"/>
    <cellStyle name="Followed Hyperlink 3" xfId="23956" hidden="1" xr:uid="{00000000-0005-0000-0000-0000E4490000}"/>
    <cellStyle name="Followed Hyperlink 3" xfId="23958" hidden="1" xr:uid="{00000000-0005-0000-0000-0000E5490000}"/>
    <cellStyle name="Followed Hyperlink 3" xfId="23954" hidden="1" xr:uid="{00000000-0005-0000-0000-0000E6490000}"/>
    <cellStyle name="Followed Hyperlink 3" xfId="23953" hidden="1" xr:uid="{00000000-0005-0000-0000-0000E7490000}"/>
    <cellStyle name="Followed Hyperlink 3" xfId="23959" hidden="1" xr:uid="{00000000-0005-0000-0000-0000E8490000}"/>
    <cellStyle name="Followed Hyperlink 3" xfId="23962" hidden="1" xr:uid="{00000000-0005-0000-0000-0000E9490000}"/>
    <cellStyle name="Followed Hyperlink 3" xfId="23965" hidden="1" xr:uid="{00000000-0005-0000-0000-0000EA490000}"/>
    <cellStyle name="Followed Hyperlink 3" xfId="23970" hidden="1" xr:uid="{00000000-0005-0000-0000-0000EB490000}"/>
    <cellStyle name="Followed Hyperlink 3" xfId="23981" hidden="1" xr:uid="{00000000-0005-0000-0000-0000EC490000}"/>
    <cellStyle name="Followed Hyperlink 3" xfId="23983" hidden="1" xr:uid="{00000000-0005-0000-0000-0000ED490000}"/>
    <cellStyle name="Followed Hyperlink 3" xfId="23979" hidden="1" xr:uid="{00000000-0005-0000-0000-0000EE490000}"/>
    <cellStyle name="Followed Hyperlink 3" xfId="23978" hidden="1" xr:uid="{00000000-0005-0000-0000-0000EF490000}"/>
    <cellStyle name="Followed Hyperlink 3" xfId="23984" hidden="1" xr:uid="{00000000-0005-0000-0000-0000F0490000}"/>
    <cellStyle name="Followed Hyperlink 3" xfId="23987" hidden="1" xr:uid="{00000000-0005-0000-0000-0000F1490000}"/>
    <cellStyle name="Followed Hyperlink 3" xfId="23990" hidden="1" xr:uid="{00000000-0005-0000-0000-0000F2490000}"/>
    <cellStyle name="Followed Hyperlink 3" xfId="23995" hidden="1" xr:uid="{00000000-0005-0000-0000-0000F3490000}"/>
    <cellStyle name="Followed Hyperlink 3" xfId="24005" hidden="1" xr:uid="{00000000-0005-0000-0000-0000F4490000}"/>
    <cellStyle name="Followed Hyperlink 3" xfId="24007" hidden="1" xr:uid="{00000000-0005-0000-0000-0000F5490000}"/>
    <cellStyle name="Followed Hyperlink 3" xfId="24003" hidden="1" xr:uid="{00000000-0005-0000-0000-0000F6490000}"/>
    <cellStyle name="Followed Hyperlink 3" xfId="24002" hidden="1" xr:uid="{00000000-0005-0000-0000-0000F7490000}"/>
    <cellStyle name="Followed Hyperlink 3" xfId="24008" hidden="1" xr:uid="{00000000-0005-0000-0000-0000F8490000}"/>
    <cellStyle name="Followed Hyperlink 3" xfId="24011" hidden="1" xr:uid="{00000000-0005-0000-0000-0000F9490000}"/>
    <cellStyle name="Followed Hyperlink 3" xfId="24014" hidden="1" xr:uid="{00000000-0005-0000-0000-0000FA490000}"/>
    <cellStyle name="Followed Hyperlink 3" xfId="24019" hidden="1" xr:uid="{00000000-0005-0000-0000-0000FB490000}"/>
    <cellStyle name="Followed Hyperlink 3" xfId="23749" hidden="1" xr:uid="{00000000-0005-0000-0000-0000FC490000}"/>
    <cellStyle name="Followed Hyperlink 3" xfId="23973" hidden="1" xr:uid="{00000000-0005-0000-0000-0000FD490000}"/>
    <cellStyle name="Followed Hyperlink 3" xfId="23745" hidden="1" xr:uid="{00000000-0005-0000-0000-0000FE490000}"/>
    <cellStyle name="Followed Hyperlink 3" xfId="23750" hidden="1" xr:uid="{00000000-0005-0000-0000-0000FF490000}"/>
    <cellStyle name="Followed Hyperlink 3" xfId="23737" hidden="1" xr:uid="{00000000-0005-0000-0000-0000004A0000}"/>
    <cellStyle name="Followed Hyperlink 3" xfId="24024" hidden="1" xr:uid="{00000000-0005-0000-0000-0000014A0000}"/>
    <cellStyle name="Followed Hyperlink 3" xfId="24027" hidden="1" xr:uid="{00000000-0005-0000-0000-0000024A0000}"/>
    <cellStyle name="Followed Hyperlink 3" xfId="24032" hidden="1" xr:uid="{00000000-0005-0000-0000-0000034A0000}"/>
    <cellStyle name="Followed Hyperlink 3" xfId="24042" hidden="1" xr:uid="{00000000-0005-0000-0000-0000044A0000}"/>
    <cellStyle name="Followed Hyperlink 3" xfId="24044" hidden="1" xr:uid="{00000000-0005-0000-0000-0000054A0000}"/>
    <cellStyle name="Followed Hyperlink 3" xfId="24040" hidden="1" xr:uid="{00000000-0005-0000-0000-0000064A0000}"/>
    <cellStyle name="Followed Hyperlink 3" xfId="24039" hidden="1" xr:uid="{00000000-0005-0000-0000-0000074A0000}"/>
    <cellStyle name="Followed Hyperlink 3" xfId="24045" hidden="1" xr:uid="{00000000-0005-0000-0000-0000084A0000}"/>
    <cellStyle name="Followed Hyperlink 3" xfId="24048" hidden="1" xr:uid="{00000000-0005-0000-0000-0000094A0000}"/>
    <cellStyle name="Followed Hyperlink 3" xfId="24051" hidden="1" xr:uid="{00000000-0005-0000-0000-00000A4A0000}"/>
    <cellStyle name="Followed Hyperlink 3" xfId="24056" hidden="1" xr:uid="{00000000-0005-0000-0000-00000B4A0000}"/>
    <cellStyle name="Followed Hyperlink 3" xfId="24066" hidden="1" xr:uid="{00000000-0005-0000-0000-00000C4A0000}"/>
    <cellStyle name="Followed Hyperlink 3" xfId="24068" hidden="1" xr:uid="{00000000-0005-0000-0000-00000D4A0000}"/>
    <cellStyle name="Followed Hyperlink 3" xfId="24064" hidden="1" xr:uid="{00000000-0005-0000-0000-00000E4A0000}"/>
    <cellStyle name="Followed Hyperlink 3" xfId="24063" hidden="1" xr:uid="{00000000-0005-0000-0000-00000F4A0000}"/>
    <cellStyle name="Followed Hyperlink 3" xfId="24069" hidden="1" xr:uid="{00000000-0005-0000-0000-0000104A0000}"/>
    <cellStyle name="Followed Hyperlink 3" xfId="24072" hidden="1" xr:uid="{00000000-0005-0000-0000-0000114A0000}"/>
    <cellStyle name="Followed Hyperlink 3" xfId="24075" hidden="1" xr:uid="{00000000-0005-0000-0000-0000124A0000}"/>
    <cellStyle name="Followed Hyperlink 3" xfId="24080" hidden="1" xr:uid="{00000000-0005-0000-0000-0000134A0000}"/>
    <cellStyle name="Followed Hyperlink 3" xfId="24090" hidden="1" xr:uid="{00000000-0005-0000-0000-0000144A0000}"/>
    <cellStyle name="Followed Hyperlink 3" xfId="24092" hidden="1" xr:uid="{00000000-0005-0000-0000-0000154A0000}"/>
    <cellStyle name="Followed Hyperlink 3" xfId="24088" hidden="1" xr:uid="{00000000-0005-0000-0000-0000164A0000}"/>
    <cellStyle name="Followed Hyperlink 3" xfId="24087" hidden="1" xr:uid="{00000000-0005-0000-0000-0000174A0000}"/>
    <cellStyle name="Followed Hyperlink 3" xfId="24093" hidden="1" xr:uid="{00000000-0005-0000-0000-0000184A0000}"/>
    <cellStyle name="Followed Hyperlink 3" xfId="24096" hidden="1" xr:uid="{00000000-0005-0000-0000-0000194A0000}"/>
    <cellStyle name="Followed Hyperlink 3" xfId="24099" hidden="1" xr:uid="{00000000-0005-0000-0000-00001A4A0000}"/>
    <cellStyle name="Followed Hyperlink 3" xfId="24104" hidden="1" xr:uid="{00000000-0005-0000-0000-00001B4A0000}"/>
    <cellStyle name="Followed Hyperlink 3" xfId="23147" hidden="1" xr:uid="{00000000-0005-0000-0000-00001C4A0000}"/>
    <cellStyle name="Followed Hyperlink 3" xfId="23674" hidden="1" xr:uid="{00000000-0005-0000-0000-00001D4A0000}"/>
    <cellStyle name="Followed Hyperlink 3" xfId="23144" hidden="1" xr:uid="{00000000-0005-0000-0000-00001E4A0000}"/>
    <cellStyle name="Followed Hyperlink 3" xfId="23136" hidden="1" xr:uid="{00000000-0005-0000-0000-00001F4A0000}"/>
    <cellStyle name="Followed Hyperlink 3" xfId="23141" hidden="1" xr:uid="{00000000-0005-0000-0000-0000204A0000}"/>
    <cellStyle name="Followed Hyperlink 3" xfId="24109" hidden="1" xr:uid="{00000000-0005-0000-0000-0000214A0000}"/>
    <cellStyle name="Followed Hyperlink 3" xfId="24112" hidden="1" xr:uid="{00000000-0005-0000-0000-0000224A0000}"/>
    <cellStyle name="Followed Hyperlink 3" xfId="24117" hidden="1" xr:uid="{00000000-0005-0000-0000-0000234A0000}"/>
    <cellStyle name="Followed Hyperlink 3" xfId="24127" hidden="1" xr:uid="{00000000-0005-0000-0000-0000244A0000}"/>
    <cellStyle name="Followed Hyperlink 3" xfId="24129" hidden="1" xr:uid="{00000000-0005-0000-0000-0000254A0000}"/>
    <cellStyle name="Followed Hyperlink 3" xfId="24125" hidden="1" xr:uid="{00000000-0005-0000-0000-0000264A0000}"/>
    <cellStyle name="Followed Hyperlink 3" xfId="24124" hidden="1" xr:uid="{00000000-0005-0000-0000-0000274A0000}"/>
    <cellStyle name="Followed Hyperlink 3" xfId="24130" hidden="1" xr:uid="{00000000-0005-0000-0000-0000284A0000}"/>
    <cellStyle name="Followed Hyperlink 3" xfId="24133" hidden="1" xr:uid="{00000000-0005-0000-0000-0000294A0000}"/>
    <cellStyle name="Followed Hyperlink 3" xfId="24136" hidden="1" xr:uid="{00000000-0005-0000-0000-00002A4A0000}"/>
    <cellStyle name="Followed Hyperlink 3" xfId="24141" hidden="1" xr:uid="{00000000-0005-0000-0000-00002B4A0000}"/>
    <cellStyle name="Followed Hyperlink 3" xfId="24152" hidden="1" xr:uid="{00000000-0005-0000-0000-00002C4A0000}"/>
    <cellStyle name="Followed Hyperlink 3" xfId="24154" hidden="1" xr:uid="{00000000-0005-0000-0000-00002D4A0000}"/>
    <cellStyle name="Followed Hyperlink 3" xfId="24150" hidden="1" xr:uid="{00000000-0005-0000-0000-00002E4A0000}"/>
    <cellStyle name="Followed Hyperlink 3" xfId="24149" hidden="1" xr:uid="{00000000-0005-0000-0000-00002F4A0000}"/>
    <cellStyle name="Followed Hyperlink 3" xfId="24155" hidden="1" xr:uid="{00000000-0005-0000-0000-0000304A0000}"/>
    <cellStyle name="Followed Hyperlink 3" xfId="24158" hidden="1" xr:uid="{00000000-0005-0000-0000-0000314A0000}"/>
    <cellStyle name="Followed Hyperlink 3" xfId="24161" hidden="1" xr:uid="{00000000-0005-0000-0000-0000324A0000}"/>
    <cellStyle name="Followed Hyperlink 3" xfId="24166" hidden="1" xr:uid="{00000000-0005-0000-0000-0000334A0000}"/>
    <cellStyle name="Followed Hyperlink 3" xfId="24176" hidden="1" xr:uid="{00000000-0005-0000-0000-0000344A0000}"/>
    <cellStyle name="Followed Hyperlink 3" xfId="24178" hidden="1" xr:uid="{00000000-0005-0000-0000-0000354A0000}"/>
    <cellStyle name="Followed Hyperlink 3" xfId="24174" hidden="1" xr:uid="{00000000-0005-0000-0000-0000364A0000}"/>
    <cellStyle name="Followed Hyperlink 3" xfId="24173" hidden="1" xr:uid="{00000000-0005-0000-0000-0000374A0000}"/>
    <cellStyle name="Followed Hyperlink 3" xfId="24179" hidden="1" xr:uid="{00000000-0005-0000-0000-0000384A0000}"/>
    <cellStyle name="Followed Hyperlink 3" xfId="24182" hidden="1" xr:uid="{00000000-0005-0000-0000-0000394A0000}"/>
    <cellStyle name="Followed Hyperlink 3" xfId="24185" hidden="1" xr:uid="{00000000-0005-0000-0000-00003A4A0000}"/>
    <cellStyle name="Followed Hyperlink 3" xfId="24190" hidden="1" xr:uid="{00000000-0005-0000-0000-00003B4A0000}"/>
    <cellStyle name="Followed Hyperlink 3" xfId="24229" hidden="1" xr:uid="{00000000-0005-0000-0000-00003C4A0000}"/>
    <cellStyle name="Followed Hyperlink 3" xfId="24231" hidden="1" xr:uid="{00000000-0005-0000-0000-00003D4A0000}"/>
    <cellStyle name="Followed Hyperlink 3" xfId="24227" hidden="1" xr:uid="{00000000-0005-0000-0000-00003E4A0000}"/>
    <cellStyle name="Followed Hyperlink 3" xfId="24226" hidden="1" xr:uid="{00000000-0005-0000-0000-00003F4A0000}"/>
    <cellStyle name="Followed Hyperlink 3" xfId="24232" hidden="1" xr:uid="{00000000-0005-0000-0000-0000404A0000}"/>
    <cellStyle name="Followed Hyperlink 3" xfId="24235" hidden="1" xr:uid="{00000000-0005-0000-0000-0000414A0000}"/>
    <cellStyle name="Followed Hyperlink 3" xfId="24238" hidden="1" xr:uid="{00000000-0005-0000-0000-0000424A0000}"/>
    <cellStyle name="Followed Hyperlink 3" xfId="24243" hidden="1" xr:uid="{00000000-0005-0000-0000-0000434A0000}"/>
    <cellStyle name="Followed Hyperlink 3" xfId="24253" hidden="1" xr:uid="{00000000-0005-0000-0000-0000444A0000}"/>
    <cellStyle name="Followed Hyperlink 3" xfId="24255" hidden="1" xr:uid="{00000000-0005-0000-0000-0000454A0000}"/>
    <cellStyle name="Followed Hyperlink 3" xfId="24251" hidden="1" xr:uid="{00000000-0005-0000-0000-0000464A0000}"/>
    <cellStyle name="Followed Hyperlink 3" xfId="24250" hidden="1" xr:uid="{00000000-0005-0000-0000-0000474A0000}"/>
    <cellStyle name="Followed Hyperlink 3" xfId="24256" hidden="1" xr:uid="{00000000-0005-0000-0000-0000484A0000}"/>
    <cellStyle name="Followed Hyperlink 3" xfId="24259" hidden="1" xr:uid="{00000000-0005-0000-0000-0000494A0000}"/>
    <cellStyle name="Followed Hyperlink 3" xfId="24262" hidden="1" xr:uid="{00000000-0005-0000-0000-00004A4A0000}"/>
    <cellStyle name="Followed Hyperlink 3" xfId="24267" hidden="1" xr:uid="{00000000-0005-0000-0000-00004B4A0000}"/>
    <cellStyle name="Followed Hyperlink 3" xfId="24279" hidden="1" xr:uid="{00000000-0005-0000-0000-00004C4A0000}"/>
    <cellStyle name="Followed Hyperlink 3" xfId="24281" hidden="1" xr:uid="{00000000-0005-0000-0000-00004D4A0000}"/>
    <cellStyle name="Followed Hyperlink 3" xfId="24277" hidden="1" xr:uid="{00000000-0005-0000-0000-00004E4A0000}"/>
    <cellStyle name="Followed Hyperlink 3" xfId="24276" hidden="1" xr:uid="{00000000-0005-0000-0000-00004F4A0000}"/>
    <cellStyle name="Followed Hyperlink 3" xfId="24282" hidden="1" xr:uid="{00000000-0005-0000-0000-0000504A0000}"/>
    <cellStyle name="Followed Hyperlink 3" xfId="24285" hidden="1" xr:uid="{00000000-0005-0000-0000-0000514A0000}"/>
    <cellStyle name="Followed Hyperlink 3" xfId="24288" hidden="1" xr:uid="{00000000-0005-0000-0000-0000524A0000}"/>
    <cellStyle name="Followed Hyperlink 3" xfId="24293" hidden="1" xr:uid="{00000000-0005-0000-0000-0000534A0000}"/>
    <cellStyle name="Followed Hyperlink 3" xfId="24303" hidden="1" xr:uid="{00000000-0005-0000-0000-0000544A0000}"/>
    <cellStyle name="Followed Hyperlink 3" xfId="24305" hidden="1" xr:uid="{00000000-0005-0000-0000-0000554A0000}"/>
    <cellStyle name="Followed Hyperlink 3" xfId="24301" hidden="1" xr:uid="{00000000-0005-0000-0000-0000564A0000}"/>
    <cellStyle name="Followed Hyperlink 3" xfId="24300" hidden="1" xr:uid="{00000000-0005-0000-0000-0000574A0000}"/>
    <cellStyle name="Followed Hyperlink 3" xfId="24306" hidden="1" xr:uid="{00000000-0005-0000-0000-0000584A0000}"/>
    <cellStyle name="Followed Hyperlink 3" xfId="24309" hidden="1" xr:uid="{00000000-0005-0000-0000-0000594A0000}"/>
    <cellStyle name="Followed Hyperlink 3" xfId="24312" hidden="1" xr:uid="{00000000-0005-0000-0000-00005A4A0000}"/>
    <cellStyle name="Followed Hyperlink 3" xfId="24317" hidden="1" xr:uid="{00000000-0005-0000-0000-00005B4A0000}"/>
    <cellStyle name="Followed Hyperlink 3" xfId="24193" hidden="1" xr:uid="{00000000-0005-0000-0000-00005C4A0000}"/>
    <cellStyle name="Followed Hyperlink 3" xfId="24270" hidden="1" xr:uid="{00000000-0005-0000-0000-00005D4A0000}"/>
    <cellStyle name="Followed Hyperlink 3" xfId="24197" hidden="1" xr:uid="{00000000-0005-0000-0000-00005E4A0000}"/>
    <cellStyle name="Followed Hyperlink 3" xfId="24198" hidden="1" xr:uid="{00000000-0005-0000-0000-00005F4A0000}"/>
    <cellStyle name="Followed Hyperlink 3" xfId="24201" hidden="1" xr:uid="{00000000-0005-0000-0000-0000604A0000}"/>
    <cellStyle name="Followed Hyperlink 3" xfId="24322" hidden="1" xr:uid="{00000000-0005-0000-0000-0000614A0000}"/>
    <cellStyle name="Followed Hyperlink 3" xfId="24325" hidden="1" xr:uid="{00000000-0005-0000-0000-0000624A0000}"/>
    <cellStyle name="Followed Hyperlink 3" xfId="24330" hidden="1" xr:uid="{00000000-0005-0000-0000-0000634A0000}"/>
    <cellStyle name="Followed Hyperlink 3" xfId="24340" hidden="1" xr:uid="{00000000-0005-0000-0000-0000644A0000}"/>
    <cellStyle name="Followed Hyperlink 3" xfId="24342" hidden="1" xr:uid="{00000000-0005-0000-0000-0000654A0000}"/>
    <cellStyle name="Followed Hyperlink 3" xfId="24338" hidden="1" xr:uid="{00000000-0005-0000-0000-0000664A0000}"/>
    <cellStyle name="Followed Hyperlink 3" xfId="24337" hidden="1" xr:uid="{00000000-0005-0000-0000-0000674A0000}"/>
    <cellStyle name="Followed Hyperlink 3" xfId="24343" hidden="1" xr:uid="{00000000-0005-0000-0000-0000684A0000}"/>
    <cellStyle name="Followed Hyperlink 3" xfId="24346" hidden="1" xr:uid="{00000000-0005-0000-0000-0000694A0000}"/>
    <cellStyle name="Followed Hyperlink 3" xfId="24349" hidden="1" xr:uid="{00000000-0005-0000-0000-00006A4A0000}"/>
    <cellStyle name="Followed Hyperlink 3" xfId="24354" hidden="1" xr:uid="{00000000-0005-0000-0000-00006B4A0000}"/>
    <cellStyle name="Followed Hyperlink 3" xfId="24365" hidden="1" xr:uid="{00000000-0005-0000-0000-00006C4A0000}"/>
    <cellStyle name="Followed Hyperlink 3" xfId="24367" hidden="1" xr:uid="{00000000-0005-0000-0000-00006D4A0000}"/>
    <cellStyle name="Followed Hyperlink 3" xfId="24363" hidden="1" xr:uid="{00000000-0005-0000-0000-00006E4A0000}"/>
    <cellStyle name="Followed Hyperlink 3" xfId="24362" hidden="1" xr:uid="{00000000-0005-0000-0000-00006F4A0000}"/>
    <cellStyle name="Followed Hyperlink 3" xfId="24368" hidden="1" xr:uid="{00000000-0005-0000-0000-0000704A0000}"/>
    <cellStyle name="Followed Hyperlink 3" xfId="24371" hidden="1" xr:uid="{00000000-0005-0000-0000-0000714A0000}"/>
    <cellStyle name="Followed Hyperlink 3" xfId="24374" hidden="1" xr:uid="{00000000-0005-0000-0000-0000724A0000}"/>
    <cellStyle name="Followed Hyperlink 3" xfId="24379" hidden="1" xr:uid="{00000000-0005-0000-0000-0000734A0000}"/>
    <cellStyle name="Followed Hyperlink 3" xfId="24389" hidden="1" xr:uid="{00000000-0005-0000-0000-0000744A0000}"/>
    <cellStyle name="Followed Hyperlink 3" xfId="24391" hidden="1" xr:uid="{00000000-0005-0000-0000-0000754A0000}"/>
    <cellStyle name="Followed Hyperlink 3" xfId="24387" hidden="1" xr:uid="{00000000-0005-0000-0000-0000764A0000}"/>
    <cellStyle name="Followed Hyperlink 3" xfId="24386" hidden="1" xr:uid="{00000000-0005-0000-0000-0000774A0000}"/>
    <cellStyle name="Followed Hyperlink 3" xfId="24392" hidden="1" xr:uid="{00000000-0005-0000-0000-0000784A0000}"/>
    <cellStyle name="Followed Hyperlink 3" xfId="24395" hidden="1" xr:uid="{00000000-0005-0000-0000-0000794A0000}"/>
    <cellStyle name="Followed Hyperlink 3" xfId="24398" hidden="1" xr:uid="{00000000-0005-0000-0000-00007A4A0000}"/>
    <cellStyle name="Followed Hyperlink 3" xfId="24403" hidden="1" xr:uid="{00000000-0005-0000-0000-00007B4A0000}"/>
    <cellStyle name="Followed Hyperlink 3" xfId="24214" hidden="1" xr:uid="{00000000-0005-0000-0000-00007C4A0000}"/>
    <cellStyle name="Followed Hyperlink 3" xfId="24357" hidden="1" xr:uid="{00000000-0005-0000-0000-00007D4A0000}"/>
    <cellStyle name="Followed Hyperlink 3" xfId="24211" hidden="1" xr:uid="{00000000-0005-0000-0000-00007E4A0000}"/>
    <cellStyle name="Followed Hyperlink 3" xfId="24203" hidden="1" xr:uid="{00000000-0005-0000-0000-00007F4A0000}"/>
    <cellStyle name="Followed Hyperlink 3" xfId="24208" hidden="1" xr:uid="{00000000-0005-0000-0000-0000804A0000}"/>
    <cellStyle name="Followed Hyperlink 3" xfId="24408" hidden="1" xr:uid="{00000000-0005-0000-0000-0000814A0000}"/>
    <cellStyle name="Followed Hyperlink 3" xfId="24411" hidden="1" xr:uid="{00000000-0005-0000-0000-0000824A0000}"/>
    <cellStyle name="Followed Hyperlink 3" xfId="24416" hidden="1" xr:uid="{00000000-0005-0000-0000-0000834A0000}"/>
    <cellStyle name="Followed Hyperlink 3" xfId="24426" hidden="1" xr:uid="{00000000-0005-0000-0000-0000844A0000}"/>
    <cellStyle name="Followed Hyperlink 3" xfId="24428" hidden="1" xr:uid="{00000000-0005-0000-0000-0000854A0000}"/>
    <cellStyle name="Followed Hyperlink 3" xfId="24424" hidden="1" xr:uid="{00000000-0005-0000-0000-0000864A0000}"/>
    <cellStyle name="Followed Hyperlink 3" xfId="24423" hidden="1" xr:uid="{00000000-0005-0000-0000-0000874A0000}"/>
    <cellStyle name="Followed Hyperlink 3" xfId="24429" hidden="1" xr:uid="{00000000-0005-0000-0000-0000884A0000}"/>
    <cellStyle name="Followed Hyperlink 3" xfId="24432" hidden="1" xr:uid="{00000000-0005-0000-0000-0000894A0000}"/>
    <cellStyle name="Followed Hyperlink 3" xfId="24435" hidden="1" xr:uid="{00000000-0005-0000-0000-00008A4A0000}"/>
    <cellStyle name="Followed Hyperlink 3" xfId="24440" hidden="1" xr:uid="{00000000-0005-0000-0000-00008B4A0000}"/>
    <cellStyle name="Followed Hyperlink 3" xfId="24451" hidden="1" xr:uid="{00000000-0005-0000-0000-00008C4A0000}"/>
    <cellStyle name="Followed Hyperlink 3" xfId="24453" hidden="1" xr:uid="{00000000-0005-0000-0000-00008D4A0000}"/>
    <cellStyle name="Followed Hyperlink 3" xfId="24449" hidden="1" xr:uid="{00000000-0005-0000-0000-00008E4A0000}"/>
    <cellStyle name="Followed Hyperlink 3" xfId="24448" hidden="1" xr:uid="{00000000-0005-0000-0000-00008F4A0000}"/>
    <cellStyle name="Followed Hyperlink 3" xfId="24454" hidden="1" xr:uid="{00000000-0005-0000-0000-0000904A0000}"/>
    <cellStyle name="Followed Hyperlink 3" xfId="24457" hidden="1" xr:uid="{00000000-0005-0000-0000-0000914A0000}"/>
    <cellStyle name="Followed Hyperlink 3" xfId="24460" hidden="1" xr:uid="{00000000-0005-0000-0000-0000924A0000}"/>
    <cellStyle name="Followed Hyperlink 3" xfId="24465" hidden="1" xr:uid="{00000000-0005-0000-0000-0000934A0000}"/>
    <cellStyle name="Followed Hyperlink 3" xfId="24475" hidden="1" xr:uid="{00000000-0005-0000-0000-0000944A0000}"/>
    <cellStyle name="Followed Hyperlink 3" xfId="24477" hidden="1" xr:uid="{00000000-0005-0000-0000-0000954A0000}"/>
    <cellStyle name="Followed Hyperlink 3" xfId="24473" hidden="1" xr:uid="{00000000-0005-0000-0000-0000964A0000}"/>
    <cellStyle name="Followed Hyperlink 3" xfId="24472" hidden="1" xr:uid="{00000000-0005-0000-0000-0000974A0000}"/>
    <cellStyle name="Followed Hyperlink 3" xfId="24478" hidden="1" xr:uid="{00000000-0005-0000-0000-0000984A0000}"/>
    <cellStyle name="Followed Hyperlink 3" xfId="24481" hidden="1" xr:uid="{00000000-0005-0000-0000-0000994A0000}"/>
    <cellStyle name="Followed Hyperlink 3" xfId="24484" hidden="1" xr:uid="{00000000-0005-0000-0000-00009A4A0000}"/>
    <cellStyle name="Followed Hyperlink 3" xfId="24489" hidden="1" xr:uid="{00000000-0005-0000-0000-00009B4A0000}"/>
    <cellStyle name="Followed Hyperlink 3" xfId="24219" hidden="1" xr:uid="{00000000-0005-0000-0000-00009C4A0000}"/>
    <cellStyle name="Followed Hyperlink 3" xfId="24443" hidden="1" xr:uid="{00000000-0005-0000-0000-00009D4A0000}"/>
    <cellStyle name="Followed Hyperlink 3" xfId="24215" hidden="1" xr:uid="{00000000-0005-0000-0000-00009E4A0000}"/>
    <cellStyle name="Followed Hyperlink 3" xfId="24220" hidden="1" xr:uid="{00000000-0005-0000-0000-00009F4A0000}"/>
    <cellStyle name="Followed Hyperlink 3" xfId="24207" hidden="1" xr:uid="{00000000-0005-0000-0000-0000A04A0000}"/>
    <cellStyle name="Followed Hyperlink 3" xfId="24494" hidden="1" xr:uid="{00000000-0005-0000-0000-0000A14A0000}"/>
    <cellStyle name="Followed Hyperlink 3" xfId="24497" hidden="1" xr:uid="{00000000-0005-0000-0000-0000A24A0000}"/>
    <cellStyle name="Followed Hyperlink 3" xfId="24502" hidden="1" xr:uid="{00000000-0005-0000-0000-0000A34A0000}"/>
    <cellStyle name="Followed Hyperlink 3" xfId="24512" hidden="1" xr:uid="{00000000-0005-0000-0000-0000A44A0000}"/>
    <cellStyle name="Followed Hyperlink 3" xfId="24514" hidden="1" xr:uid="{00000000-0005-0000-0000-0000A54A0000}"/>
    <cellStyle name="Followed Hyperlink 3" xfId="24510" hidden="1" xr:uid="{00000000-0005-0000-0000-0000A64A0000}"/>
    <cellStyle name="Followed Hyperlink 3" xfId="24509" hidden="1" xr:uid="{00000000-0005-0000-0000-0000A74A0000}"/>
    <cellStyle name="Followed Hyperlink 3" xfId="24515" hidden="1" xr:uid="{00000000-0005-0000-0000-0000A84A0000}"/>
    <cellStyle name="Followed Hyperlink 3" xfId="24518" hidden="1" xr:uid="{00000000-0005-0000-0000-0000A94A0000}"/>
    <cellStyle name="Followed Hyperlink 3" xfId="24521" hidden="1" xr:uid="{00000000-0005-0000-0000-0000AA4A0000}"/>
    <cellStyle name="Followed Hyperlink 3" xfId="24526" hidden="1" xr:uid="{00000000-0005-0000-0000-0000AB4A0000}"/>
    <cellStyle name="Followed Hyperlink 3" xfId="24536" hidden="1" xr:uid="{00000000-0005-0000-0000-0000AC4A0000}"/>
    <cellStyle name="Followed Hyperlink 3" xfId="24538" hidden="1" xr:uid="{00000000-0005-0000-0000-0000AD4A0000}"/>
    <cellStyle name="Followed Hyperlink 3" xfId="24534" hidden="1" xr:uid="{00000000-0005-0000-0000-0000AE4A0000}"/>
    <cellStyle name="Followed Hyperlink 3" xfId="24533" hidden="1" xr:uid="{00000000-0005-0000-0000-0000AF4A0000}"/>
    <cellStyle name="Followed Hyperlink 3" xfId="24539" hidden="1" xr:uid="{00000000-0005-0000-0000-0000B04A0000}"/>
    <cellStyle name="Followed Hyperlink 3" xfId="24542" hidden="1" xr:uid="{00000000-0005-0000-0000-0000B14A0000}"/>
    <cellStyle name="Followed Hyperlink 3" xfId="24545" hidden="1" xr:uid="{00000000-0005-0000-0000-0000B24A0000}"/>
    <cellStyle name="Followed Hyperlink 3" xfId="24550" hidden="1" xr:uid="{00000000-0005-0000-0000-0000B34A0000}"/>
    <cellStyle name="Followed Hyperlink 3" xfId="24560" hidden="1" xr:uid="{00000000-0005-0000-0000-0000B44A0000}"/>
    <cellStyle name="Followed Hyperlink 3" xfId="24562" hidden="1" xr:uid="{00000000-0005-0000-0000-0000B54A0000}"/>
    <cellStyle name="Followed Hyperlink 3" xfId="24558" hidden="1" xr:uid="{00000000-0005-0000-0000-0000B64A0000}"/>
    <cellStyle name="Followed Hyperlink 3" xfId="24557" hidden="1" xr:uid="{00000000-0005-0000-0000-0000B74A0000}"/>
    <cellStyle name="Followed Hyperlink 3" xfId="24563" hidden="1" xr:uid="{00000000-0005-0000-0000-0000B84A0000}"/>
    <cellStyle name="Followed Hyperlink 3" xfId="24566" hidden="1" xr:uid="{00000000-0005-0000-0000-0000B94A0000}"/>
    <cellStyle name="Followed Hyperlink 3" xfId="24569" hidden="1" xr:uid="{00000000-0005-0000-0000-0000BA4A0000}"/>
    <cellStyle name="Followed Hyperlink 3" xfId="24574" hidden="1" xr:uid="{00000000-0005-0000-0000-0000BB4A0000}"/>
    <cellStyle name="Followed Hyperlink 3" xfId="23152" hidden="1" xr:uid="{00000000-0005-0000-0000-0000BC4A0000}"/>
    <cellStyle name="Followed Hyperlink 3" xfId="24144" hidden="1" xr:uid="{00000000-0005-0000-0000-0000BD4A0000}"/>
    <cellStyle name="Followed Hyperlink 3" xfId="23148" hidden="1" xr:uid="{00000000-0005-0000-0000-0000BE4A0000}"/>
    <cellStyle name="Followed Hyperlink 3" xfId="23153" hidden="1" xr:uid="{00000000-0005-0000-0000-0000BF4A0000}"/>
    <cellStyle name="Followed Hyperlink 3" xfId="23140" hidden="1" xr:uid="{00000000-0005-0000-0000-0000C04A0000}"/>
    <cellStyle name="Followed Hyperlink 3" xfId="24579" hidden="1" xr:uid="{00000000-0005-0000-0000-0000C14A0000}"/>
    <cellStyle name="Followed Hyperlink 3" xfId="24582" hidden="1" xr:uid="{00000000-0005-0000-0000-0000C24A0000}"/>
    <cellStyle name="Followed Hyperlink 3" xfId="24587" hidden="1" xr:uid="{00000000-0005-0000-0000-0000C34A0000}"/>
    <cellStyle name="Followed Hyperlink 3" xfId="24597" hidden="1" xr:uid="{00000000-0005-0000-0000-0000C44A0000}"/>
    <cellStyle name="Followed Hyperlink 3" xfId="24599" hidden="1" xr:uid="{00000000-0005-0000-0000-0000C54A0000}"/>
    <cellStyle name="Followed Hyperlink 3" xfId="24595" hidden="1" xr:uid="{00000000-0005-0000-0000-0000C64A0000}"/>
    <cellStyle name="Followed Hyperlink 3" xfId="24594" hidden="1" xr:uid="{00000000-0005-0000-0000-0000C74A0000}"/>
    <cellStyle name="Followed Hyperlink 3" xfId="24600" hidden="1" xr:uid="{00000000-0005-0000-0000-0000C84A0000}"/>
    <cellStyle name="Followed Hyperlink 3" xfId="24603" hidden="1" xr:uid="{00000000-0005-0000-0000-0000C94A0000}"/>
    <cellStyle name="Followed Hyperlink 3" xfId="24606" hidden="1" xr:uid="{00000000-0005-0000-0000-0000CA4A0000}"/>
    <cellStyle name="Followed Hyperlink 3" xfId="24611" hidden="1" xr:uid="{00000000-0005-0000-0000-0000CB4A0000}"/>
    <cellStyle name="Followed Hyperlink 3" xfId="24621" hidden="1" xr:uid="{00000000-0005-0000-0000-0000CC4A0000}"/>
    <cellStyle name="Followed Hyperlink 3" xfId="24623" hidden="1" xr:uid="{00000000-0005-0000-0000-0000CD4A0000}"/>
    <cellStyle name="Followed Hyperlink 3" xfId="24619" hidden="1" xr:uid="{00000000-0005-0000-0000-0000CE4A0000}"/>
    <cellStyle name="Followed Hyperlink 3" xfId="24618" hidden="1" xr:uid="{00000000-0005-0000-0000-0000CF4A0000}"/>
    <cellStyle name="Followed Hyperlink 3" xfId="24624" hidden="1" xr:uid="{00000000-0005-0000-0000-0000D04A0000}"/>
    <cellStyle name="Followed Hyperlink 3" xfId="24627" hidden="1" xr:uid="{00000000-0005-0000-0000-0000D14A0000}"/>
    <cellStyle name="Followed Hyperlink 3" xfId="24630" hidden="1" xr:uid="{00000000-0005-0000-0000-0000D24A0000}"/>
    <cellStyle name="Followed Hyperlink 3" xfId="24635" hidden="1" xr:uid="{00000000-0005-0000-0000-0000D34A0000}"/>
    <cellStyle name="Followed Hyperlink 3" xfId="24645" hidden="1" xr:uid="{00000000-0005-0000-0000-0000D44A0000}"/>
    <cellStyle name="Followed Hyperlink 3" xfId="24647" hidden="1" xr:uid="{00000000-0005-0000-0000-0000D54A0000}"/>
    <cellStyle name="Followed Hyperlink 3" xfId="24643" hidden="1" xr:uid="{00000000-0005-0000-0000-0000D64A0000}"/>
    <cellStyle name="Followed Hyperlink 3" xfId="24642" hidden="1" xr:uid="{00000000-0005-0000-0000-0000D74A0000}"/>
    <cellStyle name="Followed Hyperlink 3" xfId="24648" hidden="1" xr:uid="{00000000-0005-0000-0000-0000D84A0000}"/>
    <cellStyle name="Followed Hyperlink 3" xfId="24651" hidden="1" xr:uid="{00000000-0005-0000-0000-0000D94A0000}"/>
    <cellStyle name="Followed Hyperlink 3" xfId="24654" hidden="1" xr:uid="{00000000-0005-0000-0000-0000DA4A0000}"/>
    <cellStyle name="Followed Hyperlink 3" xfId="24659" hidden="1" xr:uid="{00000000-0005-0000-0000-0000DB4A0000}"/>
    <cellStyle name="Followed Hyperlink 3" xfId="24698" hidden="1" xr:uid="{00000000-0005-0000-0000-0000DC4A0000}"/>
    <cellStyle name="Followed Hyperlink 3" xfId="24700" hidden="1" xr:uid="{00000000-0005-0000-0000-0000DD4A0000}"/>
    <cellStyle name="Followed Hyperlink 3" xfId="24696" hidden="1" xr:uid="{00000000-0005-0000-0000-0000DE4A0000}"/>
    <cellStyle name="Followed Hyperlink 3" xfId="24695" hidden="1" xr:uid="{00000000-0005-0000-0000-0000DF4A0000}"/>
    <cellStyle name="Followed Hyperlink 3" xfId="24701" hidden="1" xr:uid="{00000000-0005-0000-0000-0000E04A0000}"/>
    <cellStyle name="Followed Hyperlink 3" xfId="24704" hidden="1" xr:uid="{00000000-0005-0000-0000-0000E14A0000}"/>
    <cellStyle name="Followed Hyperlink 3" xfId="24707" hidden="1" xr:uid="{00000000-0005-0000-0000-0000E24A0000}"/>
    <cellStyle name="Followed Hyperlink 3" xfId="24712" hidden="1" xr:uid="{00000000-0005-0000-0000-0000E34A0000}"/>
    <cellStyle name="Followed Hyperlink 3" xfId="24722" hidden="1" xr:uid="{00000000-0005-0000-0000-0000E44A0000}"/>
    <cellStyle name="Followed Hyperlink 3" xfId="24724" hidden="1" xr:uid="{00000000-0005-0000-0000-0000E54A0000}"/>
    <cellStyle name="Followed Hyperlink 3" xfId="24720" hidden="1" xr:uid="{00000000-0005-0000-0000-0000E64A0000}"/>
    <cellStyle name="Followed Hyperlink 3" xfId="24719" hidden="1" xr:uid="{00000000-0005-0000-0000-0000E74A0000}"/>
    <cellStyle name="Followed Hyperlink 3" xfId="24725" hidden="1" xr:uid="{00000000-0005-0000-0000-0000E84A0000}"/>
    <cellStyle name="Followed Hyperlink 3" xfId="24728" hidden="1" xr:uid="{00000000-0005-0000-0000-0000E94A0000}"/>
    <cellStyle name="Followed Hyperlink 3" xfId="24731" hidden="1" xr:uid="{00000000-0005-0000-0000-0000EA4A0000}"/>
    <cellStyle name="Followed Hyperlink 3" xfId="24736" hidden="1" xr:uid="{00000000-0005-0000-0000-0000EB4A0000}"/>
    <cellStyle name="Followed Hyperlink 3" xfId="24748" hidden="1" xr:uid="{00000000-0005-0000-0000-0000EC4A0000}"/>
    <cellStyle name="Followed Hyperlink 3" xfId="24750" hidden="1" xr:uid="{00000000-0005-0000-0000-0000ED4A0000}"/>
    <cellStyle name="Followed Hyperlink 3" xfId="24746" hidden="1" xr:uid="{00000000-0005-0000-0000-0000EE4A0000}"/>
    <cellStyle name="Followed Hyperlink 3" xfId="24745" hidden="1" xr:uid="{00000000-0005-0000-0000-0000EF4A0000}"/>
    <cellStyle name="Followed Hyperlink 3" xfId="24751" hidden="1" xr:uid="{00000000-0005-0000-0000-0000F04A0000}"/>
    <cellStyle name="Followed Hyperlink 3" xfId="24754" hidden="1" xr:uid="{00000000-0005-0000-0000-0000F14A0000}"/>
    <cellStyle name="Followed Hyperlink 3" xfId="24757" hidden="1" xr:uid="{00000000-0005-0000-0000-0000F24A0000}"/>
    <cellStyle name="Followed Hyperlink 3" xfId="24762" hidden="1" xr:uid="{00000000-0005-0000-0000-0000F34A0000}"/>
    <cellStyle name="Followed Hyperlink 3" xfId="24772" hidden="1" xr:uid="{00000000-0005-0000-0000-0000F44A0000}"/>
    <cellStyle name="Followed Hyperlink 3" xfId="24774" hidden="1" xr:uid="{00000000-0005-0000-0000-0000F54A0000}"/>
    <cellStyle name="Followed Hyperlink 3" xfId="24770" hidden="1" xr:uid="{00000000-0005-0000-0000-0000F64A0000}"/>
    <cellStyle name="Followed Hyperlink 3" xfId="24769" hidden="1" xr:uid="{00000000-0005-0000-0000-0000F74A0000}"/>
    <cellStyle name="Followed Hyperlink 3" xfId="24775" hidden="1" xr:uid="{00000000-0005-0000-0000-0000F84A0000}"/>
    <cellStyle name="Followed Hyperlink 3" xfId="24778" hidden="1" xr:uid="{00000000-0005-0000-0000-0000F94A0000}"/>
    <cellStyle name="Followed Hyperlink 3" xfId="24781" hidden="1" xr:uid="{00000000-0005-0000-0000-0000FA4A0000}"/>
    <cellStyle name="Followed Hyperlink 3" xfId="24786" hidden="1" xr:uid="{00000000-0005-0000-0000-0000FB4A0000}"/>
    <cellStyle name="Followed Hyperlink 3" xfId="24662" hidden="1" xr:uid="{00000000-0005-0000-0000-0000FC4A0000}"/>
    <cellStyle name="Followed Hyperlink 3" xfId="24739" hidden="1" xr:uid="{00000000-0005-0000-0000-0000FD4A0000}"/>
    <cellStyle name="Followed Hyperlink 3" xfId="24666" hidden="1" xr:uid="{00000000-0005-0000-0000-0000FE4A0000}"/>
    <cellStyle name="Followed Hyperlink 3" xfId="24667" hidden="1" xr:uid="{00000000-0005-0000-0000-0000FF4A0000}"/>
    <cellStyle name="Followed Hyperlink 3" xfId="24670" hidden="1" xr:uid="{00000000-0005-0000-0000-0000004B0000}"/>
    <cellStyle name="Followed Hyperlink 3" xfId="24791" hidden="1" xr:uid="{00000000-0005-0000-0000-0000014B0000}"/>
    <cellStyle name="Followed Hyperlink 3" xfId="24794" hidden="1" xr:uid="{00000000-0005-0000-0000-0000024B0000}"/>
    <cellStyle name="Followed Hyperlink 3" xfId="24799" hidden="1" xr:uid="{00000000-0005-0000-0000-0000034B0000}"/>
    <cellStyle name="Followed Hyperlink 3" xfId="24809" hidden="1" xr:uid="{00000000-0005-0000-0000-0000044B0000}"/>
    <cellStyle name="Followed Hyperlink 3" xfId="24811" hidden="1" xr:uid="{00000000-0005-0000-0000-0000054B0000}"/>
    <cellStyle name="Followed Hyperlink 3" xfId="24807" hidden="1" xr:uid="{00000000-0005-0000-0000-0000064B0000}"/>
    <cellStyle name="Followed Hyperlink 3" xfId="24806" hidden="1" xr:uid="{00000000-0005-0000-0000-0000074B0000}"/>
    <cellStyle name="Followed Hyperlink 3" xfId="24812" hidden="1" xr:uid="{00000000-0005-0000-0000-0000084B0000}"/>
    <cellStyle name="Followed Hyperlink 3" xfId="24815" hidden="1" xr:uid="{00000000-0005-0000-0000-0000094B0000}"/>
    <cellStyle name="Followed Hyperlink 3" xfId="24818" hidden="1" xr:uid="{00000000-0005-0000-0000-00000A4B0000}"/>
    <cellStyle name="Followed Hyperlink 3" xfId="24823" hidden="1" xr:uid="{00000000-0005-0000-0000-00000B4B0000}"/>
    <cellStyle name="Followed Hyperlink 3" xfId="24834" hidden="1" xr:uid="{00000000-0005-0000-0000-00000C4B0000}"/>
    <cellStyle name="Followed Hyperlink 3" xfId="24836" hidden="1" xr:uid="{00000000-0005-0000-0000-00000D4B0000}"/>
    <cellStyle name="Followed Hyperlink 3" xfId="24832" hidden="1" xr:uid="{00000000-0005-0000-0000-00000E4B0000}"/>
    <cellStyle name="Followed Hyperlink 3" xfId="24831" hidden="1" xr:uid="{00000000-0005-0000-0000-00000F4B0000}"/>
    <cellStyle name="Followed Hyperlink 3" xfId="24837" hidden="1" xr:uid="{00000000-0005-0000-0000-0000104B0000}"/>
    <cellStyle name="Followed Hyperlink 3" xfId="24840" hidden="1" xr:uid="{00000000-0005-0000-0000-0000114B0000}"/>
    <cellStyle name="Followed Hyperlink 3" xfId="24843" hidden="1" xr:uid="{00000000-0005-0000-0000-0000124B0000}"/>
    <cellStyle name="Followed Hyperlink 3" xfId="24848" hidden="1" xr:uid="{00000000-0005-0000-0000-0000134B0000}"/>
    <cellStyle name="Followed Hyperlink 3" xfId="24858" hidden="1" xr:uid="{00000000-0005-0000-0000-0000144B0000}"/>
    <cellStyle name="Followed Hyperlink 3" xfId="24860" hidden="1" xr:uid="{00000000-0005-0000-0000-0000154B0000}"/>
    <cellStyle name="Followed Hyperlink 3" xfId="24856" hidden="1" xr:uid="{00000000-0005-0000-0000-0000164B0000}"/>
    <cellStyle name="Followed Hyperlink 3" xfId="24855" hidden="1" xr:uid="{00000000-0005-0000-0000-0000174B0000}"/>
    <cellStyle name="Followed Hyperlink 3" xfId="24861" hidden="1" xr:uid="{00000000-0005-0000-0000-0000184B0000}"/>
    <cellStyle name="Followed Hyperlink 3" xfId="24864" hidden="1" xr:uid="{00000000-0005-0000-0000-0000194B0000}"/>
    <cellStyle name="Followed Hyperlink 3" xfId="24867" hidden="1" xr:uid="{00000000-0005-0000-0000-00001A4B0000}"/>
    <cellStyle name="Followed Hyperlink 3" xfId="24872" hidden="1" xr:uid="{00000000-0005-0000-0000-00001B4B0000}"/>
    <cellStyle name="Followed Hyperlink 3" xfId="24683" hidden="1" xr:uid="{00000000-0005-0000-0000-00001C4B0000}"/>
    <cellStyle name="Followed Hyperlink 3" xfId="24826" hidden="1" xr:uid="{00000000-0005-0000-0000-00001D4B0000}"/>
    <cellStyle name="Followed Hyperlink 3" xfId="24680" hidden="1" xr:uid="{00000000-0005-0000-0000-00001E4B0000}"/>
    <cellStyle name="Followed Hyperlink 3" xfId="24672" hidden="1" xr:uid="{00000000-0005-0000-0000-00001F4B0000}"/>
    <cellStyle name="Followed Hyperlink 3" xfId="24677" hidden="1" xr:uid="{00000000-0005-0000-0000-0000204B0000}"/>
    <cellStyle name="Followed Hyperlink 3" xfId="24877" hidden="1" xr:uid="{00000000-0005-0000-0000-0000214B0000}"/>
    <cellStyle name="Followed Hyperlink 3" xfId="24880" hidden="1" xr:uid="{00000000-0005-0000-0000-0000224B0000}"/>
    <cellStyle name="Followed Hyperlink 3" xfId="24885" hidden="1" xr:uid="{00000000-0005-0000-0000-0000234B0000}"/>
    <cellStyle name="Followed Hyperlink 3" xfId="24895" hidden="1" xr:uid="{00000000-0005-0000-0000-0000244B0000}"/>
    <cellStyle name="Followed Hyperlink 3" xfId="24897" hidden="1" xr:uid="{00000000-0005-0000-0000-0000254B0000}"/>
    <cellStyle name="Followed Hyperlink 3" xfId="24893" hidden="1" xr:uid="{00000000-0005-0000-0000-0000264B0000}"/>
    <cellStyle name="Followed Hyperlink 3" xfId="24892" hidden="1" xr:uid="{00000000-0005-0000-0000-0000274B0000}"/>
    <cellStyle name="Followed Hyperlink 3" xfId="24898" hidden="1" xr:uid="{00000000-0005-0000-0000-0000284B0000}"/>
    <cellStyle name="Followed Hyperlink 3" xfId="24901" hidden="1" xr:uid="{00000000-0005-0000-0000-0000294B0000}"/>
    <cellStyle name="Followed Hyperlink 3" xfId="24904" hidden="1" xr:uid="{00000000-0005-0000-0000-00002A4B0000}"/>
    <cellStyle name="Followed Hyperlink 3" xfId="24909" hidden="1" xr:uid="{00000000-0005-0000-0000-00002B4B0000}"/>
    <cellStyle name="Followed Hyperlink 3" xfId="24920" hidden="1" xr:uid="{00000000-0005-0000-0000-00002C4B0000}"/>
    <cellStyle name="Followed Hyperlink 3" xfId="24922" hidden="1" xr:uid="{00000000-0005-0000-0000-00002D4B0000}"/>
    <cellStyle name="Followed Hyperlink 3" xfId="24918" hidden="1" xr:uid="{00000000-0005-0000-0000-00002E4B0000}"/>
    <cellStyle name="Followed Hyperlink 3" xfId="24917" hidden="1" xr:uid="{00000000-0005-0000-0000-00002F4B0000}"/>
    <cellStyle name="Followed Hyperlink 3" xfId="24923" hidden="1" xr:uid="{00000000-0005-0000-0000-0000304B0000}"/>
    <cellStyle name="Followed Hyperlink 3" xfId="24926" hidden="1" xr:uid="{00000000-0005-0000-0000-0000314B0000}"/>
    <cellStyle name="Followed Hyperlink 3" xfId="24929" hidden="1" xr:uid="{00000000-0005-0000-0000-0000324B0000}"/>
    <cellStyle name="Followed Hyperlink 3" xfId="24934" hidden="1" xr:uid="{00000000-0005-0000-0000-0000334B0000}"/>
    <cellStyle name="Followed Hyperlink 3" xfId="24944" hidden="1" xr:uid="{00000000-0005-0000-0000-0000344B0000}"/>
    <cellStyle name="Followed Hyperlink 3" xfId="24946" hidden="1" xr:uid="{00000000-0005-0000-0000-0000354B0000}"/>
    <cellStyle name="Followed Hyperlink 3" xfId="24942" hidden="1" xr:uid="{00000000-0005-0000-0000-0000364B0000}"/>
    <cellStyle name="Followed Hyperlink 3" xfId="24941" hidden="1" xr:uid="{00000000-0005-0000-0000-0000374B0000}"/>
    <cellStyle name="Followed Hyperlink 3" xfId="24947" hidden="1" xr:uid="{00000000-0005-0000-0000-0000384B0000}"/>
    <cellStyle name="Followed Hyperlink 3" xfId="24950" hidden="1" xr:uid="{00000000-0005-0000-0000-0000394B0000}"/>
    <cellStyle name="Followed Hyperlink 3" xfId="24953" hidden="1" xr:uid="{00000000-0005-0000-0000-00003A4B0000}"/>
    <cellStyle name="Followed Hyperlink 3" xfId="24958" hidden="1" xr:uid="{00000000-0005-0000-0000-00003B4B0000}"/>
    <cellStyle name="Followed Hyperlink 3" xfId="24688" hidden="1" xr:uid="{00000000-0005-0000-0000-00003C4B0000}"/>
    <cellStyle name="Followed Hyperlink 3" xfId="24912" hidden="1" xr:uid="{00000000-0005-0000-0000-00003D4B0000}"/>
    <cellStyle name="Followed Hyperlink 3" xfId="24684" hidden="1" xr:uid="{00000000-0005-0000-0000-00003E4B0000}"/>
    <cellStyle name="Followed Hyperlink 3" xfId="24689" hidden="1" xr:uid="{00000000-0005-0000-0000-00003F4B0000}"/>
    <cellStyle name="Followed Hyperlink 3" xfId="24676" hidden="1" xr:uid="{00000000-0005-0000-0000-0000404B0000}"/>
    <cellStyle name="Followed Hyperlink 3" xfId="24963" hidden="1" xr:uid="{00000000-0005-0000-0000-0000414B0000}"/>
    <cellStyle name="Followed Hyperlink 3" xfId="24966" hidden="1" xr:uid="{00000000-0005-0000-0000-0000424B0000}"/>
    <cellStyle name="Followed Hyperlink 3" xfId="24971" hidden="1" xr:uid="{00000000-0005-0000-0000-0000434B0000}"/>
    <cellStyle name="Followed Hyperlink 3" xfId="24981" hidden="1" xr:uid="{00000000-0005-0000-0000-0000444B0000}"/>
    <cellStyle name="Followed Hyperlink 3" xfId="24983" hidden="1" xr:uid="{00000000-0005-0000-0000-0000454B0000}"/>
    <cellStyle name="Followed Hyperlink 3" xfId="24979" hidden="1" xr:uid="{00000000-0005-0000-0000-0000464B0000}"/>
    <cellStyle name="Followed Hyperlink 3" xfId="24978" hidden="1" xr:uid="{00000000-0005-0000-0000-0000474B0000}"/>
    <cellStyle name="Followed Hyperlink 3" xfId="24984" hidden="1" xr:uid="{00000000-0005-0000-0000-0000484B0000}"/>
    <cellStyle name="Followed Hyperlink 3" xfId="24987" hidden="1" xr:uid="{00000000-0005-0000-0000-0000494B0000}"/>
    <cellStyle name="Followed Hyperlink 3" xfId="24990" hidden="1" xr:uid="{00000000-0005-0000-0000-00004A4B0000}"/>
    <cellStyle name="Followed Hyperlink 3" xfId="24995" hidden="1" xr:uid="{00000000-0005-0000-0000-00004B4B0000}"/>
    <cellStyle name="Followed Hyperlink 3" xfId="25005" hidden="1" xr:uid="{00000000-0005-0000-0000-00004C4B0000}"/>
    <cellStyle name="Followed Hyperlink 3" xfId="25007" hidden="1" xr:uid="{00000000-0005-0000-0000-00004D4B0000}"/>
    <cellStyle name="Followed Hyperlink 3" xfId="25003" hidden="1" xr:uid="{00000000-0005-0000-0000-00004E4B0000}"/>
    <cellStyle name="Followed Hyperlink 3" xfId="25002" hidden="1" xr:uid="{00000000-0005-0000-0000-00004F4B0000}"/>
    <cellStyle name="Followed Hyperlink 3" xfId="25008" hidden="1" xr:uid="{00000000-0005-0000-0000-0000504B0000}"/>
    <cellStyle name="Followed Hyperlink 3" xfId="25011" hidden="1" xr:uid="{00000000-0005-0000-0000-0000514B0000}"/>
    <cellStyle name="Followed Hyperlink 3" xfId="25014" hidden="1" xr:uid="{00000000-0005-0000-0000-0000524B0000}"/>
    <cellStyle name="Followed Hyperlink 3" xfId="25019" hidden="1" xr:uid="{00000000-0005-0000-0000-0000534B0000}"/>
    <cellStyle name="Followed Hyperlink 3" xfId="25029" hidden="1" xr:uid="{00000000-0005-0000-0000-0000544B0000}"/>
    <cellStyle name="Followed Hyperlink 3" xfId="25031" hidden="1" xr:uid="{00000000-0005-0000-0000-0000554B0000}"/>
    <cellStyle name="Followed Hyperlink 3" xfId="25027" hidden="1" xr:uid="{00000000-0005-0000-0000-0000564B0000}"/>
    <cellStyle name="Followed Hyperlink 3" xfId="25026" hidden="1" xr:uid="{00000000-0005-0000-0000-0000574B0000}"/>
    <cellStyle name="Followed Hyperlink 3" xfId="25032" hidden="1" xr:uid="{00000000-0005-0000-0000-0000584B0000}"/>
    <cellStyle name="Followed Hyperlink 3" xfId="25035" hidden="1" xr:uid="{00000000-0005-0000-0000-0000594B0000}"/>
    <cellStyle name="Followed Hyperlink 3" xfId="25038" hidden="1" xr:uid="{00000000-0005-0000-0000-00005A4B0000}"/>
    <cellStyle name="Followed Hyperlink 3" xfId="25043" hidden="1" xr:uid="{00000000-0005-0000-0000-00005B4B0000}"/>
    <cellStyle name="Followed Hyperlink 3" xfId="573" hidden="1" xr:uid="{00000000-0005-0000-0000-00005C4B0000}"/>
    <cellStyle name="Followed Hyperlink 3" xfId="576" hidden="1" xr:uid="{00000000-0005-0000-0000-00005D4B0000}"/>
    <cellStyle name="Followed Hyperlink 3" xfId="570" hidden="1" xr:uid="{00000000-0005-0000-0000-00005E4B0000}"/>
    <cellStyle name="Followed Hyperlink 3" xfId="572" hidden="1" xr:uid="{00000000-0005-0000-0000-00005F4B0000}"/>
    <cellStyle name="Followed Hyperlink 3" xfId="571" hidden="1" xr:uid="{00000000-0005-0000-0000-0000604B0000}"/>
    <cellStyle name="Followed Hyperlink 3" xfId="632" hidden="1" xr:uid="{00000000-0005-0000-0000-0000614B0000}"/>
    <cellStyle name="Followed Hyperlink 3" xfId="581" hidden="1" xr:uid="{00000000-0005-0000-0000-0000624B0000}"/>
    <cellStyle name="Followed Hyperlink 3" xfId="25048" hidden="1" xr:uid="{00000000-0005-0000-0000-0000634B0000}"/>
    <cellStyle name="Followed Hyperlink 3" xfId="25058" hidden="1" xr:uid="{00000000-0005-0000-0000-0000644B0000}"/>
    <cellStyle name="Followed Hyperlink 3" xfId="25060" hidden="1" xr:uid="{00000000-0005-0000-0000-0000654B0000}"/>
    <cellStyle name="Followed Hyperlink 3" xfId="25056" hidden="1" xr:uid="{00000000-0005-0000-0000-0000664B0000}"/>
    <cellStyle name="Followed Hyperlink 3" xfId="25055" hidden="1" xr:uid="{00000000-0005-0000-0000-0000674B0000}"/>
    <cellStyle name="Followed Hyperlink 3" xfId="25061" hidden="1" xr:uid="{00000000-0005-0000-0000-0000684B0000}"/>
    <cellStyle name="Followed Hyperlink 3" xfId="25064" hidden="1" xr:uid="{00000000-0005-0000-0000-0000694B0000}"/>
    <cellStyle name="Followed Hyperlink 3" xfId="25067" hidden="1" xr:uid="{00000000-0005-0000-0000-00006A4B0000}"/>
    <cellStyle name="Followed Hyperlink 3" xfId="25072" hidden="1" xr:uid="{00000000-0005-0000-0000-00006B4B0000}"/>
    <cellStyle name="Followed Hyperlink 3" xfId="25082" hidden="1" xr:uid="{00000000-0005-0000-0000-00006C4B0000}"/>
    <cellStyle name="Followed Hyperlink 3" xfId="25084" hidden="1" xr:uid="{00000000-0005-0000-0000-00006D4B0000}"/>
    <cellStyle name="Followed Hyperlink 3" xfId="25080" hidden="1" xr:uid="{00000000-0005-0000-0000-00006E4B0000}"/>
    <cellStyle name="Followed Hyperlink 3" xfId="25079" hidden="1" xr:uid="{00000000-0005-0000-0000-00006F4B0000}"/>
    <cellStyle name="Followed Hyperlink 3" xfId="25085" hidden="1" xr:uid="{00000000-0005-0000-0000-0000704B0000}"/>
    <cellStyle name="Followed Hyperlink 3" xfId="25088" hidden="1" xr:uid="{00000000-0005-0000-0000-0000714B0000}"/>
    <cellStyle name="Followed Hyperlink 3" xfId="25091" hidden="1" xr:uid="{00000000-0005-0000-0000-0000724B0000}"/>
    <cellStyle name="Followed Hyperlink 3" xfId="25096" hidden="1" xr:uid="{00000000-0005-0000-0000-0000734B0000}"/>
    <cellStyle name="Followed Hyperlink 3" xfId="25106" hidden="1" xr:uid="{00000000-0005-0000-0000-0000744B0000}"/>
    <cellStyle name="Followed Hyperlink 3" xfId="25108" hidden="1" xr:uid="{00000000-0005-0000-0000-0000754B0000}"/>
    <cellStyle name="Followed Hyperlink 3" xfId="25104" hidden="1" xr:uid="{00000000-0005-0000-0000-0000764B0000}"/>
    <cellStyle name="Followed Hyperlink 3" xfId="25103" hidden="1" xr:uid="{00000000-0005-0000-0000-0000774B0000}"/>
    <cellStyle name="Followed Hyperlink 3" xfId="25109" hidden="1" xr:uid="{00000000-0005-0000-0000-0000784B0000}"/>
    <cellStyle name="Followed Hyperlink 3" xfId="25112" hidden="1" xr:uid="{00000000-0005-0000-0000-0000794B0000}"/>
    <cellStyle name="Followed Hyperlink 3" xfId="25115" hidden="1" xr:uid="{00000000-0005-0000-0000-00007A4B0000}"/>
    <cellStyle name="Followed Hyperlink 3" xfId="25120" hidden="1" xr:uid="{00000000-0005-0000-0000-00007B4B0000}"/>
    <cellStyle name="Followed Hyperlink 3" xfId="25159" hidden="1" xr:uid="{00000000-0005-0000-0000-00007C4B0000}"/>
    <cellStyle name="Followed Hyperlink 3" xfId="25161" hidden="1" xr:uid="{00000000-0005-0000-0000-00007D4B0000}"/>
    <cellStyle name="Followed Hyperlink 3" xfId="25157" hidden="1" xr:uid="{00000000-0005-0000-0000-00007E4B0000}"/>
    <cellStyle name="Followed Hyperlink 3" xfId="25156" hidden="1" xr:uid="{00000000-0005-0000-0000-00007F4B0000}"/>
    <cellStyle name="Followed Hyperlink 3" xfId="25162" hidden="1" xr:uid="{00000000-0005-0000-0000-0000804B0000}"/>
    <cellStyle name="Followed Hyperlink 3" xfId="25165" hidden="1" xr:uid="{00000000-0005-0000-0000-0000814B0000}"/>
    <cellStyle name="Followed Hyperlink 3" xfId="25168" hidden="1" xr:uid="{00000000-0005-0000-0000-0000824B0000}"/>
    <cellStyle name="Followed Hyperlink 3" xfId="25173" hidden="1" xr:uid="{00000000-0005-0000-0000-0000834B0000}"/>
    <cellStyle name="Followed Hyperlink 3" xfId="25183" hidden="1" xr:uid="{00000000-0005-0000-0000-0000844B0000}"/>
    <cellStyle name="Followed Hyperlink 3" xfId="25185" hidden="1" xr:uid="{00000000-0005-0000-0000-0000854B0000}"/>
    <cellStyle name="Followed Hyperlink 3" xfId="25181" hidden="1" xr:uid="{00000000-0005-0000-0000-0000864B0000}"/>
    <cellStyle name="Followed Hyperlink 3" xfId="25180" hidden="1" xr:uid="{00000000-0005-0000-0000-0000874B0000}"/>
    <cellStyle name="Followed Hyperlink 3" xfId="25186" hidden="1" xr:uid="{00000000-0005-0000-0000-0000884B0000}"/>
    <cellStyle name="Followed Hyperlink 3" xfId="25189" hidden="1" xr:uid="{00000000-0005-0000-0000-0000894B0000}"/>
    <cellStyle name="Followed Hyperlink 3" xfId="25192" hidden="1" xr:uid="{00000000-0005-0000-0000-00008A4B0000}"/>
    <cellStyle name="Followed Hyperlink 3" xfId="25197" hidden="1" xr:uid="{00000000-0005-0000-0000-00008B4B0000}"/>
    <cellStyle name="Followed Hyperlink 3" xfId="25209" hidden="1" xr:uid="{00000000-0005-0000-0000-00008C4B0000}"/>
    <cellStyle name="Followed Hyperlink 3" xfId="25211" hidden="1" xr:uid="{00000000-0005-0000-0000-00008D4B0000}"/>
    <cellStyle name="Followed Hyperlink 3" xfId="25207" hidden="1" xr:uid="{00000000-0005-0000-0000-00008E4B0000}"/>
    <cellStyle name="Followed Hyperlink 3" xfId="25206" hidden="1" xr:uid="{00000000-0005-0000-0000-00008F4B0000}"/>
    <cellStyle name="Followed Hyperlink 3" xfId="25212" hidden="1" xr:uid="{00000000-0005-0000-0000-0000904B0000}"/>
    <cellStyle name="Followed Hyperlink 3" xfId="25215" hidden="1" xr:uid="{00000000-0005-0000-0000-0000914B0000}"/>
    <cellStyle name="Followed Hyperlink 3" xfId="25218" hidden="1" xr:uid="{00000000-0005-0000-0000-0000924B0000}"/>
    <cellStyle name="Followed Hyperlink 3" xfId="25223" hidden="1" xr:uid="{00000000-0005-0000-0000-0000934B0000}"/>
    <cellStyle name="Followed Hyperlink 3" xfId="25233" hidden="1" xr:uid="{00000000-0005-0000-0000-0000944B0000}"/>
    <cellStyle name="Followed Hyperlink 3" xfId="25235" hidden="1" xr:uid="{00000000-0005-0000-0000-0000954B0000}"/>
    <cellStyle name="Followed Hyperlink 3" xfId="25231" hidden="1" xr:uid="{00000000-0005-0000-0000-0000964B0000}"/>
    <cellStyle name="Followed Hyperlink 3" xfId="25230" hidden="1" xr:uid="{00000000-0005-0000-0000-0000974B0000}"/>
    <cellStyle name="Followed Hyperlink 3" xfId="25236" hidden="1" xr:uid="{00000000-0005-0000-0000-0000984B0000}"/>
    <cellStyle name="Followed Hyperlink 3" xfId="25239" hidden="1" xr:uid="{00000000-0005-0000-0000-0000994B0000}"/>
    <cellStyle name="Followed Hyperlink 3" xfId="25242" hidden="1" xr:uid="{00000000-0005-0000-0000-00009A4B0000}"/>
    <cellStyle name="Followed Hyperlink 3" xfId="25247" hidden="1" xr:uid="{00000000-0005-0000-0000-00009B4B0000}"/>
    <cellStyle name="Followed Hyperlink 3" xfId="25286" hidden="1" xr:uid="{00000000-0005-0000-0000-00009C4B0000}"/>
    <cellStyle name="Followed Hyperlink 3" xfId="25288" hidden="1" xr:uid="{00000000-0005-0000-0000-00009D4B0000}"/>
    <cellStyle name="Followed Hyperlink 3" xfId="25284" hidden="1" xr:uid="{00000000-0005-0000-0000-00009E4B0000}"/>
    <cellStyle name="Followed Hyperlink 3" xfId="25283" hidden="1" xr:uid="{00000000-0005-0000-0000-00009F4B0000}"/>
    <cellStyle name="Followed Hyperlink 3" xfId="25289" hidden="1" xr:uid="{00000000-0005-0000-0000-0000A04B0000}"/>
    <cellStyle name="Followed Hyperlink 3" xfId="25292" hidden="1" xr:uid="{00000000-0005-0000-0000-0000A14B0000}"/>
    <cellStyle name="Followed Hyperlink 3" xfId="25295" hidden="1" xr:uid="{00000000-0005-0000-0000-0000A24B0000}"/>
    <cellStyle name="Followed Hyperlink 3" xfId="25300" hidden="1" xr:uid="{00000000-0005-0000-0000-0000A34B0000}"/>
    <cellStyle name="Followed Hyperlink 3" xfId="25310" hidden="1" xr:uid="{00000000-0005-0000-0000-0000A44B0000}"/>
    <cellStyle name="Followed Hyperlink 3" xfId="25312" hidden="1" xr:uid="{00000000-0005-0000-0000-0000A54B0000}"/>
    <cellStyle name="Followed Hyperlink 3" xfId="25308" hidden="1" xr:uid="{00000000-0005-0000-0000-0000A64B0000}"/>
    <cellStyle name="Followed Hyperlink 3" xfId="25307" hidden="1" xr:uid="{00000000-0005-0000-0000-0000A74B0000}"/>
    <cellStyle name="Followed Hyperlink 3" xfId="25313" hidden="1" xr:uid="{00000000-0005-0000-0000-0000A84B0000}"/>
    <cellStyle name="Followed Hyperlink 3" xfId="25316" hidden="1" xr:uid="{00000000-0005-0000-0000-0000A94B0000}"/>
    <cellStyle name="Followed Hyperlink 3" xfId="25319" hidden="1" xr:uid="{00000000-0005-0000-0000-0000AA4B0000}"/>
    <cellStyle name="Followed Hyperlink 3" xfId="25324" hidden="1" xr:uid="{00000000-0005-0000-0000-0000AB4B0000}"/>
    <cellStyle name="Followed Hyperlink 3" xfId="25336" hidden="1" xr:uid="{00000000-0005-0000-0000-0000AC4B0000}"/>
    <cellStyle name="Followed Hyperlink 3" xfId="25338" hidden="1" xr:uid="{00000000-0005-0000-0000-0000AD4B0000}"/>
    <cellStyle name="Followed Hyperlink 3" xfId="25334" hidden="1" xr:uid="{00000000-0005-0000-0000-0000AE4B0000}"/>
    <cellStyle name="Followed Hyperlink 3" xfId="25333" hidden="1" xr:uid="{00000000-0005-0000-0000-0000AF4B0000}"/>
    <cellStyle name="Followed Hyperlink 3" xfId="25339" hidden="1" xr:uid="{00000000-0005-0000-0000-0000B04B0000}"/>
    <cellStyle name="Followed Hyperlink 3" xfId="25342" hidden="1" xr:uid="{00000000-0005-0000-0000-0000B14B0000}"/>
    <cellStyle name="Followed Hyperlink 3" xfId="25345" hidden="1" xr:uid="{00000000-0005-0000-0000-0000B24B0000}"/>
    <cellStyle name="Followed Hyperlink 3" xfId="25350" hidden="1" xr:uid="{00000000-0005-0000-0000-0000B34B0000}"/>
    <cellStyle name="Followed Hyperlink 3" xfId="25360" hidden="1" xr:uid="{00000000-0005-0000-0000-0000B44B0000}"/>
    <cellStyle name="Followed Hyperlink 3" xfId="25362" hidden="1" xr:uid="{00000000-0005-0000-0000-0000B54B0000}"/>
    <cellStyle name="Followed Hyperlink 3" xfId="25358" hidden="1" xr:uid="{00000000-0005-0000-0000-0000B64B0000}"/>
    <cellStyle name="Followed Hyperlink 3" xfId="25357" hidden="1" xr:uid="{00000000-0005-0000-0000-0000B74B0000}"/>
    <cellStyle name="Followed Hyperlink 3" xfId="25363" hidden="1" xr:uid="{00000000-0005-0000-0000-0000B84B0000}"/>
    <cellStyle name="Followed Hyperlink 3" xfId="25366" hidden="1" xr:uid="{00000000-0005-0000-0000-0000B94B0000}"/>
    <cellStyle name="Followed Hyperlink 3" xfId="25369" hidden="1" xr:uid="{00000000-0005-0000-0000-0000BA4B0000}"/>
    <cellStyle name="Followed Hyperlink 3" xfId="25374" hidden="1" xr:uid="{00000000-0005-0000-0000-0000BB4B0000}"/>
    <cellStyle name="Followed Hyperlink 3" xfId="25413" hidden="1" xr:uid="{00000000-0005-0000-0000-0000BC4B0000}"/>
    <cellStyle name="Followed Hyperlink 3" xfId="25415" hidden="1" xr:uid="{00000000-0005-0000-0000-0000BD4B0000}"/>
    <cellStyle name="Followed Hyperlink 3" xfId="25411" hidden="1" xr:uid="{00000000-0005-0000-0000-0000BE4B0000}"/>
    <cellStyle name="Followed Hyperlink 3" xfId="25410" hidden="1" xr:uid="{00000000-0005-0000-0000-0000BF4B0000}"/>
    <cellStyle name="Followed Hyperlink 3" xfId="25416" hidden="1" xr:uid="{00000000-0005-0000-0000-0000C04B0000}"/>
    <cellStyle name="Followed Hyperlink 3" xfId="25419" hidden="1" xr:uid="{00000000-0005-0000-0000-0000C14B0000}"/>
    <cellStyle name="Followed Hyperlink 3" xfId="25422" hidden="1" xr:uid="{00000000-0005-0000-0000-0000C24B0000}"/>
    <cellStyle name="Followed Hyperlink 3" xfId="25427" hidden="1" xr:uid="{00000000-0005-0000-0000-0000C34B0000}"/>
    <cellStyle name="Followed Hyperlink 3" xfId="25437" hidden="1" xr:uid="{00000000-0005-0000-0000-0000C44B0000}"/>
    <cellStyle name="Followed Hyperlink 3" xfId="25439" hidden="1" xr:uid="{00000000-0005-0000-0000-0000C54B0000}"/>
    <cellStyle name="Followed Hyperlink 3" xfId="25435" hidden="1" xr:uid="{00000000-0005-0000-0000-0000C64B0000}"/>
    <cellStyle name="Followed Hyperlink 3" xfId="25434" hidden="1" xr:uid="{00000000-0005-0000-0000-0000C74B0000}"/>
    <cellStyle name="Followed Hyperlink 3" xfId="25440" hidden="1" xr:uid="{00000000-0005-0000-0000-0000C84B0000}"/>
    <cellStyle name="Followed Hyperlink 3" xfId="25443" hidden="1" xr:uid="{00000000-0005-0000-0000-0000C94B0000}"/>
    <cellStyle name="Followed Hyperlink 3" xfId="25446" hidden="1" xr:uid="{00000000-0005-0000-0000-0000CA4B0000}"/>
    <cellStyle name="Followed Hyperlink 3" xfId="25451" hidden="1" xr:uid="{00000000-0005-0000-0000-0000CB4B0000}"/>
    <cellStyle name="Followed Hyperlink 3" xfId="25463" hidden="1" xr:uid="{00000000-0005-0000-0000-0000CC4B0000}"/>
    <cellStyle name="Followed Hyperlink 3" xfId="25465" hidden="1" xr:uid="{00000000-0005-0000-0000-0000CD4B0000}"/>
    <cellStyle name="Followed Hyperlink 3" xfId="25461" hidden="1" xr:uid="{00000000-0005-0000-0000-0000CE4B0000}"/>
    <cellStyle name="Followed Hyperlink 3" xfId="25460" hidden="1" xr:uid="{00000000-0005-0000-0000-0000CF4B0000}"/>
    <cellStyle name="Followed Hyperlink 3" xfId="25466" hidden="1" xr:uid="{00000000-0005-0000-0000-0000D04B0000}"/>
    <cellStyle name="Followed Hyperlink 3" xfId="25469" hidden="1" xr:uid="{00000000-0005-0000-0000-0000D14B0000}"/>
    <cellStyle name="Followed Hyperlink 3" xfId="25472" hidden="1" xr:uid="{00000000-0005-0000-0000-0000D24B0000}"/>
    <cellStyle name="Followed Hyperlink 3" xfId="25477" hidden="1" xr:uid="{00000000-0005-0000-0000-0000D34B0000}"/>
    <cellStyle name="Followed Hyperlink 3" xfId="25487" hidden="1" xr:uid="{00000000-0005-0000-0000-0000D44B0000}"/>
    <cellStyle name="Followed Hyperlink 3" xfId="25489" hidden="1" xr:uid="{00000000-0005-0000-0000-0000D54B0000}"/>
    <cellStyle name="Followed Hyperlink 3" xfId="25485" hidden="1" xr:uid="{00000000-0005-0000-0000-0000D64B0000}"/>
    <cellStyle name="Followed Hyperlink 3" xfId="25484" hidden="1" xr:uid="{00000000-0005-0000-0000-0000D74B0000}"/>
    <cellStyle name="Followed Hyperlink 3" xfId="25490" hidden="1" xr:uid="{00000000-0005-0000-0000-0000D84B0000}"/>
    <cellStyle name="Followed Hyperlink 3" xfId="25493" hidden="1" xr:uid="{00000000-0005-0000-0000-0000D94B0000}"/>
    <cellStyle name="Followed Hyperlink 3" xfId="25496" hidden="1" xr:uid="{00000000-0005-0000-0000-0000DA4B0000}"/>
    <cellStyle name="Followed Hyperlink 3" xfId="25501" hidden="1" xr:uid="{00000000-0005-0000-0000-0000DB4B0000}"/>
    <cellStyle name="Followed Hyperlink 3" xfId="25377" hidden="1" xr:uid="{00000000-0005-0000-0000-0000DC4B0000}"/>
    <cellStyle name="Followed Hyperlink 3" xfId="25454" hidden="1" xr:uid="{00000000-0005-0000-0000-0000DD4B0000}"/>
    <cellStyle name="Followed Hyperlink 3" xfId="25381" hidden="1" xr:uid="{00000000-0005-0000-0000-0000DE4B0000}"/>
    <cellStyle name="Followed Hyperlink 3" xfId="25382" hidden="1" xr:uid="{00000000-0005-0000-0000-0000DF4B0000}"/>
    <cellStyle name="Followed Hyperlink 3" xfId="25385" hidden="1" xr:uid="{00000000-0005-0000-0000-0000E04B0000}"/>
    <cellStyle name="Followed Hyperlink 3" xfId="25506" hidden="1" xr:uid="{00000000-0005-0000-0000-0000E14B0000}"/>
    <cellStyle name="Followed Hyperlink 3" xfId="25509" hidden="1" xr:uid="{00000000-0005-0000-0000-0000E24B0000}"/>
    <cellStyle name="Followed Hyperlink 3" xfId="25514" hidden="1" xr:uid="{00000000-0005-0000-0000-0000E34B0000}"/>
    <cellStyle name="Followed Hyperlink 3" xfId="25524" hidden="1" xr:uid="{00000000-0005-0000-0000-0000E44B0000}"/>
    <cellStyle name="Followed Hyperlink 3" xfId="25526" hidden="1" xr:uid="{00000000-0005-0000-0000-0000E54B0000}"/>
    <cellStyle name="Followed Hyperlink 3" xfId="25522" hidden="1" xr:uid="{00000000-0005-0000-0000-0000E64B0000}"/>
    <cellStyle name="Followed Hyperlink 3" xfId="25521" hidden="1" xr:uid="{00000000-0005-0000-0000-0000E74B0000}"/>
    <cellStyle name="Followed Hyperlink 3" xfId="25527" hidden="1" xr:uid="{00000000-0005-0000-0000-0000E84B0000}"/>
    <cellStyle name="Followed Hyperlink 3" xfId="25530" hidden="1" xr:uid="{00000000-0005-0000-0000-0000E94B0000}"/>
    <cellStyle name="Followed Hyperlink 3" xfId="25533" hidden="1" xr:uid="{00000000-0005-0000-0000-0000EA4B0000}"/>
    <cellStyle name="Followed Hyperlink 3" xfId="25538" hidden="1" xr:uid="{00000000-0005-0000-0000-0000EB4B0000}"/>
    <cellStyle name="Followed Hyperlink 3" xfId="25549" hidden="1" xr:uid="{00000000-0005-0000-0000-0000EC4B0000}"/>
    <cellStyle name="Followed Hyperlink 3" xfId="25551" hidden="1" xr:uid="{00000000-0005-0000-0000-0000ED4B0000}"/>
    <cellStyle name="Followed Hyperlink 3" xfId="25547" hidden="1" xr:uid="{00000000-0005-0000-0000-0000EE4B0000}"/>
    <cellStyle name="Followed Hyperlink 3" xfId="25546" hidden="1" xr:uid="{00000000-0005-0000-0000-0000EF4B0000}"/>
    <cellStyle name="Followed Hyperlink 3" xfId="25552" hidden="1" xr:uid="{00000000-0005-0000-0000-0000F04B0000}"/>
    <cellStyle name="Followed Hyperlink 3" xfId="25555" hidden="1" xr:uid="{00000000-0005-0000-0000-0000F14B0000}"/>
    <cellStyle name="Followed Hyperlink 3" xfId="25558" hidden="1" xr:uid="{00000000-0005-0000-0000-0000F24B0000}"/>
    <cellStyle name="Followed Hyperlink 3" xfId="25563" hidden="1" xr:uid="{00000000-0005-0000-0000-0000F34B0000}"/>
    <cellStyle name="Followed Hyperlink 3" xfId="25573" hidden="1" xr:uid="{00000000-0005-0000-0000-0000F44B0000}"/>
    <cellStyle name="Followed Hyperlink 3" xfId="25575" hidden="1" xr:uid="{00000000-0005-0000-0000-0000F54B0000}"/>
    <cellStyle name="Followed Hyperlink 3" xfId="25571" hidden="1" xr:uid="{00000000-0005-0000-0000-0000F64B0000}"/>
    <cellStyle name="Followed Hyperlink 3" xfId="25570" hidden="1" xr:uid="{00000000-0005-0000-0000-0000F74B0000}"/>
    <cellStyle name="Followed Hyperlink 3" xfId="25576" hidden="1" xr:uid="{00000000-0005-0000-0000-0000F84B0000}"/>
    <cellStyle name="Followed Hyperlink 3" xfId="25579" hidden="1" xr:uid="{00000000-0005-0000-0000-0000F94B0000}"/>
    <cellStyle name="Followed Hyperlink 3" xfId="25582" hidden="1" xr:uid="{00000000-0005-0000-0000-0000FA4B0000}"/>
    <cellStyle name="Followed Hyperlink 3" xfId="25587" hidden="1" xr:uid="{00000000-0005-0000-0000-0000FB4B0000}"/>
    <cellStyle name="Followed Hyperlink 3" xfId="25398" hidden="1" xr:uid="{00000000-0005-0000-0000-0000FC4B0000}"/>
    <cellStyle name="Followed Hyperlink 3" xfId="25541" hidden="1" xr:uid="{00000000-0005-0000-0000-0000FD4B0000}"/>
    <cellStyle name="Followed Hyperlink 3" xfId="25395" hidden="1" xr:uid="{00000000-0005-0000-0000-0000FE4B0000}"/>
    <cellStyle name="Followed Hyperlink 3" xfId="25387" hidden="1" xr:uid="{00000000-0005-0000-0000-0000FF4B0000}"/>
    <cellStyle name="Followed Hyperlink 3" xfId="25392" hidden="1" xr:uid="{00000000-0005-0000-0000-0000004C0000}"/>
    <cellStyle name="Followed Hyperlink 3" xfId="25592" hidden="1" xr:uid="{00000000-0005-0000-0000-0000014C0000}"/>
    <cellStyle name="Followed Hyperlink 3" xfId="25595" hidden="1" xr:uid="{00000000-0005-0000-0000-0000024C0000}"/>
    <cellStyle name="Followed Hyperlink 3" xfId="25600" hidden="1" xr:uid="{00000000-0005-0000-0000-0000034C0000}"/>
    <cellStyle name="Followed Hyperlink 3" xfId="25610" hidden="1" xr:uid="{00000000-0005-0000-0000-0000044C0000}"/>
    <cellStyle name="Followed Hyperlink 3" xfId="25612" hidden="1" xr:uid="{00000000-0005-0000-0000-0000054C0000}"/>
    <cellStyle name="Followed Hyperlink 3" xfId="25608" hidden="1" xr:uid="{00000000-0005-0000-0000-0000064C0000}"/>
    <cellStyle name="Followed Hyperlink 3" xfId="25607" hidden="1" xr:uid="{00000000-0005-0000-0000-0000074C0000}"/>
    <cellStyle name="Followed Hyperlink 3" xfId="25613" hidden="1" xr:uid="{00000000-0005-0000-0000-0000084C0000}"/>
    <cellStyle name="Followed Hyperlink 3" xfId="25616" hidden="1" xr:uid="{00000000-0005-0000-0000-0000094C0000}"/>
    <cellStyle name="Followed Hyperlink 3" xfId="25619" hidden="1" xr:uid="{00000000-0005-0000-0000-00000A4C0000}"/>
    <cellStyle name="Followed Hyperlink 3" xfId="25624" hidden="1" xr:uid="{00000000-0005-0000-0000-00000B4C0000}"/>
    <cellStyle name="Followed Hyperlink 3" xfId="25635" hidden="1" xr:uid="{00000000-0005-0000-0000-00000C4C0000}"/>
    <cellStyle name="Followed Hyperlink 3" xfId="25637" hidden="1" xr:uid="{00000000-0005-0000-0000-00000D4C0000}"/>
    <cellStyle name="Followed Hyperlink 3" xfId="25633" hidden="1" xr:uid="{00000000-0005-0000-0000-00000E4C0000}"/>
    <cellStyle name="Followed Hyperlink 3" xfId="25632" hidden="1" xr:uid="{00000000-0005-0000-0000-00000F4C0000}"/>
    <cellStyle name="Followed Hyperlink 3" xfId="25638" hidden="1" xr:uid="{00000000-0005-0000-0000-0000104C0000}"/>
    <cellStyle name="Followed Hyperlink 3" xfId="25641" hidden="1" xr:uid="{00000000-0005-0000-0000-0000114C0000}"/>
    <cellStyle name="Followed Hyperlink 3" xfId="25644" hidden="1" xr:uid="{00000000-0005-0000-0000-0000124C0000}"/>
    <cellStyle name="Followed Hyperlink 3" xfId="25649" hidden="1" xr:uid="{00000000-0005-0000-0000-0000134C0000}"/>
    <cellStyle name="Followed Hyperlink 3" xfId="25659" hidden="1" xr:uid="{00000000-0005-0000-0000-0000144C0000}"/>
    <cellStyle name="Followed Hyperlink 3" xfId="25661" hidden="1" xr:uid="{00000000-0005-0000-0000-0000154C0000}"/>
    <cellStyle name="Followed Hyperlink 3" xfId="25657" hidden="1" xr:uid="{00000000-0005-0000-0000-0000164C0000}"/>
    <cellStyle name="Followed Hyperlink 3" xfId="25656" hidden="1" xr:uid="{00000000-0005-0000-0000-0000174C0000}"/>
    <cellStyle name="Followed Hyperlink 3" xfId="25662" hidden="1" xr:uid="{00000000-0005-0000-0000-0000184C0000}"/>
    <cellStyle name="Followed Hyperlink 3" xfId="25665" hidden="1" xr:uid="{00000000-0005-0000-0000-0000194C0000}"/>
    <cellStyle name="Followed Hyperlink 3" xfId="25668" hidden="1" xr:uid="{00000000-0005-0000-0000-00001A4C0000}"/>
    <cellStyle name="Followed Hyperlink 3" xfId="25673" hidden="1" xr:uid="{00000000-0005-0000-0000-00001B4C0000}"/>
    <cellStyle name="Followed Hyperlink 3" xfId="25403" hidden="1" xr:uid="{00000000-0005-0000-0000-00001C4C0000}"/>
    <cellStyle name="Followed Hyperlink 3" xfId="25627" hidden="1" xr:uid="{00000000-0005-0000-0000-00001D4C0000}"/>
    <cellStyle name="Followed Hyperlink 3" xfId="25399" hidden="1" xr:uid="{00000000-0005-0000-0000-00001E4C0000}"/>
    <cellStyle name="Followed Hyperlink 3" xfId="25404" hidden="1" xr:uid="{00000000-0005-0000-0000-00001F4C0000}"/>
    <cellStyle name="Followed Hyperlink 3" xfId="25391" hidden="1" xr:uid="{00000000-0005-0000-0000-0000204C0000}"/>
    <cellStyle name="Followed Hyperlink 3" xfId="25678" hidden="1" xr:uid="{00000000-0005-0000-0000-0000214C0000}"/>
    <cellStyle name="Followed Hyperlink 3" xfId="25681" hidden="1" xr:uid="{00000000-0005-0000-0000-0000224C0000}"/>
    <cellStyle name="Followed Hyperlink 3" xfId="25686" hidden="1" xr:uid="{00000000-0005-0000-0000-0000234C0000}"/>
    <cellStyle name="Followed Hyperlink 3" xfId="25696" hidden="1" xr:uid="{00000000-0005-0000-0000-0000244C0000}"/>
    <cellStyle name="Followed Hyperlink 3" xfId="25698" hidden="1" xr:uid="{00000000-0005-0000-0000-0000254C0000}"/>
    <cellStyle name="Followed Hyperlink 3" xfId="25694" hidden="1" xr:uid="{00000000-0005-0000-0000-0000264C0000}"/>
    <cellStyle name="Followed Hyperlink 3" xfId="25693" hidden="1" xr:uid="{00000000-0005-0000-0000-0000274C0000}"/>
    <cellStyle name="Followed Hyperlink 3" xfId="25699" hidden="1" xr:uid="{00000000-0005-0000-0000-0000284C0000}"/>
    <cellStyle name="Followed Hyperlink 3" xfId="25702" hidden="1" xr:uid="{00000000-0005-0000-0000-0000294C0000}"/>
    <cellStyle name="Followed Hyperlink 3" xfId="25705" hidden="1" xr:uid="{00000000-0005-0000-0000-00002A4C0000}"/>
    <cellStyle name="Followed Hyperlink 3" xfId="25710" hidden="1" xr:uid="{00000000-0005-0000-0000-00002B4C0000}"/>
    <cellStyle name="Followed Hyperlink 3" xfId="25720" hidden="1" xr:uid="{00000000-0005-0000-0000-00002C4C0000}"/>
    <cellStyle name="Followed Hyperlink 3" xfId="25722" hidden="1" xr:uid="{00000000-0005-0000-0000-00002D4C0000}"/>
    <cellStyle name="Followed Hyperlink 3" xfId="25718" hidden="1" xr:uid="{00000000-0005-0000-0000-00002E4C0000}"/>
    <cellStyle name="Followed Hyperlink 3" xfId="25717" hidden="1" xr:uid="{00000000-0005-0000-0000-00002F4C0000}"/>
    <cellStyle name="Followed Hyperlink 3" xfId="25723" hidden="1" xr:uid="{00000000-0005-0000-0000-0000304C0000}"/>
    <cellStyle name="Followed Hyperlink 3" xfId="25726" hidden="1" xr:uid="{00000000-0005-0000-0000-0000314C0000}"/>
    <cellStyle name="Followed Hyperlink 3" xfId="25729" hidden="1" xr:uid="{00000000-0005-0000-0000-0000324C0000}"/>
    <cellStyle name="Followed Hyperlink 3" xfId="25734" hidden="1" xr:uid="{00000000-0005-0000-0000-0000334C0000}"/>
    <cellStyle name="Followed Hyperlink 3" xfId="25744" hidden="1" xr:uid="{00000000-0005-0000-0000-0000344C0000}"/>
    <cellStyle name="Followed Hyperlink 3" xfId="25746" hidden="1" xr:uid="{00000000-0005-0000-0000-0000354C0000}"/>
    <cellStyle name="Followed Hyperlink 3" xfId="25742" hidden="1" xr:uid="{00000000-0005-0000-0000-0000364C0000}"/>
    <cellStyle name="Followed Hyperlink 3" xfId="25741" hidden="1" xr:uid="{00000000-0005-0000-0000-0000374C0000}"/>
    <cellStyle name="Followed Hyperlink 3" xfId="25747" hidden="1" xr:uid="{00000000-0005-0000-0000-0000384C0000}"/>
    <cellStyle name="Followed Hyperlink 3" xfId="25750" hidden="1" xr:uid="{00000000-0005-0000-0000-0000394C0000}"/>
    <cellStyle name="Followed Hyperlink 3" xfId="25753" hidden="1" xr:uid="{00000000-0005-0000-0000-00003A4C0000}"/>
    <cellStyle name="Followed Hyperlink 3" xfId="25758" hidden="1" xr:uid="{00000000-0005-0000-0000-00003B4C0000}"/>
    <cellStyle name="Followed Hyperlink 3" xfId="25250" hidden="1" xr:uid="{00000000-0005-0000-0000-00003C4C0000}"/>
    <cellStyle name="Followed Hyperlink 3" xfId="25327" hidden="1" xr:uid="{00000000-0005-0000-0000-00003D4C0000}"/>
    <cellStyle name="Followed Hyperlink 3" xfId="25254" hidden="1" xr:uid="{00000000-0005-0000-0000-00003E4C0000}"/>
    <cellStyle name="Followed Hyperlink 3" xfId="25255" hidden="1" xr:uid="{00000000-0005-0000-0000-00003F4C0000}"/>
    <cellStyle name="Followed Hyperlink 3" xfId="25258" hidden="1" xr:uid="{00000000-0005-0000-0000-0000404C0000}"/>
    <cellStyle name="Followed Hyperlink 3" xfId="25763" hidden="1" xr:uid="{00000000-0005-0000-0000-0000414C0000}"/>
    <cellStyle name="Followed Hyperlink 3" xfId="25766" hidden="1" xr:uid="{00000000-0005-0000-0000-0000424C0000}"/>
    <cellStyle name="Followed Hyperlink 3" xfId="25771" hidden="1" xr:uid="{00000000-0005-0000-0000-0000434C0000}"/>
    <cellStyle name="Followed Hyperlink 3" xfId="25781" hidden="1" xr:uid="{00000000-0005-0000-0000-0000444C0000}"/>
    <cellStyle name="Followed Hyperlink 3" xfId="25783" hidden="1" xr:uid="{00000000-0005-0000-0000-0000454C0000}"/>
    <cellStyle name="Followed Hyperlink 3" xfId="25779" hidden="1" xr:uid="{00000000-0005-0000-0000-0000464C0000}"/>
    <cellStyle name="Followed Hyperlink 3" xfId="25778" hidden="1" xr:uid="{00000000-0005-0000-0000-0000474C0000}"/>
    <cellStyle name="Followed Hyperlink 3" xfId="25784" hidden="1" xr:uid="{00000000-0005-0000-0000-0000484C0000}"/>
    <cellStyle name="Followed Hyperlink 3" xfId="25787" hidden="1" xr:uid="{00000000-0005-0000-0000-0000494C0000}"/>
    <cellStyle name="Followed Hyperlink 3" xfId="25790" hidden="1" xr:uid="{00000000-0005-0000-0000-00004A4C0000}"/>
    <cellStyle name="Followed Hyperlink 3" xfId="25795" hidden="1" xr:uid="{00000000-0005-0000-0000-00004B4C0000}"/>
    <cellStyle name="Followed Hyperlink 3" xfId="25806" hidden="1" xr:uid="{00000000-0005-0000-0000-00004C4C0000}"/>
    <cellStyle name="Followed Hyperlink 3" xfId="25808" hidden="1" xr:uid="{00000000-0005-0000-0000-00004D4C0000}"/>
    <cellStyle name="Followed Hyperlink 3" xfId="25804" hidden="1" xr:uid="{00000000-0005-0000-0000-00004E4C0000}"/>
    <cellStyle name="Followed Hyperlink 3" xfId="25803" hidden="1" xr:uid="{00000000-0005-0000-0000-00004F4C0000}"/>
    <cellStyle name="Followed Hyperlink 3" xfId="25809" hidden="1" xr:uid="{00000000-0005-0000-0000-0000504C0000}"/>
    <cellStyle name="Followed Hyperlink 3" xfId="25812" hidden="1" xr:uid="{00000000-0005-0000-0000-0000514C0000}"/>
    <cellStyle name="Followed Hyperlink 3" xfId="25815" hidden="1" xr:uid="{00000000-0005-0000-0000-0000524C0000}"/>
    <cellStyle name="Followed Hyperlink 3" xfId="25820" hidden="1" xr:uid="{00000000-0005-0000-0000-0000534C0000}"/>
    <cellStyle name="Followed Hyperlink 3" xfId="25830" hidden="1" xr:uid="{00000000-0005-0000-0000-0000544C0000}"/>
    <cellStyle name="Followed Hyperlink 3" xfId="25832" hidden="1" xr:uid="{00000000-0005-0000-0000-0000554C0000}"/>
    <cellStyle name="Followed Hyperlink 3" xfId="25828" hidden="1" xr:uid="{00000000-0005-0000-0000-0000564C0000}"/>
    <cellStyle name="Followed Hyperlink 3" xfId="25827" hidden="1" xr:uid="{00000000-0005-0000-0000-0000574C0000}"/>
    <cellStyle name="Followed Hyperlink 3" xfId="25833" hidden="1" xr:uid="{00000000-0005-0000-0000-0000584C0000}"/>
    <cellStyle name="Followed Hyperlink 3" xfId="25836" hidden="1" xr:uid="{00000000-0005-0000-0000-0000594C0000}"/>
    <cellStyle name="Followed Hyperlink 3" xfId="25839" hidden="1" xr:uid="{00000000-0005-0000-0000-00005A4C0000}"/>
    <cellStyle name="Followed Hyperlink 3" xfId="25844" hidden="1" xr:uid="{00000000-0005-0000-0000-00005B4C0000}"/>
    <cellStyle name="Followed Hyperlink 3" xfId="25883" hidden="1" xr:uid="{00000000-0005-0000-0000-00005C4C0000}"/>
    <cellStyle name="Followed Hyperlink 3" xfId="25885" hidden="1" xr:uid="{00000000-0005-0000-0000-00005D4C0000}"/>
    <cellStyle name="Followed Hyperlink 3" xfId="25881" hidden="1" xr:uid="{00000000-0005-0000-0000-00005E4C0000}"/>
    <cellStyle name="Followed Hyperlink 3" xfId="25880" hidden="1" xr:uid="{00000000-0005-0000-0000-00005F4C0000}"/>
    <cellStyle name="Followed Hyperlink 3" xfId="25886" hidden="1" xr:uid="{00000000-0005-0000-0000-0000604C0000}"/>
    <cellStyle name="Followed Hyperlink 3" xfId="25889" hidden="1" xr:uid="{00000000-0005-0000-0000-0000614C0000}"/>
    <cellStyle name="Followed Hyperlink 3" xfId="25892" hidden="1" xr:uid="{00000000-0005-0000-0000-0000624C0000}"/>
    <cellStyle name="Followed Hyperlink 3" xfId="25897" hidden="1" xr:uid="{00000000-0005-0000-0000-0000634C0000}"/>
    <cellStyle name="Followed Hyperlink 3" xfId="25907" hidden="1" xr:uid="{00000000-0005-0000-0000-0000644C0000}"/>
    <cellStyle name="Followed Hyperlink 3" xfId="25909" hidden="1" xr:uid="{00000000-0005-0000-0000-0000654C0000}"/>
    <cellStyle name="Followed Hyperlink 3" xfId="25905" hidden="1" xr:uid="{00000000-0005-0000-0000-0000664C0000}"/>
    <cellStyle name="Followed Hyperlink 3" xfId="25904" hidden="1" xr:uid="{00000000-0005-0000-0000-0000674C0000}"/>
    <cellStyle name="Followed Hyperlink 3" xfId="25910" hidden="1" xr:uid="{00000000-0005-0000-0000-0000684C0000}"/>
    <cellStyle name="Followed Hyperlink 3" xfId="25913" hidden="1" xr:uid="{00000000-0005-0000-0000-0000694C0000}"/>
    <cellStyle name="Followed Hyperlink 3" xfId="25916" hidden="1" xr:uid="{00000000-0005-0000-0000-00006A4C0000}"/>
    <cellStyle name="Followed Hyperlink 3" xfId="25921" hidden="1" xr:uid="{00000000-0005-0000-0000-00006B4C0000}"/>
    <cellStyle name="Followed Hyperlink 3" xfId="25933" hidden="1" xr:uid="{00000000-0005-0000-0000-00006C4C0000}"/>
    <cellStyle name="Followed Hyperlink 3" xfId="25935" hidden="1" xr:uid="{00000000-0005-0000-0000-00006D4C0000}"/>
    <cellStyle name="Followed Hyperlink 3" xfId="25931" hidden="1" xr:uid="{00000000-0005-0000-0000-00006E4C0000}"/>
    <cellStyle name="Followed Hyperlink 3" xfId="25930" hidden="1" xr:uid="{00000000-0005-0000-0000-00006F4C0000}"/>
    <cellStyle name="Followed Hyperlink 3" xfId="25936" hidden="1" xr:uid="{00000000-0005-0000-0000-0000704C0000}"/>
    <cellStyle name="Followed Hyperlink 3" xfId="25939" hidden="1" xr:uid="{00000000-0005-0000-0000-0000714C0000}"/>
    <cellStyle name="Followed Hyperlink 3" xfId="25942" hidden="1" xr:uid="{00000000-0005-0000-0000-0000724C0000}"/>
    <cellStyle name="Followed Hyperlink 3" xfId="25947" hidden="1" xr:uid="{00000000-0005-0000-0000-0000734C0000}"/>
    <cellStyle name="Followed Hyperlink 3" xfId="25957" hidden="1" xr:uid="{00000000-0005-0000-0000-0000744C0000}"/>
    <cellStyle name="Followed Hyperlink 3" xfId="25959" hidden="1" xr:uid="{00000000-0005-0000-0000-0000754C0000}"/>
    <cellStyle name="Followed Hyperlink 3" xfId="25955" hidden="1" xr:uid="{00000000-0005-0000-0000-0000764C0000}"/>
    <cellStyle name="Followed Hyperlink 3" xfId="25954" hidden="1" xr:uid="{00000000-0005-0000-0000-0000774C0000}"/>
    <cellStyle name="Followed Hyperlink 3" xfId="25960" hidden="1" xr:uid="{00000000-0005-0000-0000-0000784C0000}"/>
    <cellStyle name="Followed Hyperlink 3" xfId="25963" hidden="1" xr:uid="{00000000-0005-0000-0000-0000794C0000}"/>
    <cellStyle name="Followed Hyperlink 3" xfId="25966" hidden="1" xr:uid="{00000000-0005-0000-0000-00007A4C0000}"/>
    <cellStyle name="Followed Hyperlink 3" xfId="25971" hidden="1" xr:uid="{00000000-0005-0000-0000-00007B4C0000}"/>
    <cellStyle name="Followed Hyperlink 3" xfId="25847" hidden="1" xr:uid="{00000000-0005-0000-0000-00007C4C0000}"/>
    <cellStyle name="Followed Hyperlink 3" xfId="25924" hidden="1" xr:uid="{00000000-0005-0000-0000-00007D4C0000}"/>
    <cellStyle name="Followed Hyperlink 3" xfId="25851" hidden="1" xr:uid="{00000000-0005-0000-0000-00007E4C0000}"/>
    <cellStyle name="Followed Hyperlink 3" xfId="25852" hidden="1" xr:uid="{00000000-0005-0000-0000-00007F4C0000}"/>
    <cellStyle name="Followed Hyperlink 3" xfId="25855" hidden="1" xr:uid="{00000000-0005-0000-0000-0000804C0000}"/>
    <cellStyle name="Followed Hyperlink 3" xfId="25976" hidden="1" xr:uid="{00000000-0005-0000-0000-0000814C0000}"/>
    <cellStyle name="Followed Hyperlink 3" xfId="25979" hidden="1" xr:uid="{00000000-0005-0000-0000-0000824C0000}"/>
    <cellStyle name="Followed Hyperlink 3" xfId="25984" hidden="1" xr:uid="{00000000-0005-0000-0000-0000834C0000}"/>
    <cellStyle name="Followed Hyperlink 3" xfId="25994" hidden="1" xr:uid="{00000000-0005-0000-0000-0000844C0000}"/>
    <cellStyle name="Followed Hyperlink 3" xfId="25996" hidden="1" xr:uid="{00000000-0005-0000-0000-0000854C0000}"/>
    <cellStyle name="Followed Hyperlink 3" xfId="25992" hidden="1" xr:uid="{00000000-0005-0000-0000-0000864C0000}"/>
    <cellStyle name="Followed Hyperlink 3" xfId="25991" hidden="1" xr:uid="{00000000-0005-0000-0000-0000874C0000}"/>
    <cellStyle name="Followed Hyperlink 3" xfId="25997" hidden="1" xr:uid="{00000000-0005-0000-0000-0000884C0000}"/>
    <cellStyle name="Followed Hyperlink 3" xfId="26000" hidden="1" xr:uid="{00000000-0005-0000-0000-0000894C0000}"/>
    <cellStyle name="Followed Hyperlink 3" xfId="26003" hidden="1" xr:uid="{00000000-0005-0000-0000-00008A4C0000}"/>
    <cellStyle name="Followed Hyperlink 3" xfId="26008" hidden="1" xr:uid="{00000000-0005-0000-0000-00008B4C0000}"/>
    <cellStyle name="Followed Hyperlink 3" xfId="26019" hidden="1" xr:uid="{00000000-0005-0000-0000-00008C4C0000}"/>
    <cellStyle name="Followed Hyperlink 3" xfId="26021" hidden="1" xr:uid="{00000000-0005-0000-0000-00008D4C0000}"/>
    <cellStyle name="Followed Hyperlink 3" xfId="26017" hidden="1" xr:uid="{00000000-0005-0000-0000-00008E4C0000}"/>
    <cellStyle name="Followed Hyperlink 3" xfId="26016" hidden="1" xr:uid="{00000000-0005-0000-0000-00008F4C0000}"/>
    <cellStyle name="Followed Hyperlink 3" xfId="26022" hidden="1" xr:uid="{00000000-0005-0000-0000-0000904C0000}"/>
    <cellStyle name="Followed Hyperlink 3" xfId="26025" hidden="1" xr:uid="{00000000-0005-0000-0000-0000914C0000}"/>
    <cellStyle name="Followed Hyperlink 3" xfId="26028" hidden="1" xr:uid="{00000000-0005-0000-0000-0000924C0000}"/>
    <cellStyle name="Followed Hyperlink 3" xfId="26033" hidden="1" xr:uid="{00000000-0005-0000-0000-0000934C0000}"/>
    <cellStyle name="Followed Hyperlink 3" xfId="26043" hidden="1" xr:uid="{00000000-0005-0000-0000-0000944C0000}"/>
    <cellStyle name="Followed Hyperlink 3" xfId="26045" hidden="1" xr:uid="{00000000-0005-0000-0000-0000954C0000}"/>
    <cellStyle name="Followed Hyperlink 3" xfId="26041" hidden="1" xr:uid="{00000000-0005-0000-0000-0000964C0000}"/>
    <cellStyle name="Followed Hyperlink 3" xfId="26040" hidden="1" xr:uid="{00000000-0005-0000-0000-0000974C0000}"/>
    <cellStyle name="Followed Hyperlink 3" xfId="26046" hidden="1" xr:uid="{00000000-0005-0000-0000-0000984C0000}"/>
    <cellStyle name="Followed Hyperlink 3" xfId="26049" hidden="1" xr:uid="{00000000-0005-0000-0000-0000994C0000}"/>
    <cellStyle name="Followed Hyperlink 3" xfId="26052" hidden="1" xr:uid="{00000000-0005-0000-0000-00009A4C0000}"/>
    <cellStyle name="Followed Hyperlink 3" xfId="26057" hidden="1" xr:uid="{00000000-0005-0000-0000-00009B4C0000}"/>
    <cellStyle name="Followed Hyperlink 3" xfId="25868" hidden="1" xr:uid="{00000000-0005-0000-0000-00009C4C0000}"/>
    <cellStyle name="Followed Hyperlink 3" xfId="26011" hidden="1" xr:uid="{00000000-0005-0000-0000-00009D4C0000}"/>
    <cellStyle name="Followed Hyperlink 3" xfId="25865" hidden="1" xr:uid="{00000000-0005-0000-0000-00009E4C0000}"/>
    <cellStyle name="Followed Hyperlink 3" xfId="25857" hidden="1" xr:uid="{00000000-0005-0000-0000-00009F4C0000}"/>
    <cellStyle name="Followed Hyperlink 3" xfId="25862" hidden="1" xr:uid="{00000000-0005-0000-0000-0000A04C0000}"/>
    <cellStyle name="Followed Hyperlink 3" xfId="26062" hidden="1" xr:uid="{00000000-0005-0000-0000-0000A14C0000}"/>
    <cellStyle name="Followed Hyperlink 3" xfId="26065" hidden="1" xr:uid="{00000000-0005-0000-0000-0000A24C0000}"/>
    <cellStyle name="Followed Hyperlink 3" xfId="26070" hidden="1" xr:uid="{00000000-0005-0000-0000-0000A34C0000}"/>
    <cellStyle name="Followed Hyperlink 3" xfId="26080" hidden="1" xr:uid="{00000000-0005-0000-0000-0000A44C0000}"/>
    <cellStyle name="Followed Hyperlink 3" xfId="26082" hidden="1" xr:uid="{00000000-0005-0000-0000-0000A54C0000}"/>
    <cellStyle name="Followed Hyperlink 3" xfId="26078" hidden="1" xr:uid="{00000000-0005-0000-0000-0000A64C0000}"/>
    <cellStyle name="Followed Hyperlink 3" xfId="26077" hidden="1" xr:uid="{00000000-0005-0000-0000-0000A74C0000}"/>
    <cellStyle name="Followed Hyperlink 3" xfId="26083" hidden="1" xr:uid="{00000000-0005-0000-0000-0000A84C0000}"/>
    <cellStyle name="Followed Hyperlink 3" xfId="26086" hidden="1" xr:uid="{00000000-0005-0000-0000-0000A94C0000}"/>
    <cellStyle name="Followed Hyperlink 3" xfId="26089" hidden="1" xr:uid="{00000000-0005-0000-0000-0000AA4C0000}"/>
    <cellStyle name="Followed Hyperlink 3" xfId="26094" hidden="1" xr:uid="{00000000-0005-0000-0000-0000AB4C0000}"/>
    <cellStyle name="Followed Hyperlink 3" xfId="26105" hidden="1" xr:uid="{00000000-0005-0000-0000-0000AC4C0000}"/>
    <cellStyle name="Followed Hyperlink 3" xfId="26107" hidden="1" xr:uid="{00000000-0005-0000-0000-0000AD4C0000}"/>
    <cellStyle name="Followed Hyperlink 3" xfId="26103" hidden="1" xr:uid="{00000000-0005-0000-0000-0000AE4C0000}"/>
    <cellStyle name="Followed Hyperlink 3" xfId="26102" hidden="1" xr:uid="{00000000-0005-0000-0000-0000AF4C0000}"/>
    <cellStyle name="Followed Hyperlink 3" xfId="26108" hidden="1" xr:uid="{00000000-0005-0000-0000-0000B04C0000}"/>
    <cellStyle name="Followed Hyperlink 3" xfId="26111" hidden="1" xr:uid="{00000000-0005-0000-0000-0000B14C0000}"/>
    <cellStyle name="Followed Hyperlink 3" xfId="26114" hidden="1" xr:uid="{00000000-0005-0000-0000-0000B24C0000}"/>
    <cellStyle name="Followed Hyperlink 3" xfId="26119" hidden="1" xr:uid="{00000000-0005-0000-0000-0000B34C0000}"/>
    <cellStyle name="Followed Hyperlink 3" xfId="26129" hidden="1" xr:uid="{00000000-0005-0000-0000-0000B44C0000}"/>
    <cellStyle name="Followed Hyperlink 3" xfId="26131" hidden="1" xr:uid="{00000000-0005-0000-0000-0000B54C0000}"/>
    <cellStyle name="Followed Hyperlink 3" xfId="26127" hidden="1" xr:uid="{00000000-0005-0000-0000-0000B64C0000}"/>
    <cellStyle name="Followed Hyperlink 3" xfId="26126" hidden="1" xr:uid="{00000000-0005-0000-0000-0000B74C0000}"/>
    <cellStyle name="Followed Hyperlink 3" xfId="26132" hidden="1" xr:uid="{00000000-0005-0000-0000-0000B84C0000}"/>
    <cellStyle name="Followed Hyperlink 3" xfId="26135" hidden="1" xr:uid="{00000000-0005-0000-0000-0000B94C0000}"/>
    <cellStyle name="Followed Hyperlink 3" xfId="26138" hidden="1" xr:uid="{00000000-0005-0000-0000-0000BA4C0000}"/>
    <cellStyle name="Followed Hyperlink 3" xfId="26143" hidden="1" xr:uid="{00000000-0005-0000-0000-0000BB4C0000}"/>
    <cellStyle name="Followed Hyperlink 3" xfId="25873" hidden="1" xr:uid="{00000000-0005-0000-0000-0000BC4C0000}"/>
    <cellStyle name="Followed Hyperlink 3" xfId="26097" hidden="1" xr:uid="{00000000-0005-0000-0000-0000BD4C0000}"/>
    <cellStyle name="Followed Hyperlink 3" xfId="25869" hidden="1" xr:uid="{00000000-0005-0000-0000-0000BE4C0000}"/>
    <cellStyle name="Followed Hyperlink 3" xfId="25874" hidden="1" xr:uid="{00000000-0005-0000-0000-0000BF4C0000}"/>
    <cellStyle name="Followed Hyperlink 3" xfId="25861" hidden="1" xr:uid="{00000000-0005-0000-0000-0000C04C0000}"/>
    <cellStyle name="Followed Hyperlink 3" xfId="26148" hidden="1" xr:uid="{00000000-0005-0000-0000-0000C14C0000}"/>
    <cellStyle name="Followed Hyperlink 3" xfId="26151" hidden="1" xr:uid="{00000000-0005-0000-0000-0000C24C0000}"/>
    <cellStyle name="Followed Hyperlink 3" xfId="26156" hidden="1" xr:uid="{00000000-0005-0000-0000-0000C34C0000}"/>
    <cellStyle name="Followed Hyperlink 3" xfId="26166" hidden="1" xr:uid="{00000000-0005-0000-0000-0000C44C0000}"/>
    <cellStyle name="Followed Hyperlink 3" xfId="26168" hidden="1" xr:uid="{00000000-0005-0000-0000-0000C54C0000}"/>
    <cellStyle name="Followed Hyperlink 3" xfId="26164" hidden="1" xr:uid="{00000000-0005-0000-0000-0000C64C0000}"/>
    <cellStyle name="Followed Hyperlink 3" xfId="26163" hidden="1" xr:uid="{00000000-0005-0000-0000-0000C74C0000}"/>
    <cellStyle name="Followed Hyperlink 3" xfId="26169" hidden="1" xr:uid="{00000000-0005-0000-0000-0000C84C0000}"/>
    <cellStyle name="Followed Hyperlink 3" xfId="26172" hidden="1" xr:uid="{00000000-0005-0000-0000-0000C94C0000}"/>
    <cellStyle name="Followed Hyperlink 3" xfId="26175" hidden="1" xr:uid="{00000000-0005-0000-0000-0000CA4C0000}"/>
    <cellStyle name="Followed Hyperlink 3" xfId="26180" hidden="1" xr:uid="{00000000-0005-0000-0000-0000CB4C0000}"/>
    <cellStyle name="Followed Hyperlink 3" xfId="26190" hidden="1" xr:uid="{00000000-0005-0000-0000-0000CC4C0000}"/>
    <cellStyle name="Followed Hyperlink 3" xfId="26192" hidden="1" xr:uid="{00000000-0005-0000-0000-0000CD4C0000}"/>
    <cellStyle name="Followed Hyperlink 3" xfId="26188" hidden="1" xr:uid="{00000000-0005-0000-0000-0000CE4C0000}"/>
    <cellStyle name="Followed Hyperlink 3" xfId="26187" hidden="1" xr:uid="{00000000-0005-0000-0000-0000CF4C0000}"/>
    <cellStyle name="Followed Hyperlink 3" xfId="26193" hidden="1" xr:uid="{00000000-0005-0000-0000-0000D04C0000}"/>
    <cellStyle name="Followed Hyperlink 3" xfId="26196" hidden="1" xr:uid="{00000000-0005-0000-0000-0000D14C0000}"/>
    <cellStyle name="Followed Hyperlink 3" xfId="26199" hidden="1" xr:uid="{00000000-0005-0000-0000-0000D24C0000}"/>
    <cellStyle name="Followed Hyperlink 3" xfId="26204" hidden="1" xr:uid="{00000000-0005-0000-0000-0000D34C0000}"/>
    <cellStyle name="Followed Hyperlink 3" xfId="26214" hidden="1" xr:uid="{00000000-0005-0000-0000-0000D44C0000}"/>
    <cellStyle name="Followed Hyperlink 3" xfId="26216" hidden="1" xr:uid="{00000000-0005-0000-0000-0000D54C0000}"/>
    <cellStyle name="Followed Hyperlink 3" xfId="26212" hidden="1" xr:uid="{00000000-0005-0000-0000-0000D64C0000}"/>
    <cellStyle name="Followed Hyperlink 3" xfId="26211" hidden="1" xr:uid="{00000000-0005-0000-0000-0000D74C0000}"/>
    <cellStyle name="Followed Hyperlink 3" xfId="26217" hidden="1" xr:uid="{00000000-0005-0000-0000-0000D84C0000}"/>
    <cellStyle name="Followed Hyperlink 3" xfId="26220" hidden="1" xr:uid="{00000000-0005-0000-0000-0000D94C0000}"/>
    <cellStyle name="Followed Hyperlink 3" xfId="26223" hidden="1" xr:uid="{00000000-0005-0000-0000-0000DA4C0000}"/>
    <cellStyle name="Followed Hyperlink 3" xfId="26228" hidden="1" xr:uid="{00000000-0005-0000-0000-0000DB4C0000}"/>
    <cellStyle name="Followed Hyperlink 3" xfId="25271" hidden="1" xr:uid="{00000000-0005-0000-0000-0000DC4C0000}"/>
    <cellStyle name="Followed Hyperlink 3" xfId="25798" hidden="1" xr:uid="{00000000-0005-0000-0000-0000DD4C0000}"/>
    <cellStyle name="Followed Hyperlink 3" xfId="25268" hidden="1" xr:uid="{00000000-0005-0000-0000-0000DE4C0000}"/>
    <cellStyle name="Followed Hyperlink 3" xfId="25260" hidden="1" xr:uid="{00000000-0005-0000-0000-0000DF4C0000}"/>
    <cellStyle name="Followed Hyperlink 3" xfId="25265" hidden="1" xr:uid="{00000000-0005-0000-0000-0000E04C0000}"/>
    <cellStyle name="Followed Hyperlink 3" xfId="26233" hidden="1" xr:uid="{00000000-0005-0000-0000-0000E14C0000}"/>
    <cellStyle name="Followed Hyperlink 3" xfId="26236" hidden="1" xr:uid="{00000000-0005-0000-0000-0000E24C0000}"/>
    <cellStyle name="Followed Hyperlink 3" xfId="26241" hidden="1" xr:uid="{00000000-0005-0000-0000-0000E34C0000}"/>
    <cellStyle name="Followed Hyperlink 3" xfId="26251" hidden="1" xr:uid="{00000000-0005-0000-0000-0000E44C0000}"/>
    <cellStyle name="Followed Hyperlink 3" xfId="26253" hidden="1" xr:uid="{00000000-0005-0000-0000-0000E54C0000}"/>
    <cellStyle name="Followed Hyperlink 3" xfId="26249" hidden="1" xr:uid="{00000000-0005-0000-0000-0000E64C0000}"/>
    <cellStyle name="Followed Hyperlink 3" xfId="26248" hidden="1" xr:uid="{00000000-0005-0000-0000-0000E74C0000}"/>
    <cellStyle name="Followed Hyperlink 3" xfId="26254" hidden="1" xr:uid="{00000000-0005-0000-0000-0000E84C0000}"/>
    <cellStyle name="Followed Hyperlink 3" xfId="26257" hidden="1" xr:uid="{00000000-0005-0000-0000-0000E94C0000}"/>
    <cellStyle name="Followed Hyperlink 3" xfId="26260" hidden="1" xr:uid="{00000000-0005-0000-0000-0000EA4C0000}"/>
    <cellStyle name="Followed Hyperlink 3" xfId="26265" hidden="1" xr:uid="{00000000-0005-0000-0000-0000EB4C0000}"/>
    <cellStyle name="Followed Hyperlink 3" xfId="26276" hidden="1" xr:uid="{00000000-0005-0000-0000-0000EC4C0000}"/>
    <cellStyle name="Followed Hyperlink 3" xfId="26278" hidden="1" xr:uid="{00000000-0005-0000-0000-0000ED4C0000}"/>
    <cellStyle name="Followed Hyperlink 3" xfId="26274" hidden="1" xr:uid="{00000000-0005-0000-0000-0000EE4C0000}"/>
    <cellStyle name="Followed Hyperlink 3" xfId="26273" hidden="1" xr:uid="{00000000-0005-0000-0000-0000EF4C0000}"/>
    <cellStyle name="Followed Hyperlink 3" xfId="26279" hidden="1" xr:uid="{00000000-0005-0000-0000-0000F04C0000}"/>
    <cellStyle name="Followed Hyperlink 3" xfId="26282" hidden="1" xr:uid="{00000000-0005-0000-0000-0000F14C0000}"/>
    <cellStyle name="Followed Hyperlink 3" xfId="26285" hidden="1" xr:uid="{00000000-0005-0000-0000-0000F24C0000}"/>
    <cellStyle name="Followed Hyperlink 3" xfId="26290" hidden="1" xr:uid="{00000000-0005-0000-0000-0000F34C0000}"/>
    <cellStyle name="Followed Hyperlink 3" xfId="26300" hidden="1" xr:uid="{00000000-0005-0000-0000-0000F44C0000}"/>
    <cellStyle name="Followed Hyperlink 3" xfId="26302" hidden="1" xr:uid="{00000000-0005-0000-0000-0000F54C0000}"/>
    <cellStyle name="Followed Hyperlink 3" xfId="26298" hidden="1" xr:uid="{00000000-0005-0000-0000-0000F64C0000}"/>
    <cellStyle name="Followed Hyperlink 3" xfId="26297" hidden="1" xr:uid="{00000000-0005-0000-0000-0000F74C0000}"/>
    <cellStyle name="Followed Hyperlink 3" xfId="26303" hidden="1" xr:uid="{00000000-0005-0000-0000-0000F84C0000}"/>
    <cellStyle name="Followed Hyperlink 3" xfId="26306" hidden="1" xr:uid="{00000000-0005-0000-0000-0000F94C0000}"/>
    <cellStyle name="Followed Hyperlink 3" xfId="26309" hidden="1" xr:uid="{00000000-0005-0000-0000-0000FA4C0000}"/>
    <cellStyle name="Followed Hyperlink 3" xfId="26314" hidden="1" xr:uid="{00000000-0005-0000-0000-0000FB4C0000}"/>
    <cellStyle name="Followed Hyperlink 3" xfId="26353" hidden="1" xr:uid="{00000000-0005-0000-0000-0000FC4C0000}"/>
    <cellStyle name="Followed Hyperlink 3" xfId="26355" hidden="1" xr:uid="{00000000-0005-0000-0000-0000FD4C0000}"/>
    <cellStyle name="Followed Hyperlink 3" xfId="26351" hidden="1" xr:uid="{00000000-0005-0000-0000-0000FE4C0000}"/>
    <cellStyle name="Followed Hyperlink 3" xfId="26350" hidden="1" xr:uid="{00000000-0005-0000-0000-0000FF4C0000}"/>
    <cellStyle name="Followed Hyperlink 3" xfId="26356" hidden="1" xr:uid="{00000000-0005-0000-0000-0000004D0000}"/>
    <cellStyle name="Followed Hyperlink 3" xfId="26359" hidden="1" xr:uid="{00000000-0005-0000-0000-0000014D0000}"/>
    <cellStyle name="Followed Hyperlink 3" xfId="26362" hidden="1" xr:uid="{00000000-0005-0000-0000-0000024D0000}"/>
    <cellStyle name="Followed Hyperlink 3" xfId="26367" hidden="1" xr:uid="{00000000-0005-0000-0000-0000034D0000}"/>
    <cellStyle name="Followed Hyperlink 3" xfId="26377" hidden="1" xr:uid="{00000000-0005-0000-0000-0000044D0000}"/>
    <cellStyle name="Followed Hyperlink 3" xfId="26379" hidden="1" xr:uid="{00000000-0005-0000-0000-0000054D0000}"/>
    <cellStyle name="Followed Hyperlink 3" xfId="26375" hidden="1" xr:uid="{00000000-0005-0000-0000-0000064D0000}"/>
    <cellStyle name="Followed Hyperlink 3" xfId="26374" hidden="1" xr:uid="{00000000-0005-0000-0000-0000074D0000}"/>
    <cellStyle name="Followed Hyperlink 3" xfId="26380" hidden="1" xr:uid="{00000000-0005-0000-0000-0000084D0000}"/>
    <cellStyle name="Followed Hyperlink 3" xfId="26383" hidden="1" xr:uid="{00000000-0005-0000-0000-0000094D0000}"/>
    <cellStyle name="Followed Hyperlink 3" xfId="26386" hidden="1" xr:uid="{00000000-0005-0000-0000-00000A4D0000}"/>
    <cellStyle name="Followed Hyperlink 3" xfId="26391" hidden="1" xr:uid="{00000000-0005-0000-0000-00000B4D0000}"/>
    <cellStyle name="Followed Hyperlink 3" xfId="26403" hidden="1" xr:uid="{00000000-0005-0000-0000-00000C4D0000}"/>
    <cellStyle name="Followed Hyperlink 3" xfId="26405" hidden="1" xr:uid="{00000000-0005-0000-0000-00000D4D0000}"/>
    <cellStyle name="Followed Hyperlink 3" xfId="26401" hidden="1" xr:uid="{00000000-0005-0000-0000-00000E4D0000}"/>
    <cellStyle name="Followed Hyperlink 3" xfId="26400" hidden="1" xr:uid="{00000000-0005-0000-0000-00000F4D0000}"/>
    <cellStyle name="Followed Hyperlink 3" xfId="26406" hidden="1" xr:uid="{00000000-0005-0000-0000-0000104D0000}"/>
    <cellStyle name="Followed Hyperlink 3" xfId="26409" hidden="1" xr:uid="{00000000-0005-0000-0000-0000114D0000}"/>
    <cellStyle name="Followed Hyperlink 3" xfId="26412" hidden="1" xr:uid="{00000000-0005-0000-0000-0000124D0000}"/>
    <cellStyle name="Followed Hyperlink 3" xfId="26417" hidden="1" xr:uid="{00000000-0005-0000-0000-0000134D0000}"/>
    <cellStyle name="Followed Hyperlink 3" xfId="26427" hidden="1" xr:uid="{00000000-0005-0000-0000-0000144D0000}"/>
    <cellStyle name="Followed Hyperlink 3" xfId="26429" hidden="1" xr:uid="{00000000-0005-0000-0000-0000154D0000}"/>
    <cellStyle name="Followed Hyperlink 3" xfId="26425" hidden="1" xr:uid="{00000000-0005-0000-0000-0000164D0000}"/>
    <cellStyle name="Followed Hyperlink 3" xfId="26424" hidden="1" xr:uid="{00000000-0005-0000-0000-0000174D0000}"/>
    <cellStyle name="Followed Hyperlink 3" xfId="26430" hidden="1" xr:uid="{00000000-0005-0000-0000-0000184D0000}"/>
    <cellStyle name="Followed Hyperlink 3" xfId="26433" hidden="1" xr:uid="{00000000-0005-0000-0000-0000194D0000}"/>
    <cellStyle name="Followed Hyperlink 3" xfId="26436" hidden="1" xr:uid="{00000000-0005-0000-0000-00001A4D0000}"/>
    <cellStyle name="Followed Hyperlink 3" xfId="26441" hidden="1" xr:uid="{00000000-0005-0000-0000-00001B4D0000}"/>
    <cellStyle name="Followed Hyperlink 3" xfId="26317" hidden="1" xr:uid="{00000000-0005-0000-0000-00001C4D0000}"/>
    <cellStyle name="Followed Hyperlink 3" xfId="26394" hidden="1" xr:uid="{00000000-0005-0000-0000-00001D4D0000}"/>
    <cellStyle name="Followed Hyperlink 3" xfId="26321" hidden="1" xr:uid="{00000000-0005-0000-0000-00001E4D0000}"/>
    <cellStyle name="Followed Hyperlink 3" xfId="26322" hidden="1" xr:uid="{00000000-0005-0000-0000-00001F4D0000}"/>
    <cellStyle name="Followed Hyperlink 3" xfId="26325" hidden="1" xr:uid="{00000000-0005-0000-0000-0000204D0000}"/>
    <cellStyle name="Followed Hyperlink 3" xfId="26446" hidden="1" xr:uid="{00000000-0005-0000-0000-0000214D0000}"/>
    <cellStyle name="Followed Hyperlink 3" xfId="26449" hidden="1" xr:uid="{00000000-0005-0000-0000-0000224D0000}"/>
    <cellStyle name="Followed Hyperlink 3" xfId="26454" hidden="1" xr:uid="{00000000-0005-0000-0000-0000234D0000}"/>
    <cellStyle name="Followed Hyperlink 3" xfId="26464" hidden="1" xr:uid="{00000000-0005-0000-0000-0000244D0000}"/>
    <cellStyle name="Followed Hyperlink 3" xfId="26466" hidden="1" xr:uid="{00000000-0005-0000-0000-0000254D0000}"/>
    <cellStyle name="Followed Hyperlink 3" xfId="26462" hidden="1" xr:uid="{00000000-0005-0000-0000-0000264D0000}"/>
    <cellStyle name="Followed Hyperlink 3" xfId="26461" hidden="1" xr:uid="{00000000-0005-0000-0000-0000274D0000}"/>
    <cellStyle name="Followed Hyperlink 3" xfId="26467" hidden="1" xr:uid="{00000000-0005-0000-0000-0000284D0000}"/>
    <cellStyle name="Followed Hyperlink 3" xfId="26470" hidden="1" xr:uid="{00000000-0005-0000-0000-0000294D0000}"/>
    <cellStyle name="Followed Hyperlink 3" xfId="26473" hidden="1" xr:uid="{00000000-0005-0000-0000-00002A4D0000}"/>
    <cellStyle name="Followed Hyperlink 3" xfId="26478" hidden="1" xr:uid="{00000000-0005-0000-0000-00002B4D0000}"/>
    <cellStyle name="Followed Hyperlink 3" xfId="26489" hidden="1" xr:uid="{00000000-0005-0000-0000-00002C4D0000}"/>
    <cellStyle name="Followed Hyperlink 3" xfId="26491" hidden="1" xr:uid="{00000000-0005-0000-0000-00002D4D0000}"/>
    <cellStyle name="Followed Hyperlink 3" xfId="26487" hidden="1" xr:uid="{00000000-0005-0000-0000-00002E4D0000}"/>
    <cellStyle name="Followed Hyperlink 3" xfId="26486" hidden="1" xr:uid="{00000000-0005-0000-0000-00002F4D0000}"/>
    <cellStyle name="Followed Hyperlink 3" xfId="26492" hidden="1" xr:uid="{00000000-0005-0000-0000-0000304D0000}"/>
    <cellStyle name="Followed Hyperlink 3" xfId="26495" hidden="1" xr:uid="{00000000-0005-0000-0000-0000314D0000}"/>
    <cellStyle name="Followed Hyperlink 3" xfId="26498" hidden="1" xr:uid="{00000000-0005-0000-0000-0000324D0000}"/>
    <cellStyle name="Followed Hyperlink 3" xfId="26503" hidden="1" xr:uid="{00000000-0005-0000-0000-0000334D0000}"/>
    <cellStyle name="Followed Hyperlink 3" xfId="26513" hidden="1" xr:uid="{00000000-0005-0000-0000-0000344D0000}"/>
    <cellStyle name="Followed Hyperlink 3" xfId="26515" hidden="1" xr:uid="{00000000-0005-0000-0000-0000354D0000}"/>
    <cellStyle name="Followed Hyperlink 3" xfId="26511" hidden="1" xr:uid="{00000000-0005-0000-0000-0000364D0000}"/>
    <cellStyle name="Followed Hyperlink 3" xfId="26510" hidden="1" xr:uid="{00000000-0005-0000-0000-0000374D0000}"/>
    <cellStyle name="Followed Hyperlink 3" xfId="26516" hidden="1" xr:uid="{00000000-0005-0000-0000-0000384D0000}"/>
    <cellStyle name="Followed Hyperlink 3" xfId="26519" hidden="1" xr:uid="{00000000-0005-0000-0000-0000394D0000}"/>
    <cellStyle name="Followed Hyperlink 3" xfId="26522" hidden="1" xr:uid="{00000000-0005-0000-0000-00003A4D0000}"/>
    <cellStyle name="Followed Hyperlink 3" xfId="26527" hidden="1" xr:uid="{00000000-0005-0000-0000-00003B4D0000}"/>
    <cellStyle name="Followed Hyperlink 3" xfId="26338" hidden="1" xr:uid="{00000000-0005-0000-0000-00003C4D0000}"/>
    <cellStyle name="Followed Hyperlink 3" xfId="26481" hidden="1" xr:uid="{00000000-0005-0000-0000-00003D4D0000}"/>
    <cellStyle name="Followed Hyperlink 3" xfId="26335" hidden="1" xr:uid="{00000000-0005-0000-0000-00003E4D0000}"/>
    <cellStyle name="Followed Hyperlink 3" xfId="26327" hidden="1" xr:uid="{00000000-0005-0000-0000-00003F4D0000}"/>
    <cellStyle name="Followed Hyperlink 3" xfId="26332" hidden="1" xr:uid="{00000000-0005-0000-0000-0000404D0000}"/>
    <cellStyle name="Followed Hyperlink 3" xfId="26532" hidden="1" xr:uid="{00000000-0005-0000-0000-0000414D0000}"/>
    <cellStyle name="Followed Hyperlink 3" xfId="26535" hidden="1" xr:uid="{00000000-0005-0000-0000-0000424D0000}"/>
    <cellStyle name="Followed Hyperlink 3" xfId="26540" hidden="1" xr:uid="{00000000-0005-0000-0000-0000434D0000}"/>
    <cellStyle name="Followed Hyperlink 3" xfId="26550" hidden="1" xr:uid="{00000000-0005-0000-0000-0000444D0000}"/>
    <cellStyle name="Followed Hyperlink 3" xfId="26552" hidden="1" xr:uid="{00000000-0005-0000-0000-0000454D0000}"/>
    <cellStyle name="Followed Hyperlink 3" xfId="26548" hidden="1" xr:uid="{00000000-0005-0000-0000-0000464D0000}"/>
    <cellStyle name="Followed Hyperlink 3" xfId="26547" hidden="1" xr:uid="{00000000-0005-0000-0000-0000474D0000}"/>
    <cellStyle name="Followed Hyperlink 3" xfId="26553" hidden="1" xr:uid="{00000000-0005-0000-0000-0000484D0000}"/>
    <cellStyle name="Followed Hyperlink 3" xfId="26556" hidden="1" xr:uid="{00000000-0005-0000-0000-0000494D0000}"/>
    <cellStyle name="Followed Hyperlink 3" xfId="26559" hidden="1" xr:uid="{00000000-0005-0000-0000-00004A4D0000}"/>
    <cellStyle name="Followed Hyperlink 3" xfId="26564" hidden="1" xr:uid="{00000000-0005-0000-0000-00004B4D0000}"/>
    <cellStyle name="Followed Hyperlink 3" xfId="26575" hidden="1" xr:uid="{00000000-0005-0000-0000-00004C4D0000}"/>
    <cellStyle name="Followed Hyperlink 3" xfId="26577" hidden="1" xr:uid="{00000000-0005-0000-0000-00004D4D0000}"/>
    <cellStyle name="Followed Hyperlink 3" xfId="26573" hidden="1" xr:uid="{00000000-0005-0000-0000-00004E4D0000}"/>
    <cellStyle name="Followed Hyperlink 3" xfId="26572" hidden="1" xr:uid="{00000000-0005-0000-0000-00004F4D0000}"/>
    <cellStyle name="Followed Hyperlink 3" xfId="26578" hidden="1" xr:uid="{00000000-0005-0000-0000-0000504D0000}"/>
    <cellStyle name="Followed Hyperlink 3" xfId="26581" hidden="1" xr:uid="{00000000-0005-0000-0000-0000514D0000}"/>
    <cellStyle name="Followed Hyperlink 3" xfId="26584" hidden="1" xr:uid="{00000000-0005-0000-0000-0000524D0000}"/>
    <cellStyle name="Followed Hyperlink 3" xfId="26589" hidden="1" xr:uid="{00000000-0005-0000-0000-0000534D0000}"/>
    <cellStyle name="Followed Hyperlink 3" xfId="26599" hidden="1" xr:uid="{00000000-0005-0000-0000-0000544D0000}"/>
    <cellStyle name="Followed Hyperlink 3" xfId="26601" hidden="1" xr:uid="{00000000-0005-0000-0000-0000554D0000}"/>
    <cellStyle name="Followed Hyperlink 3" xfId="26597" hidden="1" xr:uid="{00000000-0005-0000-0000-0000564D0000}"/>
    <cellStyle name="Followed Hyperlink 3" xfId="26596" hidden="1" xr:uid="{00000000-0005-0000-0000-0000574D0000}"/>
    <cellStyle name="Followed Hyperlink 3" xfId="26602" hidden="1" xr:uid="{00000000-0005-0000-0000-0000584D0000}"/>
    <cellStyle name="Followed Hyperlink 3" xfId="26605" hidden="1" xr:uid="{00000000-0005-0000-0000-0000594D0000}"/>
    <cellStyle name="Followed Hyperlink 3" xfId="26608" hidden="1" xr:uid="{00000000-0005-0000-0000-00005A4D0000}"/>
    <cellStyle name="Followed Hyperlink 3" xfId="26613" hidden="1" xr:uid="{00000000-0005-0000-0000-00005B4D0000}"/>
    <cellStyle name="Followed Hyperlink 3" xfId="26343" hidden="1" xr:uid="{00000000-0005-0000-0000-00005C4D0000}"/>
    <cellStyle name="Followed Hyperlink 3" xfId="26567" hidden="1" xr:uid="{00000000-0005-0000-0000-00005D4D0000}"/>
    <cellStyle name="Followed Hyperlink 3" xfId="26339" hidden="1" xr:uid="{00000000-0005-0000-0000-00005E4D0000}"/>
    <cellStyle name="Followed Hyperlink 3" xfId="26344" hidden="1" xr:uid="{00000000-0005-0000-0000-00005F4D0000}"/>
    <cellStyle name="Followed Hyperlink 3" xfId="26331" hidden="1" xr:uid="{00000000-0005-0000-0000-0000604D0000}"/>
    <cellStyle name="Followed Hyperlink 3" xfId="26618" hidden="1" xr:uid="{00000000-0005-0000-0000-0000614D0000}"/>
    <cellStyle name="Followed Hyperlink 3" xfId="26621" hidden="1" xr:uid="{00000000-0005-0000-0000-0000624D0000}"/>
    <cellStyle name="Followed Hyperlink 3" xfId="26626" hidden="1" xr:uid="{00000000-0005-0000-0000-0000634D0000}"/>
    <cellStyle name="Followed Hyperlink 3" xfId="26636" hidden="1" xr:uid="{00000000-0005-0000-0000-0000644D0000}"/>
    <cellStyle name="Followed Hyperlink 3" xfId="26638" hidden="1" xr:uid="{00000000-0005-0000-0000-0000654D0000}"/>
    <cellStyle name="Followed Hyperlink 3" xfId="26634" hidden="1" xr:uid="{00000000-0005-0000-0000-0000664D0000}"/>
    <cellStyle name="Followed Hyperlink 3" xfId="26633" hidden="1" xr:uid="{00000000-0005-0000-0000-0000674D0000}"/>
    <cellStyle name="Followed Hyperlink 3" xfId="26639" hidden="1" xr:uid="{00000000-0005-0000-0000-0000684D0000}"/>
    <cellStyle name="Followed Hyperlink 3" xfId="26642" hidden="1" xr:uid="{00000000-0005-0000-0000-0000694D0000}"/>
    <cellStyle name="Followed Hyperlink 3" xfId="26645" hidden="1" xr:uid="{00000000-0005-0000-0000-00006A4D0000}"/>
    <cellStyle name="Followed Hyperlink 3" xfId="26650" hidden="1" xr:uid="{00000000-0005-0000-0000-00006B4D0000}"/>
    <cellStyle name="Followed Hyperlink 3" xfId="26660" hidden="1" xr:uid="{00000000-0005-0000-0000-00006C4D0000}"/>
    <cellStyle name="Followed Hyperlink 3" xfId="26662" hidden="1" xr:uid="{00000000-0005-0000-0000-00006D4D0000}"/>
    <cellStyle name="Followed Hyperlink 3" xfId="26658" hidden="1" xr:uid="{00000000-0005-0000-0000-00006E4D0000}"/>
    <cellStyle name="Followed Hyperlink 3" xfId="26657" hidden="1" xr:uid="{00000000-0005-0000-0000-00006F4D0000}"/>
    <cellStyle name="Followed Hyperlink 3" xfId="26663" hidden="1" xr:uid="{00000000-0005-0000-0000-0000704D0000}"/>
    <cellStyle name="Followed Hyperlink 3" xfId="26666" hidden="1" xr:uid="{00000000-0005-0000-0000-0000714D0000}"/>
    <cellStyle name="Followed Hyperlink 3" xfId="26669" hidden="1" xr:uid="{00000000-0005-0000-0000-0000724D0000}"/>
    <cellStyle name="Followed Hyperlink 3" xfId="26674" hidden="1" xr:uid="{00000000-0005-0000-0000-0000734D0000}"/>
    <cellStyle name="Followed Hyperlink 3" xfId="26684" hidden="1" xr:uid="{00000000-0005-0000-0000-0000744D0000}"/>
    <cellStyle name="Followed Hyperlink 3" xfId="26686" hidden="1" xr:uid="{00000000-0005-0000-0000-0000754D0000}"/>
    <cellStyle name="Followed Hyperlink 3" xfId="26682" hidden="1" xr:uid="{00000000-0005-0000-0000-0000764D0000}"/>
    <cellStyle name="Followed Hyperlink 3" xfId="26681" hidden="1" xr:uid="{00000000-0005-0000-0000-0000774D0000}"/>
    <cellStyle name="Followed Hyperlink 3" xfId="26687" hidden="1" xr:uid="{00000000-0005-0000-0000-0000784D0000}"/>
    <cellStyle name="Followed Hyperlink 3" xfId="26690" hidden="1" xr:uid="{00000000-0005-0000-0000-0000794D0000}"/>
    <cellStyle name="Followed Hyperlink 3" xfId="26693" hidden="1" xr:uid="{00000000-0005-0000-0000-00007A4D0000}"/>
    <cellStyle name="Followed Hyperlink 3" xfId="26698" hidden="1" xr:uid="{00000000-0005-0000-0000-00007B4D0000}"/>
    <cellStyle name="Followed Hyperlink 3" xfId="25276" hidden="1" xr:uid="{00000000-0005-0000-0000-00007C4D0000}"/>
    <cellStyle name="Followed Hyperlink 3" xfId="26268" hidden="1" xr:uid="{00000000-0005-0000-0000-00007D4D0000}"/>
    <cellStyle name="Followed Hyperlink 3" xfId="25272" hidden="1" xr:uid="{00000000-0005-0000-0000-00007E4D0000}"/>
    <cellStyle name="Followed Hyperlink 3" xfId="25277" hidden="1" xr:uid="{00000000-0005-0000-0000-00007F4D0000}"/>
    <cellStyle name="Followed Hyperlink 3" xfId="25264" hidden="1" xr:uid="{00000000-0005-0000-0000-0000804D0000}"/>
    <cellStyle name="Followed Hyperlink 3" xfId="26703" hidden="1" xr:uid="{00000000-0005-0000-0000-0000814D0000}"/>
    <cellStyle name="Followed Hyperlink 3" xfId="26706" hidden="1" xr:uid="{00000000-0005-0000-0000-0000824D0000}"/>
    <cellStyle name="Followed Hyperlink 3" xfId="26711" hidden="1" xr:uid="{00000000-0005-0000-0000-0000834D0000}"/>
    <cellStyle name="Followed Hyperlink 3" xfId="26721" hidden="1" xr:uid="{00000000-0005-0000-0000-0000844D0000}"/>
    <cellStyle name="Followed Hyperlink 3" xfId="26723" hidden="1" xr:uid="{00000000-0005-0000-0000-0000854D0000}"/>
    <cellStyle name="Followed Hyperlink 3" xfId="26719" hidden="1" xr:uid="{00000000-0005-0000-0000-0000864D0000}"/>
    <cellStyle name="Followed Hyperlink 3" xfId="26718" hidden="1" xr:uid="{00000000-0005-0000-0000-0000874D0000}"/>
    <cellStyle name="Followed Hyperlink 3" xfId="26724" hidden="1" xr:uid="{00000000-0005-0000-0000-0000884D0000}"/>
    <cellStyle name="Followed Hyperlink 3" xfId="26727" hidden="1" xr:uid="{00000000-0005-0000-0000-0000894D0000}"/>
    <cellStyle name="Followed Hyperlink 3" xfId="26730" hidden="1" xr:uid="{00000000-0005-0000-0000-00008A4D0000}"/>
    <cellStyle name="Followed Hyperlink 3" xfId="26735" hidden="1" xr:uid="{00000000-0005-0000-0000-00008B4D0000}"/>
    <cellStyle name="Followed Hyperlink 3" xfId="26745" hidden="1" xr:uid="{00000000-0005-0000-0000-00008C4D0000}"/>
    <cellStyle name="Followed Hyperlink 3" xfId="26747" hidden="1" xr:uid="{00000000-0005-0000-0000-00008D4D0000}"/>
    <cellStyle name="Followed Hyperlink 3" xfId="26743" hidden="1" xr:uid="{00000000-0005-0000-0000-00008E4D0000}"/>
    <cellStyle name="Followed Hyperlink 3" xfId="26742" hidden="1" xr:uid="{00000000-0005-0000-0000-00008F4D0000}"/>
    <cellStyle name="Followed Hyperlink 3" xfId="26748" hidden="1" xr:uid="{00000000-0005-0000-0000-0000904D0000}"/>
    <cellStyle name="Followed Hyperlink 3" xfId="26751" hidden="1" xr:uid="{00000000-0005-0000-0000-0000914D0000}"/>
    <cellStyle name="Followed Hyperlink 3" xfId="26754" hidden="1" xr:uid="{00000000-0005-0000-0000-0000924D0000}"/>
    <cellStyle name="Followed Hyperlink 3" xfId="26759" hidden="1" xr:uid="{00000000-0005-0000-0000-0000934D0000}"/>
    <cellStyle name="Followed Hyperlink 3" xfId="26769" hidden="1" xr:uid="{00000000-0005-0000-0000-0000944D0000}"/>
    <cellStyle name="Followed Hyperlink 3" xfId="26771" hidden="1" xr:uid="{00000000-0005-0000-0000-0000954D0000}"/>
    <cellStyle name="Followed Hyperlink 3" xfId="26767" hidden="1" xr:uid="{00000000-0005-0000-0000-0000964D0000}"/>
    <cellStyle name="Followed Hyperlink 3" xfId="26766" hidden="1" xr:uid="{00000000-0005-0000-0000-0000974D0000}"/>
    <cellStyle name="Followed Hyperlink 3" xfId="26772" hidden="1" xr:uid="{00000000-0005-0000-0000-0000984D0000}"/>
    <cellStyle name="Followed Hyperlink 3" xfId="26775" hidden="1" xr:uid="{00000000-0005-0000-0000-0000994D0000}"/>
    <cellStyle name="Followed Hyperlink 3" xfId="26778" hidden="1" xr:uid="{00000000-0005-0000-0000-00009A4D0000}"/>
    <cellStyle name="Followed Hyperlink 3" xfId="26783" hidden="1" xr:uid="{00000000-0005-0000-0000-00009B4D0000}"/>
    <cellStyle name="Followed Hyperlink 3" xfId="26822" hidden="1" xr:uid="{00000000-0005-0000-0000-00009C4D0000}"/>
    <cellStyle name="Followed Hyperlink 3" xfId="26824" hidden="1" xr:uid="{00000000-0005-0000-0000-00009D4D0000}"/>
    <cellStyle name="Followed Hyperlink 3" xfId="26820" hidden="1" xr:uid="{00000000-0005-0000-0000-00009E4D0000}"/>
    <cellStyle name="Followed Hyperlink 3" xfId="26819" hidden="1" xr:uid="{00000000-0005-0000-0000-00009F4D0000}"/>
    <cellStyle name="Followed Hyperlink 3" xfId="26825" hidden="1" xr:uid="{00000000-0005-0000-0000-0000A04D0000}"/>
    <cellStyle name="Followed Hyperlink 3" xfId="26828" hidden="1" xr:uid="{00000000-0005-0000-0000-0000A14D0000}"/>
    <cellStyle name="Followed Hyperlink 3" xfId="26831" hidden="1" xr:uid="{00000000-0005-0000-0000-0000A24D0000}"/>
    <cellStyle name="Followed Hyperlink 3" xfId="26836" hidden="1" xr:uid="{00000000-0005-0000-0000-0000A34D0000}"/>
    <cellStyle name="Followed Hyperlink 3" xfId="26846" hidden="1" xr:uid="{00000000-0005-0000-0000-0000A44D0000}"/>
    <cellStyle name="Followed Hyperlink 3" xfId="26848" hidden="1" xr:uid="{00000000-0005-0000-0000-0000A54D0000}"/>
    <cellStyle name="Followed Hyperlink 3" xfId="26844" hidden="1" xr:uid="{00000000-0005-0000-0000-0000A64D0000}"/>
    <cellStyle name="Followed Hyperlink 3" xfId="26843" hidden="1" xr:uid="{00000000-0005-0000-0000-0000A74D0000}"/>
    <cellStyle name="Followed Hyperlink 3" xfId="26849" hidden="1" xr:uid="{00000000-0005-0000-0000-0000A84D0000}"/>
    <cellStyle name="Followed Hyperlink 3" xfId="26852" hidden="1" xr:uid="{00000000-0005-0000-0000-0000A94D0000}"/>
    <cellStyle name="Followed Hyperlink 3" xfId="26855" hidden="1" xr:uid="{00000000-0005-0000-0000-0000AA4D0000}"/>
    <cellStyle name="Followed Hyperlink 3" xfId="26860" hidden="1" xr:uid="{00000000-0005-0000-0000-0000AB4D0000}"/>
    <cellStyle name="Followed Hyperlink 3" xfId="26872" hidden="1" xr:uid="{00000000-0005-0000-0000-0000AC4D0000}"/>
    <cellStyle name="Followed Hyperlink 3" xfId="26874" hidden="1" xr:uid="{00000000-0005-0000-0000-0000AD4D0000}"/>
    <cellStyle name="Followed Hyperlink 3" xfId="26870" hidden="1" xr:uid="{00000000-0005-0000-0000-0000AE4D0000}"/>
    <cellStyle name="Followed Hyperlink 3" xfId="26869" hidden="1" xr:uid="{00000000-0005-0000-0000-0000AF4D0000}"/>
    <cellStyle name="Followed Hyperlink 3" xfId="26875" hidden="1" xr:uid="{00000000-0005-0000-0000-0000B04D0000}"/>
    <cellStyle name="Followed Hyperlink 3" xfId="26878" hidden="1" xr:uid="{00000000-0005-0000-0000-0000B14D0000}"/>
    <cellStyle name="Followed Hyperlink 3" xfId="26881" hidden="1" xr:uid="{00000000-0005-0000-0000-0000B24D0000}"/>
    <cellStyle name="Followed Hyperlink 3" xfId="26886" hidden="1" xr:uid="{00000000-0005-0000-0000-0000B34D0000}"/>
    <cellStyle name="Followed Hyperlink 3" xfId="26896" hidden="1" xr:uid="{00000000-0005-0000-0000-0000B44D0000}"/>
    <cellStyle name="Followed Hyperlink 3" xfId="26898" hidden="1" xr:uid="{00000000-0005-0000-0000-0000B54D0000}"/>
    <cellStyle name="Followed Hyperlink 3" xfId="26894" hidden="1" xr:uid="{00000000-0005-0000-0000-0000B64D0000}"/>
    <cellStyle name="Followed Hyperlink 3" xfId="26893" hidden="1" xr:uid="{00000000-0005-0000-0000-0000B74D0000}"/>
    <cellStyle name="Followed Hyperlink 3" xfId="26899" hidden="1" xr:uid="{00000000-0005-0000-0000-0000B84D0000}"/>
    <cellStyle name="Followed Hyperlink 3" xfId="26902" hidden="1" xr:uid="{00000000-0005-0000-0000-0000B94D0000}"/>
    <cellStyle name="Followed Hyperlink 3" xfId="26905" hidden="1" xr:uid="{00000000-0005-0000-0000-0000BA4D0000}"/>
    <cellStyle name="Followed Hyperlink 3" xfId="26910" hidden="1" xr:uid="{00000000-0005-0000-0000-0000BB4D0000}"/>
    <cellStyle name="Followed Hyperlink 3" xfId="26786" hidden="1" xr:uid="{00000000-0005-0000-0000-0000BC4D0000}"/>
    <cellStyle name="Followed Hyperlink 3" xfId="26863" hidden="1" xr:uid="{00000000-0005-0000-0000-0000BD4D0000}"/>
    <cellStyle name="Followed Hyperlink 3" xfId="26790" hidden="1" xr:uid="{00000000-0005-0000-0000-0000BE4D0000}"/>
    <cellStyle name="Followed Hyperlink 3" xfId="26791" hidden="1" xr:uid="{00000000-0005-0000-0000-0000BF4D0000}"/>
    <cellStyle name="Followed Hyperlink 3" xfId="26794" hidden="1" xr:uid="{00000000-0005-0000-0000-0000C04D0000}"/>
    <cellStyle name="Followed Hyperlink 3" xfId="26915" hidden="1" xr:uid="{00000000-0005-0000-0000-0000C14D0000}"/>
    <cellStyle name="Followed Hyperlink 3" xfId="26918" hidden="1" xr:uid="{00000000-0005-0000-0000-0000C24D0000}"/>
    <cellStyle name="Followed Hyperlink 3" xfId="26923" hidden="1" xr:uid="{00000000-0005-0000-0000-0000C34D0000}"/>
    <cellStyle name="Followed Hyperlink 3" xfId="26933" hidden="1" xr:uid="{00000000-0005-0000-0000-0000C44D0000}"/>
    <cellStyle name="Followed Hyperlink 3" xfId="26935" hidden="1" xr:uid="{00000000-0005-0000-0000-0000C54D0000}"/>
    <cellStyle name="Followed Hyperlink 3" xfId="26931" hidden="1" xr:uid="{00000000-0005-0000-0000-0000C64D0000}"/>
    <cellStyle name="Followed Hyperlink 3" xfId="26930" hidden="1" xr:uid="{00000000-0005-0000-0000-0000C74D0000}"/>
    <cellStyle name="Followed Hyperlink 3" xfId="26936" hidden="1" xr:uid="{00000000-0005-0000-0000-0000C84D0000}"/>
    <cellStyle name="Followed Hyperlink 3" xfId="26939" hidden="1" xr:uid="{00000000-0005-0000-0000-0000C94D0000}"/>
    <cellStyle name="Followed Hyperlink 3" xfId="26942" hidden="1" xr:uid="{00000000-0005-0000-0000-0000CA4D0000}"/>
    <cellStyle name="Followed Hyperlink 3" xfId="26947" hidden="1" xr:uid="{00000000-0005-0000-0000-0000CB4D0000}"/>
    <cellStyle name="Followed Hyperlink 3" xfId="26958" hidden="1" xr:uid="{00000000-0005-0000-0000-0000CC4D0000}"/>
    <cellStyle name="Followed Hyperlink 3" xfId="26960" hidden="1" xr:uid="{00000000-0005-0000-0000-0000CD4D0000}"/>
    <cellStyle name="Followed Hyperlink 3" xfId="26956" hidden="1" xr:uid="{00000000-0005-0000-0000-0000CE4D0000}"/>
    <cellStyle name="Followed Hyperlink 3" xfId="26955" hidden="1" xr:uid="{00000000-0005-0000-0000-0000CF4D0000}"/>
    <cellStyle name="Followed Hyperlink 3" xfId="26961" hidden="1" xr:uid="{00000000-0005-0000-0000-0000D04D0000}"/>
    <cellStyle name="Followed Hyperlink 3" xfId="26964" hidden="1" xr:uid="{00000000-0005-0000-0000-0000D14D0000}"/>
    <cellStyle name="Followed Hyperlink 3" xfId="26967" hidden="1" xr:uid="{00000000-0005-0000-0000-0000D24D0000}"/>
    <cellStyle name="Followed Hyperlink 3" xfId="26972" hidden="1" xr:uid="{00000000-0005-0000-0000-0000D34D0000}"/>
    <cellStyle name="Followed Hyperlink 3" xfId="26982" hidden="1" xr:uid="{00000000-0005-0000-0000-0000D44D0000}"/>
    <cellStyle name="Followed Hyperlink 3" xfId="26984" hidden="1" xr:uid="{00000000-0005-0000-0000-0000D54D0000}"/>
    <cellStyle name="Followed Hyperlink 3" xfId="26980" hidden="1" xr:uid="{00000000-0005-0000-0000-0000D64D0000}"/>
    <cellStyle name="Followed Hyperlink 3" xfId="26979" hidden="1" xr:uid="{00000000-0005-0000-0000-0000D74D0000}"/>
    <cellStyle name="Followed Hyperlink 3" xfId="26985" hidden="1" xr:uid="{00000000-0005-0000-0000-0000D84D0000}"/>
    <cellStyle name="Followed Hyperlink 3" xfId="26988" hidden="1" xr:uid="{00000000-0005-0000-0000-0000D94D0000}"/>
    <cellStyle name="Followed Hyperlink 3" xfId="26991" hidden="1" xr:uid="{00000000-0005-0000-0000-0000DA4D0000}"/>
    <cellStyle name="Followed Hyperlink 3" xfId="26996" hidden="1" xr:uid="{00000000-0005-0000-0000-0000DB4D0000}"/>
    <cellStyle name="Followed Hyperlink 3" xfId="26807" hidden="1" xr:uid="{00000000-0005-0000-0000-0000DC4D0000}"/>
    <cellStyle name="Followed Hyperlink 3" xfId="26950" hidden="1" xr:uid="{00000000-0005-0000-0000-0000DD4D0000}"/>
    <cellStyle name="Followed Hyperlink 3" xfId="26804" hidden="1" xr:uid="{00000000-0005-0000-0000-0000DE4D0000}"/>
    <cellStyle name="Followed Hyperlink 3" xfId="26796" hidden="1" xr:uid="{00000000-0005-0000-0000-0000DF4D0000}"/>
    <cellStyle name="Followed Hyperlink 3" xfId="26801" hidden="1" xr:uid="{00000000-0005-0000-0000-0000E04D0000}"/>
    <cellStyle name="Followed Hyperlink 3" xfId="27001" hidden="1" xr:uid="{00000000-0005-0000-0000-0000E14D0000}"/>
    <cellStyle name="Followed Hyperlink 3" xfId="27004" hidden="1" xr:uid="{00000000-0005-0000-0000-0000E24D0000}"/>
    <cellStyle name="Followed Hyperlink 3" xfId="27009" hidden="1" xr:uid="{00000000-0005-0000-0000-0000E34D0000}"/>
    <cellStyle name="Followed Hyperlink 3" xfId="27019" hidden="1" xr:uid="{00000000-0005-0000-0000-0000E44D0000}"/>
    <cellStyle name="Followed Hyperlink 3" xfId="27021" hidden="1" xr:uid="{00000000-0005-0000-0000-0000E54D0000}"/>
    <cellStyle name="Followed Hyperlink 3" xfId="27017" hidden="1" xr:uid="{00000000-0005-0000-0000-0000E64D0000}"/>
    <cellStyle name="Followed Hyperlink 3" xfId="27016" hidden="1" xr:uid="{00000000-0005-0000-0000-0000E74D0000}"/>
    <cellStyle name="Followed Hyperlink 3" xfId="27022" hidden="1" xr:uid="{00000000-0005-0000-0000-0000E84D0000}"/>
    <cellStyle name="Followed Hyperlink 3" xfId="27025" hidden="1" xr:uid="{00000000-0005-0000-0000-0000E94D0000}"/>
    <cellStyle name="Followed Hyperlink 3" xfId="27028" hidden="1" xr:uid="{00000000-0005-0000-0000-0000EA4D0000}"/>
    <cellStyle name="Followed Hyperlink 3" xfId="27033" hidden="1" xr:uid="{00000000-0005-0000-0000-0000EB4D0000}"/>
    <cellStyle name="Followed Hyperlink 3" xfId="27044" hidden="1" xr:uid="{00000000-0005-0000-0000-0000EC4D0000}"/>
    <cellStyle name="Followed Hyperlink 3" xfId="27046" hidden="1" xr:uid="{00000000-0005-0000-0000-0000ED4D0000}"/>
    <cellStyle name="Followed Hyperlink 3" xfId="27042" hidden="1" xr:uid="{00000000-0005-0000-0000-0000EE4D0000}"/>
    <cellStyle name="Followed Hyperlink 3" xfId="27041" hidden="1" xr:uid="{00000000-0005-0000-0000-0000EF4D0000}"/>
    <cellStyle name="Followed Hyperlink 3" xfId="27047" hidden="1" xr:uid="{00000000-0005-0000-0000-0000F04D0000}"/>
    <cellStyle name="Followed Hyperlink 3" xfId="27050" hidden="1" xr:uid="{00000000-0005-0000-0000-0000F14D0000}"/>
    <cellStyle name="Followed Hyperlink 3" xfId="27053" hidden="1" xr:uid="{00000000-0005-0000-0000-0000F24D0000}"/>
    <cellStyle name="Followed Hyperlink 3" xfId="27058" hidden="1" xr:uid="{00000000-0005-0000-0000-0000F34D0000}"/>
    <cellStyle name="Followed Hyperlink 3" xfId="27068" hidden="1" xr:uid="{00000000-0005-0000-0000-0000F44D0000}"/>
    <cellStyle name="Followed Hyperlink 3" xfId="27070" hidden="1" xr:uid="{00000000-0005-0000-0000-0000F54D0000}"/>
    <cellStyle name="Followed Hyperlink 3" xfId="27066" hidden="1" xr:uid="{00000000-0005-0000-0000-0000F64D0000}"/>
    <cellStyle name="Followed Hyperlink 3" xfId="27065" hidden="1" xr:uid="{00000000-0005-0000-0000-0000F74D0000}"/>
    <cellStyle name="Followed Hyperlink 3" xfId="27071" hidden="1" xr:uid="{00000000-0005-0000-0000-0000F84D0000}"/>
    <cellStyle name="Followed Hyperlink 3" xfId="27074" hidden="1" xr:uid="{00000000-0005-0000-0000-0000F94D0000}"/>
    <cellStyle name="Followed Hyperlink 3" xfId="27077" hidden="1" xr:uid="{00000000-0005-0000-0000-0000FA4D0000}"/>
    <cellStyle name="Followed Hyperlink 3" xfId="27082" hidden="1" xr:uid="{00000000-0005-0000-0000-0000FB4D0000}"/>
    <cellStyle name="Followed Hyperlink 3" xfId="26812" hidden="1" xr:uid="{00000000-0005-0000-0000-0000FC4D0000}"/>
    <cellStyle name="Followed Hyperlink 3" xfId="27036" hidden="1" xr:uid="{00000000-0005-0000-0000-0000FD4D0000}"/>
    <cellStyle name="Followed Hyperlink 3" xfId="26808" hidden="1" xr:uid="{00000000-0005-0000-0000-0000FE4D0000}"/>
    <cellStyle name="Followed Hyperlink 3" xfId="26813" hidden="1" xr:uid="{00000000-0005-0000-0000-0000FF4D0000}"/>
    <cellStyle name="Followed Hyperlink 3" xfId="26800" hidden="1" xr:uid="{00000000-0005-0000-0000-0000004E0000}"/>
    <cellStyle name="Followed Hyperlink 3" xfId="27087" hidden="1" xr:uid="{00000000-0005-0000-0000-0000014E0000}"/>
    <cellStyle name="Followed Hyperlink 3" xfId="27090" hidden="1" xr:uid="{00000000-0005-0000-0000-0000024E0000}"/>
    <cellStyle name="Followed Hyperlink 3" xfId="27095" hidden="1" xr:uid="{00000000-0005-0000-0000-0000034E0000}"/>
    <cellStyle name="Followed Hyperlink 3" xfId="27105" hidden="1" xr:uid="{00000000-0005-0000-0000-0000044E0000}"/>
    <cellStyle name="Followed Hyperlink 3" xfId="27107" hidden="1" xr:uid="{00000000-0005-0000-0000-0000054E0000}"/>
    <cellStyle name="Followed Hyperlink 3" xfId="27103" hidden="1" xr:uid="{00000000-0005-0000-0000-0000064E0000}"/>
    <cellStyle name="Followed Hyperlink 3" xfId="27102" hidden="1" xr:uid="{00000000-0005-0000-0000-0000074E0000}"/>
    <cellStyle name="Followed Hyperlink 3" xfId="27108" hidden="1" xr:uid="{00000000-0005-0000-0000-0000084E0000}"/>
    <cellStyle name="Followed Hyperlink 3" xfId="27111" hidden="1" xr:uid="{00000000-0005-0000-0000-0000094E0000}"/>
    <cellStyle name="Followed Hyperlink 3" xfId="27114" hidden="1" xr:uid="{00000000-0005-0000-0000-00000A4E0000}"/>
    <cellStyle name="Followed Hyperlink 3" xfId="27119" hidden="1" xr:uid="{00000000-0005-0000-0000-00000B4E0000}"/>
    <cellStyle name="Followed Hyperlink 3" xfId="27129" hidden="1" xr:uid="{00000000-0005-0000-0000-00000C4E0000}"/>
    <cellStyle name="Followed Hyperlink 3" xfId="27131" hidden="1" xr:uid="{00000000-0005-0000-0000-00000D4E0000}"/>
    <cellStyle name="Followed Hyperlink 3" xfId="27127" hidden="1" xr:uid="{00000000-0005-0000-0000-00000E4E0000}"/>
    <cellStyle name="Followed Hyperlink 3" xfId="27126" hidden="1" xr:uid="{00000000-0005-0000-0000-00000F4E0000}"/>
    <cellStyle name="Followed Hyperlink 3" xfId="27132" hidden="1" xr:uid="{00000000-0005-0000-0000-0000104E0000}"/>
    <cellStyle name="Followed Hyperlink 3" xfId="27135" hidden="1" xr:uid="{00000000-0005-0000-0000-0000114E0000}"/>
    <cellStyle name="Followed Hyperlink 3" xfId="27138" hidden="1" xr:uid="{00000000-0005-0000-0000-0000124E0000}"/>
    <cellStyle name="Followed Hyperlink 3" xfId="27143" hidden="1" xr:uid="{00000000-0005-0000-0000-0000134E0000}"/>
    <cellStyle name="Followed Hyperlink 3" xfId="27153" hidden="1" xr:uid="{00000000-0005-0000-0000-0000144E0000}"/>
    <cellStyle name="Followed Hyperlink 3" xfId="27155" hidden="1" xr:uid="{00000000-0005-0000-0000-0000154E0000}"/>
    <cellStyle name="Followed Hyperlink 3" xfId="27151" hidden="1" xr:uid="{00000000-0005-0000-0000-0000164E0000}"/>
    <cellStyle name="Followed Hyperlink 3" xfId="27150" hidden="1" xr:uid="{00000000-0005-0000-0000-0000174E0000}"/>
    <cellStyle name="Followed Hyperlink 3" xfId="27156" hidden="1" xr:uid="{00000000-0005-0000-0000-0000184E0000}"/>
    <cellStyle name="Followed Hyperlink 3" xfId="27159" hidden="1" xr:uid="{00000000-0005-0000-0000-0000194E0000}"/>
    <cellStyle name="Followed Hyperlink 3" xfId="27162" hidden="1" xr:uid="{00000000-0005-0000-0000-00001A4E0000}"/>
    <cellStyle name="Followed Hyperlink 3" xfId="27167" hidden="1" xr:uid="{00000000-0005-0000-0000-00001B4E0000}"/>
    <cellStyle name="Followed Hyperlink 3" xfId="25123" hidden="1" xr:uid="{00000000-0005-0000-0000-00001C4E0000}"/>
    <cellStyle name="Followed Hyperlink 3" xfId="25200" hidden="1" xr:uid="{00000000-0005-0000-0000-00001D4E0000}"/>
    <cellStyle name="Followed Hyperlink 3" xfId="25127" hidden="1" xr:uid="{00000000-0005-0000-0000-00001E4E0000}"/>
    <cellStyle name="Followed Hyperlink 3" xfId="25128" hidden="1" xr:uid="{00000000-0005-0000-0000-00001F4E0000}"/>
    <cellStyle name="Followed Hyperlink 3" xfId="25131" hidden="1" xr:uid="{00000000-0005-0000-0000-0000204E0000}"/>
    <cellStyle name="Followed Hyperlink 3" xfId="27172" hidden="1" xr:uid="{00000000-0005-0000-0000-0000214E0000}"/>
    <cellStyle name="Followed Hyperlink 3" xfId="27175" hidden="1" xr:uid="{00000000-0005-0000-0000-0000224E0000}"/>
    <cellStyle name="Followed Hyperlink 3" xfId="27180" hidden="1" xr:uid="{00000000-0005-0000-0000-0000234E0000}"/>
    <cellStyle name="Followed Hyperlink 3" xfId="27190" hidden="1" xr:uid="{00000000-0005-0000-0000-0000244E0000}"/>
    <cellStyle name="Followed Hyperlink 3" xfId="27192" hidden="1" xr:uid="{00000000-0005-0000-0000-0000254E0000}"/>
    <cellStyle name="Followed Hyperlink 3" xfId="27188" hidden="1" xr:uid="{00000000-0005-0000-0000-0000264E0000}"/>
    <cellStyle name="Followed Hyperlink 3" xfId="27187" hidden="1" xr:uid="{00000000-0005-0000-0000-0000274E0000}"/>
    <cellStyle name="Followed Hyperlink 3" xfId="27193" hidden="1" xr:uid="{00000000-0005-0000-0000-0000284E0000}"/>
    <cellStyle name="Followed Hyperlink 3" xfId="27196" hidden="1" xr:uid="{00000000-0005-0000-0000-0000294E0000}"/>
    <cellStyle name="Followed Hyperlink 3" xfId="27199" hidden="1" xr:uid="{00000000-0005-0000-0000-00002A4E0000}"/>
    <cellStyle name="Followed Hyperlink 3" xfId="27204" hidden="1" xr:uid="{00000000-0005-0000-0000-00002B4E0000}"/>
    <cellStyle name="Followed Hyperlink 3" xfId="27215" hidden="1" xr:uid="{00000000-0005-0000-0000-00002C4E0000}"/>
    <cellStyle name="Followed Hyperlink 3" xfId="27217" hidden="1" xr:uid="{00000000-0005-0000-0000-00002D4E0000}"/>
    <cellStyle name="Followed Hyperlink 3" xfId="27213" hidden="1" xr:uid="{00000000-0005-0000-0000-00002E4E0000}"/>
    <cellStyle name="Followed Hyperlink 3" xfId="27212" hidden="1" xr:uid="{00000000-0005-0000-0000-00002F4E0000}"/>
    <cellStyle name="Followed Hyperlink 3" xfId="27218" hidden="1" xr:uid="{00000000-0005-0000-0000-0000304E0000}"/>
    <cellStyle name="Followed Hyperlink 3" xfId="27221" hidden="1" xr:uid="{00000000-0005-0000-0000-0000314E0000}"/>
    <cellStyle name="Followed Hyperlink 3" xfId="27224" hidden="1" xr:uid="{00000000-0005-0000-0000-0000324E0000}"/>
    <cellStyle name="Followed Hyperlink 3" xfId="27229" hidden="1" xr:uid="{00000000-0005-0000-0000-0000334E0000}"/>
    <cellStyle name="Followed Hyperlink 3" xfId="27239" hidden="1" xr:uid="{00000000-0005-0000-0000-0000344E0000}"/>
    <cellStyle name="Followed Hyperlink 3" xfId="27241" hidden="1" xr:uid="{00000000-0005-0000-0000-0000354E0000}"/>
    <cellStyle name="Followed Hyperlink 3" xfId="27237" hidden="1" xr:uid="{00000000-0005-0000-0000-0000364E0000}"/>
    <cellStyle name="Followed Hyperlink 3" xfId="27236" hidden="1" xr:uid="{00000000-0005-0000-0000-0000374E0000}"/>
    <cellStyle name="Followed Hyperlink 3" xfId="27242" hidden="1" xr:uid="{00000000-0005-0000-0000-0000384E0000}"/>
    <cellStyle name="Followed Hyperlink 3" xfId="27245" hidden="1" xr:uid="{00000000-0005-0000-0000-0000394E0000}"/>
    <cellStyle name="Followed Hyperlink 3" xfId="27248" hidden="1" xr:uid="{00000000-0005-0000-0000-00003A4E0000}"/>
    <cellStyle name="Followed Hyperlink 3" xfId="27253" hidden="1" xr:uid="{00000000-0005-0000-0000-00003B4E0000}"/>
    <cellStyle name="Followed Hyperlink 3" xfId="27292" hidden="1" xr:uid="{00000000-0005-0000-0000-00003C4E0000}"/>
    <cellStyle name="Followed Hyperlink 3" xfId="27294" hidden="1" xr:uid="{00000000-0005-0000-0000-00003D4E0000}"/>
    <cellStyle name="Followed Hyperlink 3" xfId="27290" hidden="1" xr:uid="{00000000-0005-0000-0000-00003E4E0000}"/>
    <cellStyle name="Followed Hyperlink 3" xfId="27289" hidden="1" xr:uid="{00000000-0005-0000-0000-00003F4E0000}"/>
    <cellStyle name="Followed Hyperlink 3" xfId="27295" hidden="1" xr:uid="{00000000-0005-0000-0000-0000404E0000}"/>
    <cellStyle name="Followed Hyperlink 3" xfId="27298" hidden="1" xr:uid="{00000000-0005-0000-0000-0000414E0000}"/>
    <cellStyle name="Followed Hyperlink 3" xfId="27301" hidden="1" xr:uid="{00000000-0005-0000-0000-0000424E0000}"/>
    <cellStyle name="Followed Hyperlink 3" xfId="27306" hidden="1" xr:uid="{00000000-0005-0000-0000-0000434E0000}"/>
    <cellStyle name="Followed Hyperlink 3" xfId="27316" hidden="1" xr:uid="{00000000-0005-0000-0000-0000444E0000}"/>
    <cellStyle name="Followed Hyperlink 3" xfId="27318" hidden="1" xr:uid="{00000000-0005-0000-0000-0000454E0000}"/>
    <cellStyle name="Followed Hyperlink 3" xfId="27314" hidden="1" xr:uid="{00000000-0005-0000-0000-0000464E0000}"/>
    <cellStyle name="Followed Hyperlink 3" xfId="27313" hidden="1" xr:uid="{00000000-0005-0000-0000-0000474E0000}"/>
    <cellStyle name="Followed Hyperlink 3" xfId="27319" hidden="1" xr:uid="{00000000-0005-0000-0000-0000484E0000}"/>
    <cellStyle name="Followed Hyperlink 3" xfId="27322" hidden="1" xr:uid="{00000000-0005-0000-0000-0000494E0000}"/>
    <cellStyle name="Followed Hyperlink 3" xfId="27325" hidden="1" xr:uid="{00000000-0005-0000-0000-00004A4E0000}"/>
    <cellStyle name="Followed Hyperlink 3" xfId="27330" hidden="1" xr:uid="{00000000-0005-0000-0000-00004B4E0000}"/>
    <cellStyle name="Followed Hyperlink 3" xfId="27342" hidden="1" xr:uid="{00000000-0005-0000-0000-00004C4E0000}"/>
    <cellStyle name="Followed Hyperlink 3" xfId="27344" hidden="1" xr:uid="{00000000-0005-0000-0000-00004D4E0000}"/>
    <cellStyle name="Followed Hyperlink 3" xfId="27340" hidden="1" xr:uid="{00000000-0005-0000-0000-00004E4E0000}"/>
    <cellStyle name="Followed Hyperlink 3" xfId="27339" hidden="1" xr:uid="{00000000-0005-0000-0000-00004F4E0000}"/>
    <cellStyle name="Followed Hyperlink 3" xfId="27345" hidden="1" xr:uid="{00000000-0005-0000-0000-0000504E0000}"/>
    <cellStyle name="Followed Hyperlink 3" xfId="27348" hidden="1" xr:uid="{00000000-0005-0000-0000-0000514E0000}"/>
    <cellStyle name="Followed Hyperlink 3" xfId="27351" hidden="1" xr:uid="{00000000-0005-0000-0000-0000524E0000}"/>
    <cellStyle name="Followed Hyperlink 3" xfId="27356" hidden="1" xr:uid="{00000000-0005-0000-0000-0000534E0000}"/>
    <cellStyle name="Followed Hyperlink 3" xfId="27366" hidden="1" xr:uid="{00000000-0005-0000-0000-0000544E0000}"/>
    <cellStyle name="Followed Hyperlink 3" xfId="27368" hidden="1" xr:uid="{00000000-0005-0000-0000-0000554E0000}"/>
    <cellStyle name="Followed Hyperlink 3" xfId="27364" hidden="1" xr:uid="{00000000-0005-0000-0000-0000564E0000}"/>
    <cellStyle name="Followed Hyperlink 3" xfId="27363" hidden="1" xr:uid="{00000000-0005-0000-0000-0000574E0000}"/>
    <cellStyle name="Followed Hyperlink 3" xfId="27369" hidden="1" xr:uid="{00000000-0005-0000-0000-0000584E0000}"/>
    <cellStyle name="Followed Hyperlink 3" xfId="27372" hidden="1" xr:uid="{00000000-0005-0000-0000-0000594E0000}"/>
    <cellStyle name="Followed Hyperlink 3" xfId="27375" hidden="1" xr:uid="{00000000-0005-0000-0000-00005A4E0000}"/>
    <cellStyle name="Followed Hyperlink 3" xfId="27380" hidden="1" xr:uid="{00000000-0005-0000-0000-00005B4E0000}"/>
    <cellStyle name="Followed Hyperlink 3" xfId="27419" hidden="1" xr:uid="{00000000-0005-0000-0000-00005C4E0000}"/>
    <cellStyle name="Followed Hyperlink 3" xfId="27421" hidden="1" xr:uid="{00000000-0005-0000-0000-00005D4E0000}"/>
    <cellStyle name="Followed Hyperlink 3" xfId="27417" hidden="1" xr:uid="{00000000-0005-0000-0000-00005E4E0000}"/>
    <cellStyle name="Followed Hyperlink 3" xfId="27416" hidden="1" xr:uid="{00000000-0005-0000-0000-00005F4E0000}"/>
    <cellStyle name="Followed Hyperlink 3" xfId="27422" hidden="1" xr:uid="{00000000-0005-0000-0000-0000604E0000}"/>
    <cellStyle name="Followed Hyperlink 3" xfId="27425" hidden="1" xr:uid="{00000000-0005-0000-0000-0000614E0000}"/>
    <cellStyle name="Followed Hyperlink 3" xfId="27428" hidden="1" xr:uid="{00000000-0005-0000-0000-0000624E0000}"/>
    <cellStyle name="Followed Hyperlink 3" xfId="27433" hidden="1" xr:uid="{00000000-0005-0000-0000-0000634E0000}"/>
    <cellStyle name="Followed Hyperlink 3" xfId="27443" hidden="1" xr:uid="{00000000-0005-0000-0000-0000644E0000}"/>
    <cellStyle name="Followed Hyperlink 3" xfId="27445" hidden="1" xr:uid="{00000000-0005-0000-0000-0000654E0000}"/>
    <cellStyle name="Followed Hyperlink 3" xfId="27441" hidden="1" xr:uid="{00000000-0005-0000-0000-0000664E0000}"/>
    <cellStyle name="Followed Hyperlink 3" xfId="27440" hidden="1" xr:uid="{00000000-0005-0000-0000-0000674E0000}"/>
    <cellStyle name="Followed Hyperlink 3" xfId="27446" hidden="1" xr:uid="{00000000-0005-0000-0000-0000684E0000}"/>
    <cellStyle name="Followed Hyperlink 3" xfId="27449" hidden="1" xr:uid="{00000000-0005-0000-0000-0000694E0000}"/>
    <cellStyle name="Followed Hyperlink 3" xfId="27452" hidden="1" xr:uid="{00000000-0005-0000-0000-00006A4E0000}"/>
    <cellStyle name="Followed Hyperlink 3" xfId="27457" hidden="1" xr:uid="{00000000-0005-0000-0000-00006B4E0000}"/>
    <cellStyle name="Followed Hyperlink 3" xfId="27469" hidden="1" xr:uid="{00000000-0005-0000-0000-00006C4E0000}"/>
    <cellStyle name="Followed Hyperlink 3" xfId="27471" hidden="1" xr:uid="{00000000-0005-0000-0000-00006D4E0000}"/>
    <cellStyle name="Followed Hyperlink 3" xfId="27467" hidden="1" xr:uid="{00000000-0005-0000-0000-00006E4E0000}"/>
    <cellStyle name="Followed Hyperlink 3" xfId="27466" hidden="1" xr:uid="{00000000-0005-0000-0000-00006F4E0000}"/>
    <cellStyle name="Followed Hyperlink 3" xfId="27472" hidden="1" xr:uid="{00000000-0005-0000-0000-0000704E0000}"/>
    <cellStyle name="Followed Hyperlink 3" xfId="27475" hidden="1" xr:uid="{00000000-0005-0000-0000-0000714E0000}"/>
    <cellStyle name="Followed Hyperlink 3" xfId="27478" hidden="1" xr:uid="{00000000-0005-0000-0000-0000724E0000}"/>
    <cellStyle name="Followed Hyperlink 3" xfId="27483" hidden="1" xr:uid="{00000000-0005-0000-0000-0000734E0000}"/>
    <cellStyle name="Followed Hyperlink 3" xfId="27493" hidden="1" xr:uid="{00000000-0005-0000-0000-0000744E0000}"/>
    <cellStyle name="Followed Hyperlink 3" xfId="27495" hidden="1" xr:uid="{00000000-0005-0000-0000-0000754E0000}"/>
    <cellStyle name="Followed Hyperlink 3" xfId="27491" hidden="1" xr:uid="{00000000-0005-0000-0000-0000764E0000}"/>
    <cellStyle name="Followed Hyperlink 3" xfId="27490" hidden="1" xr:uid="{00000000-0005-0000-0000-0000774E0000}"/>
    <cellStyle name="Followed Hyperlink 3" xfId="27496" hidden="1" xr:uid="{00000000-0005-0000-0000-0000784E0000}"/>
    <cellStyle name="Followed Hyperlink 3" xfId="27499" hidden="1" xr:uid="{00000000-0005-0000-0000-0000794E0000}"/>
    <cellStyle name="Followed Hyperlink 3" xfId="27502" hidden="1" xr:uid="{00000000-0005-0000-0000-00007A4E0000}"/>
    <cellStyle name="Followed Hyperlink 3" xfId="27507" hidden="1" xr:uid="{00000000-0005-0000-0000-00007B4E0000}"/>
    <cellStyle name="Followed Hyperlink 3" xfId="27383" hidden="1" xr:uid="{00000000-0005-0000-0000-00007C4E0000}"/>
    <cellStyle name="Followed Hyperlink 3" xfId="27460" hidden="1" xr:uid="{00000000-0005-0000-0000-00007D4E0000}"/>
    <cellStyle name="Followed Hyperlink 3" xfId="27387" hidden="1" xr:uid="{00000000-0005-0000-0000-00007E4E0000}"/>
    <cellStyle name="Followed Hyperlink 3" xfId="27388" hidden="1" xr:uid="{00000000-0005-0000-0000-00007F4E0000}"/>
    <cellStyle name="Followed Hyperlink 3" xfId="27391" hidden="1" xr:uid="{00000000-0005-0000-0000-0000804E0000}"/>
    <cellStyle name="Followed Hyperlink 3" xfId="27512" hidden="1" xr:uid="{00000000-0005-0000-0000-0000814E0000}"/>
    <cellStyle name="Followed Hyperlink 3" xfId="27515" hidden="1" xr:uid="{00000000-0005-0000-0000-0000824E0000}"/>
    <cellStyle name="Followed Hyperlink 3" xfId="27520" hidden="1" xr:uid="{00000000-0005-0000-0000-0000834E0000}"/>
    <cellStyle name="Followed Hyperlink 3" xfId="27530" hidden="1" xr:uid="{00000000-0005-0000-0000-0000844E0000}"/>
    <cellStyle name="Followed Hyperlink 3" xfId="27532" hidden="1" xr:uid="{00000000-0005-0000-0000-0000854E0000}"/>
    <cellStyle name="Followed Hyperlink 3" xfId="27528" hidden="1" xr:uid="{00000000-0005-0000-0000-0000864E0000}"/>
    <cellStyle name="Followed Hyperlink 3" xfId="27527" hidden="1" xr:uid="{00000000-0005-0000-0000-0000874E0000}"/>
    <cellStyle name="Followed Hyperlink 3" xfId="27533" hidden="1" xr:uid="{00000000-0005-0000-0000-0000884E0000}"/>
    <cellStyle name="Followed Hyperlink 3" xfId="27536" hidden="1" xr:uid="{00000000-0005-0000-0000-0000894E0000}"/>
    <cellStyle name="Followed Hyperlink 3" xfId="27539" hidden="1" xr:uid="{00000000-0005-0000-0000-00008A4E0000}"/>
    <cellStyle name="Followed Hyperlink 3" xfId="27544" hidden="1" xr:uid="{00000000-0005-0000-0000-00008B4E0000}"/>
    <cellStyle name="Followed Hyperlink 3" xfId="27555" hidden="1" xr:uid="{00000000-0005-0000-0000-00008C4E0000}"/>
    <cellStyle name="Followed Hyperlink 3" xfId="27557" hidden="1" xr:uid="{00000000-0005-0000-0000-00008D4E0000}"/>
    <cellStyle name="Followed Hyperlink 3" xfId="27553" hidden="1" xr:uid="{00000000-0005-0000-0000-00008E4E0000}"/>
    <cellStyle name="Followed Hyperlink 3" xfId="27552" hidden="1" xr:uid="{00000000-0005-0000-0000-00008F4E0000}"/>
    <cellStyle name="Followed Hyperlink 3" xfId="27558" hidden="1" xr:uid="{00000000-0005-0000-0000-0000904E0000}"/>
    <cellStyle name="Followed Hyperlink 3" xfId="27561" hidden="1" xr:uid="{00000000-0005-0000-0000-0000914E0000}"/>
    <cellStyle name="Followed Hyperlink 3" xfId="27564" hidden="1" xr:uid="{00000000-0005-0000-0000-0000924E0000}"/>
    <cellStyle name="Followed Hyperlink 3" xfId="27569" hidden="1" xr:uid="{00000000-0005-0000-0000-0000934E0000}"/>
    <cellStyle name="Followed Hyperlink 3" xfId="27579" hidden="1" xr:uid="{00000000-0005-0000-0000-0000944E0000}"/>
    <cellStyle name="Followed Hyperlink 3" xfId="27581" hidden="1" xr:uid="{00000000-0005-0000-0000-0000954E0000}"/>
    <cellStyle name="Followed Hyperlink 3" xfId="27577" hidden="1" xr:uid="{00000000-0005-0000-0000-0000964E0000}"/>
    <cellStyle name="Followed Hyperlink 3" xfId="27576" hidden="1" xr:uid="{00000000-0005-0000-0000-0000974E0000}"/>
    <cellStyle name="Followed Hyperlink 3" xfId="27582" hidden="1" xr:uid="{00000000-0005-0000-0000-0000984E0000}"/>
    <cellStyle name="Followed Hyperlink 3" xfId="27585" hidden="1" xr:uid="{00000000-0005-0000-0000-0000994E0000}"/>
    <cellStyle name="Followed Hyperlink 3" xfId="27588" hidden="1" xr:uid="{00000000-0005-0000-0000-00009A4E0000}"/>
    <cellStyle name="Followed Hyperlink 3" xfId="27593" hidden="1" xr:uid="{00000000-0005-0000-0000-00009B4E0000}"/>
    <cellStyle name="Followed Hyperlink 3" xfId="27404" hidden="1" xr:uid="{00000000-0005-0000-0000-00009C4E0000}"/>
    <cellStyle name="Followed Hyperlink 3" xfId="27547" hidden="1" xr:uid="{00000000-0005-0000-0000-00009D4E0000}"/>
    <cellStyle name="Followed Hyperlink 3" xfId="27401" hidden="1" xr:uid="{00000000-0005-0000-0000-00009E4E0000}"/>
    <cellStyle name="Followed Hyperlink 3" xfId="27393" hidden="1" xr:uid="{00000000-0005-0000-0000-00009F4E0000}"/>
    <cellStyle name="Followed Hyperlink 3" xfId="27398" hidden="1" xr:uid="{00000000-0005-0000-0000-0000A04E0000}"/>
    <cellStyle name="Followed Hyperlink 3" xfId="27598" hidden="1" xr:uid="{00000000-0005-0000-0000-0000A14E0000}"/>
    <cellStyle name="Followed Hyperlink 3" xfId="27601" hidden="1" xr:uid="{00000000-0005-0000-0000-0000A24E0000}"/>
    <cellStyle name="Followed Hyperlink 3" xfId="27606" hidden="1" xr:uid="{00000000-0005-0000-0000-0000A34E0000}"/>
    <cellStyle name="Followed Hyperlink 3" xfId="27616" hidden="1" xr:uid="{00000000-0005-0000-0000-0000A44E0000}"/>
    <cellStyle name="Followed Hyperlink 3" xfId="27618" hidden="1" xr:uid="{00000000-0005-0000-0000-0000A54E0000}"/>
    <cellStyle name="Followed Hyperlink 3" xfId="27614" hidden="1" xr:uid="{00000000-0005-0000-0000-0000A64E0000}"/>
    <cellStyle name="Followed Hyperlink 3" xfId="27613" hidden="1" xr:uid="{00000000-0005-0000-0000-0000A74E0000}"/>
    <cellStyle name="Followed Hyperlink 3" xfId="27619" hidden="1" xr:uid="{00000000-0005-0000-0000-0000A84E0000}"/>
    <cellStyle name="Followed Hyperlink 3" xfId="27622" hidden="1" xr:uid="{00000000-0005-0000-0000-0000A94E0000}"/>
    <cellStyle name="Followed Hyperlink 3" xfId="27625" hidden="1" xr:uid="{00000000-0005-0000-0000-0000AA4E0000}"/>
    <cellStyle name="Followed Hyperlink 3" xfId="27630" hidden="1" xr:uid="{00000000-0005-0000-0000-0000AB4E0000}"/>
    <cellStyle name="Followed Hyperlink 3" xfId="27641" hidden="1" xr:uid="{00000000-0005-0000-0000-0000AC4E0000}"/>
    <cellStyle name="Followed Hyperlink 3" xfId="27643" hidden="1" xr:uid="{00000000-0005-0000-0000-0000AD4E0000}"/>
    <cellStyle name="Followed Hyperlink 3" xfId="27639" hidden="1" xr:uid="{00000000-0005-0000-0000-0000AE4E0000}"/>
    <cellStyle name="Followed Hyperlink 3" xfId="27638" hidden="1" xr:uid="{00000000-0005-0000-0000-0000AF4E0000}"/>
    <cellStyle name="Followed Hyperlink 3" xfId="27644" hidden="1" xr:uid="{00000000-0005-0000-0000-0000B04E0000}"/>
    <cellStyle name="Followed Hyperlink 3" xfId="27647" hidden="1" xr:uid="{00000000-0005-0000-0000-0000B14E0000}"/>
    <cellStyle name="Followed Hyperlink 3" xfId="27650" hidden="1" xr:uid="{00000000-0005-0000-0000-0000B24E0000}"/>
    <cellStyle name="Followed Hyperlink 3" xfId="27655" hidden="1" xr:uid="{00000000-0005-0000-0000-0000B34E0000}"/>
    <cellStyle name="Followed Hyperlink 3" xfId="27665" hidden="1" xr:uid="{00000000-0005-0000-0000-0000B44E0000}"/>
    <cellStyle name="Followed Hyperlink 3" xfId="27667" hidden="1" xr:uid="{00000000-0005-0000-0000-0000B54E0000}"/>
    <cellStyle name="Followed Hyperlink 3" xfId="27663" hidden="1" xr:uid="{00000000-0005-0000-0000-0000B64E0000}"/>
    <cellStyle name="Followed Hyperlink 3" xfId="27662" hidden="1" xr:uid="{00000000-0005-0000-0000-0000B74E0000}"/>
    <cellStyle name="Followed Hyperlink 3" xfId="27668" hidden="1" xr:uid="{00000000-0005-0000-0000-0000B84E0000}"/>
    <cellStyle name="Followed Hyperlink 3" xfId="27671" hidden="1" xr:uid="{00000000-0005-0000-0000-0000B94E0000}"/>
    <cellStyle name="Followed Hyperlink 3" xfId="27674" hidden="1" xr:uid="{00000000-0005-0000-0000-0000BA4E0000}"/>
    <cellStyle name="Followed Hyperlink 3" xfId="27679" hidden="1" xr:uid="{00000000-0005-0000-0000-0000BB4E0000}"/>
    <cellStyle name="Followed Hyperlink 3" xfId="27409" hidden="1" xr:uid="{00000000-0005-0000-0000-0000BC4E0000}"/>
    <cellStyle name="Followed Hyperlink 3" xfId="27633" hidden="1" xr:uid="{00000000-0005-0000-0000-0000BD4E0000}"/>
    <cellStyle name="Followed Hyperlink 3" xfId="27405" hidden="1" xr:uid="{00000000-0005-0000-0000-0000BE4E0000}"/>
    <cellStyle name="Followed Hyperlink 3" xfId="27410" hidden="1" xr:uid="{00000000-0005-0000-0000-0000BF4E0000}"/>
    <cellStyle name="Followed Hyperlink 3" xfId="27397" hidden="1" xr:uid="{00000000-0005-0000-0000-0000C04E0000}"/>
    <cellStyle name="Followed Hyperlink 3" xfId="27684" hidden="1" xr:uid="{00000000-0005-0000-0000-0000C14E0000}"/>
    <cellStyle name="Followed Hyperlink 3" xfId="27687" hidden="1" xr:uid="{00000000-0005-0000-0000-0000C24E0000}"/>
    <cellStyle name="Followed Hyperlink 3" xfId="27692" hidden="1" xr:uid="{00000000-0005-0000-0000-0000C34E0000}"/>
    <cellStyle name="Followed Hyperlink 3" xfId="27702" hidden="1" xr:uid="{00000000-0005-0000-0000-0000C44E0000}"/>
    <cellStyle name="Followed Hyperlink 3" xfId="27704" hidden="1" xr:uid="{00000000-0005-0000-0000-0000C54E0000}"/>
    <cellStyle name="Followed Hyperlink 3" xfId="27700" hidden="1" xr:uid="{00000000-0005-0000-0000-0000C64E0000}"/>
    <cellStyle name="Followed Hyperlink 3" xfId="27699" hidden="1" xr:uid="{00000000-0005-0000-0000-0000C74E0000}"/>
    <cellStyle name="Followed Hyperlink 3" xfId="27705" hidden="1" xr:uid="{00000000-0005-0000-0000-0000C84E0000}"/>
    <cellStyle name="Followed Hyperlink 3" xfId="27708" hidden="1" xr:uid="{00000000-0005-0000-0000-0000C94E0000}"/>
    <cellStyle name="Followed Hyperlink 3" xfId="27711" hidden="1" xr:uid="{00000000-0005-0000-0000-0000CA4E0000}"/>
    <cellStyle name="Followed Hyperlink 3" xfId="27716" hidden="1" xr:uid="{00000000-0005-0000-0000-0000CB4E0000}"/>
    <cellStyle name="Followed Hyperlink 3" xfId="27726" hidden="1" xr:uid="{00000000-0005-0000-0000-0000CC4E0000}"/>
    <cellStyle name="Followed Hyperlink 3" xfId="27728" hidden="1" xr:uid="{00000000-0005-0000-0000-0000CD4E0000}"/>
    <cellStyle name="Followed Hyperlink 3" xfId="27724" hidden="1" xr:uid="{00000000-0005-0000-0000-0000CE4E0000}"/>
    <cellStyle name="Followed Hyperlink 3" xfId="27723" hidden="1" xr:uid="{00000000-0005-0000-0000-0000CF4E0000}"/>
    <cellStyle name="Followed Hyperlink 3" xfId="27729" hidden="1" xr:uid="{00000000-0005-0000-0000-0000D04E0000}"/>
    <cellStyle name="Followed Hyperlink 3" xfId="27732" hidden="1" xr:uid="{00000000-0005-0000-0000-0000D14E0000}"/>
    <cellStyle name="Followed Hyperlink 3" xfId="27735" hidden="1" xr:uid="{00000000-0005-0000-0000-0000D24E0000}"/>
    <cellStyle name="Followed Hyperlink 3" xfId="27740" hidden="1" xr:uid="{00000000-0005-0000-0000-0000D34E0000}"/>
    <cellStyle name="Followed Hyperlink 3" xfId="27750" hidden="1" xr:uid="{00000000-0005-0000-0000-0000D44E0000}"/>
    <cellStyle name="Followed Hyperlink 3" xfId="27752" hidden="1" xr:uid="{00000000-0005-0000-0000-0000D54E0000}"/>
    <cellStyle name="Followed Hyperlink 3" xfId="27748" hidden="1" xr:uid="{00000000-0005-0000-0000-0000D64E0000}"/>
    <cellStyle name="Followed Hyperlink 3" xfId="27747" hidden="1" xr:uid="{00000000-0005-0000-0000-0000D74E0000}"/>
    <cellStyle name="Followed Hyperlink 3" xfId="27753" hidden="1" xr:uid="{00000000-0005-0000-0000-0000D84E0000}"/>
    <cellStyle name="Followed Hyperlink 3" xfId="27756" hidden="1" xr:uid="{00000000-0005-0000-0000-0000D94E0000}"/>
    <cellStyle name="Followed Hyperlink 3" xfId="27759" hidden="1" xr:uid="{00000000-0005-0000-0000-0000DA4E0000}"/>
    <cellStyle name="Followed Hyperlink 3" xfId="27764" hidden="1" xr:uid="{00000000-0005-0000-0000-0000DB4E0000}"/>
    <cellStyle name="Followed Hyperlink 3" xfId="27256" hidden="1" xr:uid="{00000000-0005-0000-0000-0000DC4E0000}"/>
    <cellStyle name="Followed Hyperlink 3" xfId="27333" hidden="1" xr:uid="{00000000-0005-0000-0000-0000DD4E0000}"/>
    <cellStyle name="Followed Hyperlink 3" xfId="27260" hidden="1" xr:uid="{00000000-0005-0000-0000-0000DE4E0000}"/>
    <cellStyle name="Followed Hyperlink 3" xfId="27261" hidden="1" xr:uid="{00000000-0005-0000-0000-0000DF4E0000}"/>
    <cellStyle name="Followed Hyperlink 3" xfId="27264" hidden="1" xr:uid="{00000000-0005-0000-0000-0000E04E0000}"/>
    <cellStyle name="Followed Hyperlink 3" xfId="27769" hidden="1" xr:uid="{00000000-0005-0000-0000-0000E14E0000}"/>
    <cellStyle name="Followed Hyperlink 3" xfId="27772" hidden="1" xr:uid="{00000000-0005-0000-0000-0000E24E0000}"/>
    <cellStyle name="Followed Hyperlink 3" xfId="27777" hidden="1" xr:uid="{00000000-0005-0000-0000-0000E34E0000}"/>
    <cellStyle name="Followed Hyperlink 3" xfId="27787" hidden="1" xr:uid="{00000000-0005-0000-0000-0000E44E0000}"/>
    <cellStyle name="Followed Hyperlink 3" xfId="27789" hidden="1" xr:uid="{00000000-0005-0000-0000-0000E54E0000}"/>
    <cellStyle name="Followed Hyperlink 3" xfId="27785" hidden="1" xr:uid="{00000000-0005-0000-0000-0000E64E0000}"/>
    <cellStyle name="Followed Hyperlink 3" xfId="27784" hidden="1" xr:uid="{00000000-0005-0000-0000-0000E74E0000}"/>
    <cellStyle name="Followed Hyperlink 3" xfId="27790" hidden="1" xr:uid="{00000000-0005-0000-0000-0000E84E0000}"/>
    <cellStyle name="Followed Hyperlink 3" xfId="27793" hidden="1" xr:uid="{00000000-0005-0000-0000-0000E94E0000}"/>
    <cellStyle name="Followed Hyperlink 3" xfId="27796" hidden="1" xr:uid="{00000000-0005-0000-0000-0000EA4E0000}"/>
    <cellStyle name="Followed Hyperlink 3" xfId="27801" hidden="1" xr:uid="{00000000-0005-0000-0000-0000EB4E0000}"/>
    <cellStyle name="Followed Hyperlink 3" xfId="27812" hidden="1" xr:uid="{00000000-0005-0000-0000-0000EC4E0000}"/>
    <cellStyle name="Followed Hyperlink 3" xfId="27814" hidden="1" xr:uid="{00000000-0005-0000-0000-0000ED4E0000}"/>
    <cellStyle name="Followed Hyperlink 3" xfId="27810" hidden="1" xr:uid="{00000000-0005-0000-0000-0000EE4E0000}"/>
    <cellStyle name="Followed Hyperlink 3" xfId="27809" hidden="1" xr:uid="{00000000-0005-0000-0000-0000EF4E0000}"/>
    <cellStyle name="Followed Hyperlink 3" xfId="27815" hidden="1" xr:uid="{00000000-0005-0000-0000-0000F04E0000}"/>
    <cellStyle name="Followed Hyperlink 3" xfId="27818" hidden="1" xr:uid="{00000000-0005-0000-0000-0000F14E0000}"/>
    <cellStyle name="Followed Hyperlink 3" xfId="27821" hidden="1" xr:uid="{00000000-0005-0000-0000-0000F24E0000}"/>
    <cellStyle name="Followed Hyperlink 3" xfId="27826" hidden="1" xr:uid="{00000000-0005-0000-0000-0000F34E0000}"/>
    <cellStyle name="Followed Hyperlink 3" xfId="27836" hidden="1" xr:uid="{00000000-0005-0000-0000-0000F44E0000}"/>
    <cellStyle name="Followed Hyperlink 3" xfId="27838" hidden="1" xr:uid="{00000000-0005-0000-0000-0000F54E0000}"/>
    <cellStyle name="Followed Hyperlink 3" xfId="27834" hidden="1" xr:uid="{00000000-0005-0000-0000-0000F64E0000}"/>
    <cellStyle name="Followed Hyperlink 3" xfId="27833" hidden="1" xr:uid="{00000000-0005-0000-0000-0000F74E0000}"/>
    <cellStyle name="Followed Hyperlink 3" xfId="27839" hidden="1" xr:uid="{00000000-0005-0000-0000-0000F84E0000}"/>
    <cellStyle name="Followed Hyperlink 3" xfId="27842" hidden="1" xr:uid="{00000000-0005-0000-0000-0000F94E0000}"/>
    <cellStyle name="Followed Hyperlink 3" xfId="27845" hidden="1" xr:uid="{00000000-0005-0000-0000-0000FA4E0000}"/>
    <cellStyle name="Followed Hyperlink 3" xfId="27850" hidden="1" xr:uid="{00000000-0005-0000-0000-0000FB4E0000}"/>
    <cellStyle name="Followed Hyperlink 3" xfId="27889" hidden="1" xr:uid="{00000000-0005-0000-0000-0000FC4E0000}"/>
    <cellStyle name="Followed Hyperlink 3" xfId="27891" hidden="1" xr:uid="{00000000-0005-0000-0000-0000FD4E0000}"/>
    <cellStyle name="Followed Hyperlink 3" xfId="27887" hidden="1" xr:uid="{00000000-0005-0000-0000-0000FE4E0000}"/>
    <cellStyle name="Followed Hyperlink 3" xfId="27886" hidden="1" xr:uid="{00000000-0005-0000-0000-0000FF4E0000}"/>
    <cellStyle name="Followed Hyperlink 3" xfId="27892" hidden="1" xr:uid="{00000000-0005-0000-0000-0000004F0000}"/>
    <cellStyle name="Followed Hyperlink 3" xfId="27895" hidden="1" xr:uid="{00000000-0005-0000-0000-0000014F0000}"/>
    <cellStyle name="Followed Hyperlink 3" xfId="27898" hidden="1" xr:uid="{00000000-0005-0000-0000-0000024F0000}"/>
    <cellStyle name="Followed Hyperlink 3" xfId="27903" hidden="1" xr:uid="{00000000-0005-0000-0000-0000034F0000}"/>
    <cellStyle name="Followed Hyperlink 3" xfId="27913" hidden="1" xr:uid="{00000000-0005-0000-0000-0000044F0000}"/>
    <cellStyle name="Followed Hyperlink 3" xfId="27915" hidden="1" xr:uid="{00000000-0005-0000-0000-0000054F0000}"/>
    <cellStyle name="Followed Hyperlink 3" xfId="27911" hidden="1" xr:uid="{00000000-0005-0000-0000-0000064F0000}"/>
    <cellStyle name="Followed Hyperlink 3" xfId="27910" hidden="1" xr:uid="{00000000-0005-0000-0000-0000074F0000}"/>
    <cellStyle name="Followed Hyperlink 3" xfId="27916" hidden="1" xr:uid="{00000000-0005-0000-0000-0000084F0000}"/>
    <cellStyle name="Followed Hyperlink 3" xfId="27919" hidden="1" xr:uid="{00000000-0005-0000-0000-0000094F0000}"/>
    <cellStyle name="Followed Hyperlink 3" xfId="27922" hidden="1" xr:uid="{00000000-0005-0000-0000-00000A4F0000}"/>
    <cellStyle name="Followed Hyperlink 3" xfId="27927" hidden="1" xr:uid="{00000000-0005-0000-0000-00000B4F0000}"/>
    <cellStyle name="Followed Hyperlink 3" xfId="27939" hidden="1" xr:uid="{00000000-0005-0000-0000-00000C4F0000}"/>
    <cellStyle name="Followed Hyperlink 3" xfId="27941" hidden="1" xr:uid="{00000000-0005-0000-0000-00000D4F0000}"/>
    <cellStyle name="Followed Hyperlink 3" xfId="27937" hidden="1" xr:uid="{00000000-0005-0000-0000-00000E4F0000}"/>
    <cellStyle name="Followed Hyperlink 3" xfId="27936" hidden="1" xr:uid="{00000000-0005-0000-0000-00000F4F0000}"/>
    <cellStyle name="Followed Hyperlink 3" xfId="27942" hidden="1" xr:uid="{00000000-0005-0000-0000-0000104F0000}"/>
    <cellStyle name="Followed Hyperlink 3" xfId="27945" hidden="1" xr:uid="{00000000-0005-0000-0000-0000114F0000}"/>
    <cellStyle name="Followed Hyperlink 3" xfId="27948" hidden="1" xr:uid="{00000000-0005-0000-0000-0000124F0000}"/>
    <cellStyle name="Followed Hyperlink 3" xfId="27953" hidden="1" xr:uid="{00000000-0005-0000-0000-0000134F0000}"/>
    <cellStyle name="Followed Hyperlink 3" xfId="27963" hidden="1" xr:uid="{00000000-0005-0000-0000-0000144F0000}"/>
    <cellStyle name="Followed Hyperlink 3" xfId="27965" hidden="1" xr:uid="{00000000-0005-0000-0000-0000154F0000}"/>
    <cellStyle name="Followed Hyperlink 3" xfId="27961" hidden="1" xr:uid="{00000000-0005-0000-0000-0000164F0000}"/>
    <cellStyle name="Followed Hyperlink 3" xfId="27960" hidden="1" xr:uid="{00000000-0005-0000-0000-0000174F0000}"/>
    <cellStyle name="Followed Hyperlink 3" xfId="27966" hidden="1" xr:uid="{00000000-0005-0000-0000-0000184F0000}"/>
    <cellStyle name="Followed Hyperlink 3" xfId="27969" hidden="1" xr:uid="{00000000-0005-0000-0000-0000194F0000}"/>
    <cellStyle name="Followed Hyperlink 3" xfId="27972" hidden="1" xr:uid="{00000000-0005-0000-0000-00001A4F0000}"/>
    <cellStyle name="Followed Hyperlink 3" xfId="27977" hidden="1" xr:uid="{00000000-0005-0000-0000-00001B4F0000}"/>
    <cellStyle name="Followed Hyperlink 3" xfId="27853" hidden="1" xr:uid="{00000000-0005-0000-0000-00001C4F0000}"/>
    <cellStyle name="Followed Hyperlink 3" xfId="27930" hidden="1" xr:uid="{00000000-0005-0000-0000-00001D4F0000}"/>
    <cellStyle name="Followed Hyperlink 3" xfId="27857" hidden="1" xr:uid="{00000000-0005-0000-0000-00001E4F0000}"/>
    <cellStyle name="Followed Hyperlink 3" xfId="27858" hidden="1" xr:uid="{00000000-0005-0000-0000-00001F4F0000}"/>
    <cellStyle name="Followed Hyperlink 3" xfId="27861" hidden="1" xr:uid="{00000000-0005-0000-0000-0000204F0000}"/>
    <cellStyle name="Followed Hyperlink 3" xfId="27982" hidden="1" xr:uid="{00000000-0005-0000-0000-0000214F0000}"/>
    <cellStyle name="Followed Hyperlink 3" xfId="27985" hidden="1" xr:uid="{00000000-0005-0000-0000-0000224F0000}"/>
    <cellStyle name="Followed Hyperlink 3" xfId="27990" hidden="1" xr:uid="{00000000-0005-0000-0000-0000234F0000}"/>
    <cellStyle name="Followed Hyperlink 3" xfId="28000" hidden="1" xr:uid="{00000000-0005-0000-0000-0000244F0000}"/>
    <cellStyle name="Followed Hyperlink 3" xfId="28002" hidden="1" xr:uid="{00000000-0005-0000-0000-0000254F0000}"/>
    <cellStyle name="Followed Hyperlink 3" xfId="27998" hidden="1" xr:uid="{00000000-0005-0000-0000-0000264F0000}"/>
    <cellStyle name="Followed Hyperlink 3" xfId="27997" hidden="1" xr:uid="{00000000-0005-0000-0000-0000274F0000}"/>
    <cellStyle name="Followed Hyperlink 3" xfId="28003" hidden="1" xr:uid="{00000000-0005-0000-0000-0000284F0000}"/>
    <cellStyle name="Followed Hyperlink 3" xfId="28006" hidden="1" xr:uid="{00000000-0005-0000-0000-0000294F0000}"/>
    <cellStyle name="Followed Hyperlink 3" xfId="28009" hidden="1" xr:uid="{00000000-0005-0000-0000-00002A4F0000}"/>
    <cellStyle name="Followed Hyperlink 3" xfId="28014" hidden="1" xr:uid="{00000000-0005-0000-0000-00002B4F0000}"/>
    <cellStyle name="Followed Hyperlink 3" xfId="28025" hidden="1" xr:uid="{00000000-0005-0000-0000-00002C4F0000}"/>
    <cellStyle name="Followed Hyperlink 3" xfId="28027" hidden="1" xr:uid="{00000000-0005-0000-0000-00002D4F0000}"/>
    <cellStyle name="Followed Hyperlink 3" xfId="28023" hidden="1" xr:uid="{00000000-0005-0000-0000-00002E4F0000}"/>
    <cellStyle name="Followed Hyperlink 3" xfId="28022" hidden="1" xr:uid="{00000000-0005-0000-0000-00002F4F0000}"/>
    <cellStyle name="Followed Hyperlink 3" xfId="28028" hidden="1" xr:uid="{00000000-0005-0000-0000-0000304F0000}"/>
    <cellStyle name="Followed Hyperlink 3" xfId="28031" hidden="1" xr:uid="{00000000-0005-0000-0000-0000314F0000}"/>
    <cellStyle name="Followed Hyperlink 3" xfId="28034" hidden="1" xr:uid="{00000000-0005-0000-0000-0000324F0000}"/>
    <cellStyle name="Followed Hyperlink 3" xfId="28039" hidden="1" xr:uid="{00000000-0005-0000-0000-0000334F0000}"/>
    <cellStyle name="Followed Hyperlink 3" xfId="28049" hidden="1" xr:uid="{00000000-0005-0000-0000-0000344F0000}"/>
    <cellStyle name="Followed Hyperlink 3" xfId="28051" hidden="1" xr:uid="{00000000-0005-0000-0000-0000354F0000}"/>
    <cellStyle name="Followed Hyperlink 3" xfId="28047" hidden="1" xr:uid="{00000000-0005-0000-0000-0000364F0000}"/>
    <cellStyle name="Followed Hyperlink 3" xfId="28046" hidden="1" xr:uid="{00000000-0005-0000-0000-0000374F0000}"/>
    <cellStyle name="Followed Hyperlink 3" xfId="28052" hidden="1" xr:uid="{00000000-0005-0000-0000-0000384F0000}"/>
    <cellStyle name="Followed Hyperlink 3" xfId="28055" hidden="1" xr:uid="{00000000-0005-0000-0000-0000394F0000}"/>
    <cellStyle name="Followed Hyperlink 3" xfId="28058" hidden="1" xr:uid="{00000000-0005-0000-0000-00003A4F0000}"/>
    <cellStyle name="Followed Hyperlink 3" xfId="28063" hidden="1" xr:uid="{00000000-0005-0000-0000-00003B4F0000}"/>
    <cellStyle name="Followed Hyperlink 3" xfId="27874" hidden="1" xr:uid="{00000000-0005-0000-0000-00003C4F0000}"/>
    <cellStyle name="Followed Hyperlink 3" xfId="28017" hidden="1" xr:uid="{00000000-0005-0000-0000-00003D4F0000}"/>
    <cellStyle name="Followed Hyperlink 3" xfId="27871" hidden="1" xr:uid="{00000000-0005-0000-0000-00003E4F0000}"/>
    <cellStyle name="Followed Hyperlink 3" xfId="27863" hidden="1" xr:uid="{00000000-0005-0000-0000-00003F4F0000}"/>
    <cellStyle name="Followed Hyperlink 3" xfId="27868" hidden="1" xr:uid="{00000000-0005-0000-0000-0000404F0000}"/>
    <cellStyle name="Followed Hyperlink 3" xfId="28068" hidden="1" xr:uid="{00000000-0005-0000-0000-0000414F0000}"/>
    <cellStyle name="Followed Hyperlink 3" xfId="28071" hidden="1" xr:uid="{00000000-0005-0000-0000-0000424F0000}"/>
    <cellStyle name="Followed Hyperlink 3" xfId="28076" hidden="1" xr:uid="{00000000-0005-0000-0000-0000434F0000}"/>
    <cellStyle name="Followed Hyperlink 3" xfId="28086" hidden="1" xr:uid="{00000000-0005-0000-0000-0000444F0000}"/>
    <cellStyle name="Followed Hyperlink 3" xfId="28088" hidden="1" xr:uid="{00000000-0005-0000-0000-0000454F0000}"/>
    <cellStyle name="Followed Hyperlink 3" xfId="28084" hidden="1" xr:uid="{00000000-0005-0000-0000-0000464F0000}"/>
    <cellStyle name="Followed Hyperlink 3" xfId="28083" hidden="1" xr:uid="{00000000-0005-0000-0000-0000474F0000}"/>
    <cellStyle name="Followed Hyperlink 3" xfId="28089" hidden="1" xr:uid="{00000000-0005-0000-0000-0000484F0000}"/>
    <cellStyle name="Followed Hyperlink 3" xfId="28092" hidden="1" xr:uid="{00000000-0005-0000-0000-0000494F0000}"/>
    <cellStyle name="Followed Hyperlink 3" xfId="28095" hidden="1" xr:uid="{00000000-0005-0000-0000-00004A4F0000}"/>
    <cellStyle name="Followed Hyperlink 3" xfId="28100" hidden="1" xr:uid="{00000000-0005-0000-0000-00004B4F0000}"/>
    <cellStyle name="Followed Hyperlink 3" xfId="28111" hidden="1" xr:uid="{00000000-0005-0000-0000-00004C4F0000}"/>
    <cellStyle name="Followed Hyperlink 3" xfId="28113" hidden="1" xr:uid="{00000000-0005-0000-0000-00004D4F0000}"/>
    <cellStyle name="Followed Hyperlink 3" xfId="28109" hidden="1" xr:uid="{00000000-0005-0000-0000-00004E4F0000}"/>
    <cellStyle name="Followed Hyperlink 3" xfId="28108" hidden="1" xr:uid="{00000000-0005-0000-0000-00004F4F0000}"/>
    <cellStyle name="Followed Hyperlink 3" xfId="28114" hidden="1" xr:uid="{00000000-0005-0000-0000-0000504F0000}"/>
    <cellStyle name="Followed Hyperlink 3" xfId="28117" hidden="1" xr:uid="{00000000-0005-0000-0000-0000514F0000}"/>
    <cellStyle name="Followed Hyperlink 3" xfId="28120" hidden="1" xr:uid="{00000000-0005-0000-0000-0000524F0000}"/>
    <cellStyle name="Followed Hyperlink 3" xfId="28125" hidden="1" xr:uid="{00000000-0005-0000-0000-0000534F0000}"/>
    <cellStyle name="Followed Hyperlink 3" xfId="28135" hidden="1" xr:uid="{00000000-0005-0000-0000-0000544F0000}"/>
    <cellStyle name="Followed Hyperlink 3" xfId="28137" hidden="1" xr:uid="{00000000-0005-0000-0000-0000554F0000}"/>
    <cellStyle name="Followed Hyperlink 3" xfId="28133" hidden="1" xr:uid="{00000000-0005-0000-0000-0000564F0000}"/>
    <cellStyle name="Followed Hyperlink 3" xfId="28132" hidden="1" xr:uid="{00000000-0005-0000-0000-0000574F0000}"/>
    <cellStyle name="Followed Hyperlink 3" xfId="28138" hidden="1" xr:uid="{00000000-0005-0000-0000-0000584F0000}"/>
    <cellStyle name="Followed Hyperlink 3" xfId="28141" hidden="1" xr:uid="{00000000-0005-0000-0000-0000594F0000}"/>
    <cellStyle name="Followed Hyperlink 3" xfId="28144" hidden="1" xr:uid="{00000000-0005-0000-0000-00005A4F0000}"/>
    <cellStyle name="Followed Hyperlink 3" xfId="28149" hidden="1" xr:uid="{00000000-0005-0000-0000-00005B4F0000}"/>
    <cellStyle name="Followed Hyperlink 3" xfId="27879" hidden="1" xr:uid="{00000000-0005-0000-0000-00005C4F0000}"/>
    <cellStyle name="Followed Hyperlink 3" xfId="28103" hidden="1" xr:uid="{00000000-0005-0000-0000-00005D4F0000}"/>
    <cellStyle name="Followed Hyperlink 3" xfId="27875" hidden="1" xr:uid="{00000000-0005-0000-0000-00005E4F0000}"/>
    <cellStyle name="Followed Hyperlink 3" xfId="27880" hidden="1" xr:uid="{00000000-0005-0000-0000-00005F4F0000}"/>
    <cellStyle name="Followed Hyperlink 3" xfId="27867" hidden="1" xr:uid="{00000000-0005-0000-0000-0000604F0000}"/>
    <cellStyle name="Followed Hyperlink 3" xfId="28154" hidden="1" xr:uid="{00000000-0005-0000-0000-0000614F0000}"/>
    <cellStyle name="Followed Hyperlink 3" xfId="28157" hidden="1" xr:uid="{00000000-0005-0000-0000-0000624F0000}"/>
    <cellStyle name="Followed Hyperlink 3" xfId="28162" hidden="1" xr:uid="{00000000-0005-0000-0000-0000634F0000}"/>
    <cellStyle name="Followed Hyperlink 3" xfId="28172" hidden="1" xr:uid="{00000000-0005-0000-0000-0000644F0000}"/>
    <cellStyle name="Followed Hyperlink 3" xfId="28174" hidden="1" xr:uid="{00000000-0005-0000-0000-0000654F0000}"/>
    <cellStyle name="Followed Hyperlink 3" xfId="28170" hidden="1" xr:uid="{00000000-0005-0000-0000-0000664F0000}"/>
    <cellStyle name="Followed Hyperlink 3" xfId="28169" hidden="1" xr:uid="{00000000-0005-0000-0000-0000674F0000}"/>
    <cellStyle name="Followed Hyperlink 3" xfId="28175" hidden="1" xr:uid="{00000000-0005-0000-0000-0000684F0000}"/>
    <cellStyle name="Followed Hyperlink 3" xfId="28178" hidden="1" xr:uid="{00000000-0005-0000-0000-0000694F0000}"/>
    <cellStyle name="Followed Hyperlink 3" xfId="28181" hidden="1" xr:uid="{00000000-0005-0000-0000-00006A4F0000}"/>
    <cellStyle name="Followed Hyperlink 3" xfId="28186" hidden="1" xr:uid="{00000000-0005-0000-0000-00006B4F0000}"/>
    <cellStyle name="Followed Hyperlink 3" xfId="28196" hidden="1" xr:uid="{00000000-0005-0000-0000-00006C4F0000}"/>
    <cellStyle name="Followed Hyperlink 3" xfId="28198" hidden="1" xr:uid="{00000000-0005-0000-0000-00006D4F0000}"/>
    <cellStyle name="Followed Hyperlink 3" xfId="28194" hidden="1" xr:uid="{00000000-0005-0000-0000-00006E4F0000}"/>
    <cellStyle name="Followed Hyperlink 3" xfId="28193" hidden="1" xr:uid="{00000000-0005-0000-0000-00006F4F0000}"/>
    <cellStyle name="Followed Hyperlink 3" xfId="28199" hidden="1" xr:uid="{00000000-0005-0000-0000-0000704F0000}"/>
    <cellStyle name="Followed Hyperlink 3" xfId="28202" hidden="1" xr:uid="{00000000-0005-0000-0000-0000714F0000}"/>
    <cellStyle name="Followed Hyperlink 3" xfId="28205" hidden="1" xr:uid="{00000000-0005-0000-0000-0000724F0000}"/>
    <cellStyle name="Followed Hyperlink 3" xfId="28210" hidden="1" xr:uid="{00000000-0005-0000-0000-0000734F0000}"/>
    <cellStyle name="Followed Hyperlink 3" xfId="28220" hidden="1" xr:uid="{00000000-0005-0000-0000-0000744F0000}"/>
    <cellStyle name="Followed Hyperlink 3" xfId="28222" hidden="1" xr:uid="{00000000-0005-0000-0000-0000754F0000}"/>
    <cellStyle name="Followed Hyperlink 3" xfId="28218" hidden="1" xr:uid="{00000000-0005-0000-0000-0000764F0000}"/>
    <cellStyle name="Followed Hyperlink 3" xfId="28217" hidden="1" xr:uid="{00000000-0005-0000-0000-0000774F0000}"/>
    <cellStyle name="Followed Hyperlink 3" xfId="28223" hidden="1" xr:uid="{00000000-0005-0000-0000-0000784F0000}"/>
    <cellStyle name="Followed Hyperlink 3" xfId="28226" hidden="1" xr:uid="{00000000-0005-0000-0000-0000794F0000}"/>
    <cellStyle name="Followed Hyperlink 3" xfId="28229" hidden="1" xr:uid="{00000000-0005-0000-0000-00007A4F0000}"/>
    <cellStyle name="Followed Hyperlink 3" xfId="28234" hidden="1" xr:uid="{00000000-0005-0000-0000-00007B4F0000}"/>
    <cellStyle name="Followed Hyperlink 3" xfId="27277" hidden="1" xr:uid="{00000000-0005-0000-0000-00007C4F0000}"/>
    <cellStyle name="Followed Hyperlink 3" xfId="27804" hidden="1" xr:uid="{00000000-0005-0000-0000-00007D4F0000}"/>
    <cellStyle name="Followed Hyperlink 3" xfId="27274" hidden="1" xr:uid="{00000000-0005-0000-0000-00007E4F0000}"/>
    <cellStyle name="Followed Hyperlink 3" xfId="27266" hidden="1" xr:uid="{00000000-0005-0000-0000-00007F4F0000}"/>
    <cellStyle name="Followed Hyperlink 3" xfId="27271" hidden="1" xr:uid="{00000000-0005-0000-0000-0000804F0000}"/>
    <cellStyle name="Followed Hyperlink 3" xfId="28239" hidden="1" xr:uid="{00000000-0005-0000-0000-0000814F0000}"/>
    <cellStyle name="Followed Hyperlink 3" xfId="28242" hidden="1" xr:uid="{00000000-0005-0000-0000-0000824F0000}"/>
    <cellStyle name="Followed Hyperlink 3" xfId="28247" hidden="1" xr:uid="{00000000-0005-0000-0000-0000834F0000}"/>
    <cellStyle name="Followed Hyperlink 3" xfId="28257" hidden="1" xr:uid="{00000000-0005-0000-0000-0000844F0000}"/>
    <cellStyle name="Followed Hyperlink 3" xfId="28259" hidden="1" xr:uid="{00000000-0005-0000-0000-0000854F0000}"/>
    <cellStyle name="Followed Hyperlink 3" xfId="28255" hidden="1" xr:uid="{00000000-0005-0000-0000-0000864F0000}"/>
    <cellStyle name="Followed Hyperlink 3" xfId="28254" hidden="1" xr:uid="{00000000-0005-0000-0000-0000874F0000}"/>
    <cellStyle name="Followed Hyperlink 3" xfId="28260" hidden="1" xr:uid="{00000000-0005-0000-0000-0000884F0000}"/>
    <cellStyle name="Followed Hyperlink 3" xfId="28263" hidden="1" xr:uid="{00000000-0005-0000-0000-0000894F0000}"/>
    <cellStyle name="Followed Hyperlink 3" xfId="28266" hidden="1" xr:uid="{00000000-0005-0000-0000-00008A4F0000}"/>
    <cellStyle name="Followed Hyperlink 3" xfId="28271" hidden="1" xr:uid="{00000000-0005-0000-0000-00008B4F0000}"/>
    <cellStyle name="Followed Hyperlink 3" xfId="28282" hidden="1" xr:uid="{00000000-0005-0000-0000-00008C4F0000}"/>
    <cellStyle name="Followed Hyperlink 3" xfId="28284" hidden="1" xr:uid="{00000000-0005-0000-0000-00008D4F0000}"/>
    <cellStyle name="Followed Hyperlink 3" xfId="28280" hidden="1" xr:uid="{00000000-0005-0000-0000-00008E4F0000}"/>
    <cellStyle name="Followed Hyperlink 3" xfId="28279" hidden="1" xr:uid="{00000000-0005-0000-0000-00008F4F0000}"/>
    <cellStyle name="Followed Hyperlink 3" xfId="28285" hidden="1" xr:uid="{00000000-0005-0000-0000-0000904F0000}"/>
    <cellStyle name="Followed Hyperlink 3" xfId="28288" hidden="1" xr:uid="{00000000-0005-0000-0000-0000914F0000}"/>
    <cellStyle name="Followed Hyperlink 3" xfId="28291" hidden="1" xr:uid="{00000000-0005-0000-0000-0000924F0000}"/>
    <cellStyle name="Followed Hyperlink 3" xfId="28296" hidden="1" xr:uid="{00000000-0005-0000-0000-0000934F0000}"/>
    <cellStyle name="Followed Hyperlink 3" xfId="28306" hidden="1" xr:uid="{00000000-0005-0000-0000-0000944F0000}"/>
    <cellStyle name="Followed Hyperlink 3" xfId="28308" hidden="1" xr:uid="{00000000-0005-0000-0000-0000954F0000}"/>
    <cellStyle name="Followed Hyperlink 3" xfId="28304" hidden="1" xr:uid="{00000000-0005-0000-0000-0000964F0000}"/>
    <cellStyle name="Followed Hyperlink 3" xfId="28303" hidden="1" xr:uid="{00000000-0005-0000-0000-0000974F0000}"/>
    <cellStyle name="Followed Hyperlink 3" xfId="28309" hidden="1" xr:uid="{00000000-0005-0000-0000-0000984F0000}"/>
    <cellStyle name="Followed Hyperlink 3" xfId="28312" hidden="1" xr:uid="{00000000-0005-0000-0000-0000994F0000}"/>
    <cellStyle name="Followed Hyperlink 3" xfId="28315" hidden="1" xr:uid="{00000000-0005-0000-0000-00009A4F0000}"/>
    <cellStyle name="Followed Hyperlink 3" xfId="28320" hidden="1" xr:uid="{00000000-0005-0000-0000-00009B4F0000}"/>
    <cellStyle name="Followed Hyperlink 3" xfId="28359" hidden="1" xr:uid="{00000000-0005-0000-0000-00009C4F0000}"/>
    <cellStyle name="Followed Hyperlink 3" xfId="28361" hidden="1" xr:uid="{00000000-0005-0000-0000-00009D4F0000}"/>
    <cellStyle name="Followed Hyperlink 3" xfId="28357" hidden="1" xr:uid="{00000000-0005-0000-0000-00009E4F0000}"/>
    <cellStyle name="Followed Hyperlink 3" xfId="28356" hidden="1" xr:uid="{00000000-0005-0000-0000-00009F4F0000}"/>
    <cellStyle name="Followed Hyperlink 3" xfId="28362" hidden="1" xr:uid="{00000000-0005-0000-0000-0000A04F0000}"/>
    <cellStyle name="Followed Hyperlink 3" xfId="28365" hidden="1" xr:uid="{00000000-0005-0000-0000-0000A14F0000}"/>
    <cellStyle name="Followed Hyperlink 3" xfId="28368" hidden="1" xr:uid="{00000000-0005-0000-0000-0000A24F0000}"/>
    <cellStyle name="Followed Hyperlink 3" xfId="28373" hidden="1" xr:uid="{00000000-0005-0000-0000-0000A34F0000}"/>
    <cellStyle name="Followed Hyperlink 3" xfId="28383" hidden="1" xr:uid="{00000000-0005-0000-0000-0000A44F0000}"/>
    <cellStyle name="Followed Hyperlink 3" xfId="28385" hidden="1" xr:uid="{00000000-0005-0000-0000-0000A54F0000}"/>
    <cellStyle name="Followed Hyperlink 3" xfId="28381" hidden="1" xr:uid="{00000000-0005-0000-0000-0000A64F0000}"/>
    <cellStyle name="Followed Hyperlink 3" xfId="28380" hidden="1" xr:uid="{00000000-0005-0000-0000-0000A74F0000}"/>
    <cellStyle name="Followed Hyperlink 3" xfId="28386" hidden="1" xr:uid="{00000000-0005-0000-0000-0000A84F0000}"/>
    <cellStyle name="Followed Hyperlink 3" xfId="28389" hidden="1" xr:uid="{00000000-0005-0000-0000-0000A94F0000}"/>
    <cellStyle name="Followed Hyperlink 3" xfId="28392" hidden="1" xr:uid="{00000000-0005-0000-0000-0000AA4F0000}"/>
    <cellStyle name="Followed Hyperlink 3" xfId="28397" hidden="1" xr:uid="{00000000-0005-0000-0000-0000AB4F0000}"/>
    <cellStyle name="Followed Hyperlink 3" xfId="28409" hidden="1" xr:uid="{00000000-0005-0000-0000-0000AC4F0000}"/>
    <cellStyle name="Followed Hyperlink 3" xfId="28411" hidden="1" xr:uid="{00000000-0005-0000-0000-0000AD4F0000}"/>
    <cellStyle name="Followed Hyperlink 3" xfId="28407" hidden="1" xr:uid="{00000000-0005-0000-0000-0000AE4F0000}"/>
    <cellStyle name="Followed Hyperlink 3" xfId="28406" hidden="1" xr:uid="{00000000-0005-0000-0000-0000AF4F0000}"/>
    <cellStyle name="Followed Hyperlink 3" xfId="28412" hidden="1" xr:uid="{00000000-0005-0000-0000-0000B04F0000}"/>
    <cellStyle name="Followed Hyperlink 3" xfId="28415" hidden="1" xr:uid="{00000000-0005-0000-0000-0000B14F0000}"/>
    <cellStyle name="Followed Hyperlink 3" xfId="28418" hidden="1" xr:uid="{00000000-0005-0000-0000-0000B24F0000}"/>
    <cellStyle name="Followed Hyperlink 3" xfId="28423" hidden="1" xr:uid="{00000000-0005-0000-0000-0000B34F0000}"/>
    <cellStyle name="Followed Hyperlink 3" xfId="28433" hidden="1" xr:uid="{00000000-0005-0000-0000-0000B44F0000}"/>
    <cellStyle name="Followed Hyperlink 3" xfId="28435" hidden="1" xr:uid="{00000000-0005-0000-0000-0000B54F0000}"/>
    <cellStyle name="Followed Hyperlink 3" xfId="28431" hidden="1" xr:uid="{00000000-0005-0000-0000-0000B64F0000}"/>
    <cellStyle name="Followed Hyperlink 3" xfId="28430" hidden="1" xr:uid="{00000000-0005-0000-0000-0000B74F0000}"/>
    <cellStyle name="Followed Hyperlink 3" xfId="28436" hidden="1" xr:uid="{00000000-0005-0000-0000-0000B84F0000}"/>
    <cellStyle name="Followed Hyperlink 3" xfId="28439" hidden="1" xr:uid="{00000000-0005-0000-0000-0000B94F0000}"/>
    <cellStyle name="Followed Hyperlink 3" xfId="28442" hidden="1" xr:uid="{00000000-0005-0000-0000-0000BA4F0000}"/>
    <cellStyle name="Followed Hyperlink 3" xfId="28447" hidden="1" xr:uid="{00000000-0005-0000-0000-0000BB4F0000}"/>
    <cellStyle name="Followed Hyperlink 3" xfId="28323" hidden="1" xr:uid="{00000000-0005-0000-0000-0000BC4F0000}"/>
    <cellStyle name="Followed Hyperlink 3" xfId="28400" hidden="1" xr:uid="{00000000-0005-0000-0000-0000BD4F0000}"/>
    <cellStyle name="Followed Hyperlink 3" xfId="28327" hidden="1" xr:uid="{00000000-0005-0000-0000-0000BE4F0000}"/>
    <cellStyle name="Followed Hyperlink 3" xfId="28328" hidden="1" xr:uid="{00000000-0005-0000-0000-0000BF4F0000}"/>
    <cellStyle name="Followed Hyperlink 3" xfId="28331" hidden="1" xr:uid="{00000000-0005-0000-0000-0000C04F0000}"/>
    <cellStyle name="Followed Hyperlink 3" xfId="28452" hidden="1" xr:uid="{00000000-0005-0000-0000-0000C14F0000}"/>
    <cellStyle name="Followed Hyperlink 3" xfId="28455" hidden="1" xr:uid="{00000000-0005-0000-0000-0000C24F0000}"/>
    <cellStyle name="Followed Hyperlink 3" xfId="28460" hidden="1" xr:uid="{00000000-0005-0000-0000-0000C34F0000}"/>
    <cellStyle name="Followed Hyperlink 3" xfId="28470" hidden="1" xr:uid="{00000000-0005-0000-0000-0000C44F0000}"/>
    <cellStyle name="Followed Hyperlink 3" xfId="28472" hidden="1" xr:uid="{00000000-0005-0000-0000-0000C54F0000}"/>
    <cellStyle name="Followed Hyperlink 3" xfId="28468" hidden="1" xr:uid="{00000000-0005-0000-0000-0000C64F0000}"/>
    <cellStyle name="Followed Hyperlink 3" xfId="28467" hidden="1" xr:uid="{00000000-0005-0000-0000-0000C74F0000}"/>
    <cellStyle name="Followed Hyperlink 3" xfId="28473" hidden="1" xr:uid="{00000000-0005-0000-0000-0000C84F0000}"/>
    <cellStyle name="Followed Hyperlink 3" xfId="28476" hidden="1" xr:uid="{00000000-0005-0000-0000-0000C94F0000}"/>
    <cellStyle name="Followed Hyperlink 3" xfId="28479" hidden="1" xr:uid="{00000000-0005-0000-0000-0000CA4F0000}"/>
    <cellStyle name="Followed Hyperlink 3" xfId="28484" hidden="1" xr:uid="{00000000-0005-0000-0000-0000CB4F0000}"/>
    <cellStyle name="Followed Hyperlink 3" xfId="28495" hidden="1" xr:uid="{00000000-0005-0000-0000-0000CC4F0000}"/>
    <cellStyle name="Followed Hyperlink 3" xfId="28497" hidden="1" xr:uid="{00000000-0005-0000-0000-0000CD4F0000}"/>
    <cellStyle name="Followed Hyperlink 3" xfId="28493" hidden="1" xr:uid="{00000000-0005-0000-0000-0000CE4F0000}"/>
    <cellStyle name="Followed Hyperlink 3" xfId="28492" hidden="1" xr:uid="{00000000-0005-0000-0000-0000CF4F0000}"/>
    <cellStyle name="Followed Hyperlink 3" xfId="28498" hidden="1" xr:uid="{00000000-0005-0000-0000-0000D04F0000}"/>
    <cellStyle name="Followed Hyperlink 3" xfId="28501" hidden="1" xr:uid="{00000000-0005-0000-0000-0000D14F0000}"/>
    <cellStyle name="Followed Hyperlink 3" xfId="28504" hidden="1" xr:uid="{00000000-0005-0000-0000-0000D24F0000}"/>
    <cellStyle name="Followed Hyperlink 3" xfId="28509" hidden="1" xr:uid="{00000000-0005-0000-0000-0000D34F0000}"/>
    <cellStyle name="Followed Hyperlink 3" xfId="28519" hidden="1" xr:uid="{00000000-0005-0000-0000-0000D44F0000}"/>
    <cellStyle name="Followed Hyperlink 3" xfId="28521" hidden="1" xr:uid="{00000000-0005-0000-0000-0000D54F0000}"/>
    <cellStyle name="Followed Hyperlink 3" xfId="28517" hidden="1" xr:uid="{00000000-0005-0000-0000-0000D64F0000}"/>
    <cellStyle name="Followed Hyperlink 3" xfId="28516" hidden="1" xr:uid="{00000000-0005-0000-0000-0000D74F0000}"/>
    <cellStyle name="Followed Hyperlink 3" xfId="28522" hidden="1" xr:uid="{00000000-0005-0000-0000-0000D84F0000}"/>
    <cellStyle name="Followed Hyperlink 3" xfId="28525" hidden="1" xr:uid="{00000000-0005-0000-0000-0000D94F0000}"/>
    <cellStyle name="Followed Hyperlink 3" xfId="28528" hidden="1" xr:uid="{00000000-0005-0000-0000-0000DA4F0000}"/>
    <cellStyle name="Followed Hyperlink 3" xfId="28533" hidden="1" xr:uid="{00000000-0005-0000-0000-0000DB4F0000}"/>
    <cellStyle name="Followed Hyperlink 3" xfId="28344" hidden="1" xr:uid="{00000000-0005-0000-0000-0000DC4F0000}"/>
    <cellStyle name="Followed Hyperlink 3" xfId="28487" hidden="1" xr:uid="{00000000-0005-0000-0000-0000DD4F0000}"/>
    <cellStyle name="Followed Hyperlink 3" xfId="28341" hidden="1" xr:uid="{00000000-0005-0000-0000-0000DE4F0000}"/>
    <cellStyle name="Followed Hyperlink 3" xfId="28333" hidden="1" xr:uid="{00000000-0005-0000-0000-0000DF4F0000}"/>
    <cellStyle name="Followed Hyperlink 3" xfId="28338" hidden="1" xr:uid="{00000000-0005-0000-0000-0000E04F0000}"/>
    <cellStyle name="Followed Hyperlink 3" xfId="28538" hidden="1" xr:uid="{00000000-0005-0000-0000-0000E14F0000}"/>
    <cellStyle name="Followed Hyperlink 3" xfId="28541" hidden="1" xr:uid="{00000000-0005-0000-0000-0000E24F0000}"/>
    <cellStyle name="Followed Hyperlink 3" xfId="28546" hidden="1" xr:uid="{00000000-0005-0000-0000-0000E34F0000}"/>
    <cellStyle name="Followed Hyperlink 3" xfId="28556" hidden="1" xr:uid="{00000000-0005-0000-0000-0000E44F0000}"/>
    <cellStyle name="Followed Hyperlink 3" xfId="28558" hidden="1" xr:uid="{00000000-0005-0000-0000-0000E54F0000}"/>
    <cellStyle name="Followed Hyperlink 3" xfId="28554" hidden="1" xr:uid="{00000000-0005-0000-0000-0000E64F0000}"/>
    <cellStyle name="Followed Hyperlink 3" xfId="28553" hidden="1" xr:uid="{00000000-0005-0000-0000-0000E74F0000}"/>
    <cellStyle name="Followed Hyperlink 3" xfId="28559" hidden="1" xr:uid="{00000000-0005-0000-0000-0000E84F0000}"/>
    <cellStyle name="Followed Hyperlink 3" xfId="28562" hidden="1" xr:uid="{00000000-0005-0000-0000-0000E94F0000}"/>
    <cellStyle name="Followed Hyperlink 3" xfId="28565" hidden="1" xr:uid="{00000000-0005-0000-0000-0000EA4F0000}"/>
    <cellStyle name="Followed Hyperlink 3" xfId="28570" hidden="1" xr:uid="{00000000-0005-0000-0000-0000EB4F0000}"/>
    <cellStyle name="Followed Hyperlink 3" xfId="28581" hidden="1" xr:uid="{00000000-0005-0000-0000-0000EC4F0000}"/>
    <cellStyle name="Followed Hyperlink 3" xfId="28583" hidden="1" xr:uid="{00000000-0005-0000-0000-0000ED4F0000}"/>
    <cellStyle name="Followed Hyperlink 3" xfId="28579" hidden="1" xr:uid="{00000000-0005-0000-0000-0000EE4F0000}"/>
    <cellStyle name="Followed Hyperlink 3" xfId="28578" hidden="1" xr:uid="{00000000-0005-0000-0000-0000EF4F0000}"/>
    <cellStyle name="Followed Hyperlink 3" xfId="28584" hidden="1" xr:uid="{00000000-0005-0000-0000-0000F04F0000}"/>
    <cellStyle name="Followed Hyperlink 3" xfId="28587" hidden="1" xr:uid="{00000000-0005-0000-0000-0000F14F0000}"/>
    <cellStyle name="Followed Hyperlink 3" xfId="28590" hidden="1" xr:uid="{00000000-0005-0000-0000-0000F24F0000}"/>
    <cellStyle name="Followed Hyperlink 3" xfId="28595" hidden="1" xr:uid="{00000000-0005-0000-0000-0000F34F0000}"/>
    <cellStyle name="Followed Hyperlink 3" xfId="28605" hidden="1" xr:uid="{00000000-0005-0000-0000-0000F44F0000}"/>
    <cellStyle name="Followed Hyperlink 3" xfId="28607" hidden="1" xr:uid="{00000000-0005-0000-0000-0000F54F0000}"/>
    <cellStyle name="Followed Hyperlink 3" xfId="28603" hidden="1" xr:uid="{00000000-0005-0000-0000-0000F64F0000}"/>
    <cellStyle name="Followed Hyperlink 3" xfId="28602" hidden="1" xr:uid="{00000000-0005-0000-0000-0000F74F0000}"/>
    <cellStyle name="Followed Hyperlink 3" xfId="28608" hidden="1" xr:uid="{00000000-0005-0000-0000-0000F84F0000}"/>
    <cellStyle name="Followed Hyperlink 3" xfId="28611" hidden="1" xr:uid="{00000000-0005-0000-0000-0000F94F0000}"/>
    <cellStyle name="Followed Hyperlink 3" xfId="28614" hidden="1" xr:uid="{00000000-0005-0000-0000-0000FA4F0000}"/>
    <cellStyle name="Followed Hyperlink 3" xfId="28619" hidden="1" xr:uid="{00000000-0005-0000-0000-0000FB4F0000}"/>
    <cellStyle name="Followed Hyperlink 3" xfId="28349" hidden="1" xr:uid="{00000000-0005-0000-0000-0000FC4F0000}"/>
    <cellStyle name="Followed Hyperlink 3" xfId="28573" hidden="1" xr:uid="{00000000-0005-0000-0000-0000FD4F0000}"/>
    <cellStyle name="Followed Hyperlink 3" xfId="28345" hidden="1" xr:uid="{00000000-0005-0000-0000-0000FE4F0000}"/>
    <cellStyle name="Followed Hyperlink 3" xfId="28350" hidden="1" xr:uid="{00000000-0005-0000-0000-0000FF4F0000}"/>
    <cellStyle name="Followed Hyperlink 3" xfId="28337" hidden="1" xr:uid="{00000000-0005-0000-0000-000000500000}"/>
    <cellStyle name="Followed Hyperlink 3" xfId="28624" hidden="1" xr:uid="{00000000-0005-0000-0000-000001500000}"/>
    <cellStyle name="Followed Hyperlink 3" xfId="28627" hidden="1" xr:uid="{00000000-0005-0000-0000-000002500000}"/>
    <cellStyle name="Followed Hyperlink 3" xfId="28632" hidden="1" xr:uid="{00000000-0005-0000-0000-000003500000}"/>
    <cellStyle name="Followed Hyperlink 3" xfId="28642" hidden="1" xr:uid="{00000000-0005-0000-0000-000004500000}"/>
    <cellStyle name="Followed Hyperlink 3" xfId="28644" hidden="1" xr:uid="{00000000-0005-0000-0000-000005500000}"/>
    <cellStyle name="Followed Hyperlink 3" xfId="28640" hidden="1" xr:uid="{00000000-0005-0000-0000-000006500000}"/>
    <cellStyle name="Followed Hyperlink 3" xfId="28639" hidden="1" xr:uid="{00000000-0005-0000-0000-000007500000}"/>
    <cellStyle name="Followed Hyperlink 3" xfId="28645" hidden="1" xr:uid="{00000000-0005-0000-0000-000008500000}"/>
    <cellStyle name="Followed Hyperlink 3" xfId="28648" hidden="1" xr:uid="{00000000-0005-0000-0000-000009500000}"/>
    <cellStyle name="Followed Hyperlink 3" xfId="28651" hidden="1" xr:uid="{00000000-0005-0000-0000-00000A500000}"/>
    <cellStyle name="Followed Hyperlink 3" xfId="28656" hidden="1" xr:uid="{00000000-0005-0000-0000-00000B500000}"/>
    <cellStyle name="Followed Hyperlink 3" xfId="28666" hidden="1" xr:uid="{00000000-0005-0000-0000-00000C500000}"/>
    <cellStyle name="Followed Hyperlink 3" xfId="28668" hidden="1" xr:uid="{00000000-0005-0000-0000-00000D500000}"/>
    <cellStyle name="Followed Hyperlink 3" xfId="28664" hidden="1" xr:uid="{00000000-0005-0000-0000-00000E500000}"/>
    <cellStyle name="Followed Hyperlink 3" xfId="28663" hidden="1" xr:uid="{00000000-0005-0000-0000-00000F500000}"/>
    <cellStyle name="Followed Hyperlink 3" xfId="28669" hidden="1" xr:uid="{00000000-0005-0000-0000-000010500000}"/>
    <cellStyle name="Followed Hyperlink 3" xfId="28672" hidden="1" xr:uid="{00000000-0005-0000-0000-000011500000}"/>
    <cellStyle name="Followed Hyperlink 3" xfId="28675" hidden="1" xr:uid="{00000000-0005-0000-0000-000012500000}"/>
    <cellStyle name="Followed Hyperlink 3" xfId="28680" hidden="1" xr:uid="{00000000-0005-0000-0000-000013500000}"/>
    <cellStyle name="Followed Hyperlink 3" xfId="28690" hidden="1" xr:uid="{00000000-0005-0000-0000-000014500000}"/>
    <cellStyle name="Followed Hyperlink 3" xfId="28692" hidden="1" xr:uid="{00000000-0005-0000-0000-000015500000}"/>
    <cellStyle name="Followed Hyperlink 3" xfId="28688" hidden="1" xr:uid="{00000000-0005-0000-0000-000016500000}"/>
    <cellStyle name="Followed Hyperlink 3" xfId="28687" hidden="1" xr:uid="{00000000-0005-0000-0000-000017500000}"/>
    <cellStyle name="Followed Hyperlink 3" xfId="28693" hidden="1" xr:uid="{00000000-0005-0000-0000-000018500000}"/>
    <cellStyle name="Followed Hyperlink 3" xfId="28696" hidden="1" xr:uid="{00000000-0005-0000-0000-000019500000}"/>
    <cellStyle name="Followed Hyperlink 3" xfId="28699" hidden="1" xr:uid="{00000000-0005-0000-0000-00001A500000}"/>
    <cellStyle name="Followed Hyperlink 3" xfId="28704" hidden="1" xr:uid="{00000000-0005-0000-0000-00001B500000}"/>
    <cellStyle name="Followed Hyperlink 3" xfId="27282" hidden="1" xr:uid="{00000000-0005-0000-0000-00001C500000}"/>
    <cellStyle name="Followed Hyperlink 3" xfId="28274" hidden="1" xr:uid="{00000000-0005-0000-0000-00001D500000}"/>
    <cellStyle name="Followed Hyperlink 3" xfId="27278" hidden="1" xr:uid="{00000000-0005-0000-0000-00001E500000}"/>
    <cellStyle name="Followed Hyperlink 3" xfId="27283" hidden="1" xr:uid="{00000000-0005-0000-0000-00001F500000}"/>
    <cellStyle name="Followed Hyperlink 3" xfId="27270" hidden="1" xr:uid="{00000000-0005-0000-0000-000020500000}"/>
    <cellStyle name="Followed Hyperlink 3" xfId="28709" hidden="1" xr:uid="{00000000-0005-0000-0000-000021500000}"/>
    <cellStyle name="Followed Hyperlink 3" xfId="28712" hidden="1" xr:uid="{00000000-0005-0000-0000-000022500000}"/>
    <cellStyle name="Followed Hyperlink 3" xfId="28717" hidden="1" xr:uid="{00000000-0005-0000-0000-000023500000}"/>
    <cellStyle name="Followed Hyperlink 3" xfId="28727" hidden="1" xr:uid="{00000000-0005-0000-0000-000024500000}"/>
    <cellStyle name="Followed Hyperlink 3" xfId="28729" hidden="1" xr:uid="{00000000-0005-0000-0000-000025500000}"/>
    <cellStyle name="Followed Hyperlink 3" xfId="28725" hidden="1" xr:uid="{00000000-0005-0000-0000-000026500000}"/>
    <cellStyle name="Followed Hyperlink 3" xfId="28724" hidden="1" xr:uid="{00000000-0005-0000-0000-000027500000}"/>
    <cellStyle name="Followed Hyperlink 3" xfId="28730" hidden="1" xr:uid="{00000000-0005-0000-0000-000028500000}"/>
    <cellStyle name="Followed Hyperlink 3" xfId="28733" hidden="1" xr:uid="{00000000-0005-0000-0000-000029500000}"/>
    <cellStyle name="Followed Hyperlink 3" xfId="28736" hidden="1" xr:uid="{00000000-0005-0000-0000-00002A500000}"/>
    <cellStyle name="Followed Hyperlink 3" xfId="28741" hidden="1" xr:uid="{00000000-0005-0000-0000-00002B500000}"/>
    <cellStyle name="Followed Hyperlink 3" xfId="28751" hidden="1" xr:uid="{00000000-0005-0000-0000-00002C500000}"/>
    <cellStyle name="Followed Hyperlink 3" xfId="28753" hidden="1" xr:uid="{00000000-0005-0000-0000-00002D500000}"/>
    <cellStyle name="Followed Hyperlink 3" xfId="28749" hidden="1" xr:uid="{00000000-0005-0000-0000-00002E500000}"/>
    <cellStyle name="Followed Hyperlink 3" xfId="28748" hidden="1" xr:uid="{00000000-0005-0000-0000-00002F500000}"/>
    <cellStyle name="Followed Hyperlink 3" xfId="28754" hidden="1" xr:uid="{00000000-0005-0000-0000-000030500000}"/>
    <cellStyle name="Followed Hyperlink 3" xfId="28757" hidden="1" xr:uid="{00000000-0005-0000-0000-000031500000}"/>
    <cellStyle name="Followed Hyperlink 3" xfId="28760" hidden="1" xr:uid="{00000000-0005-0000-0000-000032500000}"/>
    <cellStyle name="Followed Hyperlink 3" xfId="28765" hidden="1" xr:uid="{00000000-0005-0000-0000-000033500000}"/>
    <cellStyle name="Followed Hyperlink 3" xfId="28775" hidden="1" xr:uid="{00000000-0005-0000-0000-000034500000}"/>
    <cellStyle name="Followed Hyperlink 3" xfId="28777" hidden="1" xr:uid="{00000000-0005-0000-0000-000035500000}"/>
    <cellStyle name="Followed Hyperlink 3" xfId="28773" hidden="1" xr:uid="{00000000-0005-0000-0000-000036500000}"/>
    <cellStyle name="Followed Hyperlink 3" xfId="28772" hidden="1" xr:uid="{00000000-0005-0000-0000-000037500000}"/>
    <cellStyle name="Followed Hyperlink 3" xfId="28778" hidden="1" xr:uid="{00000000-0005-0000-0000-000038500000}"/>
    <cellStyle name="Followed Hyperlink 3" xfId="28781" hidden="1" xr:uid="{00000000-0005-0000-0000-000039500000}"/>
    <cellStyle name="Followed Hyperlink 3" xfId="28784" hidden="1" xr:uid="{00000000-0005-0000-0000-00003A500000}"/>
    <cellStyle name="Followed Hyperlink 3" xfId="28789" hidden="1" xr:uid="{00000000-0005-0000-0000-00003B500000}"/>
    <cellStyle name="Followed Hyperlink 3" xfId="28828" hidden="1" xr:uid="{00000000-0005-0000-0000-00003C500000}"/>
    <cellStyle name="Followed Hyperlink 3" xfId="28830" hidden="1" xr:uid="{00000000-0005-0000-0000-00003D500000}"/>
    <cellStyle name="Followed Hyperlink 3" xfId="28826" hidden="1" xr:uid="{00000000-0005-0000-0000-00003E500000}"/>
    <cellStyle name="Followed Hyperlink 3" xfId="28825" hidden="1" xr:uid="{00000000-0005-0000-0000-00003F500000}"/>
    <cellStyle name="Followed Hyperlink 3" xfId="28831" hidden="1" xr:uid="{00000000-0005-0000-0000-000040500000}"/>
    <cellStyle name="Followed Hyperlink 3" xfId="28834" hidden="1" xr:uid="{00000000-0005-0000-0000-000041500000}"/>
    <cellStyle name="Followed Hyperlink 3" xfId="28837" hidden="1" xr:uid="{00000000-0005-0000-0000-000042500000}"/>
    <cellStyle name="Followed Hyperlink 3" xfId="28842" hidden="1" xr:uid="{00000000-0005-0000-0000-000043500000}"/>
    <cellStyle name="Followed Hyperlink 3" xfId="28852" hidden="1" xr:uid="{00000000-0005-0000-0000-000044500000}"/>
    <cellStyle name="Followed Hyperlink 3" xfId="28854" hidden="1" xr:uid="{00000000-0005-0000-0000-000045500000}"/>
    <cellStyle name="Followed Hyperlink 3" xfId="28850" hidden="1" xr:uid="{00000000-0005-0000-0000-000046500000}"/>
    <cellStyle name="Followed Hyperlink 3" xfId="28849" hidden="1" xr:uid="{00000000-0005-0000-0000-000047500000}"/>
    <cellStyle name="Followed Hyperlink 3" xfId="28855" hidden="1" xr:uid="{00000000-0005-0000-0000-000048500000}"/>
    <cellStyle name="Followed Hyperlink 3" xfId="28858" hidden="1" xr:uid="{00000000-0005-0000-0000-000049500000}"/>
    <cellStyle name="Followed Hyperlink 3" xfId="28861" hidden="1" xr:uid="{00000000-0005-0000-0000-00004A500000}"/>
    <cellStyle name="Followed Hyperlink 3" xfId="28866" hidden="1" xr:uid="{00000000-0005-0000-0000-00004B500000}"/>
    <cellStyle name="Followed Hyperlink 3" xfId="28878" hidden="1" xr:uid="{00000000-0005-0000-0000-00004C500000}"/>
    <cellStyle name="Followed Hyperlink 3" xfId="28880" hidden="1" xr:uid="{00000000-0005-0000-0000-00004D500000}"/>
    <cellStyle name="Followed Hyperlink 3" xfId="28876" hidden="1" xr:uid="{00000000-0005-0000-0000-00004E500000}"/>
    <cellStyle name="Followed Hyperlink 3" xfId="28875" hidden="1" xr:uid="{00000000-0005-0000-0000-00004F500000}"/>
    <cellStyle name="Followed Hyperlink 3" xfId="28881" hidden="1" xr:uid="{00000000-0005-0000-0000-000050500000}"/>
    <cellStyle name="Followed Hyperlink 3" xfId="28884" hidden="1" xr:uid="{00000000-0005-0000-0000-000051500000}"/>
    <cellStyle name="Followed Hyperlink 3" xfId="28887" hidden="1" xr:uid="{00000000-0005-0000-0000-000052500000}"/>
    <cellStyle name="Followed Hyperlink 3" xfId="28892" hidden="1" xr:uid="{00000000-0005-0000-0000-000053500000}"/>
    <cellStyle name="Followed Hyperlink 3" xfId="28902" hidden="1" xr:uid="{00000000-0005-0000-0000-000054500000}"/>
    <cellStyle name="Followed Hyperlink 3" xfId="28904" hidden="1" xr:uid="{00000000-0005-0000-0000-000055500000}"/>
    <cellStyle name="Followed Hyperlink 3" xfId="28900" hidden="1" xr:uid="{00000000-0005-0000-0000-000056500000}"/>
    <cellStyle name="Followed Hyperlink 3" xfId="28899" hidden="1" xr:uid="{00000000-0005-0000-0000-000057500000}"/>
    <cellStyle name="Followed Hyperlink 3" xfId="28905" hidden="1" xr:uid="{00000000-0005-0000-0000-000058500000}"/>
    <cellStyle name="Followed Hyperlink 3" xfId="28908" hidden="1" xr:uid="{00000000-0005-0000-0000-000059500000}"/>
    <cellStyle name="Followed Hyperlink 3" xfId="28911" hidden="1" xr:uid="{00000000-0005-0000-0000-00005A500000}"/>
    <cellStyle name="Followed Hyperlink 3" xfId="28916" hidden="1" xr:uid="{00000000-0005-0000-0000-00005B500000}"/>
    <cellStyle name="Followed Hyperlink 3" xfId="28792" hidden="1" xr:uid="{00000000-0005-0000-0000-00005C500000}"/>
    <cellStyle name="Followed Hyperlink 3" xfId="28869" hidden="1" xr:uid="{00000000-0005-0000-0000-00005D500000}"/>
    <cellStyle name="Followed Hyperlink 3" xfId="28796" hidden="1" xr:uid="{00000000-0005-0000-0000-00005E500000}"/>
    <cellStyle name="Followed Hyperlink 3" xfId="28797" hidden="1" xr:uid="{00000000-0005-0000-0000-00005F500000}"/>
    <cellStyle name="Followed Hyperlink 3" xfId="28800" hidden="1" xr:uid="{00000000-0005-0000-0000-000060500000}"/>
    <cellStyle name="Followed Hyperlink 3" xfId="28921" hidden="1" xr:uid="{00000000-0005-0000-0000-000061500000}"/>
    <cellStyle name="Followed Hyperlink 3" xfId="28924" hidden="1" xr:uid="{00000000-0005-0000-0000-000062500000}"/>
    <cellStyle name="Followed Hyperlink 3" xfId="28929" hidden="1" xr:uid="{00000000-0005-0000-0000-000063500000}"/>
    <cellStyle name="Followed Hyperlink 3" xfId="28939" hidden="1" xr:uid="{00000000-0005-0000-0000-000064500000}"/>
    <cellStyle name="Followed Hyperlink 3" xfId="28941" hidden="1" xr:uid="{00000000-0005-0000-0000-000065500000}"/>
    <cellStyle name="Followed Hyperlink 3" xfId="28937" hidden="1" xr:uid="{00000000-0005-0000-0000-000066500000}"/>
    <cellStyle name="Followed Hyperlink 3" xfId="28936" hidden="1" xr:uid="{00000000-0005-0000-0000-000067500000}"/>
    <cellStyle name="Followed Hyperlink 3" xfId="28942" hidden="1" xr:uid="{00000000-0005-0000-0000-000068500000}"/>
    <cellStyle name="Followed Hyperlink 3" xfId="28945" hidden="1" xr:uid="{00000000-0005-0000-0000-000069500000}"/>
    <cellStyle name="Followed Hyperlink 3" xfId="28948" hidden="1" xr:uid="{00000000-0005-0000-0000-00006A500000}"/>
    <cellStyle name="Followed Hyperlink 3" xfId="28953" hidden="1" xr:uid="{00000000-0005-0000-0000-00006B500000}"/>
    <cellStyle name="Followed Hyperlink 3" xfId="28964" hidden="1" xr:uid="{00000000-0005-0000-0000-00006C500000}"/>
    <cellStyle name="Followed Hyperlink 3" xfId="28966" hidden="1" xr:uid="{00000000-0005-0000-0000-00006D500000}"/>
    <cellStyle name="Followed Hyperlink 3" xfId="28962" hidden="1" xr:uid="{00000000-0005-0000-0000-00006E500000}"/>
    <cellStyle name="Followed Hyperlink 3" xfId="28961" hidden="1" xr:uid="{00000000-0005-0000-0000-00006F500000}"/>
    <cellStyle name="Followed Hyperlink 3" xfId="28967" hidden="1" xr:uid="{00000000-0005-0000-0000-000070500000}"/>
    <cellStyle name="Followed Hyperlink 3" xfId="28970" hidden="1" xr:uid="{00000000-0005-0000-0000-000071500000}"/>
    <cellStyle name="Followed Hyperlink 3" xfId="28973" hidden="1" xr:uid="{00000000-0005-0000-0000-000072500000}"/>
    <cellStyle name="Followed Hyperlink 3" xfId="28978" hidden="1" xr:uid="{00000000-0005-0000-0000-000073500000}"/>
    <cellStyle name="Followed Hyperlink 3" xfId="28988" hidden="1" xr:uid="{00000000-0005-0000-0000-000074500000}"/>
    <cellStyle name="Followed Hyperlink 3" xfId="28990" hidden="1" xr:uid="{00000000-0005-0000-0000-000075500000}"/>
    <cellStyle name="Followed Hyperlink 3" xfId="28986" hidden="1" xr:uid="{00000000-0005-0000-0000-000076500000}"/>
    <cellStyle name="Followed Hyperlink 3" xfId="28985" hidden="1" xr:uid="{00000000-0005-0000-0000-000077500000}"/>
    <cellStyle name="Followed Hyperlink 3" xfId="28991" hidden="1" xr:uid="{00000000-0005-0000-0000-000078500000}"/>
    <cellStyle name="Followed Hyperlink 3" xfId="28994" hidden="1" xr:uid="{00000000-0005-0000-0000-000079500000}"/>
    <cellStyle name="Followed Hyperlink 3" xfId="28997" hidden="1" xr:uid="{00000000-0005-0000-0000-00007A500000}"/>
    <cellStyle name="Followed Hyperlink 3" xfId="29002" hidden="1" xr:uid="{00000000-0005-0000-0000-00007B500000}"/>
    <cellStyle name="Followed Hyperlink 3" xfId="28813" hidden="1" xr:uid="{00000000-0005-0000-0000-00007C500000}"/>
    <cellStyle name="Followed Hyperlink 3" xfId="28956" hidden="1" xr:uid="{00000000-0005-0000-0000-00007D500000}"/>
    <cellStyle name="Followed Hyperlink 3" xfId="28810" hidden="1" xr:uid="{00000000-0005-0000-0000-00007E500000}"/>
    <cellStyle name="Followed Hyperlink 3" xfId="28802" hidden="1" xr:uid="{00000000-0005-0000-0000-00007F500000}"/>
    <cellStyle name="Followed Hyperlink 3" xfId="28807" hidden="1" xr:uid="{00000000-0005-0000-0000-000080500000}"/>
    <cellStyle name="Followed Hyperlink 3" xfId="29007" hidden="1" xr:uid="{00000000-0005-0000-0000-000081500000}"/>
    <cellStyle name="Followed Hyperlink 3" xfId="29010" hidden="1" xr:uid="{00000000-0005-0000-0000-000082500000}"/>
    <cellStyle name="Followed Hyperlink 3" xfId="29015" hidden="1" xr:uid="{00000000-0005-0000-0000-000083500000}"/>
    <cellStyle name="Followed Hyperlink 3" xfId="29025" hidden="1" xr:uid="{00000000-0005-0000-0000-000084500000}"/>
    <cellStyle name="Followed Hyperlink 3" xfId="29027" hidden="1" xr:uid="{00000000-0005-0000-0000-000085500000}"/>
    <cellStyle name="Followed Hyperlink 3" xfId="29023" hidden="1" xr:uid="{00000000-0005-0000-0000-000086500000}"/>
    <cellStyle name="Followed Hyperlink 3" xfId="29022" hidden="1" xr:uid="{00000000-0005-0000-0000-000087500000}"/>
    <cellStyle name="Followed Hyperlink 3" xfId="29028" hidden="1" xr:uid="{00000000-0005-0000-0000-000088500000}"/>
    <cellStyle name="Followed Hyperlink 3" xfId="29031" hidden="1" xr:uid="{00000000-0005-0000-0000-000089500000}"/>
    <cellStyle name="Followed Hyperlink 3" xfId="29034" hidden="1" xr:uid="{00000000-0005-0000-0000-00008A500000}"/>
    <cellStyle name="Followed Hyperlink 3" xfId="29039" hidden="1" xr:uid="{00000000-0005-0000-0000-00008B500000}"/>
    <cellStyle name="Followed Hyperlink 3" xfId="29050" hidden="1" xr:uid="{00000000-0005-0000-0000-00008C500000}"/>
    <cellStyle name="Followed Hyperlink 3" xfId="29052" hidden="1" xr:uid="{00000000-0005-0000-0000-00008D500000}"/>
    <cellStyle name="Followed Hyperlink 3" xfId="29048" hidden="1" xr:uid="{00000000-0005-0000-0000-00008E500000}"/>
    <cellStyle name="Followed Hyperlink 3" xfId="29047" hidden="1" xr:uid="{00000000-0005-0000-0000-00008F500000}"/>
    <cellStyle name="Followed Hyperlink 3" xfId="29053" hidden="1" xr:uid="{00000000-0005-0000-0000-000090500000}"/>
    <cellStyle name="Followed Hyperlink 3" xfId="29056" hidden="1" xr:uid="{00000000-0005-0000-0000-000091500000}"/>
    <cellStyle name="Followed Hyperlink 3" xfId="29059" hidden="1" xr:uid="{00000000-0005-0000-0000-000092500000}"/>
    <cellStyle name="Followed Hyperlink 3" xfId="29064" hidden="1" xr:uid="{00000000-0005-0000-0000-000093500000}"/>
    <cellStyle name="Followed Hyperlink 3" xfId="29074" hidden="1" xr:uid="{00000000-0005-0000-0000-000094500000}"/>
    <cellStyle name="Followed Hyperlink 3" xfId="29076" hidden="1" xr:uid="{00000000-0005-0000-0000-000095500000}"/>
    <cellStyle name="Followed Hyperlink 3" xfId="29072" hidden="1" xr:uid="{00000000-0005-0000-0000-000096500000}"/>
    <cellStyle name="Followed Hyperlink 3" xfId="29071" hidden="1" xr:uid="{00000000-0005-0000-0000-000097500000}"/>
    <cellStyle name="Followed Hyperlink 3" xfId="29077" hidden="1" xr:uid="{00000000-0005-0000-0000-000098500000}"/>
    <cellStyle name="Followed Hyperlink 3" xfId="29080" hidden="1" xr:uid="{00000000-0005-0000-0000-000099500000}"/>
    <cellStyle name="Followed Hyperlink 3" xfId="29083" hidden="1" xr:uid="{00000000-0005-0000-0000-00009A500000}"/>
    <cellStyle name="Followed Hyperlink 3" xfId="29088" hidden="1" xr:uid="{00000000-0005-0000-0000-00009B500000}"/>
    <cellStyle name="Followed Hyperlink 3" xfId="28818" hidden="1" xr:uid="{00000000-0005-0000-0000-00009C500000}"/>
    <cellStyle name="Followed Hyperlink 3" xfId="29042" hidden="1" xr:uid="{00000000-0005-0000-0000-00009D500000}"/>
    <cellStyle name="Followed Hyperlink 3" xfId="28814" hidden="1" xr:uid="{00000000-0005-0000-0000-00009E500000}"/>
    <cellStyle name="Followed Hyperlink 3" xfId="28819" hidden="1" xr:uid="{00000000-0005-0000-0000-00009F500000}"/>
    <cellStyle name="Followed Hyperlink 3" xfId="28806" hidden="1" xr:uid="{00000000-0005-0000-0000-0000A0500000}"/>
    <cellStyle name="Followed Hyperlink 3" xfId="29093" hidden="1" xr:uid="{00000000-0005-0000-0000-0000A1500000}"/>
    <cellStyle name="Followed Hyperlink 3" xfId="29096" hidden="1" xr:uid="{00000000-0005-0000-0000-0000A2500000}"/>
    <cellStyle name="Followed Hyperlink 3" xfId="29101" hidden="1" xr:uid="{00000000-0005-0000-0000-0000A3500000}"/>
    <cellStyle name="Followed Hyperlink 3" xfId="29111" hidden="1" xr:uid="{00000000-0005-0000-0000-0000A4500000}"/>
    <cellStyle name="Followed Hyperlink 3" xfId="29113" hidden="1" xr:uid="{00000000-0005-0000-0000-0000A5500000}"/>
    <cellStyle name="Followed Hyperlink 3" xfId="29109" hidden="1" xr:uid="{00000000-0005-0000-0000-0000A6500000}"/>
    <cellStyle name="Followed Hyperlink 3" xfId="29108" hidden="1" xr:uid="{00000000-0005-0000-0000-0000A7500000}"/>
    <cellStyle name="Followed Hyperlink 3" xfId="29114" hidden="1" xr:uid="{00000000-0005-0000-0000-0000A8500000}"/>
    <cellStyle name="Followed Hyperlink 3" xfId="29117" hidden="1" xr:uid="{00000000-0005-0000-0000-0000A9500000}"/>
    <cellStyle name="Followed Hyperlink 3" xfId="29120" hidden="1" xr:uid="{00000000-0005-0000-0000-0000AA500000}"/>
    <cellStyle name="Followed Hyperlink 3" xfId="29125" hidden="1" xr:uid="{00000000-0005-0000-0000-0000AB500000}"/>
    <cellStyle name="Followed Hyperlink 3" xfId="29135" hidden="1" xr:uid="{00000000-0005-0000-0000-0000AC500000}"/>
    <cellStyle name="Followed Hyperlink 3" xfId="29137" hidden="1" xr:uid="{00000000-0005-0000-0000-0000AD500000}"/>
    <cellStyle name="Followed Hyperlink 3" xfId="29133" hidden="1" xr:uid="{00000000-0005-0000-0000-0000AE500000}"/>
    <cellStyle name="Followed Hyperlink 3" xfId="29132" hidden="1" xr:uid="{00000000-0005-0000-0000-0000AF500000}"/>
    <cellStyle name="Followed Hyperlink 3" xfId="29138" hidden="1" xr:uid="{00000000-0005-0000-0000-0000B0500000}"/>
    <cellStyle name="Followed Hyperlink 3" xfId="29141" hidden="1" xr:uid="{00000000-0005-0000-0000-0000B1500000}"/>
    <cellStyle name="Followed Hyperlink 3" xfId="29144" hidden="1" xr:uid="{00000000-0005-0000-0000-0000B2500000}"/>
    <cellStyle name="Followed Hyperlink 3" xfId="29149" hidden="1" xr:uid="{00000000-0005-0000-0000-0000B3500000}"/>
    <cellStyle name="Followed Hyperlink 3" xfId="29159" hidden="1" xr:uid="{00000000-0005-0000-0000-0000B4500000}"/>
    <cellStyle name="Followed Hyperlink 3" xfId="29161" hidden="1" xr:uid="{00000000-0005-0000-0000-0000B5500000}"/>
    <cellStyle name="Followed Hyperlink 3" xfId="29157" hidden="1" xr:uid="{00000000-0005-0000-0000-0000B6500000}"/>
    <cellStyle name="Followed Hyperlink 3" xfId="29156" hidden="1" xr:uid="{00000000-0005-0000-0000-0000B7500000}"/>
    <cellStyle name="Followed Hyperlink 3" xfId="29162" hidden="1" xr:uid="{00000000-0005-0000-0000-0000B8500000}"/>
    <cellStyle name="Followed Hyperlink 3" xfId="29165" hidden="1" xr:uid="{00000000-0005-0000-0000-0000B9500000}"/>
    <cellStyle name="Followed Hyperlink 3" xfId="29168" hidden="1" xr:uid="{00000000-0005-0000-0000-0000BA500000}"/>
    <cellStyle name="Followed Hyperlink 3" xfId="29173" hidden="1" xr:uid="{00000000-0005-0000-0000-0000BB500000}"/>
    <cellStyle name="Followed Hyperlink 3" xfId="25144" hidden="1" xr:uid="{00000000-0005-0000-0000-0000BC500000}"/>
    <cellStyle name="Followed Hyperlink 3" xfId="27207" hidden="1" xr:uid="{00000000-0005-0000-0000-0000BD500000}"/>
    <cellStyle name="Followed Hyperlink 3" xfId="25141" hidden="1" xr:uid="{00000000-0005-0000-0000-0000BE500000}"/>
    <cellStyle name="Followed Hyperlink 3" xfId="25133" hidden="1" xr:uid="{00000000-0005-0000-0000-0000BF500000}"/>
    <cellStyle name="Followed Hyperlink 3" xfId="25138" hidden="1" xr:uid="{00000000-0005-0000-0000-0000C0500000}"/>
    <cellStyle name="Followed Hyperlink 3" xfId="29178" hidden="1" xr:uid="{00000000-0005-0000-0000-0000C1500000}"/>
    <cellStyle name="Followed Hyperlink 3" xfId="29181" hidden="1" xr:uid="{00000000-0005-0000-0000-0000C2500000}"/>
    <cellStyle name="Followed Hyperlink 3" xfId="29186" hidden="1" xr:uid="{00000000-0005-0000-0000-0000C3500000}"/>
    <cellStyle name="Followed Hyperlink 3" xfId="29196" hidden="1" xr:uid="{00000000-0005-0000-0000-0000C4500000}"/>
    <cellStyle name="Followed Hyperlink 3" xfId="29198" hidden="1" xr:uid="{00000000-0005-0000-0000-0000C5500000}"/>
    <cellStyle name="Followed Hyperlink 3" xfId="29194" hidden="1" xr:uid="{00000000-0005-0000-0000-0000C6500000}"/>
    <cellStyle name="Followed Hyperlink 3" xfId="29193" hidden="1" xr:uid="{00000000-0005-0000-0000-0000C7500000}"/>
    <cellStyle name="Followed Hyperlink 3" xfId="29199" hidden="1" xr:uid="{00000000-0005-0000-0000-0000C8500000}"/>
    <cellStyle name="Followed Hyperlink 3" xfId="29202" hidden="1" xr:uid="{00000000-0005-0000-0000-0000C9500000}"/>
    <cellStyle name="Followed Hyperlink 3" xfId="29205" hidden="1" xr:uid="{00000000-0005-0000-0000-0000CA500000}"/>
    <cellStyle name="Followed Hyperlink 3" xfId="29210" hidden="1" xr:uid="{00000000-0005-0000-0000-0000CB500000}"/>
    <cellStyle name="Followed Hyperlink 3" xfId="29221" hidden="1" xr:uid="{00000000-0005-0000-0000-0000CC500000}"/>
    <cellStyle name="Followed Hyperlink 3" xfId="29223" hidden="1" xr:uid="{00000000-0005-0000-0000-0000CD500000}"/>
    <cellStyle name="Followed Hyperlink 3" xfId="29219" hidden="1" xr:uid="{00000000-0005-0000-0000-0000CE500000}"/>
    <cellStyle name="Followed Hyperlink 3" xfId="29218" hidden="1" xr:uid="{00000000-0005-0000-0000-0000CF500000}"/>
    <cellStyle name="Followed Hyperlink 3" xfId="29224" hidden="1" xr:uid="{00000000-0005-0000-0000-0000D0500000}"/>
    <cellStyle name="Followed Hyperlink 3" xfId="29227" hidden="1" xr:uid="{00000000-0005-0000-0000-0000D1500000}"/>
    <cellStyle name="Followed Hyperlink 3" xfId="29230" hidden="1" xr:uid="{00000000-0005-0000-0000-0000D2500000}"/>
    <cellStyle name="Followed Hyperlink 3" xfId="29235" hidden="1" xr:uid="{00000000-0005-0000-0000-0000D3500000}"/>
    <cellStyle name="Followed Hyperlink 3" xfId="29245" hidden="1" xr:uid="{00000000-0005-0000-0000-0000D4500000}"/>
    <cellStyle name="Followed Hyperlink 3" xfId="29247" hidden="1" xr:uid="{00000000-0005-0000-0000-0000D5500000}"/>
    <cellStyle name="Followed Hyperlink 3" xfId="29243" hidden="1" xr:uid="{00000000-0005-0000-0000-0000D6500000}"/>
    <cellStyle name="Followed Hyperlink 3" xfId="29242" hidden="1" xr:uid="{00000000-0005-0000-0000-0000D7500000}"/>
    <cellStyle name="Followed Hyperlink 3" xfId="29248" hidden="1" xr:uid="{00000000-0005-0000-0000-0000D8500000}"/>
    <cellStyle name="Followed Hyperlink 3" xfId="29251" hidden="1" xr:uid="{00000000-0005-0000-0000-0000D9500000}"/>
    <cellStyle name="Followed Hyperlink 3" xfId="29254" hidden="1" xr:uid="{00000000-0005-0000-0000-0000DA500000}"/>
    <cellStyle name="Followed Hyperlink 3" xfId="29259" hidden="1" xr:uid="{00000000-0005-0000-0000-0000DB500000}"/>
    <cellStyle name="Followed Hyperlink 3" xfId="29298" hidden="1" xr:uid="{00000000-0005-0000-0000-0000DC500000}"/>
    <cellStyle name="Followed Hyperlink 3" xfId="29300" hidden="1" xr:uid="{00000000-0005-0000-0000-0000DD500000}"/>
    <cellStyle name="Followed Hyperlink 3" xfId="29296" hidden="1" xr:uid="{00000000-0005-0000-0000-0000DE500000}"/>
    <cellStyle name="Followed Hyperlink 3" xfId="29295" hidden="1" xr:uid="{00000000-0005-0000-0000-0000DF500000}"/>
    <cellStyle name="Followed Hyperlink 3" xfId="29301" hidden="1" xr:uid="{00000000-0005-0000-0000-0000E0500000}"/>
    <cellStyle name="Followed Hyperlink 3" xfId="29304" hidden="1" xr:uid="{00000000-0005-0000-0000-0000E1500000}"/>
    <cellStyle name="Followed Hyperlink 3" xfId="29307" hidden="1" xr:uid="{00000000-0005-0000-0000-0000E2500000}"/>
    <cellStyle name="Followed Hyperlink 3" xfId="29312" hidden="1" xr:uid="{00000000-0005-0000-0000-0000E3500000}"/>
    <cellStyle name="Followed Hyperlink 3" xfId="29322" hidden="1" xr:uid="{00000000-0005-0000-0000-0000E4500000}"/>
    <cellStyle name="Followed Hyperlink 3" xfId="29324" hidden="1" xr:uid="{00000000-0005-0000-0000-0000E5500000}"/>
    <cellStyle name="Followed Hyperlink 3" xfId="29320" hidden="1" xr:uid="{00000000-0005-0000-0000-0000E6500000}"/>
    <cellStyle name="Followed Hyperlink 3" xfId="29319" hidden="1" xr:uid="{00000000-0005-0000-0000-0000E7500000}"/>
    <cellStyle name="Followed Hyperlink 3" xfId="29325" hidden="1" xr:uid="{00000000-0005-0000-0000-0000E8500000}"/>
    <cellStyle name="Followed Hyperlink 3" xfId="29328" hidden="1" xr:uid="{00000000-0005-0000-0000-0000E9500000}"/>
    <cellStyle name="Followed Hyperlink 3" xfId="29331" hidden="1" xr:uid="{00000000-0005-0000-0000-0000EA500000}"/>
    <cellStyle name="Followed Hyperlink 3" xfId="29336" hidden="1" xr:uid="{00000000-0005-0000-0000-0000EB500000}"/>
    <cellStyle name="Followed Hyperlink 3" xfId="29348" hidden="1" xr:uid="{00000000-0005-0000-0000-0000EC500000}"/>
    <cellStyle name="Followed Hyperlink 3" xfId="29350" hidden="1" xr:uid="{00000000-0005-0000-0000-0000ED500000}"/>
    <cellStyle name="Followed Hyperlink 3" xfId="29346" hidden="1" xr:uid="{00000000-0005-0000-0000-0000EE500000}"/>
    <cellStyle name="Followed Hyperlink 3" xfId="29345" hidden="1" xr:uid="{00000000-0005-0000-0000-0000EF500000}"/>
    <cellStyle name="Followed Hyperlink 3" xfId="29351" hidden="1" xr:uid="{00000000-0005-0000-0000-0000F0500000}"/>
    <cellStyle name="Followed Hyperlink 3" xfId="29354" hidden="1" xr:uid="{00000000-0005-0000-0000-0000F1500000}"/>
    <cellStyle name="Followed Hyperlink 3" xfId="29357" hidden="1" xr:uid="{00000000-0005-0000-0000-0000F2500000}"/>
    <cellStyle name="Followed Hyperlink 3" xfId="29362" hidden="1" xr:uid="{00000000-0005-0000-0000-0000F3500000}"/>
    <cellStyle name="Followed Hyperlink 3" xfId="29372" hidden="1" xr:uid="{00000000-0005-0000-0000-0000F4500000}"/>
    <cellStyle name="Followed Hyperlink 3" xfId="29374" hidden="1" xr:uid="{00000000-0005-0000-0000-0000F5500000}"/>
    <cellStyle name="Followed Hyperlink 3" xfId="29370" hidden="1" xr:uid="{00000000-0005-0000-0000-0000F6500000}"/>
    <cellStyle name="Followed Hyperlink 3" xfId="29369" hidden="1" xr:uid="{00000000-0005-0000-0000-0000F7500000}"/>
    <cellStyle name="Followed Hyperlink 3" xfId="29375" hidden="1" xr:uid="{00000000-0005-0000-0000-0000F8500000}"/>
    <cellStyle name="Followed Hyperlink 3" xfId="29378" hidden="1" xr:uid="{00000000-0005-0000-0000-0000F9500000}"/>
    <cellStyle name="Followed Hyperlink 3" xfId="29381" hidden="1" xr:uid="{00000000-0005-0000-0000-0000FA500000}"/>
    <cellStyle name="Followed Hyperlink 3" xfId="29386" hidden="1" xr:uid="{00000000-0005-0000-0000-0000FB500000}"/>
    <cellStyle name="Followed Hyperlink 3" xfId="29425" hidden="1" xr:uid="{00000000-0005-0000-0000-0000FC500000}"/>
    <cellStyle name="Followed Hyperlink 3" xfId="29427" hidden="1" xr:uid="{00000000-0005-0000-0000-0000FD500000}"/>
    <cellStyle name="Followed Hyperlink 3" xfId="29423" hidden="1" xr:uid="{00000000-0005-0000-0000-0000FE500000}"/>
    <cellStyle name="Followed Hyperlink 3" xfId="29422" hidden="1" xr:uid="{00000000-0005-0000-0000-0000FF500000}"/>
    <cellStyle name="Followed Hyperlink 3" xfId="29428" hidden="1" xr:uid="{00000000-0005-0000-0000-000000510000}"/>
    <cellStyle name="Followed Hyperlink 3" xfId="29431" hidden="1" xr:uid="{00000000-0005-0000-0000-000001510000}"/>
    <cellStyle name="Followed Hyperlink 3" xfId="29434" hidden="1" xr:uid="{00000000-0005-0000-0000-000002510000}"/>
    <cellStyle name="Followed Hyperlink 3" xfId="29439" hidden="1" xr:uid="{00000000-0005-0000-0000-000003510000}"/>
    <cellStyle name="Followed Hyperlink 3" xfId="29449" hidden="1" xr:uid="{00000000-0005-0000-0000-000004510000}"/>
    <cellStyle name="Followed Hyperlink 3" xfId="29451" hidden="1" xr:uid="{00000000-0005-0000-0000-000005510000}"/>
    <cellStyle name="Followed Hyperlink 3" xfId="29447" hidden="1" xr:uid="{00000000-0005-0000-0000-000006510000}"/>
    <cellStyle name="Followed Hyperlink 3" xfId="29446" hidden="1" xr:uid="{00000000-0005-0000-0000-000007510000}"/>
    <cellStyle name="Followed Hyperlink 3" xfId="29452" hidden="1" xr:uid="{00000000-0005-0000-0000-000008510000}"/>
    <cellStyle name="Followed Hyperlink 3" xfId="29455" hidden="1" xr:uid="{00000000-0005-0000-0000-000009510000}"/>
    <cellStyle name="Followed Hyperlink 3" xfId="29458" hidden="1" xr:uid="{00000000-0005-0000-0000-00000A510000}"/>
    <cellStyle name="Followed Hyperlink 3" xfId="29463" hidden="1" xr:uid="{00000000-0005-0000-0000-00000B510000}"/>
    <cellStyle name="Followed Hyperlink 3" xfId="29475" hidden="1" xr:uid="{00000000-0005-0000-0000-00000C510000}"/>
    <cellStyle name="Followed Hyperlink 3" xfId="29477" hidden="1" xr:uid="{00000000-0005-0000-0000-00000D510000}"/>
    <cellStyle name="Followed Hyperlink 3" xfId="29473" hidden="1" xr:uid="{00000000-0005-0000-0000-00000E510000}"/>
    <cellStyle name="Followed Hyperlink 3" xfId="29472" hidden="1" xr:uid="{00000000-0005-0000-0000-00000F510000}"/>
    <cellStyle name="Followed Hyperlink 3" xfId="29478" hidden="1" xr:uid="{00000000-0005-0000-0000-000010510000}"/>
    <cellStyle name="Followed Hyperlink 3" xfId="29481" hidden="1" xr:uid="{00000000-0005-0000-0000-000011510000}"/>
    <cellStyle name="Followed Hyperlink 3" xfId="29484" hidden="1" xr:uid="{00000000-0005-0000-0000-000012510000}"/>
    <cellStyle name="Followed Hyperlink 3" xfId="29489" hidden="1" xr:uid="{00000000-0005-0000-0000-000013510000}"/>
    <cellStyle name="Followed Hyperlink 3" xfId="29499" hidden="1" xr:uid="{00000000-0005-0000-0000-000014510000}"/>
    <cellStyle name="Followed Hyperlink 3" xfId="29501" hidden="1" xr:uid="{00000000-0005-0000-0000-000015510000}"/>
    <cellStyle name="Followed Hyperlink 3" xfId="29497" hidden="1" xr:uid="{00000000-0005-0000-0000-000016510000}"/>
    <cellStyle name="Followed Hyperlink 3" xfId="29496" hidden="1" xr:uid="{00000000-0005-0000-0000-000017510000}"/>
    <cellStyle name="Followed Hyperlink 3" xfId="29502" hidden="1" xr:uid="{00000000-0005-0000-0000-000018510000}"/>
    <cellStyle name="Followed Hyperlink 3" xfId="29505" hidden="1" xr:uid="{00000000-0005-0000-0000-000019510000}"/>
    <cellStyle name="Followed Hyperlink 3" xfId="29508" hidden="1" xr:uid="{00000000-0005-0000-0000-00001A510000}"/>
    <cellStyle name="Followed Hyperlink 3" xfId="29513" hidden="1" xr:uid="{00000000-0005-0000-0000-00001B510000}"/>
    <cellStyle name="Followed Hyperlink 3" xfId="29389" hidden="1" xr:uid="{00000000-0005-0000-0000-00001C510000}"/>
    <cellStyle name="Followed Hyperlink 3" xfId="29466" hidden="1" xr:uid="{00000000-0005-0000-0000-00001D510000}"/>
    <cellStyle name="Followed Hyperlink 3" xfId="29393" hidden="1" xr:uid="{00000000-0005-0000-0000-00001E510000}"/>
    <cellStyle name="Followed Hyperlink 3" xfId="29394" hidden="1" xr:uid="{00000000-0005-0000-0000-00001F510000}"/>
    <cellStyle name="Followed Hyperlink 3" xfId="29397" hidden="1" xr:uid="{00000000-0005-0000-0000-000020510000}"/>
    <cellStyle name="Followed Hyperlink 3" xfId="29518" hidden="1" xr:uid="{00000000-0005-0000-0000-000021510000}"/>
    <cellStyle name="Followed Hyperlink 3" xfId="29521" hidden="1" xr:uid="{00000000-0005-0000-0000-000022510000}"/>
    <cellStyle name="Followed Hyperlink 3" xfId="29526" hidden="1" xr:uid="{00000000-0005-0000-0000-000023510000}"/>
    <cellStyle name="Followed Hyperlink 3" xfId="29536" hidden="1" xr:uid="{00000000-0005-0000-0000-000024510000}"/>
    <cellStyle name="Followed Hyperlink 3" xfId="29538" hidden="1" xr:uid="{00000000-0005-0000-0000-000025510000}"/>
    <cellStyle name="Followed Hyperlink 3" xfId="29534" hidden="1" xr:uid="{00000000-0005-0000-0000-000026510000}"/>
    <cellStyle name="Followed Hyperlink 3" xfId="29533" hidden="1" xr:uid="{00000000-0005-0000-0000-000027510000}"/>
    <cellStyle name="Followed Hyperlink 3" xfId="29539" hidden="1" xr:uid="{00000000-0005-0000-0000-000028510000}"/>
    <cellStyle name="Followed Hyperlink 3" xfId="29542" hidden="1" xr:uid="{00000000-0005-0000-0000-000029510000}"/>
    <cellStyle name="Followed Hyperlink 3" xfId="29545" hidden="1" xr:uid="{00000000-0005-0000-0000-00002A510000}"/>
    <cellStyle name="Followed Hyperlink 3" xfId="29550" hidden="1" xr:uid="{00000000-0005-0000-0000-00002B510000}"/>
    <cellStyle name="Followed Hyperlink 3" xfId="29561" hidden="1" xr:uid="{00000000-0005-0000-0000-00002C510000}"/>
    <cellStyle name="Followed Hyperlink 3" xfId="29563" hidden="1" xr:uid="{00000000-0005-0000-0000-00002D510000}"/>
    <cellStyle name="Followed Hyperlink 3" xfId="29559" hidden="1" xr:uid="{00000000-0005-0000-0000-00002E510000}"/>
    <cellStyle name="Followed Hyperlink 3" xfId="29558" hidden="1" xr:uid="{00000000-0005-0000-0000-00002F510000}"/>
    <cellStyle name="Followed Hyperlink 3" xfId="29564" hidden="1" xr:uid="{00000000-0005-0000-0000-000030510000}"/>
    <cellStyle name="Followed Hyperlink 3" xfId="29567" hidden="1" xr:uid="{00000000-0005-0000-0000-000031510000}"/>
    <cellStyle name="Followed Hyperlink 3" xfId="29570" hidden="1" xr:uid="{00000000-0005-0000-0000-000032510000}"/>
    <cellStyle name="Followed Hyperlink 3" xfId="29575" hidden="1" xr:uid="{00000000-0005-0000-0000-000033510000}"/>
    <cellStyle name="Followed Hyperlink 3" xfId="29585" hidden="1" xr:uid="{00000000-0005-0000-0000-000034510000}"/>
    <cellStyle name="Followed Hyperlink 3" xfId="29587" hidden="1" xr:uid="{00000000-0005-0000-0000-000035510000}"/>
    <cellStyle name="Followed Hyperlink 3" xfId="29583" hidden="1" xr:uid="{00000000-0005-0000-0000-000036510000}"/>
    <cellStyle name="Followed Hyperlink 3" xfId="29582" hidden="1" xr:uid="{00000000-0005-0000-0000-000037510000}"/>
    <cellStyle name="Followed Hyperlink 3" xfId="29588" hidden="1" xr:uid="{00000000-0005-0000-0000-000038510000}"/>
    <cellStyle name="Followed Hyperlink 3" xfId="29591" hidden="1" xr:uid="{00000000-0005-0000-0000-000039510000}"/>
    <cellStyle name="Followed Hyperlink 3" xfId="29594" hidden="1" xr:uid="{00000000-0005-0000-0000-00003A510000}"/>
    <cellStyle name="Followed Hyperlink 3" xfId="29599" hidden="1" xr:uid="{00000000-0005-0000-0000-00003B510000}"/>
    <cellStyle name="Followed Hyperlink 3" xfId="29410" hidden="1" xr:uid="{00000000-0005-0000-0000-00003C510000}"/>
    <cellStyle name="Followed Hyperlink 3" xfId="29553" hidden="1" xr:uid="{00000000-0005-0000-0000-00003D510000}"/>
    <cellStyle name="Followed Hyperlink 3" xfId="29407" hidden="1" xr:uid="{00000000-0005-0000-0000-00003E510000}"/>
    <cellStyle name="Followed Hyperlink 3" xfId="29399" hidden="1" xr:uid="{00000000-0005-0000-0000-00003F510000}"/>
    <cellStyle name="Followed Hyperlink 3" xfId="29404" hidden="1" xr:uid="{00000000-0005-0000-0000-000040510000}"/>
    <cellStyle name="Followed Hyperlink 3" xfId="29604" hidden="1" xr:uid="{00000000-0005-0000-0000-000041510000}"/>
    <cellStyle name="Followed Hyperlink 3" xfId="29607" hidden="1" xr:uid="{00000000-0005-0000-0000-000042510000}"/>
    <cellStyle name="Followed Hyperlink 3" xfId="29612" hidden="1" xr:uid="{00000000-0005-0000-0000-000043510000}"/>
    <cellStyle name="Followed Hyperlink 3" xfId="29622" hidden="1" xr:uid="{00000000-0005-0000-0000-000044510000}"/>
    <cellStyle name="Followed Hyperlink 3" xfId="29624" hidden="1" xr:uid="{00000000-0005-0000-0000-000045510000}"/>
    <cellStyle name="Followed Hyperlink 3" xfId="29620" hidden="1" xr:uid="{00000000-0005-0000-0000-000046510000}"/>
    <cellStyle name="Followed Hyperlink 3" xfId="29619" hidden="1" xr:uid="{00000000-0005-0000-0000-000047510000}"/>
    <cellStyle name="Followed Hyperlink 3" xfId="29625" hidden="1" xr:uid="{00000000-0005-0000-0000-000048510000}"/>
    <cellStyle name="Followed Hyperlink 3" xfId="29628" hidden="1" xr:uid="{00000000-0005-0000-0000-000049510000}"/>
    <cellStyle name="Followed Hyperlink 3" xfId="29631" hidden="1" xr:uid="{00000000-0005-0000-0000-00004A510000}"/>
    <cellStyle name="Followed Hyperlink 3" xfId="29636" hidden="1" xr:uid="{00000000-0005-0000-0000-00004B510000}"/>
    <cellStyle name="Followed Hyperlink 3" xfId="29647" hidden="1" xr:uid="{00000000-0005-0000-0000-00004C510000}"/>
    <cellStyle name="Followed Hyperlink 3" xfId="29649" hidden="1" xr:uid="{00000000-0005-0000-0000-00004D510000}"/>
    <cellStyle name="Followed Hyperlink 3" xfId="29645" hidden="1" xr:uid="{00000000-0005-0000-0000-00004E510000}"/>
    <cellStyle name="Followed Hyperlink 3" xfId="29644" hidden="1" xr:uid="{00000000-0005-0000-0000-00004F510000}"/>
    <cellStyle name="Followed Hyperlink 3" xfId="29650" hidden="1" xr:uid="{00000000-0005-0000-0000-000050510000}"/>
    <cellStyle name="Followed Hyperlink 3" xfId="29653" hidden="1" xr:uid="{00000000-0005-0000-0000-000051510000}"/>
    <cellStyle name="Followed Hyperlink 3" xfId="29656" hidden="1" xr:uid="{00000000-0005-0000-0000-000052510000}"/>
    <cellStyle name="Followed Hyperlink 3" xfId="29661" hidden="1" xr:uid="{00000000-0005-0000-0000-000053510000}"/>
    <cellStyle name="Followed Hyperlink 3" xfId="29671" hidden="1" xr:uid="{00000000-0005-0000-0000-000054510000}"/>
    <cellStyle name="Followed Hyperlink 3" xfId="29673" hidden="1" xr:uid="{00000000-0005-0000-0000-000055510000}"/>
    <cellStyle name="Followed Hyperlink 3" xfId="29669" hidden="1" xr:uid="{00000000-0005-0000-0000-000056510000}"/>
    <cellStyle name="Followed Hyperlink 3" xfId="29668" hidden="1" xr:uid="{00000000-0005-0000-0000-000057510000}"/>
    <cellStyle name="Followed Hyperlink 3" xfId="29674" hidden="1" xr:uid="{00000000-0005-0000-0000-000058510000}"/>
    <cellStyle name="Followed Hyperlink 3" xfId="29677" hidden="1" xr:uid="{00000000-0005-0000-0000-000059510000}"/>
    <cellStyle name="Followed Hyperlink 3" xfId="29680" hidden="1" xr:uid="{00000000-0005-0000-0000-00005A510000}"/>
    <cellStyle name="Followed Hyperlink 3" xfId="29685" hidden="1" xr:uid="{00000000-0005-0000-0000-00005B510000}"/>
    <cellStyle name="Followed Hyperlink 3" xfId="29415" hidden="1" xr:uid="{00000000-0005-0000-0000-00005C510000}"/>
    <cellStyle name="Followed Hyperlink 3" xfId="29639" hidden="1" xr:uid="{00000000-0005-0000-0000-00005D510000}"/>
    <cellStyle name="Followed Hyperlink 3" xfId="29411" hidden="1" xr:uid="{00000000-0005-0000-0000-00005E510000}"/>
    <cellStyle name="Followed Hyperlink 3" xfId="29416" hidden="1" xr:uid="{00000000-0005-0000-0000-00005F510000}"/>
    <cellStyle name="Followed Hyperlink 3" xfId="29403" hidden="1" xr:uid="{00000000-0005-0000-0000-000060510000}"/>
    <cellStyle name="Followed Hyperlink 3" xfId="29690" hidden="1" xr:uid="{00000000-0005-0000-0000-000061510000}"/>
    <cellStyle name="Followed Hyperlink 3" xfId="29693" hidden="1" xr:uid="{00000000-0005-0000-0000-000062510000}"/>
    <cellStyle name="Followed Hyperlink 3" xfId="29698" hidden="1" xr:uid="{00000000-0005-0000-0000-000063510000}"/>
    <cellStyle name="Followed Hyperlink 3" xfId="29708" hidden="1" xr:uid="{00000000-0005-0000-0000-000064510000}"/>
    <cellStyle name="Followed Hyperlink 3" xfId="29710" hidden="1" xr:uid="{00000000-0005-0000-0000-000065510000}"/>
    <cellStyle name="Followed Hyperlink 3" xfId="29706" hidden="1" xr:uid="{00000000-0005-0000-0000-000066510000}"/>
    <cellStyle name="Followed Hyperlink 3" xfId="29705" hidden="1" xr:uid="{00000000-0005-0000-0000-000067510000}"/>
    <cellStyle name="Followed Hyperlink 3" xfId="29711" hidden="1" xr:uid="{00000000-0005-0000-0000-000068510000}"/>
    <cellStyle name="Followed Hyperlink 3" xfId="29714" hidden="1" xr:uid="{00000000-0005-0000-0000-000069510000}"/>
    <cellStyle name="Followed Hyperlink 3" xfId="29717" hidden="1" xr:uid="{00000000-0005-0000-0000-00006A510000}"/>
    <cellStyle name="Followed Hyperlink 3" xfId="29722" hidden="1" xr:uid="{00000000-0005-0000-0000-00006B510000}"/>
    <cellStyle name="Followed Hyperlink 3" xfId="29732" hidden="1" xr:uid="{00000000-0005-0000-0000-00006C510000}"/>
    <cellStyle name="Followed Hyperlink 3" xfId="29734" hidden="1" xr:uid="{00000000-0005-0000-0000-00006D510000}"/>
    <cellStyle name="Followed Hyperlink 3" xfId="29730" hidden="1" xr:uid="{00000000-0005-0000-0000-00006E510000}"/>
    <cellStyle name="Followed Hyperlink 3" xfId="29729" hidden="1" xr:uid="{00000000-0005-0000-0000-00006F510000}"/>
    <cellStyle name="Followed Hyperlink 3" xfId="29735" hidden="1" xr:uid="{00000000-0005-0000-0000-000070510000}"/>
    <cellStyle name="Followed Hyperlink 3" xfId="29738" hidden="1" xr:uid="{00000000-0005-0000-0000-000071510000}"/>
    <cellStyle name="Followed Hyperlink 3" xfId="29741" hidden="1" xr:uid="{00000000-0005-0000-0000-000072510000}"/>
    <cellStyle name="Followed Hyperlink 3" xfId="29746" hidden="1" xr:uid="{00000000-0005-0000-0000-000073510000}"/>
    <cellStyle name="Followed Hyperlink 3" xfId="29756" hidden="1" xr:uid="{00000000-0005-0000-0000-000074510000}"/>
    <cellStyle name="Followed Hyperlink 3" xfId="29758" hidden="1" xr:uid="{00000000-0005-0000-0000-000075510000}"/>
    <cellStyle name="Followed Hyperlink 3" xfId="29754" hidden="1" xr:uid="{00000000-0005-0000-0000-000076510000}"/>
    <cellStyle name="Followed Hyperlink 3" xfId="29753" hidden="1" xr:uid="{00000000-0005-0000-0000-000077510000}"/>
    <cellStyle name="Followed Hyperlink 3" xfId="29759" hidden="1" xr:uid="{00000000-0005-0000-0000-000078510000}"/>
    <cellStyle name="Followed Hyperlink 3" xfId="29762" hidden="1" xr:uid="{00000000-0005-0000-0000-000079510000}"/>
    <cellStyle name="Followed Hyperlink 3" xfId="29765" hidden="1" xr:uid="{00000000-0005-0000-0000-00007A510000}"/>
    <cellStyle name="Followed Hyperlink 3" xfId="29770" hidden="1" xr:uid="{00000000-0005-0000-0000-00007B510000}"/>
    <cellStyle name="Followed Hyperlink 3" xfId="29262" hidden="1" xr:uid="{00000000-0005-0000-0000-00007C510000}"/>
    <cellStyle name="Followed Hyperlink 3" xfId="29339" hidden="1" xr:uid="{00000000-0005-0000-0000-00007D510000}"/>
    <cellStyle name="Followed Hyperlink 3" xfId="29266" hidden="1" xr:uid="{00000000-0005-0000-0000-00007E510000}"/>
    <cellStyle name="Followed Hyperlink 3" xfId="29267" hidden="1" xr:uid="{00000000-0005-0000-0000-00007F510000}"/>
    <cellStyle name="Followed Hyperlink 3" xfId="29270" hidden="1" xr:uid="{00000000-0005-0000-0000-000080510000}"/>
    <cellStyle name="Followed Hyperlink 3" xfId="29775" hidden="1" xr:uid="{00000000-0005-0000-0000-000081510000}"/>
    <cellStyle name="Followed Hyperlink 3" xfId="29778" hidden="1" xr:uid="{00000000-0005-0000-0000-000082510000}"/>
    <cellStyle name="Followed Hyperlink 3" xfId="29783" hidden="1" xr:uid="{00000000-0005-0000-0000-000083510000}"/>
    <cellStyle name="Followed Hyperlink 3" xfId="29793" hidden="1" xr:uid="{00000000-0005-0000-0000-000084510000}"/>
    <cellStyle name="Followed Hyperlink 3" xfId="29795" hidden="1" xr:uid="{00000000-0005-0000-0000-000085510000}"/>
    <cellStyle name="Followed Hyperlink 3" xfId="29791" hidden="1" xr:uid="{00000000-0005-0000-0000-000086510000}"/>
    <cellStyle name="Followed Hyperlink 3" xfId="29790" hidden="1" xr:uid="{00000000-0005-0000-0000-000087510000}"/>
    <cellStyle name="Followed Hyperlink 3" xfId="29796" hidden="1" xr:uid="{00000000-0005-0000-0000-000088510000}"/>
    <cellStyle name="Followed Hyperlink 3" xfId="29799" hidden="1" xr:uid="{00000000-0005-0000-0000-000089510000}"/>
    <cellStyle name="Followed Hyperlink 3" xfId="29802" hidden="1" xr:uid="{00000000-0005-0000-0000-00008A510000}"/>
    <cellStyle name="Followed Hyperlink 3" xfId="29807" hidden="1" xr:uid="{00000000-0005-0000-0000-00008B510000}"/>
    <cellStyle name="Followed Hyperlink 3" xfId="29818" hidden="1" xr:uid="{00000000-0005-0000-0000-00008C510000}"/>
    <cellStyle name="Followed Hyperlink 3" xfId="29820" hidden="1" xr:uid="{00000000-0005-0000-0000-00008D510000}"/>
    <cellStyle name="Followed Hyperlink 3" xfId="29816" hidden="1" xr:uid="{00000000-0005-0000-0000-00008E510000}"/>
    <cellStyle name="Followed Hyperlink 3" xfId="29815" hidden="1" xr:uid="{00000000-0005-0000-0000-00008F510000}"/>
    <cellStyle name="Followed Hyperlink 3" xfId="29821" hidden="1" xr:uid="{00000000-0005-0000-0000-000090510000}"/>
    <cellStyle name="Followed Hyperlink 3" xfId="29824" hidden="1" xr:uid="{00000000-0005-0000-0000-000091510000}"/>
    <cellStyle name="Followed Hyperlink 3" xfId="29827" hidden="1" xr:uid="{00000000-0005-0000-0000-000092510000}"/>
    <cellStyle name="Followed Hyperlink 3" xfId="29832" hidden="1" xr:uid="{00000000-0005-0000-0000-000093510000}"/>
    <cellStyle name="Followed Hyperlink 3" xfId="29842" hidden="1" xr:uid="{00000000-0005-0000-0000-000094510000}"/>
    <cellStyle name="Followed Hyperlink 3" xfId="29844" hidden="1" xr:uid="{00000000-0005-0000-0000-000095510000}"/>
    <cellStyle name="Followed Hyperlink 3" xfId="29840" hidden="1" xr:uid="{00000000-0005-0000-0000-000096510000}"/>
    <cellStyle name="Followed Hyperlink 3" xfId="29839" hidden="1" xr:uid="{00000000-0005-0000-0000-000097510000}"/>
    <cellStyle name="Followed Hyperlink 3" xfId="29845" hidden="1" xr:uid="{00000000-0005-0000-0000-000098510000}"/>
    <cellStyle name="Followed Hyperlink 3" xfId="29848" hidden="1" xr:uid="{00000000-0005-0000-0000-000099510000}"/>
    <cellStyle name="Followed Hyperlink 3" xfId="29851" hidden="1" xr:uid="{00000000-0005-0000-0000-00009A510000}"/>
    <cellStyle name="Followed Hyperlink 3" xfId="29856" hidden="1" xr:uid="{00000000-0005-0000-0000-00009B510000}"/>
    <cellStyle name="Followed Hyperlink 3" xfId="29895" hidden="1" xr:uid="{00000000-0005-0000-0000-00009C510000}"/>
    <cellStyle name="Followed Hyperlink 3" xfId="29897" hidden="1" xr:uid="{00000000-0005-0000-0000-00009D510000}"/>
    <cellStyle name="Followed Hyperlink 3" xfId="29893" hidden="1" xr:uid="{00000000-0005-0000-0000-00009E510000}"/>
    <cellStyle name="Followed Hyperlink 3" xfId="29892" hidden="1" xr:uid="{00000000-0005-0000-0000-00009F510000}"/>
    <cellStyle name="Followed Hyperlink 3" xfId="29898" hidden="1" xr:uid="{00000000-0005-0000-0000-0000A0510000}"/>
    <cellStyle name="Followed Hyperlink 3" xfId="29901" hidden="1" xr:uid="{00000000-0005-0000-0000-0000A1510000}"/>
    <cellStyle name="Followed Hyperlink 3" xfId="29904" hidden="1" xr:uid="{00000000-0005-0000-0000-0000A2510000}"/>
    <cellStyle name="Followed Hyperlink 3" xfId="29909" hidden="1" xr:uid="{00000000-0005-0000-0000-0000A3510000}"/>
    <cellStyle name="Followed Hyperlink 3" xfId="29919" hidden="1" xr:uid="{00000000-0005-0000-0000-0000A4510000}"/>
    <cellStyle name="Followed Hyperlink 3" xfId="29921" hidden="1" xr:uid="{00000000-0005-0000-0000-0000A5510000}"/>
    <cellStyle name="Followed Hyperlink 3" xfId="29917" hidden="1" xr:uid="{00000000-0005-0000-0000-0000A6510000}"/>
    <cellStyle name="Followed Hyperlink 3" xfId="29916" hidden="1" xr:uid="{00000000-0005-0000-0000-0000A7510000}"/>
    <cellStyle name="Followed Hyperlink 3" xfId="29922" hidden="1" xr:uid="{00000000-0005-0000-0000-0000A8510000}"/>
    <cellStyle name="Followed Hyperlink 3" xfId="29925" hidden="1" xr:uid="{00000000-0005-0000-0000-0000A9510000}"/>
    <cellStyle name="Followed Hyperlink 3" xfId="29928" hidden="1" xr:uid="{00000000-0005-0000-0000-0000AA510000}"/>
    <cellStyle name="Followed Hyperlink 3" xfId="29933" hidden="1" xr:uid="{00000000-0005-0000-0000-0000AB510000}"/>
    <cellStyle name="Followed Hyperlink 3" xfId="29945" hidden="1" xr:uid="{00000000-0005-0000-0000-0000AC510000}"/>
    <cellStyle name="Followed Hyperlink 3" xfId="29947" hidden="1" xr:uid="{00000000-0005-0000-0000-0000AD510000}"/>
    <cellStyle name="Followed Hyperlink 3" xfId="29943" hidden="1" xr:uid="{00000000-0005-0000-0000-0000AE510000}"/>
    <cellStyle name="Followed Hyperlink 3" xfId="29942" hidden="1" xr:uid="{00000000-0005-0000-0000-0000AF510000}"/>
    <cellStyle name="Followed Hyperlink 3" xfId="29948" hidden="1" xr:uid="{00000000-0005-0000-0000-0000B0510000}"/>
    <cellStyle name="Followed Hyperlink 3" xfId="29951" hidden="1" xr:uid="{00000000-0005-0000-0000-0000B1510000}"/>
    <cellStyle name="Followed Hyperlink 3" xfId="29954" hidden="1" xr:uid="{00000000-0005-0000-0000-0000B2510000}"/>
    <cellStyle name="Followed Hyperlink 3" xfId="29959" hidden="1" xr:uid="{00000000-0005-0000-0000-0000B3510000}"/>
    <cellStyle name="Followed Hyperlink 3" xfId="29969" hidden="1" xr:uid="{00000000-0005-0000-0000-0000B4510000}"/>
    <cellStyle name="Followed Hyperlink 3" xfId="29971" hidden="1" xr:uid="{00000000-0005-0000-0000-0000B5510000}"/>
    <cellStyle name="Followed Hyperlink 3" xfId="29967" hidden="1" xr:uid="{00000000-0005-0000-0000-0000B6510000}"/>
    <cellStyle name="Followed Hyperlink 3" xfId="29966" hidden="1" xr:uid="{00000000-0005-0000-0000-0000B7510000}"/>
    <cellStyle name="Followed Hyperlink 3" xfId="29972" hidden="1" xr:uid="{00000000-0005-0000-0000-0000B8510000}"/>
    <cellStyle name="Followed Hyperlink 3" xfId="29975" hidden="1" xr:uid="{00000000-0005-0000-0000-0000B9510000}"/>
    <cellStyle name="Followed Hyperlink 3" xfId="29978" hidden="1" xr:uid="{00000000-0005-0000-0000-0000BA510000}"/>
    <cellStyle name="Followed Hyperlink 3" xfId="29983" hidden="1" xr:uid="{00000000-0005-0000-0000-0000BB510000}"/>
    <cellStyle name="Followed Hyperlink 3" xfId="29859" hidden="1" xr:uid="{00000000-0005-0000-0000-0000BC510000}"/>
    <cellStyle name="Followed Hyperlink 3" xfId="29936" hidden="1" xr:uid="{00000000-0005-0000-0000-0000BD510000}"/>
    <cellStyle name="Followed Hyperlink 3" xfId="29863" hidden="1" xr:uid="{00000000-0005-0000-0000-0000BE510000}"/>
    <cellStyle name="Followed Hyperlink 3" xfId="29864" hidden="1" xr:uid="{00000000-0005-0000-0000-0000BF510000}"/>
    <cellStyle name="Followed Hyperlink 3" xfId="29867" hidden="1" xr:uid="{00000000-0005-0000-0000-0000C0510000}"/>
    <cellStyle name="Followed Hyperlink 3" xfId="29988" hidden="1" xr:uid="{00000000-0005-0000-0000-0000C1510000}"/>
    <cellStyle name="Followed Hyperlink 3" xfId="29991" hidden="1" xr:uid="{00000000-0005-0000-0000-0000C2510000}"/>
    <cellStyle name="Followed Hyperlink 3" xfId="29996" hidden="1" xr:uid="{00000000-0005-0000-0000-0000C3510000}"/>
    <cellStyle name="Followed Hyperlink 3" xfId="30006" hidden="1" xr:uid="{00000000-0005-0000-0000-0000C4510000}"/>
    <cellStyle name="Followed Hyperlink 3" xfId="30008" hidden="1" xr:uid="{00000000-0005-0000-0000-0000C5510000}"/>
    <cellStyle name="Followed Hyperlink 3" xfId="30004" hidden="1" xr:uid="{00000000-0005-0000-0000-0000C6510000}"/>
    <cellStyle name="Followed Hyperlink 3" xfId="30003" hidden="1" xr:uid="{00000000-0005-0000-0000-0000C7510000}"/>
    <cellStyle name="Followed Hyperlink 3" xfId="30009" hidden="1" xr:uid="{00000000-0005-0000-0000-0000C8510000}"/>
    <cellStyle name="Followed Hyperlink 3" xfId="30012" hidden="1" xr:uid="{00000000-0005-0000-0000-0000C9510000}"/>
    <cellStyle name="Followed Hyperlink 3" xfId="30015" hidden="1" xr:uid="{00000000-0005-0000-0000-0000CA510000}"/>
    <cellStyle name="Followed Hyperlink 3" xfId="30020" hidden="1" xr:uid="{00000000-0005-0000-0000-0000CB510000}"/>
    <cellStyle name="Followed Hyperlink 3" xfId="30031" hidden="1" xr:uid="{00000000-0005-0000-0000-0000CC510000}"/>
    <cellStyle name="Followed Hyperlink 3" xfId="30033" hidden="1" xr:uid="{00000000-0005-0000-0000-0000CD510000}"/>
    <cellStyle name="Followed Hyperlink 3" xfId="30029" hidden="1" xr:uid="{00000000-0005-0000-0000-0000CE510000}"/>
    <cellStyle name="Followed Hyperlink 3" xfId="30028" hidden="1" xr:uid="{00000000-0005-0000-0000-0000CF510000}"/>
    <cellStyle name="Followed Hyperlink 3" xfId="30034" hidden="1" xr:uid="{00000000-0005-0000-0000-0000D0510000}"/>
    <cellStyle name="Followed Hyperlink 3" xfId="30037" hidden="1" xr:uid="{00000000-0005-0000-0000-0000D1510000}"/>
    <cellStyle name="Followed Hyperlink 3" xfId="30040" hidden="1" xr:uid="{00000000-0005-0000-0000-0000D2510000}"/>
    <cellStyle name="Followed Hyperlink 3" xfId="30045" hidden="1" xr:uid="{00000000-0005-0000-0000-0000D3510000}"/>
    <cellStyle name="Followed Hyperlink 3" xfId="30055" hidden="1" xr:uid="{00000000-0005-0000-0000-0000D4510000}"/>
    <cellStyle name="Followed Hyperlink 3" xfId="30057" hidden="1" xr:uid="{00000000-0005-0000-0000-0000D5510000}"/>
    <cellStyle name="Followed Hyperlink 3" xfId="30053" hidden="1" xr:uid="{00000000-0005-0000-0000-0000D6510000}"/>
    <cellStyle name="Followed Hyperlink 3" xfId="30052" hidden="1" xr:uid="{00000000-0005-0000-0000-0000D7510000}"/>
    <cellStyle name="Followed Hyperlink 3" xfId="30058" hidden="1" xr:uid="{00000000-0005-0000-0000-0000D8510000}"/>
    <cellStyle name="Followed Hyperlink 3" xfId="30061" hidden="1" xr:uid="{00000000-0005-0000-0000-0000D9510000}"/>
    <cellStyle name="Followed Hyperlink 3" xfId="30064" hidden="1" xr:uid="{00000000-0005-0000-0000-0000DA510000}"/>
    <cellStyle name="Followed Hyperlink 3" xfId="30069" hidden="1" xr:uid="{00000000-0005-0000-0000-0000DB510000}"/>
    <cellStyle name="Followed Hyperlink 3" xfId="29880" hidden="1" xr:uid="{00000000-0005-0000-0000-0000DC510000}"/>
    <cellStyle name="Followed Hyperlink 3" xfId="30023" hidden="1" xr:uid="{00000000-0005-0000-0000-0000DD510000}"/>
    <cellStyle name="Followed Hyperlink 3" xfId="29877" hidden="1" xr:uid="{00000000-0005-0000-0000-0000DE510000}"/>
    <cellStyle name="Followed Hyperlink 3" xfId="29869" hidden="1" xr:uid="{00000000-0005-0000-0000-0000DF510000}"/>
    <cellStyle name="Followed Hyperlink 3" xfId="29874" hidden="1" xr:uid="{00000000-0005-0000-0000-0000E0510000}"/>
    <cellStyle name="Followed Hyperlink 3" xfId="30074" hidden="1" xr:uid="{00000000-0005-0000-0000-0000E1510000}"/>
    <cellStyle name="Followed Hyperlink 3" xfId="30077" hidden="1" xr:uid="{00000000-0005-0000-0000-0000E2510000}"/>
    <cellStyle name="Followed Hyperlink 3" xfId="30082" hidden="1" xr:uid="{00000000-0005-0000-0000-0000E3510000}"/>
    <cellStyle name="Followed Hyperlink 3" xfId="30092" hidden="1" xr:uid="{00000000-0005-0000-0000-0000E4510000}"/>
    <cellStyle name="Followed Hyperlink 3" xfId="30094" hidden="1" xr:uid="{00000000-0005-0000-0000-0000E5510000}"/>
    <cellStyle name="Followed Hyperlink 3" xfId="30090" hidden="1" xr:uid="{00000000-0005-0000-0000-0000E6510000}"/>
    <cellStyle name="Followed Hyperlink 3" xfId="30089" hidden="1" xr:uid="{00000000-0005-0000-0000-0000E7510000}"/>
    <cellStyle name="Followed Hyperlink 3" xfId="30095" hidden="1" xr:uid="{00000000-0005-0000-0000-0000E8510000}"/>
    <cellStyle name="Followed Hyperlink 3" xfId="30098" hidden="1" xr:uid="{00000000-0005-0000-0000-0000E9510000}"/>
    <cellStyle name="Followed Hyperlink 3" xfId="30101" hidden="1" xr:uid="{00000000-0005-0000-0000-0000EA510000}"/>
    <cellStyle name="Followed Hyperlink 3" xfId="30106" hidden="1" xr:uid="{00000000-0005-0000-0000-0000EB510000}"/>
    <cellStyle name="Followed Hyperlink 3" xfId="30117" hidden="1" xr:uid="{00000000-0005-0000-0000-0000EC510000}"/>
    <cellStyle name="Followed Hyperlink 3" xfId="30119" hidden="1" xr:uid="{00000000-0005-0000-0000-0000ED510000}"/>
    <cellStyle name="Followed Hyperlink 3" xfId="30115" hidden="1" xr:uid="{00000000-0005-0000-0000-0000EE510000}"/>
    <cellStyle name="Followed Hyperlink 3" xfId="30114" hidden="1" xr:uid="{00000000-0005-0000-0000-0000EF510000}"/>
    <cellStyle name="Followed Hyperlink 3" xfId="30120" hidden="1" xr:uid="{00000000-0005-0000-0000-0000F0510000}"/>
    <cellStyle name="Followed Hyperlink 3" xfId="30123" hidden="1" xr:uid="{00000000-0005-0000-0000-0000F1510000}"/>
    <cellStyle name="Followed Hyperlink 3" xfId="30126" hidden="1" xr:uid="{00000000-0005-0000-0000-0000F2510000}"/>
    <cellStyle name="Followed Hyperlink 3" xfId="30131" hidden="1" xr:uid="{00000000-0005-0000-0000-0000F3510000}"/>
    <cellStyle name="Followed Hyperlink 3" xfId="30141" hidden="1" xr:uid="{00000000-0005-0000-0000-0000F4510000}"/>
    <cellStyle name="Followed Hyperlink 3" xfId="30143" hidden="1" xr:uid="{00000000-0005-0000-0000-0000F5510000}"/>
    <cellStyle name="Followed Hyperlink 3" xfId="30139" hidden="1" xr:uid="{00000000-0005-0000-0000-0000F6510000}"/>
    <cellStyle name="Followed Hyperlink 3" xfId="30138" hidden="1" xr:uid="{00000000-0005-0000-0000-0000F7510000}"/>
    <cellStyle name="Followed Hyperlink 3" xfId="30144" hidden="1" xr:uid="{00000000-0005-0000-0000-0000F8510000}"/>
    <cellStyle name="Followed Hyperlink 3" xfId="30147" hidden="1" xr:uid="{00000000-0005-0000-0000-0000F9510000}"/>
    <cellStyle name="Followed Hyperlink 3" xfId="30150" hidden="1" xr:uid="{00000000-0005-0000-0000-0000FA510000}"/>
    <cellStyle name="Followed Hyperlink 3" xfId="30155" hidden="1" xr:uid="{00000000-0005-0000-0000-0000FB510000}"/>
    <cellStyle name="Followed Hyperlink 3" xfId="29885" hidden="1" xr:uid="{00000000-0005-0000-0000-0000FC510000}"/>
    <cellStyle name="Followed Hyperlink 3" xfId="30109" hidden="1" xr:uid="{00000000-0005-0000-0000-0000FD510000}"/>
    <cellStyle name="Followed Hyperlink 3" xfId="29881" hidden="1" xr:uid="{00000000-0005-0000-0000-0000FE510000}"/>
    <cellStyle name="Followed Hyperlink 3" xfId="29886" hidden="1" xr:uid="{00000000-0005-0000-0000-0000FF510000}"/>
    <cellStyle name="Followed Hyperlink 3" xfId="29873" hidden="1" xr:uid="{00000000-0005-0000-0000-000000520000}"/>
    <cellStyle name="Followed Hyperlink 3" xfId="30160" hidden="1" xr:uid="{00000000-0005-0000-0000-000001520000}"/>
    <cellStyle name="Followed Hyperlink 3" xfId="30163" hidden="1" xr:uid="{00000000-0005-0000-0000-000002520000}"/>
    <cellStyle name="Followed Hyperlink 3" xfId="30168" hidden="1" xr:uid="{00000000-0005-0000-0000-000003520000}"/>
    <cellStyle name="Followed Hyperlink 3" xfId="30178" hidden="1" xr:uid="{00000000-0005-0000-0000-000004520000}"/>
    <cellStyle name="Followed Hyperlink 3" xfId="30180" hidden="1" xr:uid="{00000000-0005-0000-0000-000005520000}"/>
    <cellStyle name="Followed Hyperlink 3" xfId="30176" hidden="1" xr:uid="{00000000-0005-0000-0000-000006520000}"/>
    <cellStyle name="Followed Hyperlink 3" xfId="30175" hidden="1" xr:uid="{00000000-0005-0000-0000-000007520000}"/>
    <cellStyle name="Followed Hyperlink 3" xfId="30181" hidden="1" xr:uid="{00000000-0005-0000-0000-000008520000}"/>
    <cellStyle name="Followed Hyperlink 3" xfId="30184" hidden="1" xr:uid="{00000000-0005-0000-0000-000009520000}"/>
    <cellStyle name="Followed Hyperlink 3" xfId="30187" hidden="1" xr:uid="{00000000-0005-0000-0000-00000A520000}"/>
    <cellStyle name="Followed Hyperlink 3" xfId="30192" hidden="1" xr:uid="{00000000-0005-0000-0000-00000B520000}"/>
    <cellStyle name="Followed Hyperlink 3" xfId="30202" hidden="1" xr:uid="{00000000-0005-0000-0000-00000C520000}"/>
    <cellStyle name="Followed Hyperlink 3" xfId="30204" hidden="1" xr:uid="{00000000-0005-0000-0000-00000D520000}"/>
    <cellStyle name="Followed Hyperlink 3" xfId="30200" hidden="1" xr:uid="{00000000-0005-0000-0000-00000E520000}"/>
    <cellStyle name="Followed Hyperlink 3" xfId="30199" hidden="1" xr:uid="{00000000-0005-0000-0000-00000F520000}"/>
    <cellStyle name="Followed Hyperlink 3" xfId="30205" hidden="1" xr:uid="{00000000-0005-0000-0000-000010520000}"/>
    <cellStyle name="Followed Hyperlink 3" xfId="30208" hidden="1" xr:uid="{00000000-0005-0000-0000-000011520000}"/>
    <cellStyle name="Followed Hyperlink 3" xfId="30211" hidden="1" xr:uid="{00000000-0005-0000-0000-000012520000}"/>
    <cellStyle name="Followed Hyperlink 3" xfId="30216" hidden="1" xr:uid="{00000000-0005-0000-0000-000013520000}"/>
    <cellStyle name="Followed Hyperlink 3" xfId="30226" hidden="1" xr:uid="{00000000-0005-0000-0000-000014520000}"/>
    <cellStyle name="Followed Hyperlink 3" xfId="30228" hidden="1" xr:uid="{00000000-0005-0000-0000-000015520000}"/>
    <cellStyle name="Followed Hyperlink 3" xfId="30224" hidden="1" xr:uid="{00000000-0005-0000-0000-000016520000}"/>
    <cellStyle name="Followed Hyperlink 3" xfId="30223" hidden="1" xr:uid="{00000000-0005-0000-0000-000017520000}"/>
    <cellStyle name="Followed Hyperlink 3" xfId="30229" hidden="1" xr:uid="{00000000-0005-0000-0000-000018520000}"/>
    <cellStyle name="Followed Hyperlink 3" xfId="30232" hidden="1" xr:uid="{00000000-0005-0000-0000-000019520000}"/>
    <cellStyle name="Followed Hyperlink 3" xfId="30235" hidden="1" xr:uid="{00000000-0005-0000-0000-00001A520000}"/>
    <cellStyle name="Followed Hyperlink 3" xfId="30240" hidden="1" xr:uid="{00000000-0005-0000-0000-00001B520000}"/>
    <cellStyle name="Followed Hyperlink 3" xfId="29283" hidden="1" xr:uid="{00000000-0005-0000-0000-00001C520000}"/>
    <cellStyle name="Followed Hyperlink 3" xfId="29810" hidden="1" xr:uid="{00000000-0005-0000-0000-00001D520000}"/>
    <cellStyle name="Followed Hyperlink 3" xfId="29280" hidden="1" xr:uid="{00000000-0005-0000-0000-00001E520000}"/>
    <cellStyle name="Followed Hyperlink 3" xfId="29272" hidden="1" xr:uid="{00000000-0005-0000-0000-00001F520000}"/>
    <cellStyle name="Followed Hyperlink 3" xfId="29277" hidden="1" xr:uid="{00000000-0005-0000-0000-000020520000}"/>
    <cellStyle name="Followed Hyperlink 3" xfId="30245" hidden="1" xr:uid="{00000000-0005-0000-0000-000021520000}"/>
    <cellStyle name="Followed Hyperlink 3" xfId="30248" hidden="1" xr:uid="{00000000-0005-0000-0000-000022520000}"/>
    <cellStyle name="Followed Hyperlink 3" xfId="30253" hidden="1" xr:uid="{00000000-0005-0000-0000-000023520000}"/>
    <cellStyle name="Followed Hyperlink 3" xfId="30263" hidden="1" xr:uid="{00000000-0005-0000-0000-000024520000}"/>
    <cellStyle name="Followed Hyperlink 3" xfId="30265" hidden="1" xr:uid="{00000000-0005-0000-0000-000025520000}"/>
    <cellStyle name="Followed Hyperlink 3" xfId="30261" hidden="1" xr:uid="{00000000-0005-0000-0000-000026520000}"/>
    <cellStyle name="Followed Hyperlink 3" xfId="30260" hidden="1" xr:uid="{00000000-0005-0000-0000-000027520000}"/>
    <cellStyle name="Followed Hyperlink 3" xfId="30266" hidden="1" xr:uid="{00000000-0005-0000-0000-000028520000}"/>
    <cellStyle name="Followed Hyperlink 3" xfId="30269" hidden="1" xr:uid="{00000000-0005-0000-0000-000029520000}"/>
    <cellStyle name="Followed Hyperlink 3" xfId="30272" hidden="1" xr:uid="{00000000-0005-0000-0000-00002A520000}"/>
    <cellStyle name="Followed Hyperlink 3" xfId="30277" hidden="1" xr:uid="{00000000-0005-0000-0000-00002B520000}"/>
    <cellStyle name="Followed Hyperlink 3" xfId="30288" hidden="1" xr:uid="{00000000-0005-0000-0000-00002C520000}"/>
    <cellStyle name="Followed Hyperlink 3" xfId="30290" hidden="1" xr:uid="{00000000-0005-0000-0000-00002D520000}"/>
    <cellStyle name="Followed Hyperlink 3" xfId="30286" hidden="1" xr:uid="{00000000-0005-0000-0000-00002E520000}"/>
    <cellStyle name="Followed Hyperlink 3" xfId="30285" hidden="1" xr:uid="{00000000-0005-0000-0000-00002F520000}"/>
    <cellStyle name="Followed Hyperlink 3" xfId="30291" hidden="1" xr:uid="{00000000-0005-0000-0000-000030520000}"/>
    <cellStyle name="Followed Hyperlink 3" xfId="30294" hidden="1" xr:uid="{00000000-0005-0000-0000-000031520000}"/>
    <cellStyle name="Followed Hyperlink 3" xfId="30297" hidden="1" xr:uid="{00000000-0005-0000-0000-000032520000}"/>
    <cellStyle name="Followed Hyperlink 3" xfId="30302" hidden="1" xr:uid="{00000000-0005-0000-0000-000033520000}"/>
    <cellStyle name="Followed Hyperlink 3" xfId="30312" hidden="1" xr:uid="{00000000-0005-0000-0000-000034520000}"/>
    <cellStyle name="Followed Hyperlink 3" xfId="30314" hidden="1" xr:uid="{00000000-0005-0000-0000-000035520000}"/>
    <cellStyle name="Followed Hyperlink 3" xfId="30310" hidden="1" xr:uid="{00000000-0005-0000-0000-000036520000}"/>
    <cellStyle name="Followed Hyperlink 3" xfId="30309" hidden="1" xr:uid="{00000000-0005-0000-0000-000037520000}"/>
    <cellStyle name="Followed Hyperlink 3" xfId="30315" hidden="1" xr:uid="{00000000-0005-0000-0000-000038520000}"/>
    <cellStyle name="Followed Hyperlink 3" xfId="30318" hidden="1" xr:uid="{00000000-0005-0000-0000-000039520000}"/>
    <cellStyle name="Followed Hyperlink 3" xfId="30321" hidden="1" xr:uid="{00000000-0005-0000-0000-00003A520000}"/>
    <cellStyle name="Followed Hyperlink 3" xfId="30326" hidden="1" xr:uid="{00000000-0005-0000-0000-00003B520000}"/>
    <cellStyle name="Followed Hyperlink 3" xfId="30365" hidden="1" xr:uid="{00000000-0005-0000-0000-00003C520000}"/>
    <cellStyle name="Followed Hyperlink 3" xfId="30367" hidden="1" xr:uid="{00000000-0005-0000-0000-00003D520000}"/>
    <cellStyle name="Followed Hyperlink 3" xfId="30363" hidden="1" xr:uid="{00000000-0005-0000-0000-00003E520000}"/>
    <cellStyle name="Followed Hyperlink 3" xfId="30362" hidden="1" xr:uid="{00000000-0005-0000-0000-00003F520000}"/>
    <cellStyle name="Followed Hyperlink 3" xfId="30368" hidden="1" xr:uid="{00000000-0005-0000-0000-000040520000}"/>
    <cellStyle name="Followed Hyperlink 3" xfId="30371" hidden="1" xr:uid="{00000000-0005-0000-0000-000041520000}"/>
    <cellStyle name="Followed Hyperlink 3" xfId="30374" hidden="1" xr:uid="{00000000-0005-0000-0000-000042520000}"/>
    <cellStyle name="Followed Hyperlink 3" xfId="30379" hidden="1" xr:uid="{00000000-0005-0000-0000-000043520000}"/>
    <cellStyle name="Followed Hyperlink 3" xfId="30389" hidden="1" xr:uid="{00000000-0005-0000-0000-000044520000}"/>
    <cellStyle name="Followed Hyperlink 3" xfId="30391" hidden="1" xr:uid="{00000000-0005-0000-0000-000045520000}"/>
    <cellStyle name="Followed Hyperlink 3" xfId="30387" hidden="1" xr:uid="{00000000-0005-0000-0000-000046520000}"/>
    <cellStyle name="Followed Hyperlink 3" xfId="30386" hidden="1" xr:uid="{00000000-0005-0000-0000-000047520000}"/>
    <cellStyle name="Followed Hyperlink 3" xfId="30392" hidden="1" xr:uid="{00000000-0005-0000-0000-000048520000}"/>
    <cellStyle name="Followed Hyperlink 3" xfId="30395" hidden="1" xr:uid="{00000000-0005-0000-0000-000049520000}"/>
    <cellStyle name="Followed Hyperlink 3" xfId="30398" hidden="1" xr:uid="{00000000-0005-0000-0000-00004A520000}"/>
    <cellStyle name="Followed Hyperlink 3" xfId="30403" hidden="1" xr:uid="{00000000-0005-0000-0000-00004B520000}"/>
    <cellStyle name="Followed Hyperlink 3" xfId="30415" hidden="1" xr:uid="{00000000-0005-0000-0000-00004C520000}"/>
    <cellStyle name="Followed Hyperlink 3" xfId="30417" hidden="1" xr:uid="{00000000-0005-0000-0000-00004D520000}"/>
    <cellStyle name="Followed Hyperlink 3" xfId="30413" hidden="1" xr:uid="{00000000-0005-0000-0000-00004E520000}"/>
    <cellStyle name="Followed Hyperlink 3" xfId="30412" hidden="1" xr:uid="{00000000-0005-0000-0000-00004F520000}"/>
    <cellStyle name="Followed Hyperlink 3" xfId="30418" hidden="1" xr:uid="{00000000-0005-0000-0000-000050520000}"/>
    <cellStyle name="Followed Hyperlink 3" xfId="30421" hidden="1" xr:uid="{00000000-0005-0000-0000-000051520000}"/>
    <cellStyle name="Followed Hyperlink 3" xfId="30424" hidden="1" xr:uid="{00000000-0005-0000-0000-000052520000}"/>
    <cellStyle name="Followed Hyperlink 3" xfId="30429" hidden="1" xr:uid="{00000000-0005-0000-0000-000053520000}"/>
    <cellStyle name="Followed Hyperlink 3" xfId="30439" hidden="1" xr:uid="{00000000-0005-0000-0000-000054520000}"/>
    <cellStyle name="Followed Hyperlink 3" xfId="30441" hidden="1" xr:uid="{00000000-0005-0000-0000-000055520000}"/>
    <cellStyle name="Followed Hyperlink 3" xfId="30437" hidden="1" xr:uid="{00000000-0005-0000-0000-000056520000}"/>
    <cellStyle name="Followed Hyperlink 3" xfId="30436" hidden="1" xr:uid="{00000000-0005-0000-0000-000057520000}"/>
    <cellStyle name="Followed Hyperlink 3" xfId="30442" hidden="1" xr:uid="{00000000-0005-0000-0000-000058520000}"/>
    <cellStyle name="Followed Hyperlink 3" xfId="30445" hidden="1" xr:uid="{00000000-0005-0000-0000-000059520000}"/>
    <cellStyle name="Followed Hyperlink 3" xfId="30448" hidden="1" xr:uid="{00000000-0005-0000-0000-00005A520000}"/>
    <cellStyle name="Followed Hyperlink 3" xfId="30453" hidden="1" xr:uid="{00000000-0005-0000-0000-00005B520000}"/>
    <cellStyle name="Followed Hyperlink 3" xfId="30329" hidden="1" xr:uid="{00000000-0005-0000-0000-00005C520000}"/>
    <cellStyle name="Followed Hyperlink 3" xfId="30406" hidden="1" xr:uid="{00000000-0005-0000-0000-00005D520000}"/>
    <cellStyle name="Followed Hyperlink 3" xfId="30333" hidden="1" xr:uid="{00000000-0005-0000-0000-00005E520000}"/>
    <cellStyle name="Followed Hyperlink 3" xfId="30334" hidden="1" xr:uid="{00000000-0005-0000-0000-00005F520000}"/>
    <cellStyle name="Followed Hyperlink 3" xfId="30337" hidden="1" xr:uid="{00000000-0005-0000-0000-000060520000}"/>
    <cellStyle name="Followed Hyperlink 3" xfId="30458" hidden="1" xr:uid="{00000000-0005-0000-0000-000061520000}"/>
    <cellStyle name="Followed Hyperlink 3" xfId="30461" hidden="1" xr:uid="{00000000-0005-0000-0000-000062520000}"/>
    <cellStyle name="Followed Hyperlink 3" xfId="30466" hidden="1" xr:uid="{00000000-0005-0000-0000-000063520000}"/>
    <cellStyle name="Followed Hyperlink 3" xfId="30476" hidden="1" xr:uid="{00000000-0005-0000-0000-000064520000}"/>
    <cellStyle name="Followed Hyperlink 3" xfId="30478" hidden="1" xr:uid="{00000000-0005-0000-0000-000065520000}"/>
    <cellStyle name="Followed Hyperlink 3" xfId="30474" hidden="1" xr:uid="{00000000-0005-0000-0000-000066520000}"/>
    <cellStyle name="Followed Hyperlink 3" xfId="30473" hidden="1" xr:uid="{00000000-0005-0000-0000-000067520000}"/>
    <cellStyle name="Followed Hyperlink 3" xfId="30479" hidden="1" xr:uid="{00000000-0005-0000-0000-000068520000}"/>
    <cellStyle name="Followed Hyperlink 3" xfId="30482" hidden="1" xr:uid="{00000000-0005-0000-0000-000069520000}"/>
    <cellStyle name="Followed Hyperlink 3" xfId="30485" hidden="1" xr:uid="{00000000-0005-0000-0000-00006A520000}"/>
    <cellStyle name="Followed Hyperlink 3" xfId="30490" hidden="1" xr:uid="{00000000-0005-0000-0000-00006B520000}"/>
    <cellStyle name="Followed Hyperlink 3" xfId="30501" hidden="1" xr:uid="{00000000-0005-0000-0000-00006C520000}"/>
    <cellStyle name="Followed Hyperlink 3" xfId="30503" hidden="1" xr:uid="{00000000-0005-0000-0000-00006D520000}"/>
    <cellStyle name="Followed Hyperlink 3" xfId="30499" hidden="1" xr:uid="{00000000-0005-0000-0000-00006E520000}"/>
    <cellStyle name="Followed Hyperlink 3" xfId="30498" hidden="1" xr:uid="{00000000-0005-0000-0000-00006F520000}"/>
    <cellStyle name="Followed Hyperlink 3" xfId="30504" hidden="1" xr:uid="{00000000-0005-0000-0000-000070520000}"/>
    <cellStyle name="Followed Hyperlink 3" xfId="30507" hidden="1" xr:uid="{00000000-0005-0000-0000-000071520000}"/>
    <cellStyle name="Followed Hyperlink 3" xfId="30510" hidden="1" xr:uid="{00000000-0005-0000-0000-000072520000}"/>
    <cellStyle name="Followed Hyperlink 3" xfId="30515" hidden="1" xr:uid="{00000000-0005-0000-0000-000073520000}"/>
    <cellStyle name="Followed Hyperlink 3" xfId="30525" hidden="1" xr:uid="{00000000-0005-0000-0000-000074520000}"/>
    <cellStyle name="Followed Hyperlink 3" xfId="30527" hidden="1" xr:uid="{00000000-0005-0000-0000-000075520000}"/>
    <cellStyle name="Followed Hyperlink 3" xfId="30523" hidden="1" xr:uid="{00000000-0005-0000-0000-000076520000}"/>
    <cellStyle name="Followed Hyperlink 3" xfId="30522" hidden="1" xr:uid="{00000000-0005-0000-0000-000077520000}"/>
    <cellStyle name="Followed Hyperlink 3" xfId="30528" hidden="1" xr:uid="{00000000-0005-0000-0000-000078520000}"/>
    <cellStyle name="Followed Hyperlink 3" xfId="30531" hidden="1" xr:uid="{00000000-0005-0000-0000-000079520000}"/>
    <cellStyle name="Followed Hyperlink 3" xfId="30534" hidden="1" xr:uid="{00000000-0005-0000-0000-00007A520000}"/>
    <cellStyle name="Followed Hyperlink 3" xfId="30539" hidden="1" xr:uid="{00000000-0005-0000-0000-00007B520000}"/>
    <cellStyle name="Followed Hyperlink 3" xfId="30350" hidden="1" xr:uid="{00000000-0005-0000-0000-00007C520000}"/>
    <cellStyle name="Followed Hyperlink 3" xfId="30493" hidden="1" xr:uid="{00000000-0005-0000-0000-00007D520000}"/>
    <cellStyle name="Followed Hyperlink 3" xfId="30347" hidden="1" xr:uid="{00000000-0005-0000-0000-00007E520000}"/>
    <cellStyle name="Followed Hyperlink 3" xfId="30339" hidden="1" xr:uid="{00000000-0005-0000-0000-00007F520000}"/>
    <cellStyle name="Followed Hyperlink 3" xfId="30344" hidden="1" xr:uid="{00000000-0005-0000-0000-000080520000}"/>
    <cellStyle name="Followed Hyperlink 3" xfId="30544" hidden="1" xr:uid="{00000000-0005-0000-0000-000081520000}"/>
    <cellStyle name="Followed Hyperlink 3" xfId="30547" hidden="1" xr:uid="{00000000-0005-0000-0000-000082520000}"/>
    <cellStyle name="Followed Hyperlink 3" xfId="30552" hidden="1" xr:uid="{00000000-0005-0000-0000-000083520000}"/>
    <cellStyle name="Followed Hyperlink 3" xfId="30562" hidden="1" xr:uid="{00000000-0005-0000-0000-000084520000}"/>
    <cellStyle name="Followed Hyperlink 3" xfId="30564" hidden="1" xr:uid="{00000000-0005-0000-0000-000085520000}"/>
    <cellStyle name="Followed Hyperlink 3" xfId="30560" hidden="1" xr:uid="{00000000-0005-0000-0000-000086520000}"/>
    <cellStyle name="Followed Hyperlink 3" xfId="30559" hidden="1" xr:uid="{00000000-0005-0000-0000-000087520000}"/>
    <cellStyle name="Followed Hyperlink 3" xfId="30565" hidden="1" xr:uid="{00000000-0005-0000-0000-000088520000}"/>
    <cellStyle name="Followed Hyperlink 3" xfId="30568" hidden="1" xr:uid="{00000000-0005-0000-0000-000089520000}"/>
    <cellStyle name="Followed Hyperlink 3" xfId="30571" hidden="1" xr:uid="{00000000-0005-0000-0000-00008A520000}"/>
    <cellStyle name="Followed Hyperlink 3" xfId="30576" hidden="1" xr:uid="{00000000-0005-0000-0000-00008B520000}"/>
    <cellStyle name="Followed Hyperlink 3" xfId="30587" hidden="1" xr:uid="{00000000-0005-0000-0000-00008C520000}"/>
    <cellStyle name="Followed Hyperlink 3" xfId="30589" hidden="1" xr:uid="{00000000-0005-0000-0000-00008D520000}"/>
    <cellStyle name="Followed Hyperlink 3" xfId="30585" hidden="1" xr:uid="{00000000-0005-0000-0000-00008E520000}"/>
    <cellStyle name="Followed Hyperlink 3" xfId="30584" hidden="1" xr:uid="{00000000-0005-0000-0000-00008F520000}"/>
    <cellStyle name="Followed Hyperlink 3" xfId="30590" hidden="1" xr:uid="{00000000-0005-0000-0000-000090520000}"/>
    <cellStyle name="Followed Hyperlink 3" xfId="30593" hidden="1" xr:uid="{00000000-0005-0000-0000-000091520000}"/>
    <cellStyle name="Followed Hyperlink 3" xfId="30596" hidden="1" xr:uid="{00000000-0005-0000-0000-000092520000}"/>
    <cellStyle name="Followed Hyperlink 3" xfId="30601" hidden="1" xr:uid="{00000000-0005-0000-0000-000093520000}"/>
    <cellStyle name="Followed Hyperlink 3" xfId="30611" hidden="1" xr:uid="{00000000-0005-0000-0000-000094520000}"/>
    <cellStyle name="Followed Hyperlink 3" xfId="30613" hidden="1" xr:uid="{00000000-0005-0000-0000-000095520000}"/>
    <cellStyle name="Followed Hyperlink 3" xfId="30609" hidden="1" xr:uid="{00000000-0005-0000-0000-000096520000}"/>
    <cellStyle name="Followed Hyperlink 3" xfId="30608" hidden="1" xr:uid="{00000000-0005-0000-0000-000097520000}"/>
    <cellStyle name="Followed Hyperlink 3" xfId="30614" hidden="1" xr:uid="{00000000-0005-0000-0000-000098520000}"/>
    <cellStyle name="Followed Hyperlink 3" xfId="30617" hidden="1" xr:uid="{00000000-0005-0000-0000-000099520000}"/>
    <cellStyle name="Followed Hyperlink 3" xfId="30620" hidden="1" xr:uid="{00000000-0005-0000-0000-00009A520000}"/>
    <cellStyle name="Followed Hyperlink 3" xfId="30625" hidden="1" xr:uid="{00000000-0005-0000-0000-00009B520000}"/>
    <cellStyle name="Followed Hyperlink 3" xfId="30355" hidden="1" xr:uid="{00000000-0005-0000-0000-00009C520000}"/>
    <cellStyle name="Followed Hyperlink 3" xfId="30579" hidden="1" xr:uid="{00000000-0005-0000-0000-00009D520000}"/>
    <cellStyle name="Followed Hyperlink 3" xfId="30351" hidden="1" xr:uid="{00000000-0005-0000-0000-00009E520000}"/>
    <cellStyle name="Followed Hyperlink 3" xfId="30356" hidden="1" xr:uid="{00000000-0005-0000-0000-00009F520000}"/>
    <cellStyle name="Followed Hyperlink 3" xfId="30343" hidden="1" xr:uid="{00000000-0005-0000-0000-0000A0520000}"/>
    <cellStyle name="Followed Hyperlink 3" xfId="30630" hidden="1" xr:uid="{00000000-0005-0000-0000-0000A1520000}"/>
    <cellStyle name="Followed Hyperlink 3" xfId="30633" hidden="1" xr:uid="{00000000-0005-0000-0000-0000A2520000}"/>
    <cellStyle name="Followed Hyperlink 3" xfId="30638" hidden="1" xr:uid="{00000000-0005-0000-0000-0000A3520000}"/>
    <cellStyle name="Followed Hyperlink 3" xfId="30648" hidden="1" xr:uid="{00000000-0005-0000-0000-0000A4520000}"/>
    <cellStyle name="Followed Hyperlink 3" xfId="30650" hidden="1" xr:uid="{00000000-0005-0000-0000-0000A5520000}"/>
    <cellStyle name="Followed Hyperlink 3" xfId="30646" hidden="1" xr:uid="{00000000-0005-0000-0000-0000A6520000}"/>
    <cellStyle name="Followed Hyperlink 3" xfId="30645" hidden="1" xr:uid="{00000000-0005-0000-0000-0000A7520000}"/>
    <cellStyle name="Followed Hyperlink 3" xfId="30651" hidden="1" xr:uid="{00000000-0005-0000-0000-0000A8520000}"/>
    <cellStyle name="Followed Hyperlink 3" xfId="30654" hidden="1" xr:uid="{00000000-0005-0000-0000-0000A9520000}"/>
    <cellStyle name="Followed Hyperlink 3" xfId="30657" hidden="1" xr:uid="{00000000-0005-0000-0000-0000AA520000}"/>
    <cellStyle name="Followed Hyperlink 3" xfId="30662" hidden="1" xr:uid="{00000000-0005-0000-0000-0000AB520000}"/>
    <cellStyle name="Followed Hyperlink 3" xfId="30672" hidden="1" xr:uid="{00000000-0005-0000-0000-0000AC520000}"/>
    <cellStyle name="Followed Hyperlink 3" xfId="30674" hidden="1" xr:uid="{00000000-0005-0000-0000-0000AD520000}"/>
    <cellStyle name="Followed Hyperlink 3" xfId="30670" hidden="1" xr:uid="{00000000-0005-0000-0000-0000AE520000}"/>
    <cellStyle name="Followed Hyperlink 3" xfId="30669" hidden="1" xr:uid="{00000000-0005-0000-0000-0000AF520000}"/>
    <cellStyle name="Followed Hyperlink 3" xfId="30675" hidden="1" xr:uid="{00000000-0005-0000-0000-0000B0520000}"/>
    <cellStyle name="Followed Hyperlink 3" xfId="30678" hidden="1" xr:uid="{00000000-0005-0000-0000-0000B1520000}"/>
    <cellStyle name="Followed Hyperlink 3" xfId="30681" hidden="1" xr:uid="{00000000-0005-0000-0000-0000B2520000}"/>
    <cellStyle name="Followed Hyperlink 3" xfId="30686" hidden="1" xr:uid="{00000000-0005-0000-0000-0000B3520000}"/>
    <cellStyle name="Followed Hyperlink 3" xfId="30696" hidden="1" xr:uid="{00000000-0005-0000-0000-0000B4520000}"/>
    <cellStyle name="Followed Hyperlink 3" xfId="30698" hidden="1" xr:uid="{00000000-0005-0000-0000-0000B5520000}"/>
    <cellStyle name="Followed Hyperlink 3" xfId="30694" hidden="1" xr:uid="{00000000-0005-0000-0000-0000B6520000}"/>
    <cellStyle name="Followed Hyperlink 3" xfId="30693" hidden="1" xr:uid="{00000000-0005-0000-0000-0000B7520000}"/>
    <cellStyle name="Followed Hyperlink 3" xfId="30699" hidden="1" xr:uid="{00000000-0005-0000-0000-0000B8520000}"/>
    <cellStyle name="Followed Hyperlink 3" xfId="30702" hidden="1" xr:uid="{00000000-0005-0000-0000-0000B9520000}"/>
    <cellStyle name="Followed Hyperlink 3" xfId="30705" hidden="1" xr:uid="{00000000-0005-0000-0000-0000BA520000}"/>
    <cellStyle name="Followed Hyperlink 3" xfId="30710" hidden="1" xr:uid="{00000000-0005-0000-0000-0000BB520000}"/>
    <cellStyle name="Followed Hyperlink 3" xfId="29288" hidden="1" xr:uid="{00000000-0005-0000-0000-0000BC520000}"/>
    <cellStyle name="Followed Hyperlink 3" xfId="30280" hidden="1" xr:uid="{00000000-0005-0000-0000-0000BD520000}"/>
    <cellStyle name="Followed Hyperlink 3" xfId="29284" hidden="1" xr:uid="{00000000-0005-0000-0000-0000BE520000}"/>
    <cellStyle name="Followed Hyperlink 3" xfId="29289" hidden="1" xr:uid="{00000000-0005-0000-0000-0000BF520000}"/>
    <cellStyle name="Followed Hyperlink 3" xfId="29276" hidden="1" xr:uid="{00000000-0005-0000-0000-0000C0520000}"/>
    <cellStyle name="Followed Hyperlink 3" xfId="30715" hidden="1" xr:uid="{00000000-0005-0000-0000-0000C1520000}"/>
    <cellStyle name="Followed Hyperlink 3" xfId="30718" hidden="1" xr:uid="{00000000-0005-0000-0000-0000C2520000}"/>
    <cellStyle name="Followed Hyperlink 3" xfId="30723" hidden="1" xr:uid="{00000000-0005-0000-0000-0000C3520000}"/>
    <cellStyle name="Followed Hyperlink 3" xfId="30733" hidden="1" xr:uid="{00000000-0005-0000-0000-0000C4520000}"/>
    <cellStyle name="Followed Hyperlink 3" xfId="30735" hidden="1" xr:uid="{00000000-0005-0000-0000-0000C5520000}"/>
    <cellStyle name="Followed Hyperlink 3" xfId="30731" hidden="1" xr:uid="{00000000-0005-0000-0000-0000C6520000}"/>
    <cellStyle name="Followed Hyperlink 3" xfId="30730" hidden="1" xr:uid="{00000000-0005-0000-0000-0000C7520000}"/>
    <cellStyle name="Followed Hyperlink 3" xfId="30736" hidden="1" xr:uid="{00000000-0005-0000-0000-0000C8520000}"/>
    <cellStyle name="Followed Hyperlink 3" xfId="30739" hidden="1" xr:uid="{00000000-0005-0000-0000-0000C9520000}"/>
    <cellStyle name="Followed Hyperlink 3" xfId="30742" hidden="1" xr:uid="{00000000-0005-0000-0000-0000CA520000}"/>
    <cellStyle name="Followed Hyperlink 3" xfId="30747" hidden="1" xr:uid="{00000000-0005-0000-0000-0000CB520000}"/>
    <cellStyle name="Followed Hyperlink 3" xfId="30757" hidden="1" xr:uid="{00000000-0005-0000-0000-0000CC520000}"/>
    <cellStyle name="Followed Hyperlink 3" xfId="30759" hidden="1" xr:uid="{00000000-0005-0000-0000-0000CD520000}"/>
    <cellStyle name="Followed Hyperlink 3" xfId="30755" hidden="1" xr:uid="{00000000-0005-0000-0000-0000CE520000}"/>
    <cellStyle name="Followed Hyperlink 3" xfId="30754" hidden="1" xr:uid="{00000000-0005-0000-0000-0000CF520000}"/>
    <cellStyle name="Followed Hyperlink 3" xfId="30760" hidden="1" xr:uid="{00000000-0005-0000-0000-0000D0520000}"/>
    <cellStyle name="Followed Hyperlink 3" xfId="30763" hidden="1" xr:uid="{00000000-0005-0000-0000-0000D1520000}"/>
    <cellStyle name="Followed Hyperlink 3" xfId="30766" hidden="1" xr:uid="{00000000-0005-0000-0000-0000D2520000}"/>
    <cellStyle name="Followed Hyperlink 3" xfId="30771" hidden="1" xr:uid="{00000000-0005-0000-0000-0000D3520000}"/>
    <cellStyle name="Followed Hyperlink 3" xfId="30781" hidden="1" xr:uid="{00000000-0005-0000-0000-0000D4520000}"/>
    <cellStyle name="Followed Hyperlink 3" xfId="30783" hidden="1" xr:uid="{00000000-0005-0000-0000-0000D5520000}"/>
    <cellStyle name="Followed Hyperlink 3" xfId="30779" hidden="1" xr:uid="{00000000-0005-0000-0000-0000D6520000}"/>
    <cellStyle name="Followed Hyperlink 3" xfId="30778" hidden="1" xr:uid="{00000000-0005-0000-0000-0000D7520000}"/>
    <cellStyle name="Followed Hyperlink 3" xfId="30784" hidden="1" xr:uid="{00000000-0005-0000-0000-0000D8520000}"/>
    <cellStyle name="Followed Hyperlink 3" xfId="30787" hidden="1" xr:uid="{00000000-0005-0000-0000-0000D9520000}"/>
    <cellStyle name="Followed Hyperlink 3" xfId="30790" hidden="1" xr:uid="{00000000-0005-0000-0000-0000DA520000}"/>
    <cellStyle name="Followed Hyperlink 3" xfId="30795" hidden="1" xr:uid="{00000000-0005-0000-0000-0000DB520000}"/>
    <cellStyle name="Followed Hyperlink 3" xfId="30834" hidden="1" xr:uid="{00000000-0005-0000-0000-0000DC520000}"/>
    <cellStyle name="Followed Hyperlink 3" xfId="30836" hidden="1" xr:uid="{00000000-0005-0000-0000-0000DD520000}"/>
    <cellStyle name="Followed Hyperlink 3" xfId="30832" hidden="1" xr:uid="{00000000-0005-0000-0000-0000DE520000}"/>
    <cellStyle name="Followed Hyperlink 3" xfId="30831" hidden="1" xr:uid="{00000000-0005-0000-0000-0000DF520000}"/>
    <cellStyle name="Followed Hyperlink 3" xfId="30837" hidden="1" xr:uid="{00000000-0005-0000-0000-0000E0520000}"/>
    <cellStyle name="Followed Hyperlink 3" xfId="30840" hidden="1" xr:uid="{00000000-0005-0000-0000-0000E1520000}"/>
    <cellStyle name="Followed Hyperlink 3" xfId="30843" hidden="1" xr:uid="{00000000-0005-0000-0000-0000E2520000}"/>
    <cellStyle name="Followed Hyperlink 3" xfId="30848" hidden="1" xr:uid="{00000000-0005-0000-0000-0000E3520000}"/>
    <cellStyle name="Followed Hyperlink 3" xfId="30858" hidden="1" xr:uid="{00000000-0005-0000-0000-0000E4520000}"/>
    <cellStyle name="Followed Hyperlink 3" xfId="30860" hidden="1" xr:uid="{00000000-0005-0000-0000-0000E5520000}"/>
    <cellStyle name="Followed Hyperlink 3" xfId="30856" hidden="1" xr:uid="{00000000-0005-0000-0000-0000E6520000}"/>
    <cellStyle name="Followed Hyperlink 3" xfId="30855" hidden="1" xr:uid="{00000000-0005-0000-0000-0000E7520000}"/>
    <cellStyle name="Followed Hyperlink 3" xfId="30861" hidden="1" xr:uid="{00000000-0005-0000-0000-0000E8520000}"/>
    <cellStyle name="Followed Hyperlink 3" xfId="30864" hidden="1" xr:uid="{00000000-0005-0000-0000-0000E9520000}"/>
    <cellStyle name="Followed Hyperlink 3" xfId="30867" hidden="1" xr:uid="{00000000-0005-0000-0000-0000EA520000}"/>
    <cellStyle name="Followed Hyperlink 3" xfId="30872" hidden="1" xr:uid="{00000000-0005-0000-0000-0000EB520000}"/>
    <cellStyle name="Followed Hyperlink 3" xfId="30884" hidden="1" xr:uid="{00000000-0005-0000-0000-0000EC520000}"/>
    <cellStyle name="Followed Hyperlink 3" xfId="30886" hidden="1" xr:uid="{00000000-0005-0000-0000-0000ED520000}"/>
    <cellStyle name="Followed Hyperlink 3" xfId="30882" hidden="1" xr:uid="{00000000-0005-0000-0000-0000EE520000}"/>
    <cellStyle name="Followed Hyperlink 3" xfId="30881" hidden="1" xr:uid="{00000000-0005-0000-0000-0000EF520000}"/>
    <cellStyle name="Followed Hyperlink 3" xfId="30887" hidden="1" xr:uid="{00000000-0005-0000-0000-0000F0520000}"/>
    <cellStyle name="Followed Hyperlink 3" xfId="30890" hidden="1" xr:uid="{00000000-0005-0000-0000-0000F1520000}"/>
    <cellStyle name="Followed Hyperlink 3" xfId="30893" hidden="1" xr:uid="{00000000-0005-0000-0000-0000F2520000}"/>
    <cellStyle name="Followed Hyperlink 3" xfId="30898" hidden="1" xr:uid="{00000000-0005-0000-0000-0000F3520000}"/>
    <cellStyle name="Followed Hyperlink 3" xfId="30908" hidden="1" xr:uid="{00000000-0005-0000-0000-0000F4520000}"/>
    <cellStyle name="Followed Hyperlink 3" xfId="30910" hidden="1" xr:uid="{00000000-0005-0000-0000-0000F5520000}"/>
    <cellStyle name="Followed Hyperlink 3" xfId="30906" hidden="1" xr:uid="{00000000-0005-0000-0000-0000F6520000}"/>
    <cellStyle name="Followed Hyperlink 3" xfId="30905" hidden="1" xr:uid="{00000000-0005-0000-0000-0000F7520000}"/>
    <cellStyle name="Followed Hyperlink 3" xfId="30911" hidden="1" xr:uid="{00000000-0005-0000-0000-0000F8520000}"/>
    <cellStyle name="Followed Hyperlink 3" xfId="30914" hidden="1" xr:uid="{00000000-0005-0000-0000-0000F9520000}"/>
    <cellStyle name="Followed Hyperlink 3" xfId="30917" hidden="1" xr:uid="{00000000-0005-0000-0000-0000FA520000}"/>
    <cellStyle name="Followed Hyperlink 3" xfId="30922" hidden="1" xr:uid="{00000000-0005-0000-0000-0000FB520000}"/>
    <cellStyle name="Followed Hyperlink 3" xfId="30798" hidden="1" xr:uid="{00000000-0005-0000-0000-0000FC520000}"/>
    <cellStyle name="Followed Hyperlink 3" xfId="30875" hidden="1" xr:uid="{00000000-0005-0000-0000-0000FD520000}"/>
    <cellStyle name="Followed Hyperlink 3" xfId="30802" hidden="1" xr:uid="{00000000-0005-0000-0000-0000FE520000}"/>
    <cellStyle name="Followed Hyperlink 3" xfId="30803" hidden="1" xr:uid="{00000000-0005-0000-0000-0000FF520000}"/>
    <cellStyle name="Followed Hyperlink 3" xfId="30806" hidden="1" xr:uid="{00000000-0005-0000-0000-000000530000}"/>
    <cellStyle name="Followed Hyperlink 3" xfId="30927" hidden="1" xr:uid="{00000000-0005-0000-0000-000001530000}"/>
    <cellStyle name="Followed Hyperlink 3" xfId="30930" hidden="1" xr:uid="{00000000-0005-0000-0000-000002530000}"/>
    <cellStyle name="Followed Hyperlink 3" xfId="30935" hidden="1" xr:uid="{00000000-0005-0000-0000-000003530000}"/>
    <cellStyle name="Followed Hyperlink 3" xfId="30945" hidden="1" xr:uid="{00000000-0005-0000-0000-000004530000}"/>
    <cellStyle name="Followed Hyperlink 3" xfId="30947" hidden="1" xr:uid="{00000000-0005-0000-0000-000005530000}"/>
    <cellStyle name="Followed Hyperlink 3" xfId="30943" hidden="1" xr:uid="{00000000-0005-0000-0000-000006530000}"/>
    <cellStyle name="Followed Hyperlink 3" xfId="30942" hidden="1" xr:uid="{00000000-0005-0000-0000-000007530000}"/>
    <cellStyle name="Followed Hyperlink 3" xfId="30948" hidden="1" xr:uid="{00000000-0005-0000-0000-000008530000}"/>
    <cellStyle name="Followed Hyperlink 3" xfId="30951" hidden="1" xr:uid="{00000000-0005-0000-0000-000009530000}"/>
    <cellStyle name="Followed Hyperlink 3" xfId="30954" hidden="1" xr:uid="{00000000-0005-0000-0000-00000A530000}"/>
    <cellStyle name="Followed Hyperlink 3" xfId="30959" hidden="1" xr:uid="{00000000-0005-0000-0000-00000B530000}"/>
    <cellStyle name="Followed Hyperlink 3" xfId="30970" hidden="1" xr:uid="{00000000-0005-0000-0000-00000C530000}"/>
    <cellStyle name="Followed Hyperlink 3" xfId="30972" hidden="1" xr:uid="{00000000-0005-0000-0000-00000D530000}"/>
    <cellStyle name="Followed Hyperlink 3" xfId="30968" hidden="1" xr:uid="{00000000-0005-0000-0000-00000E530000}"/>
    <cellStyle name="Followed Hyperlink 3" xfId="30967" hidden="1" xr:uid="{00000000-0005-0000-0000-00000F530000}"/>
    <cellStyle name="Followed Hyperlink 3" xfId="30973" hidden="1" xr:uid="{00000000-0005-0000-0000-000010530000}"/>
    <cellStyle name="Followed Hyperlink 3" xfId="30976" hidden="1" xr:uid="{00000000-0005-0000-0000-000011530000}"/>
    <cellStyle name="Followed Hyperlink 3" xfId="30979" hidden="1" xr:uid="{00000000-0005-0000-0000-000012530000}"/>
    <cellStyle name="Followed Hyperlink 3" xfId="30984" hidden="1" xr:uid="{00000000-0005-0000-0000-000013530000}"/>
    <cellStyle name="Followed Hyperlink 3" xfId="30994" hidden="1" xr:uid="{00000000-0005-0000-0000-000014530000}"/>
    <cellStyle name="Followed Hyperlink 3" xfId="30996" hidden="1" xr:uid="{00000000-0005-0000-0000-000015530000}"/>
    <cellStyle name="Followed Hyperlink 3" xfId="30992" hidden="1" xr:uid="{00000000-0005-0000-0000-000016530000}"/>
    <cellStyle name="Followed Hyperlink 3" xfId="30991" hidden="1" xr:uid="{00000000-0005-0000-0000-000017530000}"/>
    <cellStyle name="Followed Hyperlink 3" xfId="30997" hidden="1" xr:uid="{00000000-0005-0000-0000-000018530000}"/>
    <cellStyle name="Followed Hyperlink 3" xfId="31000" hidden="1" xr:uid="{00000000-0005-0000-0000-000019530000}"/>
    <cellStyle name="Followed Hyperlink 3" xfId="31003" hidden="1" xr:uid="{00000000-0005-0000-0000-00001A530000}"/>
    <cellStyle name="Followed Hyperlink 3" xfId="31008" hidden="1" xr:uid="{00000000-0005-0000-0000-00001B530000}"/>
    <cellStyle name="Followed Hyperlink 3" xfId="30819" hidden="1" xr:uid="{00000000-0005-0000-0000-00001C530000}"/>
    <cellStyle name="Followed Hyperlink 3" xfId="30962" hidden="1" xr:uid="{00000000-0005-0000-0000-00001D530000}"/>
    <cellStyle name="Followed Hyperlink 3" xfId="30816" hidden="1" xr:uid="{00000000-0005-0000-0000-00001E530000}"/>
    <cellStyle name="Followed Hyperlink 3" xfId="30808" hidden="1" xr:uid="{00000000-0005-0000-0000-00001F530000}"/>
    <cellStyle name="Followed Hyperlink 3" xfId="30813" hidden="1" xr:uid="{00000000-0005-0000-0000-000020530000}"/>
    <cellStyle name="Followed Hyperlink 3" xfId="31013" hidden="1" xr:uid="{00000000-0005-0000-0000-000021530000}"/>
    <cellStyle name="Followed Hyperlink 3" xfId="31016" hidden="1" xr:uid="{00000000-0005-0000-0000-000022530000}"/>
    <cellStyle name="Followed Hyperlink 3" xfId="31021" hidden="1" xr:uid="{00000000-0005-0000-0000-000023530000}"/>
    <cellStyle name="Followed Hyperlink 3" xfId="31031" hidden="1" xr:uid="{00000000-0005-0000-0000-000024530000}"/>
    <cellStyle name="Followed Hyperlink 3" xfId="31033" hidden="1" xr:uid="{00000000-0005-0000-0000-000025530000}"/>
    <cellStyle name="Followed Hyperlink 3" xfId="31029" hidden="1" xr:uid="{00000000-0005-0000-0000-000026530000}"/>
    <cellStyle name="Followed Hyperlink 3" xfId="31028" hidden="1" xr:uid="{00000000-0005-0000-0000-000027530000}"/>
    <cellStyle name="Followed Hyperlink 3" xfId="31034" hidden="1" xr:uid="{00000000-0005-0000-0000-000028530000}"/>
    <cellStyle name="Followed Hyperlink 3" xfId="31037" hidden="1" xr:uid="{00000000-0005-0000-0000-000029530000}"/>
    <cellStyle name="Followed Hyperlink 3" xfId="31040" hidden="1" xr:uid="{00000000-0005-0000-0000-00002A530000}"/>
    <cellStyle name="Followed Hyperlink 3" xfId="31045" hidden="1" xr:uid="{00000000-0005-0000-0000-00002B530000}"/>
    <cellStyle name="Followed Hyperlink 3" xfId="31056" hidden="1" xr:uid="{00000000-0005-0000-0000-00002C530000}"/>
    <cellStyle name="Followed Hyperlink 3" xfId="31058" hidden="1" xr:uid="{00000000-0005-0000-0000-00002D530000}"/>
    <cellStyle name="Followed Hyperlink 3" xfId="31054" hidden="1" xr:uid="{00000000-0005-0000-0000-00002E530000}"/>
    <cellStyle name="Followed Hyperlink 3" xfId="31053" hidden="1" xr:uid="{00000000-0005-0000-0000-00002F530000}"/>
    <cellStyle name="Followed Hyperlink 3" xfId="31059" hidden="1" xr:uid="{00000000-0005-0000-0000-000030530000}"/>
    <cellStyle name="Followed Hyperlink 3" xfId="31062" hidden="1" xr:uid="{00000000-0005-0000-0000-000031530000}"/>
    <cellStyle name="Followed Hyperlink 3" xfId="31065" hidden="1" xr:uid="{00000000-0005-0000-0000-000032530000}"/>
    <cellStyle name="Followed Hyperlink 3" xfId="31070" hidden="1" xr:uid="{00000000-0005-0000-0000-000033530000}"/>
    <cellStyle name="Followed Hyperlink 3" xfId="31080" hidden="1" xr:uid="{00000000-0005-0000-0000-000034530000}"/>
    <cellStyle name="Followed Hyperlink 3" xfId="31082" hidden="1" xr:uid="{00000000-0005-0000-0000-000035530000}"/>
    <cellStyle name="Followed Hyperlink 3" xfId="31078" hidden="1" xr:uid="{00000000-0005-0000-0000-000036530000}"/>
    <cellStyle name="Followed Hyperlink 3" xfId="31077" hidden="1" xr:uid="{00000000-0005-0000-0000-000037530000}"/>
    <cellStyle name="Followed Hyperlink 3" xfId="31083" hidden="1" xr:uid="{00000000-0005-0000-0000-000038530000}"/>
    <cellStyle name="Followed Hyperlink 3" xfId="31086" hidden="1" xr:uid="{00000000-0005-0000-0000-000039530000}"/>
    <cellStyle name="Followed Hyperlink 3" xfId="31089" hidden="1" xr:uid="{00000000-0005-0000-0000-00003A530000}"/>
    <cellStyle name="Followed Hyperlink 3" xfId="31094" hidden="1" xr:uid="{00000000-0005-0000-0000-00003B530000}"/>
    <cellStyle name="Followed Hyperlink 3" xfId="30824" hidden="1" xr:uid="{00000000-0005-0000-0000-00003C530000}"/>
    <cellStyle name="Followed Hyperlink 3" xfId="31048" hidden="1" xr:uid="{00000000-0005-0000-0000-00003D530000}"/>
    <cellStyle name="Followed Hyperlink 3" xfId="30820" hidden="1" xr:uid="{00000000-0005-0000-0000-00003E530000}"/>
    <cellStyle name="Followed Hyperlink 3" xfId="30825" hidden="1" xr:uid="{00000000-0005-0000-0000-00003F530000}"/>
    <cellStyle name="Followed Hyperlink 3" xfId="30812" hidden="1" xr:uid="{00000000-0005-0000-0000-000040530000}"/>
    <cellStyle name="Followed Hyperlink 3" xfId="31099" hidden="1" xr:uid="{00000000-0005-0000-0000-000041530000}"/>
    <cellStyle name="Followed Hyperlink 3" xfId="31102" hidden="1" xr:uid="{00000000-0005-0000-0000-000042530000}"/>
    <cellStyle name="Followed Hyperlink 3" xfId="31107" hidden="1" xr:uid="{00000000-0005-0000-0000-000043530000}"/>
    <cellStyle name="Followed Hyperlink 3" xfId="31117" hidden="1" xr:uid="{00000000-0005-0000-0000-000044530000}"/>
    <cellStyle name="Followed Hyperlink 3" xfId="31119" hidden="1" xr:uid="{00000000-0005-0000-0000-000045530000}"/>
    <cellStyle name="Followed Hyperlink 3" xfId="31115" hidden="1" xr:uid="{00000000-0005-0000-0000-000046530000}"/>
    <cellStyle name="Followed Hyperlink 3" xfId="31114" hidden="1" xr:uid="{00000000-0005-0000-0000-000047530000}"/>
    <cellStyle name="Followed Hyperlink 3" xfId="31120" hidden="1" xr:uid="{00000000-0005-0000-0000-000048530000}"/>
    <cellStyle name="Followed Hyperlink 3" xfId="31123" hidden="1" xr:uid="{00000000-0005-0000-0000-000049530000}"/>
    <cellStyle name="Followed Hyperlink 3" xfId="31126" hidden="1" xr:uid="{00000000-0005-0000-0000-00004A530000}"/>
    <cellStyle name="Followed Hyperlink 3" xfId="31131" hidden="1" xr:uid="{00000000-0005-0000-0000-00004B530000}"/>
    <cellStyle name="Followed Hyperlink 3" xfId="31141" hidden="1" xr:uid="{00000000-0005-0000-0000-00004C530000}"/>
    <cellStyle name="Followed Hyperlink 3" xfId="31143" hidden="1" xr:uid="{00000000-0005-0000-0000-00004D530000}"/>
    <cellStyle name="Followed Hyperlink 3" xfId="31139" hidden="1" xr:uid="{00000000-0005-0000-0000-00004E530000}"/>
    <cellStyle name="Followed Hyperlink 3" xfId="31138" hidden="1" xr:uid="{00000000-0005-0000-0000-00004F530000}"/>
    <cellStyle name="Followed Hyperlink 3" xfId="31144" hidden="1" xr:uid="{00000000-0005-0000-0000-000050530000}"/>
    <cellStyle name="Followed Hyperlink 3" xfId="31147" hidden="1" xr:uid="{00000000-0005-0000-0000-000051530000}"/>
    <cellStyle name="Followed Hyperlink 3" xfId="31150" hidden="1" xr:uid="{00000000-0005-0000-0000-000052530000}"/>
    <cellStyle name="Followed Hyperlink 3" xfId="31155" hidden="1" xr:uid="{00000000-0005-0000-0000-000053530000}"/>
    <cellStyle name="Followed Hyperlink 3" xfId="31165" hidden="1" xr:uid="{00000000-0005-0000-0000-000054530000}"/>
    <cellStyle name="Followed Hyperlink 3" xfId="31167" hidden="1" xr:uid="{00000000-0005-0000-0000-000055530000}"/>
    <cellStyle name="Followed Hyperlink 3" xfId="31163" hidden="1" xr:uid="{00000000-0005-0000-0000-000056530000}"/>
    <cellStyle name="Followed Hyperlink 3" xfId="31162" hidden="1" xr:uid="{00000000-0005-0000-0000-000057530000}"/>
    <cellStyle name="Followed Hyperlink 3" xfId="31168" hidden="1" xr:uid="{00000000-0005-0000-0000-000058530000}"/>
    <cellStyle name="Followed Hyperlink 3" xfId="31171" hidden="1" xr:uid="{00000000-0005-0000-0000-000059530000}"/>
    <cellStyle name="Followed Hyperlink 3" xfId="31174" hidden="1" xr:uid="{00000000-0005-0000-0000-00005A530000}"/>
    <cellStyle name="Followed Hyperlink 3" xfId="31179" hidden="1" xr:uid="{00000000-0005-0000-0000-00005B530000}"/>
    <cellStyle name="Followed Hyperlink 3" xfId="25149" hidden="1" xr:uid="{00000000-0005-0000-0000-00005C530000}"/>
    <cellStyle name="Followed Hyperlink 3" xfId="29213" hidden="1" xr:uid="{00000000-0005-0000-0000-00005D530000}"/>
    <cellStyle name="Followed Hyperlink 3" xfId="25145" hidden="1" xr:uid="{00000000-0005-0000-0000-00005E530000}"/>
    <cellStyle name="Followed Hyperlink 3" xfId="25150" hidden="1" xr:uid="{00000000-0005-0000-0000-00005F530000}"/>
    <cellStyle name="Followed Hyperlink 3" xfId="25137" hidden="1" xr:uid="{00000000-0005-0000-0000-000060530000}"/>
    <cellStyle name="Followed Hyperlink 3" xfId="31184" hidden="1" xr:uid="{00000000-0005-0000-0000-000061530000}"/>
    <cellStyle name="Followed Hyperlink 3" xfId="31187" hidden="1" xr:uid="{00000000-0005-0000-0000-000062530000}"/>
    <cellStyle name="Followed Hyperlink 3" xfId="31192" hidden="1" xr:uid="{00000000-0005-0000-0000-000063530000}"/>
    <cellStyle name="Followed Hyperlink 3" xfId="31202" hidden="1" xr:uid="{00000000-0005-0000-0000-000064530000}"/>
    <cellStyle name="Followed Hyperlink 3" xfId="31204" hidden="1" xr:uid="{00000000-0005-0000-0000-000065530000}"/>
    <cellStyle name="Followed Hyperlink 3" xfId="31200" hidden="1" xr:uid="{00000000-0005-0000-0000-000066530000}"/>
    <cellStyle name="Followed Hyperlink 3" xfId="31199" hidden="1" xr:uid="{00000000-0005-0000-0000-000067530000}"/>
    <cellStyle name="Followed Hyperlink 3" xfId="31205" hidden="1" xr:uid="{00000000-0005-0000-0000-000068530000}"/>
    <cellStyle name="Followed Hyperlink 3" xfId="31208" hidden="1" xr:uid="{00000000-0005-0000-0000-000069530000}"/>
    <cellStyle name="Followed Hyperlink 3" xfId="31211" hidden="1" xr:uid="{00000000-0005-0000-0000-00006A530000}"/>
    <cellStyle name="Followed Hyperlink 3" xfId="31216" hidden="1" xr:uid="{00000000-0005-0000-0000-00006B530000}"/>
    <cellStyle name="Followed Hyperlink 3" xfId="31226" hidden="1" xr:uid="{00000000-0005-0000-0000-00006C530000}"/>
    <cellStyle name="Followed Hyperlink 3" xfId="31228" hidden="1" xr:uid="{00000000-0005-0000-0000-00006D530000}"/>
    <cellStyle name="Followed Hyperlink 3" xfId="31224" hidden="1" xr:uid="{00000000-0005-0000-0000-00006E530000}"/>
    <cellStyle name="Followed Hyperlink 3" xfId="31223" hidden="1" xr:uid="{00000000-0005-0000-0000-00006F530000}"/>
    <cellStyle name="Followed Hyperlink 3" xfId="31229" hidden="1" xr:uid="{00000000-0005-0000-0000-000070530000}"/>
    <cellStyle name="Followed Hyperlink 3" xfId="31232" hidden="1" xr:uid="{00000000-0005-0000-0000-000071530000}"/>
    <cellStyle name="Followed Hyperlink 3" xfId="31235" hidden="1" xr:uid="{00000000-0005-0000-0000-000072530000}"/>
    <cellStyle name="Followed Hyperlink 3" xfId="31240" hidden="1" xr:uid="{00000000-0005-0000-0000-000073530000}"/>
    <cellStyle name="Followed Hyperlink 3" xfId="31250" hidden="1" xr:uid="{00000000-0005-0000-0000-000074530000}"/>
    <cellStyle name="Followed Hyperlink 3" xfId="31252" hidden="1" xr:uid="{00000000-0005-0000-0000-000075530000}"/>
    <cellStyle name="Followed Hyperlink 3" xfId="31248" hidden="1" xr:uid="{00000000-0005-0000-0000-000076530000}"/>
    <cellStyle name="Followed Hyperlink 3" xfId="31247" hidden="1" xr:uid="{00000000-0005-0000-0000-000077530000}"/>
    <cellStyle name="Followed Hyperlink 3" xfId="31253" hidden="1" xr:uid="{00000000-0005-0000-0000-000078530000}"/>
    <cellStyle name="Followed Hyperlink 3" xfId="31256" hidden="1" xr:uid="{00000000-0005-0000-0000-000079530000}"/>
    <cellStyle name="Followed Hyperlink 3" xfId="31259" hidden="1" xr:uid="{00000000-0005-0000-0000-00007A530000}"/>
    <cellStyle name="Followed Hyperlink 3" xfId="31264" hidden="1" xr:uid="{00000000-0005-0000-0000-00007B530000}"/>
    <cellStyle name="Followed Hyperlink 3" xfId="31303" hidden="1" xr:uid="{00000000-0005-0000-0000-00007C530000}"/>
    <cellStyle name="Followed Hyperlink 3" xfId="31305" hidden="1" xr:uid="{00000000-0005-0000-0000-00007D530000}"/>
    <cellStyle name="Followed Hyperlink 3" xfId="31301" hidden="1" xr:uid="{00000000-0005-0000-0000-00007E530000}"/>
    <cellStyle name="Followed Hyperlink 3" xfId="31300" hidden="1" xr:uid="{00000000-0005-0000-0000-00007F530000}"/>
    <cellStyle name="Followed Hyperlink 3" xfId="31306" hidden="1" xr:uid="{00000000-0005-0000-0000-000080530000}"/>
    <cellStyle name="Followed Hyperlink 3" xfId="31309" hidden="1" xr:uid="{00000000-0005-0000-0000-000081530000}"/>
    <cellStyle name="Followed Hyperlink 3" xfId="31312" hidden="1" xr:uid="{00000000-0005-0000-0000-000082530000}"/>
    <cellStyle name="Followed Hyperlink 3" xfId="31317" hidden="1" xr:uid="{00000000-0005-0000-0000-000083530000}"/>
    <cellStyle name="Followed Hyperlink 3" xfId="31327" hidden="1" xr:uid="{00000000-0005-0000-0000-000084530000}"/>
    <cellStyle name="Followed Hyperlink 3" xfId="31329" hidden="1" xr:uid="{00000000-0005-0000-0000-000085530000}"/>
    <cellStyle name="Followed Hyperlink 3" xfId="31325" hidden="1" xr:uid="{00000000-0005-0000-0000-000086530000}"/>
    <cellStyle name="Followed Hyperlink 3" xfId="31324" hidden="1" xr:uid="{00000000-0005-0000-0000-000087530000}"/>
    <cellStyle name="Followed Hyperlink 3" xfId="31330" hidden="1" xr:uid="{00000000-0005-0000-0000-000088530000}"/>
    <cellStyle name="Followed Hyperlink 3" xfId="31333" hidden="1" xr:uid="{00000000-0005-0000-0000-000089530000}"/>
    <cellStyle name="Followed Hyperlink 3" xfId="31336" hidden="1" xr:uid="{00000000-0005-0000-0000-00008A530000}"/>
    <cellStyle name="Followed Hyperlink 3" xfId="31341" hidden="1" xr:uid="{00000000-0005-0000-0000-00008B530000}"/>
    <cellStyle name="Followed Hyperlink 3" xfId="31353" hidden="1" xr:uid="{00000000-0005-0000-0000-00008C530000}"/>
    <cellStyle name="Followed Hyperlink 3" xfId="31355" hidden="1" xr:uid="{00000000-0005-0000-0000-00008D530000}"/>
    <cellStyle name="Followed Hyperlink 3" xfId="31351" hidden="1" xr:uid="{00000000-0005-0000-0000-00008E530000}"/>
    <cellStyle name="Followed Hyperlink 3" xfId="31350" hidden="1" xr:uid="{00000000-0005-0000-0000-00008F530000}"/>
    <cellStyle name="Followed Hyperlink 3" xfId="31356" hidden="1" xr:uid="{00000000-0005-0000-0000-000090530000}"/>
    <cellStyle name="Followed Hyperlink 3" xfId="31359" hidden="1" xr:uid="{00000000-0005-0000-0000-000091530000}"/>
    <cellStyle name="Followed Hyperlink 3" xfId="31362" hidden="1" xr:uid="{00000000-0005-0000-0000-000092530000}"/>
    <cellStyle name="Followed Hyperlink 3" xfId="31367" hidden="1" xr:uid="{00000000-0005-0000-0000-000093530000}"/>
    <cellStyle name="Followed Hyperlink 3" xfId="31377" hidden="1" xr:uid="{00000000-0005-0000-0000-000094530000}"/>
    <cellStyle name="Followed Hyperlink 3" xfId="31379" hidden="1" xr:uid="{00000000-0005-0000-0000-000095530000}"/>
    <cellStyle name="Followed Hyperlink 3" xfId="31375" hidden="1" xr:uid="{00000000-0005-0000-0000-000096530000}"/>
    <cellStyle name="Followed Hyperlink 3" xfId="31374" hidden="1" xr:uid="{00000000-0005-0000-0000-000097530000}"/>
    <cellStyle name="Followed Hyperlink 3" xfId="31380" hidden="1" xr:uid="{00000000-0005-0000-0000-000098530000}"/>
    <cellStyle name="Followed Hyperlink 3" xfId="31383" hidden="1" xr:uid="{00000000-0005-0000-0000-000099530000}"/>
    <cellStyle name="Followed Hyperlink 3" xfId="31386" hidden="1" xr:uid="{00000000-0005-0000-0000-00009A530000}"/>
    <cellStyle name="Followed Hyperlink 3" xfId="31391" hidden="1" xr:uid="{00000000-0005-0000-0000-00009B530000}"/>
    <cellStyle name="Followed Hyperlink 3" xfId="31430" hidden="1" xr:uid="{00000000-0005-0000-0000-00009C530000}"/>
    <cellStyle name="Followed Hyperlink 3" xfId="31432" hidden="1" xr:uid="{00000000-0005-0000-0000-00009D530000}"/>
    <cellStyle name="Followed Hyperlink 3" xfId="31428" hidden="1" xr:uid="{00000000-0005-0000-0000-00009E530000}"/>
    <cellStyle name="Followed Hyperlink 3" xfId="31427" hidden="1" xr:uid="{00000000-0005-0000-0000-00009F530000}"/>
    <cellStyle name="Followed Hyperlink 3" xfId="31433" hidden="1" xr:uid="{00000000-0005-0000-0000-0000A0530000}"/>
    <cellStyle name="Followed Hyperlink 3" xfId="31436" hidden="1" xr:uid="{00000000-0005-0000-0000-0000A1530000}"/>
    <cellStyle name="Followed Hyperlink 3" xfId="31439" hidden="1" xr:uid="{00000000-0005-0000-0000-0000A2530000}"/>
    <cellStyle name="Followed Hyperlink 3" xfId="31444" hidden="1" xr:uid="{00000000-0005-0000-0000-0000A3530000}"/>
    <cellStyle name="Followed Hyperlink 3" xfId="31454" hidden="1" xr:uid="{00000000-0005-0000-0000-0000A4530000}"/>
    <cellStyle name="Followed Hyperlink 3" xfId="31456" hidden="1" xr:uid="{00000000-0005-0000-0000-0000A5530000}"/>
    <cellStyle name="Followed Hyperlink 3" xfId="31452" hidden="1" xr:uid="{00000000-0005-0000-0000-0000A6530000}"/>
    <cellStyle name="Followed Hyperlink 3" xfId="31451" hidden="1" xr:uid="{00000000-0005-0000-0000-0000A7530000}"/>
    <cellStyle name="Followed Hyperlink 3" xfId="31457" hidden="1" xr:uid="{00000000-0005-0000-0000-0000A8530000}"/>
    <cellStyle name="Followed Hyperlink 3" xfId="31460" hidden="1" xr:uid="{00000000-0005-0000-0000-0000A9530000}"/>
    <cellStyle name="Followed Hyperlink 3" xfId="31463" hidden="1" xr:uid="{00000000-0005-0000-0000-0000AA530000}"/>
    <cellStyle name="Followed Hyperlink 3" xfId="31468" hidden="1" xr:uid="{00000000-0005-0000-0000-0000AB530000}"/>
    <cellStyle name="Followed Hyperlink 3" xfId="31480" hidden="1" xr:uid="{00000000-0005-0000-0000-0000AC530000}"/>
    <cellStyle name="Followed Hyperlink 3" xfId="31482" hidden="1" xr:uid="{00000000-0005-0000-0000-0000AD530000}"/>
    <cellStyle name="Followed Hyperlink 3" xfId="31478" hidden="1" xr:uid="{00000000-0005-0000-0000-0000AE530000}"/>
    <cellStyle name="Followed Hyperlink 3" xfId="31477" hidden="1" xr:uid="{00000000-0005-0000-0000-0000AF530000}"/>
    <cellStyle name="Followed Hyperlink 3" xfId="31483" hidden="1" xr:uid="{00000000-0005-0000-0000-0000B0530000}"/>
    <cellStyle name="Followed Hyperlink 3" xfId="31486" hidden="1" xr:uid="{00000000-0005-0000-0000-0000B1530000}"/>
    <cellStyle name="Followed Hyperlink 3" xfId="31489" hidden="1" xr:uid="{00000000-0005-0000-0000-0000B2530000}"/>
    <cellStyle name="Followed Hyperlink 3" xfId="31494" hidden="1" xr:uid="{00000000-0005-0000-0000-0000B3530000}"/>
    <cellStyle name="Followed Hyperlink 3" xfId="31504" hidden="1" xr:uid="{00000000-0005-0000-0000-0000B4530000}"/>
    <cellStyle name="Followed Hyperlink 3" xfId="31506" hidden="1" xr:uid="{00000000-0005-0000-0000-0000B5530000}"/>
    <cellStyle name="Followed Hyperlink 3" xfId="31502" hidden="1" xr:uid="{00000000-0005-0000-0000-0000B6530000}"/>
    <cellStyle name="Followed Hyperlink 3" xfId="31501" hidden="1" xr:uid="{00000000-0005-0000-0000-0000B7530000}"/>
    <cellStyle name="Followed Hyperlink 3" xfId="31507" hidden="1" xr:uid="{00000000-0005-0000-0000-0000B8530000}"/>
    <cellStyle name="Followed Hyperlink 3" xfId="31510" hidden="1" xr:uid="{00000000-0005-0000-0000-0000B9530000}"/>
    <cellStyle name="Followed Hyperlink 3" xfId="31513" hidden="1" xr:uid="{00000000-0005-0000-0000-0000BA530000}"/>
    <cellStyle name="Followed Hyperlink 3" xfId="31518" hidden="1" xr:uid="{00000000-0005-0000-0000-0000BB530000}"/>
    <cellStyle name="Followed Hyperlink 3" xfId="31394" hidden="1" xr:uid="{00000000-0005-0000-0000-0000BC530000}"/>
    <cellStyle name="Followed Hyperlink 3" xfId="31471" hidden="1" xr:uid="{00000000-0005-0000-0000-0000BD530000}"/>
    <cellStyle name="Followed Hyperlink 3" xfId="31398" hidden="1" xr:uid="{00000000-0005-0000-0000-0000BE530000}"/>
    <cellStyle name="Followed Hyperlink 3" xfId="31399" hidden="1" xr:uid="{00000000-0005-0000-0000-0000BF530000}"/>
    <cellStyle name="Followed Hyperlink 3" xfId="31402" hidden="1" xr:uid="{00000000-0005-0000-0000-0000C0530000}"/>
    <cellStyle name="Followed Hyperlink 3" xfId="31523" hidden="1" xr:uid="{00000000-0005-0000-0000-0000C1530000}"/>
    <cellStyle name="Followed Hyperlink 3" xfId="31526" hidden="1" xr:uid="{00000000-0005-0000-0000-0000C2530000}"/>
    <cellStyle name="Followed Hyperlink 3" xfId="31531" hidden="1" xr:uid="{00000000-0005-0000-0000-0000C3530000}"/>
    <cellStyle name="Followed Hyperlink 3" xfId="31541" hidden="1" xr:uid="{00000000-0005-0000-0000-0000C4530000}"/>
    <cellStyle name="Followed Hyperlink 3" xfId="31543" hidden="1" xr:uid="{00000000-0005-0000-0000-0000C5530000}"/>
    <cellStyle name="Followed Hyperlink 3" xfId="31539" hidden="1" xr:uid="{00000000-0005-0000-0000-0000C6530000}"/>
    <cellStyle name="Followed Hyperlink 3" xfId="31538" hidden="1" xr:uid="{00000000-0005-0000-0000-0000C7530000}"/>
    <cellStyle name="Followed Hyperlink 3" xfId="31544" hidden="1" xr:uid="{00000000-0005-0000-0000-0000C8530000}"/>
    <cellStyle name="Followed Hyperlink 3" xfId="31547" hidden="1" xr:uid="{00000000-0005-0000-0000-0000C9530000}"/>
    <cellStyle name="Followed Hyperlink 3" xfId="31550" hidden="1" xr:uid="{00000000-0005-0000-0000-0000CA530000}"/>
    <cellStyle name="Followed Hyperlink 3" xfId="31555" hidden="1" xr:uid="{00000000-0005-0000-0000-0000CB530000}"/>
    <cellStyle name="Followed Hyperlink 3" xfId="31566" hidden="1" xr:uid="{00000000-0005-0000-0000-0000CC530000}"/>
    <cellStyle name="Followed Hyperlink 3" xfId="31568" hidden="1" xr:uid="{00000000-0005-0000-0000-0000CD530000}"/>
    <cellStyle name="Followed Hyperlink 3" xfId="31564" hidden="1" xr:uid="{00000000-0005-0000-0000-0000CE530000}"/>
    <cellStyle name="Followed Hyperlink 3" xfId="31563" hidden="1" xr:uid="{00000000-0005-0000-0000-0000CF530000}"/>
    <cellStyle name="Followed Hyperlink 3" xfId="31569" hidden="1" xr:uid="{00000000-0005-0000-0000-0000D0530000}"/>
    <cellStyle name="Followed Hyperlink 3" xfId="31572" hidden="1" xr:uid="{00000000-0005-0000-0000-0000D1530000}"/>
    <cellStyle name="Followed Hyperlink 3" xfId="31575" hidden="1" xr:uid="{00000000-0005-0000-0000-0000D2530000}"/>
    <cellStyle name="Followed Hyperlink 3" xfId="31580" hidden="1" xr:uid="{00000000-0005-0000-0000-0000D3530000}"/>
    <cellStyle name="Followed Hyperlink 3" xfId="31590" hidden="1" xr:uid="{00000000-0005-0000-0000-0000D4530000}"/>
    <cellStyle name="Followed Hyperlink 3" xfId="31592" hidden="1" xr:uid="{00000000-0005-0000-0000-0000D5530000}"/>
    <cellStyle name="Followed Hyperlink 3" xfId="31588" hidden="1" xr:uid="{00000000-0005-0000-0000-0000D6530000}"/>
    <cellStyle name="Followed Hyperlink 3" xfId="31587" hidden="1" xr:uid="{00000000-0005-0000-0000-0000D7530000}"/>
    <cellStyle name="Followed Hyperlink 3" xfId="31593" hidden="1" xr:uid="{00000000-0005-0000-0000-0000D8530000}"/>
    <cellStyle name="Followed Hyperlink 3" xfId="31596" hidden="1" xr:uid="{00000000-0005-0000-0000-0000D9530000}"/>
    <cellStyle name="Followed Hyperlink 3" xfId="31599" hidden="1" xr:uid="{00000000-0005-0000-0000-0000DA530000}"/>
    <cellStyle name="Followed Hyperlink 3" xfId="31604" hidden="1" xr:uid="{00000000-0005-0000-0000-0000DB530000}"/>
    <cellStyle name="Followed Hyperlink 3" xfId="31415" hidden="1" xr:uid="{00000000-0005-0000-0000-0000DC530000}"/>
    <cellStyle name="Followed Hyperlink 3" xfId="31558" hidden="1" xr:uid="{00000000-0005-0000-0000-0000DD530000}"/>
    <cellStyle name="Followed Hyperlink 3" xfId="31412" hidden="1" xr:uid="{00000000-0005-0000-0000-0000DE530000}"/>
    <cellStyle name="Followed Hyperlink 3" xfId="31404" hidden="1" xr:uid="{00000000-0005-0000-0000-0000DF530000}"/>
    <cellStyle name="Followed Hyperlink 3" xfId="31409" hidden="1" xr:uid="{00000000-0005-0000-0000-0000E0530000}"/>
    <cellStyle name="Followed Hyperlink 3" xfId="31609" hidden="1" xr:uid="{00000000-0005-0000-0000-0000E1530000}"/>
    <cellStyle name="Followed Hyperlink 3" xfId="31612" hidden="1" xr:uid="{00000000-0005-0000-0000-0000E2530000}"/>
    <cellStyle name="Followed Hyperlink 3" xfId="31617" hidden="1" xr:uid="{00000000-0005-0000-0000-0000E3530000}"/>
    <cellStyle name="Followed Hyperlink 3" xfId="31627" hidden="1" xr:uid="{00000000-0005-0000-0000-0000E4530000}"/>
    <cellStyle name="Followed Hyperlink 3" xfId="31629" hidden="1" xr:uid="{00000000-0005-0000-0000-0000E5530000}"/>
    <cellStyle name="Followed Hyperlink 3" xfId="31625" hidden="1" xr:uid="{00000000-0005-0000-0000-0000E6530000}"/>
    <cellStyle name="Followed Hyperlink 3" xfId="31624" hidden="1" xr:uid="{00000000-0005-0000-0000-0000E7530000}"/>
    <cellStyle name="Followed Hyperlink 3" xfId="31630" hidden="1" xr:uid="{00000000-0005-0000-0000-0000E8530000}"/>
    <cellStyle name="Followed Hyperlink 3" xfId="31633" hidden="1" xr:uid="{00000000-0005-0000-0000-0000E9530000}"/>
    <cellStyle name="Followed Hyperlink 3" xfId="31636" hidden="1" xr:uid="{00000000-0005-0000-0000-0000EA530000}"/>
    <cellStyle name="Followed Hyperlink 3" xfId="31641" hidden="1" xr:uid="{00000000-0005-0000-0000-0000EB530000}"/>
    <cellStyle name="Followed Hyperlink 3" xfId="31652" hidden="1" xr:uid="{00000000-0005-0000-0000-0000EC530000}"/>
    <cellStyle name="Followed Hyperlink 3" xfId="31654" hidden="1" xr:uid="{00000000-0005-0000-0000-0000ED530000}"/>
    <cellStyle name="Followed Hyperlink 3" xfId="31650" hidden="1" xr:uid="{00000000-0005-0000-0000-0000EE530000}"/>
    <cellStyle name="Followed Hyperlink 3" xfId="31649" hidden="1" xr:uid="{00000000-0005-0000-0000-0000EF530000}"/>
    <cellStyle name="Followed Hyperlink 3" xfId="31655" hidden="1" xr:uid="{00000000-0005-0000-0000-0000F0530000}"/>
    <cellStyle name="Followed Hyperlink 3" xfId="31658" hidden="1" xr:uid="{00000000-0005-0000-0000-0000F1530000}"/>
    <cellStyle name="Followed Hyperlink 3" xfId="31661" hidden="1" xr:uid="{00000000-0005-0000-0000-0000F2530000}"/>
    <cellStyle name="Followed Hyperlink 3" xfId="31666" hidden="1" xr:uid="{00000000-0005-0000-0000-0000F3530000}"/>
    <cellStyle name="Followed Hyperlink 3" xfId="31676" hidden="1" xr:uid="{00000000-0005-0000-0000-0000F4530000}"/>
    <cellStyle name="Followed Hyperlink 3" xfId="31678" hidden="1" xr:uid="{00000000-0005-0000-0000-0000F5530000}"/>
    <cellStyle name="Followed Hyperlink 3" xfId="31674" hidden="1" xr:uid="{00000000-0005-0000-0000-0000F6530000}"/>
    <cellStyle name="Followed Hyperlink 3" xfId="31673" hidden="1" xr:uid="{00000000-0005-0000-0000-0000F7530000}"/>
    <cellStyle name="Followed Hyperlink 3" xfId="31679" hidden="1" xr:uid="{00000000-0005-0000-0000-0000F8530000}"/>
    <cellStyle name="Followed Hyperlink 3" xfId="31682" hidden="1" xr:uid="{00000000-0005-0000-0000-0000F9530000}"/>
    <cellStyle name="Followed Hyperlink 3" xfId="31685" hidden="1" xr:uid="{00000000-0005-0000-0000-0000FA530000}"/>
    <cellStyle name="Followed Hyperlink 3" xfId="31690" hidden="1" xr:uid="{00000000-0005-0000-0000-0000FB530000}"/>
    <cellStyle name="Followed Hyperlink 3" xfId="31420" hidden="1" xr:uid="{00000000-0005-0000-0000-0000FC530000}"/>
    <cellStyle name="Followed Hyperlink 3" xfId="31644" hidden="1" xr:uid="{00000000-0005-0000-0000-0000FD530000}"/>
    <cellStyle name="Followed Hyperlink 3" xfId="31416" hidden="1" xr:uid="{00000000-0005-0000-0000-0000FE530000}"/>
    <cellStyle name="Followed Hyperlink 3" xfId="31421" hidden="1" xr:uid="{00000000-0005-0000-0000-0000FF530000}"/>
    <cellStyle name="Followed Hyperlink 3" xfId="31408" hidden="1" xr:uid="{00000000-0005-0000-0000-000000540000}"/>
    <cellStyle name="Followed Hyperlink 3" xfId="31695" hidden="1" xr:uid="{00000000-0005-0000-0000-000001540000}"/>
    <cellStyle name="Followed Hyperlink 3" xfId="31698" hidden="1" xr:uid="{00000000-0005-0000-0000-000002540000}"/>
    <cellStyle name="Followed Hyperlink 3" xfId="31703" hidden="1" xr:uid="{00000000-0005-0000-0000-000003540000}"/>
    <cellStyle name="Followed Hyperlink 3" xfId="31713" hidden="1" xr:uid="{00000000-0005-0000-0000-000004540000}"/>
    <cellStyle name="Followed Hyperlink 3" xfId="31715" hidden="1" xr:uid="{00000000-0005-0000-0000-000005540000}"/>
    <cellStyle name="Followed Hyperlink 3" xfId="31711" hidden="1" xr:uid="{00000000-0005-0000-0000-000006540000}"/>
    <cellStyle name="Followed Hyperlink 3" xfId="31710" hidden="1" xr:uid="{00000000-0005-0000-0000-000007540000}"/>
    <cellStyle name="Followed Hyperlink 3" xfId="31716" hidden="1" xr:uid="{00000000-0005-0000-0000-000008540000}"/>
    <cellStyle name="Followed Hyperlink 3" xfId="31719" hidden="1" xr:uid="{00000000-0005-0000-0000-000009540000}"/>
    <cellStyle name="Followed Hyperlink 3" xfId="31722" hidden="1" xr:uid="{00000000-0005-0000-0000-00000A540000}"/>
    <cellStyle name="Followed Hyperlink 3" xfId="31727" hidden="1" xr:uid="{00000000-0005-0000-0000-00000B540000}"/>
    <cellStyle name="Followed Hyperlink 3" xfId="31737" hidden="1" xr:uid="{00000000-0005-0000-0000-00000C540000}"/>
    <cellStyle name="Followed Hyperlink 3" xfId="31739" hidden="1" xr:uid="{00000000-0005-0000-0000-00000D540000}"/>
    <cellStyle name="Followed Hyperlink 3" xfId="31735" hidden="1" xr:uid="{00000000-0005-0000-0000-00000E540000}"/>
    <cellStyle name="Followed Hyperlink 3" xfId="31734" hidden="1" xr:uid="{00000000-0005-0000-0000-00000F540000}"/>
    <cellStyle name="Followed Hyperlink 3" xfId="31740" hidden="1" xr:uid="{00000000-0005-0000-0000-000010540000}"/>
    <cellStyle name="Followed Hyperlink 3" xfId="31743" hidden="1" xr:uid="{00000000-0005-0000-0000-000011540000}"/>
    <cellStyle name="Followed Hyperlink 3" xfId="31746" hidden="1" xr:uid="{00000000-0005-0000-0000-000012540000}"/>
    <cellStyle name="Followed Hyperlink 3" xfId="31751" hidden="1" xr:uid="{00000000-0005-0000-0000-000013540000}"/>
    <cellStyle name="Followed Hyperlink 3" xfId="31761" hidden="1" xr:uid="{00000000-0005-0000-0000-000014540000}"/>
    <cellStyle name="Followed Hyperlink 3" xfId="31763" hidden="1" xr:uid="{00000000-0005-0000-0000-000015540000}"/>
    <cellStyle name="Followed Hyperlink 3" xfId="31759" hidden="1" xr:uid="{00000000-0005-0000-0000-000016540000}"/>
    <cellStyle name="Followed Hyperlink 3" xfId="31758" hidden="1" xr:uid="{00000000-0005-0000-0000-000017540000}"/>
    <cellStyle name="Followed Hyperlink 3" xfId="31764" hidden="1" xr:uid="{00000000-0005-0000-0000-000018540000}"/>
    <cellStyle name="Followed Hyperlink 3" xfId="31767" hidden="1" xr:uid="{00000000-0005-0000-0000-000019540000}"/>
    <cellStyle name="Followed Hyperlink 3" xfId="31770" hidden="1" xr:uid="{00000000-0005-0000-0000-00001A540000}"/>
    <cellStyle name="Followed Hyperlink 3" xfId="31775" hidden="1" xr:uid="{00000000-0005-0000-0000-00001B540000}"/>
    <cellStyle name="Followed Hyperlink 3" xfId="31267" hidden="1" xr:uid="{00000000-0005-0000-0000-00001C540000}"/>
    <cellStyle name="Followed Hyperlink 3" xfId="31344" hidden="1" xr:uid="{00000000-0005-0000-0000-00001D540000}"/>
    <cellStyle name="Followed Hyperlink 3" xfId="31271" hidden="1" xr:uid="{00000000-0005-0000-0000-00001E540000}"/>
    <cellStyle name="Followed Hyperlink 3" xfId="31272" hidden="1" xr:uid="{00000000-0005-0000-0000-00001F540000}"/>
    <cellStyle name="Followed Hyperlink 3" xfId="31275" hidden="1" xr:uid="{00000000-0005-0000-0000-000020540000}"/>
    <cellStyle name="Followed Hyperlink 3" xfId="31780" hidden="1" xr:uid="{00000000-0005-0000-0000-000021540000}"/>
    <cellStyle name="Followed Hyperlink 3" xfId="31783" hidden="1" xr:uid="{00000000-0005-0000-0000-000022540000}"/>
    <cellStyle name="Followed Hyperlink 3" xfId="31788" hidden="1" xr:uid="{00000000-0005-0000-0000-000023540000}"/>
    <cellStyle name="Followed Hyperlink 3" xfId="31798" hidden="1" xr:uid="{00000000-0005-0000-0000-000024540000}"/>
    <cellStyle name="Followed Hyperlink 3" xfId="31800" hidden="1" xr:uid="{00000000-0005-0000-0000-000025540000}"/>
    <cellStyle name="Followed Hyperlink 3" xfId="31796" hidden="1" xr:uid="{00000000-0005-0000-0000-000026540000}"/>
    <cellStyle name="Followed Hyperlink 3" xfId="31795" hidden="1" xr:uid="{00000000-0005-0000-0000-000027540000}"/>
    <cellStyle name="Followed Hyperlink 3" xfId="31801" hidden="1" xr:uid="{00000000-0005-0000-0000-000028540000}"/>
    <cellStyle name="Followed Hyperlink 3" xfId="31804" hidden="1" xr:uid="{00000000-0005-0000-0000-000029540000}"/>
    <cellStyle name="Followed Hyperlink 3" xfId="31807" hidden="1" xr:uid="{00000000-0005-0000-0000-00002A540000}"/>
    <cellStyle name="Followed Hyperlink 3" xfId="31812" hidden="1" xr:uid="{00000000-0005-0000-0000-00002B540000}"/>
    <cellStyle name="Followed Hyperlink 3" xfId="31823" hidden="1" xr:uid="{00000000-0005-0000-0000-00002C540000}"/>
    <cellStyle name="Followed Hyperlink 3" xfId="31825" hidden="1" xr:uid="{00000000-0005-0000-0000-00002D540000}"/>
    <cellStyle name="Followed Hyperlink 3" xfId="31821" hidden="1" xr:uid="{00000000-0005-0000-0000-00002E540000}"/>
    <cellStyle name="Followed Hyperlink 3" xfId="31820" hidden="1" xr:uid="{00000000-0005-0000-0000-00002F540000}"/>
    <cellStyle name="Followed Hyperlink 3" xfId="31826" hidden="1" xr:uid="{00000000-0005-0000-0000-000030540000}"/>
    <cellStyle name="Followed Hyperlink 3" xfId="31829" hidden="1" xr:uid="{00000000-0005-0000-0000-000031540000}"/>
    <cellStyle name="Followed Hyperlink 3" xfId="31832" hidden="1" xr:uid="{00000000-0005-0000-0000-000032540000}"/>
    <cellStyle name="Followed Hyperlink 3" xfId="31837" hidden="1" xr:uid="{00000000-0005-0000-0000-000033540000}"/>
    <cellStyle name="Followed Hyperlink 3" xfId="31847" hidden="1" xr:uid="{00000000-0005-0000-0000-000034540000}"/>
    <cellStyle name="Followed Hyperlink 3" xfId="31849" hidden="1" xr:uid="{00000000-0005-0000-0000-000035540000}"/>
    <cellStyle name="Followed Hyperlink 3" xfId="31845" hidden="1" xr:uid="{00000000-0005-0000-0000-000036540000}"/>
    <cellStyle name="Followed Hyperlink 3" xfId="31844" hidden="1" xr:uid="{00000000-0005-0000-0000-000037540000}"/>
    <cellStyle name="Followed Hyperlink 3" xfId="31850" hidden="1" xr:uid="{00000000-0005-0000-0000-000038540000}"/>
    <cellStyle name="Followed Hyperlink 3" xfId="31853" hidden="1" xr:uid="{00000000-0005-0000-0000-000039540000}"/>
    <cellStyle name="Followed Hyperlink 3" xfId="31856" hidden="1" xr:uid="{00000000-0005-0000-0000-00003A540000}"/>
    <cellStyle name="Followed Hyperlink 3" xfId="31861" hidden="1" xr:uid="{00000000-0005-0000-0000-00003B540000}"/>
    <cellStyle name="Followed Hyperlink 3" xfId="31900" hidden="1" xr:uid="{00000000-0005-0000-0000-00003C540000}"/>
    <cellStyle name="Followed Hyperlink 3" xfId="31902" hidden="1" xr:uid="{00000000-0005-0000-0000-00003D540000}"/>
    <cellStyle name="Followed Hyperlink 3" xfId="31898" hidden="1" xr:uid="{00000000-0005-0000-0000-00003E540000}"/>
    <cellStyle name="Followed Hyperlink 3" xfId="31897" hidden="1" xr:uid="{00000000-0005-0000-0000-00003F540000}"/>
    <cellStyle name="Followed Hyperlink 3" xfId="31903" hidden="1" xr:uid="{00000000-0005-0000-0000-000040540000}"/>
    <cellStyle name="Followed Hyperlink 3" xfId="31906" hidden="1" xr:uid="{00000000-0005-0000-0000-000041540000}"/>
    <cellStyle name="Followed Hyperlink 3" xfId="31909" hidden="1" xr:uid="{00000000-0005-0000-0000-000042540000}"/>
    <cellStyle name="Followed Hyperlink 3" xfId="31914" hidden="1" xr:uid="{00000000-0005-0000-0000-000043540000}"/>
    <cellStyle name="Followed Hyperlink 3" xfId="31924" hidden="1" xr:uid="{00000000-0005-0000-0000-000044540000}"/>
    <cellStyle name="Followed Hyperlink 3" xfId="31926" hidden="1" xr:uid="{00000000-0005-0000-0000-000045540000}"/>
    <cellStyle name="Followed Hyperlink 3" xfId="31922" hidden="1" xr:uid="{00000000-0005-0000-0000-000046540000}"/>
    <cellStyle name="Followed Hyperlink 3" xfId="31921" hidden="1" xr:uid="{00000000-0005-0000-0000-000047540000}"/>
    <cellStyle name="Followed Hyperlink 3" xfId="31927" hidden="1" xr:uid="{00000000-0005-0000-0000-000048540000}"/>
    <cellStyle name="Followed Hyperlink 3" xfId="31930" hidden="1" xr:uid="{00000000-0005-0000-0000-000049540000}"/>
    <cellStyle name="Followed Hyperlink 3" xfId="31933" hidden="1" xr:uid="{00000000-0005-0000-0000-00004A540000}"/>
    <cellStyle name="Followed Hyperlink 3" xfId="31938" hidden="1" xr:uid="{00000000-0005-0000-0000-00004B540000}"/>
    <cellStyle name="Followed Hyperlink 3" xfId="31950" hidden="1" xr:uid="{00000000-0005-0000-0000-00004C540000}"/>
    <cellStyle name="Followed Hyperlink 3" xfId="31952" hidden="1" xr:uid="{00000000-0005-0000-0000-00004D540000}"/>
    <cellStyle name="Followed Hyperlink 3" xfId="31948" hidden="1" xr:uid="{00000000-0005-0000-0000-00004E540000}"/>
    <cellStyle name="Followed Hyperlink 3" xfId="31947" hidden="1" xr:uid="{00000000-0005-0000-0000-00004F540000}"/>
    <cellStyle name="Followed Hyperlink 3" xfId="31953" hidden="1" xr:uid="{00000000-0005-0000-0000-000050540000}"/>
    <cellStyle name="Followed Hyperlink 3" xfId="31956" hidden="1" xr:uid="{00000000-0005-0000-0000-000051540000}"/>
    <cellStyle name="Followed Hyperlink 3" xfId="31959" hidden="1" xr:uid="{00000000-0005-0000-0000-000052540000}"/>
    <cellStyle name="Followed Hyperlink 3" xfId="31964" hidden="1" xr:uid="{00000000-0005-0000-0000-000053540000}"/>
    <cellStyle name="Followed Hyperlink 3" xfId="31974" hidden="1" xr:uid="{00000000-0005-0000-0000-000054540000}"/>
    <cellStyle name="Followed Hyperlink 3" xfId="31976" hidden="1" xr:uid="{00000000-0005-0000-0000-000055540000}"/>
    <cellStyle name="Followed Hyperlink 3" xfId="31972" hidden="1" xr:uid="{00000000-0005-0000-0000-000056540000}"/>
    <cellStyle name="Followed Hyperlink 3" xfId="31971" hidden="1" xr:uid="{00000000-0005-0000-0000-000057540000}"/>
    <cellStyle name="Followed Hyperlink 3" xfId="31977" hidden="1" xr:uid="{00000000-0005-0000-0000-000058540000}"/>
    <cellStyle name="Followed Hyperlink 3" xfId="31980" hidden="1" xr:uid="{00000000-0005-0000-0000-000059540000}"/>
    <cellStyle name="Followed Hyperlink 3" xfId="31983" hidden="1" xr:uid="{00000000-0005-0000-0000-00005A540000}"/>
    <cellStyle name="Followed Hyperlink 3" xfId="31988" hidden="1" xr:uid="{00000000-0005-0000-0000-00005B540000}"/>
    <cellStyle name="Followed Hyperlink 3" xfId="31864" hidden="1" xr:uid="{00000000-0005-0000-0000-00005C540000}"/>
    <cellStyle name="Followed Hyperlink 3" xfId="31941" hidden="1" xr:uid="{00000000-0005-0000-0000-00005D540000}"/>
    <cellStyle name="Followed Hyperlink 3" xfId="31868" hidden="1" xr:uid="{00000000-0005-0000-0000-00005E540000}"/>
    <cellStyle name="Followed Hyperlink 3" xfId="31869" hidden="1" xr:uid="{00000000-0005-0000-0000-00005F540000}"/>
    <cellStyle name="Followed Hyperlink 3" xfId="31872" hidden="1" xr:uid="{00000000-0005-0000-0000-000060540000}"/>
    <cellStyle name="Followed Hyperlink 3" xfId="31993" hidden="1" xr:uid="{00000000-0005-0000-0000-000061540000}"/>
    <cellStyle name="Followed Hyperlink 3" xfId="31996" hidden="1" xr:uid="{00000000-0005-0000-0000-000062540000}"/>
    <cellStyle name="Followed Hyperlink 3" xfId="32001" hidden="1" xr:uid="{00000000-0005-0000-0000-000063540000}"/>
    <cellStyle name="Followed Hyperlink 3" xfId="32011" hidden="1" xr:uid="{00000000-0005-0000-0000-000064540000}"/>
    <cellStyle name="Followed Hyperlink 3" xfId="32013" hidden="1" xr:uid="{00000000-0005-0000-0000-000065540000}"/>
    <cellStyle name="Followed Hyperlink 3" xfId="32009" hidden="1" xr:uid="{00000000-0005-0000-0000-000066540000}"/>
    <cellStyle name="Followed Hyperlink 3" xfId="32008" hidden="1" xr:uid="{00000000-0005-0000-0000-000067540000}"/>
    <cellStyle name="Followed Hyperlink 3" xfId="32014" hidden="1" xr:uid="{00000000-0005-0000-0000-000068540000}"/>
    <cellStyle name="Followed Hyperlink 3" xfId="32017" hidden="1" xr:uid="{00000000-0005-0000-0000-000069540000}"/>
    <cellStyle name="Followed Hyperlink 3" xfId="32020" hidden="1" xr:uid="{00000000-0005-0000-0000-00006A540000}"/>
    <cellStyle name="Followed Hyperlink 3" xfId="32025" hidden="1" xr:uid="{00000000-0005-0000-0000-00006B540000}"/>
    <cellStyle name="Followed Hyperlink 3" xfId="32036" hidden="1" xr:uid="{00000000-0005-0000-0000-00006C540000}"/>
    <cellStyle name="Followed Hyperlink 3" xfId="32038" hidden="1" xr:uid="{00000000-0005-0000-0000-00006D540000}"/>
    <cellStyle name="Followed Hyperlink 3" xfId="32034" hidden="1" xr:uid="{00000000-0005-0000-0000-00006E540000}"/>
    <cellStyle name="Followed Hyperlink 3" xfId="32033" hidden="1" xr:uid="{00000000-0005-0000-0000-00006F540000}"/>
    <cellStyle name="Followed Hyperlink 3" xfId="32039" hidden="1" xr:uid="{00000000-0005-0000-0000-000070540000}"/>
    <cellStyle name="Followed Hyperlink 3" xfId="32042" hidden="1" xr:uid="{00000000-0005-0000-0000-000071540000}"/>
    <cellStyle name="Followed Hyperlink 3" xfId="32045" hidden="1" xr:uid="{00000000-0005-0000-0000-000072540000}"/>
    <cellStyle name="Followed Hyperlink 3" xfId="32050" hidden="1" xr:uid="{00000000-0005-0000-0000-000073540000}"/>
    <cellStyle name="Followed Hyperlink 3" xfId="32060" hidden="1" xr:uid="{00000000-0005-0000-0000-000074540000}"/>
    <cellStyle name="Followed Hyperlink 3" xfId="32062" hidden="1" xr:uid="{00000000-0005-0000-0000-000075540000}"/>
    <cellStyle name="Followed Hyperlink 3" xfId="32058" hidden="1" xr:uid="{00000000-0005-0000-0000-000076540000}"/>
    <cellStyle name="Followed Hyperlink 3" xfId="32057" hidden="1" xr:uid="{00000000-0005-0000-0000-000077540000}"/>
    <cellStyle name="Followed Hyperlink 3" xfId="32063" hidden="1" xr:uid="{00000000-0005-0000-0000-000078540000}"/>
    <cellStyle name="Followed Hyperlink 3" xfId="32066" hidden="1" xr:uid="{00000000-0005-0000-0000-000079540000}"/>
    <cellStyle name="Followed Hyperlink 3" xfId="32069" hidden="1" xr:uid="{00000000-0005-0000-0000-00007A540000}"/>
    <cellStyle name="Followed Hyperlink 3" xfId="32074" hidden="1" xr:uid="{00000000-0005-0000-0000-00007B540000}"/>
    <cellStyle name="Followed Hyperlink 3" xfId="31885" hidden="1" xr:uid="{00000000-0005-0000-0000-00007C540000}"/>
    <cellStyle name="Followed Hyperlink 3" xfId="32028" hidden="1" xr:uid="{00000000-0005-0000-0000-00007D540000}"/>
    <cellStyle name="Followed Hyperlink 3" xfId="31882" hidden="1" xr:uid="{00000000-0005-0000-0000-00007E540000}"/>
    <cellStyle name="Followed Hyperlink 3" xfId="31874" hidden="1" xr:uid="{00000000-0005-0000-0000-00007F540000}"/>
    <cellStyle name="Followed Hyperlink 3" xfId="31879" hidden="1" xr:uid="{00000000-0005-0000-0000-000080540000}"/>
    <cellStyle name="Followed Hyperlink 3" xfId="32079" hidden="1" xr:uid="{00000000-0005-0000-0000-000081540000}"/>
    <cellStyle name="Followed Hyperlink 3" xfId="32082" hidden="1" xr:uid="{00000000-0005-0000-0000-000082540000}"/>
    <cellStyle name="Followed Hyperlink 3" xfId="32087" hidden="1" xr:uid="{00000000-0005-0000-0000-000083540000}"/>
    <cellStyle name="Followed Hyperlink 3" xfId="32097" hidden="1" xr:uid="{00000000-0005-0000-0000-000084540000}"/>
    <cellStyle name="Followed Hyperlink 3" xfId="32099" hidden="1" xr:uid="{00000000-0005-0000-0000-000085540000}"/>
    <cellStyle name="Followed Hyperlink 3" xfId="32095" hidden="1" xr:uid="{00000000-0005-0000-0000-000086540000}"/>
    <cellStyle name="Followed Hyperlink 3" xfId="32094" hidden="1" xr:uid="{00000000-0005-0000-0000-000087540000}"/>
    <cellStyle name="Followed Hyperlink 3" xfId="32100" hidden="1" xr:uid="{00000000-0005-0000-0000-000088540000}"/>
    <cellStyle name="Followed Hyperlink 3" xfId="32103" hidden="1" xr:uid="{00000000-0005-0000-0000-000089540000}"/>
    <cellStyle name="Followed Hyperlink 3" xfId="32106" hidden="1" xr:uid="{00000000-0005-0000-0000-00008A540000}"/>
    <cellStyle name="Followed Hyperlink 3" xfId="32111" hidden="1" xr:uid="{00000000-0005-0000-0000-00008B540000}"/>
    <cellStyle name="Followed Hyperlink 3" xfId="32122" hidden="1" xr:uid="{00000000-0005-0000-0000-00008C540000}"/>
    <cellStyle name="Followed Hyperlink 3" xfId="32124" hidden="1" xr:uid="{00000000-0005-0000-0000-00008D540000}"/>
    <cellStyle name="Followed Hyperlink 3" xfId="32120" hidden="1" xr:uid="{00000000-0005-0000-0000-00008E540000}"/>
    <cellStyle name="Followed Hyperlink 3" xfId="32119" hidden="1" xr:uid="{00000000-0005-0000-0000-00008F540000}"/>
    <cellStyle name="Followed Hyperlink 3" xfId="32125" hidden="1" xr:uid="{00000000-0005-0000-0000-000090540000}"/>
    <cellStyle name="Followed Hyperlink 3" xfId="32128" hidden="1" xr:uid="{00000000-0005-0000-0000-000091540000}"/>
    <cellStyle name="Followed Hyperlink 3" xfId="32131" hidden="1" xr:uid="{00000000-0005-0000-0000-000092540000}"/>
    <cellStyle name="Followed Hyperlink 3" xfId="32136" hidden="1" xr:uid="{00000000-0005-0000-0000-000093540000}"/>
    <cellStyle name="Followed Hyperlink 3" xfId="32146" hidden="1" xr:uid="{00000000-0005-0000-0000-000094540000}"/>
    <cellStyle name="Followed Hyperlink 3" xfId="32148" hidden="1" xr:uid="{00000000-0005-0000-0000-000095540000}"/>
    <cellStyle name="Followed Hyperlink 3" xfId="32144" hidden="1" xr:uid="{00000000-0005-0000-0000-000096540000}"/>
    <cellStyle name="Followed Hyperlink 3" xfId="32143" hidden="1" xr:uid="{00000000-0005-0000-0000-000097540000}"/>
    <cellStyle name="Followed Hyperlink 3" xfId="32149" hidden="1" xr:uid="{00000000-0005-0000-0000-000098540000}"/>
    <cellStyle name="Followed Hyperlink 3" xfId="32152" hidden="1" xr:uid="{00000000-0005-0000-0000-000099540000}"/>
    <cellStyle name="Followed Hyperlink 3" xfId="32155" hidden="1" xr:uid="{00000000-0005-0000-0000-00009A540000}"/>
    <cellStyle name="Followed Hyperlink 3" xfId="32160" hidden="1" xr:uid="{00000000-0005-0000-0000-00009B540000}"/>
    <cellStyle name="Followed Hyperlink 3" xfId="31890" hidden="1" xr:uid="{00000000-0005-0000-0000-00009C540000}"/>
    <cellStyle name="Followed Hyperlink 3" xfId="32114" hidden="1" xr:uid="{00000000-0005-0000-0000-00009D540000}"/>
    <cellStyle name="Followed Hyperlink 3" xfId="31886" hidden="1" xr:uid="{00000000-0005-0000-0000-00009E540000}"/>
    <cellStyle name="Followed Hyperlink 3" xfId="31891" hidden="1" xr:uid="{00000000-0005-0000-0000-00009F540000}"/>
    <cellStyle name="Followed Hyperlink 3" xfId="31878" hidden="1" xr:uid="{00000000-0005-0000-0000-0000A0540000}"/>
    <cellStyle name="Followed Hyperlink 3" xfId="32165" hidden="1" xr:uid="{00000000-0005-0000-0000-0000A1540000}"/>
    <cellStyle name="Followed Hyperlink 3" xfId="32168" hidden="1" xr:uid="{00000000-0005-0000-0000-0000A2540000}"/>
    <cellStyle name="Followed Hyperlink 3" xfId="32173" hidden="1" xr:uid="{00000000-0005-0000-0000-0000A3540000}"/>
    <cellStyle name="Followed Hyperlink 3" xfId="32183" hidden="1" xr:uid="{00000000-0005-0000-0000-0000A4540000}"/>
    <cellStyle name="Followed Hyperlink 3" xfId="32185" hidden="1" xr:uid="{00000000-0005-0000-0000-0000A5540000}"/>
    <cellStyle name="Followed Hyperlink 3" xfId="32181" hidden="1" xr:uid="{00000000-0005-0000-0000-0000A6540000}"/>
    <cellStyle name="Followed Hyperlink 3" xfId="32180" hidden="1" xr:uid="{00000000-0005-0000-0000-0000A7540000}"/>
    <cellStyle name="Followed Hyperlink 3" xfId="32186" hidden="1" xr:uid="{00000000-0005-0000-0000-0000A8540000}"/>
    <cellStyle name="Followed Hyperlink 3" xfId="32189" hidden="1" xr:uid="{00000000-0005-0000-0000-0000A9540000}"/>
    <cellStyle name="Followed Hyperlink 3" xfId="32192" hidden="1" xr:uid="{00000000-0005-0000-0000-0000AA540000}"/>
    <cellStyle name="Followed Hyperlink 3" xfId="32197" hidden="1" xr:uid="{00000000-0005-0000-0000-0000AB540000}"/>
    <cellStyle name="Followed Hyperlink 3" xfId="32207" hidden="1" xr:uid="{00000000-0005-0000-0000-0000AC540000}"/>
    <cellStyle name="Followed Hyperlink 3" xfId="32209" hidden="1" xr:uid="{00000000-0005-0000-0000-0000AD540000}"/>
    <cellStyle name="Followed Hyperlink 3" xfId="32205" hidden="1" xr:uid="{00000000-0005-0000-0000-0000AE540000}"/>
    <cellStyle name="Followed Hyperlink 3" xfId="32204" hidden="1" xr:uid="{00000000-0005-0000-0000-0000AF540000}"/>
    <cellStyle name="Followed Hyperlink 3" xfId="32210" hidden="1" xr:uid="{00000000-0005-0000-0000-0000B0540000}"/>
    <cellStyle name="Followed Hyperlink 3" xfId="32213" hidden="1" xr:uid="{00000000-0005-0000-0000-0000B1540000}"/>
    <cellStyle name="Followed Hyperlink 3" xfId="32216" hidden="1" xr:uid="{00000000-0005-0000-0000-0000B2540000}"/>
    <cellStyle name="Followed Hyperlink 3" xfId="32221" hidden="1" xr:uid="{00000000-0005-0000-0000-0000B3540000}"/>
    <cellStyle name="Followed Hyperlink 3" xfId="32231" hidden="1" xr:uid="{00000000-0005-0000-0000-0000B4540000}"/>
    <cellStyle name="Followed Hyperlink 3" xfId="32233" hidden="1" xr:uid="{00000000-0005-0000-0000-0000B5540000}"/>
    <cellStyle name="Followed Hyperlink 3" xfId="32229" hidden="1" xr:uid="{00000000-0005-0000-0000-0000B6540000}"/>
    <cellStyle name="Followed Hyperlink 3" xfId="32228" hidden="1" xr:uid="{00000000-0005-0000-0000-0000B7540000}"/>
    <cellStyle name="Followed Hyperlink 3" xfId="32234" hidden="1" xr:uid="{00000000-0005-0000-0000-0000B8540000}"/>
    <cellStyle name="Followed Hyperlink 3" xfId="32237" hidden="1" xr:uid="{00000000-0005-0000-0000-0000B9540000}"/>
    <cellStyle name="Followed Hyperlink 3" xfId="32240" hidden="1" xr:uid="{00000000-0005-0000-0000-0000BA540000}"/>
    <cellStyle name="Followed Hyperlink 3" xfId="32245" hidden="1" xr:uid="{00000000-0005-0000-0000-0000BB540000}"/>
    <cellStyle name="Followed Hyperlink 3" xfId="31288" hidden="1" xr:uid="{00000000-0005-0000-0000-0000BC540000}"/>
    <cellStyle name="Followed Hyperlink 3" xfId="31815" hidden="1" xr:uid="{00000000-0005-0000-0000-0000BD540000}"/>
    <cellStyle name="Followed Hyperlink 3" xfId="31285" hidden="1" xr:uid="{00000000-0005-0000-0000-0000BE540000}"/>
    <cellStyle name="Followed Hyperlink 3" xfId="31277" hidden="1" xr:uid="{00000000-0005-0000-0000-0000BF540000}"/>
    <cellStyle name="Followed Hyperlink 3" xfId="31282" hidden="1" xr:uid="{00000000-0005-0000-0000-0000C0540000}"/>
    <cellStyle name="Followed Hyperlink 3" xfId="32250" hidden="1" xr:uid="{00000000-0005-0000-0000-0000C1540000}"/>
    <cellStyle name="Followed Hyperlink 3" xfId="32253" hidden="1" xr:uid="{00000000-0005-0000-0000-0000C2540000}"/>
    <cellStyle name="Followed Hyperlink 3" xfId="32258" hidden="1" xr:uid="{00000000-0005-0000-0000-0000C3540000}"/>
    <cellStyle name="Followed Hyperlink 3" xfId="32268" hidden="1" xr:uid="{00000000-0005-0000-0000-0000C4540000}"/>
    <cellStyle name="Followed Hyperlink 3" xfId="32270" hidden="1" xr:uid="{00000000-0005-0000-0000-0000C5540000}"/>
    <cellStyle name="Followed Hyperlink 3" xfId="32266" hidden="1" xr:uid="{00000000-0005-0000-0000-0000C6540000}"/>
    <cellStyle name="Followed Hyperlink 3" xfId="32265" hidden="1" xr:uid="{00000000-0005-0000-0000-0000C7540000}"/>
    <cellStyle name="Followed Hyperlink 3" xfId="32271" hidden="1" xr:uid="{00000000-0005-0000-0000-0000C8540000}"/>
    <cellStyle name="Followed Hyperlink 3" xfId="32274" hidden="1" xr:uid="{00000000-0005-0000-0000-0000C9540000}"/>
    <cellStyle name="Followed Hyperlink 3" xfId="32277" hidden="1" xr:uid="{00000000-0005-0000-0000-0000CA540000}"/>
    <cellStyle name="Followed Hyperlink 3" xfId="32282" hidden="1" xr:uid="{00000000-0005-0000-0000-0000CB540000}"/>
    <cellStyle name="Followed Hyperlink 3" xfId="32293" hidden="1" xr:uid="{00000000-0005-0000-0000-0000CC540000}"/>
    <cellStyle name="Followed Hyperlink 3" xfId="32295" hidden="1" xr:uid="{00000000-0005-0000-0000-0000CD540000}"/>
    <cellStyle name="Followed Hyperlink 3" xfId="32291" hidden="1" xr:uid="{00000000-0005-0000-0000-0000CE540000}"/>
    <cellStyle name="Followed Hyperlink 3" xfId="32290" hidden="1" xr:uid="{00000000-0005-0000-0000-0000CF540000}"/>
    <cellStyle name="Followed Hyperlink 3" xfId="32296" hidden="1" xr:uid="{00000000-0005-0000-0000-0000D0540000}"/>
    <cellStyle name="Followed Hyperlink 3" xfId="32299" hidden="1" xr:uid="{00000000-0005-0000-0000-0000D1540000}"/>
    <cellStyle name="Followed Hyperlink 3" xfId="32302" hidden="1" xr:uid="{00000000-0005-0000-0000-0000D2540000}"/>
    <cellStyle name="Followed Hyperlink 3" xfId="32307" hidden="1" xr:uid="{00000000-0005-0000-0000-0000D3540000}"/>
    <cellStyle name="Followed Hyperlink 3" xfId="32317" hidden="1" xr:uid="{00000000-0005-0000-0000-0000D4540000}"/>
    <cellStyle name="Followed Hyperlink 3" xfId="32319" hidden="1" xr:uid="{00000000-0005-0000-0000-0000D5540000}"/>
    <cellStyle name="Followed Hyperlink 3" xfId="32315" hidden="1" xr:uid="{00000000-0005-0000-0000-0000D6540000}"/>
    <cellStyle name="Followed Hyperlink 3" xfId="32314" hidden="1" xr:uid="{00000000-0005-0000-0000-0000D7540000}"/>
    <cellStyle name="Followed Hyperlink 3" xfId="32320" hidden="1" xr:uid="{00000000-0005-0000-0000-0000D8540000}"/>
    <cellStyle name="Followed Hyperlink 3" xfId="32323" hidden="1" xr:uid="{00000000-0005-0000-0000-0000D9540000}"/>
    <cellStyle name="Followed Hyperlink 3" xfId="32326" hidden="1" xr:uid="{00000000-0005-0000-0000-0000DA540000}"/>
    <cellStyle name="Followed Hyperlink 3" xfId="32331" hidden="1" xr:uid="{00000000-0005-0000-0000-0000DB540000}"/>
    <cellStyle name="Followed Hyperlink 3" xfId="32370" hidden="1" xr:uid="{00000000-0005-0000-0000-0000DC540000}"/>
    <cellStyle name="Followed Hyperlink 3" xfId="32372" hidden="1" xr:uid="{00000000-0005-0000-0000-0000DD540000}"/>
    <cellStyle name="Followed Hyperlink 3" xfId="32368" hidden="1" xr:uid="{00000000-0005-0000-0000-0000DE540000}"/>
    <cellStyle name="Followed Hyperlink 3" xfId="32367" hidden="1" xr:uid="{00000000-0005-0000-0000-0000DF540000}"/>
    <cellStyle name="Followed Hyperlink 3" xfId="32373" hidden="1" xr:uid="{00000000-0005-0000-0000-0000E0540000}"/>
    <cellStyle name="Followed Hyperlink 3" xfId="32376" hidden="1" xr:uid="{00000000-0005-0000-0000-0000E1540000}"/>
    <cellStyle name="Followed Hyperlink 3" xfId="32379" hidden="1" xr:uid="{00000000-0005-0000-0000-0000E2540000}"/>
    <cellStyle name="Followed Hyperlink 3" xfId="32384" hidden="1" xr:uid="{00000000-0005-0000-0000-0000E3540000}"/>
    <cellStyle name="Followed Hyperlink 3" xfId="32394" hidden="1" xr:uid="{00000000-0005-0000-0000-0000E4540000}"/>
    <cellStyle name="Followed Hyperlink 3" xfId="32396" hidden="1" xr:uid="{00000000-0005-0000-0000-0000E5540000}"/>
    <cellStyle name="Followed Hyperlink 3" xfId="32392" hidden="1" xr:uid="{00000000-0005-0000-0000-0000E6540000}"/>
    <cellStyle name="Followed Hyperlink 3" xfId="32391" hidden="1" xr:uid="{00000000-0005-0000-0000-0000E7540000}"/>
    <cellStyle name="Followed Hyperlink 3" xfId="32397" hidden="1" xr:uid="{00000000-0005-0000-0000-0000E8540000}"/>
    <cellStyle name="Followed Hyperlink 3" xfId="32400" hidden="1" xr:uid="{00000000-0005-0000-0000-0000E9540000}"/>
    <cellStyle name="Followed Hyperlink 3" xfId="32403" hidden="1" xr:uid="{00000000-0005-0000-0000-0000EA540000}"/>
    <cellStyle name="Followed Hyperlink 3" xfId="32408" hidden="1" xr:uid="{00000000-0005-0000-0000-0000EB540000}"/>
    <cellStyle name="Followed Hyperlink 3" xfId="32420" hidden="1" xr:uid="{00000000-0005-0000-0000-0000EC540000}"/>
    <cellStyle name="Followed Hyperlink 3" xfId="32422" hidden="1" xr:uid="{00000000-0005-0000-0000-0000ED540000}"/>
    <cellStyle name="Followed Hyperlink 3" xfId="32418" hidden="1" xr:uid="{00000000-0005-0000-0000-0000EE540000}"/>
    <cellStyle name="Followed Hyperlink 3" xfId="32417" hidden="1" xr:uid="{00000000-0005-0000-0000-0000EF540000}"/>
    <cellStyle name="Followed Hyperlink 3" xfId="32423" hidden="1" xr:uid="{00000000-0005-0000-0000-0000F0540000}"/>
    <cellStyle name="Followed Hyperlink 3" xfId="32426" hidden="1" xr:uid="{00000000-0005-0000-0000-0000F1540000}"/>
    <cellStyle name="Followed Hyperlink 3" xfId="32429" hidden="1" xr:uid="{00000000-0005-0000-0000-0000F2540000}"/>
    <cellStyle name="Followed Hyperlink 3" xfId="32434" hidden="1" xr:uid="{00000000-0005-0000-0000-0000F3540000}"/>
    <cellStyle name="Followed Hyperlink 3" xfId="32444" hidden="1" xr:uid="{00000000-0005-0000-0000-0000F4540000}"/>
    <cellStyle name="Followed Hyperlink 3" xfId="32446" hidden="1" xr:uid="{00000000-0005-0000-0000-0000F5540000}"/>
    <cellStyle name="Followed Hyperlink 3" xfId="32442" hidden="1" xr:uid="{00000000-0005-0000-0000-0000F6540000}"/>
    <cellStyle name="Followed Hyperlink 3" xfId="32441" hidden="1" xr:uid="{00000000-0005-0000-0000-0000F7540000}"/>
    <cellStyle name="Followed Hyperlink 3" xfId="32447" hidden="1" xr:uid="{00000000-0005-0000-0000-0000F8540000}"/>
    <cellStyle name="Followed Hyperlink 3" xfId="32450" hidden="1" xr:uid="{00000000-0005-0000-0000-0000F9540000}"/>
    <cellStyle name="Followed Hyperlink 3" xfId="32453" hidden="1" xr:uid="{00000000-0005-0000-0000-0000FA540000}"/>
    <cellStyle name="Followed Hyperlink 3" xfId="32458" hidden="1" xr:uid="{00000000-0005-0000-0000-0000FB540000}"/>
    <cellStyle name="Followed Hyperlink 3" xfId="32334" hidden="1" xr:uid="{00000000-0005-0000-0000-0000FC540000}"/>
    <cellStyle name="Followed Hyperlink 3" xfId="32411" hidden="1" xr:uid="{00000000-0005-0000-0000-0000FD540000}"/>
    <cellStyle name="Followed Hyperlink 3" xfId="32338" hidden="1" xr:uid="{00000000-0005-0000-0000-0000FE540000}"/>
    <cellStyle name="Followed Hyperlink 3" xfId="32339" hidden="1" xr:uid="{00000000-0005-0000-0000-0000FF540000}"/>
    <cellStyle name="Followed Hyperlink 3" xfId="32342" hidden="1" xr:uid="{00000000-0005-0000-0000-000000550000}"/>
    <cellStyle name="Followed Hyperlink 3" xfId="32463" hidden="1" xr:uid="{00000000-0005-0000-0000-000001550000}"/>
    <cellStyle name="Followed Hyperlink 3" xfId="32466" hidden="1" xr:uid="{00000000-0005-0000-0000-000002550000}"/>
    <cellStyle name="Followed Hyperlink 3" xfId="32471" hidden="1" xr:uid="{00000000-0005-0000-0000-000003550000}"/>
    <cellStyle name="Followed Hyperlink 3" xfId="32481" hidden="1" xr:uid="{00000000-0005-0000-0000-000004550000}"/>
    <cellStyle name="Followed Hyperlink 3" xfId="32483" hidden="1" xr:uid="{00000000-0005-0000-0000-000005550000}"/>
    <cellStyle name="Followed Hyperlink 3" xfId="32479" hidden="1" xr:uid="{00000000-0005-0000-0000-000006550000}"/>
    <cellStyle name="Followed Hyperlink 3" xfId="32478" hidden="1" xr:uid="{00000000-0005-0000-0000-000007550000}"/>
    <cellStyle name="Followed Hyperlink 3" xfId="32484" hidden="1" xr:uid="{00000000-0005-0000-0000-000008550000}"/>
    <cellStyle name="Followed Hyperlink 3" xfId="32487" hidden="1" xr:uid="{00000000-0005-0000-0000-000009550000}"/>
    <cellStyle name="Followed Hyperlink 3" xfId="32490" hidden="1" xr:uid="{00000000-0005-0000-0000-00000A550000}"/>
    <cellStyle name="Followed Hyperlink 3" xfId="32495" hidden="1" xr:uid="{00000000-0005-0000-0000-00000B550000}"/>
    <cellStyle name="Followed Hyperlink 3" xfId="32506" hidden="1" xr:uid="{00000000-0005-0000-0000-00000C550000}"/>
    <cellStyle name="Followed Hyperlink 3" xfId="32508" hidden="1" xr:uid="{00000000-0005-0000-0000-00000D550000}"/>
    <cellStyle name="Followed Hyperlink 3" xfId="32504" hidden="1" xr:uid="{00000000-0005-0000-0000-00000E550000}"/>
    <cellStyle name="Followed Hyperlink 3" xfId="32503" hidden="1" xr:uid="{00000000-0005-0000-0000-00000F550000}"/>
    <cellStyle name="Followed Hyperlink 3" xfId="32509" hidden="1" xr:uid="{00000000-0005-0000-0000-000010550000}"/>
    <cellStyle name="Followed Hyperlink 3" xfId="32512" hidden="1" xr:uid="{00000000-0005-0000-0000-000011550000}"/>
    <cellStyle name="Followed Hyperlink 3" xfId="32515" hidden="1" xr:uid="{00000000-0005-0000-0000-000012550000}"/>
    <cellStyle name="Followed Hyperlink 3" xfId="32520" hidden="1" xr:uid="{00000000-0005-0000-0000-000013550000}"/>
    <cellStyle name="Followed Hyperlink 3" xfId="32530" hidden="1" xr:uid="{00000000-0005-0000-0000-000014550000}"/>
    <cellStyle name="Followed Hyperlink 3" xfId="32532" hidden="1" xr:uid="{00000000-0005-0000-0000-000015550000}"/>
    <cellStyle name="Followed Hyperlink 3" xfId="32528" hidden="1" xr:uid="{00000000-0005-0000-0000-000016550000}"/>
    <cellStyle name="Followed Hyperlink 3" xfId="32527" hidden="1" xr:uid="{00000000-0005-0000-0000-000017550000}"/>
    <cellStyle name="Followed Hyperlink 3" xfId="32533" hidden="1" xr:uid="{00000000-0005-0000-0000-000018550000}"/>
    <cellStyle name="Followed Hyperlink 3" xfId="32536" hidden="1" xr:uid="{00000000-0005-0000-0000-000019550000}"/>
    <cellStyle name="Followed Hyperlink 3" xfId="32539" hidden="1" xr:uid="{00000000-0005-0000-0000-00001A550000}"/>
    <cellStyle name="Followed Hyperlink 3" xfId="32544" hidden="1" xr:uid="{00000000-0005-0000-0000-00001B550000}"/>
    <cellStyle name="Followed Hyperlink 3" xfId="32355" hidden="1" xr:uid="{00000000-0005-0000-0000-00001C550000}"/>
    <cellStyle name="Followed Hyperlink 3" xfId="32498" hidden="1" xr:uid="{00000000-0005-0000-0000-00001D550000}"/>
    <cellStyle name="Followed Hyperlink 3" xfId="32352" hidden="1" xr:uid="{00000000-0005-0000-0000-00001E550000}"/>
    <cellStyle name="Followed Hyperlink 3" xfId="32344" hidden="1" xr:uid="{00000000-0005-0000-0000-00001F550000}"/>
    <cellStyle name="Followed Hyperlink 3" xfId="32349" hidden="1" xr:uid="{00000000-0005-0000-0000-000020550000}"/>
    <cellStyle name="Followed Hyperlink 3" xfId="32549" hidden="1" xr:uid="{00000000-0005-0000-0000-000021550000}"/>
    <cellStyle name="Followed Hyperlink 3" xfId="32552" hidden="1" xr:uid="{00000000-0005-0000-0000-000022550000}"/>
    <cellStyle name="Followed Hyperlink 3" xfId="32557" hidden="1" xr:uid="{00000000-0005-0000-0000-000023550000}"/>
    <cellStyle name="Followed Hyperlink 3" xfId="32567" hidden="1" xr:uid="{00000000-0005-0000-0000-000024550000}"/>
    <cellStyle name="Followed Hyperlink 3" xfId="32569" hidden="1" xr:uid="{00000000-0005-0000-0000-000025550000}"/>
    <cellStyle name="Followed Hyperlink 3" xfId="32565" hidden="1" xr:uid="{00000000-0005-0000-0000-000026550000}"/>
    <cellStyle name="Followed Hyperlink 3" xfId="32564" hidden="1" xr:uid="{00000000-0005-0000-0000-000027550000}"/>
    <cellStyle name="Followed Hyperlink 3" xfId="32570" hidden="1" xr:uid="{00000000-0005-0000-0000-000028550000}"/>
    <cellStyle name="Followed Hyperlink 3" xfId="32573" hidden="1" xr:uid="{00000000-0005-0000-0000-000029550000}"/>
    <cellStyle name="Followed Hyperlink 3" xfId="32576" hidden="1" xr:uid="{00000000-0005-0000-0000-00002A550000}"/>
    <cellStyle name="Followed Hyperlink 3" xfId="32581" hidden="1" xr:uid="{00000000-0005-0000-0000-00002B550000}"/>
    <cellStyle name="Followed Hyperlink 3" xfId="32592" hidden="1" xr:uid="{00000000-0005-0000-0000-00002C550000}"/>
    <cellStyle name="Followed Hyperlink 3" xfId="32594" hidden="1" xr:uid="{00000000-0005-0000-0000-00002D550000}"/>
    <cellStyle name="Followed Hyperlink 3" xfId="32590" hidden="1" xr:uid="{00000000-0005-0000-0000-00002E550000}"/>
    <cellStyle name="Followed Hyperlink 3" xfId="32589" hidden="1" xr:uid="{00000000-0005-0000-0000-00002F550000}"/>
    <cellStyle name="Followed Hyperlink 3" xfId="32595" hidden="1" xr:uid="{00000000-0005-0000-0000-000030550000}"/>
    <cellStyle name="Followed Hyperlink 3" xfId="32598" hidden="1" xr:uid="{00000000-0005-0000-0000-000031550000}"/>
    <cellStyle name="Followed Hyperlink 3" xfId="32601" hidden="1" xr:uid="{00000000-0005-0000-0000-000032550000}"/>
    <cellStyle name="Followed Hyperlink 3" xfId="32606" hidden="1" xr:uid="{00000000-0005-0000-0000-000033550000}"/>
    <cellStyle name="Followed Hyperlink 3" xfId="32616" hidden="1" xr:uid="{00000000-0005-0000-0000-000034550000}"/>
    <cellStyle name="Followed Hyperlink 3" xfId="32618" hidden="1" xr:uid="{00000000-0005-0000-0000-000035550000}"/>
    <cellStyle name="Followed Hyperlink 3" xfId="32614" hidden="1" xr:uid="{00000000-0005-0000-0000-000036550000}"/>
    <cellStyle name="Followed Hyperlink 3" xfId="32613" hidden="1" xr:uid="{00000000-0005-0000-0000-000037550000}"/>
    <cellStyle name="Followed Hyperlink 3" xfId="32619" hidden="1" xr:uid="{00000000-0005-0000-0000-000038550000}"/>
    <cellStyle name="Followed Hyperlink 3" xfId="32622" hidden="1" xr:uid="{00000000-0005-0000-0000-000039550000}"/>
    <cellStyle name="Followed Hyperlink 3" xfId="32625" hidden="1" xr:uid="{00000000-0005-0000-0000-00003A550000}"/>
    <cellStyle name="Followed Hyperlink 3" xfId="32630" hidden="1" xr:uid="{00000000-0005-0000-0000-00003B550000}"/>
    <cellStyle name="Followed Hyperlink 3" xfId="32360" hidden="1" xr:uid="{00000000-0005-0000-0000-00003C550000}"/>
    <cellStyle name="Followed Hyperlink 3" xfId="32584" hidden="1" xr:uid="{00000000-0005-0000-0000-00003D550000}"/>
    <cellStyle name="Followed Hyperlink 3" xfId="32356" hidden="1" xr:uid="{00000000-0005-0000-0000-00003E550000}"/>
    <cellStyle name="Followed Hyperlink 3" xfId="32361" hidden="1" xr:uid="{00000000-0005-0000-0000-00003F550000}"/>
    <cellStyle name="Followed Hyperlink 3" xfId="32348" hidden="1" xr:uid="{00000000-0005-0000-0000-000040550000}"/>
    <cellStyle name="Followed Hyperlink 3" xfId="32635" hidden="1" xr:uid="{00000000-0005-0000-0000-000041550000}"/>
    <cellStyle name="Followed Hyperlink 3" xfId="32638" hidden="1" xr:uid="{00000000-0005-0000-0000-000042550000}"/>
    <cellStyle name="Followed Hyperlink 3" xfId="32643" hidden="1" xr:uid="{00000000-0005-0000-0000-000043550000}"/>
    <cellStyle name="Followed Hyperlink 3" xfId="32653" hidden="1" xr:uid="{00000000-0005-0000-0000-000044550000}"/>
    <cellStyle name="Followed Hyperlink 3" xfId="32655" hidden="1" xr:uid="{00000000-0005-0000-0000-000045550000}"/>
    <cellStyle name="Followed Hyperlink 3" xfId="32651" hidden="1" xr:uid="{00000000-0005-0000-0000-000046550000}"/>
    <cellStyle name="Followed Hyperlink 3" xfId="32650" hidden="1" xr:uid="{00000000-0005-0000-0000-000047550000}"/>
    <cellStyle name="Followed Hyperlink 3" xfId="32656" hidden="1" xr:uid="{00000000-0005-0000-0000-000048550000}"/>
    <cellStyle name="Followed Hyperlink 3" xfId="32659" hidden="1" xr:uid="{00000000-0005-0000-0000-000049550000}"/>
    <cellStyle name="Followed Hyperlink 3" xfId="32662" hidden="1" xr:uid="{00000000-0005-0000-0000-00004A550000}"/>
    <cellStyle name="Followed Hyperlink 3" xfId="32667" hidden="1" xr:uid="{00000000-0005-0000-0000-00004B550000}"/>
    <cellStyle name="Followed Hyperlink 3" xfId="32677" hidden="1" xr:uid="{00000000-0005-0000-0000-00004C550000}"/>
    <cellStyle name="Followed Hyperlink 3" xfId="32679" hidden="1" xr:uid="{00000000-0005-0000-0000-00004D550000}"/>
    <cellStyle name="Followed Hyperlink 3" xfId="32675" hidden="1" xr:uid="{00000000-0005-0000-0000-00004E550000}"/>
    <cellStyle name="Followed Hyperlink 3" xfId="32674" hidden="1" xr:uid="{00000000-0005-0000-0000-00004F550000}"/>
    <cellStyle name="Followed Hyperlink 3" xfId="32680" hidden="1" xr:uid="{00000000-0005-0000-0000-000050550000}"/>
    <cellStyle name="Followed Hyperlink 3" xfId="32683" hidden="1" xr:uid="{00000000-0005-0000-0000-000051550000}"/>
    <cellStyle name="Followed Hyperlink 3" xfId="32686" hidden="1" xr:uid="{00000000-0005-0000-0000-000052550000}"/>
    <cellStyle name="Followed Hyperlink 3" xfId="32691" hidden="1" xr:uid="{00000000-0005-0000-0000-000053550000}"/>
    <cellStyle name="Followed Hyperlink 3" xfId="32701" hidden="1" xr:uid="{00000000-0005-0000-0000-000054550000}"/>
    <cellStyle name="Followed Hyperlink 3" xfId="32703" hidden="1" xr:uid="{00000000-0005-0000-0000-000055550000}"/>
    <cellStyle name="Followed Hyperlink 3" xfId="32699" hidden="1" xr:uid="{00000000-0005-0000-0000-000056550000}"/>
    <cellStyle name="Followed Hyperlink 3" xfId="32698" hidden="1" xr:uid="{00000000-0005-0000-0000-000057550000}"/>
    <cellStyle name="Followed Hyperlink 3" xfId="32704" hidden="1" xr:uid="{00000000-0005-0000-0000-000058550000}"/>
    <cellStyle name="Followed Hyperlink 3" xfId="32707" hidden="1" xr:uid="{00000000-0005-0000-0000-000059550000}"/>
    <cellStyle name="Followed Hyperlink 3" xfId="32710" hidden="1" xr:uid="{00000000-0005-0000-0000-00005A550000}"/>
    <cellStyle name="Followed Hyperlink 3" xfId="32715" hidden="1" xr:uid="{00000000-0005-0000-0000-00005B550000}"/>
    <cellStyle name="Followed Hyperlink 3" xfId="31293" hidden="1" xr:uid="{00000000-0005-0000-0000-00005C550000}"/>
    <cellStyle name="Followed Hyperlink 3" xfId="32285" hidden="1" xr:uid="{00000000-0005-0000-0000-00005D550000}"/>
    <cellStyle name="Followed Hyperlink 3" xfId="31289" hidden="1" xr:uid="{00000000-0005-0000-0000-00005E550000}"/>
    <cellStyle name="Followed Hyperlink 3" xfId="31294" hidden="1" xr:uid="{00000000-0005-0000-0000-00005F550000}"/>
    <cellStyle name="Followed Hyperlink 3" xfId="31281" hidden="1" xr:uid="{00000000-0005-0000-0000-000060550000}"/>
    <cellStyle name="Followed Hyperlink 3" xfId="32720" hidden="1" xr:uid="{00000000-0005-0000-0000-000061550000}"/>
    <cellStyle name="Followed Hyperlink 3" xfId="32723" hidden="1" xr:uid="{00000000-0005-0000-0000-000062550000}"/>
    <cellStyle name="Followed Hyperlink 3" xfId="32728" hidden="1" xr:uid="{00000000-0005-0000-0000-000063550000}"/>
    <cellStyle name="Followed Hyperlink 3" xfId="32738" hidden="1" xr:uid="{00000000-0005-0000-0000-000064550000}"/>
    <cellStyle name="Followed Hyperlink 3" xfId="32740" hidden="1" xr:uid="{00000000-0005-0000-0000-000065550000}"/>
    <cellStyle name="Followed Hyperlink 3" xfId="32736" hidden="1" xr:uid="{00000000-0005-0000-0000-000066550000}"/>
    <cellStyle name="Followed Hyperlink 3" xfId="32735" hidden="1" xr:uid="{00000000-0005-0000-0000-000067550000}"/>
    <cellStyle name="Followed Hyperlink 3" xfId="32741" hidden="1" xr:uid="{00000000-0005-0000-0000-000068550000}"/>
    <cellStyle name="Followed Hyperlink 3" xfId="32744" hidden="1" xr:uid="{00000000-0005-0000-0000-000069550000}"/>
    <cellStyle name="Followed Hyperlink 3" xfId="32747" hidden="1" xr:uid="{00000000-0005-0000-0000-00006A550000}"/>
    <cellStyle name="Followed Hyperlink 3" xfId="32752" hidden="1" xr:uid="{00000000-0005-0000-0000-00006B550000}"/>
    <cellStyle name="Followed Hyperlink 3" xfId="32762" hidden="1" xr:uid="{00000000-0005-0000-0000-00006C550000}"/>
    <cellStyle name="Followed Hyperlink 3" xfId="32764" hidden="1" xr:uid="{00000000-0005-0000-0000-00006D550000}"/>
    <cellStyle name="Followed Hyperlink 3" xfId="32760" hidden="1" xr:uid="{00000000-0005-0000-0000-00006E550000}"/>
    <cellStyle name="Followed Hyperlink 3" xfId="32759" hidden="1" xr:uid="{00000000-0005-0000-0000-00006F550000}"/>
    <cellStyle name="Followed Hyperlink 3" xfId="32765" hidden="1" xr:uid="{00000000-0005-0000-0000-000070550000}"/>
    <cellStyle name="Followed Hyperlink 3" xfId="32768" hidden="1" xr:uid="{00000000-0005-0000-0000-000071550000}"/>
    <cellStyle name="Followed Hyperlink 3" xfId="32771" hidden="1" xr:uid="{00000000-0005-0000-0000-000072550000}"/>
    <cellStyle name="Followed Hyperlink 3" xfId="32776" hidden="1" xr:uid="{00000000-0005-0000-0000-000073550000}"/>
    <cellStyle name="Followed Hyperlink 3" xfId="32786" hidden="1" xr:uid="{00000000-0005-0000-0000-000074550000}"/>
    <cellStyle name="Followed Hyperlink 3" xfId="32788" hidden="1" xr:uid="{00000000-0005-0000-0000-000075550000}"/>
    <cellStyle name="Followed Hyperlink 3" xfId="32784" hidden="1" xr:uid="{00000000-0005-0000-0000-000076550000}"/>
    <cellStyle name="Followed Hyperlink 3" xfId="32783" hidden="1" xr:uid="{00000000-0005-0000-0000-000077550000}"/>
    <cellStyle name="Followed Hyperlink 3" xfId="32789" hidden="1" xr:uid="{00000000-0005-0000-0000-000078550000}"/>
    <cellStyle name="Followed Hyperlink 3" xfId="32792" hidden="1" xr:uid="{00000000-0005-0000-0000-000079550000}"/>
    <cellStyle name="Followed Hyperlink 3" xfId="32795" hidden="1" xr:uid="{00000000-0005-0000-0000-00007A550000}"/>
    <cellStyle name="Followed Hyperlink 3" xfId="32800" hidden="1" xr:uid="{00000000-0005-0000-0000-00007B550000}"/>
    <cellStyle name="Followed Hyperlink 3" xfId="32839" hidden="1" xr:uid="{00000000-0005-0000-0000-00007C550000}"/>
    <cellStyle name="Followed Hyperlink 3" xfId="32841" hidden="1" xr:uid="{00000000-0005-0000-0000-00007D550000}"/>
    <cellStyle name="Followed Hyperlink 3" xfId="32837" hidden="1" xr:uid="{00000000-0005-0000-0000-00007E550000}"/>
    <cellStyle name="Followed Hyperlink 3" xfId="32836" hidden="1" xr:uid="{00000000-0005-0000-0000-00007F550000}"/>
    <cellStyle name="Followed Hyperlink 3" xfId="32842" hidden="1" xr:uid="{00000000-0005-0000-0000-000080550000}"/>
    <cellStyle name="Followed Hyperlink 3" xfId="32845" hidden="1" xr:uid="{00000000-0005-0000-0000-000081550000}"/>
    <cellStyle name="Followed Hyperlink 3" xfId="32848" hidden="1" xr:uid="{00000000-0005-0000-0000-000082550000}"/>
    <cellStyle name="Followed Hyperlink 3" xfId="32853" hidden="1" xr:uid="{00000000-0005-0000-0000-000083550000}"/>
    <cellStyle name="Followed Hyperlink 3" xfId="32863" hidden="1" xr:uid="{00000000-0005-0000-0000-000084550000}"/>
    <cellStyle name="Followed Hyperlink 3" xfId="32865" hidden="1" xr:uid="{00000000-0005-0000-0000-000085550000}"/>
    <cellStyle name="Followed Hyperlink 3" xfId="32861" hidden="1" xr:uid="{00000000-0005-0000-0000-000086550000}"/>
    <cellStyle name="Followed Hyperlink 3" xfId="32860" hidden="1" xr:uid="{00000000-0005-0000-0000-000087550000}"/>
    <cellStyle name="Followed Hyperlink 3" xfId="32866" hidden="1" xr:uid="{00000000-0005-0000-0000-000088550000}"/>
    <cellStyle name="Followed Hyperlink 3" xfId="32869" hidden="1" xr:uid="{00000000-0005-0000-0000-000089550000}"/>
    <cellStyle name="Followed Hyperlink 3" xfId="32872" hidden="1" xr:uid="{00000000-0005-0000-0000-00008A550000}"/>
    <cellStyle name="Followed Hyperlink 3" xfId="32877" hidden="1" xr:uid="{00000000-0005-0000-0000-00008B550000}"/>
    <cellStyle name="Followed Hyperlink 3" xfId="32889" hidden="1" xr:uid="{00000000-0005-0000-0000-00008C550000}"/>
    <cellStyle name="Followed Hyperlink 3" xfId="32891" hidden="1" xr:uid="{00000000-0005-0000-0000-00008D550000}"/>
    <cellStyle name="Followed Hyperlink 3" xfId="32887" hidden="1" xr:uid="{00000000-0005-0000-0000-00008E550000}"/>
    <cellStyle name="Followed Hyperlink 3" xfId="32886" hidden="1" xr:uid="{00000000-0005-0000-0000-00008F550000}"/>
    <cellStyle name="Followed Hyperlink 3" xfId="32892" hidden="1" xr:uid="{00000000-0005-0000-0000-000090550000}"/>
    <cellStyle name="Followed Hyperlink 3" xfId="32895" hidden="1" xr:uid="{00000000-0005-0000-0000-000091550000}"/>
    <cellStyle name="Followed Hyperlink 3" xfId="32898" hidden="1" xr:uid="{00000000-0005-0000-0000-000092550000}"/>
    <cellStyle name="Followed Hyperlink 3" xfId="32903" hidden="1" xr:uid="{00000000-0005-0000-0000-000093550000}"/>
    <cellStyle name="Followed Hyperlink 3" xfId="32913" hidden="1" xr:uid="{00000000-0005-0000-0000-000094550000}"/>
    <cellStyle name="Followed Hyperlink 3" xfId="32915" hidden="1" xr:uid="{00000000-0005-0000-0000-000095550000}"/>
    <cellStyle name="Followed Hyperlink 3" xfId="32911" hidden="1" xr:uid="{00000000-0005-0000-0000-000096550000}"/>
    <cellStyle name="Followed Hyperlink 3" xfId="32910" hidden="1" xr:uid="{00000000-0005-0000-0000-000097550000}"/>
    <cellStyle name="Followed Hyperlink 3" xfId="32916" hidden="1" xr:uid="{00000000-0005-0000-0000-000098550000}"/>
    <cellStyle name="Followed Hyperlink 3" xfId="32919" hidden="1" xr:uid="{00000000-0005-0000-0000-000099550000}"/>
    <cellStyle name="Followed Hyperlink 3" xfId="32922" hidden="1" xr:uid="{00000000-0005-0000-0000-00009A550000}"/>
    <cellStyle name="Followed Hyperlink 3" xfId="32927" hidden="1" xr:uid="{00000000-0005-0000-0000-00009B550000}"/>
    <cellStyle name="Followed Hyperlink 3" xfId="32803" hidden="1" xr:uid="{00000000-0005-0000-0000-00009C550000}"/>
    <cellStyle name="Followed Hyperlink 3" xfId="32880" hidden="1" xr:uid="{00000000-0005-0000-0000-00009D550000}"/>
    <cellStyle name="Followed Hyperlink 3" xfId="32807" hidden="1" xr:uid="{00000000-0005-0000-0000-00009E550000}"/>
    <cellStyle name="Followed Hyperlink 3" xfId="32808" hidden="1" xr:uid="{00000000-0005-0000-0000-00009F550000}"/>
    <cellStyle name="Followed Hyperlink 3" xfId="32811" hidden="1" xr:uid="{00000000-0005-0000-0000-0000A0550000}"/>
    <cellStyle name="Followed Hyperlink 3" xfId="32932" hidden="1" xr:uid="{00000000-0005-0000-0000-0000A1550000}"/>
    <cellStyle name="Followed Hyperlink 3" xfId="32935" hidden="1" xr:uid="{00000000-0005-0000-0000-0000A2550000}"/>
    <cellStyle name="Followed Hyperlink 3" xfId="32940" hidden="1" xr:uid="{00000000-0005-0000-0000-0000A3550000}"/>
    <cellStyle name="Followed Hyperlink 3" xfId="32950" hidden="1" xr:uid="{00000000-0005-0000-0000-0000A4550000}"/>
    <cellStyle name="Followed Hyperlink 3" xfId="32952" hidden="1" xr:uid="{00000000-0005-0000-0000-0000A5550000}"/>
    <cellStyle name="Followed Hyperlink 3" xfId="32948" hidden="1" xr:uid="{00000000-0005-0000-0000-0000A6550000}"/>
    <cellStyle name="Followed Hyperlink 3" xfId="32947" hidden="1" xr:uid="{00000000-0005-0000-0000-0000A7550000}"/>
    <cellStyle name="Followed Hyperlink 3" xfId="32953" hidden="1" xr:uid="{00000000-0005-0000-0000-0000A8550000}"/>
    <cellStyle name="Followed Hyperlink 3" xfId="32956" hidden="1" xr:uid="{00000000-0005-0000-0000-0000A9550000}"/>
    <cellStyle name="Followed Hyperlink 3" xfId="32959" hidden="1" xr:uid="{00000000-0005-0000-0000-0000AA550000}"/>
    <cellStyle name="Followed Hyperlink 3" xfId="32964" hidden="1" xr:uid="{00000000-0005-0000-0000-0000AB550000}"/>
    <cellStyle name="Followed Hyperlink 3" xfId="32975" hidden="1" xr:uid="{00000000-0005-0000-0000-0000AC550000}"/>
    <cellStyle name="Followed Hyperlink 3" xfId="32977" hidden="1" xr:uid="{00000000-0005-0000-0000-0000AD550000}"/>
    <cellStyle name="Followed Hyperlink 3" xfId="32973" hidden="1" xr:uid="{00000000-0005-0000-0000-0000AE550000}"/>
    <cellStyle name="Followed Hyperlink 3" xfId="32972" hidden="1" xr:uid="{00000000-0005-0000-0000-0000AF550000}"/>
    <cellStyle name="Followed Hyperlink 3" xfId="32978" hidden="1" xr:uid="{00000000-0005-0000-0000-0000B0550000}"/>
    <cellStyle name="Followed Hyperlink 3" xfId="32981" hidden="1" xr:uid="{00000000-0005-0000-0000-0000B1550000}"/>
    <cellStyle name="Followed Hyperlink 3" xfId="32984" hidden="1" xr:uid="{00000000-0005-0000-0000-0000B2550000}"/>
    <cellStyle name="Followed Hyperlink 3" xfId="32989" hidden="1" xr:uid="{00000000-0005-0000-0000-0000B3550000}"/>
    <cellStyle name="Followed Hyperlink 3" xfId="32999" hidden="1" xr:uid="{00000000-0005-0000-0000-0000B4550000}"/>
    <cellStyle name="Followed Hyperlink 3" xfId="33001" hidden="1" xr:uid="{00000000-0005-0000-0000-0000B5550000}"/>
    <cellStyle name="Followed Hyperlink 3" xfId="32997" hidden="1" xr:uid="{00000000-0005-0000-0000-0000B6550000}"/>
    <cellStyle name="Followed Hyperlink 3" xfId="32996" hidden="1" xr:uid="{00000000-0005-0000-0000-0000B7550000}"/>
    <cellStyle name="Followed Hyperlink 3" xfId="33002" hidden="1" xr:uid="{00000000-0005-0000-0000-0000B8550000}"/>
    <cellStyle name="Followed Hyperlink 3" xfId="33005" hidden="1" xr:uid="{00000000-0005-0000-0000-0000B9550000}"/>
    <cellStyle name="Followed Hyperlink 3" xfId="33008" hidden="1" xr:uid="{00000000-0005-0000-0000-0000BA550000}"/>
    <cellStyle name="Followed Hyperlink 3" xfId="33013" hidden="1" xr:uid="{00000000-0005-0000-0000-0000BB550000}"/>
    <cellStyle name="Followed Hyperlink 3" xfId="32824" hidden="1" xr:uid="{00000000-0005-0000-0000-0000BC550000}"/>
    <cellStyle name="Followed Hyperlink 3" xfId="32967" hidden="1" xr:uid="{00000000-0005-0000-0000-0000BD550000}"/>
    <cellStyle name="Followed Hyperlink 3" xfId="32821" hidden="1" xr:uid="{00000000-0005-0000-0000-0000BE550000}"/>
    <cellStyle name="Followed Hyperlink 3" xfId="32813" hidden="1" xr:uid="{00000000-0005-0000-0000-0000BF550000}"/>
    <cellStyle name="Followed Hyperlink 3" xfId="32818" hidden="1" xr:uid="{00000000-0005-0000-0000-0000C0550000}"/>
    <cellStyle name="Followed Hyperlink 3" xfId="33018" hidden="1" xr:uid="{00000000-0005-0000-0000-0000C1550000}"/>
    <cellStyle name="Followed Hyperlink 3" xfId="33021" hidden="1" xr:uid="{00000000-0005-0000-0000-0000C2550000}"/>
    <cellStyle name="Followed Hyperlink 3" xfId="33026" hidden="1" xr:uid="{00000000-0005-0000-0000-0000C3550000}"/>
    <cellStyle name="Followed Hyperlink 3" xfId="33036" hidden="1" xr:uid="{00000000-0005-0000-0000-0000C4550000}"/>
    <cellStyle name="Followed Hyperlink 3" xfId="33038" hidden="1" xr:uid="{00000000-0005-0000-0000-0000C5550000}"/>
    <cellStyle name="Followed Hyperlink 3" xfId="33034" hidden="1" xr:uid="{00000000-0005-0000-0000-0000C6550000}"/>
    <cellStyle name="Followed Hyperlink 3" xfId="33033" hidden="1" xr:uid="{00000000-0005-0000-0000-0000C7550000}"/>
    <cellStyle name="Followed Hyperlink 3" xfId="33039" hidden="1" xr:uid="{00000000-0005-0000-0000-0000C8550000}"/>
    <cellStyle name="Followed Hyperlink 3" xfId="33042" hidden="1" xr:uid="{00000000-0005-0000-0000-0000C9550000}"/>
    <cellStyle name="Followed Hyperlink 3" xfId="33045" hidden="1" xr:uid="{00000000-0005-0000-0000-0000CA550000}"/>
    <cellStyle name="Followed Hyperlink 3" xfId="33050" hidden="1" xr:uid="{00000000-0005-0000-0000-0000CB550000}"/>
    <cellStyle name="Followed Hyperlink 3" xfId="33061" hidden="1" xr:uid="{00000000-0005-0000-0000-0000CC550000}"/>
    <cellStyle name="Followed Hyperlink 3" xfId="33063" hidden="1" xr:uid="{00000000-0005-0000-0000-0000CD550000}"/>
    <cellStyle name="Followed Hyperlink 3" xfId="33059" hidden="1" xr:uid="{00000000-0005-0000-0000-0000CE550000}"/>
    <cellStyle name="Followed Hyperlink 3" xfId="33058" hidden="1" xr:uid="{00000000-0005-0000-0000-0000CF550000}"/>
    <cellStyle name="Followed Hyperlink 3" xfId="33064" hidden="1" xr:uid="{00000000-0005-0000-0000-0000D0550000}"/>
    <cellStyle name="Followed Hyperlink 3" xfId="33067" hidden="1" xr:uid="{00000000-0005-0000-0000-0000D1550000}"/>
    <cellStyle name="Followed Hyperlink 3" xfId="33070" hidden="1" xr:uid="{00000000-0005-0000-0000-0000D2550000}"/>
    <cellStyle name="Followed Hyperlink 3" xfId="33075" hidden="1" xr:uid="{00000000-0005-0000-0000-0000D3550000}"/>
    <cellStyle name="Followed Hyperlink 3" xfId="33085" hidden="1" xr:uid="{00000000-0005-0000-0000-0000D4550000}"/>
    <cellStyle name="Followed Hyperlink 3" xfId="33087" hidden="1" xr:uid="{00000000-0005-0000-0000-0000D5550000}"/>
    <cellStyle name="Followed Hyperlink 3" xfId="33083" hidden="1" xr:uid="{00000000-0005-0000-0000-0000D6550000}"/>
    <cellStyle name="Followed Hyperlink 3" xfId="33082" hidden="1" xr:uid="{00000000-0005-0000-0000-0000D7550000}"/>
    <cellStyle name="Followed Hyperlink 3" xfId="33088" hidden="1" xr:uid="{00000000-0005-0000-0000-0000D8550000}"/>
    <cellStyle name="Followed Hyperlink 3" xfId="33091" hidden="1" xr:uid="{00000000-0005-0000-0000-0000D9550000}"/>
    <cellStyle name="Followed Hyperlink 3" xfId="33094" hidden="1" xr:uid="{00000000-0005-0000-0000-0000DA550000}"/>
    <cellStyle name="Followed Hyperlink 3" xfId="33099" hidden="1" xr:uid="{00000000-0005-0000-0000-0000DB550000}"/>
    <cellStyle name="Followed Hyperlink 3" xfId="32829" hidden="1" xr:uid="{00000000-0005-0000-0000-0000DC550000}"/>
    <cellStyle name="Followed Hyperlink 3" xfId="33053" hidden="1" xr:uid="{00000000-0005-0000-0000-0000DD550000}"/>
    <cellStyle name="Followed Hyperlink 3" xfId="32825" hidden="1" xr:uid="{00000000-0005-0000-0000-0000DE550000}"/>
    <cellStyle name="Followed Hyperlink 3" xfId="32830" hidden="1" xr:uid="{00000000-0005-0000-0000-0000DF550000}"/>
    <cellStyle name="Followed Hyperlink 3" xfId="32817" hidden="1" xr:uid="{00000000-0005-0000-0000-0000E0550000}"/>
    <cellStyle name="Followed Hyperlink 3" xfId="33104" hidden="1" xr:uid="{00000000-0005-0000-0000-0000E1550000}"/>
    <cellStyle name="Followed Hyperlink 3" xfId="33107" hidden="1" xr:uid="{00000000-0005-0000-0000-0000E2550000}"/>
    <cellStyle name="Followed Hyperlink 3" xfId="33112" hidden="1" xr:uid="{00000000-0005-0000-0000-0000E3550000}"/>
    <cellStyle name="Followed Hyperlink 3" xfId="33122" hidden="1" xr:uid="{00000000-0005-0000-0000-0000E4550000}"/>
    <cellStyle name="Followed Hyperlink 3" xfId="33124" hidden="1" xr:uid="{00000000-0005-0000-0000-0000E5550000}"/>
    <cellStyle name="Followed Hyperlink 3" xfId="33120" hidden="1" xr:uid="{00000000-0005-0000-0000-0000E6550000}"/>
    <cellStyle name="Followed Hyperlink 3" xfId="33119" hidden="1" xr:uid="{00000000-0005-0000-0000-0000E7550000}"/>
    <cellStyle name="Followed Hyperlink 3" xfId="33125" hidden="1" xr:uid="{00000000-0005-0000-0000-0000E8550000}"/>
    <cellStyle name="Followed Hyperlink 3" xfId="33128" hidden="1" xr:uid="{00000000-0005-0000-0000-0000E9550000}"/>
    <cellStyle name="Followed Hyperlink 3" xfId="33131" hidden="1" xr:uid="{00000000-0005-0000-0000-0000EA550000}"/>
    <cellStyle name="Followed Hyperlink 3" xfId="33136" hidden="1" xr:uid="{00000000-0005-0000-0000-0000EB550000}"/>
    <cellStyle name="Followed Hyperlink 3" xfId="33146" hidden="1" xr:uid="{00000000-0005-0000-0000-0000EC550000}"/>
    <cellStyle name="Followed Hyperlink 3" xfId="33148" hidden="1" xr:uid="{00000000-0005-0000-0000-0000ED550000}"/>
    <cellStyle name="Followed Hyperlink 3" xfId="33144" hidden="1" xr:uid="{00000000-0005-0000-0000-0000EE550000}"/>
    <cellStyle name="Followed Hyperlink 3" xfId="33143" hidden="1" xr:uid="{00000000-0005-0000-0000-0000EF550000}"/>
    <cellStyle name="Followed Hyperlink 3" xfId="33149" hidden="1" xr:uid="{00000000-0005-0000-0000-0000F0550000}"/>
    <cellStyle name="Followed Hyperlink 3" xfId="33152" hidden="1" xr:uid="{00000000-0005-0000-0000-0000F1550000}"/>
    <cellStyle name="Followed Hyperlink 3" xfId="33155" hidden="1" xr:uid="{00000000-0005-0000-0000-0000F2550000}"/>
    <cellStyle name="Followed Hyperlink 3" xfId="33160" hidden="1" xr:uid="{00000000-0005-0000-0000-0000F3550000}"/>
    <cellStyle name="Followed Hyperlink 3" xfId="33170" hidden="1" xr:uid="{00000000-0005-0000-0000-0000F4550000}"/>
    <cellStyle name="Followed Hyperlink 3" xfId="33172" hidden="1" xr:uid="{00000000-0005-0000-0000-0000F5550000}"/>
    <cellStyle name="Followed Hyperlink 3" xfId="33168" hidden="1" xr:uid="{00000000-0005-0000-0000-0000F6550000}"/>
    <cellStyle name="Followed Hyperlink 3" xfId="33167" hidden="1" xr:uid="{00000000-0005-0000-0000-0000F7550000}"/>
    <cellStyle name="Followed Hyperlink 3" xfId="33173" hidden="1" xr:uid="{00000000-0005-0000-0000-0000F8550000}"/>
    <cellStyle name="Followed Hyperlink 3" xfId="33176" hidden="1" xr:uid="{00000000-0005-0000-0000-0000F9550000}"/>
    <cellStyle name="Followed Hyperlink 3" xfId="33179" hidden="1" xr:uid="{00000000-0005-0000-0000-0000FA550000}"/>
    <cellStyle name="Followed Hyperlink 3" xfId="33184" hidden="1" xr:uid="{00000000-0005-0000-0000-0000FB550000}"/>
    <cellStyle name="Followed Hyperlink 4" xfId="248" hidden="1" xr:uid="{00000000-0005-0000-0000-0000FC550000}"/>
    <cellStyle name="Followed Hyperlink 4" xfId="240" hidden="1" xr:uid="{00000000-0005-0000-0000-0000FD550000}"/>
    <cellStyle name="Followed Hyperlink 4" xfId="251" hidden="1" xr:uid="{00000000-0005-0000-0000-0000FE550000}"/>
    <cellStyle name="Followed Hyperlink 4" xfId="254" hidden="1" xr:uid="{00000000-0005-0000-0000-0000FF550000}"/>
    <cellStyle name="Followed Hyperlink 4" xfId="257" hidden="1" xr:uid="{00000000-0005-0000-0000-000000560000}"/>
    <cellStyle name="Followed Hyperlink 4" xfId="259" hidden="1" xr:uid="{00000000-0005-0000-0000-000001560000}"/>
    <cellStyle name="Followed Hyperlink 4" xfId="260" hidden="1" xr:uid="{00000000-0005-0000-0000-000002560000}"/>
    <cellStyle name="Followed Hyperlink 4" xfId="263" hidden="1" xr:uid="{00000000-0005-0000-0000-000003560000}"/>
    <cellStyle name="Followed Hyperlink 4" xfId="272" hidden="1" xr:uid="{00000000-0005-0000-0000-000004560000}"/>
    <cellStyle name="Followed Hyperlink 4" xfId="264" hidden="1" xr:uid="{00000000-0005-0000-0000-000005560000}"/>
    <cellStyle name="Followed Hyperlink 4" xfId="275" hidden="1" xr:uid="{00000000-0005-0000-0000-000006560000}"/>
    <cellStyle name="Followed Hyperlink 4" xfId="278" hidden="1" xr:uid="{00000000-0005-0000-0000-000007560000}"/>
    <cellStyle name="Followed Hyperlink 4" xfId="281" hidden="1" xr:uid="{00000000-0005-0000-0000-000008560000}"/>
    <cellStyle name="Followed Hyperlink 4" xfId="283" hidden="1" xr:uid="{00000000-0005-0000-0000-000009560000}"/>
    <cellStyle name="Followed Hyperlink 4" xfId="284" hidden="1" xr:uid="{00000000-0005-0000-0000-00000A560000}"/>
    <cellStyle name="Followed Hyperlink 4" xfId="287" hidden="1" xr:uid="{00000000-0005-0000-0000-00000B560000}"/>
    <cellStyle name="Followed Hyperlink 4" xfId="307" hidden="1" xr:uid="{00000000-0005-0000-0000-00000C560000}"/>
    <cellStyle name="Followed Hyperlink 4" xfId="299" hidden="1" xr:uid="{00000000-0005-0000-0000-00000D560000}"/>
    <cellStyle name="Followed Hyperlink 4" xfId="310" hidden="1" xr:uid="{00000000-0005-0000-0000-00000E560000}"/>
    <cellStyle name="Followed Hyperlink 4" xfId="313" hidden="1" xr:uid="{00000000-0005-0000-0000-00000F560000}"/>
    <cellStyle name="Followed Hyperlink 4" xfId="316" hidden="1" xr:uid="{00000000-0005-0000-0000-000010560000}"/>
    <cellStyle name="Followed Hyperlink 4" xfId="318" hidden="1" xr:uid="{00000000-0005-0000-0000-000011560000}"/>
    <cellStyle name="Followed Hyperlink 4" xfId="319" hidden="1" xr:uid="{00000000-0005-0000-0000-000012560000}"/>
    <cellStyle name="Followed Hyperlink 4" xfId="322" hidden="1" xr:uid="{00000000-0005-0000-0000-000013560000}"/>
    <cellStyle name="Followed Hyperlink 4" xfId="331" hidden="1" xr:uid="{00000000-0005-0000-0000-000014560000}"/>
    <cellStyle name="Followed Hyperlink 4" xfId="323" hidden="1" xr:uid="{00000000-0005-0000-0000-000015560000}"/>
    <cellStyle name="Followed Hyperlink 4" xfId="334" hidden="1" xr:uid="{00000000-0005-0000-0000-000016560000}"/>
    <cellStyle name="Followed Hyperlink 4" xfId="337" hidden="1" xr:uid="{00000000-0005-0000-0000-000017560000}"/>
    <cellStyle name="Followed Hyperlink 4" xfId="340" hidden="1" xr:uid="{00000000-0005-0000-0000-000018560000}"/>
    <cellStyle name="Followed Hyperlink 4" xfId="342" hidden="1" xr:uid="{00000000-0005-0000-0000-000019560000}"/>
    <cellStyle name="Followed Hyperlink 4" xfId="343" hidden="1" xr:uid="{00000000-0005-0000-0000-00001A560000}"/>
    <cellStyle name="Followed Hyperlink 4" xfId="346" hidden="1" xr:uid="{00000000-0005-0000-0000-00001B560000}"/>
    <cellStyle name="Followed Hyperlink 4" xfId="355" hidden="1" xr:uid="{00000000-0005-0000-0000-00001C560000}"/>
    <cellStyle name="Followed Hyperlink 4" xfId="347" hidden="1" xr:uid="{00000000-0005-0000-0000-00001D560000}"/>
    <cellStyle name="Followed Hyperlink 4" xfId="358" hidden="1" xr:uid="{00000000-0005-0000-0000-00001E560000}"/>
    <cellStyle name="Followed Hyperlink 4" xfId="361" hidden="1" xr:uid="{00000000-0005-0000-0000-00001F560000}"/>
    <cellStyle name="Followed Hyperlink 4" xfId="364" hidden="1" xr:uid="{00000000-0005-0000-0000-000020560000}"/>
    <cellStyle name="Followed Hyperlink 4" xfId="366" hidden="1" xr:uid="{00000000-0005-0000-0000-000021560000}"/>
    <cellStyle name="Followed Hyperlink 4" xfId="367" hidden="1" xr:uid="{00000000-0005-0000-0000-000022560000}"/>
    <cellStyle name="Followed Hyperlink 4" xfId="370" hidden="1" xr:uid="{00000000-0005-0000-0000-000023560000}"/>
    <cellStyle name="Followed Hyperlink 4" xfId="379" hidden="1" xr:uid="{00000000-0005-0000-0000-000024560000}"/>
    <cellStyle name="Followed Hyperlink 4" xfId="371" hidden="1" xr:uid="{00000000-0005-0000-0000-000025560000}"/>
    <cellStyle name="Followed Hyperlink 4" xfId="382" hidden="1" xr:uid="{00000000-0005-0000-0000-000026560000}"/>
    <cellStyle name="Followed Hyperlink 4" xfId="385" hidden="1" xr:uid="{00000000-0005-0000-0000-000027560000}"/>
    <cellStyle name="Followed Hyperlink 4" xfId="388" hidden="1" xr:uid="{00000000-0005-0000-0000-000028560000}"/>
    <cellStyle name="Followed Hyperlink 4" xfId="390" hidden="1" xr:uid="{00000000-0005-0000-0000-000029560000}"/>
    <cellStyle name="Followed Hyperlink 4" xfId="391" hidden="1" xr:uid="{00000000-0005-0000-0000-00002A560000}"/>
    <cellStyle name="Followed Hyperlink 4" xfId="394" hidden="1" xr:uid="{00000000-0005-0000-0000-00002B560000}"/>
    <cellStyle name="Followed Hyperlink 4" xfId="403" hidden="1" xr:uid="{00000000-0005-0000-0000-00002C560000}"/>
    <cellStyle name="Followed Hyperlink 4" xfId="395" hidden="1" xr:uid="{00000000-0005-0000-0000-00002D560000}"/>
    <cellStyle name="Followed Hyperlink 4" xfId="406" hidden="1" xr:uid="{00000000-0005-0000-0000-00002E560000}"/>
    <cellStyle name="Followed Hyperlink 4" xfId="409" hidden="1" xr:uid="{00000000-0005-0000-0000-00002F560000}"/>
    <cellStyle name="Followed Hyperlink 4" xfId="412" hidden="1" xr:uid="{00000000-0005-0000-0000-000030560000}"/>
    <cellStyle name="Followed Hyperlink 4" xfId="414" hidden="1" xr:uid="{00000000-0005-0000-0000-000031560000}"/>
    <cellStyle name="Followed Hyperlink 4" xfId="415" hidden="1" xr:uid="{00000000-0005-0000-0000-000032560000}"/>
    <cellStyle name="Followed Hyperlink 4" xfId="418" hidden="1" xr:uid="{00000000-0005-0000-0000-000033560000}"/>
    <cellStyle name="Followed Hyperlink 4" xfId="427" hidden="1" xr:uid="{00000000-0005-0000-0000-000034560000}"/>
    <cellStyle name="Followed Hyperlink 4" xfId="419" hidden="1" xr:uid="{00000000-0005-0000-0000-000035560000}"/>
    <cellStyle name="Followed Hyperlink 4" xfId="430" hidden="1" xr:uid="{00000000-0005-0000-0000-000036560000}"/>
    <cellStyle name="Followed Hyperlink 4" xfId="433" hidden="1" xr:uid="{00000000-0005-0000-0000-000037560000}"/>
    <cellStyle name="Followed Hyperlink 4" xfId="436" hidden="1" xr:uid="{00000000-0005-0000-0000-000038560000}"/>
    <cellStyle name="Followed Hyperlink 4" xfId="438" hidden="1" xr:uid="{00000000-0005-0000-0000-000039560000}"/>
    <cellStyle name="Followed Hyperlink 4" xfId="439" hidden="1" xr:uid="{00000000-0005-0000-0000-00003A560000}"/>
    <cellStyle name="Followed Hyperlink 4" xfId="442" hidden="1" xr:uid="{00000000-0005-0000-0000-00003B560000}"/>
    <cellStyle name="Followed Hyperlink 4" xfId="451" hidden="1" xr:uid="{00000000-0005-0000-0000-00003C560000}"/>
    <cellStyle name="Followed Hyperlink 4" xfId="443" hidden="1" xr:uid="{00000000-0005-0000-0000-00003D560000}"/>
    <cellStyle name="Followed Hyperlink 4" xfId="454" hidden="1" xr:uid="{00000000-0005-0000-0000-00003E560000}"/>
    <cellStyle name="Followed Hyperlink 4" xfId="457" hidden="1" xr:uid="{00000000-0005-0000-0000-00003F560000}"/>
    <cellStyle name="Followed Hyperlink 4" xfId="460" hidden="1" xr:uid="{00000000-0005-0000-0000-000040560000}"/>
    <cellStyle name="Followed Hyperlink 4" xfId="462" hidden="1" xr:uid="{00000000-0005-0000-0000-000041560000}"/>
    <cellStyle name="Followed Hyperlink 4" xfId="463" hidden="1" xr:uid="{00000000-0005-0000-0000-000042560000}"/>
    <cellStyle name="Followed Hyperlink 4" xfId="466" hidden="1" xr:uid="{00000000-0005-0000-0000-000043560000}"/>
    <cellStyle name="Followed Hyperlink 4" xfId="475" hidden="1" xr:uid="{00000000-0005-0000-0000-000044560000}"/>
    <cellStyle name="Followed Hyperlink 4" xfId="467" hidden="1" xr:uid="{00000000-0005-0000-0000-000045560000}"/>
    <cellStyle name="Followed Hyperlink 4" xfId="478" hidden="1" xr:uid="{00000000-0005-0000-0000-000046560000}"/>
    <cellStyle name="Followed Hyperlink 4" xfId="481" hidden="1" xr:uid="{00000000-0005-0000-0000-000047560000}"/>
    <cellStyle name="Followed Hyperlink 4" xfId="484" hidden="1" xr:uid="{00000000-0005-0000-0000-000048560000}"/>
    <cellStyle name="Followed Hyperlink 4" xfId="486" hidden="1" xr:uid="{00000000-0005-0000-0000-000049560000}"/>
    <cellStyle name="Followed Hyperlink 4" xfId="487" hidden="1" xr:uid="{00000000-0005-0000-0000-00004A560000}"/>
    <cellStyle name="Followed Hyperlink 4" xfId="490" hidden="1" xr:uid="{00000000-0005-0000-0000-00004B560000}"/>
    <cellStyle name="Followed Hyperlink 4" xfId="499" hidden="1" xr:uid="{00000000-0005-0000-0000-00004C560000}"/>
    <cellStyle name="Followed Hyperlink 4" xfId="491" hidden="1" xr:uid="{00000000-0005-0000-0000-00004D560000}"/>
    <cellStyle name="Followed Hyperlink 4" xfId="502" hidden="1" xr:uid="{00000000-0005-0000-0000-00004E560000}"/>
    <cellStyle name="Followed Hyperlink 4" xfId="505" hidden="1" xr:uid="{00000000-0005-0000-0000-00004F560000}"/>
    <cellStyle name="Followed Hyperlink 4" xfId="508" hidden="1" xr:uid="{00000000-0005-0000-0000-000050560000}"/>
    <cellStyle name="Followed Hyperlink 4" xfId="510" hidden="1" xr:uid="{00000000-0005-0000-0000-000051560000}"/>
    <cellStyle name="Followed Hyperlink 4" xfId="511" hidden="1" xr:uid="{00000000-0005-0000-0000-000052560000}"/>
    <cellStyle name="Followed Hyperlink 4" xfId="514" hidden="1" xr:uid="{00000000-0005-0000-0000-000053560000}"/>
    <cellStyle name="Followed Hyperlink 4" xfId="523" hidden="1" xr:uid="{00000000-0005-0000-0000-000054560000}"/>
    <cellStyle name="Followed Hyperlink 4" xfId="515" hidden="1" xr:uid="{00000000-0005-0000-0000-000055560000}"/>
    <cellStyle name="Followed Hyperlink 4" xfId="526" hidden="1" xr:uid="{00000000-0005-0000-0000-000056560000}"/>
    <cellStyle name="Followed Hyperlink 4" xfId="529" hidden="1" xr:uid="{00000000-0005-0000-0000-000057560000}"/>
    <cellStyle name="Followed Hyperlink 4" xfId="532" hidden="1" xr:uid="{00000000-0005-0000-0000-000058560000}"/>
    <cellStyle name="Followed Hyperlink 4" xfId="534" hidden="1" xr:uid="{00000000-0005-0000-0000-000059560000}"/>
    <cellStyle name="Followed Hyperlink 4" xfId="535" hidden="1" xr:uid="{00000000-0005-0000-0000-00005A560000}"/>
    <cellStyle name="Followed Hyperlink 4" xfId="538" hidden="1" xr:uid="{00000000-0005-0000-0000-00005B560000}"/>
    <cellStyle name="Followed Hyperlink 4" xfId="590" hidden="1" xr:uid="{00000000-0005-0000-0000-00005C560000}"/>
    <cellStyle name="Followed Hyperlink 4" xfId="582" hidden="1" xr:uid="{00000000-0005-0000-0000-00005D560000}"/>
    <cellStyle name="Followed Hyperlink 4" xfId="593" hidden="1" xr:uid="{00000000-0005-0000-0000-00005E560000}"/>
    <cellStyle name="Followed Hyperlink 4" xfId="596" hidden="1" xr:uid="{00000000-0005-0000-0000-00005F560000}"/>
    <cellStyle name="Followed Hyperlink 4" xfId="599" hidden="1" xr:uid="{00000000-0005-0000-0000-000060560000}"/>
    <cellStyle name="Followed Hyperlink 4" xfId="601" hidden="1" xr:uid="{00000000-0005-0000-0000-000061560000}"/>
    <cellStyle name="Followed Hyperlink 4" xfId="602" hidden="1" xr:uid="{00000000-0005-0000-0000-000062560000}"/>
    <cellStyle name="Followed Hyperlink 4" xfId="605" hidden="1" xr:uid="{00000000-0005-0000-0000-000063560000}"/>
    <cellStyle name="Followed Hyperlink 4" xfId="614" hidden="1" xr:uid="{00000000-0005-0000-0000-000064560000}"/>
    <cellStyle name="Followed Hyperlink 4" xfId="606" hidden="1" xr:uid="{00000000-0005-0000-0000-000065560000}"/>
    <cellStyle name="Followed Hyperlink 4" xfId="617" hidden="1" xr:uid="{00000000-0005-0000-0000-000066560000}"/>
    <cellStyle name="Followed Hyperlink 4" xfId="620" hidden="1" xr:uid="{00000000-0005-0000-0000-000067560000}"/>
    <cellStyle name="Followed Hyperlink 4" xfId="623" hidden="1" xr:uid="{00000000-0005-0000-0000-000068560000}"/>
    <cellStyle name="Followed Hyperlink 4" xfId="625" hidden="1" xr:uid="{00000000-0005-0000-0000-000069560000}"/>
    <cellStyle name="Followed Hyperlink 4" xfId="626" hidden="1" xr:uid="{00000000-0005-0000-0000-00006A560000}"/>
    <cellStyle name="Followed Hyperlink 4" xfId="629" hidden="1" xr:uid="{00000000-0005-0000-0000-00006B560000}"/>
    <cellStyle name="Followed Hyperlink 4" xfId="641" hidden="1" xr:uid="{00000000-0005-0000-0000-00006C560000}"/>
    <cellStyle name="Followed Hyperlink 4" xfId="633" hidden="1" xr:uid="{00000000-0005-0000-0000-00006D560000}"/>
    <cellStyle name="Followed Hyperlink 4" xfId="644" hidden="1" xr:uid="{00000000-0005-0000-0000-00006E560000}"/>
    <cellStyle name="Followed Hyperlink 4" xfId="647" hidden="1" xr:uid="{00000000-0005-0000-0000-00006F560000}"/>
    <cellStyle name="Followed Hyperlink 4" xfId="650" hidden="1" xr:uid="{00000000-0005-0000-0000-000070560000}"/>
    <cellStyle name="Followed Hyperlink 4" xfId="652" hidden="1" xr:uid="{00000000-0005-0000-0000-000071560000}"/>
    <cellStyle name="Followed Hyperlink 4" xfId="653" hidden="1" xr:uid="{00000000-0005-0000-0000-000072560000}"/>
    <cellStyle name="Followed Hyperlink 4" xfId="656" hidden="1" xr:uid="{00000000-0005-0000-0000-000073560000}"/>
    <cellStyle name="Followed Hyperlink 4" xfId="665" hidden="1" xr:uid="{00000000-0005-0000-0000-000074560000}"/>
    <cellStyle name="Followed Hyperlink 4" xfId="657" hidden="1" xr:uid="{00000000-0005-0000-0000-000075560000}"/>
    <cellStyle name="Followed Hyperlink 4" xfId="668" hidden="1" xr:uid="{00000000-0005-0000-0000-000076560000}"/>
    <cellStyle name="Followed Hyperlink 4" xfId="671" hidden="1" xr:uid="{00000000-0005-0000-0000-000077560000}"/>
    <cellStyle name="Followed Hyperlink 4" xfId="674" hidden="1" xr:uid="{00000000-0005-0000-0000-000078560000}"/>
    <cellStyle name="Followed Hyperlink 4" xfId="676" hidden="1" xr:uid="{00000000-0005-0000-0000-000079560000}"/>
    <cellStyle name="Followed Hyperlink 4" xfId="677" hidden="1" xr:uid="{00000000-0005-0000-0000-00007A560000}"/>
    <cellStyle name="Followed Hyperlink 4" xfId="680" hidden="1" xr:uid="{00000000-0005-0000-0000-00007B560000}"/>
    <cellStyle name="Followed Hyperlink 4" xfId="718" hidden="1" xr:uid="{00000000-0005-0000-0000-00007C560000}"/>
    <cellStyle name="Followed Hyperlink 4" xfId="710" hidden="1" xr:uid="{00000000-0005-0000-0000-00007D560000}"/>
    <cellStyle name="Followed Hyperlink 4" xfId="721" hidden="1" xr:uid="{00000000-0005-0000-0000-00007E560000}"/>
    <cellStyle name="Followed Hyperlink 4" xfId="724" hidden="1" xr:uid="{00000000-0005-0000-0000-00007F560000}"/>
    <cellStyle name="Followed Hyperlink 4" xfId="727" hidden="1" xr:uid="{00000000-0005-0000-0000-000080560000}"/>
    <cellStyle name="Followed Hyperlink 4" xfId="729" hidden="1" xr:uid="{00000000-0005-0000-0000-000081560000}"/>
    <cellStyle name="Followed Hyperlink 4" xfId="730" hidden="1" xr:uid="{00000000-0005-0000-0000-000082560000}"/>
    <cellStyle name="Followed Hyperlink 4" xfId="733" hidden="1" xr:uid="{00000000-0005-0000-0000-000083560000}"/>
    <cellStyle name="Followed Hyperlink 4" xfId="742" hidden="1" xr:uid="{00000000-0005-0000-0000-000084560000}"/>
    <cellStyle name="Followed Hyperlink 4" xfId="734" hidden="1" xr:uid="{00000000-0005-0000-0000-000085560000}"/>
    <cellStyle name="Followed Hyperlink 4" xfId="745" hidden="1" xr:uid="{00000000-0005-0000-0000-000086560000}"/>
    <cellStyle name="Followed Hyperlink 4" xfId="748" hidden="1" xr:uid="{00000000-0005-0000-0000-000087560000}"/>
    <cellStyle name="Followed Hyperlink 4" xfId="751" hidden="1" xr:uid="{00000000-0005-0000-0000-000088560000}"/>
    <cellStyle name="Followed Hyperlink 4" xfId="753" hidden="1" xr:uid="{00000000-0005-0000-0000-000089560000}"/>
    <cellStyle name="Followed Hyperlink 4" xfId="754" hidden="1" xr:uid="{00000000-0005-0000-0000-00008A560000}"/>
    <cellStyle name="Followed Hyperlink 4" xfId="757" hidden="1" xr:uid="{00000000-0005-0000-0000-00008B560000}"/>
    <cellStyle name="Followed Hyperlink 4" xfId="768" hidden="1" xr:uid="{00000000-0005-0000-0000-00008C560000}"/>
    <cellStyle name="Followed Hyperlink 4" xfId="760" hidden="1" xr:uid="{00000000-0005-0000-0000-00008D560000}"/>
    <cellStyle name="Followed Hyperlink 4" xfId="771" hidden="1" xr:uid="{00000000-0005-0000-0000-00008E560000}"/>
    <cellStyle name="Followed Hyperlink 4" xfId="774" hidden="1" xr:uid="{00000000-0005-0000-0000-00008F560000}"/>
    <cellStyle name="Followed Hyperlink 4" xfId="777" hidden="1" xr:uid="{00000000-0005-0000-0000-000090560000}"/>
    <cellStyle name="Followed Hyperlink 4" xfId="779" hidden="1" xr:uid="{00000000-0005-0000-0000-000091560000}"/>
    <cellStyle name="Followed Hyperlink 4" xfId="780" hidden="1" xr:uid="{00000000-0005-0000-0000-000092560000}"/>
    <cellStyle name="Followed Hyperlink 4" xfId="783" hidden="1" xr:uid="{00000000-0005-0000-0000-000093560000}"/>
    <cellStyle name="Followed Hyperlink 4" xfId="792" hidden="1" xr:uid="{00000000-0005-0000-0000-000094560000}"/>
    <cellStyle name="Followed Hyperlink 4" xfId="784" hidden="1" xr:uid="{00000000-0005-0000-0000-000095560000}"/>
    <cellStyle name="Followed Hyperlink 4" xfId="795" hidden="1" xr:uid="{00000000-0005-0000-0000-000096560000}"/>
    <cellStyle name="Followed Hyperlink 4" xfId="798" hidden="1" xr:uid="{00000000-0005-0000-0000-000097560000}"/>
    <cellStyle name="Followed Hyperlink 4" xfId="801" hidden="1" xr:uid="{00000000-0005-0000-0000-000098560000}"/>
    <cellStyle name="Followed Hyperlink 4" xfId="803" hidden="1" xr:uid="{00000000-0005-0000-0000-000099560000}"/>
    <cellStyle name="Followed Hyperlink 4" xfId="804" hidden="1" xr:uid="{00000000-0005-0000-0000-00009A560000}"/>
    <cellStyle name="Followed Hyperlink 4" xfId="807" hidden="1" xr:uid="{00000000-0005-0000-0000-00009B560000}"/>
    <cellStyle name="Followed Hyperlink 4" xfId="845" hidden="1" xr:uid="{00000000-0005-0000-0000-00009C560000}"/>
    <cellStyle name="Followed Hyperlink 4" xfId="837" hidden="1" xr:uid="{00000000-0005-0000-0000-00009D560000}"/>
    <cellStyle name="Followed Hyperlink 4" xfId="848" hidden="1" xr:uid="{00000000-0005-0000-0000-00009E560000}"/>
    <cellStyle name="Followed Hyperlink 4" xfId="851" hidden="1" xr:uid="{00000000-0005-0000-0000-00009F560000}"/>
    <cellStyle name="Followed Hyperlink 4" xfId="854" hidden="1" xr:uid="{00000000-0005-0000-0000-0000A0560000}"/>
    <cellStyle name="Followed Hyperlink 4" xfId="856" hidden="1" xr:uid="{00000000-0005-0000-0000-0000A1560000}"/>
    <cellStyle name="Followed Hyperlink 4" xfId="857" hidden="1" xr:uid="{00000000-0005-0000-0000-0000A2560000}"/>
    <cellStyle name="Followed Hyperlink 4" xfId="860" hidden="1" xr:uid="{00000000-0005-0000-0000-0000A3560000}"/>
    <cellStyle name="Followed Hyperlink 4" xfId="869" hidden="1" xr:uid="{00000000-0005-0000-0000-0000A4560000}"/>
    <cellStyle name="Followed Hyperlink 4" xfId="861" hidden="1" xr:uid="{00000000-0005-0000-0000-0000A5560000}"/>
    <cellStyle name="Followed Hyperlink 4" xfId="872" hidden="1" xr:uid="{00000000-0005-0000-0000-0000A6560000}"/>
    <cellStyle name="Followed Hyperlink 4" xfId="875" hidden="1" xr:uid="{00000000-0005-0000-0000-0000A7560000}"/>
    <cellStyle name="Followed Hyperlink 4" xfId="878" hidden="1" xr:uid="{00000000-0005-0000-0000-0000A8560000}"/>
    <cellStyle name="Followed Hyperlink 4" xfId="880" hidden="1" xr:uid="{00000000-0005-0000-0000-0000A9560000}"/>
    <cellStyle name="Followed Hyperlink 4" xfId="881" hidden="1" xr:uid="{00000000-0005-0000-0000-0000AA560000}"/>
    <cellStyle name="Followed Hyperlink 4" xfId="884" hidden="1" xr:uid="{00000000-0005-0000-0000-0000AB560000}"/>
    <cellStyle name="Followed Hyperlink 4" xfId="895" hidden="1" xr:uid="{00000000-0005-0000-0000-0000AC560000}"/>
    <cellStyle name="Followed Hyperlink 4" xfId="887" hidden="1" xr:uid="{00000000-0005-0000-0000-0000AD560000}"/>
    <cellStyle name="Followed Hyperlink 4" xfId="898" hidden="1" xr:uid="{00000000-0005-0000-0000-0000AE560000}"/>
    <cellStyle name="Followed Hyperlink 4" xfId="901" hidden="1" xr:uid="{00000000-0005-0000-0000-0000AF560000}"/>
    <cellStyle name="Followed Hyperlink 4" xfId="904" hidden="1" xr:uid="{00000000-0005-0000-0000-0000B0560000}"/>
    <cellStyle name="Followed Hyperlink 4" xfId="906" hidden="1" xr:uid="{00000000-0005-0000-0000-0000B1560000}"/>
    <cellStyle name="Followed Hyperlink 4" xfId="907" hidden="1" xr:uid="{00000000-0005-0000-0000-0000B2560000}"/>
    <cellStyle name="Followed Hyperlink 4" xfId="910" hidden="1" xr:uid="{00000000-0005-0000-0000-0000B3560000}"/>
    <cellStyle name="Followed Hyperlink 4" xfId="919" hidden="1" xr:uid="{00000000-0005-0000-0000-0000B4560000}"/>
    <cellStyle name="Followed Hyperlink 4" xfId="911" hidden="1" xr:uid="{00000000-0005-0000-0000-0000B5560000}"/>
    <cellStyle name="Followed Hyperlink 4" xfId="922" hidden="1" xr:uid="{00000000-0005-0000-0000-0000B6560000}"/>
    <cellStyle name="Followed Hyperlink 4" xfId="925" hidden="1" xr:uid="{00000000-0005-0000-0000-0000B7560000}"/>
    <cellStyle name="Followed Hyperlink 4" xfId="928" hidden="1" xr:uid="{00000000-0005-0000-0000-0000B8560000}"/>
    <cellStyle name="Followed Hyperlink 4" xfId="930" hidden="1" xr:uid="{00000000-0005-0000-0000-0000B9560000}"/>
    <cellStyle name="Followed Hyperlink 4" xfId="931" hidden="1" xr:uid="{00000000-0005-0000-0000-0000BA560000}"/>
    <cellStyle name="Followed Hyperlink 4" xfId="934" hidden="1" xr:uid="{00000000-0005-0000-0000-0000BB560000}"/>
    <cellStyle name="Followed Hyperlink 4" xfId="972" hidden="1" xr:uid="{00000000-0005-0000-0000-0000BC560000}"/>
    <cellStyle name="Followed Hyperlink 4" xfId="964" hidden="1" xr:uid="{00000000-0005-0000-0000-0000BD560000}"/>
    <cellStyle name="Followed Hyperlink 4" xfId="975" hidden="1" xr:uid="{00000000-0005-0000-0000-0000BE560000}"/>
    <cellStyle name="Followed Hyperlink 4" xfId="978" hidden="1" xr:uid="{00000000-0005-0000-0000-0000BF560000}"/>
    <cellStyle name="Followed Hyperlink 4" xfId="981" hidden="1" xr:uid="{00000000-0005-0000-0000-0000C0560000}"/>
    <cellStyle name="Followed Hyperlink 4" xfId="983" hidden="1" xr:uid="{00000000-0005-0000-0000-0000C1560000}"/>
    <cellStyle name="Followed Hyperlink 4" xfId="984" hidden="1" xr:uid="{00000000-0005-0000-0000-0000C2560000}"/>
    <cellStyle name="Followed Hyperlink 4" xfId="987" hidden="1" xr:uid="{00000000-0005-0000-0000-0000C3560000}"/>
    <cellStyle name="Followed Hyperlink 4" xfId="996" hidden="1" xr:uid="{00000000-0005-0000-0000-0000C4560000}"/>
    <cellStyle name="Followed Hyperlink 4" xfId="988" hidden="1" xr:uid="{00000000-0005-0000-0000-0000C5560000}"/>
    <cellStyle name="Followed Hyperlink 4" xfId="999" hidden="1" xr:uid="{00000000-0005-0000-0000-0000C6560000}"/>
    <cellStyle name="Followed Hyperlink 4" xfId="1002" hidden="1" xr:uid="{00000000-0005-0000-0000-0000C7560000}"/>
    <cellStyle name="Followed Hyperlink 4" xfId="1005" hidden="1" xr:uid="{00000000-0005-0000-0000-0000C8560000}"/>
    <cellStyle name="Followed Hyperlink 4" xfId="1007" hidden="1" xr:uid="{00000000-0005-0000-0000-0000C9560000}"/>
    <cellStyle name="Followed Hyperlink 4" xfId="1008" hidden="1" xr:uid="{00000000-0005-0000-0000-0000CA560000}"/>
    <cellStyle name="Followed Hyperlink 4" xfId="1011" hidden="1" xr:uid="{00000000-0005-0000-0000-0000CB560000}"/>
    <cellStyle name="Followed Hyperlink 4" xfId="1022" hidden="1" xr:uid="{00000000-0005-0000-0000-0000CC560000}"/>
    <cellStyle name="Followed Hyperlink 4" xfId="1014" hidden="1" xr:uid="{00000000-0005-0000-0000-0000CD560000}"/>
    <cellStyle name="Followed Hyperlink 4" xfId="1025" hidden="1" xr:uid="{00000000-0005-0000-0000-0000CE560000}"/>
    <cellStyle name="Followed Hyperlink 4" xfId="1028" hidden="1" xr:uid="{00000000-0005-0000-0000-0000CF560000}"/>
    <cellStyle name="Followed Hyperlink 4" xfId="1031" hidden="1" xr:uid="{00000000-0005-0000-0000-0000D0560000}"/>
    <cellStyle name="Followed Hyperlink 4" xfId="1033" hidden="1" xr:uid="{00000000-0005-0000-0000-0000D1560000}"/>
    <cellStyle name="Followed Hyperlink 4" xfId="1034" hidden="1" xr:uid="{00000000-0005-0000-0000-0000D2560000}"/>
    <cellStyle name="Followed Hyperlink 4" xfId="1037" hidden="1" xr:uid="{00000000-0005-0000-0000-0000D3560000}"/>
    <cellStyle name="Followed Hyperlink 4" xfId="1046" hidden="1" xr:uid="{00000000-0005-0000-0000-0000D4560000}"/>
    <cellStyle name="Followed Hyperlink 4" xfId="1038" hidden="1" xr:uid="{00000000-0005-0000-0000-0000D5560000}"/>
    <cellStyle name="Followed Hyperlink 4" xfId="1049" hidden="1" xr:uid="{00000000-0005-0000-0000-0000D6560000}"/>
    <cellStyle name="Followed Hyperlink 4" xfId="1052" hidden="1" xr:uid="{00000000-0005-0000-0000-0000D7560000}"/>
    <cellStyle name="Followed Hyperlink 4" xfId="1055" hidden="1" xr:uid="{00000000-0005-0000-0000-0000D8560000}"/>
    <cellStyle name="Followed Hyperlink 4" xfId="1057" hidden="1" xr:uid="{00000000-0005-0000-0000-0000D9560000}"/>
    <cellStyle name="Followed Hyperlink 4" xfId="1058" hidden="1" xr:uid="{00000000-0005-0000-0000-0000DA560000}"/>
    <cellStyle name="Followed Hyperlink 4" xfId="1061" hidden="1" xr:uid="{00000000-0005-0000-0000-0000DB560000}"/>
    <cellStyle name="Followed Hyperlink 4" xfId="944" hidden="1" xr:uid="{00000000-0005-0000-0000-0000DC560000}"/>
    <cellStyle name="Followed Hyperlink 4" xfId="938" hidden="1" xr:uid="{00000000-0005-0000-0000-0000DD560000}"/>
    <cellStyle name="Followed Hyperlink 4" xfId="1062" hidden="1" xr:uid="{00000000-0005-0000-0000-0000DE560000}"/>
    <cellStyle name="Followed Hyperlink 4" xfId="1065" hidden="1" xr:uid="{00000000-0005-0000-0000-0000DF560000}"/>
    <cellStyle name="Followed Hyperlink 4" xfId="1068" hidden="1" xr:uid="{00000000-0005-0000-0000-0000E0560000}"/>
    <cellStyle name="Followed Hyperlink 4" xfId="1070" hidden="1" xr:uid="{00000000-0005-0000-0000-0000E1560000}"/>
    <cellStyle name="Followed Hyperlink 4" xfId="1071" hidden="1" xr:uid="{00000000-0005-0000-0000-0000E2560000}"/>
    <cellStyle name="Followed Hyperlink 4" xfId="1074" hidden="1" xr:uid="{00000000-0005-0000-0000-0000E3560000}"/>
    <cellStyle name="Followed Hyperlink 4" xfId="1083" hidden="1" xr:uid="{00000000-0005-0000-0000-0000E4560000}"/>
    <cellStyle name="Followed Hyperlink 4" xfId="1075" hidden="1" xr:uid="{00000000-0005-0000-0000-0000E5560000}"/>
    <cellStyle name="Followed Hyperlink 4" xfId="1086" hidden="1" xr:uid="{00000000-0005-0000-0000-0000E6560000}"/>
    <cellStyle name="Followed Hyperlink 4" xfId="1089" hidden="1" xr:uid="{00000000-0005-0000-0000-0000E7560000}"/>
    <cellStyle name="Followed Hyperlink 4" xfId="1092" hidden="1" xr:uid="{00000000-0005-0000-0000-0000E8560000}"/>
    <cellStyle name="Followed Hyperlink 4" xfId="1094" hidden="1" xr:uid="{00000000-0005-0000-0000-0000E9560000}"/>
    <cellStyle name="Followed Hyperlink 4" xfId="1095" hidden="1" xr:uid="{00000000-0005-0000-0000-0000EA560000}"/>
    <cellStyle name="Followed Hyperlink 4" xfId="1098" hidden="1" xr:uid="{00000000-0005-0000-0000-0000EB560000}"/>
    <cellStyle name="Followed Hyperlink 4" xfId="1108" hidden="1" xr:uid="{00000000-0005-0000-0000-0000EC560000}"/>
    <cellStyle name="Followed Hyperlink 4" xfId="1100" hidden="1" xr:uid="{00000000-0005-0000-0000-0000ED560000}"/>
    <cellStyle name="Followed Hyperlink 4" xfId="1111" hidden="1" xr:uid="{00000000-0005-0000-0000-0000EE560000}"/>
    <cellStyle name="Followed Hyperlink 4" xfId="1114" hidden="1" xr:uid="{00000000-0005-0000-0000-0000EF560000}"/>
    <cellStyle name="Followed Hyperlink 4" xfId="1117" hidden="1" xr:uid="{00000000-0005-0000-0000-0000F0560000}"/>
    <cellStyle name="Followed Hyperlink 4" xfId="1119" hidden="1" xr:uid="{00000000-0005-0000-0000-0000F1560000}"/>
    <cellStyle name="Followed Hyperlink 4" xfId="1120" hidden="1" xr:uid="{00000000-0005-0000-0000-0000F2560000}"/>
    <cellStyle name="Followed Hyperlink 4" xfId="1123" hidden="1" xr:uid="{00000000-0005-0000-0000-0000F3560000}"/>
    <cellStyle name="Followed Hyperlink 4" xfId="1132" hidden="1" xr:uid="{00000000-0005-0000-0000-0000F4560000}"/>
    <cellStyle name="Followed Hyperlink 4" xfId="1124" hidden="1" xr:uid="{00000000-0005-0000-0000-0000F5560000}"/>
    <cellStyle name="Followed Hyperlink 4" xfId="1135" hidden="1" xr:uid="{00000000-0005-0000-0000-0000F6560000}"/>
    <cellStyle name="Followed Hyperlink 4" xfId="1138" hidden="1" xr:uid="{00000000-0005-0000-0000-0000F7560000}"/>
    <cellStyle name="Followed Hyperlink 4" xfId="1141" hidden="1" xr:uid="{00000000-0005-0000-0000-0000F8560000}"/>
    <cellStyle name="Followed Hyperlink 4" xfId="1143" hidden="1" xr:uid="{00000000-0005-0000-0000-0000F9560000}"/>
    <cellStyle name="Followed Hyperlink 4" xfId="1144" hidden="1" xr:uid="{00000000-0005-0000-0000-0000FA560000}"/>
    <cellStyle name="Followed Hyperlink 4" xfId="1147" hidden="1" xr:uid="{00000000-0005-0000-0000-0000FB560000}"/>
    <cellStyle name="Followed Hyperlink 4" xfId="948" hidden="1" xr:uid="{00000000-0005-0000-0000-0000FC560000}"/>
    <cellStyle name="Followed Hyperlink 4" xfId="954" hidden="1" xr:uid="{00000000-0005-0000-0000-0000FD560000}"/>
    <cellStyle name="Followed Hyperlink 4" xfId="1148" hidden="1" xr:uid="{00000000-0005-0000-0000-0000FE560000}"/>
    <cellStyle name="Followed Hyperlink 4" xfId="1151" hidden="1" xr:uid="{00000000-0005-0000-0000-0000FF560000}"/>
    <cellStyle name="Followed Hyperlink 4" xfId="1154" hidden="1" xr:uid="{00000000-0005-0000-0000-000000570000}"/>
    <cellStyle name="Followed Hyperlink 4" xfId="1156" hidden="1" xr:uid="{00000000-0005-0000-0000-000001570000}"/>
    <cellStyle name="Followed Hyperlink 4" xfId="1157" hidden="1" xr:uid="{00000000-0005-0000-0000-000002570000}"/>
    <cellStyle name="Followed Hyperlink 4" xfId="1160" hidden="1" xr:uid="{00000000-0005-0000-0000-000003570000}"/>
    <cellStyle name="Followed Hyperlink 4" xfId="1169" hidden="1" xr:uid="{00000000-0005-0000-0000-000004570000}"/>
    <cellStyle name="Followed Hyperlink 4" xfId="1161" hidden="1" xr:uid="{00000000-0005-0000-0000-000005570000}"/>
    <cellStyle name="Followed Hyperlink 4" xfId="1172" hidden="1" xr:uid="{00000000-0005-0000-0000-000006570000}"/>
    <cellStyle name="Followed Hyperlink 4" xfId="1175" hidden="1" xr:uid="{00000000-0005-0000-0000-000007570000}"/>
    <cellStyle name="Followed Hyperlink 4" xfId="1178" hidden="1" xr:uid="{00000000-0005-0000-0000-000008570000}"/>
    <cellStyle name="Followed Hyperlink 4" xfId="1180" hidden="1" xr:uid="{00000000-0005-0000-0000-000009570000}"/>
    <cellStyle name="Followed Hyperlink 4" xfId="1181" hidden="1" xr:uid="{00000000-0005-0000-0000-00000A570000}"/>
    <cellStyle name="Followed Hyperlink 4" xfId="1184" hidden="1" xr:uid="{00000000-0005-0000-0000-00000B570000}"/>
    <cellStyle name="Followed Hyperlink 4" xfId="1194" hidden="1" xr:uid="{00000000-0005-0000-0000-00000C570000}"/>
    <cellStyle name="Followed Hyperlink 4" xfId="1186" hidden="1" xr:uid="{00000000-0005-0000-0000-00000D570000}"/>
    <cellStyle name="Followed Hyperlink 4" xfId="1197" hidden="1" xr:uid="{00000000-0005-0000-0000-00000E570000}"/>
    <cellStyle name="Followed Hyperlink 4" xfId="1200" hidden="1" xr:uid="{00000000-0005-0000-0000-00000F570000}"/>
    <cellStyle name="Followed Hyperlink 4" xfId="1203" hidden="1" xr:uid="{00000000-0005-0000-0000-000010570000}"/>
    <cellStyle name="Followed Hyperlink 4" xfId="1205" hidden="1" xr:uid="{00000000-0005-0000-0000-000011570000}"/>
    <cellStyle name="Followed Hyperlink 4" xfId="1206" hidden="1" xr:uid="{00000000-0005-0000-0000-000012570000}"/>
    <cellStyle name="Followed Hyperlink 4" xfId="1209" hidden="1" xr:uid="{00000000-0005-0000-0000-000013570000}"/>
    <cellStyle name="Followed Hyperlink 4" xfId="1218" hidden="1" xr:uid="{00000000-0005-0000-0000-000014570000}"/>
    <cellStyle name="Followed Hyperlink 4" xfId="1210" hidden="1" xr:uid="{00000000-0005-0000-0000-000015570000}"/>
    <cellStyle name="Followed Hyperlink 4" xfId="1221" hidden="1" xr:uid="{00000000-0005-0000-0000-000016570000}"/>
    <cellStyle name="Followed Hyperlink 4" xfId="1224" hidden="1" xr:uid="{00000000-0005-0000-0000-000017570000}"/>
    <cellStyle name="Followed Hyperlink 4" xfId="1227" hidden="1" xr:uid="{00000000-0005-0000-0000-000018570000}"/>
    <cellStyle name="Followed Hyperlink 4" xfId="1229" hidden="1" xr:uid="{00000000-0005-0000-0000-000019570000}"/>
    <cellStyle name="Followed Hyperlink 4" xfId="1230" hidden="1" xr:uid="{00000000-0005-0000-0000-00001A570000}"/>
    <cellStyle name="Followed Hyperlink 4" xfId="1233" hidden="1" xr:uid="{00000000-0005-0000-0000-00001B570000}"/>
    <cellStyle name="Followed Hyperlink 4" xfId="958" hidden="1" xr:uid="{00000000-0005-0000-0000-00001C570000}"/>
    <cellStyle name="Followed Hyperlink 4" xfId="1013" hidden="1" xr:uid="{00000000-0005-0000-0000-00001D570000}"/>
    <cellStyle name="Followed Hyperlink 4" xfId="1234" hidden="1" xr:uid="{00000000-0005-0000-0000-00001E570000}"/>
    <cellStyle name="Followed Hyperlink 4" xfId="1237" hidden="1" xr:uid="{00000000-0005-0000-0000-00001F570000}"/>
    <cellStyle name="Followed Hyperlink 4" xfId="1240" hidden="1" xr:uid="{00000000-0005-0000-0000-000020570000}"/>
    <cellStyle name="Followed Hyperlink 4" xfId="1242" hidden="1" xr:uid="{00000000-0005-0000-0000-000021570000}"/>
    <cellStyle name="Followed Hyperlink 4" xfId="1243" hidden="1" xr:uid="{00000000-0005-0000-0000-000022570000}"/>
    <cellStyle name="Followed Hyperlink 4" xfId="1246" hidden="1" xr:uid="{00000000-0005-0000-0000-000023570000}"/>
    <cellStyle name="Followed Hyperlink 4" xfId="1255" hidden="1" xr:uid="{00000000-0005-0000-0000-000024570000}"/>
    <cellStyle name="Followed Hyperlink 4" xfId="1247" hidden="1" xr:uid="{00000000-0005-0000-0000-000025570000}"/>
    <cellStyle name="Followed Hyperlink 4" xfId="1258" hidden="1" xr:uid="{00000000-0005-0000-0000-000026570000}"/>
    <cellStyle name="Followed Hyperlink 4" xfId="1261" hidden="1" xr:uid="{00000000-0005-0000-0000-000027570000}"/>
    <cellStyle name="Followed Hyperlink 4" xfId="1264" hidden="1" xr:uid="{00000000-0005-0000-0000-000028570000}"/>
    <cellStyle name="Followed Hyperlink 4" xfId="1266" hidden="1" xr:uid="{00000000-0005-0000-0000-000029570000}"/>
    <cellStyle name="Followed Hyperlink 4" xfId="1267" hidden="1" xr:uid="{00000000-0005-0000-0000-00002A570000}"/>
    <cellStyle name="Followed Hyperlink 4" xfId="1270" hidden="1" xr:uid="{00000000-0005-0000-0000-00002B570000}"/>
    <cellStyle name="Followed Hyperlink 4" xfId="1279" hidden="1" xr:uid="{00000000-0005-0000-0000-00002C570000}"/>
    <cellStyle name="Followed Hyperlink 4" xfId="1271" hidden="1" xr:uid="{00000000-0005-0000-0000-00002D570000}"/>
    <cellStyle name="Followed Hyperlink 4" xfId="1282" hidden="1" xr:uid="{00000000-0005-0000-0000-00002E570000}"/>
    <cellStyle name="Followed Hyperlink 4" xfId="1285" hidden="1" xr:uid="{00000000-0005-0000-0000-00002F570000}"/>
    <cellStyle name="Followed Hyperlink 4" xfId="1288" hidden="1" xr:uid="{00000000-0005-0000-0000-000030570000}"/>
    <cellStyle name="Followed Hyperlink 4" xfId="1290" hidden="1" xr:uid="{00000000-0005-0000-0000-000031570000}"/>
    <cellStyle name="Followed Hyperlink 4" xfId="1291" hidden="1" xr:uid="{00000000-0005-0000-0000-000032570000}"/>
    <cellStyle name="Followed Hyperlink 4" xfId="1294" hidden="1" xr:uid="{00000000-0005-0000-0000-000033570000}"/>
    <cellStyle name="Followed Hyperlink 4" xfId="1303" hidden="1" xr:uid="{00000000-0005-0000-0000-000034570000}"/>
    <cellStyle name="Followed Hyperlink 4" xfId="1295" hidden="1" xr:uid="{00000000-0005-0000-0000-000035570000}"/>
    <cellStyle name="Followed Hyperlink 4" xfId="1306" hidden="1" xr:uid="{00000000-0005-0000-0000-000036570000}"/>
    <cellStyle name="Followed Hyperlink 4" xfId="1309" hidden="1" xr:uid="{00000000-0005-0000-0000-000037570000}"/>
    <cellStyle name="Followed Hyperlink 4" xfId="1312" hidden="1" xr:uid="{00000000-0005-0000-0000-000038570000}"/>
    <cellStyle name="Followed Hyperlink 4" xfId="1314" hidden="1" xr:uid="{00000000-0005-0000-0000-000039570000}"/>
    <cellStyle name="Followed Hyperlink 4" xfId="1315" hidden="1" xr:uid="{00000000-0005-0000-0000-00003A570000}"/>
    <cellStyle name="Followed Hyperlink 4" xfId="1318" hidden="1" xr:uid="{00000000-0005-0000-0000-00003B570000}"/>
    <cellStyle name="Followed Hyperlink 4" xfId="817" hidden="1" xr:uid="{00000000-0005-0000-0000-00003C570000}"/>
    <cellStyle name="Followed Hyperlink 4" xfId="811" hidden="1" xr:uid="{00000000-0005-0000-0000-00003D570000}"/>
    <cellStyle name="Followed Hyperlink 4" xfId="1319" hidden="1" xr:uid="{00000000-0005-0000-0000-00003E570000}"/>
    <cellStyle name="Followed Hyperlink 4" xfId="1322" hidden="1" xr:uid="{00000000-0005-0000-0000-00003F570000}"/>
    <cellStyle name="Followed Hyperlink 4" xfId="1325" hidden="1" xr:uid="{00000000-0005-0000-0000-000040570000}"/>
    <cellStyle name="Followed Hyperlink 4" xfId="1327" hidden="1" xr:uid="{00000000-0005-0000-0000-000041570000}"/>
    <cellStyle name="Followed Hyperlink 4" xfId="1328" hidden="1" xr:uid="{00000000-0005-0000-0000-000042570000}"/>
    <cellStyle name="Followed Hyperlink 4" xfId="1331" hidden="1" xr:uid="{00000000-0005-0000-0000-000043570000}"/>
    <cellStyle name="Followed Hyperlink 4" xfId="1340" hidden="1" xr:uid="{00000000-0005-0000-0000-000044570000}"/>
    <cellStyle name="Followed Hyperlink 4" xfId="1332" hidden="1" xr:uid="{00000000-0005-0000-0000-000045570000}"/>
    <cellStyle name="Followed Hyperlink 4" xfId="1343" hidden="1" xr:uid="{00000000-0005-0000-0000-000046570000}"/>
    <cellStyle name="Followed Hyperlink 4" xfId="1346" hidden="1" xr:uid="{00000000-0005-0000-0000-000047570000}"/>
    <cellStyle name="Followed Hyperlink 4" xfId="1349" hidden="1" xr:uid="{00000000-0005-0000-0000-000048570000}"/>
    <cellStyle name="Followed Hyperlink 4" xfId="1351" hidden="1" xr:uid="{00000000-0005-0000-0000-000049570000}"/>
    <cellStyle name="Followed Hyperlink 4" xfId="1352" hidden="1" xr:uid="{00000000-0005-0000-0000-00004A570000}"/>
    <cellStyle name="Followed Hyperlink 4" xfId="1355" hidden="1" xr:uid="{00000000-0005-0000-0000-00004B570000}"/>
    <cellStyle name="Followed Hyperlink 4" xfId="1365" hidden="1" xr:uid="{00000000-0005-0000-0000-00004C570000}"/>
    <cellStyle name="Followed Hyperlink 4" xfId="1357" hidden="1" xr:uid="{00000000-0005-0000-0000-00004D570000}"/>
    <cellStyle name="Followed Hyperlink 4" xfId="1368" hidden="1" xr:uid="{00000000-0005-0000-0000-00004E570000}"/>
    <cellStyle name="Followed Hyperlink 4" xfId="1371" hidden="1" xr:uid="{00000000-0005-0000-0000-00004F570000}"/>
    <cellStyle name="Followed Hyperlink 4" xfId="1374" hidden="1" xr:uid="{00000000-0005-0000-0000-000050570000}"/>
    <cellStyle name="Followed Hyperlink 4" xfId="1376" hidden="1" xr:uid="{00000000-0005-0000-0000-000051570000}"/>
    <cellStyle name="Followed Hyperlink 4" xfId="1377" hidden="1" xr:uid="{00000000-0005-0000-0000-000052570000}"/>
    <cellStyle name="Followed Hyperlink 4" xfId="1380" hidden="1" xr:uid="{00000000-0005-0000-0000-000053570000}"/>
    <cellStyle name="Followed Hyperlink 4" xfId="1389" hidden="1" xr:uid="{00000000-0005-0000-0000-000054570000}"/>
    <cellStyle name="Followed Hyperlink 4" xfId="1381" hidden="1" xr:uid="{00000000-0005-0000-0000-000055570000}"/>
    <cellStyle name="Followed Hyperlink 4" xfId="1392" hidden="1" xr:uid="{00000000-0005-0000-0000-000056570000}"/>
    <cellStyle name="Followed Hyperlink 4" xfId="1395" hidden="1" xr:uid="{00000000-0005-0000-0000-000057570000}"/>
    <cellStyle name="Followed Hyperlink 4" xfId="1398" hidden="1" xr:uid="{00000000-0005-0000-0000-000058570000}"/>
    <cellStyle name="Followed Hyperlink 4" xfId="1400" hidden="1" xr:uid="{00000000-0005-0000-0000-000059570000}"/>
    <cellStyle name="Followed Hyperlink 4" xfId="1401" hidden="1" xr:uid="{00000000-0005-0000-0000-00005A570000}"/>
    <cellStyle name="Followed Hyperlink 4" xfId="1404" hidden="1" xr:uid="{00000000-0005-0000-0000-00005B570000}"/>
    <cellStyle name="Followed Hyperlink 4" xfId="1442" hidden="1" xr:uid="{00000000-0005-0000-0000-00005C570000}"/>
    <cellStyle name="Followed Hyperlink 4" xfId="1434" hidden="1" xr:uid="{00000000-0005-0000-0000-00005D570000}"/>
    <cellStyle name="Followed Hyperlink 4" xfId="1445" hidden="1" xr:uid="{00000000-0005-0000-0000-00005E570000}"/>
    <cellStyle name="Followed Hyperlink 4" xfId="1448" hidden="1" xr:uid="{00000000-0005-0000-0000-00005F570000}"/>
    <cellStyle name="Followed Hyperlink 4" xfId="1451" hidden="1" xr:uid="{00000000-0005-0000-0000-000060570000}"/>
    <cellStyle name="Followed Hyperlink 4" xfId="1453" hidden="1" xr:uid="{00000000-0005-0000-0000-000061570000}"/>
    <cellStyle name="Followed Hyperlink 4" xfId="1454" hidden="1" xr:uid="{00000000-0005-0000-0000-000062570000}"/>
    <cellStyle name="Followed Hyperlink 4" xfId="1457" hidden="1" xr:uid="{00000000-0005-0000-0000-000063570000}"/>
    <cellStyle name="Followed Hyperlink 4" xfId="1466" hidden="1" xr:uid="{00000000-0005-0000-0000-000064570000}"/>
    <cellStyle name="Followed Hyperlink 4" xfId="1458" hidden="1" xr:uid="{00000000-0005-0000-0000-000065570000}"/>
    <cellStyle name="Followed Hyperlink 4" xfId="1469" hidden="1" xr:uid="{00000000-0005-0000-0000-000066570000}"/>
    <cellStyle name="Followed Hyperlink 4" xfId="1472" hidden="1" xr:uid="{00000000-0005-0000-0000-000067570000}"/>
    <cellStyle name="Followed Hyperlink 4" xfId="1475" hidden="1" xr:uid="{00000000-0005-0000-0000-000068570000}"/>
    <cellStyle name="Followed Hyperlink 4" xfId="1477" hidden="1" xr:uid="{00000000-0005-0000-0000-000069570000}"/>
    <cellStyle name="Followed Hyperlink 4" xfId="1478" hidden="1" xr:uid="{00000000-0005-0000-0000-00006A570000}"/>
    <cellStyle name="Followed Hyperlink 4" xfId="1481" hidden="1" xr:uid="{00000000-0005-0000-0000-00006B570000}"/>
    <cellStyle name="Followed Hyperlink 4" xfId="1492" hidden="1" xr:uid="{00000000-0005-0000-0000-00006C570000}"/>
    <cellStyle name="Followed Hyperlink 4" xfId="1484" hidden="1" xr:uid="{00000000-0005-0000-0000-00006D570000}"/>
    <cellStyle name="Followed Hyperlink 4" xfId="1495" hidden="1" xr:uid="{00000000-0005-0000-0000-00006E570000}"/>
    <cellStyle name="Followed Hyperlink 4" xfId="1498" hidden="1" xr:uid="{00000000-0005-0000-0000-00006F570000}"/>
    <cellStyle name="Followed Hyperlink 4" xfId="1501" hidden="1" xr:uid="{00000000-0005-0000-0000-000070570000}"/>
    <cellStyle name="Followed Hyperlink 4" xfId="1503" hidden="1" xr:uid="{00000000-0005-0000-0000-000071570000}"/>
    <cellStyle name="Followed Hyperlink 4" xfId="1504" hidden="1" xr:uid="{00000000-0005-0000-0000-000072570000}"/>
    <cellStyle name="Followed Hyperlink 4" xfId="1507" hidden="1" xr:uid="{00000000-0005-0000-0000-000073570000}"/>
    <cellStyle name="Followed Hyperlink 4" xfId="1516" hidden="1" xr:uid="{00000000-0005-0000-0000-000074570000}"/>
    <cellStyle name="Followed Hyperlink 4" xfId="1508" hidden="1" xr:uid="{00000000-0005-0000-0000-000075570000}"/>
    <cellStyle name="Followed Hyperlink 4" xfId="1519" hidden="1" xr:uid="{00000000-0005-0000-0000-000076570000}"/>
    <cellStyle name="Followed Hyperlink 4" xfId="1522" hidden="1" xr:uid="{00000000-0005-0000-0000-000077570000}"/>
    <cellStyle name="Followed Hyperlink 4" xfId="1525" hidden="1" xr:uid="{00000000-0005-0000-0000-000078570000}"/>
    <cellStyle name="Followed Hyperlink 4" xfId="1527" hidden="1" xr:uid="{00000000-0005-0000-0000-000079570000}"/>
    <cellStyle name="Followed Hyperlink 4" xfId="1528" hidden="1" xr:uid="{00000000-0005-0000-0000-00007A570000}"/>
    <cellStyle name="Followed Hyperlink 4" xfId="1531" hidden="1" xr:uid="{00000000-0005-0000-0000-00007B570000}"/>
    <cellStyle name="Followed Hyperlink 4" xfId="1414" hidden="1" xr:uid="{00000000-0005-0000-0000-00007C570000}"/>
    <cellStyle name="Followed Hyperlink 4" xfId="1408" hidden="1" xr:uid="{00000000-0005-0000-0000-00007D570000}"/>
    <cellStyle name="Followed Hyperlink 4" xfId="1532" hidden="1" xr:uid="{00000000-0005-0000-0000-00007E570000}"/>
    <cellStyle name="Followed Hyperlink 4" xfId="1535" hidden="1" xr:uid="{00000000-0005-0000-0000-00007F570000}"/>
    <cellStyle name="Followed Hyperlink 4" xfId="1538" hidden="1" xr:uid="{00000000-0005-0000-0000-000080570000}"/>
    <cellStyle name="Followed Hyperlink 4" xfId="1540" hidden="1" xr:uid="{00000000-0005-0000-0000-000081570000}"/>
    <cellStyle name="Followed Hyperlink 4" xfId="1541" hidden="1" xr:uid="{00000000-0005-0000-0000-000082570000}"/>
    <cellStyle name="Followed Hyperlink 4" xfId="1544" hidden="1" xr:uid="{00000000-0005-0000-0000-000083570000}"/>
    <cellStyle name="Followed Hyperlink 4" xfId="1553" hidden="1" xr:uid="{00000000-0005-0000-0000-000084570000}"/>
    <cellStyle name="Followed Hyperlink 4" xfId="1545" hidden="1" xr:uid="{00000000-0005-0000-0000-000085570000}"/>
    <cellStyle name="Followed Hyperlink 4" xfId="1556" hidden="1" xr:uid="{00000000-0005-0000-0000-000086570000}"/>
    <cellStyle name="Followed Hyperlink 4" xfId="1559" hidden="1" xr:uid="{00000000-0005-0000-0000-000087570000}"/>
    <cellStyle name="Followed Hyperlink 4" xfId="1562" hidden="1" xr:uid="{00000000-0005-0000-0000-000088570000}"/>
    <cellStyle name="Followed Hyperlink 4" xfId="1564" hidden="1" xr:uid="{00000000-0005-0000-0000-000089570000}"/>
    <cellStyle name="Followed Hyperlink 4" xfId="1565" hidden="1" xr:uid="{00000000-0005-0000-0000-00008A570000}"/>
    <cellStyle name="Followed Hyperlink 4" xfId="1568" hidden="1" xr:uid="{00000000-0005-0000-0000-00008B570000}"/>
    <cellStyle name="Followed Hyperlink 4" xfId="1578" hidden="1" xr:uid="{00000000-0005-0000-0000-00008C570000}"/>
    <cellStyle name="Followed Hyperlink 4" xfId="1570" hidden="1" xr:uid="{00000000-0005-0000-0000-00008D570000}"/>
    <cellStyle name="Followed Hyperlink 4" xfId="1581" hidden="1" xr:uid="{00000000-0005-0000-0000-00008E570000}"/>
    <cellStyle name="Followed Hyperlink 4" xfId="1584" hidden="1" xr:uid="{00000000-0005-0000-0000-00008F570000}"/>
    <cellStyle name="Followed Hyperlink 4" xfId="1587" hidden="1" xr:uid="{00000000-0005-0000-0000-000090570000}"/>
    <cellStyle name="Followed Hyperlink 4" xfId="1589" hidden="1" xr:uid="{00000000-0005-0000-0000-000091570000}"/>
    <cellStyle name="Followed Hyperlink 4" xfId="1590" hidden="1" xr:uid="{00000000-0005-0000-0000-000092570000}"/>
    <cellStyle name="Followed Hyperlink 4" xfId="1593" hidden="1" xr:uid="{00000000-0005-0000-0000-000093570000}"/>
    <cellStyle name="Followed Hyperlink 4" xfId="1602" hidden="1" xr:uid="{00000000-0005-0000-0000-000094570000}"/>
    <cellStyle name="Followed Hyperlink 4" xfId="1594" hidden="1" xr:uid="{00000000-0005-0000-0000-000095570000}"/>
    <cellStyle name="Followed Hyperlink 4" xfId="1605" hidden="1" xr:uid="{00000000-0005-0000-0000-000096570000}"/>
    <cellStyle name="Followed Hyperlink 4" xfId="1608" hidden="1" xr:uid="{00000000-0005-0000-0000-000097570000}"/>
    <cellStyle name="Followed Hyperlink 4" xfId="1611" hidden="1" xr:uid="{00000000-0005-0000-0000-000098570000}"/>
    <cellStyle name="Followed Hyperlink 4" xfId="1613" hidden="1" xr:uid="{00000000-0005-0000-0000-000099570000}"/>
    <cellStyle name="Followed Hyperlink 4" xfId="1614" hidden="1" xr:uid="{00000000-0005-0000-0000-00009A570000}"/>
    <cellStyle name="Followed Hyperlink 4" xfId="1617" hidden="1" xr:uid="{00000000-0005-0000-0000-00009B570000}"/>
    <cellStyle name="Followed Hyperlink 4" xfId="1418" hidden="1" xr:uid="{00000000-0005-0000-0000-00009C570000}"/>
    <cellStyle name="Followed Hyperlink 4" xfId="1424" hidden="1" xr:uid="{00000000-0005-0000-0000-00009D570000}"/>
    <cellStyle name="Followed Hyperlink 4" xfId="1618" hidden="1" xr:uid="{00000000-0005-0000-0000-00009E570000}"/>
    <cellStyle name="Followed Hyperlink 4" xfId="1621" hidden="1" xr:uid="{00000000-0005-0000-0000-00009F570000}"/>
    <cellStyle name="Followed Hyperlink 4" xfId="1624" hidden="1" xr:uid="{00000000-0005-0000-0000-0000A0570000}"/>
    <cellStyle name="Followed Hyperlink 4" xfId="1626" hidden="1" xr:uid="{00000000-0005-0000-0000-0000A1570000}"/>
    <cellStyle name="Followed Hyperlink 4" xfId="1627" hidden="1" xr:uid="{00000000-0005-0000-0000-0000A2570000}"/>
    <cellStyle name="Followed Hyperlink 4" xfId="1630" hidden="1" xr:uid="{00000000-0005-0000-0000-0000A3570000}"/>
    <cellStyle name="Followed Hyperlink 4" xfId="1639" hidden="1" xr:uid="{00000000-0005-0000-0000-0000A4570000}"/>
    <cellStyle name="Followed Hyperlink 4" xfId="1631" hidden="1" xr:uid="{00000000-0005-0000-0000-0000A5570000}"/>
    <cellStyle name="Followed Hyperlink 4" xfId="1642" hidden="1" xr:uid="{00000000-0005-0000-0000-0000A6570000}"/>
    <cellStyle name="Followed Hyperlink 4" xfId="1645" hidden="1" xr:uid="{00000000-0005-0000-0000-0000A7570000}"/>
    <cellStyle name="Followed Hyperlink 4" xfId="1648" hidden="1" xr:uid="{00000000-0005-0000-0000-0000A8570000}"/>
    <cellStyle name="Followed Hyperlink 4" xfId="1650" hidden="1" xr:uid="{00000000-0005-0000-0000-0000A9570000}"/>
    <cellStyle name="Followed Hyperlink 4" xfId="1651" hidden="1" xr:uid="{00000000-0005-0000-0000-0000AA570000}"/>
    <cellStyle name="Followed Hyperlink 4" xfId="1654" hidden="1" xr:uid="{00000000-0005-0000-0000-0000AB570000}"/>
    <cellStyle name="Followed Hyperlink 4" xfId="1664" hidden="1" xr:uid="{00000000-0005-0000-0000-0000AC570000}"/>
    <cellStyle name="Followed Hyperlink 4" xfId="1656" hidden="1" xr:uid="{00000000-0005-0000-0000-0000AD570000}"/>
    <cellStyle name="Followed Hyperlink 4" xfId="1667" hidden="1" xr:uid="{00000000-0005-0000-0000-0000AE570000}"/>
    <cellStyle name="Followed Hyperlink 4" xfId="1670" hidden="1" xr:uid="{00000000-0005-0000-0000-0000AF570000}"/>
    <cellStyle name="Followed Hyperlink 4" xfId="1673" hidden="1" xr:uid="{00000000-0005-0000-0000-0000B0570000}"/>
    <cellStyle name="Followed Hyperlink 4" xfId="1675" hidden="1" xr:uid="{00000000-0005-0000-0000-0000B1570000}"/>
    <cellStyle name="Followed Hyperlink 4" xfId="1676" hidden="1" xr:uid="{00000000-0005-0000-0000-0000B2570000}"/>
    <cellStyle name="Followed Hyperlink 4" xfId="1679" hidden="1" xr:uid="{00000000-0005-0000-0000-0000B3570000}"/>
    <cellStyle name="Followed Hyperlink 4" xfId="1688" hidden="1" xr:uid="{00000000-0005-0000-0000-0000B4570000}"/>
    <cellStyle name="Followed Hyperlink 4" xfId="1680" hidden="1" xr:uid="{00000000-0005-0000-0000-0000B5570000}"/>
    <cellStyle name="Followed Hyperlink 4" xfId="1691" hidden="1" xr:uid="{00000000-0005-0000-0000-0000B6570000}"/>
    <cellStyle name="Followed Hyperlink 4" xfId="1694" hidden="1" xr:uid="{00000000-0005-0000-0000-0000B7570000}"/>
    <cellStyle name="Followed Hyperlink 4" xfId="1697" hidden="1" xr:uid="{00000000-0005-0000-0000-0000B8570000}"/>
    <cellStyle name="Followed Hyperlink 4" xfId="1699" hidden="1" xr:uid="{00000000-0005-0000-0000-0000B9570000}"/>
    <cellStyle name="Followed Hyperlink 4" xfId="1700" hidden="1" xr:uid="{00000000-0005-0000-0000-0000BA570000}"/>
    <cellStyle name="Followed Hyperlink 4" xfId="1703" hidden="1" xr:uid="{00000000-0005-0000-0000-0000BB570000}"/>
    <cellStyle name="Followed Hyperlink 4" xfId="1428" hidden="1" xr:uid="{00000000-0005-0000-0000-0000BC570000}"/>
    <cellStyle name="Followed Hyperlink 4" xfId="1483" hidden="1" xr:uid="{00000000-0005-0000-0000-0000BD570000}"/>
    <cellStyle name="Followed Hyperlink 4" xfId="1704" hidden="1" xr:uid="{00000000-0005-0000-0000-0000BE570000}"/>
    <cellStyle name="Followed Hyperlink 4" xfId="1707" hidden="1" xr:uid="{00000000-0005-0000-0000-0000BF570000}"/>
    <cellStyle name="Followed Hyperlink 4" xfId="1710" hidden="1" xr:uid="{00000000-0005-0000-0000-0000C0570000}"/>
    <cellStyle name="Followed Hyperlink 4" xfId="1712" hidden="1" xr:uid="{00000000-0005-0000-0000-0000C1570000}"/>
    <cellStyle name="Followed Hyperlink 4" xfId="1713" hidden="1" xr:uid="{00000000-0005-0000-0000-0000C2570000}"/>
    <cellStyle name="Followed Hyperlink 4" xfId="1716" hidden="1" xr:uid="{00000000-0005-0000-0000-0000C3570000}"/>
    <cellStyle name="Followed Hyperlink 4" xfId="1725" hidden="1" xr:uid="{00000000-0005-0000-0000-0000C4570000}"/>
    <cellStyle name="Followed Hyperlink 4" xfId="1717" hidden="1" xr:uid="{00000000-0005-0000-0000-0000C5570000}"/>
    <cellStyle name="Followed Hyperlink 4" xfId="1728" hidden="1" xr:uid="{00000000-0005-0000-0000-0000C6570000}"/>
    <cellStyle name="Followed Hyperlink 4" xfId="1731" hidden="1" xr:uid="{00000000-0005-0000-0000-0000C7570000}"/>
    <cellStyle name="Followed Hyperlink 4" xfId="1734" hidden="1" xr:uid="{00000000-0005-0000-0000-0000C8570000}"/>
    <cellStyle name="Followed Hyperlink 4" xfId="1736" hidden="1" xr:uid="{00000000-0005-0000-0000-0000C9570000}"/>
    <cellStyle name="Followed Hyperlink 4" xfId="1737" hidden="1" xr:uid="{00000000-0005-0000-0000-0000CA570000}"/>
    <cellStyle name="Followed Hyperlink 4" xfId="1740" hidden="1" xr:uid="{00000000-0005-0000-0000-0000CB570000}"/>
    <cellStyle name="Followed Hyperlink 4" xfId="1749" hidden="1" xr:uid="{00000000-0005-0000-0000-0000CC570000}"/>
    <cellStyle name="Followed Hyperlink 4" xfId="1741" hidden="1" xr:uid="{00000000-0005-0000-0000-0000CD570000}"/>
    <cellStyle name="Followed Hyperlink 4" xfId="1752" hidden="1" xr:uid="{00000000-0005-0000-0000-0000CE570000}"/>
    <cellStyle name="Followed Hyperlink 4" xfId="1755" hidden="1" xr:uid="{00000000-0005-0000-0000-0000CF570000}"/>
    <cellStyle name="Followed Hyperlink 4" xfId="1758" hidden="1" xr:uid="{00000000-0005-0000-0000-0000D0570000}"/>
    <cellStyle name="Followed Hyperlink 4" xfId="1760" hidden="1" xr:uid="{00000000-0005-0000-0000-0000D1570000}"/>
    <cellStyle name="Followed Hyperlink 4" xfId="1761" hidden="1" xr:uid="{00000000-0005-0000-0000-0000D2570000}"/>
    <cellStyle name="Followed Hyperlink 4" xfId="1764" hidden="1" xr:uid="{00000000-0005-0000-0000-0000D3570000}"/>
    <cellStyle name="Followed Hyperlink 4" xfId="1773" hidden="1" xr:uid="{00000000-0005-0000-0000-0000D4570000}"/>
    <cellStyle name="Followed Hyperlink 4" xfId="1765" hidden="1" xr:uid="{00000000-0005-0000-0000-0000D5570000}"/>
    <cellStyle name="Followed Hyperlink 4" xfId="1776" hidden="1" xr:uid="{00000000-0005-0000-0000-0000D6570000}"/>
    <cellStyle name="Followed Hyperlink 4" xfId="1779" hidden="1" xr:uid="{00000000-0005-0000-0000-0000D7570000}"/>
    <cellStyle name="Followed Hyperlink 4" xfId="1782" hidden="1" xr:uid="{00000000-0005-0000-0000-0000D8570000}"/>
    <cellStyle name="Followed Hyperlink 4" xfId="1784" hidden="1" xr:uid="{00000000-0005-0000-0000-0000D9570000}"/>
    <cellStyle name="Followed Hyperlink 4" xfId="1785" hidden="1" xr:uid="{00000000-0005-0000-0000-0000DA570000}"/>
    <cellStyle name="Followed Hyperlink 4" xfId="1788" hidden="1" xr:uid="{00000000-0005-0000-0000-0000DB570000}"/>
    <cellStyle name="Followed Hyperlink 4" xfId="821" hidden="1" xr:uid="{00000000-0005-0000-0000-0000DC570000}"/>
    <cellStyle name="Followed Hyperlink 4" xfId="827" hidden="1" xr:uid="{00000000-0005-0000-0000-0000DD570000}"/>
    <cellStyle name="Followed Hyperlink 4" xfId="1789" hidden="1" xr:uid="{00000000-0005-0000-0000-0000DE570000}"/>
    <cellStyle name="Followed Hyperlink 4" xfId="1792" hidden="1" xr:uid="{00000000-0005-0000-0000-0000DF570000}"/>
    <cellStyle name="Followed Hyperlink 4" xfId="1795" hidden="1" xr:uid="{00000000-0005-0000-0000-0000E0570000}"/>
    <cellStyle name="Followed Hyperlink 4" xfId="1797" hidden="1" xr:uid="{00000000-0005-0000-0000-0000E1570000}"/>
    <cellStyle name="Followed Hyperlink 4" xfId="1798" hidden="1" xr:uid="{00000000-0005-0000-0000-0000E2570000}"/>
    <cellStyle name="Followed Hyperlink 4" xfId="1801" hidden="1" xr:uid="{00000000-0005-0000-0000-0000E3570000}"/>
    <cellStyle name="Followed Hyperlink 4" xfId="1810" hidden="1" xr:uid="{00000000-0005-0000-0000-0000E4570000}"/>
    <cellStyle name="Followed Hyperlink 4" xfId="1802" hidden="1" xr:uid="{00000000-0005-0000-0000-0000E5570000}"/>
    <cellStyle name="Followed Hyperlink 4" xfId="1813" hidden="1" xr:uid="{00000000-0005-0000-0000-0000E6570000}"/>
    <cellStyle name="Followed Hyperlink 4" xfId="1816" hidden="1" xr:uid="{00000000-0005-0000-0000-0000E7570000}"/>
    <cellStyle name="Followed Hyperlink 4" xfId="1819" hidden="1" xr:uid="{00000000-0005-0000-0000-0000E8570000}"/>
    <cellStyle name="Followed Hyperlink 4" xfId="1821" hidden="1" xr:uid="{00000000-0005-0000-0000-0000E9570000}"/>
    <cellStyle name="Followed Hyperlink 4" xfId="1822" hidden="1" xr:uid="{00000000-0005-0000-0000-0000EA570000}"/>
    <cellStyle name="Followed Hyperlink 4" xfId="1825" hidden="1" xr:uid="{00000000-0005-0000-0000-0000EB570000}"/>
    <cellStyle name="Followed Hyperlink 4" xfId="1835" hidden="1" xr:uid="{00000000-0005-0000-0000-0000EC570000}"/>
    <cellStyle name="Followed Hyperlink 4" xfId="1827" hidden="1" xr:uid="{00000000-0005-0000-0000-0000ED570000}"/>
    <cellStyle name="Followed Hyperlink 4" xfId="1838" hidden="1" xr:uid="{00000000-0005-0000-0000-0000EE570000}"/>
    <cellStyle name="Followed Hyperlink 4" xfId="1841" hidden="1" xr:uid="{00000000-0005-0000-0000-0000EF570000}"/>
    <cellStyle name="Followed Hyperlink 4" xfId="1844" hidden="1" xr:uid="{00000000-0005-0000-0000-0000F0570000}"/>
    <cellStyle name="Followed Hyperlink 4" xfId="1846" hidden="1" xr:uid="{00000000-0005-0000-0000-0000F1570000}"/>
    <cellStyle name="Followed Hyperlink 4" xfId="1847" hidden="1" xr:uid="{00000000-0005-0000-0000-0000F2570000}"/>
    <cellStyle name="Followed Hyperlink 4" xfId="1850" hidden="1" xr:uid="{00000000-0005-0000-0000-0000F3570000}"/>
    <cellStyle name="Followed Hyperlink 4" xfId="1859" hidden="1" xr:uid="{00000000-0005-0000-0000-0000F4570000}"/>
    <cellStyle name="Followed Hyperlink 4" xfId="1851" hidden="1" xr:uid="{00000000-0005-0000-0000-0000F5570000}"/>
    <cellStyle name="Followed Hyperlink 4" xfId="1862" hidden="1" xr:uid="{00000000-0005-0000-0000-0000F6570000}"/>
    <cellStyle name="Followed Hyperlink 4" xfId="1865" hidden="1" xr:uid="{00000000-0005-0000-0000-0000F7570000}"/>
    <cellStyle name="Followed Hyperlink 4" xfId="1868" hidden="1" xr:uid="{00000000-0005-0000-0000-0000F8570000}"/>
    <cellStyle name="Followed Hyperlink 4" xfId="1870" hidden="1" xr:uid="{00000000-0005-0000-0000-0000F9570000}"/>
    <cellStyle name="Followed Hyperlink 4" xfId="1871" hidden="1" xr:uid="{00000000-0005-0000-0000-0000FA570000}"/>
    <cellStyle name="Followed Hyperlink 4" xfId="1874" hidden="1" xr:uid="{00000000-0005-0000-0000-0000FB570000}"/>
    <cellStyle name="Followed Hyperlink 4" xfId="1912" hidden="1" xr:uid="{00000000-0005-0000-0000-0000FC570000}"/>
    <cellStyle name="Followed Hyperlink 4" xfId="1904" hidden="1" xr:uid="{00000000-0005-0000-0000-0000FD570000}"/>
    <cellStyle name="Followed Hyperlink 4" xfId="1915" hidden="1" xr:uid="{00000000-0005-0000-0000-0000FE570000}"/>
    <cellStyle name="Followed Hyperlink 4" xfId="1918" hidden="1" xr:uid="{00000000-0005-0000-0000-0000FF570000}"/>
    <cellStyle name="Followed Hyperlink 4" xfId="1921" hidden="1" xr:uid="{00000000-0005-0000-0000-000000580000}"/>
    <cellStyle name="Followed Hyperlink 4" xfId="1923" hidden="1" xr:uid="{00000000-0005-0000-0000-000001580000}"/>
    <cellStyle name="Followed Hyperlink 4" xfId="1924" hidden="1" xr:uid="{00000000-0005-0000-0000-000002580000}"/>
    <cellStyle name="Followed Hyperlink 4" xfId="1927" hidden="1" xr:uid="{00000000-0005-0000-0000-000003580000}"/>
    <cellStyle name="Followed Hyperlink 4" xfId="1936" hidden="1" xr:uid="{00000000-0005-0000-0000-000004580000}"/>
    <cellStyle name="Followed Hyperlink 4" xfId="1928" hidden="1" xr:uid="{00000000-0005-0000-0000-000005580000}"/>
    <cellStyle name="Followed Hyperlink 4" xfId="1939" hidden="1" xr:uid="{00000000-0005-0000-0000-000006580000}"/>
    <cellStyle name="Followed Hyperlink 4" xfId="1942" hidden="1" xr:uid="{00000000-0005-0000-0000-000007580000}"/>
    <cellStyle name="Followed Hyperlink 4" xfId="1945" hidden="1" xr:uid="{00000000-0005-0000-0000-000008580000}"/>
    <cellStyle name="Followed Hyperlink 4" xfId="1947" hidden="1" xr:uid="{00000000-0005-0000-0000-000009580000}"/>
    <cellStyle name="Followed Hyperlink 4" xfId="1948" hidden="1" xr:uid="{00000000-0005-0000-0000-00000A580000}"/>
    <cellStyle name="Followed Hyperlink 4" xfId="1951" hidden="1" xr:uid="{00000000-0005-0000-0000-00000B580000}"/>
    <cellStyle name="Followed Hyperlink 4" xfId="1962" hidden="1" xr:uid="{00000000-0005-0000-0000-00000C580000}"/>
    <cellStyle name="Followed Hyperlink 4" xfId="1954" hidden="1" xr:uid="{00000000-0005-0000-0000-00000D580000}"/>
    <cellStyle name="Followed Hyperlink 4" xfId="1965" hidden="1" xr:uid="{00000000-0005-0000-0000-00000E580000}"/>
    <cellStyle name="Followed Hyperlink 4" xfId="1968" hidden="1" xr:uid="{00000000-0005-0000-0000-00000F580000}"/>
    <cellStyle name="Followed Hyperlink 4" xfId="1971" hidden="1" xr:uid="{00000000-0005-0000-0000-000010580000}"/>
    <cellStyle name="Followed Hyperlink 4" xfId="1973" hidden="1" xr:uid="{00000000-0005-0000-0000-000011580000}"/>
    <cellStyle name="Followed Hyperlink 4" xfId="1974" hidden="1" xr:uid="{00000000-0005-0000-0000-000012580000}"/>
    <cellStyle name="Followed Hyperlink 4" xfId="1977" hidden="1" xr:uid="{00000000-0005-0000-0000-000013580000}"/>
    <cellStyle name="Followed Hyperlink 4" xfId="1986" hidden="1" xr:uid="{00000000-0005-0000-0000-000014580000}"/>
    <cellStyle name="Followed Hyperlink 4" xfId="1978" hidden="1" xr:uid="{00000000-0005-0000-0000-000015580000}"/>
    <cellStyle name="Followed Hyperlink 4" xfId="1989" hidden="1" xr:uid="{00000000-0005-0000-0000-000016580000}"/>
    <cellStyle name="Followed Hyperlink 4" xfId="1992" hidden="1" xr:uid="{00000000-0005-0000-0000-000017580000}"/>
    <cellStyle name="Followed Hyperlink 4" xfId="1995" hidden="1" xr:uid="{00000000-0005-0000-0000-000018580000}"/>
    <cellStyle name="Followed Hyperlink 4" xfId="1997" hidden="1" xr:uid="{00000000-0005-0000-0000-000019580000}"/>
    <cellStyle name="Followed Hyperlink 4" xfId="1998" hidden="1" xr:uid="{00000000-0005-0000-0000-00001A580000}"/>
    <cellStyle name="Followed Hyperlink 4" xfId="2001" hidden="1" xr:uid="{00000000-0005-0000-0000-00001B580000}"/>
    <cellStyle name="Followed Hyperlink 4" xfId="1884" hidden="1" xr:uid="{00000000-0005-0000-0000-00001C580000}"/>
    <cellStyle name="Followed Hyperlink 4" xfId="1878" hidden="1" xr:uid="{00000000-0005-0000-0000-00001D580000}"/>
    <cellStyle name="Followed Hyperlink 4" xfId="2002" hidden="1" xr:uid="{00000000-0005-0000-0000-00001E580000}"/>
    <cellStyle name="Followed Hyperlink 4" xfId="2005" hidden="1" xr:uid="{00000000-0005-0000-0000-00001F580000}"/>
    <cellStyle name="Followed Hyperlink 4" xfId="2008" hidden="1" xr:uid="{00000000-0005-0000-0000-000020580000}"/>
    <cellStyle name="Followed Hyperlink 4" xfId="2010" hidden="1" xr:uid="{00000000-0005-0000-0000-000021580000}"/>
    <cellStyle name="Followed Hyperlink 4" xfId="2011" hidden="1" xr:uid="{00000000-0005-0000-0000-000022580000}"/>
    <cellStyle name="Followed Hyperlink 4" xfId="2014" hidden="1" xr:uid="{00000000-0005-0000-0000-000023580000}"/>
    <cellStyle name="Followed Hyperlink 4" xfId="2023" hidden="1" xr:uid="{00000000-0005-0000-0000-000024580000}"/>
    <cellStyle name="Followed Hyperlink 4" xfId="2015" hidden="1" xr:uid="{00000000-0005-0000-0000-000025580000}"/>
    <cellStyle name="Followed Hyperlink 4" xfId="2026" hidden="1" xr:uid="{00000000-0005-0000-0000-000026580000}"/>
    <cellStyle name="Followed Hyperlink 4" xfId="2029" hidden="1" xr:uid="{00000000-0005-0000-0000-000027580000}"/>
    <cellStyle name="Followed Hyperlink 4" xfId="2032" hidden="1" xr:uid="{00000000-0005-0000-0000-000028580000}"/>
    <cellStyle name="Followed Hyperlink 4" xfId="2034" hidden="1" xr:uid="{00000000-0005-0000-0000-000029580000}"/>
    <cellStyle name="Followed Hyperlink 4" xfId="2035" hidden="1" xr:uid="{00000000-0005-0000-0000-00002A580000}"/>
    <cellStyle name="Followed Hyperlink 4" xfId="2038" hidden="1" xr:uid="{00000000-0005-0000-0000-00002B580000}"/>
    <cellStyle name="Followed Hyperlink 4" xfId="2048" hidden="1" xr:uid="{00000000-0005-0000-0000-00002C580000}"/>
    <cellStyle name="Followed Hyperlink 4" xfId="2040" hidden="1" xr:uid="{00000000-0005-0000-0000-00002D580000}"/>
    <cellStyle name="Followed Hyperlink 4" xfId="2051" hidden="1" xr:uid="{00000000-0005-0000-0000-00002E580000}"/>
    <cellStyle name="Followed Hyperlink 4" xfId="2054" hidden="1" xr:uid="{00000000-0005-0000-0000-00002F580000}"/>
    <cellStyle name="Followed Hyperlink 4" xfId="2057" hidden="1" xr:uid="{00000000-0005-0000-0000-000030580000}"/>
    <cellStyle name="Followed Hyperlink 4" xfId="2059" hidden="1" xr:uid="{00000000-0005-0000-0000-000031580000}"/>
    <cellStyle name="Followed Hyperlink 4" xfId="2060" hidden="1" xr:uid="{00000000-0005-0000-0000-000032580000}"/>
    <cellStyle name="Followed Hyperlink 4" xfId="2063" hidden="1" xr:uid="{00000000-0005-0000-0000-000033580000}"/>
    <cellStyle name="Followed Hyperlink 4" xfId="2072" hidden="1" xr:uid="{00000000-0005-0000-0000-000034580000}"/>
    <cellStyle name="Followed Hyperlink 4" xfId="2064" hidden="1" xr:uid="{00000000-0005-0000-0000-000035580000}"/>
    <cellStyle name="Followed Hyperlink 4" xfId="2075" hidden="1" xr:uid="{00000000-0005-0000-0000-000036580000}"/>
    <cellStyle name="Followed Hyperlink 4" xfId="2078" hidden="1" xr:uid="{00000000-0005-0000-0000-000037580000}"/>
    <cellStyle name="Followed Hyperlink 4" xfId="2081" hidden="1" xr:uid="{00000000-0005-0000-0000-000038580000}"/>
    <cellStyle name="Followed Hyperlink 4" xfId="2083" hidden="1" xr:uid="{00000000-0005-0000-0000-000039580000}"/>
    <cellStyle name="Followed Hyperlink 4" xfId="2084" hidden="1" xr:uid="{00000000-0005-0000-0000-00003A580000}"/>
    <cellStyle name="Followed Hyperlink 4" xfId="2087" hidden="1" xr:uid="{00000000-0005-0000-0000-00003B580000}"/>
    <cellStyle name="Followed Hyperlink 4" xfId="1888" hidden="1" xr:uid="{00000000-0005-0000-0000-00003C580000}"/>
    <cellStyle name="Followed Hyperlink 4" xfId="1894" hidden="1" xr:uid="{00000000-0005-0000-0000-00003D580000}"/>
    <cellStyle name="Followed Hyperlink 4" xfId="2088" hidden="1" xr:uid="{00000000-0005-0000-0000-00003E580000}"/>
    <cellStyle name="Followed Hyperlink 4" xfId="2091" hidden="1" xr:uid="{00000000-0005-0000-0000-00003F580000}"/>
    <cellStyle name="Followed Hyperlink 4" xfId="2094" hidden="1" xr:uid="{00000000-0005-0000-0000-000040580000}"/>
    <cellStyle name="Followed Hyperlink 4" xfId="2096" hidden="1" xr:uid="{00000000-0005-0000-0000-000041580000}"/>
    <cellStyle name="Followed Hyperlink 4" xfId="2097" hidden="1" xr:uid="{00000000-0005-0000-0000-000042580000}"/>
    <cellStyle name="Followed Hyperlink 4" xfId="2100" hidden="1" xr:uid="{00000000-0005-0000-0000-000043580000}"/>
    <cellStyle name="Followed Hyperlink 4" xfId="2109" hidden="1" xr:uid="{00000000-0005-0000-0000-000044580000}"/>
    <cellStyle name="Followed Hyperlink 4" xfId="2101" hidden="1" xr:uid="{00000000-0005-0000-0000-000045580000}"/>
    <cellStyle name="Followed Hyperlink 4" xfId="2112" hidden="1" xr:uid="{00000000-0005-0000-0000-000046580000}"/>
    <cellStyle name="Followed Hyperlink 4" xfId="2115" hidden="1" xr:uid="{00000000-0005-0000-0000-000047580000}"/>
    <cellStyle name="Followed Hyperlink 4" xfId="2118" hidden="1" xr:uid="{00000000-0005-0000-0000-000048580000}"/>
    <cellStyle name="Followed Hyperlink 4" xfId="2120" hidden="1" xr:uid="{00000000-0005-0000-0000-000049580000}"/>
    <cellStyle name="Followed Hyperlink 4" xfId="2121" hidden="1" xr:uid="{00000000-0005-0000-0000-00004A580000}"/>
    <cellStyle name="Followed Hyperlink 4" xfId="2124" hidden="1" xr:uid="{00000000-0005-0000-0000-00004B580000}"/>
    <cellStyle name="Followed Hyperlink 4" xfId="2134" hidden="1" xr:uid="{00000000-0005-0000-0000-00004C580000}"/>
    <cellStyle name="Followed Hyperlink 4" xfId="2126" hidden="1" xr:uid="{00000000-0005-0000-0000-00004D580000}"/>
    <cellStyle name="Followed Hyperlink 4" xfId="2137" hidden="1" xr:uid="{00000000-0005-0000-0000-00004E580000}"/>
    <cellStyle name="Followed Hyperlink 4" xfId="2140" hidden="1" xr:uid="{00000000-0005-0000-0000-00004F580000}"/>
    <cellStyle name="Followed Hyperlink 4" xfId="2143" hidden="1" xr:uid="{00000000-0005-0000-0000-000050580000}"/>
    <cellStyle name="Followed Hyperlink 4" xfId="2145" hidden="1" xr:uid="{00000000-0005-0000-0000-000051580000}"/>
    <cellStyle name="Followed Hyperlink 4" xfId="2146" hidden="1" xr:uid="{00000000-0005-0000-0000-000052580000}"/>
    <cellStyle name="Followed Hyperlink 4" xfId="2149" hidden="1" xr:uid="{00000000-0005-0000-0000-000053580000}"/>
    <cellStyle name="Followed Hyperlink 4" xfId="2158" hidden="1" xr:uid="{00000000-0005-0000-0000-000054580000}"/>
    <cellStyle name="Followed Hyperlink 4" xfId="2150" hidden="1" xr:uid="{00000000-0005-0000-0000-000055580000}"/>
    <cellStyle name="Followed Hyperlink 4" xfId="2161" hidden="1" xr:uid="{00000000-0005-0000-0000-000056580000}"/>
    <cellStyle name="Followed Hyperlink 4" xfId="2164" hidden="1" xr:uid="{00000000-0005-0000-0000-000057580000}"/>
    <cellStyle name="Followed Hyperlink 4" xfId="2167" hidden="1" xr:uid="{00000000-0005-0000-0000-000058580000}"/>
    <cellStyle name="Followed Hyperlink 4" xfId="2169" hidden="1" xr:uid="{00000000-0005-0000-0000-000059580000}"/>
    <cellStyle name="Followed Hyperlink 4" xfId="2170" hidden="1" xr:uid="{00000000-0005-0000-0000-00005A580000}"/>
    <cellStyle name="Followed Hyperlink 4" xfId="2173" hidden="1" xr:uid="{00000000-0005-0000-0000-00005B580000}"/>
    <cellStyle name="Followed Hyperlink 4" xfId="1898" hidden="1" xr:uid="{00000000-0005-0000-0000-00005C580000}"/>
    <cellStyle name="Followed Hyperlink 4" xfId="1953" hidden="1" xr:uid="{00000000-0005-0000-0000-00005D580000}"/>
    <cellStyle name="Followed Hyperlink 4" xfId="2174" hidden="1" xr:uid="{00000000-0005-0000-0000-00005E580000}"/>
    <cellStyle name="Followed Hyperlink 4" xfId="2177" hidden="1" xr:uid="{00000000-0005-0000-0000-00005F580000}"/>
    <cellStyle name="Followed Hyperlink 4" xfId="2180" hidden="1" xr:uid="{00000000-0005-0000-0000-000060580000}"/>
    <cellStyle name="Followed Hyperlink 4" xfId="2182" hidden="1" xr:uid="{00000000-0005-0000-0000-000061580000}"/>
    <cellStyle name="Followed Hyperlink 4" xfId="2183" hidden="1" xr:uid="{00000000-0005-0000-0000-000062580000}"/>
    <cellStyle name="Followed Hyperlink 4" xfId="2186" hidden="1" xr:uid="{00000000-0005-0000-0000-000063580000}"/>
    <cellStyle name="Followed Hyperlink 4" xfId="2195" hidden="1" xr:uid="{00000000-0005-0000-0000-000064580000}"/>
    <cellStyle name="Followed Hyperlink 4" xfId="2187" hidden="1" xr:uid="{00000000-0005-0000-0000-000065580000}"/>
    <cellStyle name="Followed Hyperlink 4" xfId="2198" hidden="1" xr:uid="{00000000-0005-0000-0000-000066580000}"/>
    <cellStyle name="Followed Hyperlink 4" xfId="2201" hidden="1" xr:uid="{00000000-0005-0000-0000-000067580000}"/>
    <cellStyle name="Followed Hyperlink 4" xfId="2204" hidden="1" xr:uid="{00000000-0005-0000-0000-000068580000}"/>
    <cellStyle name="Followed Hyperlink 4" xfId="2206" hidden="1" xr:uid="{00000000-0005-0000-0000-000069580000}"/>
    <cellStyle name="Followed Hyperlink 4" xfId="2207" hidden="1" xr:uid="{00000000-0005-0000-0000-00006A580000}"/>
    <cellStyle name="Followed Hyperlink 4" xfId="2210" hidden="1" xr:uid="{00000000-0005-0000-0000-00006B580000}"/>
    <cellStyle name="Followed Hyperlink 4" xfId="2219" hidden="1" xr:uid="{00000000-0005-0000-0000-00006C580000}"/>
    <cellStyle name="Followed Hyperlink 4" xfId="2211" hidden="1" xr:uid="{00000000-0005-0000-0000-00006D580000}"/>
    <cellStyle name="Followed Hyperlink 4" xfId="2222" hidden="1" xr:uid="{00000000-0005-0000-0000-00006E580000}"/>
    <cellStyle name="Followed Hyperlink 4" xfId="2225" hidden="1" xr:uid="{00000000-0005-0000-0000-00006F580000}"/>
    <cellStyle name="Followed Hyperlink 4" xfId="2228" hidden="1" xr:uid="{00000000-0005-0000-0000-000070580000}"/>
    <cellStyle name="Followed Hyperlink 4" xfId="2230" hidden="1" xr:uid="{00000000-0005-0000-0000-000071580000}"/>
    <cellStyle name="Followed Hyperlink 4" xfId="2231" hidden="1" xr:uid="{00000000-0005-0000-0000-000072580000}"/>
    <cellStyle name="Followed Hyperlink 4" xfId="2234" hidden="1" xr:uid="{00000000-0005-0000-0000-000073580000}"/>
    <cellStyle name="Followed Hyperlink 4" xfId="2243" hidden="1" xr:uid="{00000000-0005-0000-0000-000074580000}"/>
    <cellStyle name="Followed Hyperlink 4" xfId="2235" hidden="1" xr:uid="{00000000-0005-0000-0000-000075580000}"/>
    <cellStyle name="Followed Hyperlink 4" xfId="2246" hidden="1" xr:uid="{00000000-0005-0000-0000-000076580000}"/>
    <cellStyle name="Followed Hyperlink 4" xfId="2249" hidden="1" xr:uid="{00000000-0005-0000-0000-000077580000}"/>
    <cellStyle name="Followed Hyperlink 4" xfId="2252" hidden="1" xr:uid="{00000000-0005-0000-0000-000078580000}"/>
    <cellStyle name="Followed Hyperlink 4" xfId="2254" hidden="1" xr:uid="{00000000-0005-0000-0000-000079580000}"/>
    <cellStyle name="Followed Hyperlink 4" xfId="2255" hidden="1" xr:uid="{00000000-0005-0000-0000-00007A580000}"/>
    <cellStyle name="Followed Hyperlink 4" xfId="2258" hidden="1" xr:uid="{00000000-0005-0000-0000-00007B580000}"/>
    <cellStyle name="Followed Hyperlink 4" xfId="831" hidden="1" xr:uid="{00000000-0005-0000-0000-00007C580000}"/>
    <cellStyle name="Followed Hyperlink 4" xfId="886" hidden="1" xr:uid="{00000000-0005-0000-0000-00007D580000}"/>
    <cellStyle name="Followed Hyperlink 4" xfId="2259" hidden="1" xr:uid="{00000000-0005-0000-0000-00007E580000}"/>
    <cellStyle name="Followed Hyperlink 4" xfId="2262" hidden="1" xr:uid="{00000000-0005-0000-0000-00007F580000}"/>
    <cellStyle name="Followed Hyperlink 4" xfId="2265" hidden="1" xr:uid="{00000000-0005-0000-0000-000080580000}"/>
    <cellStyle name="Followed Hyperlink 4" xfId="2267" hidden="1" xr:uid="{00000000-0005-0000-0000-000081580000}"/>
    <cellStyle name="Followed Hyperlink 4" xfId="2268" hidden="1" xr:uid="{00000000-0005-0000-0000-000082580000}"/>
    <cellStyle name="Followed Hyperlink 4" xfId="2271" hidden="1" xr:uid="{00000000-0005-0000-0000-000083580000}"/>
    <cellStyle name="Followed Hyperlink 4" xfId="2280" hidden="1" xr:uid="{00000000-0005-0000-0000-000084580000}"/>
    <cellStyle name="Followed Hyperlink 4" xfId="2272" hidden="1" xr:uid="{00000000-0005-0000-0000-000085580000}"/>
    <cellStyle name="Followed Hyperlink 4" xfId="2283" hidden="1" xr:uid="{00000000-0005-0000-0000-000086580000}"/>
    <cellStyle name="Followed Hyperlink 4" xfId="2286" hidden="1" xr:uid="{00000000-0005-0000-0000-000087580000}"/>
    <cellStyle name="Followed Hyperlink 4" xfId="2289" hidden="1" xr:uid="{00000000-0005-0000-0000-000088580000}"/>
    <cellStyle name="Followed Hyperlink 4" xfId="2291" hidden="1" xr:uid="{00000000-0005-0000-0000-000089580000}"/>
    <cellStyle name="Followed Hyperlink 4" xfId="2292" hidden="1" xr:uid="{00000000-0005-0000-0000-00008A580000}"/>
    <cellStyle name="Followed Hyperlink 4" xfId="2295" hidden="1" xr:uid="{00000000-0005-0000-0000-00008B580000}"/>
    <cellStyle name="Followed Hyperlink 4" xfId="2304" hidden="1" xr:uid="{00000000-0005-0000-0000-00008C580000}"/>
    <cellStyle name="Followed Hyperlink 4" xfId="2296" hidden="1" xr:uid="{00000000-0005-0000-0000-00008D580000}"/>
    <cellStyle name="Followed Hyperlink 4" xfId="2307" hidden="1" xr:uid="{00000000-0005-0000-0000-00008E580000}"/>
    <cellStyle name="Followed Hyperlink 4" xfId="2310" hidden="1" xr:uid="{00000000-0005-0000-0000-00008F580000}"/>
    <cellStyle name="Followed Hyperlink 4" xfId="2313" hidden="1" xr:uid="{00000000-0005-0000-0000-000090580000}"/>
    <cellStyle name="Followed Hyperlink 4" xfId="2315" hidden="1" xr:uid="{00000000-0005-0000-0000-000091580000}"/>
    <cellStyle name="Followed Hyperlink 4" xfId="2316" hidden="1" xr:uid="{00000000-0005-0000-0000-000092580000}"/>
    <cellStyle name="Followed Hyperlink 4" xfId="2319" hidden="1" xr:uid="{00000000-0005-0000-0000-000093580000}"/>
    <cellStyle name="Followed Hyperlink 4" xfId="2328" hidden="1" xr:uid="{00000000-0005-0000-0000-000094580000}"/>
    <cellStyle name="Followed Hyperlink 4" xfId="2320" hidden="1" xr:uid="{00000000-0005-0000-0000-000095580000}"/>
    <cellStyle name="Followed Hyperlink 4" xfId="2331" hidden="1" xr:uid="{00000000-0005-0000-0000-000096580000}"/>
    <cellStyle name="Followed Hyperlink 4" xfId="2334" hidden="1" xr:uid="{00000000-0005-0000-0000-000097580000}"/>
    <cellStyle name="Followed Hyperlink 4" xfId="2337" hidden="1" xr:uid="{00000000-0005-0000-0000-000098580000}"/>
    <cellStyle name="Followed Hyperlink 4" xfId="2339" hidden="1" xr:uid="{00000000-0005-0000-0000-000099580000}"/>
    <cellStyle name="Followed Hyperlink 4" xfId="2340" hidden="1" xr:uid="{00000000-0005-0000-0000-00009A580000}"/>
    <cellStyle name="Followed Hyperlink 4" xfId="2343" hidden="1" xr:uid="{00000000-0005-0000-0000-00009B580000}"/>
    <cellStyle name="Followed Hyperlink 4" xfId="2381" hidden="1" xr:uid="{00000000-0005-0000-0000-00009C580000}"/>
    <cellStyle name="Followed Hyperlink 4" xfId="2373" hidden="1" xr:uid="{00000000-0005-0000-0000-00009D580000}"/>
    <cellStyle name="Followed Hyperlink 4" xfId="2384" hidden="1" xr:uid="{00000000-0005-0000-0000-00009E580000}"/>
    <cellStyle name="Followed Hyperlink 4" xfId="2387" hidden="1" xr:uid="{00000000-0005-0000-0000-00009F580000}"/>
    <cellStyle name="Followed Hyperlink 4" xfId="2390" hidden="1" xr:uid="{00000000-0005-0000-0000-0000A0580000}"/>
    <cellStyle name="Followed Hyperlink 4" xfId="2392" hidden="1" xr:uid="{00000000-0005-0000-0000-0000A1580000}"/>
    <cellStyle name="Followed Hyperlink 4" xfId="2393" hidden="1" xr:uid="{00000000-0005-0000-0000-0000A2580000}"/>
    <cellStyle name="Followed Hyperlink 4" xfId="2396" hidden="1" xr:uid="{00000000-0005-0000-0000-0000A3580000}"/>
    <cellStyle name="Followed Hyperlink 4" xfId="2405" hidden="1" xr:uid="{00000000-0005-0000-0000-0000A4580000}"/>
    <cellStyle name="Followed Hyperlink 4" xfId="2397" hidden="1" xr:uid="{00000000-0005-0000-0000-0000A5580000}"/>
    <cellStyle name="Followed Hyperlink 4" xfId="2408" hidden="1" xr:uid="{00000000-0005-0000-0000-0000A6580000}"/>
    <cellStyle name="Followed Hyperlink 4" xfId="2411" hidden="1" xr:uid="{00000000-0005-0000-0000-0000A7580000}"/>
    <cellStyle name="Followed Hyperlink 4" xfId="2414" hidden="1" xr:uid="{00000000-0005-0000-0000-0000A8580000}"/>
    <cellStyle name="Followed Hyperlink 4" xfId="2416" hidden="1" xr:uid="{00000000-0005-0000-0000-0000A9580000}"/>
    <cellStyle name="Followed Hyperlink 4" xfId="2417" hidden="1" xr:uid="{00000000-0005-0000-0000-0000AA580000}"/>
    <cellStyle name="Followed Hyperlink 4" xfId="2420" hidden="1" xr:uid="{00000000-0005-0000-0000-0000AB580000}"/>
    <cellStyle name="Followed Hyperlink 4" xfId="2431" hidden="1" xr:uid="{00000000-0005-0000-0000-0000AC580000}"/>
    <cellStyle name="Followed Hyperlink 4" xfId="2423" hidden="1" xr:uid="{00000000-0005-0000-0000-0000AD580000}"/>
    <cellStyle name="Followed Hyperlink 4" xfId="2434" hidden="1" xr:uid="{00000000-0005-0000-0000-0000AE580000}"/>
    <cellStyle name="Followed Hyperlink 4" xfId="2437" hidden="1" xr:uid="{00000000-0005-0000-0000-0000AF580000}"/>
    <cellStyle name="Followed Hyperlink 4" xfId="2440" hidden="1" xr:uid="{00000000-0005-0000-0000-0000B0580000}"/>
    <cellStyle name="Followed Hyperlink 4" xfId="2442" hidden="1" xr:uid="{00000000-0005-0000-0000-0000B1580000}"/>
    <cellStyle name="Followed Hyperlink 4" xfId="2443" hidden="1" xr:uid="{00000000-0005-0000-0000-0000B2580000}"/>
    <cellStyle name="Followed Hyperlink 4" xfId="2446" hidden="1" xr:uid="{00000000-0005-0000-0000-0000B3580000}"/>
    <cellStyle name="Followed Hyperlink 4" xfId="2455" hidden="1" xr:uid="{00000000-0005-0000-0000-0000B4580000}"/>
    <cellStyle name="Followed Hyperlink 4" xfId="2447" hidden="1" xr:uid="{00000000-0005-0000-0000-0000B5580000}"/>
    <cellStyle name="Followed Hyperlink 4" xfId="2458" hidden="1" xr:uid="{00000000-0005-0000-0000-0000B6580000}"/>
    <cellStyle name="Followed Hyperlink 4" xfId="2461" hidden="1" xr:uid="{00000000-0005-0000-0000-0000B7580000}"/>
    <cellStyle name="Followed Hyperlink 4" xfId="2464" hidden="1" xr:uid="{00000000-0005-0000-0000-0000B8580000}"/>
    <cellStyle name="Followed Hyperlink 4" xfId="2466" hidden="1" xr:uid="{00000000-0005-0000-0000-0000B9580000}"/>
    <cellStyle name="Followed Hyperlink 4" xfId="2467" hidden="1" xr:uid="{00000000-0005-0000-0000-0000BA580000}"/>
    <cellStyle name="Followed Hyperlink 4" xfId="2470" hidden="1" xr:uid="{00000000-0005-0000-0000-0000BB580000}"/>
    <cellStyle name="Followed Hyperlink 4" xfId="2353" hidden="1" xr:uid="{00000000-0005-0000-0000-0000BC580000}"/>
    <cellStyle name="Followed Hyperlink 4" xfId="2347" hidden="1" xr:uid="{00000000-0005-0000-0000-0000BD580000}"/>
    <cellStyle name="Followed Hyperlink 4" xfId="2471" hidden="1" xr:uid="{00000000-0005-0000-0000-0000BE580000}"/>
    <cellStyle name="Followed Hyperlink 4" xfId="2474" hidden="1" xr:uid="{00000000-0005-0000-0000-0000BF580000}"/>
    <cellStyle name="Followed Hyperlink 4" xfId="2477" hidden="1" xr:uid="{00000000-0005-0000-0000-0000C0580000}"/>
    <cellStyle name="Followed Hyperlink 4" xfId="2479" hidden="1" xr:uid="{00000000-0005-0000-0000-0000C1580000}"/>
    <cellStyle name="Followed Hyperlink 4" xfId="2480" hidden="1" xr:uid="{00000000-0005-0000-0000-0000C2580000}"/>
    <cellStyle name="Followed Hyperlink 4" xfId="2483" hidden="1" xr:uid="{00000000-0005-0000-0000-0000C3580000}"/>
    <cellStyle name="Followed Hyperlink 4" xfId="2492" hidden="1" xr:uid="{00000000-0005-0000-0000-0000C4580000}"/>
    <cellStyle name="Followed Hyperlink 4" xfId="2484" hidden="1" xr:uid="{00000000-0005-0000-0000-0000C5580000}"/>
    <cellStyle name="Followed Hyperlink 4" xfId="2495" hidden="1" xr:uid="{00000000-0005-0000-0000-0000C6580000}"/>
    <cellStyle name="Followed Hyperlink 4" xfId="2498" hidden="1" xr:uid="{00000000-0005-0000-0000-0000C7580000}"/>
    <cellStyle name="Followed Hyperlink 4" xfId="2501" hidden="1" xr:uid="{00000000-0005-0000-0000-0000C8580000}"/>
    <cellStyle name="Followed Hyperlink 4" xfId="2503" hidden="1" xr:uid="{00000000-0005-0000-0000-0000C9580000}"/>
    <cellStyle name="Followed Hyperlink 4" xfId="2504" hidden="1" xr:uid="{00000000-0005-0000-0000-0000CA580000}"/>
    <cellStyle name="Followed Hyperlink 4" xfId="2507" hidden="1" xr:uid="{00000000-0005-0000-0000-0000CB580000}"/>
    <cellStyle name="Followed Hyperlink 4" xfId="2517" hidden="1" xr:uid="{00000000-0005-0000-0000-0000CC580000}"/>
    <cellStyle name="Followed Hyperlink 4" xfId="2509" hidden="1" xr:uid="{00000000-0005-0000-0000-0000CD580000}"/>
    <cellStyle name="Followed Hyperlink 4" xfId="2520" hidden="1" xr:uid="{00000000-0005-0000-0000-0000CE580000}"/>
    <cellStyle name="Followed Hyperlink 4" xfId="2523" hidden="1" xr:uid="{00000000-0005-0000-0000-0000CF580000}"/>
    <cellStyle name="Followed Hyperlink 4" xfId="2526" hidden="1" xr:uid="{00000000-0005-0000-0000-0000D0580000}"/>
    <cellStyle name="Followed Hyperlink 4" xfId="2528" hidden="1" xr:uid="{00000000-0005-0000-0000-0000D1580000}"/>
    <cellStyle name="Followed Hyperlink 4" xfId="2529" hidden="1" xr:uid="{00000000-0005-0000-0000-0000D2580000}"/>
    <cellStyle name="Followed Hyperlink 4" xfId="2532" hidden="1" xr:uid="{00000000-0005-0000-0000-0000D3580000}"/>
    <cellStyle name="Followed Hyperlink 4" xfId="2541" hidden="1" xr:uid="{00000000-0005-0000-0000-0000D4580000}"/>
    <cellStyle name="Followed Hyperlink 4" xfId="2533" hidden="1" xr:uid="{00000000-0005-0000-0000-0000D5580000}"/>
    <cellStyle name="Followed Hyperlink 4" xfId="2544" hidden="1" xr:uid="{00000000-0005-0000-0000-0000D6580000}"/>
    <cellStyle name="Followed Hyperlink 4" xfId="2547" hidden="1" xr:uid="{00000000-0005-0000-0000-0000D7580000}"/>
    <cellStyle name="Followed Hyperlink 4" xfId="2550" hidden="1" xr:uid="{00000000-0005-0000-0000-0000D8580000}"/>
    <cellStyle name="Followed Hyperlink 4" xfId="2552" hidden="1" xr:uid="{00000000-0005-0000-0000-0000D9580000}"/>
    <cellStyle name="Followed Hyperlink 4" xfId="2553" hidden="1" xr:uid="{00000000-0005-0000-0000-0000DA580000}"/>
    <cellStyle name="Followed Hyperlink 4" xfId="2556" hidden="1" xr:uid="{00000000-0005-0000-0000-0000DB580000}"/>
    <cellStyle name="Followed Hyperlink 4" xfId="2357" hidden="1" xr:uid="{00000000-0005-0000-0000-0000DC580000}"/>
    <cellStyle name="Followed Hyperlink 4" xfId="2363" hidden="1" xr:uid="{00000000-0005-0000-0000-0000DD580000}"/>
    <cellStyle name="Followed Hyperlink 4" xfId="2557" hidden="1" xr:uid="{00000000-0005-0000-0000-0000DE580000}"/>
    <cellStyle name="Followed Hyperlink 4" xfId="2560" hidden="1" xr:uid="{00000000-0005-0000-0000-0000DF580000}"/>
    <cellStyle name="Followed Hyperlink 4" xfId="2563" hidden="1" xr:uid="{00000000-0005-0000-0000-0000E0580000}"/>
    <cellStyle name="Followed Hyperlink 4" xfId="2565" hidden="1" xr:uid="{00000000-0005-0000-0000-0000E1580000}"/>
    <cellStyle name="Followed Hyperlink 4" xfId="2566" hidden="1" xr:uid="{00000000-0005-0000-0000-0000E2580000}"/>
    <cellStyle name="Followed Hyperlink 4" xfId="2569" hidden="1" xr:uid="{00000000-0005-0000-0000-0000E3580000}"/>
    <cellStyle name="Followed Hyperlink 4" xfId="2578" hidden="1" xr:uid="{00000000-0005-0000-0000-0000E4580000}"/>
    <cellStyle name="Followed Hyperlink 4" xfId="2570" hidden="1" xr:uid="{00000000-0005-0000-0000-0000E5580000}"/>
    <cellStyle name="Followed Hyperlink 4" xfId="2581" hidden="1" xr:uid="{00000000-0005-0000-0000-0000E6580000}"/>
    <cellStyle name="Followed Hyperlink 4" xfId="2584" hidden="1" xr:uid="{00000000-0005-0000-0000-0000E7580000}"/>
    <cellStyle name="Followed Hyperlink 4" xfId="2587" hidden="1" xr:uid="{00000000-0005-0000-0000-0000E8580000}"/>
    <cellStyle name="Followed Hyperlink 4" xfId="2589" hidden="1" xr:uid="{00000000-0005-0000-0000-0000E9580000}"/>
    <cellStyle name="Followed Hyperlink 4" xfId="2590" hidden="1" xr:uid="{00000000-0005-0000-0000-0000EA580000}"/>
    <cellStyle name="Followed Hyperlink 4" xfId="2593" hidden="1" xr:uid="{00000000-0005-0000-0000-0000EB580000}"/>
    <cellStyle name="Followed Hyperlink 4" xfId="2603" hidden="1" xr:uid="{00000000-0005-0000-0000-0000EC580000}"/>
    <cellStyle name="Followed Hyperlink 4" xfId="2595" hidden="1" xr:uid="{00000000-0005-0000-0000-0000ED580000}"/>
    <cellStyle name="Followed Hyperlink 4" xfId="2606" hidden="1" xr:uid="{00000000-0005-0000-0000-0000EE580000}"/>
    <cellStyle name="Followed Hyperlink 4" xfId="2609" hidden="1" xr:uid="{00000000-0005-0000-0000-0000EF580000}"/>
    <cellStyle name="Followed Hyperlink 4" xfId="2612" hidden="1" xr:uid="{00000000-0005-0000-0000-0000F0580000}"/>
    <cellStyle name="Followed Hyperlink 4" xfId="2614" hidden="1" xr:uid="{00000000-0005-0000-0000-0000F1580000}"/>
    <cellStyle name="Followed Hyperlink 4" xfId="2615" hidden="1" xr:uid="{00000000-0005-0000-0000-0000F2580000}"/>
    <cellStyle name="Followed Hyperlink 4" xfId="2618" hidden="1" xr:uid="{00000000-0005-0000-0000-0000F3580000}"/>
    <cellStyle name="Followed Hyperlink 4" xfId="2627" hidden="1" xr:uid="{00000000-0005-0000-0000-0000F4580000}"/>
    <cellStyle name="Followed Hyperlink 4" xfId="2619" hidden="1" xr:uid="{00000000-0005-0000-0000-0000F5580000}"/>
    <cellStyle name="Followed Hyperlink 4" xfId="2630" hidden="1" xr:uid="{00000000-0005-0000-0000-0000F6580000}"/>
    <cellStyle name="Followed Hyperlink 4" xfId="2633" hidden="1" xr:uid="{00000000-0005-0000-0000-0000F7580000}"/>
    <cellStyle name="Followed Hyperlink 4" xfId="2636" hidden="1" xr:uid="{00000000-0005-0000-0000-0000F8580000}"/>
    <cellStyle name="Followed Hyperlink 4" xfId="2638" hidden="1" xr:uid="{00000000-0005-0000-0000-0000F9580000}"/>
    <cellStyle name="Followed Hyperlink 4" xfId="2639" hidden="1" xr:uid="{00000000-0005-0000-0000-0000FA580000}"/>
    <cellStyle name="Followed Hyperlink 4" xfId="2642" hidden="1" xr:uid="{00000000-0005-0000-0000-0000FB580000}"/>
    <cellStyle name="Followed Hyperlink 4" xfId="2367" hidden="1" xr:uid="{00000000-0005-0000-0000-0000FC580000}"/>
    <cellStyle name="Followed Hyperlink 4" xfId="2422" hidden="1" xr:uid="{00000000-0005-0000-0000-0000FD580000}"/>
    <cellStyle name="Followed Hyperlink 4" xfId="2643" hidden="1" xr:uid="{00000000-0005-0000-0000-0000FE580000}"/>
    <cellStyle name="Followed Hyperlink 4" xfId="2646" hidden="1" xr:uid="{00000000-0005-0000-0000-0000FF580000}"/>
    <cellStyle name="Followed Hyperlink 4" xfId="2649" hidden="1" xr:uid="{00000000-0005-0000-0000-000000590000}"/>
    <cellStyle name="Followed Hyperlink 4" xfId="2651" hidden="1" xr:uid="{00000000-0005-0000-0000-000001590000}"/>
    <cellStyle name="Followed Hyperlink 4" xfId="2652" hidden="1" xr:uid="{00000000-0005-0000-0000-000002590000}"/>
    <cellStyle name="Followed Hyperlink 4" xfId="2655" hidden="1" xr:uid="{00000000-0005-0000-0000-000003590000}"/>
    <cellStyle name="Followed Hyperlink 4" xfId="2664" hidden="1" xr:uid="{00000000-0005-0000-0000-000004590000}"/>
    <cellStyle name="Followed Hyperlink 4" xfId="2656" hidden="1" xr:uid="{00000000-0005-0000-0000-000005590000}"/>
    <cellStyle name="Followed Hyperlink 4" xfId="2667" hidden="1" xr:uid="{00000000-0005-0000-0000-000006590000}"/>
    <cellStyle name="Followed Hyperlink 4" xfId="2670" hidden="1" xr:uid="{00000000-0005-0000-0000-000007590000}"/>
    <cellStyle name="Followed Hyperlink 4" xfId="2673" hidden="1" xr:uid="{00000000-0005-0000-0000-000008590000}"/>
    <cellStyle name="Followed Hyperlink 4" xfId="2675" hidden="1" xr:uid="{00000000-0005-0000-0000-000009590000}"/>
    <cellStyle name="Followed Hyperlink 4" xfId="2676" hidden="1" xr:uid="{00000000-0005-0000-0000-00000A590000}"/>
    <cellStyle name="Followed Hyperlink 4" xfId="2679" hidden="1" xr:uid="{00000000-0005-0000-0000-00000B590000}"/>
    <cellStyle name="Followed Hyperlink 4" xfId="2688" hidden="1" xr:uid="{00000000-0005-0000-0000-00000C590000}"/>
    <cellStyle name="Followed Hyperlink 4" xfId="2680" hidden="1" xr:uid="{00000000-0005-0000-0000-00000D590000}"/>
    <cellStyle name="Followed Hyperlink 4" xfId="2691" hidden="1" xr:uid="{00000000-0005-0000-0000-00000E590000}"/>
    <cellStyle name="Followed Hyperlink 4" xfId="2694" hidden="1" xr:uid="{00000000-0005-0000-0000-00000F590000}"/>
    <cellStyle name="Followed Hyperlink 4" xfId="2697" hidden="1" xr:uid="{00000000-0005-0000-0000-000010590000}"/>
    <cellStyle name="Followed Hyperlink 4" xfId="2699" hidden="1" xr:uid="{00000000-0005-0000-0000-000011590000}"/>
    <cellStyle name="Followed Hyperlink 4" xfId="2700" hidden="1" xr:uid="{00000000-0005-0000-0000-000012590000}"/>
    <cellStyle name="Followed Hyperlink 4" xfId="2703" hidden="1" xr:uid="{00000000-0005-0000-0000-000013590000}"/>
    <cellStyle name="Followed Hyperlink 4" xfId="2712" hidden="1" xr:uid="{00000000-0005-0000-0000-000014590000}"/>
    <cellStyle name="Followed Hyperlink 4" xfId="2704" hidden="1" xr:uid="{00000000-0005-0000-0000-000015590000}"/>
    <cellStyle name="Followed Hyperlink 4" xfId="2715" hidden="1" xr:uid="{00000000-0005-0000-0000-000016590000}"/>
    <cellStyle name="Followed Hyperlink 4" xfId="2718" hidden="1" xr:uid="{00000000-0005-0000-0000-000017590000}"/>
    <cellStyle name="Followed Hyperlink 4" xfId="2721" hidden="1" xr:uid="{00000000-0005-0000-0000-000018590000}"/>
    <cellStyle name="Followed Hyperlink 4" xfId="2723" hidden="1" xr:uid="{00000000-0005-0000-0000-000019590000}"/>
    <cellStyle name="Followed Hyperlink 4" xfId="2724" hidden="1" xr:uid="{00000000-0005-0000-0000-00001A590000}"/>
    <cellStyle name="Followed Hyperlink 4" xfId="2727" hidden="1" xr:uid="{00000000-0005-0000-0000-00001B590000}"/>
    <cellStyle name="Followed Hyperlink 4" xfId="690" hidden="1" xr:uid="{00000000-0005-0000-0000-00001C590000}"/>
    <cellStyle name="Followed Hyperlink 4" xfId="684" hidden="1" xr:uid="{00000000-0005-0000-0000-00001D590000}"/>
    <cellStyle name="Followed Hyperlink 4" xfId="2728" hidden="1" xr:uid="{00000000-0005-0000-0000-00001E590000}"/>
    <cellStyle name="Followed Hyperlink 4" xfId="2731" hidden="1" xr:uid="{00000000-0005-0000-0000-00001F590000}"/>
    <cellStyle name="Followed Hyperlink 4" xfId="2734" hidden="1" xr:uid="{00000000-0005-0000-0000-000020590000}"/>
    <cellStyle name="Followed Hyperlink 4" xfId="2736" hidden="1" xr:uid="{00000000-0005-0000-0000-000021590000}"/>
    <cellStyle name="Followed Hyperlink 4" xfId="2737" hidden="1" xr:uid="{00000000-0005-0000-0000-000022590000}"/>
    <cellStyle name="Followed Hyperlink 4" xfId="2740" hidden="1" xr:uid="{00000000-0005-0000-0000-000023590000}"/>
    <cellStyle name="Followed Hyperlink 4" xfId="2749" hidden="1" xr:uid="{00000000-0005-0000-0000-000024590000}"/>
    <cellStyle name="Followed Hyperlink 4" xfId="2741" hidden="1" xr:uid="{00000000-0005-0000-0000-000025590000}"/>
    <cellStyle name="Followed Hyperlink 4" xfId="2752" hidden="1" xr:uid="{00000000-0005-0000-0000-000026590000}"/>
    <cellStyle name="Followed Hyperlink 4" xfId="2755" hidden="1" xr:uid="{00000000-0005-0000-0000-000027590000}"/>
    <cellStyle name="Followed Hyperlink 4" xfId="2758" hidden="1" xr:uid="{00000000-0005-0000-0000-000028590000}"/>
    <cellStyle name="Followed Hyperlink 4" xfId="2760" hidden="1" xr:uid="{00000000-0005-0000-0000-000029590000}"/>
    <cellStyle name="Followed Hyperlink 4" xfId="2761" hidden="1" xr:uid="{00000000-0005-0000-0000-00002A590000}"/>
    <cellStyle name="Followed Hyperlink 4" xfId="2764" hidden="1" xr:uid="{00000000-0005-0000-0000-00002B590000}"/>
    <cellStyle name="Followed Hyperlink 4" xfId="2774" hidden="1" xr:uid="{00000000-0005-0000-0000-00002C590000}"/>
    <cellStyle name="Followed Hyperlink 4" xfId="2766" hidden="1" xr:uid="{00000000-0005-0000-0000-00002D590000}"/>
    <cellStyle name="Followed Hyperlink 4" xfId="2777" hidden="1" xr:uid="{00000000-0005-0000-0000-00002E590000}"/>
    <cellStyle name="Followed Hyperlink 4" xfId="2780" hidden="1" xr:uid="{00000000-0005-0000-0000-00002F590000}"/>
    <cellStyle name="Followed Hyperlink 4" xfId="2783" hidden="1" xr:uid="{00000000-0005-0000-0000-000030590000}"/>
    <cellStyle name="Followed Hyperlink 4" xfId="2785" hidden="1" xr:uid="{00000000-0005-0000-0000-000031590000}"/>
    <cellStyle name="Followed Hyperlink 4" xfId="2786" hidden="1" xr:uid="{00000000-0005-0000-0000-000032590000}"/>
    <cellStyle name="Followed Hyperlink 4" xfId="2789" hidden="1" xr:uid="{00000000-0005-0000-0000-000033590000}"/>
    <cellStyle name="Followed Hyperlink 4" xfId="2798" hidden="1" xr:uid="{00000000-0005-0000-0000-000034590000}"/>
    <cellStyle name="Followed Hyperlink 4" xfId="2790" hidden="1" xr:uid="{00000000-0005-0000-0000-000035590000}"/>
    <cellStyle name="Followed Hyperlink 4" xfId="2801" hidden="1" xr:uid="{00000000-0005-0000-0000-000036590000}"/>
    <cellStyle name="Followed Hyperlink 4" xfId="2804" hidden="1" xr:uid="{00000000-0005-0000-0000-000037590000}"/>
    <cellStyle name="Followed Hyperlink 4" xfId="2807" hidden="1" xr:uid="{00000000-0005-0000-0000-000038590000}"/>
    <cellStyle name="Followed Hyperlink 4" xfId="2809" hidden="1" xr:uid="{00000000-0005-0000-0000-000039590000}"/>
    <cellStyle name="Followed Hyperlink 4" xfId="2810" hidden="1" xr:uid="{00000000-0005-0000-0000-00003A590000}"/>
    <cellStyle name="Followed Hyperlink 4" xfId="2813" hidden="1" xr:uid="{00000000-0005-0000-0000-00003B590000}"/>
    <cellStyle name="Followed Hyperlink 4" xfId="2851" hidden="1" xr:uid="{00000000-0005-0000-0000-00003C590000}"/>
    <cellStyle name="Followed Hyperlink 4" xfId="2843" hidden="1" xr:uid="{00000000-0005-0000-0000-00003D590000}"/>
    <cellStyle name="Followed Hyperlink 4" xfId="2854" hidden="1" xr:uid="{00000000-0005-0000-0000-00003E590000}"/>
    <cellStyle name="Followed Hyperlink 4" xfId="2857" hidden="1" xr:uid="{00000000-0005-0000-0000-00003F590000}"/>
    <cellStyle name="Followed Hyperlink 4" xfId="2860" hidden="1" xr:uid="{00000000-0005-0000-0000-000040590000}"/>
    <cellStyle name="Followed Hyperlink 4" xfId="2862" hidden="1" xr:uid="{00000000-0005-0000-0000-000041590000}"/>
    <cellStyle name="Followed Hyperlink 4" xfId="2863" hidden="1" xr:uid="{00000000-0005-0000-0000-000042590000}"/>
    <cellStyle name="Followed Hyperlink 4" xfId="2866" hidden="1" xr:uid="{00000000-0005-0000-0000-000043590000}"/>
    <cellStyle name="Followed Hyperlink 4" xfId="2875" hidden="1" xr:uid="{00000000-0005-0000-0000-000044590000}"/>
    <cellStyle name="Followed Hyperlink 4" xfId="2867" hidden="1" xr:uid="{00000000-0005-0000-0000-000045590000}"/>
    <cellStyle name="Followed Hyperlink 4" xfId="2878" hidden="1" xr:uid="{00000000-0005-0000-0000-000046590000}"/>
    <cellStyle name="Followed Hyperlink 4" xfId="2881" hidden="1" xr:uid="{00000000-0005-0000-0000-000047590000}"/>
    <cellStyle name="Followed Hyperlink 4" xfId="2884" hidden="1" xr:uid="{00000000-0005-0000-0000-000048590000}"/>
    <cellStyle name="Followed Hyperlink 4" xfId="2886" hidden="1" xr:uid="{00000000-0005-0000-0000-000049590000}"/>
    <cellStyle name="Followed Hyperlink 4" xfId="2887" hidden="1" xr:uid="{00000000-0005-0000-0000-00004A590000}"/>
    <cellStyle name="Followed Hyperlink 4" xfId="2890" hidden="1" xr:uid="{00000000-0005-0000-0000-00004B590000}"/>
    <cellStyle name="Followed Hyperlink 4" xfId="2901" hidden="1" xr:uid="{00000000-0005-0000-0000-00004C590000}"/>
    <cellStyle name="Followed Hyperlink 4" xfId="2893" hidden="1" xr:uid="{00000000-0005-0000-0000-00004D590000}"/>
    <cellStyle name="Followed Hyperlink 4" xfId="2904" hidden="1" xr:uid="{00000000-0005-0000-0000-00004E590000}"/>
    <cellStyle name="Followed Hyperlink 4" xfId="2907" hidden="1" xr:uid="{00000000-0005-0000-0000-00004F590000}"/>
    <cellStyle name="Followed Hyperlink 4" xfId="2910" hidden="1" xr:uid="{00000000-0005-0000-0000-000050590000}"/>
    <cellStyle name="Followed Hyperlink 4" xfId="2912" hidden="1" xr:uid="{00000000-0005-0000-0000-000051590000}"/>
    <cellStyle name="Followed Hyperlink 4" xfId="2913" hidden="1" xr:uid="{00000000-0005-0000-0000-000052590000}"/>
    <cellStyle name="Followed Hyperlink 4" xfId="2916" hidden="1" xr:uid="{00000000-0005-0000-0000-000053590000}"/>
    <cellStyle name="Followed Hyperlink 4" xfId="2925" hidden="1" xr:uid="{00000000-0005-0000-0000-000054590000}"/>
    <cellStyle name="Followed Hyperlink 4" xfId="2917" hidden="1" xr:uid="{00000000-0005-0000-0000-000055590000}"/>
    <cellStyle name="Followed Hyperlink 4" xfId="2928" hidden="1" xr:uid="{00000000-0005-0000-0000-000056590000}"/>
    <cellStyle name="Followed Hyperlink 4" xfId="2931" hidden="1" xr:uid="{00000000-0005-0000-0000-000057590000}"/>
    <cellStyle name="Followed Hyperlink 4" xfId="2934" hidden="1" xr:uid="{00000000-0005-0000-0000-000058590000}"/>
    <cellStyle name="Followed Hyperlink 4" xfId="2936" hidden="1" xr:uid="{00000000-0005-0000-0000-000059590000}"/>
    <cellStyle name="Followed Hyperlink 4" xfId="2937" hidden="1" xr:uid="{00000000-0005-0000-0000-00005A590000}"/>
    <cellStyle name="Followed Hyperlink 4" xfId="2940" hidden="1" xr:uid="{00000000-0005-0000-0000-00005B590000}"/>
    <cellStyle name="Followed Hyperlink 4" xfId="2978" hidden="1" xr:uid="{00000000-0005-0000-0000-00005C590000}"/>
    <cellStyle name="Followed Hyperlink 4" xfId="2970" hidden="1" xr:uid="{00000000-0005-0000-0000-00005D590000}"/>
    <cellStyle name="Followed Hyperlink 4" xfId="2981" hidden="1" xr:uid="{00000000-0005-0000-0000-00005E590000}"/>
    <cellStyle name="Followed Hyperlink 4" xfId="2984" hidden="1" xr:uid="{00000000-0005-0000-0000-00005F590000}"/>
    <cellStyle name="Followed Hyperlink 4" xfId="2987" hidden="1" xr:uid="{00000000-0005-0000-0000-000060590000}"/>
    <cellStyle name="Followed Hyperlink 4" xfId="2989" hidden="1" xr:uid="{00000000-0005-0000-0000-000061590000}"/>
    <cellStyle name="Followed Hyperlink 4" xfId="2990" hidden="1" xr:uid="{00000000-0005-0000-0000-000062590000}"/>
    <cellStyle name="Followed Hyperlink 4" xfId="2993" hidden="1" xr:uid="{00000000-0005-0000-0000-000063590000}"/>
    <cellStyle name="Followed Hyperlink 4" xfId="3002" hidden="1" xr:uid="{00000000-0005-0000-0000-000064590000}"/>
    <cellStyle name="Followed Hyperlink 4" xfId="2994" hidden="1" xr:uid="{00000000-0005-0000-0000-000065590000}"/>
    <cellStyle name="Followed Hyperlink 4" xfId="3005" hidden="1" xr:uid="{00000000-0005-0000-0000-000066590000}"/>
    <cellStyle name="Followed Hyperlink 4" xfId="3008" hidden="1" xr:uid="{00000000-0005-0000-0000-000067590000}"/>
    <cellStyle name="Followed Hyperlink 4" xfId="3011" hidden="1" xr:uid="{00000000-0005-0000-0000-000068590000}"/>
    <cellStyle name="Followed Hyperlink 4" xfId="3013" hidden="1" xr:uid="{00000000-0005-0000-0000-000069590000}"/>
    <cellStyle name="Followed Hyperlink 4" xfId="3014" hidden="1" xr:uid="{00000000-0005-0000-0000-00006A590000}"/>
    <cellStyle name="Followed Hyperlink 4" xfId="3017" hidden="1" xr:uid="{00000000-0005-0000-0000-00006B590000}"/>
    <cellStyle name="Followed Hyperlink 4" xfId="3028" hidden="1" xr:uid="{00000000-0005-0000-0000-00006C590000}"/>
    <cellStyle name="Followed Hyperlink 4" xfId="3020" hidden="1" xr:uid="{00000000-0005-0000-0000-00006D590000}"/>
    <cellStyle name="Followed Hyperlink 4" xfId="3031" hidden="1" xr:uid="{00000000-0005-0000-0000-00006E590000}"/>
    <cellStyle name="Followed Hyperlink 4" xfId="3034" hidden="1" xr:uid="{00000000-0005-0000-0000-00006F590000}"/>
    <cellStyle name="Followed Hyperlink 4" xfId="3037" hidden="1" xr:uid="{00000000-0005-0000-0000-000070590000}"/>
    <cellStyle name="Followed Hyperlink 4" xfId="3039" hidden="1" xr:uid="{00000000-0005-0000-0000-000071590000}"/>
    <cellStyle name="Followed Hyperlink 4" xfId="3040" hidden="1" xr:uid="{00000000-0005-0000-0000-000072590000}"/>
    <cellStyle name="Followed Hyperlink 4" xfId="3043" hidden="1" xr:uid="{00000000-0005-0000-0000-000073590000}"/>
    <cellStyle name="Followed Hyperlink 4" xfId="3052" hidden="1" xr:uid="{00000000-0005-0000-0000-000074590000}"/>
    <cellStyle name="Followed Hyperlink 4" xfId="3044" hidden="1" xr:uid="{00000000-0005-0000-0000-000075590000}"/>
    <cellStyle name="Followed Hyperlink 4" xfId="3055" hidden="1" xr:uid="{00000000-0005-0000-0000-000076590000}"/>
    <cellStyle name="Followed Hyperlink 4" xfId="3058" hidden="1" xr:uid="{00000000-0005-0000-0000-000077590000}"/>
    <cellStyle name="Followed Hyperlink 4" xfId="3061" hidden="1" xr:uid="{00000000-0005-0000-0000-000078590000}"/>
    <cellStyle name="Followed Hyperlink 4" xfId="3063" hidden="1" xr:uid="{00000000-0005-0000-0000-000079590000}"/>
    <cellStyle name="Followed Hyperlink 4" xfId="3064" hidden="1" xr:uid="{00000000-0005-0000-0000-00007A590000}"/>
    <cellStyle name="Followed Hyperlink 4" xfId="3067" hidden="1" xr:uid="{00000000-0005-0000-0000-00007B590000}"/>
    <cellStyle name="Followed Hyperlink 4" xfId="2950" hidden="1" xr:uid="{00000000-0005-0000-0000-00007C590000}"/>
    <cellStyle name="Followed Hyperlink 4" xfId="2944" hidden="1" xr:uid="{00000000-0005-0000-0000-00007D590000}"/>
    <cellStyle name="Followed Hyperlink 4" xfId="3068" hidden="1" xr:uid="{00000000-0005-0000-0000-00007E590000}"/>
    <cellStyle name="Followed Hyperlink 4" xfId="3071" hidden="1" xr:uid="{00000000-0005-0000-0000-00007F590000}"/>
    <cellStyle name="Followed Hyperlink 4" xfId="3074" hidden="1" xr:uid="{00000000-0005-0000-0000-000080590000}"/>
    <cellStyle name="Followed Hyperlink 4" xfId="3076" hidden="1" xr:uid="{00000000-0005-0000-0000-000081590000}"/>
    <cellStyle name="Followed Hyperlink 4" xfId="3077" hidden="1" xr:uid="{00000000-0005-0000-0000-000082590000}"/>
    <cellStyle name="Followed Hyperlink 4" xfId="3080" hidden="1" xr:uid="{00000000-0005-0000-0000-000083590000}"/>
    <cellStyle name="Followed Hyperlink 4" xfId="3089" hidden="1" xr:uid="{00000000-0005-0000-0000-000084590000}"/>
    <cellStyle name="Followed Hyperlink 4" xfId="3081" hidden="1" xr:uid="{00000000-0005-0000-0000-000085590000}"/>
    <cellStyle name="Followed Hyperlink 4" xfId="3092" hidden="1" xr:uid="{00000000-0005-0000-0000-000086590000}"/>
    <cellStyle name="Followed Hyperlink 4" xfId="3095" hidden="1" xr:uid="{00000000-0005-0000-0000-000087590000}"/>
    <cellStyle name="Followed Hyperlink 4" xfId="3098" hidden="1" xr:uid="{00000000-0005-0000-0000-000088590000}"/>
    <cellStyle name="Followed Hyperlink 4" xfId="3100" hidden="1" xr:uid="{00000000-0005-0000-0000-000089590000}"/>
    <cellStyle name="Followed Hyperlink 4" xfId="3101" hidden="1" xr:uid="{00000000-0005-0000-0000-00008A590000}"/>
    <cellStyle name="Followed Hyperlink 4" xfId="3104" hidden="1" xr:uid="{00000000-0005-0000-0000-00008B590000}"/>
    <cellStyle name="Followed Hyperlink 4" xfId="3114" hidden="1" xr:uid="{00000000-0005-0000-0000-00008C590000}"/>
    <cellStyle name="Followed Hyperlink 4" xfId="3106" hidden="1" xr:uid="{00000000-0005-0000-0000-00008D590000}"/>
    <cellStyle name="Followed Hyperlink 4" xfId="3117" hidden="1" xr:uid="{00000000-0005-0000-0000-00008E590000}"/>
    <cellStyle name="Followed Hyperlink 4" xfId="3120" hidden="1" xr:uid="{00000000-0005-0000-0000-00008F590000}"/>
    <cellStyle name="Followed Hyperlink 4" xfId="3123" hidden="1" xr:uid="{00000000-0005-0000-0000-000090590000}"/>
    <cellStyle name="Followed Hyperlink 4" xfId="3125" hidden="1" xr:uid="{00000000-0005-0000-0000-000091590000}"/>
    <cellStyle name="Followed Hyperlink 4" xfId="3126" hidden="1" xr:uid="{00000000-0005-0000-0000-000092590000}"/>
    <cellStyle name="Followed Hyperlink 4" xfId="3129" hidden="1" xr:uid="{00000000-0005-0000-0000-000093590000}"/>
    <cellStyle name="Followed Hyperlink 4" xfId="3138" hidden="1" xr:uid="{00000000-0005-0000-0000-000094590000}"/>
    <cellStyle name="Followed Hyperlink 4" xfId="3130" hidden="1" xr:uid="{00000000-0005-0000-0000-000095590000}"/>
    <cellStyle name="Followed Hyperlink 4" xfId="3141" hidden="1" xr:uid="{00000000-0005-0000-0000-000096590000}"/>
    <cellStyle name="Followed Hyperlink 4" xfId="3144" hidden="1" xr:uid="{00000000-0005-0000-0000-000097590000}"/>
    <cellStyle name="Followed Hyperlink 4" xfId="3147" hidden="1" xr:uid="{00000000-0005-0000-0000-000098590000}"/>
    <cellStyle name="Followed Hyperlink 4" xfId="3149" hidden="1" xr:uid="{00000000-0005-0000-0000-000099590000}"/>
    <cellStyle name="Followed Hyperlink 4" xfId="3150" hidden="1" xr:uid="{00000000-0005-0000-0000-00009A590000}"/>
    <cellStyle name="Followed Hyperlink 4" xfId="3153" hidden="1" xr:uid="{00000000-0005-0000-0000-00009B590000}"/>
    <cellStyle name="Followed Hyperlink 4" xfId="2954" hidden="1" xr:uid="{00000000-0005-0000-0000-00009C590000}"/>
    <cellStyle name="Followed Hyperlink 4" xfId="2960" hidden="1" xr:uid="{00000000-0005-0000-0000-00009D590000}"/>
    <cellStyle name="Followed Hyperlink 4" xfId="3154" hidden="1" xr:uid="{00000000-0005-0000-0000-00009E590000}"/>
    <cellStyle name="Followed Hyperlink 4" xfId="3157" hidden="1" xr:uid="{00000000-0005-0000-0000-00009F590000}"/>
    <cellStyle name="Followed Hyperlink 4" xfId="3160" hidden="1" xr:uid="{00000000-0005-0000-0000-0000A0590000}"/>
    <cellStyle name="Followed Hyperlink 4" xfId="3162" hidden="1" xr:uid="{00000000-0005-0000-0000-0000A1590000}"/>
    <cellStyle name="Followed Hyperlink 4" xfId="3163" hidden="1" xr:uid="{00000000-0005-0000-0000-0000A2590000}"/>
    <cellStyle name="Followed Hyperlink 4" xfId="3166" hidden="1" xr:uid="{00000000-0005-0000-0000-0000A3590000}"/>
    <cellStyle name="Followed Hyperlink 4" xfId="3175" hidden="1" xr:uid="{00000000-0005-0000-0000-0000A4590000}"/>
    <cellStyle name="Followed Hyperlink 4" xfId="3167" hidden="1" xr:uid="{00000000-0005-0000-0000-0000A5590000}"/>
    <cellStyle name="Followed Hyperlink 4" xfId="3178" hidden="1" xr:uid="{00000000-0005-0000-0000-0000A6590000}"/>
    <cellStyle name="Followed Hyperlink 4" xfId="3181" hidden="1" xr:uid="{00000000-0005-0000-0000-0000A7590000}"/>
    <cellStyle name="Followed Hyperlink 4" xfId="3184" hidden="1" xr:uid="{00000000-0005-0000-0000-0000A8590000}"/>
    <cellStyle name="Followed Hyperlink 4" xfId="3186" hidden="1" xr:uid="{00000000-0005-0000-0000-0000A9590000}"/>
    <cellStyle name="Followed Hyperlink 4" xfId="3187" hidden="1" xr:uid="{00000000-0005-0000-0000-0000AA590000}"/>
    <cellStyle name="Followed Hyperlink 4" xfId="3190" hidden="1" xr:uid="{00000000-0005-0000-0000-0000AB590000}"/>
    <cellStyle name="Followed Hyperlink 4" xfId="3200" hidden="1" xr:uid="{00000000-0005-0000-0000-0000AC590000}"/>
    <cellStyle name="Followed Hyperlink 4" xfId="3192" hidden="1" xr:uid="{00000000-0005-0000-0000-0000AD590000}"/>
    <cellStyle name="Followed Hyperlink 4" xfId="3203" hidden="1" xr:uid="{00000000-0005-0000-0000-0000AE590000}"/>
    <cellStyle name="Followed Hyperlink 4" xfId="3206" hidden="1" xr:uid="{00000000-0005-0000-0000-0000AF590000}"/>
    <cellStyle name="Followed Hyperlink 4" xfId="3209" hidden="1" xr:uid="{00000000-0005-0000-0000-0000B0590000}"/>
    <cellStyle name="Followed Hyperlink 4" xfId="3211" hidden="1" xr:uid="{00000000-0005-0000-0000-0000B1590000}"/>
    <cellStyle name="Followed Hyperlink 4" xfId="3212" hidden="1" xr:uid="{00000000-0005-0000-0000-0000B2590000}"/>
    <cellStyle name="Followed Hyperlink 4" xfId="3215" hidden="1" xr:uid="{00000000-0005-0000-0000-0000B3590000}"/>
    <cellStyle name="Followed Hyperlink 4" xfId="3224" hidden="1" xr:uid="{00000000-0005-0000-0000-0000B4590000}"/>
    <cellStyle name="Followed Hyperlink 4" xfId="3216" hidden="1" xr:uid="{00000000-0005-0000-0000-0000B5590000}"/>
    <cellStyle name="Followed Hyperlink 4" xfId="3227" hidden="1" xr:uid="{00000000-0005-0000-0000-0000B6590000}"/>
    <cellStyle name="Followed Hyperlink 4" xfId="3230" hidden="1" xr:uid="{00000000-0005-0000-0000-0000B7590000}"/>
    <cellStyle name="Followed Hyperlink 4" xfId="3233" hidden="1" xr:uid="{00000000-0005-0000-0000-0000B8590000}"/>
    <cellStyle name="Followed Hyperlink 4" xfId="3235" hidden="1" xr:uid="{00000000-0005-0000-0000-0000B9590000}"/>
    <cellStyle name="Followed Hyperlink 4" xfId="3236" hidden="1" xr:uid="{00000000-0005-0000-0000-0000BA590000}"/>
    <cellStyle name="Followed Hyperlink 4" xfId="3239" hidden="1" xr:uid="{00000000-0005-0000-0000-0000BB590000}"/>
    <cellStyle name="Followed Hyperlink 4" xfId="2964" hidden="1" xr:uid="{00000000-0005-0000-0000-0000BC590000}"/>
    <cellStyle name="Followed Hyperlink 4" xfId="3019" hidden="1" xr:uid="{00000000-0005-0000-0000-0000BD590000}"/>
    <cellStyle name="Followed Hyperlink 4" xfId="3240" hidden="1" xr:uid="{00000000-0005-0000-0000-0000BE590000}"/>
    <cellStyle name="Followed Hyperlink 4" xfId="3243" hidden="1" xr:uid="{00000000-0005-0000-0000-0000BF590000}"/>
    <cellStyle name="Followed Hyperlink 4" xfId="3246" hidden="1" xr:uid="{00000000-0005-0000-0000-0000C0590000}"/>
    <cellStyle name="Followed Hyperlink 4" xfId="3248" hidden="1" xr:uid="{00000000-0005-0000-0000-0000C1590000}"/>
    <cellStyle name="Followed Hyperlink 4" xfId="3249" hidden="1" xr:uid="{00000000-0005-0000-0000-0000C2590000}"/>
    <cellStyle name="Followed Hyperlink 4" xfId="3252" hidden="1" xr:uid="{00000000-0005-0000-0000-0000C3590000}"/>
    <cellStyle name="Followed Hyperlink 4" xfId="3261" hidden="1" xr:uid="{00000000-0005-0000-0000-0000C4590000}"/>
    <cellStyle name="Followed Hyperlink 4" xfId="3253" hidden="1" xr:uid="{00000000-0005-0000-0000-0000C5590000}"/>
    <cellStyle name="Followed Hyperlink 4" xfId="3264" hidden="1" xr:uid="{00000000-0005-0000-0000-0000C6590000}"/>
    <cellStyle name="Followed Hyperlink 4" xfId="3267" hidden="1" xr:uid="{00000000-0005-0000-0000-0000C7590000}"/>
    <cellStyle name="Followed Hyperlink 4" xfId="3270" hidden="1" xr:uid="{00000000-0005-0000-0000-0000C8590000}"/>
    <cellStyle name="Followed Hyperlink 4" xfId="3272" hidden="1" xr:uid="{00000000-0005-0000-0000-0000C9590000}"/>
    <cellStyle name="Followed Hyperlink 4" xfId="3273" hidden="1" xr:uid="{00000000-0005-0000-0000-0000CA590000}"/>
    <cellStyle name="Followed Hyperlink 4" xfId="3276" hidden="1" xr:uid="{00000000-0005-0000-0000-0000CB590000}"/>
    <cellStyle name="Followed Hyperlink 4" xfId="3285" hidden="1" xr:uid="{00000000-0005-0000-0000-0000CC590000}"/>
    <cellStyle name="Followed Hyperlink 4" xfId="3277" hidden="1" xr:uid="{00000000-0005-0000-0000-0000CD590000}"/>
    <cellStyle name="Followed Hyperlink 4" xfId="3288" hidden="1" xr:uid="{00000000-0005-0000-0000-0000CE590000}"/>
    <cellStyle name="Followed Hyperlink 4" xfId="3291" hidden="1" xr:uid="{00000000-0005-0000-0000-0000CF590000}"/>
    <cellStyle name="Followed Hyperlink 4" xfId="3294" hidden="1" xr:uid="{00000000-0005-0000-0000-0000D0590000}"/>
    <cellStyle name="Followed Hyperlink 4" xfId="3296" hidden="1" xr:uid="{00000000-0005-0000-0000-0000D1590000}"/>
    <cellStyle name="Followed Hyperlink 4" xfId="3297" hidden="1" xr:uid="{00000000-0005-0000-0000-0000D2590000}"/>
    <cellStyle name="Followed Hyperlink 4" xfId="3300" hidden="1" xr:uid="{00000000-0005-0000-0000-0000D3590000}"/>
    <cellStyle name="Followed Hyperlink 4" xfId="3309" hidden="1" xr:uid="{00000000-0005-0000-0000-0000D4590000}"/>
    <cellStyle name="Followed Hyperlink 4" xfId="3301" hidden="1" xr:uid="{00000000-0005-0000-0000-0000D5590000}"/>
    <cellStyle name="Followed Hyperlink 4" xfId="3312" hidden="1" xr:uid="{00000000-0005-0000-0000-0000D6590000}"/>
    <cellStyle name="Followed Hyperlink 4" xfId="3315" hidden="1" xr:uid="{00000000-0005-0000-0000-0000D7590000}"/>
    <cellStyle name="Followed Hyperlink 4" xfId="3318" hidden="1" xr:uid="{00000000-0005-0000-0000-0000D8590000}"/>
    <cellStyle name="Followed Hyperlink 4" xfId="3320" hidden="1" xr:uid="{00000000-0005-0000-0000-0000D9590000}"/>
    <cellStyle name="Followed Hyperlink 4" xfId="3321" hidden="1" xr:uid="{00000000-0005-0000-0000-0000DA590000}"/>
    <cellStyle name="Followed Hyperlink 4" xfId="3324" hidden="1" xr:uid="{00000000-0005-0000-0000-0000DB590000}"/>
    <cellStyle name="Followed Hyperlink 4" xfId="2823" hidden="1" xr:uid="{00000000-0005-0000-0000-0000DC590000}"/>
    <cellStyle name="Followed Hyperlink 4" xfId="2817" hidden="1" xr:uid="{00000000-0005-0000-0000-0000DD590000}"/>
    <cellStyle name="Followed Hyperlink 4" xfId="3325" hidden="1" xr:uid="{00000000-0005-0000-0000-0000DE590000}"/>
    <cellStyle name="Followed Hyperlink 4" xfId="3328" hidden="1" xr:uid="{00000000-0005-0000-0000-0000DF590000}"/>
    <cellStyle name="Followed Hyperlink 4" xfId="3331" hidden="1" xr:uid="{00000000-0005-0000-0000-0000E0590000}"/>
    <cellStyle name="Followed Hyperlink 4" xfId="3333" hidden="1" xr:uid="{00000000-0005-0000-0000-0000E1590000}"/>
    <cellStyle name="Followed Hyperlink 4" xfId="3334" hidden="1" xr:uid="{00000000-0005-0000-0000-0000E2590000}"/>
    <cellStyle name="Followed Hyperlink 4" xfId="3337" hidden="1" xr:uid="{00000000-0005-0000-0000-0000E3590000}"/>
    <cellStyle name="Followed Hyperlink 4" xfId="3346" hidden="1" xr:uid="{00000000-0005-0000-0000-0000E4590000}"/>
    <cellStyle name="Followed Hyperlink 4" xfId="3338" hidden="1" xr:uid="{00000000-0005-0000-0000-0000E5590000}"/>
    <cellStyle name="Followed Hyperlink 4" xfId="3349" hidden="1" xr:uid="{00000000-0005-0000-0000-0000E6590000}"/>
    <cellStyle name="Followed Hyperlink 4" xfId="3352" hidden="1" xr:uid="{00000000-0005-0000-0000-0000E7590000}"/>
    <cellStyle name="Followed Hyperlink 4" xfId="3355" hidden="1" xr:uid="{00000000-0005-0000-0000-0000E8590000}"/>
    <cellStyle name="Followed Hyperlink 4" xfId="3357" hidden="1" xr:uid="{00000000-0005-0000-0000-0000E9590000}"/>
    <cellStyle name="Followed Hyperlink 4" xfId="3358" hidden="1" xr:uid="{00000000-0005-0000-0000-0000EA590000}"/>
    <cellStyle name="Followed Hyperlink 4" xfId="3361" hidden="1" xr:uid="{00000000-0005-0000-0000-0000EB590000}"/>
    <cellStyle name="Followed Hyperlink 4" xfId="3371" hidden="1" xr:uid="{00000000-0005-0000-0000-0000EC590000}"/>
    <cellStyle name="Followed Hyperlink 4" xfId="3363" hidden="1" xr:uid="{00000000-0005-0000-0000-0000ED590000}"/>
    <cellStyle name="Followed Hyperlink 4" xfId="3374" hidden="1" xr:uid="{00000000-0005-0000-0000-0000EE590000}"/>
    <cellStyle name="Followed Hyperlink 4" xfId="3377" hidden="1" xr:uid="{00000000-0005-0000-0000-0000EF590000}"/>
    <cellStyle name="Followed Hyperlink 4" xfId="3380" hidden="1" xr:uid="{00000000-0005-0000-0000-0000F0590000}"/>
    <cellStyle name="Followed Hyperlink 4" xfId="3382" hidden="1" xr:uid="{00000000-0005-0000-0000-0000F1590000}"/>
    <cellStyle name="Followed Hyperlink 4" xfId="3383" hidden="1" xr:uid="{00000000-0005-0000-0000-0000F2590000}"/>
    <cellStyle name="Followed Hyperlink 4" xfId="3386" hidden="1" xr:uid="{00000000-0005-0000-0000-0000F3590000}"/>
    <cellStyle name="Followed Hyperlink 4" xfId="3395" hidden="1" xr:uid="{00000000-0005-0000-0000-0000F4590000}"/>
    <cellStyle name="Followed Hyperlink 4" xfId="3387" hidden="1" xr:uid="{00000000-0005-0000-0000-0000F5590000}"/>
    <cellStyle name="Followed Hyperlink 4" xfId="3398" hidden="1" xr:uid="{00000000-0005-0000-0000-0000F6590000}"/>
    <cellStyle name="Followed Hyperlink 4" xfId="3401" hidden="1" xr:uid="{00000000-0005-0000-0000-0000F7590000}"/>
    <cellStyle name="Followed Hyperlink 4" xfId="3404" hidden="1" xr:uid="{00000000-0005-0000-0000-0000F8590000}"/>
    <cellStyle name="Followed Hyperlink 4" xfId="3406" hidden="1" xr:uid="{00000000-0005-0000-0000-0000F9590000}"/>
    <cellStyle name="Followed Hyperlink 4" xfId="3407" hidden="1" xr:uid="{00000000-0005-0000-0000-0000FA590000}"/>
    <cellStyle name="Followed Hyperlink 4" xfId="3410" hidden="1" xr:uid="{00000000-0005-0000-0000-0000FB590000}"/>
    <cellStyle name="Followed Hyperlink 4" xfId="3448" hidden="1" xr:uid="{00000000-0005-0000-0000-0000FC590000}"/>
    <cellStyle name="Followed Hyperlink 4" xfId="3440" hidden="1" xr:uid="{00000000-0005-0000-0000-0000FD590000}"/>
    <cellStyle name="Followed Hyperlink 4" xfId="3451" hidden="1" xr:uid="{00000000-0005-0000-0000-0000FE590000}"/>
    <cellStyle name="Followed Hyperlink 4" xfId="3454" hidden="1" xr:uid="{00000000-0005-0000-0000-0000FF590000}"/>
    <cellStyle name="Followed Hyperlink 4" xfId="3457" hidden="1" xr:uid="{00000000-0005-0000-0000-0000005A0000}"/>
    <cellStyle name="Followed Hyperlink 4" xfId="3459" hidden="1" xr:uid="{00000000-0005-0000-0000-0000015A0000}"/>
    <cellStyle name="Followed Hyperlink 4" xfId="3460" hidden="1" xr:uid="{00000000-0005-0000-0000-0000025A0000}"/>
    <cellStyle name="Followed Hyperlink 4" xfId="3463" hidden="1" xr:uid="{00000000-0005-0000-0000-0000035A0000}"/>
    <cellStyle name="Followed Hyperlink 4" xfId="3472" hidden="1" xr:uid="{00000000-0005-0000-0000-0000045A0000}"/>
    <cellStyle name="Followed Hyperlink 4" xfId="3464" hidden="1" xr:uid="{00000000-0005-0000-0000-0000055A0000}"/>
    <cellStyle name="Followed Hyperlink 4" xfId="3475" hidden="1" xr:uid="{00000000-0005-0000-0000-0000065A0000}"/>
    <cellStyle name="Followed Hyperlink 4" xfId="3478" hidden="1" xr:uid="{00000000-0005-0000-0000-0000075A0000}"/>
    <cellStyle name="Followed Hyperlink 4" xfId="3481" hidden="1" xr:uid="{00000000-0005-0000-0000-0000085A0000}"/>
    <cellStyle name="Followed Hyperlink 4" xfId="3483" hidden="1" xr:uid="{00000000-0005-0000-0000-0000095A0000}"/>
    <cellStyle name="Followed Hyperlink 4" xfId="3484" hidden="1" xr:uid="{00000000-0005-0000-0000-00000A5A0000}"/>
    <cellStyle name="Followed Hyperlink 4" xfId="3487" hidden="1" xr:uid="{00000000-0005-0000-0000-00000B5A0000}"/>
    <cellStyle name="Followed Hyperlink 4" xfId="3498" hidden="1" xr:uid="{00000000-0005-0000-0000-00000C5A0000}"/>
    <cellStyle name="Followed Hyperlink 4" xfId="3490" hidden="1" xr:uid="{00000000-0005-0000-0000-00000D5A0000}"/>
    <cellStyle name="Followed Hyperlink 4" xfId="3501" hidden="1" xr:uid="{00000000-0005-0000-0000-00000E5A0000}"/>
    <cellStyle name="Followed Hyperlink 4" xfId="3504" hidden="1" xr:uid="{00000000-0005-0000-0000-00000F5A0000}"/>
    <cellStyle name="Followed Hyperlink 4" xfId="3507" hidden="1" xr:uid="{00000000-0005-0000-0000-0000105A0000}"/>
    <cellStyle name="Followed Hyperlink 4" xfId="3509" hidden="1" xr:uid="{00000000-0005-0000-0000-0000115A0000}"/>
    <cellStyle name="Followed Hyperlink 4" xfId="3510" hidden="1" xr:uid="{00000000-0005-0000-0000-0000125A0000}"/>
    <cellStyle name="Followed Hyperlink 4" xfId="3513" hidden="1" xr:uid="{00000000-0005-0000-0000-0000135A0000}"/>
    <cellStyle name="Followed Hyperlink 4" xfId="3522" hidden="1" xr:uid="{00000000-0005-0000-0000-0000145A0000}"/>
    <cellStyle name="Followed Hyperlink 4" xfId="3514" hidden="1" xr:uid="{00000000-0005-0000-0000-0000155A0000}"/>
    <cellStyle name="Followed Hyperlink 4" xfId="3525" hidden="1" xr:uid="{00000000-0005-0000-0000-0000165A0000}"/>
    <cellStyle name="Followed Hyperlink 4" xfId="3528" hidden="1" xr:uid="{00000000-0005-0000-0000-0000175A0000}"/>
    <cellStyle name="Followed Hyperlink 4" xfId="3531" hidden="1" xr:uid="{00000000-0005-0000-0000-0000185A0000}"/>
    <cellStyle name="Followed Hyperlink 4" xfId="3533" hidden="1" xr:uid="{00000000-0005-0000-0000-0000195A0000}"/>
    <cellStyle name="Followed Hyperlink 4" xfId="3534" hidden="1" xr:uid="{00000000-0005-0000-0000-00001A5A0000}"/>
    <cellStyle name="Followed Hyperlink 4" xfId="3537" hidden="1" xr:uid="{00000000-0005-0000-0000-00001B5A0000}"/>
    <cellStyle name="Followed Hyperlink 4" xfId="3420" hidden="1" xr:uid="{00000000-0005-0000-0000-00001C5A0000}"/>
    <cellStyle name="Followed Hyperlink 4" xfId="3414" hidden="1" xr:uid="{00000000-0005-0000-0000-00001D5A0000}"/>
    <cellStyle name="Followed Hyperlink 4" xfId="3538" hidden="1" xr:uid="{00000000-0005-0000-0000-00001E5A0000}"/>
    <cellStyle name="Followed Hyperlink 4" xfId="3541" hidden="1" xr:uid="{00000000-0005-0000-0000-00001F5A0000}"/>
    <cellStyle name="Followed Hyperlink 4" xfId="3544" hidden="1" xr:uid="{00000000-0005-0000-0000-0000205A0000}"/>
    <cellStyle name="Followed Hyperlink 4" xfId="3546" hidden="1" xr:uid="{00000000-0005-0000-0000-0000215A0000}"/>
    <cellStyle name="Followed Hyperlink 4" xfId="3547" hidden="1" xr:uid="{00000000-0005-0000-0000-0000225A0000}"/>
    <cellStyle name="Followed Hyperlink 4" xfId="3550" hidden="1" xr:uid="{00000000-0005-0000-0000-0000235A0000}"/>
    <cellStyle name="Followed Hyperlink 4" xfId="3559" hidden="1" xr:uid="{00000000-0005-0000-0000-0000245A0000}"/>
    <cellStyle name="Followed Hyperlink 4" xfId="3551" hidden="1" xr:uid="{00000000-0005-0000-0000-0000255A0000}"/>
    <cellStyle name="Followed Hyperlink 4" xfId="3562" hidden="1" xr:uid="{00000000-0005-0000-0000-0000265A0000}"/>
    <cellStyle name="Followed Hyperlink 4" xfId="3565" hidden="1" xr:uid="{00000000-0005-0000-0000-0000275A0000}"/>
    <cellStyle name="Followed Hyperlink 4" xfId="3568" hidden="1" xr:uid="{00000000-0005-0000-0000-0000285A0000}"/>
    <cellStyle name="Followed Hyperlink 4" xfId="3570" hidden="1" xr:uid="{00000000-0005-0000-0000-0000295A0000}"/>
    <cellStyle name="Followed Hyperlink 4" xfId="3571" hidden="1" xr:uid="{00000000-0005-0000-0000-00002A5A0000}"/>
    <cellStyle name="Followed Hyperlink 4" xfId="3574" hidden="1" xr:uid="{00000000-0005-0000-0000-00002B5A0000}"/>
    <cellStyle name="Followed Hyperlink 4" xfId="3584" hidden="1" xr:uid="{00000000-0005-0000-0000-00002C5A0000}"/>
    <cellStyle name="Followed Hyperlink 4" xfId="3576" hidden="1" xr:uid="{00000000-0005-0000-0000-00002D5A0000}"/>
    <cellStyle name="Followed Hyperlink 4" xfId="3587" hidden="1" xr:uid="{00000000-0005-0000-0000-00002E5A0000}"/>
    <cellStyle name="Followed Hyperlink 4" xfId="3590" hidden="1" xr:uid="{00000000-0005-0000-0000-00002F5A0000}"/>
    <cellStyle name="Followed Hyperlink 4" xfId="3593" hidden="1" xr:uid="{00000000-0005-0000-0000-0000305A0000}"/>
    <cellStyle name="Followed Hyperlink 4" xfId="3595" hidden="1" xr:uid="{00000000-0005-0000-0000-0000315A0000}"/>
    <cellStyle name="Followed Hyperlink 4" xfId="3596" hidden="1" xr:uid="{00000000-0005-0000-0000-0000325A0000}"/>
    <cellStyle name="Followed Hyperlink 4" xfId="3599" hidden="1" xr:uid="{00000000-0005-0000-0000-0000335A0000}"/>
    <cellStyle name="Followed Hyperlink 4" xfId="3608" hidden="1" xr:uid="{00000000-0005-0000-0000-0000345A0000}"/>
    <cellStyle name="Followed Hyperlink 4" xfId="3600" hidden="1" xr:uid="{00000000-0005-0000-0000-0000355A0000}"/>
    <cellStyle name="Followed Hyperlink 4" xfId="3611" hidden="1" xr:uid="{00000000-0005-0000-0000-0000365A0000}"/>
    <cellStyle name="Followed Hyperlink 4" xfId="3614" hidden="1" xr:uid="{00000000-0005-0000-0000-0000375A0000}"/>
    <cellStyle name="Followed Hyperlink 4" xfId="3617" hidden="1" xr:uid="{00000000-0005-0000-0000-0000385A0000}"/>
    <cellStyle name="Followed Hyperlink 4" xfId="3619" hidden="1" xr:uid="{00000000-0005-0000-0000-0000395A0000}"/>
    <cellStyle name="Followed Hyperlink 4" xfId="3620" hidden="1" xr:uid="{00000000-0005-0000-0000-00003A5A0000}"/>
    <cellStyle name="Followed Hyperlink 4" xfId="3623" hidden="1" xr:uid="{00000000-0005-0000-0000-00003B5A0000}"/>
    <cellStyle name="Followed Hyperlink 4" xfId="3424" hidden="1" xr:uid="{00000000-0005-0000-0000-00003C5A0000}"/>
    <cellStyle name="Followed Hyperlink 4" xfId="3430" hidden="1" xr:uid="{00000000-0005-0000-0000-00003D5A0000}"/>
    <cellStyle name="Followed Hyperlink 4" xfId="3624" hidden="1" xr:uid="{00000000-0005-0000-0000-00003E5A0000}"/>
    <cellStyle name="Followed Hyperlink 4" xfId="3627" hidden="1" xr:uid="{00000000-0005-0000-0000-00003F5A0000}"/>
    <cellStyle name="Followed Hyperlink 4" xfId="3630" hidden="1" xr:uid="{00000000-0005-0000-0000-0000405A0000}"/>
    <cellStyle name="Followed Hyperlink 4" xfId="3632" hidden="1" xr:uid="{00000000-0005-0000-0000-0000415A0000}"/>
    <cellStyle name="Followed Hyperlink 4" xfId="3633" hidden="1" xr:uid="{00000000-0005-0000-0000-0000425A0000}"/>
    <cellStyle name="Followed Hyperlink 4" xfId="3636" hidden="1" xr:uid="{00000000-0005-0000-0000-0000435A0000}"/>
    <cellStyle name="Followed Hyperlink 4" xfId="3645" hidden="1" xr:uid="{00000000-0005-0000-0000-0000445A0000}"/>
    <cellStyle name="Followed Hyperlink 4" xfId="3637" hidden="1" xr:uid="{00000000-0005-0000-0000-0000455A0000}"/>
    <cellStyle name="Followed Hyperlink 4" xfId="3648" hidden="1" xr:uid="{00000000-0005-0000-0000-0000465A0000}"/>
    <cellStyle name="Followed Hyperlink 4" xfId="3651" hidden="1" xr:uid="{00000000-0005-0000-0000-0000475A0000}"/>
    <cellStyle name="Followed Hyperlink 4" xfId="3654" hidden="1" xr:uid="{00000000-0005-0000-0000-0000485A0000}"/>
    <cellStyle name="Followed Hyperlink 4" xfId="3656" hidden="1" xr:uid="{00000000-0005-0000-0000-0000495A0000}"/>
    <cellStyle name="Followed Hyperlink 4" xfId="3657" hidden="1" xr:uid="{00000000-0005-0000-0000-00004A5A0000}"/>
    <cellStyle name="Followed Hyperlink 4" xfId="3660" hidden="1" xr:uid="{00000000-0005-0000-0000-00004B5A0000}"/>
    <cellStyle name="Followed Hyperlink 4" xfId="3670" hidden="1" xr:uid="{00000000-0005-0000-0000-00004C5A0000}"/>
    <cellStyle name="Followed Hyperlink 4" xfId="3662" hidden="1" xr:uid="{00000000-0005-0000-0000-00004D5A0000}"/>
    <cellStyle name="Followed Hyperlink 4" xfId="3673" hidden="1" xr:uid="{00000000-0005-0000-0000-00004E5A0000}"/>
    <cellStyle name="Followed Hyperlink 4" xfId="3676" hidden="1" xr:uid="{00000000-0005-0000-0000-00004F5A0000}"/>
    <cellStyle name="Followed Hyperlink 4" xfId="3679" hidden="1" xr:uid="{00000000-0005-0000-0000-0000505A0000}"/>
    <cellStyle name="Followed Hyperlink 4" xfId="3681" hidden="1" xr:uid="{00000000-0005-0000-0000-0000515A0000}"/>
    <cellStyle name="Followed Hyperlink 4" xfId="3682" hidden="1" xr:uid="{00000000-0005-0000-0000-0000525A0000}"/>
    <cellStyle name="Followed Hyperlink 4" xfId="3685" hidden="1" xr:uid="{00000000-0005-0000-0000-0000535A0000}"/>
    <cellStyle name="Followed Hyperlink 4" xfId="3694" hidden="1" xr:uid="{00000000-0005-0000-0000-0000545A0000}"/>
    <cellStyle name="Followed Hyperlink 4" xfId="3686" hidden="1" xr:uid="{00000000-0005-0000-0000-0000555A0000}"/>
    <cellStyle name="Followed Hyperlink 4" xfId="3697" hidden="1" xr:uid="{00000000-0005-0000-0000-0000565A0000}"/>
    <cellStyle name="Followed Hyperlink 4" xfId="3700" hidden="1" xr:uid="{00000000-0005-0000-0000-0000575A0000}"/>
    <cellStyle name="Followed Hyperlink 4" xfId="3703" hidden="1" xr:uid="{00000000-0005-0000-0000-0000585A0000}"/>
    <cellStyle name="Followed Hyperlink 4" xfId="3705" hidden="1" xr:uid="{00000000-0005-0000-0000-0000595A0000}"/>
    <cellStyle name="Followed Hyperlink 4" xfId="3706" hidden="1" xr:uid="{00000000-0005-0000-0000-00005A5A0000}"/>
    <cellStyle name="Followed Hyperlink 4" xfId="3709" hidden="1" xr:uid="{00000000-0005-0000-0000-00005B5A0000}"/>
    <cellStyle name="Followed Hyperlink 4" xfId="3434" hidden="1" xr:uid="{00000000-0005-0000-0000-00005C5A0000}"/>
    <cellStyle name="Followed Hyperlink 4" xfId="3489" hidden="1" xr:uid="{00000000-0005-0000-0000-00005D5A0000}"/>
    <cellStyle name="Followed Hyperlink 4" xfId="3710" hidden="1" xr:uid="{00000000-0005-0000-0000-00005E5A0000}"/>
    <cellStyle name="Followed Hyperlink 4" xfId="3713" hidden="1" xr:uid="{00000000-0005-0000-0000-00005F5A0000}"/>
    <cellStyle name="Followed Hyperlink 4" xfId="3716" hidden="1" xr:uid="{00000000-0005-0000-0000-0000605A0000}"/>
    <cellStyle name="Followed Hyperlink 4" xfId="3718" hidden="1" xr:uid="{00000000-0005-0000-0000-0000615A0000}"/>
    <cellStyle name="Followed Hyperlink 4" xfId="3719" hidden="1" xr:uid="{00000000-0005-0000-0000-0000625A0000}"/>
    <cellStyle name="Followed Hyperlink 4" xfId="3722" hidden="1" xr:uid="{00000000-0005-0000-0000-0000635A0000}"/>
    <cellStyle name="Followed Hyperlink 4" xfId="3731" hidden="1" xr:uid="{00000000-0005-0000-0000-0000645A0000}"/>
    <cellStyle name="Followed Hyperlink 4" xfId="3723" hidden="1" xr:uid="{00000000-0005-0000-0000-0000655A0000}"/>
    <cellStyle name="Followed Hyperlink 4" xfId="3734" hidden="1" xr:uid="{00000000-0005-0000-0000-0000665A0000}"/>
    <cellStyle name="Followed Hyperlink 4" xfId="3737" hidden="1" xr:uid="{00000000-0005-0000-0000-0000675A0000}"/>
    <cellStyle name="Followed Hyperlink 4" xfId="3740" hidden="1" xr:uid="{00000000-0005-0000-0000-0000685A0000}"/>
    <cellStyle name="Followed Hyperlink 4" xfId="3742" hidden="1" xr:uid="{00000000-0005-0000-0000-0000695A0000}"/>
    <cellStyle name="Followed Hyperlink 4" xfId="3743" hidden="1" xr:uid="{00000000-0005-0000-0000-00006A5A0000}"/>
    <cellStyle name="Followed Hyperlink 4" xfId="3746" hidden="1" xr:uid="{00000000-0005-0000-0000-00006B5A0000}"/>
    <cellStyle name="Followed Hyperlink 4" xfId="3755" hidden="1" xr:uid="{00000000-0005-0000-0000-00006C5A0000}"/>
    <cellStyle name="Followed Hyperlink 4" xfId="3747" hidden="1" xr:uid="{00000000-0005-0000-0000-00006D5A0000}"/>
    <cellStyle name="Followed Hyperlink 4" xfId="3758" hidden="1" xr:uid="{00000000-0005-0000-0000-00006E5A0000}"/>
    <cellStyle name="Followed Hyperlink 4" xfId="3761" hidden="1" xr:uid="{00000000-0005-0000-0000-00006F5A0000}"/>
    <cellStyle name="Followed Hyperlink 4" xfId="3764" hidden="1" xr:uid="{00000000-0005-0000-0000-0000705A0000}"/>
    <cellStyle name="Followed Hyperlink 4" xfId="3766" hidden="1" xr:uid="{00000000-0005-0000-0000-0000715A0000}"/>
    <cellStyle name="Followed Hyperlink 4" xfId="3767" hidden="1" xr:uid="{00000000-0005-0000-0000-0000725A0000}"/>
    <cellStyle name="Followed Hyperlink 4" xfId="3770" hidden="1" xr:uid="{00000000-0005-0000-0000-0000735A0000}"/>
    <cellStyle name="Followed Hyperlink 4" xfId="3779" hidden="1" xr:uid="{00000000-0005-0000-0000-0000745A0000}"/>
    <cellStyle name="Followed Hyperlink 4" xfId="3771" hidden="1" xr:uid="{00000000-0005-0000-0000-0000755A0000}"/>
    <cellStyle name="Followed Hyperlink 4" xfId="3782" hidden="1" xr:uid="{00000000-0005-0000-0000-0000765A0000}"/>
    <cellStyle name="Followed Hyperlink 4" xfId="3785" hidden="1" xr:uid="{00000000-0005-0000-0000-0000775A0000}"/>
    <cellStyle name="Followed Hyperlink 4" xfId="3788" hidden="1" xr:uid="{00000000-0005-0000-0000-0000785A0000}"/>
    <cellStyle name="Followed Hyperlink 4" xfId="3790" hidden="1" xr:uid="{00000000-0005-0000-0000-0000795A0000}"/>
    <cellStyle name="Followed Hyperlink 4" xfId="3791" hidden="1" xr:uid="{00000000-0005-0000-0000-00007A5A0000}"/>
    <cellStyle name="Followed Hyperlink 4" xfId="3794" hidden="1" xr:uid="{00000000-0005-0000-0000-00007B5A0000}"/>
    <cellStyle name="Followed Hyperlink 4" xfId="2827" hidden="1" xr:uid="{00000000-0005-0000-0000-00007C5A0000}"/>
    <cellStyle name="Followed Hyperlink 4" xfId="2833" hidden="1" xr:uid="{00000000-0005-0000-0000-00007D5A0000}"/>
    <cellStyle name="Followed Hyperlink 4" xfId="3795" hidden="1" xr:uid="{00000000-0005-0000-0000-00007E5A0000}"/>
    <cellStyle name="Followed Hyperlink 4" xfId="3798" hidden="1" xr:uid="{00000000-0005-0000-0000-00007F5A0000}"/>
    <cellStyle name="Followed Hyperlink 4" xfId="3801" hidden="1" xr:uid="{00000000-0005-0000-0000-0000805A0000}"/>
    <cellStyle name="Followed Hyperlink 4" xfId="3803" hidden="1" xr:uid="{00000000-0005-0000-0000-0000815A0000}"/>
    <cellStyle name="Followed Hyperlink 4" xfId="3804" hidden="1" xr:uid="{00000000-0005-0000-0000-0000825A0000}"/>
    <cellStyle name="Followed Hyperlink 4" xfId="3807" hidden="1" xr:uid="{00000000-0005-0000-0000-0000835A0000}"/>
    <cellStyle name="Followed Hyperlink 4" xfId="3816" hidden="1" xr:uid="{00000000-0005-0000-0000-0000845A0000}"/>
    <cellStyle name="Followed Hyperlink 4" xfId="3808" hidden="1" xr:uid="{00000000-0005-0000-0000-0000855A0000}"/>
    <cellStyle name="Followed Hyperlink 4" xfId="3819" hidden="1" xr:uid="{00000000-0005-0000-0000-0000865A0000}"/>
    <cellStyle name="Followed Hyperlink 4" xfId="3822" hidden="1" xr:uid="{00000000-0005-0000-0000-0000875A0000}"/>
    <cellStyle name="Followed Hyperlink 4" xfId="3825" hidden="1" xr:uid="{00000000-0005-0000-0000-0000885A0000}"/>
    <cellStyle name="Followed Hyperlink 4" xfId="3827" hidden="1" xr:uid="{00000000-0005-0000-0000-0000895A0000}"/>
    <cellStyle name="Followed Hyperlink 4" xfId="3828" hidden="1" xr:uid="{00000000-0005-0000-0000-00008A5A0000}"/>
    <cellStyle name="Followed Hyperlink 4" xfId="3831" hidden="1" xr:uid="{00000000-0005-0000-0000-00008B5A0000}"/>
    <cellStyle name="Followed Hyperlink 4" xfId="3841" hidden="1" xr:uid="{00000000-0005-0000-0000-00008C5A0000}"/>
    <cellStyle name="Followed Hyperlink 4" xfId="3833" hidden="1" xr:uid="{00000000-0005-0000-0000-00008D5A0000}"/>
    <cellStyle name="Followed Hyperlink 4" xfId="3844" hidden="1" xr:uid="{00000000-0005-0000-0000-00008E5A0000}"/>
    <cellStyle name="Followed Hyperlink 4" xfId="3847" hidden="1" xr:uid="{00000000-0005-0000-0000-00008F5A0000}"/>
    <cellStyle name="Followed Hyperlink 4" xfId="3850" hidden="1" xr:uid="{00000000-0005-0000-0000-0000905A0000}"/>
    <cellStyle name="Followed Hyperlink 4" xfId="3852" hidden="1" xr:uid="{00000000-0005-0000-0000-0000915A0000}"/>
    <cellStyle name="Followed Hyperlink 4" xfId="3853" hidden="1" xr:uid="{00000000-0005-0000-0000-0000925A0000}"/>
    <cellStyle name="Followed Hyperlink 4" xfId="3856" hidden="1" xr:uid="{00000000-0005-0000-0000-0000935A0000}"/>
    <cellStyle name="Followed Hyperlink 4" xfId="3865" hidden="1" xr:uid="{00000000-0005-0000-0000-0000945A0000}"/>
    <cellStyle name="Followed Hyperlink 4" xfId="3857" hidden="1" xr:uid="{00000000-0005-0000-0000-0000955A0000}"/>
    <cellStyle name="Followed Hyperlink 4" xfId="3868" hidden="1" xr:uid="{00000000-0005-0000-0000-0000965A0000}"/>
    <cellStyle name="Followed Hyperlink 4" xfId="3871" hidden="1" xr:uid="{00000000-0005-0000-0000-0000975A0000}"/>
    <cellStyle name="Followed Hyperlink 4" xfId="3874" hidden="1" xr:uid="{00000000-0005-0000-0000-0000985A0000}"/>
    <cellStyle name="Followed Hyperlink 4" xfId="3876" hidden="1" xr:uid="{00000000-0005-0000-0000-0000995A0000}"/>
    <cellStyle name="Followed Hyperlink 4" xfId="3877" hidden="1" xr:uid="{00000000-0005-0000-0000-00009A5A0000}"/>
    <cellStyle name="Followed Hyperlink 4" xfId="3880" hidden="1" xr:uid="{00000000-0005-0000-0000-00009B5A0000}"/>
    <cellStyle name="Followed Hyperlink 4" xfId="3918" hidden="1" xr:uid="{00000000-0005-0000-0000-00009C5A0000}"/>
    <cellStyle name="Followed Hyperlink 4" xfId="3910" hidden="1" xr:uid="{00000000-0005-0000-0000-00009D5A0000}"/>
    <cellStyle name="Followed Hyperlink 4" xfId="3921" hidden="1" xr:uid="{00000000-0005-0000-0000-00009E5A0000}"/>
    <cellStyle name="Followed Hyperlink 4" xfId="3924" hidden="1" xr:uid="{00000000-0005-0000-0000-00009F5A0000}"/>
    <cellStyle name="Followed Hyperlink 4" xfId="3927" hidden="1" xr:uid="{00000000-0005-0000-0000-0000A05A0000}"/>
    <cellStyle name="Followed Hyperlink 4" xfId="3929" hidden="1" xr:uid="{00000000-0005-0000-0000-0000A15A0000}"/>
    <cellStyle name="Followed Hyperlink 4" xfId="3930" hidden="1" xr:uid="{00000000-0005-0000-0000-0000A25A0000}"/>
    <cellStyle name="Followed Hyperlink 4" xfId="3933" hidden="1" xr:uid="{00000000-0005-0000-0000-0000A35A0000}"/>
    <cellStyle name="Followed Hyperlink 4" xfId="3942" hidden="1" xr:uid="{00000000-0005-0000-0000-0000A45A0000}"/>
    <cellStyle name="Followed Hyperlink 4" xfId="3934" hidden="1" xr:uid="{00000000-0005-0000-0000-0000A55A0000}"/>
    <cellStyle name="Followed Hyperlink 4" xfId="3945" hidden="1" xr:uid="{00000000-0005-0000-0000-0000A65A0000}"/>
    <cellStyle name="Followed Hyperlink 4" xfId="3948" hidden="1" xr:uid="{00000000-0005-0000-0000-0000A75A0000}"/>
    <cellStyle name="Followed Hyperlink 4" xfId="3951" hidden="1" xr:uid="{00000000-0005-0000-0000-0000A85A0000}"/>
    <cellStyle name="Followed Hyperlink 4" xfId="3953" hidden="1" xr:uid="{00000000-0005-0000-0000-0000A95A0000}"/>
    <cellStyle name="Followed Hyperlink 4" xfId="3954" hidden="1" xr:uid="{00000000-0005-0000-0000-0000AA5A0000}"/>
    <cellStyle name="Followed Hyperlink 4" xfId="3957" hidden="1" xr:uid="{00000000-0005-0000-0000-0000AB5A0000}"/>
    <cellStyle name="Followed Hyperlink 4" xfId="3968" hidden="1" xr:uid="{00000000-0005-0000-0000-0000AC5A0000}"/>
    <cellStyle name="Followed Hyperlink 4" xfId="3960" hidden="1" xr:uid="{00000000-0005-0000-0000-0000AD5A0000}"/>
    <cellStyle name="Followed Hyperlink 4" xfId="3971" hidden="1" xr:uid="{00000000-0005-0000-0000-0000AE5A0000}"/>
    <cellStyle name="Followed Hyperlink 4" xfId="3974" hidden="1" xr:uid="{00000000-0005-0000-0000-0000AF5A0000}"/>
    <cellStyle name="Followed Hyperlink 4" xfId="3977" hidden="1" xr:uid="{00000000-0005-0000-0000-0000B05A0000}"/>
    <cellStyle name="Followed Hyperlink 4" xfId="3979" hidden="1" xr:uid="{00000000-0005-0000-0000-0000B15A0000}"/>
    <cellStyle name="Followed Hyperlink 4" xfId="3980" hidden="1" xr:uid="{00000000-0005-0000-0000-0000B25A0000}"/>
    <cellStyle name="Followed Hyperlink 4" xfId="3983" hidden="1" xr:uid="{00000000-0005-0000-0000-0000B35A0000}"/>
    <cellStyle name="Followed Hyperlink 4" xfId="3992" hidden="1" xr:uid="{00000000-0005-0000-0000-0000B45A0000}"/>
    <cellStyle name="Followed Hyperlink 4" xfId="3984" hidden="1" xr:uid="{00000000-0005-0000-0000-0000B55A0000}"/>
    <cellStyle name="Followed Hyperlink 4" xfId="3995" hidden="1" xr:uid="{00000000-0005-0000-0000-0000B65A0000}"/>
    <cellStyle name="Followed Hyperlink 4" xfId="3998" hidden="1" xr:uid="{00000000-0005-0000-0000-0000B75A0000}"/>
    <cellStyle name="Followed Hyperlink 4" xfId="4001" hidden="1" xr:uid="{00000000-0005-0000-0000-0000B85A0000}"/>
    <cellStyle name="Followed Hyperlink 4" xfId="4003" hidden="1" xr:uid="{00000000-0005-0000-0000-0000B95A0000}"/>
    <cellStyle name="Followed Hyperlink 4" xfId="4004" hidden="1" xr:uid="{00000000-0005-0000-0000-0000BA5A0000}"/>
    <cellStyle name="Followed Hyperlink 4" xfId="4007" hidden="1" xr:uid="{00000000-0005-0000-0000-0000BB5A0000}"/>
    <cellStyle name="Followed Hyperlink 4" xfId="3890" hidden="1" xr:uid="{00000000-0005-0000-0000-0000BC5A0000}"/>
    <cellStyle name="Followed Hyperlink 4" xfId="3884" hidden="1" xr:uid="{00000000-0005-0000-0000-0000BD5A0000}"/>
    <cellStyle name="Followed Hyperlink 4" xfId="4008" hidden="1" xr:uid="{00000000-0005-0000-0000-0000BE5A0000}"/>
    <cellStyle name="Followed Hyperlink 4" xfId="4011" hidden="1" xr:uid="{00000000-0005-0000-0000-0000BF5A0000}"/>
    <cellStyle name="Followed Hyperlink 4" xfId="4014" hidden="1" xr:uid="{00000000-0005-0000-0000-0000C05A0000}"/>
    <cellStyle name="Followed Hyperlink 4" xfId="4016" hidden="1" xr:uid="{00000000-0005-0000-0000-0000C15A0000}"/>
    <cellStyle name="Followed Hyperlink 4" xfId="4017" hidden="1" xr:uid="{00000000-0005-0000-0000-0000C25A0000}"/>
    <cellStyle name="Followed Hyperlink 4" xfId="4020" hidden="1" xr:uid="{00000000-0005-0000-0000-0000C35A0000}"/>
    <cellStyle name="Followed Hyperlink 4" xfId="4029" hidden="1" xr:uid="{00000000-0005-0000-0000-0000C45A0000}"/>
    <cellStyle name="Followed Hyperlink 4" xfId="4021" hidden="1" xr:uid="{00000000-0005-0000-0000-0000C55A0000}"/>
    <cellStyle name="Followed Hyperlink 4" xfId="4032" hidden="1" xr:uid="{00000000-0005-0000-0000-0000C65A0000}"/>
    <cellStyle name="Followed Hyperlink 4" xfId="4035" hidden="1" xr:uid="{00000000-0005-0000-0000-0000C75A0000}"/>
    <cellStyle name="Followed Hyperlink 4" xfId="4038" hidden="1" xr:uid="{00000000-0005-0000-0000-0000C85A0000}"/>
    <cellStyle name="Followed Hyperlink 4" xfId="4040" hidden="1" xr:uid="{00000000-0005-0000-0000-0000C95A0000}"/>
    <cellStyle name="Followed Hyperlink 4" xfId="4041" hidden="1" xr:uid="{00000000-0005-0000-0000-0000CA5A0000}"/>
    <cellStyle name="Followed Hyperlink 4" xfId="4044" hidden="1" xr:uid="{00000000-0005-0000-0000-0000CB5A0000}"/>
    <cellStyle name="Followed Hyperlink 4" xfId="4054" hidden="1" xr:uid="{00000000-0005-0000-0000-0000CC5A0000}"/>
    <cellStyle name="Followed Hyperlink 4" xfId="4046" hidden="1" xr:uid="{00000000-0005-0000-0000-0000CD5A0000}"/>
    <cellStyle name="Followed Hyperlink 4" xfId="4057" hidden="1" xr:uid="{00000000-0005-0000-0000-0000CE5A0000}"/>
    <cellStyle name="Followed Hyperlink 4" xfId="4060" hidden="1" xr:uid="{00000000-0005-0000-0000-0000CF5A0000}"/>
    <cellStyle name="Followed Hyperlink 4" xfId="4063" hidden="1" xr:uid="{00000000-0005-0000-0000-0000D05A0000}"/>
    <cellStyle name="Followed Hyperlink 4" xfId="4065" hidden="1" xr:uid="{00000000-0005-0000-0000-0000D15A0000}"/>
    <cellStyle name="Followed Hyperlink 4" xfId="4066" hidden="1" xr:uid="{00000000-0005-0000-0000-0000D25A0000}"/>
    <cellStyle name="Followed Hyperlink 4" xfId="4069" hidden="1" xr:uid="{00000000-0005-0000-0000-0000D35A0000}"/>
    <cellStyle name="Followed Hyperlink 4" xfId="4078" hidden="1" xr:uid="{00000000-0005-0000-0000-0000D45A0000}"/>
    <cellStyle name="Followed Hyperlink 4" xfId="4070" hidden="1" xr:uid="{00000000-0005-0000-0000-0000D55A0000}"/>
    <cellStyle name="Followed Hyperlink 4" xfId="4081" hidden="1" xr:uid="{00000000-0005-0000-0000-0000D65A0000}"/>
    <cellStyle name="Followed Hyperlink 4" xfId="4084" hidden="1" xr:uid="{00000000-0005-0000-0000-0000D75A0000}"/>
    <cellStyle name="Followed Hyperlink 4" xfId="4087" hidden="1" xr:uid="{00000000-0005-0000-0000-0000D85A0000}"/>
    <cellStyle name="Followed Hyperlink 4" xfId="4089" hidden="1" xr:uid="{00000000-0005-0000-0000-0000D95A0000}"/>
    <cellStyle name="Followed Hyperlink 4" xfId="4090" hidden="1" xr:uid="{00000000-0005-0000-0000-0000DA5A0000}"/>
    <cellStyle name="Followed Hyperlink 4" xfId="4093" hidden="1" xr:uid="{00000000-0005-0000-0000-0000DB5A0000}"/>
    <cellStyle name="Followed Hyperlink 4" xfId="3894" hidden="1" xr:uid="{00000000-0005-0000-0000-0000DC5A0000}"/>
    <cellStyle name="Followed Hyperlink 4" xfId="3900" hidden="1" xr:uid="{00000000-0005-0000-0000-0000DD5A0000}"/>
    <cellStyle name="Followed Hyperlink 4" xfId="4094" hidden="1" xr:uid="{00000000-0005-0000-0000-0000DE5A0000}"/>
    <cellStyle name="Followed Hyperlink 4" xfId="4097" hidden="1" xr:uid="{00000000-0005-0000-0000-0000DF5A0000}"/>
    <cellStyle name="Followed Hyperlink 4" xfId="4100" hidden="1" xr:uid="{00000000-0005-0000-0000-0000E05A0000}"/>
    <cellStyle name="Followed Hyperlink 4" xfId="4102" hidden="1" xr:uid="{00000000-0005-0000-0000-0000E15A0000}"/>
    <cellStyle name="Followed Hyperlink 4" xfId="4103" hidden="1" xr:uid="{00000000-0005-0000-0000-0000E25A0000}"/>
    <cellStyle name="Followed Hyperlink 4" xfId="4106" hidden="1" xr:uid="{00000000-0005-0000-0000-0000E35A0000}"/>
    <cellStyle name="Followed Hyperlink 4" xfId="4115" hidden="1" xr:uid="{00000000-0005-0000-0000-0000E45A0000}"/>
    <cellStyle name="Followed Hyperlink 4" xfId="4107" hidden="1" xr:uid="{00000000-0005-0000-0000-0000E55A0000}"/>
    <cellStyle name="Followed Hyperlink 4" xfId="4118" hidden="1" xr:uid="{00000000-0005-0000-0000-0000E65A0000}"/>
    <cellStyle name="Followed Hyperlink 4" xfId="4121" hidden="1" xr:uid="{00000000-0005-0000-0000-0000E75A0000}"/>
    <cellStyle name="Followed Hyperlink 4" xfId="4124" hidden="1" xr:uid="{00000000-0005-0000-0000-0000E85A0000}"/>
    <cellStyle name="Followed Hyperlink 4" xfId="4126" hidden="1" xr:uid="{00000000-0005-0000-0000-0000E95A0000}"/>
    <cellStyle name="Followed Hyperlink 4" xfId="4127" hidden="1" xr:uid="{00000000-0005-0000-0000-0000EA5A0000}"/>
    <cellStyle name="Followed Hyperlink 4" xfId="4130" hidden="1" xr:uid="{00000000-0005-0000-0000-0000EB5A0000}"/>
    <cellStyle name="Followed Hyperlink 4" xfId="4140" hidden="1" xr:uid="{00000000-0005-0000-0000-0000EC5A0000}"/>
    <cellStyle name="Followed Hyperlink 4" xfId="4132" hidden="1" xr:uid="{00000000-0005-0000-0000-0000ED5A0000}"/>
    <cellStyle name="Followed Hyperlink 4" xfId="4143" hidden="1" xr:uid="{00000000-0005-0000-0000-0000EE5A0000}"/>
    <cellStyle name="Followed Hyperlink 4" xfId="4146" hidden="1" xr:uid="{00000000-0005-0000-0000-0000EF5A0000}"/>
    <cellStyle name="Followed Hyperlink 4" xfId="4149" hidden="1" xr:uid="{00000000-0005-0000-0000-0000F05A0000}"/>
    <cellStyle name="Followed Hyperlink 4" xfId="4151" hidden="1" xr:uid="{00000000-0005-0000-0000-0000F15A0000}"/>
    <cellStyle name="Followed Hyperlink 4" xfId="4152" hidden="1" xr:uid="{00000000-0005-0000-0000-0000F25A0000}"/>
    <cellStyle name="Followed Hyperlink 4" xfId="4155" hidden="1" xr:uid="{00000000-0005-0000-0000-0000F35A0000}"/>
    <cellStyle name="Followed Hyperlink 4" xfId="4164" hidden="1" xr:uid="{00000000-0005-0000-0000-0000F45A0000}"/>
    <cellStyle name="Followed Hyperlink 4" xfId="4156" hidden="1" xr:uid="{00000000-0005-0000-0000-0000F55A0000}"/>
    <cellStyle name="Followed Hyperlink 4" xfId="4167" hidden="1" xr:uid="{00000000-0005-0000-0000-0000F65A0000}"/>
    <cellStyle name="Followed Hyperlink 4" xfId="4170" hidden="1" xr:uid="{00000000-0005-0000-0000-0000F75A0000}"/>
    <cellStyle name="Followed Hyperlink 4" xfId="4173" hidden="1" xr:uid="{00000000-0005-0000-0000-0000F85A0000}"/>
    <cellStyle name="Followed Hyperlink 4" xfId="4175" hidden="1" xr:uid="{00000000-0005-0000-0000-0000F95A0000}"/>
    <cellStyle name="Followed Hyperlink 4" xfId="4176" hidden="1" xr:uid="{00000000-0005-0000-0000-0000FA5A0000}"/>
    <cellStyle name="Followed Hyperlink 4" xfId="4179" hidden="1" xr:uid="{00000000-0005-0000-0000-0000FB5A0000}"/>
    <cellStyle name="Followed Hyperlink 4" xfId="3904" hidden="1" xr:uid="{00000000-0005-0000-0000-0000FC5A0000}"/>
    <cellStyle name="Followed Hyperlink 4" xfId="3959" hidden="1" xr:uid="{00000000-0005-0000-0000-0000FD5A0000}"/>
    <cellStyle name="Followed Hyperlink 4" xfId="4180" hidden="1" xr:uid="{00000000-0005-0000-0000-0000FE5A0000}"/>
    <cellStyle name="Followed Hyperlink 4" xfId="4183" hidden="1" xr:uid="{00000000-0005-0000-0000-0000FF5A0000}"/>
    <cellStyle name="Followed Hyperlink 4" xfId="4186" hidden="1" xr:uid="{00000000-0005-0000-0000-0000005B0000}"/>
    <cellStyle name="Followed Hyperlink 4" xfId="4188" hidden="1" xr:uid="{00000000-0005-0000-0000-0000015B0000}"/>
    <cellStyle name="Followed Hyperlink 4" xfId="4189" hidden="1" xr:uid="{00000000-0005-0000-0000-0000025B0000}"/>
    <cellStyle name="Followed Hyperlink 4" xfId="4192" hidden="1" xr:uid="{00000000-0005-0000-0000-0000035B0000}"/>
    <cellStyle name="Followed Hyperlink 4" xfId="4201" hidden="1" xr:uid="{00000000-0005-0000-0000-0000045B0000}"/>
    <cellStyle name="Followed Hyperlink 4" xfId="4193" hidden="1" xr:uid="{00000000-0005-0000-0000-0000055B0000}"/>
    <cellStyle name="Followed Hyperlink 4" xfId="4204" hidden="1" xr:uid="{00000000-0005-0000-0000-0000065B0000}"/>
    <cellStyle name="Followed Hyperlink 4" xfId="4207" hidden="1" xr:uid="{00000000-0005-0000-0000-0000075B0000}"/>
    <cellStyle name="Followed Hyperlink 4" xfId="4210" hidden="1" xr:uid="{00000000-0005-0000-0000-0000085B0000}"/>
    <cellStyle name="Followed Hyperlink 4" xfId="4212" hidden="1" xr:uid="{00000000-0005-0000-0000-0000095B0000}"/>
    <cellStyle name="Followed Hyperlink 4" xfId="4213" hidden="1" xr:uid="{00000000-0005-0000-0000-00000A5B0000}"/>
    <cellStyle name="Followed Hyperlink 4" xfId="4216" hidden="1" xr:uid="{00000000-0005-0000-0000-00000B5B0000}"/>
    <cellStyle name="Followed Hyperlink 4" xfId="4225" hidden="1" xr:uid="{00000000-0005-0000-0000-00000C5B0000}"/>
    <cellStyle name="Followed Hyperlink 4" xfId="4217" hidden="1" xr:uid="{00000000-0005-0000-0000-00000D5B0000}"/>
    <cellStyle name="Followed Hyperlink 4" xfId="4228" hidden="1" xr:uid="{00000000-0005-0000-0000-00000E5B0000}"/>
    <cellStyle name="Followed Hyperlink 4" xfId="4231" hidden="1" xr:uid="{00000000-0005-0000-0000-00000F5B0000}"/>
    <cellStyle name="Followed Hyperlink 4" xfId="4234" hidden="1" xr:uid="{00000000-0005-0000-0000-0000105B0000}"/>
    <cellStyle name="Followed Hyperlink 4" xfId="4236" hidden="1" xr:uid="{00000000-0005-0000-0000-0000115B0000}"/>
    <cellStyle name="Followed Hyperlink 4" xfId="4237" hidden="1" xr:uid="{00000000-0005-0000-0000-0000125B0000}"/>
    <cellStyle name="Followed Hyperlink 4" xfId="4240" hidden="1" xr:uid="{00000000-0005-0000-0000-0000135B0000}"/>
    <cellStyle name="Followed Hyperlink 4" xfId="4249" hidden="1" xr:uid="{00000000-0005-0000-0000-0000145B0000}"/>
    <cellStyle name="Followed Hyperlink 4" xfId="4241" hidden="1" xr:uid="{00000000-0005-0000-0000-0000155B0000}"/>
    <cellStyle name="Followed Hyperlink 4" xfId="4252" hidden="1" xr:uid="{00000000-0005-0000-0000-0000165B0000}"/>
    <cellStyle name="Followed Hyperlink 4" xfId="4255" hidden="1" xr:uid="{00000000-0005-0000-0000-0000175B0000}"/>
    <cellStyle name="Followed Hyperlink 4" xfId="4258" hidden="1" xr:uid="{00000000-0005-0000-0000-0000185B0000}"/>
    <cellStyle name="Followed Hyperlink 4" xfId="4260" hidden="1" xr:uid="{00000000-0005-0000-0000-0000195B0000}"/>
    <cellStyle name="Followed Hyperlink 4" xfId="4261" hidden="1" xr:uid="{00000000-0005-0000-0000-00001A5B0000}"/>
    <cellStyle name="Followed Hyperlink 4" xfId="4264" hidden="1" xr:uid="{00000000-0005-0000-0000-00001B5B0000}"/>
    <cellStyle name="Followed Hyperlink 4" xfId="2837" hidden="1" xr:uid="{00000000-0005-0000-0000-00001C5B0000}"/>
    <cellStyle name="Followed Hyperlink 4" xfId="2892" hidden="1" xr:uid="{00000000-0005-0000-0000-00001D5B0000}"/>
    <cellStyle name="Followed Hyperlink 4" xfId="4265" hidden="1" xr:uid="{00000000-0005-0000-0000-00001E5B0000}"/>
    <cellStyle name="Followed Hyperlink 4" xfId="4268" hidden="1" xr:uid="{00000000-0005-0000-0000-00001F5B0000}"/>
    <cellStyle name="Followed Hyperlink 4" xfId="4271" hidden="1" xr:uid="{00000000-0005-0000-0000-0000205B0000}"/>
    <cellStyle name="Followed Hyperlink 4" xfId="4273" hidden="1" xr:uid="{00000000-0005-0000-0000-0000215B0000}"/>
    <cellStyle name="Followed Hyperlink 4" xfId="4274" hidden="1" xr:uid="{00000000-0005-0000-0000-0000225B0000}"/>
    <cellStyle name="Followed Hyperlink 4" xfId="4277" hidden="1" xr:uid="{00000000-0005-0000-0000-0000235B0000}"/>
    <cellStyle name="Followed Hyperlink 4" xfId="4286" hidden="1" xr:uid="{00000000-0005-0000-0000-0000245B0000}"/>
    <cellStyle name="Followed Hyperlink 4" xfId="4278" hidden="1" xr:uid="{00000000-0005-0000-0000-0000255B0000}"/>
    <cellStyle name="Followed Hyperlink 4" xfId="4289" hidden="1" xr:uid="{00000000-0005-0000-0000-0000265B0000}"/>
    <cellStyle name="Followed Hyperlink 4" xfId="4292" hidden="1" xr:uid="{00000000-0005-0000-0000-0000275B0000}"/>
    <cellStyle name="Followed Hyperlink 4" xfId="4295" hidden="1" xr:uid="{00000000-0005-0000-0000-0000285B0000}"/>
    <cellStyle name="Followed Hyperlink 4" xfId="4297" hidden="1" xr:uid="{00000000-0005-0000-0000-0000295B0000}"/>
    <cellStyle name="Followed Hyperlink 4" xfId="4298" hidden="1" xr:uid="{00000000-0005-0000-0000-00002A5B0000}"/>
    <cellStyle name="Followed Hyperlink 4" xfId="4301" hidden="1" xr:uid="{00000000-0005-0000-0000-00002B5B0000}"/>
    <cellStyle name="Followed Hyperlink 4" xfId="4310" hidden="1" xr:uid="{00000000-0005-0000-0000-00002C5B0000}"/>
    <cellStyle name="Followed Hyperlink 4" xfId="4302" hidden="1" xr:uid="{00000000-0005-0000-0000-00002D5B0000}"/>
    <cellStyle name="Followed Hyperlink 4" xfId="4313" hidden="1" xr:uid="{00000000-0005-0000-0000-00002E5B0000}"/>
    <cellStyle name="Followed Hyperlink 4" xfId="4316" hidden="1" xr:uid="{00000000-0005-0000-0000-00002F5B0000}"/>
    <cellStyle name="Followed Hyperlink 4" xfId="4319" hidden="1" xr:uid="{00000000-0005-0000-0000-0000305B0000}"/>
    <cellStyle name="Followed Hyperlink 4" xfId="4321" hidden="1" xr:uid="{00000000-0005-0000-0000-0000315B0000}"/>
    <cellStyle name="Followed Hyperlink 4" xfId="4322" hidden="1" xr:uid="{00000000-0005-0000-0000-0000325B0000}"/>
    <cellStyle name="Followed Hyperlink 4" xfId="4325" hidden="1" xr:uid="{00000000-0005-0000-0000-0000335B0000}"/>
    <cellStyle name="Followed Hyperlink 4" xfId="4334" hidden="1" xr:uid="{00000000-0005-0000-0000-0000345B0000}"/>
    <cellStyle name="Followed Hyperlink 4" xfId="4326" hidden="1" xr:uid="{00000000-0005-0000-0000-0000355B0000}"/>
    <cellStyle name="Followed Hyperlink 4" xfId="4337" hidden="1" xr:uid="{00000000-0005-0000-0000-0000365B0000}"/>
    <cellStyle name="Followed Hyperlink 4" xfId="4340" hidden="1" xr:uid="{00000000-0005-0000-0000-0000375B0000}"/>
    <cellStyle name="Followed Hyperlink 4" xfId="4343" hidden="1" xr:uid="{00000000-0005-0000-0000-0000385B0000}"/>
    <cellStyle name="Followed Hyperlink 4" xfId="4345" hidden="1" xr:uid="{00000000-0005-0000-0000-0000395B0000}"/>
    <cellStyle name="Followed Hyperlink 4" xfId="4346" hidden="1" xr:uid="{00000000-0005-0000-0000-00003A5B0000}"/>
    <cellStyle name="Followed Hyperlink 4" xfId="4349" hidden="1" xr:uid="{00000000-0005-0000-0000-00003B5B0000}"/>
    <cellStyle name="Followed Hyperlink 4" xfId="4387" hidden="1" xr:uid="{00000000-0005-0000-0000-00003C5B0000}"/>
    <cellStyle name="Followed Hyperlink 4" xfId="4379" hidden="1" xr:uid="{00000000-0005-0000-0000-00003D5B0000}"/>
    <cellStyle name="Followed Hyperlink 4" xfId="4390" hidden="1" xr:uid="{00000000-0005-0000-0000-00003E5B0000}"/>
    <cellStyle name="Followed Hyperlink 4" xfId="4393" hidden="1" xr:uid="{00000000-0005-0000-0000-00003F5B0000}"/>
    <cellStyle name="Followed Hyperlink 4" xfId="4396" hidden="1" xr:uid="{00000000-0005-0000-0000-0000405B0000}"/>
    <cellStyle name="Followed Hyperlink 4" xfId="4398" hidden="1" xr:uid="{00000000-0005-0000-0000-0000415B0000}"/>
    <cellStyle name="Followed Hyperlink 4" xfId="4399" hidden="1" xr:uid="{00000000-0005-0000-0000-0000425B0000}"/>
    <cellStyle name="Followed Hyperlink 4" xfId="4402" hidden="1" xr:uid="{00000000-0005-0000-0000-0000435B0000}"/>
    <cellStyle name="Followed Hyperlink 4" xfId="4411" hidden="1" xr:uid="{00000000-0005-0000-0000-0000445B0000}"/>
    <cellStyle name="Followed Hyperlink 4" xfId="4403" hidden="1" xr:uid="{00000000-0005-0000-0000-0000455B0000}"/>
    <cellStyle name="Followed Hyperlink 4" xfId="4414" hidden="1" xr:uid="{00000000-0005-0000-0000-0000465B0000}"/>
    <cellStyle name="Followed Hyperlink 4" xfId="4417" hidden="1" xr:uid="{00000000-0005-0000-0000-0000475B0000}"/>
    <cellStyle name="Followed Hyperlink 4" xfId="4420" hidden="1" xr:uid="{00000000-0005-0000-0000-0000485B0000}"/>
    <cellStyle name="Followed Hyperlink 4" xfId="4422" hidden="1" xr:uid="{00000000-0005-0000-0000-0000495B0000}"/>
    <cellStyle name="Followed Hyperlink 4" xfId="4423" hidden="1" xr:uid="{00000000-0005-0000-0000-00004A5B0000}"/>
    <cellStyle name="Followed Hyperlink 4" xfId="4426" hidden="1" xr:uid="{00000000-0005-0000-0000-00004B5B0000}"/>
    <cellStyle name="Followed Hyperlink 4" xfId="4437" hidden="1" xr:uid="{00000000-0005-0000-0000-00004C5B0000}"/>
    <cellStyle name="Followed Hyperlink 4" xfId="4429" hidden="1" xr:uid="{00000000-0005-0000-0000-00004D5B0000}"/>
    <cellStyle name="Followed Hyperlink 4" xfId="4440" hidden="1" xr:uid="{00000000-0005-0000-0000-00004E5B0000}"/>
    <cellStyle name="Followed Hyperlink 4" xfId="4443" hidden="1" xr:uid="{00000000-0005-0000-0000-00004F5B0000}"/>
    <cellStyle name="Followed Hyperlink 4" xfId="4446" hidden="1" xr:uid="{00000000-0005-0000-0000-0000505B0000}"/>
    <cellStyle name="Followed Hyperlink 4" xfId="4448" hidden="1" xr:uid="{00000000-0005-0000-0000-0000515B0000}"/>
    <cellStyle name="Followed Hyperlink 4" xfId="4449" hidden="1" xr:uid="{00000000-0005-0000-0000-0000525B0000}"/>
    <cellStyle name="Followed Hyperlink 4" xfId="4452" hidden="1" xr:uid="{00000000-0005-0000-0000-0000535B0000}"/>
    <cellStyle name="Followed Hyperlink 4" xfId="4461" hidden="1" xr:uid="{00000000-0005-0000-0000-0000545B0000}"/>
    <cellStyle name="Followed Hyperlink 4" xfId="4453" hidden="1" xr:uid="{00000000-0005-0000-0000-0000555B0000}"/>
    <cellStyle name="Followed Hyperlink 4" xfId="4464" hidden="1" xr:uid="{00000000-0005-0000-0000-0000565B0000}"/>
    <cellStyle name="Followed Hyperlink 4" xfId="4467" hidden="1" xr:uid="{00000000-0005-0000-0000-0000575B0000}"/>
    <cellStyle name="Followed Hyperlink 4" xfId="4470" hidden="1" xr:uid="{00000000-0005-0000-0000-0000585B0000}"/>
    <cellStyle name="Followed Hyperlink 4" xfId="4472" hidden="1" xr:uid="{00000000-0005-0000-0000-0000595B0000}"/>
    <cellStyle name="Followed Hyperlink 4" xfId="4473" hidden="1" xr:uid="{00000000-0005-0000-0000-00005A5B0000}"/>
    <cellStyle name="Followed Hyperlink 4" xfId="4476" hidden="1" xr:uid="{00000000-0005-0000-0000-00005B5B0000}"/>
    <cellStyle name="Followed Hyperlink 4" xfId="4359" hidden="1" xr:uid="{00000000-0005-0000-0000-00005C5B0000}"/>
    <cellStyle name="Followed Hyperlink 4" xfId="4353" hidden="1" xr:uid="{00000000-0005-0000-0000-00005D5B0000}"/>
    <cellStyle name="Followed Hyperlink 4" xfId="4477" hidden="1" xr:uid="{00000000-0005-0000-0000-00005E5B0000}"/>
    <cellStyle name="Followed Hyperlink 4" xfId="4480" hidden="1" xr:uid="{00000000-0005-0000-0000-00005F5B0000}"/>
    <cellStyle name="Followed Hyperlink 4" xfId="4483" hidden="1" xr:uid="{00000000-0005-0000-0000-0000605B0000}"/>
    <cellStyle name="Followed Hyperlink 4" xfId="4485" hidden="1" xr:uid="{00000000-0005-0000-0000-0000615B0000}"/>
    <cellStyle name="Followed Hyperlink 4" xfId="4486" hidden="1" xr:uid="{00000000-0005-0000-0000-0000625B0000}"/>
    <cellStyle name="Followed Hyperlink 4" xfId="4489" hidden="1" xr:uid="{00000000-0005-0000-0000-0000635B0000}"/>
    <cellStyle name="Followed Hyperlink 4" xfId="4498" hidden="1" xr:uid="{00000000-0005-0000-0000-0000645B0000}"/>
    <cellStyle name="Followed Hyperlink 4" xfId="4490" hidden="1" xr:uid="{00000000-0005-0000-0000-0000655B0000}"/>
    <cellStyle name="Followed Hyperlink 4" xfId="4501" hidden="1" xr:uid="{00000000-0005-0000-0000-0000665B0000}"/>
    <cellStyle name="Followed Hyperlink 4" xfId="4504" hidden="1" xr:uid="{00000000-0005-0000-0000-0000675B0000}"/>
    <cellStyle name="Followed Hyperlink 4" xfId="4507" hidden="1" xr:uid="{00000000-0005-0000-0000-0000685B0000}"/>
    <cellStyle name="Followed Hyperlink 4" xfId="4509" hidden="1" xr:uid="{00000000-0005-0000-0000-0000695B0000}"/>
    <cellStyle name="Followed Hyperlink 4" xfId="4510" hidden="1" xr:uid="{00000000-0005-0000-0000-00006A5B0000}"/>
    <cellStyle name="Followed Hyperlink 4" xfId="4513" hidden="1" xr:uid="{00000000-0005-0000-0000-00006B5B0000}"/>
    <cellStyle name="Followed Hyperlink 4" xfId="4523" hidden="1" xr:uid="{00000000-0005-0000-0000-00006C5B0000}"/>
    <cellStyle name="Followed Hyperlink 4" xfId="4515" hidden="1" xr:uid="{00000000-0005-0000-0000-00006D5B0000}"/>
    <cellStyle name="Followed Hyperlink 4" xfId="4526" hidden="1" xr:uid="{00000000-0005-0000-0000-00006E5B0000}"/>
    <cellStyle name="Followed Hyperlink 4" xfId="4529" hidden="1" xr:uid="{00000000-0005-0000-0000-00006F5B0000}"/>
    <cellStyle name="Followed Hyperlink 4" xfId="4532" hidden="1" xr:uid="{00000000-0005-0000-0000-0000705B0000}"/>
    <cellStyle name="Followed Hyperlink 4" xfId="4534" hidden="1" xr:uid="{00000000-0005-0000-0000-0000715B0000}"/>
    <cellStyle name="Followed Hyperlink 4" xfId="4535" hidden="1" xr:uid="{00000000-0005-0000-0000-0000725B0000}"/>
    <cellStyle name="Followed Hyperlink 4" xfId="4538" hidden="1" xr:uid="{00000000-0005-0000-0000-0000735B0000}"/>
    <cellStyle name="Followed Hyperlink 4" xfId="4547" hidden="1" xr:uid="{00000000-0005-0000-0000-0000745B0000}"/>
    <cellStyle name="Followed Hyperlink 4" xfId="4539" hidden="1" xr:uid="{00000000-0005-0000-0000-0000755B0000}"/>
    <cellStyle name="Followed Hyperlink 4" xfId="4550" hidden="1" xr:uid="{00000000-0005-0000-0000-0000765B0000}"/>
    <cellStyle name="Followed Hyperlink 4" xfId="4553" hidden="1" xr:uid="{00000000-0005-0000-0000-0000775B0000}"/>
    <cellStyle name="Followed Hyperlink 4" xfId="4556" hidden="1" xr:uid="{00000000-0005-0000-0000-0000785B0000}"/>
    <cellStyle name="Followed Hyperlink 4" xfId="4558" hidden="1" xr:uid="{00000000-0005-0000-0000-0000795B0000}"/>
    <cellStyle name="Followed Hyperlink 4" xfId="4559" hidden="1" xr:uid="{00000000-0005-0000-0000-00007A5B0000}"/>
    <cellStyle name="Followed Hyperlink 4" xfId="4562" hidden="1" xr:uid="{00000000-0005-0000-0000-00007B5B0000}"/>
    <cellStyle name="Followed Hyperlink 4" xfId="4363" hidden="1" xr:uid="{00000000-0005-0000-0000-00007C5B0000}"/>
    <cellStyle name="Followed Hyperlink 4" xfId="4369" hidden="1" xr:uid="{00000000-0005-0000-0000-00007D5B0000}"/>
    <cellStyle name="Followed Hyperlink 4" xfId="4563" hidden="1" xr:uid="{00000000-0005-0000-0000-00007E5B0000}"/>
    <cellStyle name="Followed Hyperlink 4" xfId="4566" hidden="1" xr:uid="{00000000-0005-0000-0000-00007F5B0000}"/>
    <cellStyle name="Followed Hyperlink 4" xfId="4569" hidden="1" xr:uid="{00000000-0005-0000-0000-0000805B0000}"/>
    <cellStyle name="Followed Hyperlink 4" xfId="4571" hidden="1" xr:uid="{00000000-0005-0000-0000-0000815B0000}"/>
    <cellStyle name="Followed Hyperlink 4" xfId="4572" hidden="1" xr:uid="{00000000-0005-0000-0000-0000825B0000}"/>
    <cellStyle name="Followed Hyperlink 4" xfId="4575" hidden="1" xr:uid="{00000000-0005-0000-0000-0000835B0000}"/>
    <cellStyle name="Followed Hyperlink 4" xfId="4584" hidden="1" xr:uid="{00000000-0005-0000-0000-0000845B0000}"/>
    <cellStyle name="Followed Hyperlink 4" xfId="4576" hidden="1" xr:uid="{00000000-0005-0000-0000-0000855B0000}"/>
    <cellStyle name="Followed Hyperlink 4" xfId="4587" hidden="1" xr:uid="{00000000-0005-0000-0000-0000865B0000}"/>
    <cellStyle name="Followed Hyperlink 4" xfId="4590" hidden="1" xr:uid="{00000000-0005-0000-0000-0000875B0000}"/>
    <cellStyle name="Followed Hyperlink 4" xfId="4593" hidden="1" xr:uid="{00000000-0005-0000-0000-0000885B0000}"/>
    <cellStyle name="Followed Hyperlink 4" xfId="4595" hidden="1" xr:uid="{00000000-0005-0000-0000-0000895B0000}"/>
    <cellStyle name="Followed Hyperlink 4" xfId="4596" hidden="1" xr:uid="{00000000-0005-0000-0000-00008A5B0000}"/>
    <cellStyle name="Followed Hyperlink 4" xfId="4599" hidden="1" xr:uid="{00000000-0005-0000-0000-00008B5B0000}"/>
    <cellStyle name="Followed Hyperlink 4" xfId="4609" hidden="1" xr:uid="{00000000-0005-0000-0000-00008C5B0000}"/>
    <cellStyle name="Followed Hyperlink 4" xfId="4601" hidden="1" xr:uid="{00000000-0005-0000-0000-00008D5B0000}"/>
    <cellStyle name="Followed Hyperlink 4" xfId="4612" hidden="1" xr:uid="{00000000-0005-0000-0000-00008E5B0000}"/>
    <cellStyle name="Followed Hyperlink 4" xfId="4615" hidden="1" xr:uid="{00000000-0005-0000-0000-00008F5B0000}"/>
    <cellStyle name="Followed Hyperlink 4" xfId="4618" hidden="1" xr:uid="{00000000-0005-0000-0000-0000905B0000}"/>
    <cellStyle name="Followed Hyperlink 4" xfId="4620" hidden="1" xr:uid="{00000000-0005-0000-0000-0000915B0000}"/>
    <cellStyle name="Followed Hyperlink 4" xfId="4621" hidden="1" xr:uid="{00000000-0005-0000-0000-0000925B0000}"/>
    <cellStyle name="Followed Hyperlink 4" xfId="4624" hidden="1" xr:uid="{00000000-0005-0000-0000-0000935B0000}"/>
    <cellStyle name="Followed Hyperlink 4" xfId="4633" hidden="1" xr:uid="{00000000-0005-0000-0000-0000945B0000}"/>
    <cellStyle name="Followed Hyperlink 4" xfId="4625" hidden="1" xr:uid="{00000000-0005-0000-0000-0000955B0000}"/>
    <cellStyle name="Followed Hyperlink 4" xfId="4636" hidden="1" xr:uid="{00000000-0005-0000-0000-0000965B0000}"/>
    <cellStyle name="Followed Hyperlink 4" xfId="4639" hidden="1" xr:uid="{00000000-0005-0000-0000-0000975B0000}"/>
    <cellStyle name="Followed Hyperlink 4" xfId="4642" hidden="1" xr:uid="{00000000-0005-0000-0000-0000985B0000}"/>
    <cellStyle name="Followed Hyperlink 4" xfId="4644" hidden="1" xr:uid="{00000000-0005-0000-0000-0000995B0000}"/>
    <cellStyle name="Followed Hyperlink 4" xfId="4645" hidden="1" xr:uid="{00000000-0005-0000-0000-00009A5B0000}"/>
    <cellStyle name="Followed Hyperlink 4" xfId="4648" hidden="1" xr:uid="{00000000-0005-0000-0000-00009B5B0000}"/>
    <cellStyle name="Followed Hyperlink 4" xfId="4373" hidden="1" xr:uid="{00000000-0005-0000-0000-00009C5B0000}"/>
    <cellStyle name="Followed Hyperlink 4" xfId="4428" hidden="1" xr:uid="{00000000-0005-0000-0000-00009D5B0000}"/>
    <cellStyle name="Followed Hyperlink 4" xfId="4649" hidden="1" xr:uid="{00000000-0005-0000-0000-00009E5B0000}"/>
    <cellStyle name="Followed Hyperlink 4" xfId="4652" hidden="1" xr:uid="{00000000-0005-0000-0000-00009F5B0000}"/>
    <cellStyle name="Followed Hyperlink 4" xfId="4655" hidden="1" xr:uid="{00000000-0005-0000-0000-0000A05B0000}"/>
    <cellStyle name="Followed Hyperlink 4" xfId="4657" hidden="1" xr:uid="{00000000-0005-0000-0000-0000A15B0000}"/>
    <cellStyle name="Followed Hyperlink 4" xfId="4658" hidden="1" xr:uid="{00000000-0005-0000-0000-0000A25B0000}"/>
    <cellStyle name="Followed Hyperlink 4" xfId="4661" hidden="1" xr:uid="{00000000-0005-0000-0000-0000A35B0000}"/>
    <cellStyle name="Followed Hyperlink 4" xfId="4670" hidden="1" xr:uid="{00000000-0005-0000-0000-0000A45B0000}"/>
    <cellStyle name="Followed Hyperlink 4" xfId="4662" hidden="1" xr:uid="{00000000-0005-0000-0000-0000A55B0000}"/>
    <cellStyle name="Followed Hyperlink 4" xfId="4673" hidden="1" xr:uid="{00000000-0005-0000-0000-0000A65B0000}"/>
    <cellStyle name="Followed Hyperlink 4" xfId="4676" hidden="1" xr:uid="{00000000-0005-0000-0000-0000A75B0000}"/>
    <cellStyle name="Followed Hyperlink 4" xfId="4679" hidden="1" xr:uid="{00000000-0005-0000-0000-0000A85B0000}"/>
    <cellStyle name="Followed Hyperlink 4" xfId="4681" hidden="1" xr:uid="{00000000-0005-0000-0000-0000A95B0000}"/>
    <cellStyle name="Followed Hyperlink 4" xfId="4682" hidden="1" xr:uid="{00000000-0005-0000-0000-0000AA5B0000}"/>
    <cellStyle name="Followed Hyperlink 4" xfId="4685" hidden="1" xr:uid="{00000000-0005-0000-0000-0000AB5B0000}"/>
    <cellStyle name="Followed Hyperlink 4" xfId="4694" hidden="1" xr:uid="{00000000-0005-0000-0000-0000AC5B0000}"/>
    <cellStyle name="Followed Hyperlink 4" xfId="4686" hidden="1" xr:uid="{00000000-0005-0000-0000-0000AD5B0000}"/>
    <cellStyle name="Followed Hyperlink 4" xfId="4697" hidden="1" xr:uid="{00000000-0005-0000-0000-0000AE5B0000}"/>
    <cellStyle name="Followed Hyperlink 4" xfId="4700" hidden="1" xr:uid="{00000000-0005-0000-0000-0000AF5B0000}"/>
    <cellStyle name="Followed Hyperlink 4" xfId="4703" hidden="1" xr:uid="{00000000-0005-0000-0000-0000B05B0000}"/>
    <cellStyle name="Followed Hyperlink 4" xfId="4705" hidden="1" xr:uid="{00000000-0005-0000-0000-0000B15B0000}"/>
    <cellStyle name="Followed Hyperlink 4" xfId="4706" hidden="1" xr:uid="{00000000-0005-0000-0000-0000B25B0000}"/>
    <cellStyle name="Followed Hyperlink 4" xfId="4709" hidden="1" xr:uid="{00000000-0005-0000-0000-0000B35B0000}"/>
    <cellStyle name="Followed Hyperlink 4" xfId="4718" hidden="1" xr:uid="{00000000-0005-0000-0000-0000B45B0000}"/>
    <cellStyle name="Followed Hyperlink 4" xfId="4710" hidden="1" xr:uid="{00000000-0005-0000-0000-0000B55B0000}"/>
    <cellStyle name="Followed Hyperlink 4" xfId="4721" hidden="1" xr:uid="{00000000-0005-0000-0000-0000B65B0000}"/>
    <cellStyle name="Followed Hyperlink 4" xfId="4724" hidden="1" xr:uid="{00000000-0005-0000-0000-0000B75B0000}"/>
    <cellStyle name="Followed Hyperlink 4" xfId="4727" hidden="1" xr:uid="{00000000-0005-0000-0000-0000B85B0000}"/>
    <cellStyle name="Followed Hyperlink 4" xfId="4729" hidden="1" xr:uid="{00000000-0005-0000-0000-0000B95B0000}"/>
    <cellStyle name="Followed Hyperlink 4" xfId="4730" hidden="1" xr:uid="{00000000-0005-0000-0000-0000BA5B0000}"/>
    <cellStyle name="Followed Hyperlink 4" xfId="4733" hidden="1" xr:uid="{00000000-0005-0000-0000-0000BB5B0000}"/>
    <cellStyle name="Followed Hyperlink 4" xfId="694" hidden="1" xr:uid="{00000000-0005-0000-0000-0000BC5B0000}"/>
    <cellStyle name="Followed Hyperlink 4" xfId="700" hidden="1" xr:uid="{00000000-0005-0000-0000-0000BD5B0000}"/>
    <cellStyle name="Followed Hyperlink 4" xfId="4734" hidden="1" xr:uid="{00000000-0005-0000-0000-0000BE5B0000}"/>
    <cellStyle name="Followed Hyperlink 4" xfId="4737" hidden="1" xr:uid="{00000000-0005-0000-0000-0000BF5B0000}"/>
    <cellStyle name="Followed Hyperlink 4" xfId="4740" hidden="1" xr:uid="{00000000-0005-0000-0000-0000C05B0000}"/>
    <cellStyle name="Followed Hyperlink 4" xfId="4742" hidden="1" xr:uid="{00000000-0005-0000-0000-0000C15B0000}"/>
    <cellStyle name="Followed Hyperlink 4" xfId="4743" hidden="1" xr:uid="{00000000-0005-0000-0000-0000C25B0000}"/>
    <cellStyle name="Followed Hyperlink 4" xfId="4746" hidden="1" xr:uid="{00000000-0005-0000-0000-0000C35B0000}"/>
    <cellStyle name="Followed Hyperlink 4" xfId="4755" hidden="1" xr:uid="{00000000-0005-0000-0000-0000C45B0000}"/>
    <cellStyle name="Followed Hyperlink 4" xfId="4747" hidden="1" xr:uid="{00000000-0005-0000-0000-0000C55B0000}"/>
    <cellStyle name="Followed Hyperlink 4" xfId="4758" hidden="1" xr:uid="{00000000-0005-0000-0000-0000C65B0000}"/>
    <cellStyle name="Followed Hyperlink 4" xfId="4761" hidden="1" xr:uid="{00000000-0005-0000-0000-0000C75B0000}"/>
    <cellStyle name="Followed Hyperlink 4" xfId="4764" hidden="1" xr:uid="{00000000-0005-0000-0000-0000C85B0000}"/>
    <cellStyle name="Followed Hyperlink 4" xfId="4766" hidden="1" xr:uid="{00000000-0005-0000-0000-0000C95B0000}"/>
    <cellStyle name="Followed Hyperlink 4" xfId="4767" hidden="1" xr:uid="{00000000-0005-0000-0000-0000CA5B0000}"/>
    <cellStyle name="Followed Hyperlink 4" xfId="4770" hidden="1" xr:uid="{00000000-0005-0000-0000-0000CB5B0000}"/>
    <cellStyle name="Followed Hyperlink 4" xfId="4780" hidden="1" xr:uid="{00000000-0005-0000-0000-0000CC5B0000}"/>
    <cellStyle name="Followed Hyperlink 4" xfId="4772" hidden="1" xr:uid="{00000000-0005-0000-0000-0000CD5B0000}"/>
    <cellStyle name="Followed Hyperlink 4" xfId="4783" hidden="1" xr:uid="{00000000-0005-0000-0000-0000CE5B0000}"/>
    <cellStyle name="Followed Hyperlink 4" xfId="4786" hidden="1" xr:uid="{00000000-0005-0000-0000-0000CF5B0000}"/>
    <cellStyle name="Followed Hyperlink 4" xfId="4789" hidden="1" xr:uid="{00000000-0005-0000-0000-0000D05B0000}"/>
    <cellStyle name="Followed Hyperlink 4" xfId="4791" hidden="1" xr:uid="{00000000-0005-0000-0000-0000D15B0000}"/>
    <cellStyle name="Followed Hyperlink 4" xfId="4792" hidden="1" xr:uid="{00000000-0005-0000-0000-0000D25B0000}"/>
    <cellStyle name="Followed Hyperlink 4" xfId="4795" hidden="1" xr:uid="{00000000-0005-0000-0000-0000D35B0000}"/>
    <cellStyle name="Followed Hyperlink 4" xfId="4804" hidden="1" xr:uid="{00000000-0005-0000-0000-0000D45B0000}"/>
    <cellStyle name="Followed Hyperlink 4" xfId="4796" hidden="1" xr:uid="{00000000-0005-0000-0000-0000D55B0000}"/>
    <cellStyle name="Followed Hyperlink 4" xfId="4807" hidden="1" xr:uid="{00000000-0005-0000-0000-0000D65B0000}"/>
    <cellStyle name="Followed Hyperlink 4" xfId="4810" hidden="1" xr:uid="{00000000-0005-0000-0000-0000D75B0000}"/>
    <cellStyle name="Followed Hyperlink 4" xfId="4813" hidden="1" xr:uid="{00000000-0005-0000-0000-0000D85B0000}"/>
    <cellStyle name="Followed Hyperlink 4" xfId="4815" hidden="1" xr:uid="{00000000-0005-0000-0000-0000D95B0000}"/>
    <cellStyle name="Followed Hyperlink 4" xfId="4816" hidden="1" xr:uid="{00000000-0005-0000-0000-0000DA5B0000}"/>
    <cellStyle name="Followed Hyperlink 4" xfId="4819" hidden="1" xr:uid="{00000000-0005-0000-0000-0000DB5B0000}"/>
    <cellStyle name="Followed Hyperlink 4" xfId="4857" hidden="1" xr:uid="{00000000-0005-0000-0000-0000DC5B0000}"/>
    <cellStyle name="Followed Hyperlink 4" xfId="4849" hidden="1" xr:uid="{00000000-0005-0000-0000-0000DD5B0000}"/>
    <cellStyle name="Followed Hyperlink 4" xfId="4860" hidden="1" xr:uid="{00000000-0005-0000-0000-0000DE5B0000}"/>
    <cellStyle name="Followed Hyperlink 4" xfId="4863" hidden="1" xr:uid="{00000000-0005-0000-0000-0000DF5B0000}"/>
    <cellStyle name="Followed Hyperlink 4" xfId="4866" hidden="1" xr:uid="{00000000-0005-0000-0000-0000E05B0000}"/>
    <cellStyle name="Followed Hyperlink 4" xfId="4868" hidden="1" xr:uid="{00000000-0005-0000-0000-0000E15B0000}"/>
    <cellStyle name="Followed Hyperlink 4" xfId="4869" hidden="1" xr:uid="{00000000-0005-0000-0000-0000E25B0000}"/>
    <cellStyle name="Followed Hyperlink 4" xfId="4872" hidden="1" xr:uid="{00000000-0005-0000-0000-0000E35B0000}"/>
    <cellStyle name="Followed Hyperlink 4" xfId="4881" hidden="1" xr:uid="{00000000-0005-0000-0000-0000E45B0000}"/>
    <cellStyle name="Followed Hyperlink 4" xfId="4873" hidden="1" xr:uid="{00000000-0005-0000-0000-0000E55B0000}"/>
    <cellStyle name="Followed Hyperlink 4" xfId="4884" hidden="1" xr:uid="{00000000-0005-0000-0000-0000E65B0000}"/>
    <cellStyle name="Followed Hyperlink 4" xfId="4887" hidden="1" xr:uid="{00000000-0005-0000-0000-0000E75B0000}"/>
    <cellStyle name="Followed Hyperlink 4" xfId="4890" hidden="1" xr:uid="{00000000-0005-0000-0000-0000E85B0000}"/>
    <cellStyle name="Followed Hyperlink 4" xfId="4892" hidden="1" xr:uid="{00000000-0005-0000-0000-0000E95B0000}"/>
    <cellStyle name="Followed Hyperlink 4" xfId="4893" hidden="1" xr:uid="{00000000-0005-0000-0000-0000EA5B0000}"/>
    <cellStyle name="Followed Hyperlink 4" xfId="4896" hidden="1" xr:uid="{00000000-0005-0000-0000-0000EB5B0000}"/>
    <cellStyle name="Followed Hyperlink 4" xfId="4907" hidden="1" xr:uid="{00000000-0005-0000-0000-0000EC5B0000}"/>
    <cellStyle name="Followed Hyperlink 4" xfId="4899" hidden="1" xr:uid="{00000000-0005-0000-0000-0000ED5B0000}"/>
    <cellStyle name="Followed Hyperlink 4" xfId="4910" hidden="1" xr:uid="{00000000-0005-0000-0000-0000EE5B0000}"/>
    <cellStyle name="Followed Hyperlink 4" xfId="4913" hidden="1" xr:uid="{00000000-0005-0000-0000-0000EF5B0000}"/>
    <cellStyle name="Followed Hyperlink 4" xfId="4916" hidden="1" xr:uid="{00000000-0005-0000-0000-0000F05B0000}"/>
    <cellStyle name="Followed Hyperlink 4" xfId="4918" hidden="1" xr:uid="{00000000-0005-0000-0000-0000F15B0000}"/>
    <cellStyle name="Followed Hyperlink 4" xfId="4919" hidden="1" xr:uid="{00000000-0005-0000-0000-0000F25B0000}"/>
    <cellStyle name="Followed Hyperlink 4" xfId="4922" hidden="1" xr:uid="{00000000-0005-0000-0000-0000F35B0000}"/>
    <cellStyle name="Followed Hyperlink 4" xfId="4931" hidden="1" xr:uid="{00000000-0005-0000-0000-0000F45B0000}"/>
    <cellStyle name="Followed Hyperlink 4" xfId="4923" hidden="1" xr:uid="{00000000-0005-0000-0000-0000F55B0000}"/>
    <cellStyle name="Followed Hyperlink 4" xfId="4934" hidden="1" xr:uid="{00000000-0005-0000-0000-0000F65B0000}"/>
    <cellStyle name="Followed Hyperlink 4" xfId="4937" hidden="1" xr:uid="{00000000-0005-0000-0000-0000F75B0000}"/>
    <cellStyle name="Followed Hyperlink 4" xfId="4940" hidden="1" xr:uid="{00000000-0005-0000-0000-0000F85B0000}"/>
    <cellStyle name="Followed Hyperlink 4" xfId="4942" hidden="1" xr:uid="{00000000-0005-0000-0000-0000F95B0000}"/>
    <cellStyle name="Followed Hyperlink 4" xfId="4943" hidden="1" xr:uid="{00000000-0005-0000-0000-0000FA5B0000}"/>
    <cellStyle name="Followed Hyperlink 4" xfId="4946" hidden="1" xr:uid="{00000000-0005-0000-0000-0000FB5B0000}"/>
    <cellStyle name="Followed Hyperlink 4" xfId="4984" hidden="1" xr:uid="{00000000-0005-0000-0000-0000FC5B0000}"/>
    <cellStyle name="Followed Hyperlink 4" xfId="4976" hidden="1" xr:uid="{00000000-0005-0000-0000-0000FD5B0000}"/>
    <cellStyle name="Followed Hyperlink 4" xfId="4987" hidden="1" xr:uid="{00000000-0005-0000-0000-0000FE5B0000}"/>
    <cellStyle name="Followed Hyperlink 4" xfId="4990" hidden="1" xr:uid="{00000000-0005-0000-0000-0000FF5B0000}"/>
    <cellStyle name="Followed Hyperlink 4" xfId="4993" hidden="1" xr:uid="{00000000-0005-0000-0000-0000005C0000}"/>
    <cellStyle name="Followed Hyperlink 4" xfId="4995" hidden="1" xr:uid="{00000000-0005-0000-0000-0000015C0000}"/>
    <cellStyle name="Followed Hyperlink 4" xfId="4996" hidden="1" xr:uid="{00000000-0005-0000-0000-0000025C0000}"/>
    <cellStyle name="Followed Hyperlink 4" xfId="4999" hidden="1" xr:uid="{00000000-0005-0000-0000-0000035C0000}"/>
    <cellStyle name="Followed Hyperlink 4" xfId="5008" hidden="1" xr:uid="{00000000-0005-0000-0000-0000045C0000}"/>
    <cellStyle name="Followed Hyperlink 4" xfId="5000" hidden="1" xr:uid="{00000000-0005-0000-0000-0000055C0000}"/>
    <cellStyle name="Followed Hyperlink 4" xfId="5011" hidden="1" xr:uid="{00000000-0005-0000-0000-0000065C0000}"/>
    <cellStyle name="Followed Hyperlink 4" xfId="5014" hidden="1" xr:uid="{00000000-0005-0000-0000-0000075C0000}"/>
    <cellStyle name="Followed Hyperlink 4" xfId="5017" hidden="1" xr:uid="{00000000-0005-0000-0000-0000085C0000}"/>
    <cellStyle name="Followed Hyperlink 4" xfId="5019" hidden="1" xr:uid="{00000000-0005-0000-0000-0000095C0000}"/>
    <cellStyle name="Followed Hyperlink 4" xfId="5020" hidden="1" xr:uid="{00000000-0005-0000-0000-00000A5C0000}"/>
    <cellStyle name="Followed Hyperlink 4" xfId="5023" hidden="1" xr:uid="{00000000-0005-0000-0000-00000B5C0000}"/>
    <cellStyle name="Followed Hyperlink 4" xfId="5034" hidden="1" xr:uid="{00000000-0005-0000-0000-00000C5C0000}"/>
    <cellStyle name="Followed Hyperlink 4" xfId="5026" hidden="1" xr:uid="{00000000-0005-0000-0000-00000D5C0000}"/>
    <cellStyle name="Followed Hyperlink 4" xfId="5037" hidden="1" xr:uid="{00000000-0005-0000-0000-00000E5C0000}"/>
    <cellStyle name="Followed Hyperlink 4" xfId="5040" hidden="1" xr:uid="{00000000-0005-0000-0000-00000F5C0000}"/>
    <cellStyle name="Followed Hyperlink 4" xfId="5043" hidden="1" xr:uid="{00000000-0005-0000-0000-0000105C0000}"/>
    <cellStyle name="Followed Hyperlink 4" xfId="5045" hidden="1" xr:uid="{00000000-0005-0000-0000-0000115C0000}"/>
    <cellStyle name="Followed Hyperlink 4" xfId="5046" hidden="1" xr:uid="{00000000-0005-0000-0000-0000125C0000}"/>
    <cellStyle name="Followed Hyperlink 4" xfId="5049" hidden="1" xr:uid="{00000000-0005-0000-0000-0000135C0000}"/>
    <cellStyle name="Followed Hyperlink 4" xfId="5058" hidden="1" xr:uid="{00000000-0005-0000-0000-0000145C0000}"/>
    <cellStyle name="Followed Hyperlink 4" xfId="5050" hidden="1" xr:uid="{00000000-0005-0000-0000-0000155C0000}"/>
    <cellStyle name="Followed Hyperlink 4" xfId="5061" hidden="1" xr:uid="{00000000-0005-0000-0000-0000165C0000}"/>
    <cellStyle name="Followed Hyperlink 4" xfId="5064" hidden="1" xr:uid="{00000000-0005-0000-0000-0000175C0000}"/>
    <cellStyle name="Followed Hyperlink 4" xfId="5067" hidden="1" xr:uid="{00000000-0005-0000-0000-0000185C0000}"/>
    <cellStyle name="Followed Hyperlink 4" xfId="5069" hidden="1" xr:uid="{00000000-0005-0000-0000-0000195C0000}"/>
    <cellStyle name="Followed Hyperlink 4" xfId="5070" hidden="1" xr:uid="{00000000-0005-0000-0000-00001A5C0000}"/>
    <cellStyle name="Followed Hyperlink 4" xfId="5073" hidden="1" xr:uid="{00000000-0005-0000-0000-00001B5C0000}"/>
    <cellStyle name="Followed Hyperlink 4" xfId="4956" hidden="1" xr:uid="{00000000-0005-0000-0000-00001C5C0000}"/>
    <cellStyle name="Followed Hyperlink 4" xfId="4950" hidden="1" xr:uid="{00000000-0005-0000-0000-00001D5C0000}"/>
    <cellStyle name="Followed Hyperlink 4" xfId="5074" hidden="1" xr:uid="{00000000-0005-0000-0000-00001E5C0000}"/>
    <cellStyle name="Followed Hyperlink 4" xfId="5077" hidden="1" xr:uid="{00000000-0005-0000-0000-00001F5C0000}"/>
    <cellStyle name="Followed Hyperlink 4" xfId="5080" hidden="1" xr:uid="{00000000-0005-0000-0000-0000205C0000}"/>
    <cellStyle name="Followed Hyperlink 4" xfId="5082" hidden="1" xr:uid="{00000000-0005-0000-0000-0000215C0000}"/>
    <cellStyle name="Followed Hyperlink 4" xfId="5083" hidden="1" xr:uid="{00000000-0005-0000-0000-0000225C0000}"/>
    <cellStyle name="Followed Hyperlink 4" xfId="5086" hidden="1" xr:uid="{00000000-0005-0000-0000-0000235C0000}"/>
    <cellStyle name="Followed Hyperlink 4" xfId="5095" hidden="1" xr:uid="{00000000-0005-0000-0000-0000245C0000}"/>
    <cellStyle name="Followed Hyperlink 4" xfId="5087" hidden="1" xr:uid="{00000000-0005-0000-0000-0000255C0000}"/>
    <cellStyle name="Followed Hyperlink 4" xfId="5098" hidden="1" xr:uid="{00000000-0005-0000-0000-0000265C0000}"/>
    <cellStyle name="Followed Hyperlink 4" xfId="5101" hidden="1" xr:uid="{00000000-0005-0000-0000-0000275C0000}"/>
    <cellStyle name="Followed Hyperlink 4" xfId="5104" hidden="1" xr:uid="{00000000-0005-0000-0000-0000285C0000}"/>
    <cellStyle name="Followed Hyperlink 4" xfId="5106" hidden="1" xr:uid="{00000000-0005-0000-0000-0000295C0000}"/>
    <cellStyle name="Followed Hyperlink 4" xfId="5107" hidden="1" xr:uid="{00000000-0005-0000-0000-00002A5C0000}"/>
    <cellStyle name="Followed Hyperlink 4" xfId="5110" hidden="1" xr:uid="{00000000-0005-0000-0000-00002B5C0000}"/>
    <cellStyle name="Followed Hyperlink 4" xfId="5120" hidden="1" xr:uid="{00000000-0005-0000-0000-00002C5C0000}"/>
    <cellStyle name="Followed Hyperlink 4" xfId="5112" hidden="1" xr:uid="{00000000-0005-0000-0000-00002D5C0000}"/>
    <cellStyle name="Followed Hyperlink 4" xfId="5123" hidden="1" xr:uid="{00000000-0005-0000-0000-00002E5C0000}"/>
    <cellStyle name="Followed Hyperlink 4" xfId="5126" hidden="1" xr:uid="{00000000-0005-0000-0000-00002F5C0000}"/>
    <cellStyle name="Followed Hyperlink 4" xfId="5129" hidden="1" xr:uid="{00000000-0005-0000-0000-0000305C0000}"/>
    <cellStyle name="Followed Hyperlink 4" xfId="5131" hidden="1" xr:uid="{00000000-0005-0000-0000-0000315C0000}"/>
    <cellStyle name="Followed Hyperlink 4" xfId="5132" hidden="1" xr:uid="{00000000-0005-0000-0000-0000325C0000}"/>
    <cellStyle name="Followed Hyperlink 4" xfId="5135" hidden="1" xr:uid="{00000000-0005-0000-0000-0000335C0000}"/>
    <cellStyle name="Followed Hyperlink 4" xfId="5144" hidden="1" xr:uid="{00000000-0005-0000-0000-0000345C0000}"/>
    <cellStyle name="Followed Hyperlink 4" xfId="5136" hidden="1" xr:uid="{00000000-0005-0000-0000-0000355C0000}"/>
    <cellStyle name="Followed Hyperlink 4" xfId="5147" hidden="1" xr:uid="{00000000-0005-0000-0000-0000365C0000}"/>
    <cellStyle name="Followed Hyperlink 4" xfId="5150" hidden="1" xr:uid="{00000000-0005-0000-0000-0000375C0000}"/>
    <cellStyle name="Followed Hyperlink 4" xfId="5153" hidden="1" xr:uid="{00000000-0005-0000-0000-0000385C0000}"/>
    <cellStyle name="Followed Hyperlink 4" xfId="5155" hidden="1" xr:uid="{00000000-0005-0000-0000-0000395C0000}"/>
    <cellStyle name="Followed Hyperlink 4" xfId="5156" hidden="1" xr:uid="{00000000-0005-0000-0000-00003A5C0000}"/>
    <cellStyle name="Followed Hyperlink 4" xfId="5159" hidden="1" xr:uid="{00000000-0005-0000-0000-00003B5C0000}"/>
    <cellStyle name="Followed Hyperlink 4" xfId="4960" hidden="1" xr:uid="{00000000-0005-0000-0000-00003C5C0000}"/>
    <cellStyle name="Followed Hyperlink 4" xfId="4966" hidden="1" xr:uid="{00000000-0005-0000-0000-00003D5C0000}"/>
    <cellStyle name="Followed Hyperlink 4" xfId="5160" hidden="1" xr:uid="{00000000-0005-0000-0000-00003E5C0000}"/>
    <cellStyle name="Followed Hyperlink 4" xfId="5163" hidden="1" xr:uid="{00000000-0005-0000-0000-00003F5C0000}"/>
    <cellStyle name="Followed Hyperlink 4" xfId="5166" hidden="1" xr:uid="{00000000-0005-0000-0000-0000405C0000}"/>
    <cellStyle name="Followed Hyperlink 4" xfId="5168" hidden="1" xr:uid="{00000000-0005-0000-0000-0000415C0000}"/>
    <cellStyle name="Followed Hyperlink 4" xfId="5169" hidden="1" xr:uid="{00000000-0005-0000-0000-0000425C0000}"/>
    <cellStyle name="Followed Hyperlink 4" xfId="5172" hidden="1" xr:uid="{00000000-0005-0000-0000-0000435C0000}"/>
    <cellStyle name="Followed Hyperlink 4" xfId="5181" hidden="1" xr:uid="{00000000-0005-0000-0000-0000445C0000}"/>
    <cellStyle name="Followed Hyperlink 4" xfId="5173" hidden="1" xr:uid="{00000000-0005-0000-0000-0000455C0000}"/>
    <cellStyle name="Followed Hyperlink 4" xfId="5184" hidden="1" xr:uid="{00000000-0005-0000-0000-0000465C0000}"/>
    <cellStyle name="Followed Hyperlink 4" xfId="5187" hidden="1" xr:uid="{00000000-0005-0000-0000-0000475C0000}"/>
    <cellStyle name="Followed Hyperlink 4" xfId="5190" hidden="1" xr:uid="{00000000-0005-0000-0000-0000485C0000}"/>
    <cellStyle name="Followed Hyperlink 4" xfId="5192" hidden="1" xr:uid="{00000000-0005-0000-0000-0000495C0000}"/>
    <cellStyle name="Followed Hyperlink 4" xfId="5193" hidden="1" xr:uid="{00000000-0005-0000-0000-00004A5C0000}"/>
    <cellStyle name="Followed Hyperlink 4" xfId="5196" hidden="1" xr:uid="{00000000-0005-0000-0000-00004B5C0000}"/>
    <cellStyle name="Followed Hyperlink 4" xfId="5206" hidden="1" xr:uid="{00000000-0005-0000-0000-00004C5C0000}"/>
    <cellStyle name="Followed Hyperlink 4" xfId="5198" hidden="1" xr:uid="{00000000-0005-0000-0000-00004D5C0000}"/>
    <cellStyle name="Followed Hyperlink 4" xfId="5209" hidden="1" xr:uid="{00000000-0005-0000-0000-00004E5C0000}"/>
    <cellStyle name="Followed Hyperlink 4" xfId="5212" hidden="1" xr:uid="{00000000-0005-0000-0000-00004F5C0000}"/>
    <cellStyle name="Followed Hyperlink 4" xfId="5215" hidden="1" xr:uid="{00000000-0005-0000-0000-0000505C0000}"/>
    <cellStyle name="Followed Hyperlink 4" xfId="5217" hidden="1" xr:uid="{00000000-0005-0000-0000-0000515C0000}"/>
    <cellStyle name="Followed Hyperlink 4" xfId="5218" hidden="1" xr:uid="{00000000-0005-0000-0000-0000525C0000}"/>
    <cellStyle name="Followed Hyperlink 4" xfId="5221" hidden="1" xr:uid="{00000000-0005-0000-0000-0000535C0000}"/>
    <cellStyle name="Followed Hyperlink 4" xfId="5230" hidden="1" xr:uid="{00000000-0005-0000-0000-0000545C0000}"/>
    <cellStyle name="Followed Hyperlink 4" xfId="5222" hidden="1" xr:uid="{00000000-0005-0000-0000-0000555C0000}"/>
    <cellStyle name="Followed Hyperlink 4" xfId="5233" hidden="1" xr:uid="{00000000-0005-0000-0000-0000565C0000}"/>
    <cellStyle name="Followed Hyperlink 4" xfId="5236" hidden="1" xr:uid="{00000000-0005-0000-0000-0000575C0000}"/>
    <cellStyle name="Followed Hyperlink 4" xfId="5239" hidden="1" xr:uid="{00000000-0005-0000-0000-0000585C0000}"/>
    <cellStyle name="Followed Hyperlink 4" xfId="5241" hidden="1" xr:uid="{00000000-0005-0000-0000-0000595C0000}"/>
    <cellStyle name="Followed Hyperlink 4" xfId="5242" hidden="1" xr:uid="{00000000-0005-0000-0000-00005A5C0000}"/>
    <cellStyle name="Followed Hyperlink 4" xfId="5245" hidden="1" xr:uid="{00000000-0005-0000-0000-00005B5C0000}"/>
    <cellStyle name="Followed Hyperlink 4" xfId="4970" hidden="1" xr:uid="{00000000-0005-0000-0000-00005C5C0000}"/>
    <cellStyle name="Followed Hyperlink 4" xfId="5025" hidden="1" xr:uid="{00000000-0005-0000-0000-00005D5C0000}"/>
    <cellStyle name="Followed Hyperlink 4" xfId="5246" hidden="1" xr:uid="{00000000-0005-0000-0000-00005E5C0000}"/>
    <cellStyle name="Followed Hyperlink 4" xfId="5249" hidden="1" xr:uid="{00000000-0005-0000-0000-00005F5C0000}"/>
    <cellStyle name="Followed Hyperlink 4" xfId="5252" hidden="1" xr:uid="{00000000-0005-0000-0000-0000605C0000}"/>
    <cellStyle name="Followed Hyperlink 4" xfId="5254" hidden="1" xr:uid="{00000000-0005-0000-0000-0000615C0000}"/>
    <cellStyle name="Followed Hyperlink 4" xfId="5255" hidden="1" xr:uid="{00000000-0005-0000-0000-0000625C0000}"/>
    <cellStyle name="Followed Hyperlink 4" xfId="5258" hidden="1" xr:uid="{00000000-0005-0000-0000-0000635C0000}"/>
    <cellStyle name="Followed Hyperlink 4" xfId="5267" hidden="1" xr:uid="{00000000-0005-0000-0000-0000645C0000}"/>
    <cellStyle name="Followed Hyperlink 4" xfId="5259" hidden="1" xr:uid="{00000000-0005-0000-0000-0000655C0000}"/>
    <cellStyle name="Followed Hyperlink 4" xfId="5270" hidden="1" xr:uid="{00000000-0005-0000-0000-0000665C0000}"/>
    <cellStyle name="Followed Hyperlink 4" xfId="5273" hidden="1" xr:uid="{00000000-0005-0000-0000-0000675C0000}"/>
    <cellStyle name="Followed Hyperlink 4" xfId="5276" hidden="1" xr:uid="{00000000-0005-0000-0000-0000685C0000}"/>
    <cellStyle name="Followed Hyperlink 4" xfId="5278" hidden="1" xr:uid="{00000000-0005-0000-0000-0000695C0000}"/>
    <cellStyle name="Followed Hyperlink 4" xfId="5279" hidden="1" xr:uid="{00000000-0005-0000-0000-00006A5C0000}"/>
    <cellStyle name="Followed Hyperlink 4" xfId="5282" hidden="1" xr:uid="{00000000-0005-0000-0000-00006B5C0000}"/>
    <cellStyle name="Followed Hyperlink 4" xfId="5291" hidden="1" xr:uid="{00000000-0005-0000-0000-00006C5C0000}"/>
    <cellStyle name="Followed Hyperlink 4" xfId="5283" hidden="1" xr:uid="{00000000-0005-0000-0000-00006D5C0000}"/>
    <cellStyle name="Followed Hyperlink 4" xfId="5294" hidden="1" xr:uid="{00000000-0005-0000-0000-00006E5C0000}"/>
    <cellStyle name="Followed Hyperlink 4" xfId="5297" hidden="1" xr:uid="{00000000-0005-0000-0000-00006F5C0000}"/>
    <cellStyle name="Followed Hyperlink 4" xfId="5300" hidden="1" xr:uid="{00000000-0005-0000-0000-0000705C0000}"/>
    <cellStyle name="Followed Hyperlink 4" xfId="5302" hidden="1" xr:uid="{00000000-0005-0000-0000-0000715C0000}"/>
    <cellStyle name="Followed Hyperlink 4" xfId="5303" hidden="1" xr:uid="{00000000-0005-0000-0000-0000725C0000}"/>
    <cellStyle name="Followed Hyperlink 4" xfId="5306" hidden="1" xr:uid="{00000000-0005-0000-0000-0000735C0000}"/>
    <cellStyle name="Followed Hyperlink 4" xfId="5315" hidden="1" xr:uid="{00000000-0005-0000-0000-0000745C0000}"/>
    <cellStyle name="Followed Hyperlink 4" xfId="5307" hidden="1" xr:uid="{00000000-0005-0000-0000-0000755C0000}"/>
    <cellStyle name="Followed Hyperlink 4" xfId="5318" hidden="1" xr:uid="{00000000-0005-0000-0000-0000765C0000}"/>
    <cellStyle name="Followed Hyperlink 4" xfId="5321" hidden="1" xr:uid="{00000000-0005-0000-0000-0000775C0000}"/>
    <cellStyle name="Followed Hyperlink 4" xfId="5324" hidden="1" xr:uid="{00000000-0005-0000-0000-0000785C0000}"/>
    <cellStyle name="Followed Hyperlink 4" xfId="5326" hidden="1" xr:uid="{00000000-0005-0000-0000-0000795C0000}"/>
    <cellStyle name="Followed Hyperlink 4" xfId="5327" hidden="1" xr:uid="{00000000-0005-0000-0000-00007A5C0000}"/>
    <cellStyle name="Followed Hyperlink 4" xfId="5330" hidden="1" xr:uid="{00000000-0005-0000-0000-00007B5C0000}"/>
    <cellStyle name="Followed Hyperlink 4" xfId="4829" hidden="1" xr:uid="{00000000-0005-0000-0000-00007C5C0000}"/>
    <cellStyle name="Followed Hyperlink 4" xfId="4823" hidden="1" xr:uid="{00000000-0005-0000-0000-00007D5C0000}"/>
    <cellStyle name="Followed Hyperlink 4" xfId="5331" hidden="1" xr:uid="{00000000-0005-0000-0000-00007E5C0000}"/>
    <cellStyle name="Followed Hyperlink 4" xfId="5334" hidden="1" xr:uid="{00000000-0005-0000-0000-00007F5C0000}"/>
    <cellStyle name="Followed Hyperlink 4" xfId="5337" hidden="1" xr:uid="{00000000-0005-0000-0000-0000805C0000}"/>
    <cellStyle name="Followed Hyperlink 4" xfId="5339" hidden="1" xr:uid="{00000000-0005-0000-0000-0000815C0000}"/>
    <cellStyle name="Followed Hyperlink 4" xfId="5340" hidden="1" xr:uid="{00000000-0005-0000-0000-0000825C0000}"/>
    <cellStyle name="Followed Hyperlink 4" xfId="5343" hidden="1" xr:uid="{00000000-0005-0000-0000-0000835C0000}"/>
    <cellStyle name="Followed Hyperlink 4" xfId="5352" hidden="1" xr:uid="{00000000-0005-0000-0000-0000845C0000}"/>
    <cellStyle name="Followed Hyperlink 4" xfId="5344" hidden="1" xr:uid="{00000000-0005-0000-0000-0000855C0000}"/>
    <cellStyle name="Followed Hyperlink 4" xfId="5355" hidden="1" xr:uid="{00000000-0005-0000-0000-0000865C0000}"/>
    <cellStyle name="Followed Hyperlink 4" xfId="5358" hidden="1" xr:uid="{00000000-0005-0000-0000-0000875C0000}"/>
    <cellStyle name="Followed Hyperlink 4" xfId="5361" hidden="1" xr:uid="{00000000-0005-0000-0000-0000885C0000}"/>
    <cellStyle name="Followed Hyperlink 4" xfId="5363" hidden="1" xr:uid="{00000000-0005-0000-0000-0000895C0000}"/>
    <cellStyle name="Followed Hyperlink 4" xfId="5364" hidden="1" xr:uid="{00000000-0005-0000-0000-00008A5C0000}"/>
    <cellStyle name="Followed Hyperlink 4" xfId="5367" hidden="1" xr:uid="{00000000-0005-0000-0000-00008B5C0000}"/>
    <cellStyle name="Followed Hyperlink 4" xfId="5377" hidden="1" xr:uid="{00000000-0005-0000-0000-00008C5C0000}"/>
    <cellStyle name="Followed Hyperlink 4" xfId="5369" hidden="1" xr:uid="{00000000-0005-0000-0000-00008D5C0000}"/>
    <cellStyle name="Followed Hyperlink 4" xfId="5380" hidden="1" xr:uid="{00000000-0005-0000-0000-00008E5C0000}"/>
    <cellStyle name="Followed Hyperlink 4" xfId="5383" hidden="1" xr:uid="{00000000-0005-0000-0000-00008F5C0000}"/>
    <cellStyle name="Followed Hyperlink 4" xfId="5386" hidden="1" xr:uid="{00000000-0005-0000-0000-0000905C0000}"/>
    <cellStyle name="Followed Hyperlink 4" xfId="5388" hidden="1" xr:uid="{00000000-0005-0000-0000-0000915C0000}"/>
    <cellStyle name="Followed Hyperlink 4" xfId="5389" hidden="1" xr:uid="{00000000-0005-0000-0000-0000925C0000}"/>
    <cellStyle name="Followed Hyperlink 4" xfId="5392" hidden="1" xr:uid="{00000000-0005-0000-0000-0000935C0000}"/>
    <cellStyle name="Followed Hyperlink 4" xfId="5401" hidden="1" xr:uid="{00000000-0005-0000-0000-0000945C0000}"/>
    <cellStyle name="Followed Hyperlink 4" xfId="5393" hidden="1" xr:uid="{00000000-0005-0000-0000-0000955C0000}"/>
    <cellStyle name="Followed Hyperlink 4" xfId="5404" hidden="1" xr:uid="{00000000-0005-0000-0000-0000965C0000}"/>
    <cellStyle name="Followed Hyperlink 4" xfId="5407" hidden="1" xr:uid="{00000000-0005-0000-0000-0000975C0000}"/>
    <cellStyle name="Followed Hyperlink 4" xfId="5410" hidden="1" xr:uid="{00000000-0005-0000-0000-0000985C0000}"/>
    <cellStyle name="Followed Hyperlink 4" xfId="5412" hidden="1" xr:uid="{00000000-0005-0000-0000-0000995C0000}"/>
    <cellStyle name="Followed Hyperlink 4" xfId="5413" hidden="1" xr:uid="{00000000-0005-0000-0000-00009A5C0000}"/>
    <cellStyle name="Followed Hyperlink 4" xfId="5416" hidden="1" xr:uid="{00000000-0005-0000-0000-00009B5C0000}"/>
    <cellStyle name="Followed Hyperlink 4" xfId="5454" hidden="1" xr:uid="{00000000-0005-0000-0000-00009C5C0000}"/>
    <cellStyle name="Followed Hyperlink 4" xfId="5446" hidden="1" xr:uid="{00000000-0005-0000-0000-00009D5C0000}"/>
    <cellStyle name="Followed Hyperlink 4" xfId="5457" hidden="1" xr:uid="{00000000-0005-0000-0000-00009E5C0000}"/>
    <cellStyle name="Followed Hyperlink 4" xfId="5460" hidden="1" xr:uid="{00000000-0005-0000-0000-00009F5C0000}"/>
    <cellStyle name="Followed Hyperlink 4" xfId="5463" hidden="1" xr:uid="{00000000-0005-0000-0000-0000A05C0000}"/>
    <cellStyle name="Followed Hyperlink 4" xfId="5465" hidden="1" xr:uid="{00000000-0005-0000-0000-0000A15C0000}"/>
    <cellStyle name="Followed Hyperlink 4" xfId="5466" hidden="1" xr:uid="{00000000-0005-0000-0000-0000A25C0000}"/>
    <cellStyle name="Followed Hyperlink 4" xfId="5469" hidden="1" xr:uid="{00000000-0005-0000-0000-0000A35C0000}"/>
    <cellStyle name="Followed Hyperlink 4" xfId="5478" hidden="1" xr:uid="{00000000-0005-0000-0000-0000A45C0000}"/>
    <cellStyle name="Followed Hyperlink 4" xfId="5470" hidden="1" xr:uid="{00000000-0005-0000-0000-0000A55C0000}"/>
    <cellStyle name="Followed Hyperlink 4" xfId="5481" hidden="1" xr:uid="{00000000-0005-0000-0000-0000A65C0000}"/>
    <cellStyle name="Followed Hyperlink 4" xfId="5484" hidden="1" xr:uid="{00000000-0005-0000-0000-0000A75C0000}"/>
    <cellStyle name="Followed Hyperlink 4" xfId="5487" hidden="1" xr:uid="{00000000-0005-0000-0000-0000A85C0000}"/>
    <cellStyle name="Followed Hyperlink 4" xfId="5489" hidden="1" xr:uid="{00000000-0005-0000-0000-0000A95C0000}"/>
    <cellStyle name="Followed Hyperlink 4" xfId="5490" hidden="1" xr:uid="{00000000-0005-0000-0000-0000AA5C0000}"/>
    <cellStyle name="Followed Hyperlink 4" xfId="5493" hidden="1" xr:uid="{00000000-0005-0000-0000-0000AB5C0000}"/>
    <cellStyle name="Followed Hyperlink 4" xfId="5504" hidden="1" xr:uid="{00000000-0005-0000-0000-0000AC5C0000}"/>
    <cellStyle name="Followed Hyperlink 4" xfId="5496" hidden="1" xr:uid="{00000000-0005-0000-0000-0000AD5C0000}"/>
    <cellStyle name="Followed Hyperlink 4" xfId="5507" hidden="1" xr:uid="{00000000-0005-0000-0000-0000AE5C0000}"/>
    <cellStyle name="Followed Hyperlink 4" xfId="5510" hidden="1" xr:uid="{00000000-0005-0000-0000-0000AF5C0000}"/>
    <cellStyle name="Followed Hyperlink 4" xfId="5513" hidden="1" xr:uid="{00000000-0005-0000-0000-0000B05C0000}"/>
    <cellStyle name="Followed Hyperlink 4" xfId="5515" hidden="1" xr:uid="{00000000-0005-0000-0000-0000B15C0000}"/>
    <cellStyle name="Followed Hyperlink 4" xfId="5516" hidden="1" xr:uid="{00000000-0005-0000-0000-0000B25C0000}"/>
    <cellStyle name="Followed Hyperlink 4" xfId="5519" hidden="1" xr:uid="{00000000-0005-0000-0000-0000B35C0000}"/>
    <cellStyle name="Followed Hyperlink 4" xfId="5528" hidden="1" xr:uid="{00000000-0005-0000-0000-0000B45C0000}"/>
    <cellStyle name="Followed Hyperlink 4" xfId="5520" hidden="1" xr:uid="{00000000-0005-0000-0000-0000B55C0000}"/>
    <cellStyle name="Followed Hyperlink 4" xfId="5531" hidden="1" xr:uid="{00000000-0005-0000-0000-0000B65C0000}"/>
    <cellStyle name="Followed Hyperlink 4" xfId="5534" hidden="1" xr:uid="{00000000-0005-0000-0000-0000B75C0000}"/>
    <cellStyle name="Followed Hyperlink 4" xfId="5537" hidden="1" xr:uid="{00000000-0005-0000-0000-0000B85C0000}"/>
    <cellStyle name="Followed Hyperlink 4" xfId="5539" hidden="1" xr:uid="{00000000-0005-0000-0000-0000B95C0000}"/>
    <cellStyle name="Followed Hyperlink 4" xfId="5540" hidden="1" xr:uid="{00000000-0005-0000-0000-0000BA5C0000}"/>
    <cellStyle name="Followed Hyperlink 4" xfId="5543" hidden="1" xr:uid="{00000000-0005-0000-0000-0000BB5C0000}"/>
    <cellStyle name="Followed Hyperlink 4" xfId="5426" hidden="1" xr:uid="{00000000-0005-0000-0000-0000BC5C0000}"/>
    <cellStyle name="Followed Hyperlink 4" xfId="5420" hidden="1" xr:uid="{00000000-0005-0000-0000-0000BD5C0000}"/>
    <cellStyle name="Followed Hyperlink 4" xfId="5544" hidden="1" xr:uid="{00000000-0005-0000-0000-0000BE5C0000}"/>
    <cellStyle name="Followed Hyperlink 4" xfId="5547" hidden="1" xr:uid="{00000000-0005-0000-0000-0000BF5C0000}"/>
    <cellStyle name="Followed Hyperlink 4" xfId="5550" hidden="1" xr:uid="{00000000-0005-0000-0000-0000C05C0000}"/>
    <cellStyle name="Followed Hyperlink 4" xfId="5552" hidden="1" xr:uid="{00000000-0005-0000-0000-0000C15C0000}"/>
    <cellStyle name="Followed Hyperlink 4" xfId="5553" hidden="1" xr:uid="{00000000-0005-0000-0000-0000C25C0000}"/>
    <cellStyle name="Followed Hyperlink 4" xfId="5556" hidden="1" xr:uid="{00000000-0005-0000-0000-0000C35C0000}"/>
    <cellStyle name="Followed Hyperlink 4" xfId="5565" hidden="1" xr:uid="{00000000-0005-0000-0000-0000C45C0000}"/>
    <cellStyle name="Followed Hyperlink 4" xfId="5557" hidden="1" xr:uid="{00000000-0005-0000-0000-0000C55C0000}"/>
    <cellStyle name="Followed Hyperlink 4" xfId="5568" hidden="1" xr:uid="{00000000-0005-0000-0000-0000C65C0000}"/>
    <cellStyle name="Followed Hyperlink 4" xfId="5571" hidden="1" xr:uid="{00000000-0005-0000-0000-0000C75C0000}"/>
    <cellStyle name="Followed Hyperlink 4" xfId="5574" hidden="1" xr:uid="{00000000-0005-0000-0000-0000C85C0000}"/>
    <cellStyle name="Followed Hyperlink 4" xfId="5576" hidden="1" xr:uid="{00000000-0005-0000-0000-0000C95C0000}"/>
    <cellStyle name="Followed Hyperlink 4" xfId="5577" hidden="1" xr:uid="{00000000-0005-0000-0000-0000CA5C0000}"/>
    <cellStyle name="Followed Hyperlink 4" xfId="5580" hidden="1" xr:uid="{00000000-0005-0000-0000-0000CB5C0000}"/>
    <cellStyle name="Followed Hyperlink 4" xfId="5590" hidden="1" xr:uid="{00000000-0005-0000-0000-0000CC5C0000}"/>
    <cellStyle name="Followed Hyperlink 4" xfId="5582" hidden="1" xr:uid="{00000000-0005-0000-0000-0000CD5C0000}"/>
    <cellStyle name="Followed Hyperlink 4" xfId="5593" hidden="1" xr:uid="{00000000-0005-0000-0000-0000CE5C0000}"/>
    <cellStyle name="Followed Hyperlink 4" xfId="5596" hidden="1" xr:uid="{00000000-0005-0000-0000-0000CF5C0000}"/>
    <cellStyle name="Followed Hyperlink 4" xfId="5599" hidden="1" xr:uid="{00000000-0005-0000-0000-0000D05C0000}"/>
    <cellStyle name="Followed Hyperlink 4" xfId="5601" hidden="1" xr:uid="{00000000-0005-0000-0000-0000D15C0000}"/>
    <cellStyle name="Followed Hyperlink 4" xfId="5602" hidden="1" xr:uid="{00000000-0005-0000-0000-0000D25C0000}"/>
    <cellStyle name="Followed Hyperlink 4" xfId="5605" hidden="1" xr:uid="{00000000-0005-0000-0000-0000D35C0000}"/>
    <cellStyle name="Followed Hyperlink 4" xfId="5614" hidden="1" xr:uid="{00000000-0005-0000-0000-0000D45C0000}"/>
    <cellStyle name="Followed Hyperlink 4" xfId="5606" hidden="1" xr:uid="{00000000-0005-0000-0000-0000D55C0000}"/>
    <cellStyle name="Followed Hyperlink 4" xfId="5617" hidden="1" xr:uid="{00000000-0005-0000-0000-0000D65C0000}"/>
    <cellStyle name="Followed Hyperlink 4" xfId="5620" hidden="1" xr:uid="{00000000-0005-0000-0000-0000D75C0000}"/>
    <cellStyle name="Followed Hyperlink 4" xfId="5623" hidden="1" xr:uid="{00000000-0005-0000-0000-0000D85C0000}"/>
    <cellStyle name="Followed Hyperlink 4" xfId="5625" hidden="1" xr:uid="{00000000-0005-0000-0000-0000D95C0000}"/>
    <cellStyle name="Followed Hyperlink 4" xfId="5626" hidden="1" xr:uid="{00000000-0005-0000-0000-0000DA5C0000}"/>
    <cellStyle name="Followed Hyperlink 4" xfId="5629" hidden="1" xr:uid="{00000000-0005-0000-0000-0000DB5C0000}"/>
    <cellStyle name="Followed Hyperlink 4" xfId="5430" hidden="1" xr:uid="{00000000-0005-0000-0000-0000DC5C0000}"/>
    <cellStyle name="Followed Hyperlink 4" xfId="5436" hidden="1" xr:uid="{00000000-0005-0000-0000-0000DD5C0000}"/>
    <cellStyle name="Followed Hyperlink 4" xfId="5630" hidden="1" xr:uid="{00000000-0005-0000-0000-0000DE5C0000}"/>
    <cellStyle name="Followed Hyperlink 4" xfId="5633" hidden="1" xr:uid="{00000000-0005-0000-0000-0000DF5C0000}"/>
    <cellStyle name="Followed Hyperlink 4" xfId="5636" hidden="1" xr:uid="{00000000-0005-0000-0000-0000E05C0000}"/>
    <cellStyle name="Followed Hyperlink 4" xfId="5638" hidden="1" xr:uid="{00000000-0005-0000-0000-0000E15C0000}"/>
    <cellStyle name="Followed Hyperlink 4" xfId="5639" hidden="1" xr:uid="{00000000-0005-0000-0000-0000E25C0000}"/>
    <cellStyle name="Followed Hyperlink 4" xfId="5642" hidden="1" xr:uid="{00000000-0005-0000-0000-0000E35C0000}"/>
    <cellStyle name="Followed Hyperlink 4" xfId="5651" hidden="1" xr:uid="{00000000-0005-0000-0000-0000E45C0000}"/>
    <cellStyle name="Followed Hyperlink 4" xfId="5643" hidden="1" xr:uid="{00000000-0005-0000-0000-0000E55C0000}"/>
    <cellStyle name="Followed Hyperlink 4" xfId="5654" hidden="1" xr:uid="{00000000-0005-0000-0000-0000E65C0000}"/>
    <cellStyle name="Followed Hyperlink 4" xfId="5657" hidden="1" xr:uid="{00000000-0005-0000-0000-0000E75C0000}"/>
    <cellStyle name="Followed Hyperlink 4" xfId="5660" hidden="1" xr:uid="{00000000-0005-0000-0000-0000E85C0000}"/>
    <cellStyle name="Followed Hyperlink 4" xfId="5662" hidden="1" xr:uid="{00000000-0005-0000-0000-0000E95C0000}"/>
    <cellStyle name="Followed Hyperlink 4" xfId="5663" hidden="1" xr:uid="{00000000-0005-0000-0000-0000EA5C0000}"/>
    <cellStyle name="Followed Hyperlink 4" xfId="5666" hidden="1" xr:uid="{00000000-0005-0000-0000-0000EB5C0000}"/>
    <cellStyle name="Followed Hyperlink 4" xfId="5676" hidden="1" xr:uid="{00000000-0005-0000-0000-0000EC5C0000}"/>
    <cellStyle name="Followed Hyperlink 4" xfId="5668" hidden="1" xr:uid="{00000000-0005-0000-0000-0000ED5C0000}"/>
    <cellStyle name="Followed Hyperlink 4" xfId="5679" hidden="1" xr:uid="{00000000-0005-0000-0000-0000EE5C0000}"/>
    <cellStyle name="Followed Hyperlink 4" xfId="5682" hidden="1" xr:uid="{00000000-0005-0000-0000-0000EF5C0000}"/>
    <cellStyle name="Followed Hyperlink 4" xfId="5685" hidden="1" xr:uid="{00000000-0005-0000-0000-0000F05C0000}"/>
    <cellStyle name="Followed Hyperlink 4" xfId="5687" hidden="1" xr:uid="{00000000-0005-0000-0000-0000F15C0000}"/>
    <cellStyle name="Followed Hyperlink 4" xfId="5688" hidden="1" xr:uid="{00000000-0005-0000-0000-0000F25C0000}"/>
    <cellStyle name="Followed Hyperlink 4" xfId="5691" hidden="1" xr:uid="{00000000-0005-0000-0000-0000F35C0000}"/>
    <cellStyle name="Followed Hyperlink 4" xfId="5700" hidden="1" xr:uid="{00000000-0005-0000-0000-0000F45C0000}"/>
    <cellStyle name="Followed Hyperlink 4" xfId="5692" hidden="1" xr:uid="{00000000-0005-0000-0000-0000F55C0000}"/>
    <cellStyle name="Followed Hyperlink 4" xfId="5703" hidden="1" xr:uid="{00000000-0005-0000-0000-0000F65C0000}"/>
    <cellStyle name="Followed Hyperlink 4" xfId="5706" hidden="1" xr:uid="{00000000-0005-0000-0000-0000F75C0000}"/>
    <cellStyle name="Followed Hyperlink 4" xfId="5709" hidden="1" xr:uid="{00000000-0005-0000-0000-0000F85C0000}"/>
    <cellStyle name="Followed Hyperlink 4" xfId="5711" hidden="1" xr:uid="{00000000-0005-0000-0000-0000F95C0000}"/>
    <cellStyle name="Followed Hyperlink 4" xfId="5712" hidden="1" xr:uid="{00000000-0005-0000-0000-0000FA5C0000}"/>
    <cellStyle name="Followed Hyperlink 4" xfId="5715" hidden="1" xr:uid="{00000000-0005-0000-0000-0000FB5C0000}"/>
    <cellStyle name="Followed Hyperlink 4" xfId="5440" hidden="1" xr:uid="{00000000-0005-0000-0000-0000FC5C0000}"/>
    <cellStyle name="Followed Hyperlink 4" xfId="5495" hidden="1" xr:uid="{00000000-0005-0000-0000-0000FD5C0000}"/>
    <cellStyle name="Followed Hyperlink 4" xfId="5716" hidden="1" xr:uid="{00000000-0005-0000-0000-0000FE5C0000}"/>
    <cellStyle name="Followed Hyperlink 4" xfId="5719" hidden="1" xr:uid="{00000000-0005-0000-0000-0000FF5C0000}"/>
    <cellStyle name="Followed Hyperlink 4" xfId="5722" hidden="1" xr:uid="{00000000-0005-0000-0000-0000005D0000}"/>
    <cellStyle name="Followed Hyperlink 4" xfId="5724" hidden="1" xr:uid="{00000000-0005-0000-0000-0000015D0000}"/>
    <cellStyle name="Followed Hyperlink 4" xfId="5725" hidden="1" xr:uid="{00000000-0005-0000-0000-0000025D0000}"/>
    <cellStyle name="Followed Hyperlink 4" xfId="5728" hidden="1" xr:uid="{00000000-0005-0000-0000-0000035D0000}"/>
    <cellStyle name="Followed Hyperlink 4" xfId="5737" hidden="1" xr:uid="{00000000-0005-0000-0000-0000045D0000}"/>
    <cellStyle name="Followed Hyperlink 4" xfId="5729" hidden="1" xr:uid="{00000000-0005-0000-0000-0000055D0000}"/>
    <cellStyle name="Followed Hyperlink 4" xfId="5740" hidden="1" xr:uid="{00000000-0005-0000-0000-0000065D0000}"/>
    <cellStyle name="Followed Hyperlink 4" xfId="5743" hidden="1" xr:uid="{00000000-0005-0000-0000-0000075D0000}"/>
    <cellStyle name="Followed Hyperlink 4" xfId="5746" hidden="1" xr:uid="{00000000-0005-0000-0000-0000085D0000}"/>
    <cellStyle name="Followed Hyperlink 4" xfId="5748" hidden="1" xr:uid="{00000000-0005-0000-0000-0000095D0000}"/>
    <cellStyle name="Followed Hyperlink 4" xfId="5749" hidden="1" xr:uid="{00000000-0005-0000-0000-00000A5D0000}"/>
    <cellStyle name="Followed Hyperlink 4" xfId="5752" hidden="1" xr:uid="{00000000-0005-0000-0000-00000B5D0000}"/>
    <cellStyle name="Followed Hyperlink 4" xfId="5761" hidden="1" xr:uid="{00000000-0005-0000-0000-00000C5D0000}"/>
    <cellStyle name="Followed Hyperlink 4" xfId="5753" hidden="1" xr:uid="{00000000-0005-0000-0000-00000D5D0000}"/>
    <cellStyle name="Followed Hyperlink 4" xfId="5764" hidden="1" xr:uid="{00000000-0005-0000-0000-00000E5D0000}"/>
    <cellStyle name="Followed Hyperlink 4" xfId="5767" hidden="1" xr:uid="{00000000-0005-0000-0000-00000F5D0000}"/>
    <cellStyle name="Followed Hyperlink 4" xfId="5770" hidden="1" xr:uid="{00000000-0005-0000-0000-0000105D0000}"/>
    <cellStyle name="Followed Hyperlink 4" xfId="5772" hidden="1" xr:uid="{00000000-0005-0000-0000-0000115D0000}"/>
    <cellStyle name="Followed Hyperlink 4" xfId="5773" hidden="1" xr:uid="{00000000-0005-0000-0000-0000125D0000}"/>
    <cellStyle name="Followed Hyperlink 4" xfId="5776" hidden="1" xr:uid="{00000000-0005-0000-0000-0000135D0000}"/>
    <cellStyle name="Followed Hyperlink 4" xfId="5785" hidden="1" xr:uid="{00000000-0005-0000-0000-0000145D0000}"/>
    <cellStyle name="Followed Hyperlink 4" xfId="5777" hidden="1" xr:uid="{00000000-0005-0000-0000-0000155D0000}"/>
    <cellStyle name="Followed Hyperlink 4" xfId="5788" hidden="1" xr:uid="{00000000-0005-0000-0000-0000165D0000}"/>
    <cellStyle name="Followed Hyperlink 4" xfId="5791" hidden="1" xr:uid="{00000000-0005-0000-0000-0000175D0000}"/>
    <cellStyle name="Followed Hyperlink 4" xfId="5794" hidden="1" xr:uid="{00000000-0005-0000-0000-0000185D0000}"/>
    <cellStyle name="Followed Hyperlink 4" xfId="5796" hidden="1" xr:uid="{00000000-0005-0000-0000-0000195D0000}"/>
    <cellStyle name="Followed Hyperlink 4" xfId="5797" hidden="1" xr:uid="{00000000-0005-0000-0000-00001A5D0000}"/>
    <cellStyle name="Followed Hyperlink 4" xfId="5800" hidden="1" xr:uid="{00000000-0005-0000-0000-00001B5D0000}"/>
    <cellStyle name="Followed Hyperlink 4" xfId="4833" hidden="1" xr:uid="{00000000-0005-0000-0000-00001C5D0000}"/>
    <cellStyle name="Followed Hyperlink 4" xfId="4839" hidden="1" xr:uid="{00000000-0005-0000-0000-00001D5D0000}"/>
    <cellStyle name="Followed Hyperlink 4" xfId="5801" hidden="1" xr:uid="{00000000-0005-0000-0000-00001E5D0000}"/>
    <cellStyle name="Followed Hyperlink 4" xfId="5804" hidden="1" xr:uid="{00000000-0005-0000-0000-00001F5D0000}"/>
    <cellStyle name="Followed Hyperlink 4" xfId="5807" hidden="1" xr:uid="{00000000-0005-0000-0000-0000205D0000}"/>
    <cellStyle name="Followed Hyperlink 4" xfId="5809" hidden="1" xr:uid="{00000000-0005-0000-0000-0000215D0000}"/>
    <cellStyle name="Followed Hyperlink 4" xfId="5810" hidden="1" xr:uid="{00000000-0005-0000-0000-0000225D0000}"/>
    <cellStyle name="Followed Hyperlink 4" xfId="5813" hidden="1" xr:uid="{00000000-0005-0000-0000-0000235D0000}"/>
    <cellStyle name="Followed Hyperlink 4" xfId="5822" hidden="1" xr:uid="{00000000-0005-0000-0000-0000245D0000}"/>
    <cellStyle name="Followed Hyperlink 4" xfId="5814" hidden="1" xr:uid="{00000000-0005-0000-0000-0000255D0000}"/>
    <cellStyle name="Followed Hyperlink 4" xfId="5825" hidden="1" xr:uid="{00000000-0005-0000-0000-0000265D0000}"/>
    <cellStyle name="Followed Hyperlink 4" xfId="5828" hidden="1" xr:uid="{00000000-0005-0000-0000-0000275D0000}"/>
    <cellStyle name="Followed Hyperlink 4" xfId="5831" hidden="1" xr:uid="{00000000-0005-0000-0000-0000285D0000}"/>
    <cellStyle name="Followed Hyperlink 4" xfId="5833" hidden="1" xr:uid="{00000000-0005-0000-0000-0000295D0000}"/>
    <cellStyle name="Followed Hyperlink 4" xfId="5834" hidden="1" xr:uid="{00000000-0005-0000-0000-00002A5D0000}"/>
    <cellStyle name="Followed Hyperlink 4" xfId="5837" hidden="1" xr:uid="{00000000-0005-0000-0000-00002B5D0000}"/>
    <cellStyle name="Followed Hyperlink 4" xfId="5847" hidden="1" xr:uid="{00000000-0005-0000-0000-00002C5D0000}"/>
    <cellStyle name="Followed Hyperlink 4" xfId="5839" hidden="1" xr:uid="{00000000-0005-0000-0000-00002D5D0000}"/>
    <cellStyle name="Followed Hyperlink 4" xfId="5850" hidden="1" xr:uid="{00000000-0005-0000-0000-00002E5D0000}"/>
    <cellStyle name="Followed Hyperlink 4" xfId="5853" hidden="1" xr:uid="{00000000-0005-0000-0000-00002F5D0000}"/>
    <cellStyle name="Followed Hyperlink 4" xfId="5856" hidden="1" xr:uid="{00000000-0005-0000-0000-0000305D0000}"/>
    <cellStyle name="Followed Hyperlink 4" xfId="5858" hidden="1" xr:uid="{00000000-0005-0000-0000-0000315D0000}"/>
    <cellStyle name="Followed Hyperlink 4" xfId="5859" hidden="1" xr:uid="{00000000-0005-0000-0000-0000325D0000}"/>
    <cellStyle name="Followed Hyperlink 4" xfId="5862" hidden="1" xr:uid="{00000000-0005-0000-0000-0000335D0000}"/>
    <cellStyle name="Followed Hyperlink 4" xfId="5871" hidden="1" xr:uid="{00000000-0005-0000-0000-0000345D0000}"/>
    <cellStyle name="Followed Hyperlink 4" xfId="5863" hidden="1" xr:uid="{00000000-0005-0000-0000-0000355D0000}"/>
    <cellStyle name="Followed Hyperlink 4" xfId="5874" hidden="1" xr:uid="{00000000-0005-0000-0000-0000365D0000}"/>
    <cellStyle name="Followed Hyperlink 4" xfId="5877" hidden="1" xr:uid="{00000000-0005-0000-0000-0000375D0000}"/>
    <cellStyle name="Followed Hyperlink 4" xfId="5880" hidden="1" xr:uid="{00000000-0005-0000-0000-0000385D0000}"/>
    <cellStyle name="Followed Hyperlink 4" xfId="5882" hidden="1" xr:uid="{00000000-0005-0000-0000-0000395D0000}"/>
    <cellStyle name="Followed Hyperlink 4" xfId="5883" hidden="1" xr:uid="{00000000-0005-0000-0000-00003A5D0000}"/>
    <cellStyle name="Followed Hyperlink 4" xfId="5886" hidden="1" xr:uid="{00000000-0005-0000-0000-00003B5D0000}"/>
    <cellStyle name="Followed Hyperlink 4" xfId="5924" hidden="1" xr:uid="{00000000-0005-0000-0000-00003C5D0000}"/>
    <cellStyle name="Followed Hyperlink 4" xfId="5916" hidden="1" xr:uid="{00000000-0005-0000-0000-00003D5D0000}"/>
    <cellStyle name="Followed Hyperlink 4" xfId="5927" hidden="1" xr:uid="{00000000-0005-0000-0000-00003E5D0000}"/>
    <cellStyle name="Followed Hyperlink 4" xfId="5930" hidden="1" xr:uid="{00000000-0005-0000-0000-00003F5D0000}"/>
    <cellStyle name="Followed Hyperlink 4" xfId="5933" hidden="1" xr:uid="{00000000-0005-0000-0000-0000405D0000}"/>
    <cellStyle name="Followed Hyperlink 4" xfId="5935" hidden="1" xr:uid="{00000000-0005-0000-0000-0000415D0000}"/>
    <cellStyle name="Followed Hyperlink 4" xfId="5936" hidden="1" xr:uid="{00000000-0005-0000-0000-0000425D0000}"/>
    <cellStyle name="Followed Hyperlink 4" xfId="5939" hidden="1" xr:uid="{00000000-0005-0000-0000-0000435D0000}"/>
    <cellStyle name="Followed Hyperlink 4" xfId="5948" hidden="1" xr:uid="{00000000-0005-0000-0000-0000445D0000}"/>
    <cellStyle name="Followed Hyperlink 4" xfId="5940" hidden="1" xr:uid="{00000000-0005-0000-0000-0000455D0000}"/>
    <cellStyle name="Followed Hyperlink 4" xfId="5951" hidden="1" xr:uid="{00000000-0005-0000-0000-0000465D0000}"/>
    <cellStyle name="Followed Hyperlink 4" xfId="5954" hidden="1" xr:uid="{00000000-0005-0000-0000-0000475D0000}"/>
    <cellStyle name="Followed Hyperlink 4" xfId="5957" hidden="1" xr:uid="{00000000-0005-0000-0000-0000485D0000}"/>
    <cellStyle name="Followed Hyperlink 4" xfId="5959" hidden="1" xr:uid="{00000000-0005-0000-0000-0000495D0000}"/>
    <cellStyle name="Followed Hyperlink 4" xfId="5960" hidden="1" xr:uid="{00000000-0005-0000-0000-00004A5D0000}"/>
    <cellStyle name="Followed Hyperlink 4" xfId="5963" hidden="1" xr:uid="{00000000-0005-0000-0000-00004B5D0000}"/>
    <cellStyle name="Followed Hyperlink 4" xfId="5974" hidden="1" xr:uid="{00000000-0005-0000-0000-00004C5D0000}"/>
    <cellStyle name="Followed Hyperlink 4" xfId="5966" hidden="1" xr:uid="{00000000-0005-0000-0000-00004D5D0000}"/>
    <cellStyle name="Followed Hyperlink 4" xfId="5977" hidden="1" xr:uid="{00000000-0005-0000-0000-00004E5D0000}"/>
    <cellStyle name="Followed Hyperlink 4" xfId="5980" hidden="1" xr:uid="{00000000-0005-0000-0000-00004F5D0000}"/>
    <cellStyle name="Followed Hyperlink 4" xfId="5983" hidden="1" xr:uid="{00000000-0005-0000-0000-0000505D0000}"/>
    <cellStyle name="Followed Hyperlink 4" xfId="5985" hidden="1" xr:uid="{00000000-0005-0000-0000-0000515D0000}"/>
    <cellStyle name="Followed Hyperlink 4" xfId="5986" hidden="1" xr:uid="{00000000-0005-0000-0000-0000525D0000}"/>
    <cellStyle name="Followed Hyperlink 4" xfId="5989" hidden="1" xr:uid="{00000000-0005-0000-0000-0000535D0000}"/>
    <cellStyle name="Followed Hyperlink 4" xfId="5998" hidden="1" xr:uid="{00000000-0005-0000-0000-0000545D0000}"/>
    <cellStyle name="Followed Hyperlink 4" xfId="5990" hidden="1" xr:uid="{00000000-0005-0000-0000-0000555D0000}"/>
    <cellStyle name="Followed Hyperlink 4" xfId="6001" hidden="1" xr:uid="{00000000-0005-0000-0000-0000565D0000}"/>
    <cellStyle name="Followed Hyperlink 4" xfId="6004" hidden="1" xr:uid="{00000000-0005-0000-0000-0000575D0000}"/>
    <cellStyle name="Followed Hyperlink 4" xfId="6007" hidden="1" xr:uid="{00000000-0005-0000-0000-0000585D0000}"/>
    <cellStyle name="Followed Hyperlink 4" xfId="6009" hidden="1" xr:uid="{00000000-0005-0000-0000-0000595D0000}"/>
    <cellStyle name="Followed Hyperlink 4" xfId="6010" hidden="1" xr:uid="{00000000-0005-0000-0000-00005A5D0000}"/>
    <cellStyle name="Followed Hyperlink 4" xfId="6013" hidden="1" xr:uid="{00000000-0005-0000-0000-00005B5D0000}"/>
    <cellStyle name="Followed Hyperlink 4" xfId="5896" hidden="1" xr:uid="{00000000-0005-0000-0000-00005C5D0000}"/>
    <cellStyle name="Followed Hyperlink 4" xfId="5890" hidden="1" xr:uid="{00000000-0005-0000-0000-00005D5D0000}"/>
    <cellStyle name="Followed Hyperlink 4" xfId="6014" hidden="1" xr:uid="{00000000-0005-0000-0000-00005E5D0000}"/>
    <cellStyle name="Followed Hyperlink 4" xfId="6017" hidden="1" xr:uid="{00000000-0005-0000-0000-00005F5D0000}"/>
    <cellStyle name="Followed Hyperlink 4" xfId="6020" hidden="1" xr:uid="{00000000-0005-0000-0000-0000605D0000}"/>
    <cellStyle name="Followed Hyperlink 4" xfId="6022" hidden="1" xr:uid="{00000000-0005-0000-0000-0000615D0000}"/>
    <cellStyle name="Followed Hyperlink 4" xfId="6023" hidden="1" xr:uid="{00000000-0005-0000-0000-0000625D0000}"/>
    <cellStyle name="Followed Hyperlink 4" xfId="6026" hidden="1" xr:uid="{00000000-0005-0000-0000-0000635D0000}"/>
    <cellStyle name="Followed Hyperlink 4" xfId="6035" hidden="1" xr:uid="{00000000-0005-0000-0000-0000645D0000}"/>
    <cellStyle name="Followed Hyperlink 4" xfId="6027" hidden="1" xr:uid="{00000000-0005-0000-0000-0000655D0000}"/>
    <cellStyle name="Followed Hyperlink 4" xfId="6038" hidden="1" xr:uid="{00000000-0005-0000-0000-0000665D0000}"/>
    <cellStyle name="Followed Hyperlink 4" xfId="6041" hidden="1" xr:uid="{00000000-0005-0000-0000-0000675D0000}"/>
    <cellStyle name="Followed Hyperlink 4" xfId="6044" hidden="1" xr:uid="{00000000-0005-0000-0000-0000685D0000}"/>
    <cellStyle name="Followed Hyperlink 4" xfId="6046" hidden="1" xr:uid="{00000000-0005-0000-0000-0000695D0000}"/>
    <cellStyle name="Followed Hyperlink 4" xfId="6047" hidden="1" xr:uid="{00000000-0005-0000-0000-00006A5D0000}"/>
    <cellStyle name="Followed Hyperlink 4" xfId="6050" hidden="1" xr:uid="{00000000-0005-0000-0000-00006B5D0000}"/>
    <cellStyle name="Followed Hyperlink 4" xfId="6060" hidden="1" xr:uid="{00000000-0005-0000-0000-00006C5D0000}"/>
    <cellStyle name="Followed Hyperlink 4" xfId="6052" hidden="1" xr:uid="{00000000-0005-0000-0000-00006D5D0000}"/>
    <cellStyle name="Followed Hyperlink 4" xfId="6063" hidden="1" xr:uid="{00000000-0005-0000-0000-00006E5D0000}"/>
    <cellStyle name="Followed Hyperlink 4" xfId="6066" hidden="1" xr:uid="{00000000-0005-0000-0000-00006F5D0000}"/>
    <cellStyle name="Followed Hyperlink 4" xfId="6069" hidden="1" xr:uid="{00000000-0005-0000-0000-0000705D0000}"/>
    <cellStyle name="Followed Hyperlink 4" xfId="6071" hidden="1" xr:uid="{00000000-0005-0000-0000-0000715D0000}"/>
    <cellStyle name="Followed Hyperlink 4" xfId="6072" hidden="1" xr:uid="{00000000-0005-0000-0000-0000725D0000}"/>
    <cellStyle name="Followed Hyperlink 4" xfId="6075" hidden="1" xr:uid="{00000000-0005-0000-0000-0000735D0000}"/>
    <cellStyle name="Followed Hyperlink 4" xfId="6084" hidden="1" xr:uid="{00000000-0005-0000-0000-0000745D0000}"/>
    <cellStyle name="Followed Hyperlink 4" xfId="6076" hidden="1" xr:uid="{00000000-0005-0000-0000-0000755D0000}"/>
    <cellStyle name="Followed Hyperlink 4" xfId="6087" hidden="1" xr:uid="{00000000-0005-0000-0000-0000765D0000}"/>
    <cellStyle name="Followed Hyperlink 4" xfId="6090" hidden="1" xr:uid="{00000000-0005-0000-0000-0000775D0000}"/>
    <cellStyle name="Followed Hyperlink 4" xfId="6093" hidden="1" xr:uid="{00000000-0005-0000-0000-0000785D0000}"/>
    <cellStyle name="Followed Hyperlink 4" xfId="6095" hidden="1" xr:uid="{00000000-0005-0000-0000-0000795D0000}"/>
    <cellStyle name="Followed Hyperlink 4" xfId="6096" hidden="1" xr:uid="{00000000-0005-0000-0000-00007A5D0000}"/>
    <cellStyle name="Followed Hyperlink 4" xfId="6099" hidden="1" xr:uid="{00000000-0005-0000-0000-00007B5D0000}"/>
    <cellStyle name="Followed Hyperlink 4" xfId="5900" hidden="1" xr:uid="{00000000-0005-0000-0000-00007C5D0000}"/>
    <cellStyle name="Followed Hyperlink 4" xfId="5906" hidden="1" xr:uid="{00000000-0005-0000-0000-00007D5D0000}"/>
    <cellStyle name="Followed Hyperlink 4" xfId="6100" hidden="1" xr:uid="{00000000-0005-0000-0000-00007E5D0000}"/>
    <cellStyle name="Followed Hyperlink 4" xfId="6103" hidden="1" xr:uid="{00000000-0005-0000-0000-00007F5D0000}"/>
    <cellStyle name="Followed Hyperlink 4" xfId="6106" hidden="1" xr:uid="{00000000-0005-0000-0000-0000805D0000}"/>
    <cellStyle name="Followed Hyperlink 4" xfId="6108" hidden="1" xr:uid="{00000000-0005-0000-0000-0000815D0000}"/>
    <cellStyle name="Followed Hyperlink 4" xfId="6109" hidden="1" xr:uid="{00000000-0005-0000-0000-0000825D0000}"/>
    <cellStyle name="Followed Hyperlink 4" xfId="6112" hidden="1" xr:uid="{00000000-0005-0000-0000-0000835D0000}"/>
    <cellStyle name="Followed Hyperlink 4" xfId="6121" hidden="1" xr:uid="{00000000-0005-0000-0000-0000845D0000}"/>
    <cellStyle name="Followed Hyperlink 4" xfId="6113" hidden="1" xr:uid="{00000000-0005-0000-0000-0000855D0000}"/>
    <cellStyle name="Followed Hyperlink 4" xfId="6124" hidden="1" xr:uid="{00000000-0005-0000-0000-0000865D0000}"/>
    <cellStyle name="Followed Hyperlink 4" xfId="6127" hidden="1" xr:uid="{00000000-0005-0000-0000-0000875D0000}"/>
    <cellStyle name="Followed Hyperlink 4" xfId="6130" hidden="1" xr:uid="{00000000-0005-0000-0000-0000885D0000}"/>
    <cellStyle name="Followed Hyperlink 4" xfId="6132" hidden="1" xr:uid="{00000000-0005-0000-0000-0000895D0000}"/>
    <cellStyle name="Followed Hyperlink 4" xfId="6133" hidden="1" xr:uid="{00000000-0005-0000-0000-00008A5D0000}"/>
    <cellStyle name="Followed Hyperlink 4" xfId="6136" hidden="1" xr:uid="{00000000-0005-0000-0000-00008B5D0000}"/>
    <cellStyle name="Followed Hyperlink 4" xfId="6146" hidden="1" xr:uid="{00000000-0005-0000-0000-00008C5D0000}"/>
    <cellStyle name="Followed Hyperlink 4" xfId="6138" hidden="1" xr:uid="{00000000-0005-0000-0000-00008D5D0000}"/>
    <cellStyle name="Followed Hyperlink 4" xfId="6149" hidden="1" xr:uid="{00000000-0005-0000-0000-00008E5D0000}"/>
    <cellStyle name="Followed Hyperlink 4" xfId="6152" hidden="1" xr:uid="{00000000-0005-0000-0000-00008F5D0000}"/>
    <cellStyle name="Followed Hyperlink 4" xfId="6155" hidden="1" xr:uid="{00000000-0005-0000-0000-0000905D0000}"/>
    <cellStyle name="Followed Hyperlink 4" xfId="6157" hidden="1" xr:uid="{00000000-0005-0000-0000-0000915D0000}"/>
    <cellStyle name="Followed Hyperlink 4" xfId="6158" hidden="1" xr:uid="{00000000-0005-0000-0000-0000925D0000}"/>
    <cellStyle name="Followed Hyperlink 4" xfId="6161" hidden="1" xr:uid="{00000000-0005-0000-0000-0000935D0000}"/>
    <cellStyle name="Followed Hyperlink 4" xfId="6170" hidden="1" xr:uid="{00000000-0005-0000-0000-0000945D0000}"/>
    <cellStyle name="Followed Hyperlink 4" xfId="6162" hidden="1" xr:uid="{00000000-0005-0000-0000-0000955D0000}"/>
    <cellStyle name="Followed Hyperlink 4" xfId="6173" hidden="1" xr:uid="{00000000-0005-0000-0000-0000965D0000}"/>
    <cellStyle name="Followed Hyperlink 4" xfId="6176" hidden="1" xr:uid="{00000000-0005-0000-0000-0000975D0000}"/>
    <cellStyle name="Followed Hyperlink 4" xfId="6179" hidden="1" xr:uid="{00000000-0005-0000-0000-0000985D0000}"/>
    <cellStyle name="Followed Hyperlink 4" xfId="6181" hidden="1" xr:uid="{00000000-0005-0000-0000-0000995D0000}"/>
    <cellStyle name="Followed Hyperlink 4" xfId="6182" hidden="1" xr:uid="{00000000-0005-0000-0000-00009A5D0000}"/>
    <cellStyle name="Followed Hyperlink 4" xfId="6185" hidden="1" xr:uid="{00000000-0005-0000-0000-00009B5D0000}"/>
    <cellStyle name="Followed Hyperlink 4" xfId="5910" hidden="1" xr:uid="{00000000-0005-0000-0000-00009C5D0000}"/>
    <cellStyle name="Followed Hyperlink 4" xfId="5965" hidden="1" xr:uid="{00000000-0005-0000-0000-00009D5D0000}"/>
    <cellStyle name="Followed Hyperlink 4" xfId="6186" hidden="1" xr:uid="{00000000-0005-0000-0000-00009E5D0000}"/>
    <cellStyle name="Followed Hyperlink 4" xfId="6189" hidden="1" xr:uid="{00000000-0005-0000-0000-00009F5D0000}"/>
    <cellStyle name="Followed Hyperlink 4" xfId="6192" hidden="1" xr:uid="{00000000-0005-0000-0000-0000A05D0000}"/>
    <cellStyle name="Followed Hyperlink 4" xfId="6194" hidden="1" xr:uid="{00000000-0005-0000-0000-0000A15D0000}"/>
    <cellStyle name="Followed Hyperlink 4" xfId="6195" hidden="1" xr:uid="{00000000-0005-0000-0000-0000A25D0000}"/>
    <cellStyle name="Followed Hyperlink 4" xfId="6198" hidden="1" xr:uid="{00000000-0005-0000-0000-0000A35D0000}"/>
    <cellStyle name="Followed Hyperlink 4" xfId="6207" hidden="1" xr:uid="{00000000-0005-0000-0000-0000A45D0000}"/>
    <cellStyle name="Followed Hyperlink 4" xfId="6199" hidden="1" xr:uid="{00000000-0005-0000-0000-0000A55D0000}"/>
    <cellStyle name="Followed Hyperlink 4" xfId="6210" hidden="1" xr:uid="{00000000-0005-0000-0000-0000A65D0000}"/>
    <cellStyle name="Followed Hyperlink 4" xfId="6213" hidden="1" xr:uid="{00000000-0005-0000-0000-0000A75D0000}"/>
    <cellStyle name="Followed Hyperlink 4" xfId="6216" hidden="1" xr:uid="{00000000-0005-0000-0000-0000A85D0000}"/>
    <cellStyle name="Followed Hyperlink 4" xfId="6218" hidden="1" xr:uid="{00000000-0005-0000-0000-0000A95D0000}"/>
    <cellStyle name="Followed Hyperlink 4" xfId="6219" hidden="1" xr:uid="{00000000-0005-0000-0000-0000AA5D0000}"/>
    <cellStyle name="Followed Hyperlink 4" xfId="6222" hidden="1" xr:uid="{00000000-0005-0000-0000-0000AB5D0000}"/>
    <cellStyle name="Followed Hyperlink 4" xfId="6231" hidden="1" xr:uid="{00000000-0005-0000-0000-0000AC5D0000}"/>
    <cellStyle name="Followed Hyperlink 4" xfId="6223" hidden="1" xr:uid="{00000000-0005-0000-0000-0000AD5D0000}"/>
    <cellStyle name="Followed Hyperlink 4" xfId="6234" hidden="1" xr:uid="{00000000-0005-0000-0000-0000AE5D0000}"/>
    <cellStyle name="Followed Hyperlink 4" xfId="6237" hidden="1" xr:uid="{00000000-0005-0000-0000-0000AF5D0000}"/>
    <cellStyle name="Followed Hyperlink 4" xfId="6240" hidden="1" xr:uid="{00000000-0005-0000-0000-0000B05D0000}"/>
    <cellStyle name="Followed Hyperlink 4" xfId="6242" hidden="1" xr:uid="{00000000-0005-0000-0000-0000B15D0000}"/>
    <cellStyle name="Followed Hyperlink 4" xfId="6243" hidden="1" xr:uid="{00000000-0005-0000-0000-0000B25D0000}"/>
    <cellStyle name="Followed Hyperlink 4" xfId="6246" hidden="1" xr:uid="{00000000-0005-0000-0000-0000B35D0000}"/>
    <cellStyle name="Followed Hyperlink 4" xfId="6255" hidden="1" xr:uid="{00000000-0005-0000-0000-0000B45D0000}"/>
    <cellStyle name="Followed Hyperlink 4" xfId="6247" hidden="1" xr:uid="{00000000-0005-0000-0000-0000B55D0000}"/>
    <cellStyle name="Followed Hyperlink 4" xfId="6258" hidden="1" xr:uid="{00000000-0005-0000-0000-0000B65D0000}"/>
    <cellStyle name="Followed Hyperlink 4" xfId="6261" hidden="1" xr:uid="{00000000-0005-0000-0000-0000B75D0000}"/>
    <cellStyle name="Followed Hyperlink 4" xfId="6264" hidden="1" xr:uid="{00000000-0005-0000-0000-0000B85D0000}"/>
    <cellStyle name="Followed Hyperlink 4" xfId="6266" hidden="1" xr:uid="{00000000-0005-0000-0000-0000B95D0000}"/>
    <cellStyle name="Followed Hyperlink 4" xfId="6267" hidden="1" xr:uid="{00000000-0005-0000-0000-0000BA5D0000}"/>
    <cellStyle name="Followed Hyperlink 4" xfId="6270" hidden="1" xr:uid="{00000000-0005-0000-0000-0000BB5D0000}"/>
    <cellStyle name="Followed Hyperlink 4" xfId="4843" hidden="1" xr:uid="{00000000-0005-0000-0000-0000BC5D0000}"/>
    <cellStyle name="Followed Hyperlink 4" xfId="4898" hidden="1" xr:uid="{00000000-0005-0000-0000-0000BD5D0000}"/>
    <cellStyle name="Followed Hyperlink 4" xfId="6271" hidden="1" xr:uid="{00000000-0005-0000-0000-0000BE5D0000}"/>
    <cellStyle name="Followed Hyperlink 4" xfId="6274" hidden="1" xr:uid="{00000000-0005-0000-0000-0000BF5D0000}"/>
    <cellStyle name="Followed Hyperlink 4" xfId="6277" hidden="1" xr:uid="{00000000-0005-0000-0000-0000C05D0000}"/>
    <cellStyle name="Followed Hyperlink 4" xfId="6279" hidden="1" xr:uid="{00000000-0005-0000-0000-0000C15D0000}"/>
    <cellStyle name="Followed Hyperlink 4" xfId="6280" hidden="1" xr:uid="{00000000-0005-0000-0000-0000C25D0000}"/>
    <cellStyle name="Followed Hyperlink 4" xfId="6283" hidden="1" xr:uid="{00000000-0005-0000-0000-0000C35D0000}"/>
    <cellStyle name="Followed Hyperlink 4" xfId="6292" hidden="1" xr:uid="{00000000-0005-0000-0000-0000C45D0000}"/>
    <cellStyle name="Followed Hyperlink 4" xfId="6284" hidden="1" xr:uid="{00000000-0005-0000-0000-0000C55D0000}"/>
    <cellStyle name="Followed Hyperlink 4" xfId="6295" hidden="1" xr:uid="{00000000-0005-0000-0000-0000C65D0000}"/>
    <cellStyle name="Followed Hyperlink 4" xfId="6298" hidden="1" xr:uid="{00000000-0005-0000-0000-0000C75D0000}"/>
    <cellStyle name="Followed Hyperlink 4" xfId="6301" hidden="1" xr:uid="{00000000-0005-0000-0000-0000C85D0000}"/>
    <cellStyle name="Followed Hyperlink 4" xfId="6303" hidden="1" xr:uid="{00000000-0005-0000-0000-0000C95D0000}"/>
    <cellStyle name="Followed Hyperlink 4" xfId="6304" hidden="1" xr:uid="{00000000-0005-0000-0000-0000CA5D0000}"/>
    <cellStyle name="Followed Hyperlink 4" xfId="6307" hidden="1" xr:uid="{00000000-0005-0000-0000-0000CB5D0000}"/>
    <cellStyle name="Followed Hyperlink 4" xfId="6316" hidden="1" xr:uid="{00000000-0005-0000-0000-0000CC5D0000}"/>
    <cellStyle name="Followed Hyperlink 4" xfId="6308" hidden="1" xr:uid="{00000000-0005-0000-0000-0000CD5D0000}"/>
    <cellStyle name="Followed Hyperlink 4" xfId="6319" hidden="1" xr:uid="{00000000-0005-0000-0000-0000CE5D0000}"/>
    <cellStyle name="Followed Hyperlink 4" xfId="6322" hidden="1" xr:uid="{00000000-0005-0000-0000-0000CF5D0000}"/>
    <cellStyle name="Followed Hyperlink 4" xfId="6325" hidden="1" xr:uid="{00000000-0005-0000-0000-0000D05D0000}"/>
    <cellStyle name="Followed Hyperlink 4" xfId="6327" hidden="1" xr:uid="{00000000-0005-0000-0000-0000D15D0000}"/>
    <cellStyle name="Followed Hyperlink 4" xfId="6328" hidden="1" xr:uid="{00000000-0005-0000-0000-0000D25D0000}"/>
    <cellStyle name="Followed Hyperlink 4" xfId="6331" hidden="1" xr:uid="{00000000-0005-0000-0000-0000D35D0000}"/>
    <cellStyle name="Followed Hyperlink 4" xfId="6340" hidden="1" xr:uid="{00000000-0005-0000-0000-0000D45D0000}"/>
    <cellStyle name="Followed Hyperlink 4" xfId="6332" hidden="1" xr:uid="{00000000-0005-0000-0000-0000D55D0000}"/>
    <cellStyle name="Followed Hyperlink 4" xfId="6343" hidden="1" xr:uid="{00000000-0005-0000-0000-0000D65D0000}"/>
    <cellStyle name="Followed Hyperlink 4" xfId="6346" hidden="1" xr:uid="{00000000-0005-0000-0000-0000D75D0000}"/>
    <cellStyle name="Followed Hyperlink 4" xfId="6349" hidden="1" xr:uid="{00000000-0005-0000-0000-0000D85D0000}"/>
    <cellStyle name="Followed Hyperlink 4" xfId="6351" hidden="1" xr:uid="{00000000-0005-0000-0000-0000D95D0000}"/>
    <cellStyle name="Followed Hyperlink 4" xfId="6352" hidden="1" xr:uid="{00000000-0005-0000-0000-0000DA5D0000}"/>
    <cellStyle name="Followed Hyperlink 4" xfId="6355" hidden="1" xr:uid="{00000000-0005-0000-0000-0000DB5D0000}"/>
    <cellStyle name="Followed Hyperlink 4" xfId="6393" hidden="1" xr:uid="{00000000-0005-0000-0000-0000DC5D0000}"/>
    <cellStyle name="Followed Hyperlink 4" xfId="6385" hidden="1" xr:uid="{00000000-0005-0000-0000-0000DD5D0000}"/>
    <cellStyle name="Followed Hyperlink 4" xfId="6396" hidden="1" xr:uid="{00000000-0005-0000-0000-0000DE5D0000}"/>
    <cellStyle name="Followed Hyperlink 4" xfId="6399" hidden="1" xr:uid="{00000000-0005-0000-0000-0000DF5D0000}"/>
    <cellStyle name="Followed Hyperlink 4" xfId="6402" hidden="1" xr:uid="{00000000-0005-0000-0000-0000E05D0000}"/>
    <cellStyle name="Followed Hyperlink 4" xfId="6404" hidden="1" xr:uid="{00000000-0005-0000-0000-0000E15D0000}"/>
    <cellStyle name="Followed Hyperlink 4" xfId="6405" hidden="1" xr:uid="{00000000-0005-0000-0000-0000E25D0000}"/>
    <cellStyle name="Followed Hyperlink 4" xfId="6408" hidden="1" xr:uid="{00000000-0005-0000-0000-0000E35D0000}"/>
    <cellStyle name="Followed Hyperlink 4" xfId="6417" hidden="1" xr:uid="{00000000-0005-0000-0000-0000E45D0000}"/>
    <cellStyle name="Followed Hyperlink 4" xfId="6409" hidden="1" xr:uid="{00000000-0005-0000-0000-0000E55D0000}"/>
    <cellStyle name="Followed Hyperlink 4" xfId="6420" hidden="1" xr:uid="{00000000-0005-0000-0000-0000E65D0000}"/>
    <cellStyle name="Followed Hyperlink 4" xfId="6423" hidden="1" xr:uid="{00000000-0005-0000-0000-0000E75D0000}"/>
    <cellStyle name="Followed Hyperlink 4" xfId="6426" hidden="1" xr:uid="{00000000-0005-0000-0000-0000E85D0000}"/>
    <cellStyle name="Followed Hyperlink 4" xfId="6428" hidden="1" xr:uid="{00000000-0005-0000-0000-0000E95D0000}"/>
    <cellStyle name="Followed Hyperlink 4" xfId="6429" hidden="1" xr:uid="{00000000-0005-0000-0000-0000EA5D0000}"/>
    <cellStyle name="Followed Hyperlink 4" xfId="6432" hidden="1" xr:uid="{00000000-0005-0000-0000-0000EB5D0000}"/>
    <cellStyle name="Followed Hyperlink 4" xfId="6443" hidden="1" xr:uid="{00000000-0005-0000-0000-0000EC5D0000}"/>
    <cellStyle name="Followed Hyperlink 4" xfId="6435" hidden="1" xr:uid="{00000000-0005-0000-0000-0000ED5D0000}"/>
    <cellStyle name="Followed Hyperlink 4" xfId="6446" hidden="1" xr:uid="{00000000-0005-0000-0000-0000EE5D0000}"/>
    <cellStyle name="Followed Hyperlink 4" xfId="6449" hidden="1" xr:uid="{00000000-0005-0000-0000-0000EF5D0000}"/>
    <cellStyle name="Followed Hyperlink 4" xfId="6452" hidden="1" xr:uid="{00000000-0005-0000-0000-0000F05D0000}"/>
    <cellStyle name="Followed Hyperlink 4" xfId="6454" hidden="1" xr:uid="{00000000-0005-0000-0000-0000F15D0000}"/>
    <cellStyle name="Followed Hyperlink 4" xfId="6455" hidden="1" xr:uid="{00000000-0005-0000-0000-0000F25D0000}"/>
    <cellStyle name="Followed Hyperlink 4" xfId="6458" hidden="1" xr:uid="{00000000-0005-0000-0000-0000F35D0000}"/>
    <cellStyle name="Followed Hyperlink 4" xfId="6467" hidden="1" xr:uid="{00000000-0005-0000-0000-0000F45D0000}"/>
    <cellStyle name="Followed Hyperlink 4" xfId="6459" hidden="1" xr:uid="{00000000-0005-0000-0000-0000F55D0000}"/>
    <cellStyle name="Followed Hyperlink 4" xfId="6470" hidden="1" xr:uid="{00000000-0005-0000-0000-0000F65D0000}"/>
    <cellStyle name="Followed Hyperlink 4" xfId="6473" hidden="1" xr:uid="{00000000-0005-0000-0000-0000F75D0000}"/>
    <cellStyle name="Followed Hyperlink 4" xfId="6476" hidden="1" xr:uid="{00000000-0005-0000-0000-0000F85D0000}"/>
    <cellStyle name="Followed Hyperlink 4" xfId="6478" hidden="1" xr:uid="{00000000-0005-0000-0000-0000F95D0000}"/>
    <cellStyle name="Followed Hyperlink 4" xfId="6479" hidden="1" xr:uid="{00000000-0005-0000-0000-0000FA5D0000}"/>
    <cellStyle name="Followed Hyperlink 4" xfId="6482" hidden="1" xr:uid="{00000000-0005-0000-0000-0000FB5D0000}"/>
    <cellStyle name="Followed Hyperlink 4" xfId="6365" hidden="1" xr:uid="{00000000-0005-0000-0000-0000FC5D0000}"/>
    <cellStyle name="Followed Hyperlink 4" xfId="6359" hidden="1" xr:uid="{00000000-0005-0000-0000-0000FD5D0000}"/>
    <cellStyle name="Followed Hyperlink 4" xfId="6483" hidden="1" xr:uid="{00000000-0005-0000-0000-0000FE5D0000}"/>
    <cellStyle name="Followed Hyperlink 4" xfId="6486" hidden="1" xr:uid="{00000000-0005-0000-0000-0000FF5D0000}"/>
    <cellStyle name="Followed Hyperlink 4" xfId="6489" hidden="1" xr:uid="{00000000-0005-0000-0000-0000005E0000}"/>
    <cellStyle name="Followed Hyperlink 4" xfId="6491" hidden="1" xr:uid="{00000000-0005-0000-0000-0000015E0000}"/>
    <cellStyle name="Followed Hyperlink 4" xfId="6492" hidden="1" xr:uid="{00000000-0005-0000-0000-0000025E0000}"/>
    <cellStyle name="Followed Hyperlink 4" xfId="6495" hidden="1" xr:uid="{00000000-0005-0000-0000-0000035E0000}"/>
    <cellStyle name="Followed Hyperlink 4" xfId="6504" hidden="1" xr:uid="{00000000-0005-0000-0000-0000045E0000}"/>
    <cellStyle name="Followed Hyperlink 4" xfId="6496" hidden="1" xr:uid="{00000000-0005-0000-0000-0000055E0000}"/>
    <cellStyle name="Followed Hyperlink 4" xfId="6507" hidden="1" xr:uid="{00000000-0005-0000-0000-0000065E0000}"/>
    <cellStyle name="Followed Hyperlink 4" xfId="6510" hidden="1" xr:uid="{00000000-0005-0000-0000-0000075E0000}"/>
    <cellStyle name="Followed Hyperlink 4" xfId="6513" hidden="1" xr:uid="{00000000-0005-0000-0000-0000085E0000}"/>
    <cellStyle name="Followed Hyperlink 4" xfId="6515" hidden="1" xr:uid="{00000000-0005-0000-0000-0000095E0000}"/>
    <cellStyle name="Followed Hyperlink 4" xfId="6516" hidden="1" xr:uid="{00000000-0005-0000-0000-00000A5E0000}"/>
    <cellStyle name="Followed Hyperlink 4" xfId="6519" hidden="1" xr:uid="{00000000-0005-0000-0000-00000B5E0000}"/>
    <cellStyle name="Followed Hyperlink 4" xfId="6529" hidden="1" xr:uid="{00000000-0005-0000-0000-00000C5E0000}"/>
    <cellStyle name="Followed Hyperlink 4" xfId="6521" hidden="1" xr:uid="{00000000-0005-0000-0000-00000D5E0000}"/>
    <cellStyle name="Followed Hyperlink 4" xfId="6532" hidden="1" xr:uid="{00000000-0005-0000-0000-00000E5E0000}"/>
    <cellStyle name="Followed Hyperlink 4" xfId="6535" hidden="1" xr:uid="{00000000-0005-0000-0000-00000F5E0000}"/>
    <cellStyle name="Followed Hyperlink 4" xfId="6538" hidden="1" xr:uid="{00000000-0005-0000-0000-0000105E0000}"/>
    <cellStyle name="Followed Hyperlink 4" xfId="6540" hidden="1" xr:uid="{00000000-0005-0000-0000-0000115E0000}"/>
    <cellStyle name="Followed Hyperlink 4" xfId="6541" hidden="1" xr:uid="{00000000-0005-0000-0000-0000125E0000}"/>
    <cellStyle name="Followed Hyperlink 4" xfId="6544" hidden="1" xr:uid="{00000000-0005-0000-0000-0000135E0000}"/>
    <cellStyle name="Followed Hyperlink 4" xfId="6553" hidden="1" xr:uid="{00000000-0005-0000-0000-0000145E0000}"/>
    <cellStyle name="Followed Hyperlink 4" xfId="6545" hidden="1" xr:uid="{00000000-0005-0000-0000-0000155E0000}"/>
    <cellStyle name="Followed Hyperlink 4" xfId="6556" hidden="1" xr:uid="{00000000-0005-0000-0000-0000165E0000}"/>
    <cellStyle name="Followed Hyperlink 4" xfId="6559" hidden="1" xr:uid="{00000000-0005-0000-0000-0000175E0000}"/>
    <cellStyle name="Followed Hyperlink 4" xfId="6562" hidden="1" xr:uid="{00000000-0005-0000-0000-0000185E0000}"/>
    <cellStyle name="Followed Hyperlink 4" xfId="6564" hidden="1" xr:uid="{00000000-0005-0000-0000-0000195E0000}"/>
    <cellStyle name="Followed Hyperlink 4" xfId="6565" hidden="1" xr:uid="{00000000-0005-0000-0000-00001A5E0000}"/>
    <cellStyle name="Followed Hyperlink 4" xfId="6568" hidden="1" xr:uid="{00000000-0005-0000-0000-00001B5E0000}"/>
    <cellStyle name="Followed Hyperlink 4" xfId="6369" hidden="1" xr:uid="{00000000-0005-0000-0000-00001C5E0000}"/>
    <cellStyle name="Followed Hyperlink 4" xfId="6375" hidden="1" xr:uid="{00000000-0005-0000-0000-00001D5E0000}"/>
    <cellStyle name="Followed Hyperlink 4" xfId="6569" hidden="1" xr:uid="{00000000-0005-0000-0000-00001E5E0000}"/>
    <cellStyle name="Followed Hyperlink 4" xfId="6572" hidden="1" xr:uid="{00000000-0005-0000-0000-00001F5E0000}"/>
    <cellStyle name="Followed Hyperlink 4" xfId="6575" hidden="1" xr:uid="{00000000-0005-0000-0000-0000205E0000}"/>
    <cellStyle name="Followed Hyperlink 4" xfId="6577" hidden="1" xr:uid="{00000000-0005-0000-0000-0000215E0000}"/>
    <cellStyle name="Followed Hyperlink 4" xfId="6578" hidden="1" xr:uid="{00000000-0005-0000-0000-0000225E0000}"/>
    <cellStyle name="Followed Hyperlink 4" xfId="6581" hidden="1" xr:uid="{00000000-0005-0000-0000-0000235E0000}"/>
    <cellStyle name="Followed Hyperlink 4" xfId="6590" hidden="1" xr:uid="{00000000-0005-0000-0000-0000245E0000}"/>
    <cellStyle name="Followed Hyperlink 4" xfId="6582" hidden="1" xr:uid="{00000000-0005-0000-0000-0000255E0000}"/>
    <cellStyle name="Followed Hyperlink 4" xfId="6593" hidden="1" xr:uid="{00000000-0005-0000-0000-0000265E0000}"/>
    <cellStyle name="Followed Hyperlink 4" xfId="6596" hidden="1" xr:uid="{00000000-0005-0000-0000-0000275E0000}"/>
    <cellStyle name="Followed Hyperlink 4" xfId="6599" hidden="1" xr:uid="{00000000-0005-0000-0000-0000285E0000}"/>
    <cellStyle name="Followed Hyperlink 4" xfId="6601" hidden="1" xr:uid="{00000000-0005-0000-0000-0000295E0000}"/>
    <cellStyle name="Followed Hyperlink 4" xfId="6602" hidden="1" xr:uid="{00000000-0005-0000-0000-00002A5E0000}"/>
    <cellStyle name="Followed Hyperlink 4" xfId="6605" hidden="1" xr:uid="{00000000-0005-0000-0000-00002B5E0000}"/>
    <cellStyle name="Followed Hyperlink 4" xfId="6615" hidden="1" xr:uid="{00000000-0005-0000-0000-00002C5E0000}"/>
    <cellStyle name="Followed Hyperlink 4" xfId="6607" hidden="1" xr:uid="{00000000-0005-0000-0000-00002D5E0000}"/>
    <cellStyle name="Followed Hyperlink 4" xfId="6618" hidden="1" xr:uid="{00000000-0005-0000-0000-00002E5E0000}"/>
    <cellStyle name="Followed Hyperlink 4" xfId="6621" hidden="1" xr:uid="{00000000-0005-0000-0000-00002F5E0000}"/>
    <cellStyle name="Followed Hyperlink 4" xfId="6624" hidden="1" xr:uid="{00000000-0005-0000-0000-0000305E0000}"/>
    <cellStyle name="Followed Hyperlink 4" xfId="6626" hidden="1" xr:uid="{00000000-0005-0000-0000-0000315E0000}"/>
    <cellStyle name="Followed Hyperlink 4" xfId="6627" hidden="1" xr:uid="{00000000-0005-0000-0000-0000325E0000}"/>
    <cellStyle name="Followed Hyperlink 4" xfId="6630" hidden="1" xr:uid="{00000000-0005-0000-0000-0000335E0000}"/>
    <cellStyle name="Followed Hyperlink 4" xfId="6639" hidden="1" xr:uid="{00000000-0005-0000-0000-0000345E0000}"/>
    <cellStyle name="Followed Hyperlink 4" xfId="6631" hidden="1" xr:uid="{00000000-0005-0000-0000-0000355E0000}"/>
    <cellStyle name="Followed Hyperlink 4" xfId="6642" hidden="1" xr:uid="{00000000-0005-0000-0000-0000365E0000}"/>
    <cellStyle name="Followed Hyperlink 4" xfId="6645" hidden="1" xr:uid="{00000000-0005-0000-0000-0000375E0000}"/>
    <cellStyle name="Followed Hyperlink 4" xfId="6648" hidden="1" xr:uid="{00000000-0005-0000-0000-0000385E0000}"/>
    <cellStyle name="Followed Hyperlink 4" xfId="6650" hidden="1" xr:uid="{00000000-0005-0000-0000-0000395E0000}"/>
    <cellStyle name="Followed Hyperlink 4" xfId="6651" hidden="1" xr:uid="{00000000-0005-0000-0000-00003A5E0000}"/>
    <cellStyle name="Followed Hyperlink 4" xfId="6654" hidden="1" xr:uid="{00000000-0005-0000-0000-00003B5E0000}"/>
    <cellStyle name="Followed Hyperlink 4" xfId="6379" hidden="1" xr:uid="{00000000-0005-0000-0000-00003C5E0000}"/>
    <cellStyle name="Followed Hyperlink 4" xfId="6434" hidden="1" xr:uid="{00000000-0005-0000-0000-00003D5E0000}"/>
    <cellStyle name="Followed Hyperlink 4" xfId="6655" hidden="1" xr:uid="{00000000-0005-0000-0000-00003E5E0000}"/>
    <cellStyle name="Followed Hyperlink 4" xfId="6658" hidden="1" xr:uid="{00000000-0005-0000-0000-00003F5E0000}"/>
    <cellStyle name="Followed Hyperlink 4" xfId="6661" hidden="1" xr:uid="{00000000-0005-0000-0000-0000405E0000}"/>
    <cellStyle name="Followed Hyperlink 4" xfId="6663" hidden="1" xr:uid="{00000000-0005-0000-0000-0000415E0000}"/>
    <cellStyle name="Followed Hyperlink 4" xfId="6664" hidden="1" xr:uid="{00000000-0005-0000-0000-0000425E0000}"/>
    <cellStyle name="Followed Hyperlink 4" xfId="6667" hidden="1" xr:uid="{00000000-0005-0000-0000-0000435E0000}"/>
    <cellStyle name="Followed Hyperlink 4" xfId="6676" hidden="1" xr:uid="{00000000-0005-0000-0000-0000445E0000}"/>
    <cellStyle name="Followed Hyperlink 4" xfId="6668" hidden="1" xr:uid="{00000000-0005-0000-0000-0000455E0000}"/>
    <cellStyle name="Followed Hyperlink 4" xfId="6679" hidden="1" xr:uid="{00000000-0005-0000-0000-0000465E0000}"/>
    <cellStyle name="Followed Hyperlink 4" xfId="6682" hidden="1" xr:uid="{00000000-0005-0000-0000-0000475E0000}"/>
    <cellStyle name="Followed Hyperlink 4" xfId="6685" hidden="1" xr:uid="{00000000-0005-0000-0000-0000485E0000}"/>
    <cellStyle name="Followed Hyperlink 4" xfId="6687" hidden="1" xr:uid="{00000000-0005-0000-0000-0000495E0000}"/>
    <cellStyle name="Followed Hyperlink 4" xfId="6688" hidden="1" xr:uid="{00000000-0005-0000-0000-00004A5E0000}"/>
    <cellStyle name="Followed Hyperlink 4" xfId="6691" hidden="1" xr:uid="{00000000-0005-0000-0000-00004B5E0000}"/>
    <cellStyle name="Followed Hyperlink 4" xfId="6700" hidden="1" xr:uid="{00000000-0005-0000-0000-00004C5E0000}"/>
    <cellStyle name="Followed Hyperlink 4" xfId="6692" hidden="1" xr:uid="{00000000-0005-0000-0000-00004D5E0000}"/>
    <cellStyle name="Followed Hyperlink 4" xfId="6703" hidden="1" xr:uid="{00000000-0005-0000-0000-00004E5E0000}"/>
    <cellStyle name="Followed Hyperlink 4" xfId="6706" hidden="1" xr:uid="{00000000-0005-0000-0000-00004F5E0000}"/>
    <cellStyle name="Followed Hyperlink 4" xfId="6709" hidden="1" xr:uid="{00000000-0005-0000-0000-0000505E0000}"/>
    <cellStyle name="Followed Hyperlink 4" xfId="6711" hidden="1" xr:uid="{00000000-0005-0000-0000-0000515E0000}"/>
    <cellStyle name="Followed Hyperlink 4" xfId="6712" hidden="1" xr:uid="{00000000-0005-0000-0000-0000525E0000}"/>
    <cellStyle name="Followed Hyperlink 4" xfId="6715" hidden="1" xr:uid="{00000000-0005-0000-0000-0000535E0000}"/>
    <cellStyle name="Followed Hyperlink 4" xfId="6724" hidden="1" xr:uid="{00000000-0005-0000-0000-0000545E0000}"/>
    <cellStyle name="Followed Hyperlink 4" xfId="6716" hidden="1" xr:uid="{00000000-0005-0000-0000-0000555E0000}"/>
    <cellStyle name="Followed Hyperlink 4" xfId="6727" hidden="1" xr:uid="{00000000-0005-0000-0000-0000565E0000}"/>
    <cellStyle name="Followed Hyperlink 4" xfId="6730" hidden="1" xr:uid="{00000000-0005-0000-0000-0000575E0000}"/>
    <cellStyle name="Followed Hyperlink 4" xfId="6733" hidden="1" xr:uid="{00000000-0005-0000-0000-0000585E0000}"/>
    <cellStyle name="Followed Hyperlink 4" xfId="6735" hidden="1" xr:uid="{00000000-0005-0000-0000-0000595E0000}"/>
    <cellStyle name="Followed Hyperlink 4" xfId="6736" hidden="1" xr:uid="{00000000-0005-0000-0000-00005A5E0000}"/>
    <cellStyle name="Followed Hyperlink 4" xfId="6739" hidden="1" xr:uid="{00000000-0005-0000-0000-00005B5E0000}"/>
    <cellStyle name="Followed Hyperlink 4" xfId="704" hidden="1" xr:uid="{00000000-0005-0000-0000-00005C5E0000}"/>
    <cellStyle name="Followed Hyperlink 4" xfId="759" hidden="1" xr:uid="{00000000-0005-0000-0000-00005D5E0000}"/>
    <cellStyle name="Followed Hyperlink 4" xfId="6740" hidden="1" xr:uid="{00000000-0005-0000-0000-00005E5E0000}"/>
    <cellStyle name="Followed Hyperlink 4" xfId="6743" hidden="1" xr:uid="{00000000-0005-0000-0000-00005F5E0000}"/>
    <cellStyle name="Followed Hyperlink 4" xfId="6746" hidden="1" xr:uid="{00000000-0005-0000-0000-0000605E0000}"/>
    <cellStyle name="Followed Hyperlink 4" xfId="6748" hidden="1" xr:uid="{00000000-0005-0000-0000-0000615E0000}"/>
    <cellStyle name="Followed Hyperlink 4" xfId="6749" hidden="1" xr:uid="{00000000-0005-0000-0000-0000625E0000}"/>
    <cellStyle name="Followed Hyperlink 4" xfId="6752" hidden="1" xr:uid="{00000000-0005-0000-0000-0000635E0000}"/>
    <cellStyle name="Followed Hyperlink 4" xfId="6761" hidden="1" xr:uid="{00000000-0005-0000-0000-0000645E0000}"/>
    <cellStyle name="Followed Hyperlink 4" xfId="6753" hidden="1" xr:uid="{00000000-0005-0000-0000-0000655E0000}"/>
    <cellStyle name="Followed Hyperlink 4" xfId="6764" hidden="1" xr:uid="{00000000-0005-0000-0000-0000665E0000}"/>
    <cellStyle name="Followed Hyperlink 4" xfId="6767" hidden="1" xr:uid="{00000000-0005-0000-0000-0000675E0000}"/>
    <cellStyle name="Followed Hyperlink 4" xfId="6770" hidden="1" xr:uid="{00000000-0005-0000-0000-0000685E0000}"/>
    <cellStyle name="Followed Hyperlink 4" xfId="6772" hidden="1" xr:uid="{00000000-0005-0000-0000-0000695E0000}"/>
    <cellStyle name="Followed Hyperlink 4" xfId="6773" hidden="1" xr:uid="{00000000-0005-0000-0000-00006A5E0000}"/>
    <cellStyle name="Followed Hyperlink 4" xfId="6776" hidden="1" xr:uid="{00000000-0005-0000-0000-00006B5E0000}"/>
    <cellStyle name="Followed Hyperlink 4" xfId="6785" hidden="1" xr:uid="{00000000-0005-0000-0000-00006C5E0000}"/>
    <cellStyle name="Followed Hyperlink 4" xfId="6777" hidden="1" xr:uid="{00000000-0005-0000-0000-00006D5E0000}"/>
    <cellStyle name="Followed Hyperlink 4" xfId="6788" hidden="1" xr:uid="{00000000-0005-0000-0000-00006E5E0000}"/>
    <cellStyle name="Followed Hyperlink 4" xfId="6791" hidden="1" xr:uid="{00000000-0005-0000-0000-00006F5E0000}"/>
    <cellStyle name="Followed Hyperlink 4" xfId="6794" hidden="1" xr:uid="{00000000-0005-0000-0000-0000705E0000}"/>
    <cellStyle name="Followed Hyperlink 4" xfId="6796" hidden="1" xr:uid="{00000000-0005-0000-0000-0000715E0000}"/>
    <cellStyle name="Followed Hyperlink 4" xfId="6797" hidden="1" xr:uid="{00000000-0005-0000-0000-0000725E0000}"/>
    <cellStyle name="Followed Hyperlink 4" xfId="6800" hidden="1" xr:uid="{00000000-0005-0000-0000-0000735E0000}"/>
    <cellStyle name="Followed Hyperlink 4" xfId="6809" hidden="1" xr:uid="{00000000-0005-0000-0000-0000745E0000}"/>
    <cellStyle name="Followed Hyperlink 4" xfId="6801" hidden="1" xr:uid="{00000000-0005-0000-0000-0000755E0000}"/>
    <cellStyle name="Followed Hyperlink 4" xfId="6812" hidden="1" xr:uid="{00000000-0005-0000-0000-0000765E0000}"/>
    <cellStyle name="Followed Hyperlink 4" xfId="6815" hidden="1" xr:uid="{00000000-0005-0000-0000-0000775E0000}"/>
    <cellStyle name="Followed Hyperlink 4" xfId="6818" hidden="1" xr:uid="{00000000-0005-0000-0000-0000785E0000}"/>
    <cellStyle name="Followed Hyperlink 4" xfId="6820" hidden="1" xr:uid="{00000000-0005-0000-0000-0000795E0000}"/>
    <cellStyle name="Followed Hyperlink 4" xfId="6821" hidden="1" xr:uid="{00000000-0005-0000-0000-00007A5E0000}"/>
    <cellStyle name="Followed Hyperlink 4" xfId="6824" hidden="1" xr:uid="{00000000-0005-0000-0000-00007B5E0000}"/>
    <cellStyle name="Followed Hyperlink 4" xfId="6862" hidden="1" xr:uid="{00000000-0005-0000-0000-00007C5E0000}"/>
    <cellStyle name="Followed Hyperlink 4" xfId="6854" hidden="1" xr:uid="{00000000-0005-0000-0000-00007D5E0000}"/>
    <cellStyle name="Followed Hyperlink 4" xfId="6865" hidden="1" xr:uid="{00000000-0005-0000-0000-00007E5E0000}"/>
    <cellStyle name="Followed Hyperlink 4" xfId="6868" hidden="1" xr:uid="{00000000-0005-0000-0000-00007F5E0000}"/>
    <cellStyle name="Followed Hyperlink 4" xfId="6871" hidden="1" xr:uid="{00000000-0005-0000-0000-0000805E0000}"/>
    <cellStyle name="Followed Hyperlink 4" xfId="6873" hidden="1" xr:uid="{00000000-0005-0000-0000-0000815E0000}"/>
    <cellStyle name="Followed Hyperlink 4" xfId="6874" hidden="1" xr:uid="{00000000-0005-0000-0000-0000825E0000}"/>
    <cellStyle name="Followed Hyperlink 4" xfId="6877" hidden="1" xr:uid="{00000000-0005-0000-0000-0000835E0000}"/>
    <cellStyle name="Followed Hyperlink 4" xfId="6886" hidden="1" xr:uid="{00000000-0005-0000-0000-0000845E0000}"/>
    <cellStyle name="Followed Hyperlink 4" xfId="6878" hidden="1" xr:uid="{00000000-0005-0000-0000-0000855E0000}"/>
    <cellStyle name="Followed Hyperlink 4" xfId="6889" hidden="1" xr:uid="{00000000-0005-0000-0000-0000865E0000}"/>
    <cellStyle name="Followed Hyperlink 4" xfId="6892" hidden="1" xr:uid="{00000000-0005-0000-0000-0000875E0000}"/>
    <cellStyle name="Followed Hyperlink 4" xfId="6895" hidden="1" xr:uid="{00000000-0005-0000-0000-0000885E0000}"/>
    <cellStyle name="Followed Hyperlink 4" xfId="6897" hidden="1" xr:uid="{00000000-0005-0000-0000-0000895E0000}"/>
    <cellStyle name="Followed Hyperlink 4" xfId="6898" hidden="1" xr:uid="{00000000-0005-0000-0000-00008A5E0000}"/>
    <cellStyle name="Followed Hyperlink 4" xfId="6901" hidden="1" xr:uid="{00000000-0005-0000-0000-00008B5E0000}"/>
    <cellStyle name="Followed Hyperlink 4" xfId="6912" hidden="1" xr:uid="{00000000-0005-0000-0000-00008C5E0000}"/>
    <cellStyle name="Followed Hyperlink 4" xfId="6904" hidden="1" xr:uid="{00000000-0005-0000-0000-00008D5E0000}"/>
    <cellStyle name="Followed Hyperlink 4" xfId="6915" hidden="1" xr:uid="{00000000-0005-0000-0000-00008E5E0000}"/>
    <cellStyle name="Followed Hyperlink 4" xfId="6918" hidden="1" xr:uid="{00000000-0005-0000-0000-00008F5E0000}"/>
    <cellStyle name="Followed Hyperlink 4" xfId="6921" hidden="1" xr:uid="{00000000-0005-0000-0000-0000905E0000}"/>
    <cellStyle name="Followed Hyperlink 4" xfId="6923" hidden="1" xr:uid="{00000000-0005-0000-0000-0000915E0000}"/>
    <cellStyle name="Followed Hyperlink 4" xfId="6924" hidden="1" xr:uid="{00000000-0005-0000-0000-0000925E0000}"/>
    <cellStyle name="Followed Hyperlink 4" xfId="6927" hidden="1" xr:uid="{00000000-0005-0000-0000-0000935E0000}"/>
    <cellStyle name="Followed Hyperlink 4" xfId="6936" hidden="1" xr:uid="{00000000-0005-0000-0000-0000945E0000}"/>
    <cellStyle name="Followed Hyperlink 4" xfId="6928" hidden="1" xr:uid="{00000000-0005-0000-0000-0000955E0000}"/>
    <cellStyle name="Followed Hyperlink 4" xfId="6939" hidden="1" xr:uid="{00000000-0005-0000-0000-0000965E0000}"/>
    <cellStyle name="Followed Hyperlink 4" xfId="6942" hidden="1" xr:uid="{00000000-0005-0000-0000-0000975E0000}"/>
    <cellStyle name="Followed Hyperlink 4" xfId="6945" hidden="1" xr:uid="{00000000-0005-0000-0000-0000985E0000}"/>
    <cellStyle name="Followed Hyperlink 4" xfId="6947" hidden="1" xr:uid="{00000000-0005-0000-0000-0000995E0000}"/>
    <cellStyle name="Followed Hyperlink 4" xfId="6948" hidden="1" xr:uid="{00000000-0005-0000-0000-00009A5E0000}"/>
    <cellStyle name="Followed Hyperlink 4" xfId="6951" hidden="1" xr:uid="{00000000-0005-0000-0000-00009B5E0000}"/>
    <cellStyle name="Followed Hyperlink 4" xfId="6989" hidden="1" xr:uid="{00000000-0005-0000-0000-00009C5E0000}"/>
    <cellStyle name="Followed Hyperlink 4" xfId="6981" hidden="1" xr:uid="{00000000-0005-0000-0000-00009D5E0000}"/>
    <cellStyle name="Followed Hyperlink 4" xfId="6992" hidden="1" xr:uid="{00000000-0005-0000-0000-00009E5E0000}"/>
    <cellStyle name="Followed Hyperlink 4" xfId="6995" hidden="1" xr:uid="{00000000-0005-0000-0000-00009F5E0000}"/>
    <cellStyle name="Followed Hyperlink 4" xfId="6998" hidden="1" xr:uid="{00000000-0005-0000-0000-0000A05E0000}"/>
    <cellStyle name="Followed Hyperlink 4" xfId="7000" hidden="1" xr:uid="{00000000-0005-0000-0000-0000A15E0000}"/>
    <cellStyle name="Followed Hyperlink 4" xfId="7001" hidden="1" xr:uid="{00000000-0005-0000-0000-0000A25E0000}"/>
    <cellStyle name="Followed Hyperlink 4" xfId="7004" hidden="1" xr:uid="{00000000-0005-0000-0000-0000A35E0000}"/>
    <cellStyle name="Followed Hyperlink 4" xfId="7013" hidden="1" xr:uid="{00000000-0005-0000-0000-0000A45E0000}"/>
    <cellStyle name="Followed Hyperlink 4" xfId="7005" hidden="1" xr:uid="{00000000-0005-0000-0000-0000A55E0000}"/>
    <cellStyle name="Followed Hyperlink 4" xfId="7016" hidden="1" xr:uid="{00000000-0005-0000-0000-0000A65E0000}"/>
    <cellStyle name="Followed Hyperlink 4" xfId="7019" hidden="1" xr:uid="{00000000-0005-0000-0000-0000A75E0000}"/>
    <cellStyle name="Followed Hyperlink 4" xfId="7022" hidden="1" xr:uid="{00000000-0005-0000-0000-0000A85E0000}"/>
    <cellStyle name="Followed Hyperlink 4" xfId="7024" hidden="1" xr:uid="{00000000-0005-0000-0000-0000A95E0000}"/>
    <cellStyle name="Followed Hyperlink 4" xfId="7025" hidden="1" xr:uid="{00000000-0005-0000-0000-0000AA5E0000}"/>
    <cellStyle name="Followed Hyperlink 4" xfId="7028" hidden="1" xr:uid="{00000000-0005-0000-0000-0000AB5E0000}"/>
    <cellStyle name="Followed Hyperlink 4" xfId="7039" hidden="1" xr:uid="{00000000-0005-0000-0000-0000AC5E0000}"/>
    <cellStyle name="Followed Hyperlink 4" xfId="7031" hidden="1" xr:uid="{00000000-0005-0000-0000-0000AD5E0000}"/>
    <cellStyle name="Followed Hyperlink 4" xfId="7042" hidden="1" xr:uid="{00000000-0005-0000-0000-0000AE5E0000}"/>
    <cellStyle name="Followed Hyperlink 4" xfId="7045" hidden="1" xr:uid="{00000000-0005-0000-0000-0000AF5E0000}"/>
    <cellStyle name="Followed Hyperlink 4" xfId="7048" hidden="1" xr:uid="{00000000-0005-0000-0000-0000B05E0000}"/>
    <cellStyle name="Followed Hyperlink 4" xfId="7050" hidden="1" xr:uid="{00000000-0005-0000-0000-0000B15E0000}"/>
    <cellStyle name="Followed Hyperlink 4" xfId="7051" hidden="1" xr:uid="{00000000-0005-0000-0000-0000B25E0000}"/>
    <cellStyle name="Followed Hyperlink 4" xfId="7054" hidden="1" xr:uid="{00000000-0005-0000-0000-0000B35E0000}"/>
    <cellStyle name="Followed Hyperlink 4" xfId="7063" hidden="1" xr:uid="{00000000-0005-0000-0000-0000B45E0000}"/>
    <cellStyle name="Followed Hyperlink 4" xfId="7055" hidden="1" xr:uid="{00000000-0005-0000-0000-0000B55E0000}"/>
    <cellStyle name="Followed Hyperlink 4" xfId="7066" hidden="1" xr:uid="{00000000-0005-0000-0000-0000B65E0000}"/>
    <cellStyle name="Followed Hyperlink 4" xfId="7069" hidden="1" xr:uid="{00000000-0005-0000-0000-0000B75E0000}"/>
    <cellStyle name="Followed Hyperlink 4" xfId="7072" hidden="1" xr:uid="{00000000-0005-0000-0000-0000B85E0000}"/>
    <cellStyle name="Followed Hyperlink 4" xfId="7074" hidden="1" xr:uid="{00000000-0005-0000-0000-0000B95E0000}"/>
    <cellStyle name="Followed Hyperlink 4" xfId="7075" hidden="1" xr:uid="{00000000-0005-0000-0000-0000BA5E0000}"/>
    <cellStyle name="Followed Hyperlink 4" xfId="7078" hidden="1" xr:uid="{00000000-0005-0000-0000-0000BB5E0000}"/>
    <cellStyle name="Followed Hyperlink 4" xfId="6961" hidden="1" xr:uid="{00000000-0005-0000-0000-0000BC5E0000}"/>
    <cellStyle name="Followed Hyperlink 4" xfId="6955" hidden="1" xr:uid="{00000000-0005-0000-0000-0000BD5E0000}"/>
    <cellStyle name="Followed Hyperlink 4" xfId="7079" hidden="1" xr:uid="{00000000-0005-0000-0000-0000BE5E0000}"/>
    <cellStyle name="Followed Hyperlink 4" xfId="7082" hidden="1" xr:uid="{00000000-0005-0000-0000-0000BF5E0000}"/>
    <cellStyle name="Followed Hyperlink 4" xfId="7085" hidden="1" xr:uid="{00000000-0005-0000-0000-0000C05E0000}"/>
    <cellStyle name="Followed Hyperlink 4" xfId="7087" hidden="1" xr:uid="{00000000-0005-0000-0000-0000C15E0000}"/>
    <cellStyle name="Followed Hyperlink 4" xfId="7088" hidden="1" xr:uid="{00000000-0005-0000-0000-0000C25E0000}"/>
    <cellStyle name="Followed Hyperlink 4" xfId="7091" hidden="1" xr:uid="{00000000-0005-0000-0000-0000C35E0000}"/>
    <cellStyle name="Followed Hyperlink 4" xfId="7100" hidden="1" xr:uid="{00000000-0005-0000-0000-0000C45E0000}"/>
    <cellStyle name="Followed Hyperlink 4" xfId="7092" hidden="1" xr:uid="{00000000-0005-0000-0000-0000C55E0000}"/>
    <cellStyle name="Followed Hyperlink 4" xfId="7103" hidden="1" xr:uid="{00000000-0005-0000-0000-0000C65E0000}"/>
    <cellStyle name="Followed Hyperlink 4" xfId="7106" hidden="1" xr:uid="{00000000-0005-0000-0000-0000C75E0000}"/>
    <cellStyle name="Followed Hyperlink 4" xfId="7109" hidden="1" xr:uid="{00000000-0005-0000-0000-0000C85E0000}"/>
    <cellStyle name="Followed Hyperlink 4" xfId="7111" hidden="1" xr:uid="{00000000-0005-0000-0000-0000C95E0000}"/>
    <cellStyle name="Followed Hyperlink 4" xfId="7112" hidden="1" xr:uid="{00000000-0005-0000-0000-0000CA5E0000}"/>
    <cellStyle name="Followed Hyperlink 4" xfId="7115" hidden="1" xr:uid="{00000000-0005-0000-0000-0000CB5E0000}"/>
    <cellStyle name="Followed Hyperlink 4" xfId="7125" hidden="1" xr:uid="{00000000-0005-0000-0000-0000CC5E0000}"/>
    <cellStyle name="Followed Hyperlink 4" xfId="7117" hidden="1" xr:uid="{00000000-0005-0000-0000-0000CD5E0000}"/>
    <cellStyle name="Followed Hyperlink 4" xfId="7128" hidden="1" xr:uid="{00000000-0005-0000-0000-0000CE5E0000}"/>
    <cellStyle name="Followed Hyperlink 4" xfId="7131" hidden="1" xr:uid="{00000000-0005-0000-0000-0000CF5E0000}"/>
    <cellStyle name="Followed Hyperlink 4" xfId="7134" hidden="1" xr:uid="{00000000-0005-0000-0000-0000D05E0000}"/>
    <cellStyle name="Followed Hyperlink 4" xfId="7136" hidden="1" xr:uid="{00000000-0005-0000-0000-0000D15E0000}"/>
    <cellStyle name="Followed Hyperlink 4" xfId="7137" hidden="1" xr:uid="{00000000-0005-0000-0000-0000D25E0000}"/>
    <cellStyle name="Followed Hyperlink 4" xfId="7140" hidden="1" xr:uid="{00000000-0005-0000-0000-0000D35E0000}"/>
    <cellStyle name="Followed Hyperlink 4" xfId="7149" hidden="1" xr:uid="{00000000-0005-0000-0000-0000D45E0000}"/>
    <cellStyle name="Followed Hyperlink 4" xfId="7141" hidden="1" xr:uid="{00000000-0005-0000-0000-0000D55E0000}"/>
    <cellStyle name="Followed Hyperlink 4" xfId="7152" hidden="1" xr:uid="{00000000-0005-0000-0000-0000D65E0000}"/>
    <cellStyle name="Followed Hyperlink 4" xfId="7155" hidden="1" xr:uid="{00000000-0005-0000-0000-0000D75E0000}"/>
    <cellStyle name="Followed Hyperlink 4" xfId="7158" hidden="1" xr:uid="{00000000-0005-0000-0000-0000D85E0000}"/>
    <cellStyle name="Followed Hyperlink 4" xfId="7160" hidden="1" xr:uid="{00000000-0005-0000-0000-0000D95E0000}"/>
    <cellStyle name="Followed Hyperlink 4" xfId="7161" hidden="1" xr:uid="{00000000-0005-0000-0000-0000DA5E0000}"/>
    <cellStyle name="Followed Hyperlink 4" xfId="7164" hidden="1" xr:uid="{00000000-0005-0000-0000-0000DB5E0000}"/>
    <cellStyle name="Followed Hyperlink 4" xfId="6965" hidden="1" xr:uid="{00000000-0005-0000-0000-0000DC5E0000}"/>
    <cellStyle name="Followed Hyperlink 4" xfId="6971" hidden="1" xr:uid="{00000000-0005-0000-0000-0000DD5E0000}"/>
    <cellStyle name="Followed Hyperlink 4" xfId="7165" hidden="1" xr:uid="{00000000-0005-0000-0000-0000DE5E0000}"/>
    <cellStyle name="Followed Hyperlink 4" xfId="7168" hidden="1" xr:uid="{00000000-0005-0000-0000-0000DF5E0000}"/>
    <cellStyle name="Followed Hyperlink 4" xfId="7171" hidden="1" xr:uid="{00000000-0005-0000-0000-0000E05E0000}"/>
    <cellStyle name="Followed Hyperlink 4" xfId="7173" hidden="1" xr:uid="{00000000-0005-0000-0000-0000E15E0000}"/>
    <cellStyle name="Followed Hyperlink 4" xfId="7174" hidden="1" xr:uid="{00000000-0005-0000-0000-0000E25E0000}"/>
    <cellStyle name="Followed Hyperlink 4" xfId="7177" hidden="1" xr:uid="{00000000-0005-0000-0000-0000E35E0000}"/>
    <cellStyle name="Followed Hyperlink 4" xfId="7186" hidden="1" xr:uid="{00000000-0005-0000-0000-0000E45E0000}"/>
    <cellStyle name="Followed Hyperlink 4" xfId="7178" hidden="1" xr:uid="{00000000-0005-0000-0000-0000E55E0000}"/>
    <cellStyle name="Followed Hyperlink 4" xfId="7189" hidden="1" xr:uid="{00000000-0005-0000-0000-0000E65E0000}"/>
    <cellStyle name="Followed Hyperlink 4" xfId="7192" hidden="1" xr:uid="{00000000-0005-0000-0000-0000E75E0000}"/>
    <cellStyle name="Followed Hyperlink 4" xfId="7195" hidden="1" xr:uid="{00000000-0005-0000-0000-0000E85E0000}"/>
    <cellStyle name="Followed Hyperlink 4" xfId="7197" hidden="1" xr:uid="{00000000-0005-0000-0000-0000E95E0000}"/>
    <cellStyle name="Followed Hyperlink 4" xfId="7198" hidden="1" xr:uid="{00000000-0005-0000-0000-0000EA5E0000}"/>
    <cellStyle name="Followed Hyperlink 4" xfId="7201" hidden="1" xr:uid="{00000000-0005-0000-0000-0000EB5E0000}"/>
    <cellStyle name="Followed Hyperlink 4" xfId="7211" hidden="1" xr:uid="{00000000-0005-0000-0000-0000EC5E0000}"/>
    <cellStyle name="Followed Hyperlink 4" xfId="7203" hidden="1" xr:uid="{00000000-0005-0000-0000-0000ED5E0000}"/>
    <cellStyle name="Followed Hyperlink 4" xfId="7214" hidden="1" xr:uid="{00000000-0005-0000-0000-0000EE5E0000}"/>
    <cellStyle name="Followed Hyperlink 4" xfId="7217" hidden="1" xr:uid="{00000000-0005-0000-0000-0000EF5E0000}"/>
    <cellStyle name="Followed Hyperlink 4" xfId="7220" hidden="1" xr:uid="{00000000-0005-0000-0000-0000F05E0000}"/>
    <cellStyle name="Followed Hyperlink 4" xfId="7222" hidden="1" xr:uid="{00000000-0005-0000-0000-0000F15E0000}"/>
    <cellStyle name="Followed Hyperlink 4" xfId="7223" hidden="1" xr:uid="{00000000-0005-0000-0000-0000F25E0000}"/>
    <cellStyle name="Followed Hyperlink 4" xfId="7226" hidden="1" xr:uid="{00000000-0005-0000-0000-0000F35E0000}"/>
    <cellStyle name="Followed Hyperlink 4" xfId="7235" hidden="1" xr:uid="{00000000-0005-0000-0000-0000F45E0000}"/>
    <cellStyle name="Followed Hyperlink 4" xfId="7227" hidden="1" xr:uid="{00000000-0005-0000-0000-0000F55E0000}"/>
    <cellStyle name="Followed Hyperlink 4" xfId="7238" hidden="1" xr:uid="{00000000-0005-0000-0000-0000F65E0000}"/>
    <cellStyle name="Followed Hyperlink 4" xfId="7241" hidden="1" xr:uid="{00000000-0005-0000-0000-0000F75E0000}"/>
    <cellStyle name="Followed Hyperlink 4" xfId="7244" hidden="1" xr:uid="{00000000-0005-0000-0000-0000F85E0000}"/>
    <cellStyle name="Followed Hyperlink 4" xfId="7246" hidden="1" xr:uid="{00000000-0005-0000-0000-0000F95E0000}"/>
    <cellStyle name="Followed Hyperlink 4" xfId="7247" hidden="1" xr:uid="{00000000-0005-0000-0000-0000FA5E0000}"/>
    <cellStyle name="Followed Hyperlink 4" xfId="7250" hidden="1" xr:uid="{00000000-0005-0000-0000-0000FB5E0000}"/>
    <cellStyle name="Followed Hyperlink 4" xfId="6975" hidden="1" xr:uid="{00000000-0005-0000-0000-0000FC5E0000}"/>
    <cellStyle name="Followed Hyperlink 4" xfId="7030" hidden="1" xr:uid="{00000000-0005-0000-0000-0000FD5E0000}"/>
    <cellStyle name="Followed Hyperlink 4" xfId="7251" hidden="1" xr:uid="{00000000-0005-0000-0000-0000FE5E0000}"/>
    <cellStyle name="Followed Hyperlink 4" xfId="7254" hidden="1" xr:uid="{00000000-0005-0000-0000-0000FF5E0000}"/>
    <cellStyle name="Followed Hyperlink 4" xfId="7257" hidden="1" xr:uid="{00000000-0005-0000-0000-0000005F0000}"/>
    <cellStyle name="Followed Hyperlink 4" xfId="7259" hidden="1" xr:uid="{00000000-0005-0000-0000-0000015F0000}"/>
    <cellStyle name="Followed Hyperlink 4" xfId="7260" hidden="1" xr:uid="{00000000-0005-0000-0000-0000025F0000}"/>
    <cellStyle name="Followed Hyperlink 4" xfId="7263" hidden="1" xr:uid="{00000000-0005-0000-0000-0000035F0000}"/>
    <cellStyle name="Followed Hyperlink 4" xfId="7272" hidden="1" xr:uid="{00000000-0005-0000-0000-0000045F0000}"/>
    <cellStyle name="Followed Hyperlink 4" xfId="7264" hidden="1" xr:uid="{00000000-0005-0000-0000-0000055F0000}"/>
    <cellStyle name="Followed Hyperlink 4" xfId="7275" hidden="1" xr:uid="{00000000-0005-0000-0000-0000065F0000}"/>
    <cellStyle name="Followed Hyperlink 4" xfId="7278" hidden="1" xr:uid="{00000000-0005-0000-0000-0000075F0000}"/>
    <cellStyle name="Followed Hyperlink 4" xfId="7281" hidden="1" xr:uid="{00000000-0005-0000-0000-0000085F0000}"/>
    <cellStyle name="Followed Hyperlink 4" xfId="7283" hidden="1" xr:uid="{00000000-0005-0000-0000-0000095F0000}"/>
    <cellStyle name="Followed Hyperlink 4" xfId="7284" hidden="1" xr:uid="{00000000-0005-0000-0000-00000A5F0000}"/>
    <cellStyle name="Followed Hyperlink 4" xfId="7287" hidden="1" xr:uid="{00000000-0005-0000-0000-00000B5F0000}"/>
    <cellStyle name="Followed Hyperlink 4" xfId="7296" hidden="1" xr:uid="{00000000-0005-0000-0000-00000C5F0000}"/>
    <cellStyle name="Followed Hyperlink 4" xfId="7288" hidden="1" xr:uid="{00000000-0005-0000-0000-00000D5F0000}"/>
    <cellStyle name="Followed Hyperlink 4" xfId="7299" hidden="1" xr:uid="{00000000-0005-0000-0000-00000E5F0000}"/>
    <cellStyle name="Followed Hyperlink 4" xfId="7302" hidden="1" xr:uid="{00000000-0005-0000-0000-00000F5F0000}"/>
    <cellStyle name="Followed Hyperlink 4" xfId="7305" hidden="1" xr:uid="{00000000-0005-0000-0000-0000105F0000}"/>
    <cellStyle name="Followed Hyperlink 4" xfId="7307" hidden="1" xr:uid="{00000000-0005-0000-0000-0000115F0000}"/>
    <cellStyle name="Followed Hyperlink 4" xfId="7308" hidden="1" xr:uid="{00000000-0005-0000-0000-0000125F0000}"/>
    <cellStyle name="Followed Hyperlink 4" xfId="7311" hidden="1" xr:uid="{00000000-0005-0000-0000-0000135F0000}"/>
    <cellStyle name="Followed Hyperlink 4" xfId="7320" hidden="1" xr:uid="{00000000-0005-0000-0000-0000145F0000}"/>
    <cellStyle name="Followed Hyperlink 4" xfId="7312" hidden="1" xr:uid="{00000000-0005-0000-0000-0000155F0000}"/>
    <cellStyle name="Followed Hyperlink 4" xfId="7323" hidden="1" xr:uid="{00000000-0005-0000-0000-0000165F0000}"/>
    <cellStyle name="Followed Hyperlink 4" xfId="7326" hidden="1" xr:uid="{00000000-0005-0000-0000-0000175F0000}"/>
    <cellStyle name="Followed Hyperlink 4" xfId="7329" hidden="1" xr:uid="{00000000-0005-0000-0000-0000185F0000}"/>
    <cellStyle name="Followed Hyperlink 4" xfId="7331" hidden="1" xr:uid="{00000000-0005-0000-0000-0000195F0000}"/>
    <cellStyle name="Followed Hyperlink 4" xfId="7332" hidden="1" xr:uid="{00000000-0005-0000-0000-00001A5F0000}"/>
    <cellStyle name="Followed Hyperlink 4" xfId="7335" hidden="1" xr:uid="{00000000-0005-0000-0000-00001B5F0000}"/>
    <cellStyle name="Followed Hyperlink 4" xfId="6834" hidden="1" xr:uid="{00000000-0005-0000-0000-00001C5F0000}"/>
    <cellStyle name="Followed Hyperlink 4" xfId="6828" hidden="1" xr:uid="{00000000-0005-0000-0000-00001D5F0000}"/>
    <cellStyle name="Followed Hyperlink 4" xfId="7336" hidden="1" xr:uid="{00000000-0005-0000-0000-00001E5F0000}"/>
    <cellStyle name="Followed Hyperlink 4" xfId="7339" hidden="1" xr:uid="{00000000-0005-0000-0000-00001F5F0000}"/>
    <cellStyle name="Followed Hyperlink 4" xfId="7342" hidden="1" xr:uid="{00000000-0005-0000-0000-0000205F0000}"/>
    <cellStyle name="Followed Hyperlink 4" xfId="7344" hidden="1" xr:uid="{00000000-0005-0000-0000-0000215F0000}"/>
    <cellStyle name="Followed Hyperlink 4" xfId="7345" hidden="1" xr:uid="{00000000-0005-0000-0000-0000225F0000}"/>
    <cellStyle name="Followed Hyperlink 4" xfId="7348" hidden="1" xr:uid="{00000000-0005-0000-0000-0000235F0000}"/>
    <cellStyle name="Followed Hyperlink 4" xfId="7357" hidden="1" xr:uid="{00000000-0005-0000-0000-0000245F0000}"/>
    <cellStyle name="Followed Hyperlink 4" xfId="7349" hidden="1" xr:uid="{00000000-0005-0000-0000-0000255F0000}"/>
    <cellStyle name="Followed Hyperlink 4" xfId="7360" hidden="1" xr:uid="{00000000-0005-0000-0000-0000265F0000}"/>
    <cellStyle name="Followed Hyperlink 4" xfId="7363" hidden="1" xr:uid="{00000000-0005-0000-0000-0000275F0000}"/>
    <cellStyle name="Followed Hyperlink 4" xfId="7366" hidden="1" xr:uid="{00000000-0005-0000-0000-0000285F0000}"/>
    <cellStyle name="Followed Hyperlink 4" xfId="7368" hidden="1" xr:uid="{00000000-0005-0000-0000-0000295F0000}"/>
    <cellStyle name="Followed Hyperlink 4" xfId="7369" hidden="1" xr:uid="{00000000-0005-0000-0000-00002A5F0000}"/>
    <cellStyle name="Followed Hyperlink 4" xfId="7372" hidden="1" xr:uid="{00000000-0005-0000-0000-00002B5F0000}"/>
    <cellStyle name="Followed Hyperlink 4" xfId="7382" hidden="1" xr:uid="{00000000-0005-0000-0000-00002C5F0000}"/>
    <cellStyle name="Followed Hyperlink 4" xfId="7374" hidden="1" xr:uid="{00000000-0005-0000-0000-00002D5F0000}"/>
    <cellStyle name="Followed Hyperlink 4" xfId="7385" hidden="1" xr:uid="{00000000-0005-0000-0000-00002E5F0000}"/>
    <cellStyle name="Followed Hyperlink 4" xfId="7388" hidden="1" xr:uid="{00000000-0005-0000-0000-00002F5F0000}"/>
    <cellStyle name="Followed Hyperlink 4" xfId="7391" hidden="1" xr:uid="{00000000-0005-0000-0000-0000305F0000}"/>
    <cellStyle name="Followed Hyperlink 4" xfId="7393" hidden="1" xr:uid="{00000000-0005-0000-0000-0000315F0000}"/>
    <cellStyle name="Followed Hyperlink 4" xfId="7394" hidden="1" xr:uid="{00000000-0005-0000-0000-0000325F0000}"/>
    <cellStyle name="Followed Hyperlink 4" xfId="7397" hidden="1" xr:uid="{00000000-0005-0000-0000-0000335F0000}"/>
    <cellStyle name="Followed Hyperlink 4" xfId="7406" hidden="1" xr:uid="{00000000-0005-0000-0000-0000345F0000}"/>
    <cellStyle name="Followed Hyperlink 4" xfId="7398" hidden="1" xr:uid="{00000000-0005-0000-0000-0000355F0000}"/>
    <cellStyle name="Followed Hyperlink 4" xfId="7409" hidden="1" xr:uid="{00000000-0005-0000-0000-0000365F0000}"/>
    <cellStyle name="Followed Hyperlink 4" xfId="7412" hidden="1" xr:uid="{00000000-0005-0000-0000-0000375F0000}"/>
    <cellStyle name="Followed Hyperlink 4" xfId="7415" hidden="1" xr:uid="{00000000-0005-0000-0000-0000385F0000}"/>
    <cellStyle name="Followed Hyperlink 4" xfId="7417" hidden="1" xr:uid="{00000000-0005-0000-0000-0000395F0000}"/>
    <cellStyle name="Followed Hyperlink 4" xfId="7418" hidden="1" xr:uid="{00000000-0005-0000-0000-00003A5F0000}"/>
    <cellStyle name="Followed Hyperlink 4" xfId="7421" hidden="1" xr:uid="{00000000-0005-0000-0000-00003B5F0000}"/>
    <cellStyle name="Followed Hyperlink 4" xfId="7459" hidden="1" xr:uid="{00000000-0005-0000-0000-00003C5F0000}"/>
    <cellStyle name="Followed Hyperlink 4" xfId="7451" hidden="1" xr:uid="{00000000-0005-0000-0000-00003D5F0000}"/>
    <cellStyle name="Followed Hyperlink 4" xfId="7462" hidden="1" xr:uid="{00000000-0005-0000-0000-00003E5F0000}"/>
    <cellStyle name="Followed Hyperlink 4" xfId="7465" hidden="1" xr:uid="{00000000-0005-0000-0000-00003F5F0000}"/>
    <cellStyle name="Followed Hyperlink 4" xfId="7468" hidden="1" xr:uid="{00000000-0005-0000-0000-0000405F0000}"/>
    <cellStyle name="Followed Hyperlink 4" xfId="7470" hidden="1" xr:uid="{00000000-0005-0000-0000-0000415F0000}"/>
    <cellStyle name="Followed Hyperlink 4" xfId="7471" hidden="1" xr:uid="{00000000-0005-0000-0000-0000425F0000}"/>
    <cellStyle name="Followed Hyperlink 4" xfId="7474" hidden="1" xr:uid="{00000000-0005-0000-0000-0000435F0000}"/>
    <cellStyle name="Followed Hyperlink 4" xfId="7483" hidden="1" xr:uid="{00000000-0005-0000-0000-0000445F0000}"/>
    <cellStyle name="Followed Hyperlink 4" xfId="7475" hidden="1" xr:uid="{00000000-0005-0000-0000-0000455F0000}"/>
    <cellStyle name="Followed Hyperlink 4" xfId="7486" hidden="1" xr:uid="{00000000-0005-0000-0000-0000465F0000}"/>
    <cellStyle name="Followed Hyperlink 4" xfId="7489" hidden="1" xr:uid="{00000000-0005-0000-0000-0000475F0000}"/>
    <cellStyle name="Followed Hyperlink 4" xfId="7492" hidden="1" xr:uid="{00000000-0005-0000-0000-0000485F0000}"/>
    <cellStyle name="Followed Hyperlink 4" xfId="7494" hidden="1" xr:uid="{00000000-0005-0000-0000-0000495F0000}"/>
    <cellStyle name="Followed Hyperlink 4" xfId="7495" hidden="1" xr:uid="{00000000-0005-0000-0000-00004A5F0000}"/>
    <cellStyle name="Followed Hyperlink 4" xfId="7498" hidden="1" xr:uid="{00000000-0005-0000-0000-00004B5F0000}"/>
    <cellStyle name="Followed Hyperlink 4" xfId="7509" hidden="1" xr:uid="{00000000-0005-0000-0000-00004C5F0000}"/>
    <cellStyle name="Followed Hyperlink 4" xfId="7501" hidden="1" xr:uid="{00000000-0005-0000-0000-00004D5F0000}"/>
    <cellStyle name="Followed Hyperlink 4" xfId="7512" hidden="1" xr:uid="{00000000-0005-0000-0000-00004E5F0000}"/>
    <cellStyle name="Followed Hyperlink 4" xfId="7515" hidden="1" xr:uid="{00000000-0005-0000-0000-00004F5F0000}"/>
    <cellStyle name="Followed Hyperlink 4" xfId="7518" hidden="1" xr:uid="{00000000-0005-0000-0000-0000505F0000}"/>
    <cellStyle name="Followed Hyperlink 4" xfId="7520" hidden="1" xr:uid="{00000000-0005-0000-0000-0000515F0000}"/>
    <cellStyle name="Followed Hyperlink 4" xfId="7521" hidden="1" xr:uid="{00000000-0005-0000-0000-0000525F0000}"/>
    <cellStyle name="Followed Hyperlink 4" xfId="7524" hidden="1" xr:uid="{00000000-0005-0000-0000-0000535F0000}"/>
    <cellStyle name="Followed Hyperlink 4" xfId="7533" hidden="1" xr:uid="{00000000-0005-0000-0000-0000545F0000}"/>
    <cellStyle name="Followed Hyperlink 4" xfId="7525" hidden="1" xr:uid="{00000000-0005-0000-0000-0000555F0000}"/>
    <cellStyle name="Followed Hyperlink 4" xfId="7536" hidden="1" xr:uid="{00000000-0005-0000-0000-0000565F0000}"/>
    <cellStyle name="Followed Hyperlink 4" xfId="7539" hidden="1" xr:uid="{00000000-0005-0000-0000-0000575F0000}"/>
    <cellStyle name="Followed Hyperlink 4" xfId="7542" hidden="1" xr:uid="{00000000-0005-0000-0000-0000585F0000}"/>
    <cellStyle name="Followed Hyperlink 4" xfId="7544" hidden="1" xr:uid="{00000000-0005-0000-0000-0000595F0000}"/>
    <cellStyle name="Followed Hyperlink 4" xfId="7545" hidden="1" xr:uid="{00000000-0005-0000-0000-00005A5F0000}"/>
    <cellStyle name="Followed Hyperlink 4" xfId="7548" hidden="1" xr:uid="{00000000-0005-0000-0000-00005B5F0000}"/>
    <cellStyle name="Followed Hyperlink 4" xfId="7431" hidden="1" xr:uid="{00000000-0005-0000-0000-00005C5F0000}"/>
    <cellStyle name="Followed Hyperlink 4" xfId="7425" hidden="1" xr:uid="{00000000-0005-0000-0000-00005D5F0000}"/>
    <cellStyle name="Followed Hyperlink 4" xfId="7549" hidden="1" xr:uid="{00000000-0005-0000-0000-00005E5F0000}"/>
    <cellStyle name="Followed Hyperlink 4" xfId="7552" hidden="1" xr:uid="{00000000-0005-0000-0000-00005F5F0000}"/>
    <cellStyle name="Followed Hyperlink 4" xfId="7555" hidden="1" xr:uid="{00000000-0005-0000-0000-0000605F0000}"/>
    <cellStyle name="Followed Hyperlink 4" xfId="7557" hidden="1" xr:uid="{00000000-0005-0000-0000-0000615F0000}"/>
    <cellStyle name="Followed Hyperlink 4" xfId="7558" hidden="1" xr:uid="{00000000-0005-0000-0000-0000625F0000}"/>
    <cellStyle name="Followed Hyperlink 4" xfId="7561" hidden="1" xr:uid="{00000000-0005-0000-0000-0000635F0000}"/>
    <cellStyle name="Followed Hyperlink 4" xfId="7570" hidden="1" xr:uid="{00000000-0005-0000-0000-0000645F0000}"/>
    <cellStyle name="Followed Hyperlink 4" xfId="7562" hidden="1" xr:uid="{00000000-0005-0000-0000-0000655F0000}"/>
    <cellStyle name="Followed Hyperlink 4" xfId="7573" hidden="1" xr:uid="{00000000-0005-0000-0000-0000665F0000}"/>
    <cellStyle name="Followed Hyperlink 4" xfId="7576" hidden="1" xr:uid="{00000000-0005-0000-0000-0000675F0000}"/>
    <cellStyle name="Followed Hyperlink 4" xfId="7579" hidden="1" xr:uid="{00000000-0005-0000-0000-0000685F0000}"/>
    <cellStyle name="Followed Hyperlink 4" xfId="7581" hidden="1" xr:uid="{00000000-0005-0000-0000-0000695F0000}"/>
    <cellStyle name="Followed Hyperlink 4" xfId="7582" hidden="1" xr:uid="{00000000-0005-0000-0000-00006A5F0000}"/>
    <cellStyle name="Followed Hyperlink 4" xfId="7585" hidden="1" xr:uid="{00000000-0005-0000-0000-00006B5F0000}"/>
    <cellStyle name="Followed Hyperlink 4" xfId="7595" hidden="1" xr:uid="{00000000-0005-0000-0000-00006C5F0000}"/>
    <cellStyle name="Followed Hyperlink 4" xfId="7587" hidden="1" xr:uid="{00000000-0005-0000-0000-00006D5F0000}"/>
    <cellStyle name="Followed Hyperlink 4" xfId="7598" hidden="1" xr:uid="{00000000-0005-0000-0000-00006E5F0000}"/>
    <cellStyle name="Followed Hyperlink 4" xfId="7601" hidden="1" xr:uid="{00000000-0005-0000-0000-00006F5F0000}"/>
    <cellStyle name="Followed Hyperlink 4" xfId="7604" hidden="1" xr:uid="{00000000-0005-0000-0000-0000705F0000}"/>
    <cellStyle name="Followed Hyperlink 4" xfId="7606" hidden="1" xr:uid="{00000000-0005-0000-0000-0000715F0000}"/>
    <cellStyle name="Followed Hyperlink 4" xfId="7607" hidden="1" xr:uid="{00000000-0005-0000-0000-0000725F0000}"/>
    <cellStyle name="Followed Hyperlink 4" xfId="7610" hidden="1" xr:uid="{00000000-0005-0000-0000-0000735F0000}"/>
    <cellStyle name="Followed Hyperlink 4" xfId="7619" hidden="1" xr:uid="{00000000-0005-0000-0000-0000745F0000}"/>
    <cellStyle name="Followed Hyperlink 4" xfId="7611" hidden="1" xr:uid="{00000000-0005-0000-0000-0000755F0000}"/>
    <cellStyle name="Followed Hyperlink 4" xfId="7622" hidden="1" xr:uid="{00000000-0005-0000-0000-0000765F0000}"/>
    <cellStyle name="Followed Hyperlink 4" xfId="7625" hidden="1" xr:uid="{00000000-0005-0000-0000-0000775F0000}"/>
    <cellStyle name="Followed Hyperlink 4" xfId="7628" hidden="1" xr:uid="{00000000-0005-0000-0000-0000785F0000}"/>
    <cellStyle name="Followed Hyperlink 4" xfId="7630" hidden="1" xr:uid="{00000000-0005-0000-0000-0000795F0000}"/>
    <cellStyle name="Followed Hyperlink 4" xfId="7631" hidden="1" xr:uid="{00000000-0005-0000-0000-00007A5F0000}"/>
    <cellStyle name="Followed Hyperlink 4" xfId="7634" hidden="1" xr:uid="{00000000-0005-0000-0000-00007B5F0000}"/>
    <cellStyle name="Followed Hyperlink 4" xfId="7435" hidden="1" xr:uid="{00000000-0005-0000-0000-00007C5F0000}"/>
    <cellStyle name="Followed Hyperlink 4" xfId="7441" hidden="1" xr:uid="{00000000-0005-0000-0000-00007D5F0000}"/>
    <cellStyle name="Followed Hyperlink 4" xfId="7635" hidden="1" xr:uid="{00000000-0005-0000-0000-00007E5F0000}"/>
    <cellStyle name="Followed Hyperlink 4" xfId="7638" hidden="1" xr:uid="{00000000-0005-0000-0000-00007F5F0000}"/>
    <cellStyle name="Followed Hyperlink 4" xfId="7641" hidden="1" xr:uid="{00000000-0005-0000-0000-0000805F0000}"/>
    <cellStyle name="Followed Hyperlink 4" xfId="7643" hidden="1" xr:uid="{00000000-0005-0000-0000-0000815F0000}"/>
    <cellStyle name="Followed Hyperlink 4" xfId="7644" hidden="1" xr:uid="{00000000-0005-0000-0000-0000825F0000}"/>
    <cellStyle name="Followed Hyperlink 4" xfId="7647" hidden="1" xr:uid="{00000000-0005-0000-0000-0000835F0000}"/>
    <cellStyle name="Followed Hyperlink 4" xfId="7656" hidden="1" xr:uid="{00000000-0005-0000-0000-0000845F0000}"/>
    <cellStyle name="Followed Hyperlink 4" xfId="7648" hidden="1" xr:uid="{00000000-0005-0000-0000-0000855F0000}"/>
    <cellStyle name="Followed Hyperlink 4" xfId="7659" hidden="1" xr:uid="{00000000-0005-0000-0000-0000865F0000}"/>
    <cellStyle name="Followed Hyperlink 4" xfId="7662" hidden="1" xr:uid="{00000000-0005-0000-0000-0000875F0000}"/>
    <cellStyle name="Followed Hyperlink 4" xfId="7665" hidden="1" xr:uid="{00000000-0005-0000-0000-0000885F0000}"/>
    <cellStyle name="Followed Hyperlink 4" xfId="7667" hidden="1" xr:uid="{00000000-0005-0000-0000-0000895F0000}"/>
    <cellStyle name="Followed Hyperlink 4" xfId="7668" hidden="1" xr:uid="{00000000-0005-0000-0000-00008A5F0000}"/>
    <cellStyle name="Followed Hyperlink 4" xfId="7671" hidden="1" xr:uid="{00000000-0005-0000-0000-00008B5F0000}"/>
    <cellStyle name="Followed Hyperlink 4" xfId="7681" hidden="1" xr:uid="{00000000-0005-0000-0000-00008C5F0000}"/>
    <cellStyle name="Followed Hyperlink 4" xfId="7673" hidden="1" xr:uid="{00000000-0005-0000-0000-00008D5F0000}"/>
    <cellStyle name="Followed Hyperlink 4" xfId="7684" hidden="1" xr:uid="{00000000-0005-0000-0000-00008E5F0000}"/>
    <cellStyle name="Followed Hyperlink 4" xfId="7687" hidden="1" xr:uid="{00000000-0005-0000-0000-00008F5F0000}"/>
    <cellStyle name="Followed Hyperlink 4" xfId="7690" hidden="1" xr:uid="{00000000-0005-0000-0000-0000905F0000}"/>
    <cellStyle name="Followed Hyperlink 4" xfId="7692" hidden="1" xr:uid="{00000000-0005-0000-0000-0000915F0000}"/>
    <cellStyle name="Followed Hyperlink 4" xfId="7693" hidden="1" xr:uid="{00000000-0005-0000-0000-0000925F0000}"/>
    <cellStyle name="Followed Hyperlink 4" xfId="7696" hidden="1" xr:uid="{00000000-0005-0000-0000-0000935F0000}"/>
    <cellStyle name="Followed Hyperlink 4" xfId="7705" hidden="1" xr:uid="{00000000-0005-0000-0000-0000945F0000}"/>
    <cellStyle name="Followed Hyperlink 4" xfId="7697" hidden="1" xr:uid="{00000000-0005-0000-0000-0000955F0000}"/>
    <cellStyle name="Followed Hyperlink 4" xfId="7708" hidden="1" xr:uid="{00000000-0005-0000-0000-0000965F0000}"/>
    <cellStyle name="Followed Hyperlink 4" xfId="7711" hidden="1" xr:uid="{00000000-0005-0000-0000-0000975F0000}"/>
    <cellStyle name="Followed Hyperlink 4" xfId="7714" hidden="1" xr:uid="{00000000-0005-0000-0000-0000985F0000}"/>
    <cellStyle name="Followed Hyperlink 4" xfId="7716" hidden="1" xr:uid="{00000000-0005-0000-0000-0000995F0000}"/>
    <cellStyle name="Followed Hyperlink 4" xfId="7717" hidden="1" xr:uid="{00000000-0005-0000-0000-00009A5F0000}"/>
    <cellStyle name="Followed Hyperlink 4" xfId="7720" hidden="1" xr:uid="{00000000-0005-0000-0000-00009B5F0000}"/>
    <cellStyle name="Followed Hyperlink 4" xfId="7445" hidden="1" xr:uid="{00000000-0005-0000-0000-00009C5F0000}"/>
    <cellStyle name="Followed Hyperlink 4" xfId="7500" hidden="1" xr:uid="{00000000-0005-0000-0000-00009D5F0000}"/>
    <cellStyle name="Followed Hyperlink 4" xfId="7721" hidden="1" xr:uid="{00000000-0005-0000-0000-00009E5F0000}"/>
    <cellStyle name="Followed Hyperlink 4" xfId="7724" hidden="1" xr:uid="{00000000-0005-0000-0000-00009F5F0000}"/>
    <cellStyle name="Followed Hyperlink 4" xfId="7727" hidden="1" xr:uid="{00000000-0005-0000-0000-0000A05F0000}"/>
    <cellStyle name="Followed Hyperlink 4" xfId="7729" hidden="1" xr:uid="{00000000-0005-0000-0000-0000A15F0000}"/>
    <cellStyle name="Followed Hyperlink 4" xfId="7730" hidden="1" xr:uid="{00000000-0005-0000-0000-0000A25F0000}"/>
    <cellStyle name="Followed Hyperlink 4" xfId="7733" hidden="1" xr:uid="{00000000-0005-0000-0000-0000A35F0000}"/>
    <cellStyle name="Followed Hyperlink 4" xfId="7742" hidden="1" xr:uid="{00000000-0005-0000-0000-0000A45F0000}"/>
    <cellStyle name="Followed Hyperlink 4" xfId="7734" hidden="1" xr:uid="{00000000-0005-0000-0000-0000A55F0000}"/>
    <cellStyle name="Followed Hyperlink 4" xfId="7745" hidden="1" xr:uid="{00000000-0005-0000-0000-0000A65F0000}"/>
    <cellStyle name="Followed Hyperlink 4" xfId="7748" hidden="1" xr:uid="{00000000-0005-0000-0000-0000A75F0000}"/>
    <cellStyle name="Followed Hyperlink 4" xfId="7751" hidden="1" xr:uid="{00000000-0005-0000-0000-0000A85F0000}"/>
    <cellStyle name="Followed Hyperlink 4" xfId="7753" hidden="1" xr:uid="{00000000-0005-0000-0000-0000A95F0000}"/>
    <cellStyle name="Followed Hyperlink 4" xfId="7754" hidden="1" xr:uid="{00000000-0005-0000-0000-0000AA5F0000}"/>
    <cellStyle name="Followed Hyperlink 4" xfId="7757" hidden="1" xr:uid="{00000000-0005-0000-0000-0000AB5F0000}"/>
    <cellStyle name="Followed Hyperlink 4" xfId="7766" hidden="1" xr:uid="{00000000-0005-0000-0000-0000AC5F0000}"/>
    <cellStyle name="Followed Hyperlink 4" xfId="7758" hidden="1" xr:uid="{00000000-0005-0000-0000-0000AD5F0000}"/>
    <cellStyle name="Followed Hyperlink 4" xfId="7769" hidden="1" xr:uid="{00000000-0005-0000-0000-0000AE5F0000}"/>
    <cellStyle name="Followed Hyperlink 4" xfId="7772" hidden="1" xr:uid="{00000000-0005-0000-0000-0000AF5F0000}"/>
    <cellStyle name="Followed Hyperlink 4" xfId="7775" hidden="1" xr:uid="{00000000-0005-0000-0000-0000B05F0000}"/>
    <cellStyle name="Followed Hyperlink 4" xfId="7777" hidden="1" xr:uid="{00000000-0005-0000-0000-0000B15F0000}"/>
    <cellStyle name="Followed Hyperlink 4" xfId="7778" hidden="1" xr:uid="{00000000-0005-0000-0000-0000B25F0000}"/>
    <cellStyle name="Followed Hyperlink 4" xfId="7781" hidden="1" xr:uid="{00000000-0005-0000-0000-0000B35F0000}"/>
    <cellStyle name="Followed Hyperlink 4" xfId="7790" hidden="1" xr:uid="{00000000-0005-0000-0000-0000B45F0000}"/>
    <cellStyle name="Followed Hyperlink 4" xfId="7782" hidden="1" xr:uid="{00000000-0005-0000-0000-0000B55F0000}"/>
    <cellStyle name="Followed Hyperlink 4" xfId="7793" hidden="1" xr:uid="{00000000-0005-0000-0000-0000B65F0000}"/>
    <cellStyle name="Followed Hyperlink 4" xfId="7796" hidden="1" xr:uid="{00000000-0005-0000-0000-0000B75F0000}"/>
    <cellStyle name="Followed Hyperlink 4" xfId="7799" hidden="1" xr:uid="{00000000-0005-0000-0000-0000B85F0000}"/>
    <cellStyle name="Followed Hyperlink 4" xfId="7801" hidden="1" xr:uid="{00000000-0005-0000-0000-0000B95F0000}"/>
    <cellStyle name="Followed Hyperlink 4" xfId="7802" hidden="1" xr:uid="{00000000-0005-0000-0000-0000BA5F0000}"/>
    <cellStyle name="Followed Hyperlink 4" xfId="7805" hidden="1" xr:uid="{00000000-0005-0000-0000-0000BB5F0000}"/>
    <cellStyle name="Followed Hyperlink 4" xfId="6838" hidden="1" xr:uid="{00000000-0005-0000-0000-0000BC5F0000}"/>
    <cellStyle name="Followed Hyperlink 4" xfId="6844" hidden="1" xr:uid="{00000000-0005-0000-0000-0000BD5F0000}"/>
    <cellStyle name="Followed Hyperlink 4" xfId="7806" hidden="1" xr:uid="{00000000-0005-0000-0000-0000BE5F0000}"/>
    <cellStyle name="Followed Hyperlink 4" xfId="7809" hidden="1" xr:uid="{00000000-0005-0000-0000-0000BF5F0000}"/>
    <cellStyle name="Followed Hyperlink 4" xfId="7812" hidden="1" xr:uid="{00000000-0005-0000-0000-0000C05F0000}"/>
    <cellStyle name="Followed Hyperlink 4" xfId="7814" hidden="1" xr:uid="{00000000-0005-0000-0000-0000C15F0000}"/>
    <cellStyle name="Followed Hyperlink 4" xfId="7815" hidden="1" xr:uid="{00000000-0005-0000-0000-0000C25F0000}"/>
    <cellStyle name="Followed Hyperlink 4" xfId="7818" hidden="1" xr:uid="{00000000-0005-0000-0000-0000C35F0000}"/>
    <cellStyle name="Followed Hyperlink 4" xfId="7827" hidden="1" xr:uid="{00000000-0005-0000-0000-0000C45F0000}"/>
    <cellStyle name="Followed Hyperlink 4" xfId="7819" hidden="1" xr:uid="{00000000-0005-0000-0000-0000C55F0000}"/>
    <cellStyle name="Followed Hyperlink 4" xfId="7830" hidden="1" xr:uid="{00000000-0005-0000-0000-0000C65F0000}"/>
    <cellStyle name="Followed Hyperlink 4" xfId="7833" hidden="1" xr:uid="{00000000-0005-0000-0000-0000C75F0000}"/>
    <cellStyle name="Followed Hyperlink 4" xfId="7836" hidden="1" xr:uid="{00000000-0005-0000-0000-0000C85F0000}"/>
    <cellStyle name="Followed Hyperlink 4" xfId="7838" hidden="1" xr:uid="{00000000-0005-0000-0000-0000C95F0000}"/>
    <cellStyle name="Followed Hyperlink 4" xfId="7839" hidden="1" xr:uid="{00000000-0005-0000-0000-0000CA5F0000}"/>
    <cellStyle name="Followed Hyperlink 4" xfId="7842" hidden="1" xr:uid="{00000000-0005-0000-0000-0000CB5F0000}"/>
    <cellStyle name="Followed Hyperlink 4" xfId="7852" hidden="1" xr:uid="{00000000-0005-0000-0000-0000CC5F0000}"/>
    <cellStyle name="Followed Hyperlink 4" xfId="7844" hidden="1" xr:uid="{00000000-0005-0000-0000-0000CD5F0000}"/>
    <cellStyle name="Followed Hyperlink 4" xfId="7855" hidden="1" xr:uid="{00000000-0005-0000-0000-0000CE5F0000}"/>
    <cellStyle name="Followed Hyperlink 4" xfId="7858" hidden="1" xr:uid="{00000000-0005-0000-0000-0000CF5F0000}"/>
    <cellStyle name="Followed Hyperlink 4" xfId="7861" hidden="1" xr:uid="{00000000-0005-0000-0000-0000D05F0000}"/>
    <cellStyle name="Followed Hyperlink 4" xfId="7863" hidden="1" xr:uid="{00000000-0005-0000-0000-0000D15F0000}"/>
    <cellStyle name="Followed Hyperlink 4" xfId="7864" hidden="1" xr:uid="{00000000-0005-0000-0000-0000D25F0000}"/>
    <cellStyle name="Followed Hyperlink 4" xfId="7867" hidden="1" xr:uid="{00000000-0005-0000-0000-0000D35F0000}"/>
    <cellStyle name="Followed Hyperlink 4" xfId="7876" hidden="1" xr:uid="{00000000-0005-0000-0000-0000D45F0000}"/>
    <cellStyle name="Followed Hyperlink 4" xfId="7868" hidden="1" xr:uid="{00000000-0005-0000-0000-0000D55F0000}"/>
    <cellStyle name="Followed Hyperlink 4" xfId="7879" hidden="1" xr:uid="{00000000-0005-0000-0000-0000D65F0000}"/>
    <cellStyle name="Followed Hyperlink 4" xfId="7882" hidden="1" xr:uid="{00000000-0005-0000-0000-0000D75F0000}"/>
    <cellStyle name="Followed Hyperlink 4" xfId="7885" hidden="1" xr:uid="{00000000-0005-0000-0000-0000D85F0000}"/>
    <cellStyle name="Followed Hyperlink 4" xfId="7887" hidden="1" xr:uid="{00000000-0005-0000-0000-0000D95F0000}"/>
    <cellStyle name="Followed Hyperlink 4" xfId="7888" hidden="1" xr:uid="{00000000-0005-0000-0000-0000DA5F0000}"/>
    <cellStyle name="Followed Hyperlink 4" xfId="7891" hidden="1" xr:uid="{00000000-0005-0000-0000-0000DB5F0000}"/>
    <cellStyle name="Followed Hyperlink 4" xfId="7929" hidden="1" xr:uid="{00000000-0005-0000-0000-0000DC5F0000}"/>
    <cellStyle name="Followed Hyperlink 4" xfId="7921" hidden="1" xr:uid="{00000000-0005-0000-0000-0000DD5F0000}"/>
    <cellStyle name="Followed Hyperlink 4" xfId="7932" hidden="1" xr:uid="{00000000-0005-0000-0000-0000DE5F0000}"/>
    <cellStyle name="Followed Hyperlink 4" xfId="7935" hidden="1" xr:uid="{00000000-0005-0000-0000-0000DF5F0000}"/>
    <cellStyle name="Followed Hyperlink 4" xfId="7938" hidden="1" xr:uid="{00000000-0005-0000-0000-0000E05F0000}"/>
    <cellStyle name="Followed Hyperlink 4" xfId="7940" hidden="1" xr:uid="{00000000-0005-0000-0000-0000E15F0000}"/>
    <cellStyle name="Followed Hyperlink 4" xfId="7941" hidden="1" xr:uid="{00000000-0005-0000-0000-0000E25F0000}"/>
    <cellStyle name="Followed Hyperlink 4" xfId="7944" hidden="1" xr:uid="{00000000-0005-0000-0000-0000E35F0000}"/>
    <cellStyle name="Followed Hyperlink 4" xfId="7953" hidden="1" xr:uid="{00000000-0005-0000-0000-0000E45F0000}"/>
    <cellStyle name="Followed Hyperlink 4" xfId="7945" hidden="1" xr:uid="{00000000-0005-0000-0000-0000E55F0000}"/>
    <cellStyle name="Followed Hyperlink 4" xfId="7956" hidden="1" xr:uid="{00000000-0005-0000-0000-0000E65F0000}"/>
    <cellStyle name="Followed Hyperlink 4" xfId="7959" hidden="1" xr:uid="{00000000-0005-0000-0000-0000E75F0000}"/>
    <cellStyle name="Followed Hyperlink 4" xfId="7962" hidden="1" xr:uid="{00000000-0005-0000-0000-0000E85F0000}"/>
    <cellStyle name="Followed Hyperlink 4" xfId="7964" hidden="1" xr:uid="{00000000-0005-0000-0000-0000E95F0000}"/>
    <cellStyle name="Followed Hyperlink 4" xfId="7965" hidden="1" xr:uid="{00000000-0005-0000-0000-0000EA5F0000}"/>
    <cellStyle name="Followed Hyperlink 4" xfId="7968" hidden="1" xr:uid="{00000000-0005-0000-0000-0000EB5F0000}"/>
    <cellStyle name="Followed Hyperlink 4" xfId="7979" hidden="1" xr:uid="{00000000-0005-0000-0000-0000EC5F0000}"/>
    <cellStyle name="Followed Hyperlink 4" xfId="7971" hidden="1" xr:uid="{00000000-0005-0000-0000-0000ED5F0000}"/>
    <cellStyle name="Followed Hyperlink 4" xfId="7982" hidden="1" xr:uid="{00000000-0005-0000-0000-0000EE5F0000}"/>
    <cellStyle name="Followed Hyperlink 4" xfId="7985" hidden="1" xr:uid="{00000000-0005-0000-0000-0000EF5F0000}"/>
    <cellStyle name="Followed Hyperlink 4" xfId="7988" hidden="1" xr:uid="{00000000-0005-0000-0000-0000F05F0000}"/>
    <cellStyle name="Followed Hyperlink 4" xfId="7990" hidden="1" xr:uid="{00000000-0005-0000-0000-0000F15F0000}"/>
    <cellStyle name="Followed Hyperlink 4" xfId="7991" hidden="1" xr:uid="{00000000-0005-0000-0000-0000F25F0000}"/>
    <cellStyle name="Followed Hyperlink 4" xfId="7994" hidden="1" xr:uid="{00000000-0005-0000-0000-0000F35F0000}"/>
    <cellStyle name="Followed Hyperlink 4" xfId="8003" hidden="1" xr:uid="{00000000-0005-0000-0000-0000F45F0000}"/>
    <cellStyle name="Followed Hyperlink 4" xfId="7995" hidden="1" xr:uid="{00000000-0005-0000-0000-0000F55F0000}"/>
    <cellStyle name="Followed Hyperlink 4" xfId="8006" hidden="1" xr:uid="{00000000-0005-0000-0000-0000F65F0000}"/>
    <cellStyle name="Followed Hyperlink 4" xfId="8009" hidden="1" xr:uid="{00000000-0005-0000-0000-0000F75F0000}"/>
    <cellStyle name="Followed Hyperlink 4" xfId="8012" hidden="1" xr:uid="{00000000-0005-0000-0000-0000F85F0000}"/>
    <cellStyle name="Followed Hyperlink 4" xfId="8014" hidden="1" xr:uid="{00000000-0005-0000-0000-0000F95F0000}"/>
    <cellStyle name="Followed Hyperlink 4" xfId="8015" hidden="1" xr:uid="{00000000-0005-0000-0000-0000FA5F0000}"/>
    <cellStyle name="Followed Hyperlink 4" xfId="8018" hidden="1" xr:uid="{00000000-0005-0000-0000-0000FB5F0000}"/>
    <cellStyle name="Followed Hyperlink 4" xfId="7901" hidden="1" xr:uid="{00000000-0005-0000-0000-0000FC5F0000}"/>
    <cellStyle name="Followed Hyperlink 4" xfId="7895" hidden="1" xr:uid="{00000000-0005-0000-0000-0000FD5F0000}"/>
    <cellStyle name="Followed Hyperlink 4" xfId="8019" hidden="1" xr:uid="{00000000-0005-0000-0000-0000FE5F0000}"/>
    <cellStyle name="Followed Hyperlink 4" xfId="8022" hidden="1" xr:uid="{00000000-0005-0000-0000-0000FF5F0000}"/>
    <cellStyle name="Followed Hyperlink 4" xfId="8025" hidden="1" xr:uid="{00000000-0005-0000-0000-000000600000}"/>
    <cellStyle name="Followed Hyperlink 4" xfId="8027" hidden="1" xr:uid="{00000000-0005-0000-0000-000001600000}"/>
    <cellStyle name="Followed Hyperlink 4" xfId="8028" hidden="1" xr:uid="{00000000-0005-0000-0000-000002600000}"/>
    <cellStyle name="Followed Hyperlink 4" xfId="8031" hidden="1" xr:uid="{00000000-0005-0000-0000-000003600000}"/>
    <cellStyle name="Followed Hyperlink 4" xfId="8040" hidden="1" xr:uid="{00000000-0005-0000-0000-000004600000}"/>
    <cellStyle name="Followed Hyperlink 4" xfId="8032" hidden="1" xr:uid="{00000000-0005-0000-0000-000005600000}"/>
    <cellStyle name="Followed Hyperlink 4" xfId="8043" hidden="1" xr:uid="{00000000-0005-0000-0000-000006600000}"/>
    <cellStyle name="Followed Hyperlink 4" xfId="8046" hidden="1" xr:uid="{00000000-0005-0000-0000-000007600000}"/>
    <cellStyle name="Followed Hyperlink 4" xfId="8049" hidden="1" xr:uid="{00000000-0005-0000-0000-000008600000}"/>
    <cellStyle name="Followed Hyperlink 4" xfId="8051" hidden="1" xr:uid="{00000000-0005-0000-0000-000009600000}"/>
    <cellStyle name="Followed Hyperlink 4" xfId="8052" hidden="1" xr:uid="{00000000-0005-0000-0000-00000A600000}"/>
    <cellStyle name="Followed Hyperlink 4" xfId="8055" hidden="1" xr:uid="{00000000-0005-0000-0000-00000B600000}"/>
    <cellStyle name="Followed Hyperlink 4" xfId="8065" hidden="1" xr:uid="{00000000-0005-0000-0000-00000C600000}"/>
    <cellStyle name="Followed Hyperlink 4" xfId="8057" hidden="1" xr:uid="{00000000-0005-0000-0000-00000D600000}"/>
    <cellStyle name="Followed Hyperlink 4" xfId="8068" hidden="1" xr:uid="{00000000-0005-0000-0000-00000E600000}"/>
    <cellStyle name="Followed Hyperlink 4" xfId="8071" hidden="1" xr:uid="{00000000-0005-0000-0000-00000F600000}"/>
    <cellStyle name="Followed Hyperlink 4" xfId="8074" hidden="1" xr:uid="{00000000-0005-0000-0000-000010600000}"/>
    <cellStyle name="Followed Hyperlink 4" xfId="8076" hidden="1" xr:uid="{00000000-0005-0000-0000-000011600000}"/>
    <cellStyle name="Followed Hyperlink 4" xfId="8077" hidden="1" xr:uid="{00000000-0005-0000-0000-000012600000}"/>
    <cellStyle name="Followed Hyperlink 4" xfId="8080" hidden="1" xr:uid="{00000000-0005-0000-0000-000013600000}"/>
    <cellStyle name="Followed Hyperlink 4" xfId="8089" hidden="1" xr:uid="{00000000-0005-0000-0000-000014600000}"/>
    <cellStyle name="Followed Hyperlink 4" xfId="8081" hidden="1" xr:uid="{00000000-0005-0000-0000-000015600000}"/>
    <cellStyle name="Followed Hyperlink 4" xfId="8092" hidden="1" xr:uid="{00000000-0005-0000-0000-000016600000}"/>
    <cellStyle name="Followed Hyperlink 4" xfId="8095" hidden="1" xr:uid="{00000000-0005-0000-0000-000017600000}"/>
    <cellStyle name="Followed Hyperlink 4" xfId="8098" hidden="1" xr:uid="{00000000-0005-0000-0000-000018600000}"/>
    <cellStyle name="Followed Hyperlink 4" xfId="8100" hidden="1" xr:uid="{00000000-0005-0000-0000-000019600000}"/>
    <cellStyle name="Followed Hyperlink 4" xfId="8101" hidden="1" xr:uid="{00000000-0005-0000-0000-00001A600000}"/>
    <cellStyle name="Followed Hyperlink 4" xfId="8104" hidden="1" xr:uid="{00000000-0005-0000-0000-00001B600000}"/>
    <cellStyle name="Followed Hyperlink 4" xfId="7905" hidden="1" xr:uid="{00000000-0005-0000-0000-00001C600000}"/>
    <cellStyle name="Followed Hyperlink 4" xfId="7911" hidden="1" xr:uid="{00000000-0005-0000-0000-00001D600000}"/>
    <cellStyle name="Followed Hyperlink 4" xfId="8105" hidden="1" xr:uid="{00000000-0005-0000-0000-00001E600000}"/>
    <cellStyle name="Followed Hyperlink 4" xfId="8108" hidden="1" xr:uid="{00000000-0005-0000-0000-00001F600000}"/>
    <cellStyle name="Followed Hyperlink 4" xfId="8111" hidden="1" xr:uid="{00000000-0005-0000-0000-000020600000}"/>
    <cellStyle name="Followed Hyperlink 4" xfId="8113" hidden="1" xr:uid="{00000000-0005-0000-0000-000021600000}"/>
    <cellStyle name="Followed Hyperlink 4" xfId="8114" hidden="1" xr:uid="{00000000-0005-0000-0000-000022600000}"/>
    <cellStyle name="Followed Hyperlink 4" xfId="8117" hidden="1" xr:uid="{00000000-0005-0000-0000-000023600000}"/>
    <cellStyle name="Followed Hyperlink 4" xfId="8126" hidden="1" xr:uid="{00000000-0005-0000-0000-000024600000}"/>
    <cellStyle name="Followed Hyperlink 4" xfId="8118" hidden="1" xr:uid="{00000000-0005-0000-0000-000025600000}"/>
    <cellStyle name="Followed Hyperlink 4" xfId="8129" hidden="1" xr:uid="{00000000-0005-0000-0000-000026600000}"/>
    <cellStyle name="Followed Hyperlink 4" xfId="8132" hidden="1" xr:uid="{00000000-0005-0000-0000-000027600000}"/>
    <cellStyle name="Followed Hyperlink 4" xfId="8135" hidden="1" xr:uid="{00000000-0005-0000-0000-000028600000}"/>
    <cellStyle name="Followed Hyperlink 4" xfId="8137" hidden="1" xr:uid="{00000000-0005-0000-0000-000029600000}"/>
    <cellStyle name="Followed Hyperlink 4" xfId="8138" hidden="1" xr:uid="{00000000-0005-0000-0000-00002A600000}"/>
    <cellStyle name="Followed Hyperlink 4" xfId="8141" hidden="1" xr:uid="{00000000-0005-0000-0000-00002B600000}"/>
    <cellStyle name="Followed Hyperlink 4" xfId="8151" hidden="1" xr:uid="{00000000-0005-0000-0000-00002C600000}"/>
    <cellStyle name="Followed Hyperlink 4" xfId="8143" hidden="1" xr:uid="{00000000-0005-0000-0000-00002D600000}"/>
    <cellStyle name="Followed Hyperlink 4" xfId="8154" hidden="1" xr:uid="{00000000-0005-0000-0000-00002E600000}"/>
    <cellStyle name="Followed Hyperlink 4" xfId="8157" hidden="1" xr:uid="{00000000-0005-0000-0000-00002F600000}"/>
    <cellStyle name="Followed Hyperlink 4" xfId="8160" hidden="1" xr:uid="{00000000-0005-0000-0000-000030600000}"/>
    <cellStyle name="Followed Hyperlink 4" xfId="8162" hidden="1" xr:uid="{00000000-0005-0000-0000-000031600000}"/>
    <cellStyle name="Followed Hyperlink 4" xfId="8163" hidden="1" xr:uid="{00000000-0005-0000-0000-000032600000}"/>
    <cellStyle name="Followed Hyperlink 4" xfId="8166" hidden="1" xr:uid="{00000000-0005-0000-0000-000033600000}"/>
    <cellStyle name="Followed Hyperlink 4" xfId="8175" hidden="1" xr:uid="{00000000-0005-0000-0000-000034600000}"/>
    <cellStyle name="Followed Hyperlink 4" xfId="8167" hidden="1" xr:uid="{00000000-0005-0000-0000-000035600000}"/>
    <cellStyle name="Followed Hyperlink 4" xfId="8178" hidden="1" xr:uid="{00000000-0005-0000-0000-000036600000}"/>
    <cellStyle name="Followed Hyperlink 4" xfId="8181" hidden="1" xr:uid="{00000000-0005-0000-0000-000037600000}"/>
    <cellStyle name="Followed Hyperlink 4" xfId="8184" hidden="1" xr:uid="{00000000-0005-0000-0000-000038600000}"/>
    <cellStyle name="Followed Hyperlink 4" xfId="8186" hidden="1" xr:uid="{00000000-0005-0000-0000-000039600000}"/>
    <cellStyle name="Followed Hyperlink 4" xfId="8187" hidden="1" xr:uid="{00000000-0005-0000-0000-00003A600000}"/>
    <cellStyle name="Followed Hyperlink 4" xfId="8190" hidden="1" xr:uid="{00000000-0005-0000-0000-00003B600000}"/>
    <cellStyle name="Followed Hyperlink 4" xfId="7915" hidden="1" xr:uid="{00000000-0005-0000-0000-00003C600000}"/>
    <cellStyle name="Followed Hyperlink 4" xfId="7970" hidden="1" xr:uid="{00000000-0005-0000-0000-00003D600000}"/>
    <cellStyle name="Followed Hyperlink 4" xfId="8191" hidden="1" xr:uid="{00000000-0005-0000-0000-00003E600000}"/>
    <cellStyle name="Followed Hyperlink 4" xfId="8194" hidden="1" xr:uid="{00000000-0005-0000-0000-00003F600000}"/>
    <cellStyle name="Followed Hyperlink 4" xfId="8197" hidden="1" xr:uid="{00000000-0005-0000-0000-000040600000}"/>
    <cellStyle name="Followed Hyperlink 4" xfId="8199" hidden="1" xr:uid="{00000000-0005-0000-0000-000041600000}"/>
    <cellStyle name="Followed Hyperlink 4" xfId="8200" hidden="1" xr:uid="{00000000-0005-0000-0000-000042600000}"/>
    <cellStyle name="Followed Hyperlink 4" xfId="8203" hidden="1" xr:uid="{00000000-0005-0000-0000-000043600000}"/>
    <cellStyle name="Followed Hyperlink 4" xfId="8212" hidden="1" xr:uid="{00000000-0005-0000-0000-000044600000}"/>
    <cellStyle name="Followed Hyperlink 4" xfId="8204" hidden="1" xr:uid="{00000000-0005-0000-0000-000045600000}"/>
    <cellStyle name="Followed Hyperlink 4" xfId="8215" hidden="1" xr:uid="{00000000-0005-0000-0000-000046600000}"/>
    <cellStyle name="Followed Hyperlink 4" xfId="8218" hidden="1" xr:uid="{00000000-0005-0000-0000-000047600000}"/>
    <cellStyle name="Followed Hyperlink 4" xfId="8221" hidden="1" xr:uid="{00000000-0005-0000-0000-000048600000}"/>
    <cellStyle name="Followed Hyperlink 4" xfId="8223" hidden="1" xr:uid="{00000000-0005-0000-0000-000049600000}"/>
    <cellStyle name="Followed Hyperlink 4" xfId="8224" hidden="1" xr:uid="{00000000-0005-0000-0000-00004A600000}"/>
    <cellStyle name="Followed Hyperlink 4" xfId="8227" hidden="1" xr:uid="{00000000-0005-0000-0000-00004B600000}"/>
    <cellStyle name="Followed Hyperlink 4" xfId="8236" hidden="1" xr:uid="{00000000-0005-0000-0000-00004C600000}"/>
    <cellStyle name="Followed Hyperlink 4" xfId="8228" hidden="1" xr:uid="{00000000-0005-0000-0000-00004D600000}"/>
    <cellStyle name="Followed Hyperlink 4" xfId="8239" hidden="1" xr:uid="{00000000-0005-0000-0000-00004E600000}"/>
    <cellStyle name="Followed Hyperlink 4" xfId="8242" hidden="1" xr:uid="{00000000-0005-0000-0000-00004F600000}"/>
    <cellStyle name="Followed Hyperlink 4" xfId="8245" hidden="1" xr:uid="{00000000-0005-0000-0000-000050600000}"/>
    <cellStyle name="Followed Hyperlink 4" xfId="8247" hidden="1" xr:uid="{00000000-0005-0000-0000-000051600000}"/>
    <cellStyle name="Followed Hyperlink 4" xfId="8248" hidden="1" xr:uid="{00000000-0005-0000-0000-000052600000}"/>
    <cellStyle name="Followed Hyperlink 4" xfId="8251" hidden="1" xr:uid="{00000000-0005-0000-0000-000053600000}"/>
    <cellStyle name="Followed Hyperlink 4" xfId="8260" hidden="1" xr:uid="{00000000-0005-0000-0000-000054600000}"/>
    <cellStyle name="Followed Hyperlink 4" xfId="8252" hidden="1" xr:uid="{00000000-0005-0000-0000-000055600000}"/>
    <cellStyle name="Followed Hyperlink 4" xfId="8263" hidden="1" xr:uid="{00000000-0005-0000-0000-000056600000}"/>
    <cellStyle name="Followed Hyperlink 4" xfId="8266" hidden="1" xr:uid="{00000000-0005-0000-0000-000057600000}"/>
    <cellStyle name="Followed Hyperlink 4" xfId="8269" hidden="1" xr:uid="{00000000-0005-0000-0000-000058600000}"/>
    <cellStyle name="Followed Hyperlink 4" xfId="8271" hidden="1" xr:uid="{00000000-0005-0000-0000-000059600000}"/>
    <cellStyle name="Followed Hyperlink 4" xfId="8272" hidden="1" xr:uid="{00000000-0005-0000-0000-00005A600000}"/>
    <cellStyle name="Followed Hyperlink 4" xfId="8275" hidden="1" xr:uid="{00000000-0005-0000-0000-00005B600000}"/>
    <cellStyle name="Followed Hyperlink 4" xfId="6848" hidden="1" xr:uid="{00000000-0005-0000-0000-00005C600000}"/>
    <cellStyle name="Followed Hyperlink 4" xfId="6903" hidden="1" xr:uid="{00000000-0005-0000-0000-00005D600000}"/>
    <cellStyle name="Followed Hyperlink 4" xfId="8276" hidden="1" xr:uid="{00000000-0005-0000-0000-00005E600000}"/>
    <cellStyle name="Followed Hyperlink 4" xfId="8279" hidden="1" xr:uid="{00000000-0005-0000-0000-00005F600000}"/>
    <cellStyle name="Followed Hyperlink 4" xfId="8282" hidden="1" xr:uid="{00000000-0005-0000-0000-000060600000}"/>
    <cellStyle name="Followed Hyperlink 4" xfId="8284" hidden="1" xr:uid="{00000000-0005-0000-0000-000061600000}"/>
    <cellStyle name="Followed Hyperlink 4" xfId="8285" hidden="1" xr:uid="{00000000-0005-0000-0000-000062600000}"/>
    <cellStyle name="Followed Hyperlink 4" xfId="8288" hidden="1" xr:uid="{00000000-0005-0000-0000-000063600000}"/>
    <cellStyle name="Followed Hyperlink 4" xfId="8297" hidden="1" xr:uid="{00000000-0005-0000-0000-000064600000}"/>
    <cellStyle name="Followed Hyperlink 4" xfId="8289" hidden="1" xr:uid="{00000000-0005-0000-0000-000065600000}"/>
    <cellStyle name="Followed Hyperlink 4" xfId="8300" hidden="1" xr:uid="{00000000-0005-0000-0000-000066600000}"/>
    <cellStyle name="Followed Hyperlink 4" xfId="8303" hidden="1" xr:uid="{00000000-0005-0000-0000-000067600000}"/>
    <cellStyle name="Followed Hyperlink 4" xfId="8306" hidden="1" xr:uid="{00000000-0005-0000-0000-000068600000}"/>
    <cellStyle name="Followed Hyperlink 4" xfId="8308" hidden="1" xr:uid="{00000000-0005-0000-0000-000069600000}"/>
    <cellStyle name="Followed Hyperlink 4" xfId="8309" hidden="1" xr:uid="{00000000-0005-0000-0000-00006A600000}"/>
    <cellStyle name="Followed Hyperlink 4" xfId="8312" hidden="1" xr:uid="{00000000-0005-0000-0000-00006B600000}"/>
    <cellStyle name="Followed Hyperlink 4" xfId="8321" hidden="1" xr:uid="{00000000-0005-0000-0000-00006C600000}"/>
    <cellStyle name="Followed Hyperlink 4" xfId="8313" hidden="1" xr:uid="{00000000-0005-0000-0000-00006D600000}"/>
    <cellStyle name="Followed Hyperlink 4" xfId="8324" hidden="1" xr:uid="{00000000-0005-0000-0000-00006E600000}"/>
    <cellStyle name="Followed Hyperlink 4" xfId="8327" hidden="1" xr:uid="{00000000-0005-0000-0000-00006F600000}"/>
    <cellStyle name="Followed Hyperlink 4" xfId="8330" hidden="1" xr:uid="{00000000-0005-0000-0000-000070600000}"/>
    <cellStyle name="Followed Hyperlink 4" xfId="8332" hidden="1" xr:uid="{00000000-0005-0000-0000-000071600000}"/>
    <cellStyle name="Followed Hyperlink 4" xfId="8333" hidden="1" xr:uid="{00000000-0005-0000-0000-000072600000}"/>
    <cellStyle name="Followed Hyperlink 4" xfId="8336" hidden="1" xr:uid="{00000000-0005-0000-0000-000073600000}"/>
    <cellStyle name="Followed Hyperlink 4" xfId="8345" hidden="1" xr:uid="{00000000-0005-0000-0000-000074600000}"/>
    <cellStyle name="Followed Hyperlink 4" xfId="8337" hidden="1" xr:uid="{00000000-0005-0000-0000-000075600000}"/>
    <cellStyle name="Followed Hyperlink 4" xfId="8348" hidden="1" xr:uid="{00000000-0005-0000-0000-000076600000}"/>
    <cellStyle name="Followed Hyperlink 4" xfId="8351" hidden="1" xr:uid="{00000000-0005-0000-0000-000077600000}"/>
    <cellStyle name="Followed Hyperlink 4" xfId="8354" hidden="1" xr:uid="{00000000-0005-0000-0000-000078600000}"/>
    <cellStyle name="Followed Hyperlink 4" xfId="8356" hidden="1" xr:uid="{00000000-0005-0000-0000-000079600000}"/>
    <cellStyle name="Followed Hyperlink 4" xfId="8357" hidden="1" xr:uid="{00000000-0005-0000-0000-00007A600000}"/>
    <cellStyle name="Followed Hyperlink 4" xfId="8360" hidden="1" xr:uid="{00000000-0005-0000-0000-00007B600000}"/>
    <cellStyle name="Followed Hyperlink 4" xfId="8398" hidden="1" xr:uid="{00000000-0005-0000-0000-00007C600000}"/>
    <cellStyle name="Followed Hyperlink 4" xfId="8390" hidden="1" xr:uid="{00000000-0005-0000-0000-00007D600000}"/>
    <cellStyle name="Followed Hyperlink 4" xfId="8401" hidden="1" xr:uid="{00000000-0005-0000-0000-00007E600000}"/>
    <cellStyle name="Followed Hyperlink 4" xfId="8404" hidden="1" xr:uid="{00000000-0005-0000-0000-00007F600000}"/>
    <cellStyle name="Followed Hyperlink 4" xfId="8407" hidden="1" xr:uid="{00000000-0005-0000-0000-000080600000}"/>
    <cellStyle name="Followed Hyperlink 4" xfId="8409" hidden="1" xr:uid="{00000000-0005-0000-0000-000081600000}"/>
    <cellStyle name="Followed Hyperlink 4" xfId="8410" hidden="1" xr:uid="{00000000-0005-0000-0000-000082600000}"/>
    <cellStyle name="Followed Hyperlink 4" xfId="8413" hidden="1" xr:uid="{00000000-0005-0000-0000-000083600000}"/>
    <cellStyle name="Followed Hyperlink 4" xfId="8422" hidden="1" xr:uid="{00000000-0005-0000-0000-000084600000}"/>
    <cellStyle name="Followed Hyperlink 4" xfId="8414" hidden="1" xr:uid="{00000000-0005-0000-0000-000085600000}"/>
    <cellStyle name="Followed Hyperlink 4" xfId="8425" hidden="1" xr:uid="{00000000-0005-0000-0000-000086600000}"/>
    <cellStyle name="Followed Hyperlink 4" xfId="8428" hidden="1" xr:uid="{00000000-0005-0000-0000-000087600000}"/>
    <cellStyle name="Followed Hyperlink 4" xfId="8431" hidden="1" xr:uid="{00000000-0005-0000-0000-000088600000}"/>
    <cellStyle name="Followed Hyperlink 4" xfId="8433" hidden="1" xr:uid="{00000000-0005-0000-0000-000089600000}"/>
    <cellStyle name="Followed Hyperlink 4" xfId="8434" hidden="1" xr:uid="{00000000-0005-0000-0000-00008A600000}"/>
    <cellStyle name="Followed Hyperlink 4" xfId="8437" hidden="1" xr:uid="{00000000-0005-0000-0000-00008B600000}"/>
    <cellStyle name="Followed Hyperlink 4" xfId="8448" hidden="1" xr:uid="{00000000-0005-0000-0000-00008C600000}"/>
    <cellStyle name="Followed Hyperlink 4" xfId="8440" hidden="1" xr:uid="{00000000-0005-0000-0000-00008D600000}"/>
    <cellStyle name="Followed Hyperlink 4" xfId="8451" hidden="1" xr:uid="{00000000-0005-0000-0000-00008E600000}"/>
    <cellStyle name="Followed Hyperlink 4" xfId="8454" hidden="1" xr:uid="{00000000-0005-0000-0000-00008F600000}"/>
    <cellStyle name="Followed Hyperlink 4" xfId="8457" hidden="1" xr:uid="{00000000-0005-0000-0000-000090600000}"/>
    <cellStyle name="Followed Hyperlink 4" xfId="8459" hidden="1" xr:uid="{00000000-0005-0000-0000-000091600000}"/>
    <cellStyle name="Followed Hyperlink 4" xfId="8460" hidden="1" xr:uid="{00000000-0005-0000-0000-000092600000}"/>
    <cellStyle name="Followed Hyperlink 4" xfId="8463" hidden="1" xr:uid="{00000000-0005-0000-0000-000093600000}"/>
    <cellStyle name="Followed Hyperlink 4" xfId="8472" hidden="1" xr:uid="{00000000-0005-0000-0000-000094600000}"/>
    <cellStyle name="Followed Hyperlink 4" xfId="8464" hidden="1" xr:uid="{00000000-0005-0000-0000-000095600000}"/>
    <cellStyle name="Followed Hyperlink 4" xfId="8475" hidden="1" xr:uid="{00000000-0005-0000-0000-000096600000}"/>
    <cellStyle name="Followed Hyperlink 4" xfId="8478" hidden="1" xr:uid="{00000000-0005-0000-0000-000097600000}"/>
    <cellStyle name="Followed Hyperlink 4" xfId="8481" hidden="1" xr:uid="{00000000-0005-0000-0000-000098600000}"/>
    <cellStyle name="Followed Hyperlink 4" xfId="8483" hidden="1" xr:uid="{00000000-0005-0000-0000-000099600000}"/>
    <cellStyle name="Followed Hyperlink 4" xfId="8484" hidden="1" xr:uid="{00000000-0005-0000-0000-00009A600000}"/>
    <cellStyle name="Followed Hyperlink 4" xfId="8487" hidden="1" xr:uid="{00000000-0005-0000-0000-00009B600000}"/>
    <cellStyle name="Followed Hyperlink 4" xfId="8370" hidden="1" xr:uid="{00000000-0005-0000-0000-00009C600000}"/>
    <cellStyle name="Followed Hyperlink 4" xfId="8364" hidden="1" xr:uid="{00000000-0005-0000-0000-00009D600000}"/>
    <cellStyle name="Followed Hyperlink 4" xfId="8488" hidden="1" xr:uid="{00000000-0005-0000-0000-00009E600000}"/>
    <cellStyle name="Followed Hyperlink 4" xfId="8491" hidden="1" xr:uid="{00000000-0005-0000-0000-00009F600000}"/>
    <cellStyle name="Followed Hyperlink 4" xfId="8494" hidden="1" xr:uid="{00000000-0005-0000-0000-0000A0600000}"/>
    <cellStyle name="Followed Hyperlink 4" xfId="8496" hidden="1" xr:uid="{00000000-0005-0000-0000-0000A1600000}"/>
    <cellStyle name="Followed Hyperlink 4" xfId="8497" hidden="1" xr:uid="{00000000-0005-0000-0000-0000A2600000}"/>
    <cellStyle name="Followed Hyperlink 4" xfId="8500" hidden="1" xr:uid="{00000000-0005-0000-0000-0000A3600000}"/>
    <cellStyle name="Followed Hyperlink 4" xfId="8509" hidden="1" xr:uid="{00000000-0005-0000-0000-0000A4600000}"/>
    <cellStyle name="Followed Hyperlink 4" xfId="8501" hidden="1" xr:uid="{00000000-0005-0000-0000-0000A5600000}"/>
    <cellStyle name="Followed Hyperlink 4" xfId="8512" hidden="1" xr:uid="{00000000-0005-0000-0000-0000A6600000}"/>
    <cellStyle name="Followed Hyperlink 4" xfId="8515" hidden="1" xr:uid="{00000000-0005-0000-0000-0000A7600000}"/>
    <cellStyle name="Followed Hyperlink 4" xfId="8518" hidden="1" xr:uid="{00000000-0005-0000-0000-0000A8600000}"/>
    <cellStyle name="Followed Hyperlink 4" xfId="8520" hidden="1" xr:uid="{00000000-0005-0000-0000-0000A9600000}"/>
    <cellStyle name="Followed Hyperlink 4" xfId="8521" hidden="1" xr:uid="{00000000-0005-0000-0000-0000AA600000}"/>
    <cellStyle name="Followed Hyperlink 4" xfId="8524" hidden="1" xr:uid="{00000000-0005-0000-0000-0000AB600000}"/>
    <cellStyle name="Followed Hyperlink 4" xfId="8534" hidden="1" xr:uid="{00000000-0005-0000-0000-0000AC600000}"/>
    <cellStyle name="Followed Hyperlink 4" xfId="8526" hidden="1" xr:uid="{00000000-0005-0000-0000-0000AD600000}"/>
    <cellStyle name="Followed Hyperlink 4" xfId="8537" hidden="1" xr:uid="{00000000-0005-0000-0000-0000AE600000}"/>
    <cellStyle name="Followed Hyperlink 4" xfId="8540" hidden="1" xr:uid="{00000000-0005-0000-0000-0000AF600000}"/>
    <cellStyle name="Followed Hyperlink 4" xfId="8543" hidden="1" xr:uid="{00000000-0005-0000-0000-0000B0600000}"/>
    <cellStyle name="Followed Hyperlink 4" xfId="8545" hidden="1" xr:uid="{00000000-0005-0000-0000-0000B1600000}"/>
    <cellStyle name="Followed Hyperlink 4" xfId="8546" hidden="1" xr:uid="{00000000-0005-0000-0000-0000B2600000}"/>
    <cellStyle name="Followed Hyperlink 4" xfId="8549" hidden="1" xr:uid="{00000000-0005-0000-0000-0000B3600000}"/>
    <cellStyle name="Followed Hyperlink 4" xfId="8558" hidden="1" xr:uid="{00000000-0005-0000-0000-0000B4600000}"/>
    <cellStyle name="Followed Hyperlink 4" xfId="8550" hidden="1" xr:uid="{00000000-0005-0000-0000-0000B5600000}"/>
    <cellStyle name="Followed Hyperlink 4" xfId="8561" hidden="1" xr:uid="{00000000-0005-0000-0000-0000B6600000}"/>
    <cellStyle name="Followed Hyperlink 4" xfId="8564" hidden="1" xr:uid="{00000000-0005-0000-0000-0000B7600000}"/>
    <cellStyle name="Followed Hyperlink 4" xfId="8567" hidden="1" xr:uid="{00000000-0005-0000-0000-0000B8600000}"/>
    <cellStyle name="Followed Hyperlink 4" xfId="8569" hidden="1" xr:uid="{00000000-0005-0000-0000-0000B9600000}"/>
    <cellStyle name="Followed Hyperlink 4" xfId="8570" hidden="1" xr:uid="{00000000-0005-0000-0000-0000BA600000}"/>
    <cellStyle name="Followed Hyperlink 4" xfId="8573" hidden="1" xr:uid="{00000000-0005-0000-0000-0000BB600000}"/>
    <cellStyle name="Followed Hyperlink 4" xfId="8374" hidden="1" xr:uid="{00000000-0005-0000-0000-0000BC600000}"/>
    <cellStyle name="Followed Hyperlink 4" xfId="8380" hidden="1" xr:uid="{00000000-0005-0000-0000-0000BD600000}"/>
    <cellStyle name="Followed Hyperlink 4" xfId="8574" hidden="1" xr:uid="{00000000-0005-0000-0000-0000BE600000}"/>
    <cellStyle name="Followed Hyperlink 4" xfId="8577" hidden="1" xr:uid="{00000000-0005-0000-0000-0000BF600000}"/>
    <cellStyle name="Followed Hyperlink 4" xfId="8580" hidden="1" xr:uid="{00000000-0005-0000-0000-0000C0600000}"/>
    <cellStyle name="Followed Hyperlink 4" xfId="8582" hidden="1" xr:uid="{00000000-0005-0000-0000-0000C1600000}"/>
    <cellStyle name="Followed Hyperlink 4" xfId="8583" hidden="1" xr:uid="{00000000-0005-0000-0000-0000C2600000}"/>
    <cellStyle name="Followed Hyperlink 4" xfId="8586" hidden="1" xr:uid="{00000000-0005-0000-0000-0000C3600000}"/>
    <cellStyle name="Followed Hyperlink 4" xfId="8595" hidden="1" xr:uid="{00000000-0005-0000-0000-0000C4600000}"/>
    <cellStyle name="Followed Hyperlink 4" xfId="8587" hidden="1" xr:uid="{00000000-0005-0000-0000-0000C5600000}"/>
    <cellStyle name="Followed Hyperlink 4" xfId="8598" hidden="1" xr:uid="{00000000-0005-0000-0000-0000C6600000}"/>
    <cellStyle name="Followed Hyperlink 4" xfId="8601" hidden="1" xr:uid="{00000000-0005-0000-0000-0000C7600000}"/>
    <cellStyle name="Followed Hyperlink 4" xfId="8604" hidden="1" xr:uid="{00000000-0005-0000-0000-0000C8600000}"/>
    <cellStyle name="Followed Hyperlink 4" xfId="8606" hidden="1" xr:uid="{00000000-0005-0000-0000-0000C9600000}"/>
    <cellStyle name="Followed Hyperlink 4" xfId="8607" hidden="1" xr:uid="{00000000-0005-0000-0000-0000CA600000}"/>
    <cellStyle name="Followed Hyperlink 4" xfId="8610" hidden="1" xr:uid="{00000000-0005-0000-0000-0000CB600000}"/>
    <cellStyle name="Followed Hyperlink 4" xfId="8620" hidden="1" xr:uid="{00000000-0005-0000-0000-0000CC600000}"/>
    <cellStyle name="Followed Hyperlink 4" xfId="8612" hidden="1" xr:uid="{00000000-0005-0000-0000-0000CD600000}"/>
    <cellStyle name="Followed Hyperlink 4" xfId="8623" hidden="1" xr:uid="{00000000-0005-0000-0000-0000CE600000}"/>
    <cellStyle name="Followed Hyperlink 4" xfId="8626" hidden="1" xr:uid="{00000000-0005-0000-0000-0000CF600000}"/>
    <cellStyle name="Followed Hyperlink 4" xfId="8629" hidden="1" xr:uid="{00000000-0005-0000-0000-0000D0600000}"/>
    <cellStyle name="Followed Hyperlink 4" xfId="8631" hidden="1" xr:uid="{00000000-0005-0000-0000-0000D1600000}"/>
    <cellStyle name="Followed Hyperlink 4" xfId="8632" hidden="1" xr:uid="{00000000-0005-0000-0000-0000D2600000}"/>
    <cellStyle name="Followed Hyperlink 4" xfId="8635" hidden="1" xr:uid="{00000000-0005-0000-0000-0000D3600000}"/>
    <cellStyle name="Followed Hyperlink 4" xfId="8644" hidden="1" xr:uid="{00000000-0005-0000-0000-0000D4600000}"/>
    <cellStyle name="Followed Hyperlink 4" xfId="8636" hidden="1" xr:uid="{00000000-0005-0000-0000-0000D5600000}"/>
    <cellStyle name="Followed Hyperlink 4" xfId="8647" hidden="1" xr:uid="{00000000-0005-0000-0000-0000D6600000}"/>
    <cellStyle name="Followed Hyperlink 4" xfId="8650" hidden="1" xr:uid="{00000000-0005-0000-0000-0000D7600000}"/>
    <cellStyle name="Followed Hyperlink 4" xfId="8653" hidden="1" xr:uid="{00000000-0005-0000-0000-0000D8600000}"/>
    <cellStyle name="Followed Hyperlink 4" xfId="8655" hidden="1" xr:uid="{00000000-0005-0000-0000-0000D9600000}"/>
    <cellStyle name="Followed Hyperlink 4" xfId="8656" hidden="1" xr:uid="{00000000-0005-0000-0000-0000DA600000}"/>
    <cellStyle name="Followed Hyperlink 4" xfId="8659" hidden="1" xr:uid="{00000000-0005-0000-0000-0000DB600000}"/>
    <cellStyle name="Followed Hyperlink 4" xfId="8384" hidden="1" xr:uid="{00000000-0005-0000-0000-0000DC600000}"/>
    <cellStyle name="Followed Hyperlink 4" xfId="8439" hidden="1" xr:uid="{00000000-0005-0000-0000-0000DD600000}"/>
    <cellStyle name="Followed Hyperlink 4" xfId="8660" hidden="1" xr:uid="{00000000-0005-0000-0000-0000DE600000}"/>
    <cellStyle name="Followed Hyperlink 4" xfId="8663" hidden="1" xr:uid="{00000000-0005-0000-0000-0000DF600000}"/>
    <cellStyle name="Followed Hyperlink 4" xfId="8666" hidden="1" xr:uid="{00000000-0005-0000-0000-0000E0600000}"/>
    <cellStyle name="Followed Hyperlink 4" xfId="8668" hidden="1" xr:uid="{00000000-0005-0000-0000-0000E1600000}"/>
    <cellStyle name="Followed Hyperlink 4" xfId="8669" hidden="1" xr:uid="{00000000-0005-0000-0000-0000E2600000}"/>
    <cellStyle name="Followed Hyperlink 4" xfId="8672" hidden="1" xr:uid="{00000000-0005-0000-0000-0000E3600000}"/>
    <cellStyle name="Followed Hyperlink 4" xfId="8681" hidden="1" xr:uid="{00000000-0005-0000-0000-0000E4600000}"/>
    <cellStyle name="Followed Hyperlink 4" xfId="8673" hidden="1" xr:uid="{00000000-0005-0000-0000-0000E5600000}"/>
    <cellStyle name="Followed Hyperlink 4" xfId="8684" hidden="1" xr:uid="{00000000-0005-0000-0000-0000E6600000}"/>
    <cellStyle name="Followed Hyperlink 4" xfId="8687" hidden="1" xr:uid="{00000000-0005-0000-0000-0000E7600000}"/>
    <cellStyle name="Followed Hyperlink 4" xfId="8690" hidden="1" xr:uid="{00000000-0005-0000-0000-0000E8600000}"/>
    <cellStyle name="Followed Hyperlink 4" xfId="8692" hidden="1" xr:uid="{00000000-0005-0000-0000-0000E9600000}"/>
    <cellStyle name="Followed Hyperlink 4" xfId="8693" hidden="1" xr:uid="{00000000-0005-0000-0000-0000EA600000}"/>
    <cellStyle name="Followed Hyperlink 4" xfId="8696" hidden="1" xr:uid="{00000000-0005-0000-0000-0000EB600000}"/>
    <cellStyle name="Followed Hyperlink 4" xfId="8705" hidden="1" xr:uid="{00000000-0005-0000-0000-0000EC600000}"/>
    <cellStyle name="Followed Hyperlink 4" xfId="8697" hidden="1" xr:uid="{00000000-0005-0000-0000-0000ED600000}"/>
    <cellStyle name="Followed Hyperlink 4" xfId="8708" hidden="1" xr:uid="{00000000-0005-0000-0000-0000EE600000}"/>
    <cellStyle name="Followed Hyperlink 4" xfId="8711" hidden="1" xr:uid="{00000000-0005-0000-0000-0000EF600000}"/>
    <cellStyle name="Followed Hyperlink 4" xfId="8714" hidden="1" xr:uid="{00000000-0005-0000-0000-0000F0600000}"/>
    <cellStyle name="Followed Hyperlink 4" xfId="8716" hidden="1" xr:uid="{00000000-0005-0000-0000-0000F1600000}"/>
    <cellStyle name="Followed Hyperlink 4" xfId="8717" hidden="1" xr:uid="{00000000-0005-0000-0000-0000F2600000}"/>
    <cellStyle name="Followed Hyperlink 4" xfId="8720" hidden="1" xr:uid="{00000000-0005-0000-0000-0000F3600000}"/>
    <cellStyle name="Followed Hyperlink 4" xfId="8729" hidden="1" xr:uid="{00000000-0005-0000-0000-0000F4600000}"/>
    <cellStyle name="Followed Hyperlink 4" xfId="8721" hidden="1" xr:uid="{00000000-0005-0000-0000-0000F5600000}"/>
    <cellStyle name="Followed Hyperlink 4" xfId="8732" hidden="1" xr:uid="{00000000-0005-0000-0000-0000F6600000}"/>
    <cellStyle name="Followed Hyperlink 4" xfId="8735" hidden="1" xr:uid="{00000000-0005-0000-0000-0000F7600000}"/>
    <cellStyle name="Followed Hyperlink 4" xfId="8738" hidden="1" xr:uid="{00000000-0005-0000-0000-0000F8600000}"/>
    <cellStyle name="Followed Hyperlink 4" xfId="8740" hidden="1" xr:uid="{00000000-0005-0000-0000-0000F9600000}"/>
    <cellStyle name="Followed Hyperlink 4" xfId="8741" hidden="1" xr:uid="{00000000-0005-0000-0000-0000FA600000}"/>
    <cellStyle name="Followed Hyperlink 4" xfId="8744" hidden="1" xr:uid="{00000000-0005-0000-0000-0000FB600000}"/>
    <cellStyle name="Followed Hyperlink 4" xfId="549" hidden="1" xr:uid="{00000000-0005-0000-0000-0000FC600000}"/>
    <cellStyle name="Followed Hyperlink 4" xfId="542" hidden="1" xr:uid="{00000000-0005-0000-0000-0000FD600000}"/>
    <cellStyle name="Followed Hyperlink 4" xfId="8753" hidden="1" xr:uid="{00000000-0005-0000-0000-0000FE600000}"/>
    <cellStyle name="Followed Hyperlink 4" xfId="8756" hidden="1" xr:uid="{00000000-0005-0000-0000-0000FF600000}"/>
    <cellStyle name="Followed Hyperlink 4" xfId="8759" hidden="1" xr:uid="{00000000-0005-0000-0000-000000610000}"/>
    <cellStyle name="Followed Hyperlink 4" xfId="8761" hidden="1" xr:uid="{00000000-0005-0000-0000-000001610000}"/>
    <cellStyle name="Followed Hyperlink 4" xfId="8762" hidden="1" xr:uid="{00000000-0005-0000-0000-000002610000}"/>
    <cellStyle name="Followed Hyperlink 4" xfId="8765" hidden="1" xr:uid="{00000000-0005-0000-0000-000003610000}"/>
    <cellStyle name="Followed Hyperlink 4" xfId="8774" hidden="1" xr:uid="{00000000-0005-0000-0000-000004610000}"/>
    <cellStyle name="Followed Hyperlink 4" xfId="8766" hidden="1" xr:uid="{00000000-0005-0000-0000-000005610000}"/>
    <cellStyle name="Followed Hyperlink 4" xfId="8777" hidden="1" xr:uid="{00000000-0005-0000-0000-000006610000}"/>
    <cellStyle name="Followed Hyperlink 4" xfId="8780" hidden="1" xr:uid="{00000000-0005-0000-0000-000007610000}"/>
    <cellStyle name="Followed Hyperlink 4" xfId="8783" hidden="1" xr:uid="{00000000-0005-0000-0000-000008610000}"/>
    <cellStyle name="Followed Hyperlink 4" xfId="8785" hidden="1" xr:uid="{00000000-0005-0000-0000-000009610000}"/>
    <cellStyle name="Followed Hyperlink 4" xfId="8786" hidden="1" xr:uid="{00000000-0005-0000-0000-00000A610000}"/>
    <cellStyle name="Followed Hyperlink 4" xfId="8789" hidden="1" xr:uid="{00000000-0005-0000-0000-00000B610000}"/>
    <cellStyle name="Followed Hyperlink 4" xfId="8800" hidden="1" xr:uid="{00000000-0005-0000-0000-00000C610000}"/>
    <cellStyle name="Followed Hyperlink 4" xfId="8792" hidden="1" xr:uid="{00000000-0005-0000-0000-00000D610000}"/>
    <cellStyle name="Followed Hyperlink 4" xfId="8803" hidden="1" xr:uid="{00000000-0005-0000-0000-00000E610000}"/>
    <cellStyle name="Followed Hyperlink 4" xfId="8806" hidden="1" xr:uid="{00000000-0005-0000-0000-00000F610000}"/>
    <cellStyle name="Followed Hyperlink 4" xfId="8809" hidden="1" xr:uid="{00000000-0005-0000-0000-000010610000}"/>
    <cellStyle name="Followed Hyperlink 4" xfId="8811" hidden="1" xr:uid="{00000000-0005-0000-0000-000011610000}"/>
    <cellStyle name="Followed Hyperlink 4" xfId="8812" hidden="1" xr:uid="{00000000-0005-0000-0000-000012610000}"/>
    <cellStyle name="Followed Hyperlink 4" xfId="8815" hidden="1" xr:uid="{00000000-0005-0000-0000-000013610000}"/>
    <cellStyle name="Followed Hyperlink 4" xfId="8824" hidden="1" xr:uid="{00000000-0005-0000-0000-000014610000}"/>
    <cellStyle name="Followed Hyperlink 4" xfId="8816" hidden="1" xr:uid="{00000000-0005-0000-0000-000015610000}"/>
    <cellStyle name="Followed Hyperlink 4" xfId="8827" hidden="1" xr:uid="{00000000-0005-0000-0000-000016610000}"/>
    <cellStyle name="Followed Hyperlink 4" xfId="8830" hidden="1" xr:uid="{00000000-0005-0000-0000-000017610000}"/>
    <cellStyle name="Followed Hyperlink 4" xfId="8833" hidden="1" xr:uid="{00000000-0005-0000-0000-000018610000}"/>
    <cellStyle name="Followed Hyperlink 4" xfId="8835" hidden="1" xr:uid="{00000000-0005-0000-0000-000019610000}"/>
    <cellStyle name="Followed Hyperlink 4" xfId="8836" hidden="1" xr:uid="{00000000-0005-0000-0000-00001A610000}"/>
    <cellStyle name="Followed Hyperlink 4" xfId="8839" hidden="1" xr:uid="{00000000-0005-0000-0000-00001B610000}"/>
    <cellStyle name="Followed Hyperlink 4" xfId="8877" hidden="1" xr:uid="{00000000-0005-0000-0000-00001C610000}"/>
    <cellStyle name="Followed Hyperlink 4" xfId="8869" hidden="1" xr:uid="{00000000-0005-0000-0000-00001D610000}"/>
    <cellStyle name="Followed Hyperlink 4" xfId="8880" hidden="1" xr:uid="{00000000-0005-0000-0000-00001E610000}"/>
    <cellStyle name="Followed Hyperlink 4" xfId="8883" hidden="1" xr:uid="{00000000-0005-0000-0000-00001F610000}"/>
    <cellStyle name="Followed Hyperlink 4" xfId="8886" hidden="1" xr:uid="{00000000-0005-0000-0000-000020610000}"/>
    <cellStyle name="Followed Hyperlink 4" xfId="8888" hidden="1" xr:uid="{00000000-0005-0000-0000-000021610000}"/>
    <cellStyle name="Followed Hyperlink 4" xfId="8889" hidden="1" xr:uid="{00000000-0005-0000-0000-000022610000}"/>
    <cellStyle name="Followed Hyperlink 4" xfId="8892" hidden="1" xr:uid="{00000000-0005-0000-0000-000023610000}"/>
    <cellStyle name="Followed Hyperlink 4" xfId="8901" hidden="1" xr:uid="{00000000-0005-0000-0000-000024610000}"/>
    <cellStyle name="Followed Hyperlink 4" xfId="8893" hidden="1" xr:uid="{00000000-0005-0000-0000-000025610000}"/>
    <cellStyle name="Followed Hyperlink 4" xfId="8904" hidden="1" xr:uid="{00000000-0005-0000-0000-000026610000}"/>
    <cellStyle name="Followed Hyperlink 4" xfId="8907" hidden="1" xr:uid="{00000000-0005-0000-0000-000027610000}"/>
    <cellStyle name="Followed Hyperlink 4" xfId="8910" hidden="1" xr:uid="{00000000-0005-0000-0000-000028610000}"/>
    <cellStyle name="Followed Hyperlink 4" xfId="8912" hidden="1" xr:uid="{00000000-0005-0000-0000-000029610000}"/>
    <cellStyle name="Followed Hyperlink 4" xfId="8913" hidden="1" xr:uid="{00000000-0005-0000-0000-00002A610000}"/>
    <cellStyle name="Followed Hyperlink 4" xfId="8916" hidden="1" xr:uid="{00000000-0005-0000-0000-00002B610000}"/>
    <cellStyle name="Followed Hyperlink 4" xfId="8927" hidden="1" xr:uid="{00000000-0005-0000-0000-00002C610000}"/>
    <cellStyle name="Followed Hyperlink 4" xfId="8919" hidden="1" xr:uid="{00000000-0005-0000-0000-00002D610000}"/>
    <cellStyle name="Followed Hyperlink 4" xfId="8930" hidden="1" xr:uid="{00000000-0005-0000-0000-00002E610000}"/>
    <cellStyle name="Followed Hyperlink 4" xfId="8933" hidden="1" xr:uid="{00000000-0005-0000-0000-00002F610000}"/>
    <cellStyle name="Followed Hyperlink 4" xfId="8936" hidden="1" xr:uid="{00000000-0005-0000-0000-000030610000}"/>
    <cellStyle name="Followed Hyperlink 4" xfId="8938" hidden="1" xr:uid="{00000000-0005-0000-0000-000031610000}"/>
    <cellStyle name="Followed Hyperlink 4" xfId="8939" hidden="1" xr:uid="{00000000-0005-0000-0000-000032610000}"/>
    <cellStyle name="Followed Hyperlink 4" xfId="8942" hidden="1" xr:uid="{00000000-0005-0000-0000-000033610000}"/>
    <cellStyle name="Followed Hyperlink 4" xfId="8951" hidden="1" xr:uid="{00000000-0005-0000-0000-000034610000}"/>
    <cellStyle name="Followed Hyperlink 4" xfId="8943" hidden="1" xr:uid="{00000000-0005-0000-0000-000035610000}"/>
    <cellStyle name="Followed Hyperlink 4" xfId="8954" hidden="1" xr:uid="{00000000-0005-0000-0000-000036610000}"/>
    <cellStyle name="Followed Hyperlink 4" xfId="8957" hidden="1" xr:uid="{00000000-0005-0000-0000-000037610000}"/>
    <cellStyle name="Followed Hyperlink 4" xfId="8960" hidden="1" xr:uid="{00000000-0005-0000-0000-000038610000}"/>
    <cellStyle name="Followed Hyperlink 4" xfId="8962" hidden="1" xr:uid="{00000000-0005-0000-0000-000039610000}"/>
    <cellStyle name="Followed Hyperlink 4" xfId="8963" hidden="1" xr:uid="{00000000-0005-0000-0000-00003A610000}"/>
    <cellStyle name="Followed Hyperlink 4" xfId="8966" hidden="1" xr:uid="{00000000-0005-0000-0000-00003B610000}"/>
    <cellStyle name="Followed Hyperlink 4" xfId="9004" hidden="1" xr:uid="{00000000-0005-0000-0000-00003C610000}"/>
    <cellStyle name="Followed Hyperlink 4" xfId="8996" hidden="1" xr:uid="{00000000-0005-0000-0000-00003D610000}"/>
    <cellStyle name="Followed Hyperlink 4" xfId="9007" hidden="1" xr:uid="{00000000-0005-0000-0000-00003E610000}"/>
    <cellStyle name="Followed Hyperlink 4" xfId="9010" hidden="1" xr:uid="{00000000-0005-0000-0000-00003F610000}"/>
    <cellStyle name="Followed Hyperlink 4" xfId="9013" hidden="1" xr:uid="{00000000-0005-0000-0000-000040610000}"/>
    <cellStyle name="Followed Hyperlink 4" xfId="9015" hidden="1" xr:uid="{00000000-0005-0000-0000-000041610000}"/>
    <cellStyle name="Followed Hyperlink 4" xfId="9016" hidden="1" xr:uid="{00000000-0005-0000-0000-000042610000}"/>
    <cellStyle name="Followed Hyperlink 4" xfId="9019" hidden="1" xr:uid="{00000000-0005-0000-0000-000043610000}"/>
    <cellStyle name="Followed Hyperlink 4" xfId="9028" hidden="1" xr:uid="{00000000-0005-0000-0000-000044610000}"/>
    <cellStyle name="Followed Hyperlink 4" xfId="9020" hidden="1" xr:uid="{00000000-0005-0000-0000-000045610000}"/>
    <cellStyle name="Followed Hyperlink 4" xfId="9031" hidden="1" xr:uid="{00000000-0005-0000-0000-000046610000}"/>
    <cellStyle name="Followed Hyperlink 4" xfId="9034" hidden="1" xr:uid="{00000000-0005-0000-0000-000047610000}"/>
    <cellStyle name="Followed Hyperlink 4" xfId="9037" hidden="1" xr:uid="{00000000-0005-0000-0000-000048610000}"/>
    <cellStyle name="Followed Hyperlink 4" xfId="9039" hidden="1" xr:uid="{00000000-0005-0000-0000-000049610000}"/>
    <cellStyle name="Followed Hyperlink 4" xfId="9040" hidden="1" xr:uid="{00000000-0005-0000-0000-00004A610000}"/>
    <cellStyle name="Followed Hyperlink 4" xfId="9043" hidden="1" xr:uid="{00000000-0005-0000-0000-00004B610000}"/>
    <cellStyle name="Followed Hyperlink 4" xfId="9054" hidden="1" xr:uid="{00000000-0005-0000-0000-00004C610000}"/>
    <cellStyle name="Followed Hyperlink 4" xfId="9046" hidden="1" xr:uid="{00000000-0005-0000-0000-00004D610000}"/>
    <cellStyle name="Followed Hyperlink 4" xfId="9057" hidden="1" xr:uid="{00000000-0005-0000-0000-00004E610000}"/>
    <cellStyle name="Followed Hyperlink 4" xfId="9060" hidden="1" xr:uid="{00000000-0005-0000-0000-00004F610000}"/>
    <cellStyle name="Followed Hyperlink 4" xfId="9063" hidden="1" xr:uid="{00000000-0005-0000-0000-000050610000}"/>
    <cellStyle name="Followed Hyperlink 4" xfId="9065" hidden="1" xr:uid="{00000000-0005-0000-0000-000051610000}"/>
    <cellStyle name="Followed Hyperlink 4" xfId="9066" hidden="1" xr:uid="{00000000-0005-0000-0000-000052610000}"/>
    <cellStyle name="Followed Hyperlink 4" xfId="9069" hidden="1" xr:uid="{00000000-0005-0000-0000-000053610000}"/>
    <cellStyle name="Followed Hyperlink 4" xfId="9078" hidden="1" xr:uid="{00000000-0005-0000-0000-000054610000}"/>
    <cellStyle name="Followed Hyperlink 4" xfId="9070" hidden="1" xr:uid="{00000000-0005-0000-0000-000055610000}"/>
    <cellStyle name="Followed Hyperlink 4" xfId="9081" hidden="1" xr:uid="{00000000-0005-0000-0000-000056610000}"/>
    <cellStyle name="Followed Hyperlink 4" xfId="9084" hidden="1" xr:uid="{00000000-0005-0000-0000-000057610000}"/>
    <cellStyle name="Followed Hyperlink 4" xfId="9087" hidden="1" xr:uid="{00000000-0005-0000-0000-000058610000}"/>
    <cellStyle name="Followed Hyperlink 4" xfId="9089" hidden="1" xr:uid="{00000000-0005-0000-0000-000059610000}"/>
    <cellStyle name="Followed Hyperlink 4" xfId="9090" hidden="1" xr:uid="{00000000-0005-0000-0000-00005A610000}"/>
    <cellStyle name="Followed Hyperlink 4" xfId="9093" hidden="1" xr:uid="{00000000-0005-0000-0000-00005B610000}"/>
    <cellStyle name="Followed Hyperlink 4" xfId="9131" hidden="1" xr:uid="{00000000-0005-0000-0000-00005C610000}"/>
    <cellStyle name="Followed Hyperlink 4" xfId="9123" hidden="1" xr:uid="{00000000-0005-0000-0000-00005D610000}"/>
    <cellStyle name="Followed Hyperlink 4" xfId="9134" hidden="1" xr:uid="{00000000-0005-0000-0000-00005E610000}"/>
    <cellStyle name="Followed Hyperlink 4" xfId="9137" hidden="1" xr:uid="{00000000-0005-0000-0000-00005F610000}"/>
    <cellStyle name="Followed Hyperlink 4" xfId="9140" hidden="1" xr:uid="{00000000-0005-0000-0000-000060610000}"/>
    <cellStyle name="Followed Hyperlink 4" xfId="9142" hidden="1" xr:uid="{00000000-0005-0000-0000-000061610000}"/>
    <cellStyle name="Followed Hyperlink 4" xfId="9143" hidden="1" xr:uid="{00000000-0005-0000-0000-000062610000}"/>
    <cellStyle name="Followed Hyperlink 4" xfId="9146" hidden="1" xr:uid="{00000000-0005-0000-0000-000063610000}"/>
    <cellStyle name="Followed Hyperlink 4" xfId="9155" hidden="1" xr:uid="{00000000-0005-0000-0000-000064610000}"/>
    <cellStyle name="Followed Hyperlink 4" xfId="9147" hidden="1" xr:uid="{00000000-0005-0000-0000-000065610000}"/>
    <cellStyle name="Followed Hyperlink 4" xfId="9158" hidden="1" xr:uid="{00000000-0005-0000-0000-000066610000}"/>
    <cellStyle name="Followed Hyperlink 4" xfId="9161" hidden="1" xr:uid="{00000000-0005-0000-0000-000067610000}"/>
    <cellStyle name="Followed Hyperlink 4" xfId="9164" hidden="1" xr:uid="{00000000-0005-0000-0000-000068610000}"/>
    <cellStyle name="Followed Hyperlink 4" xfId="9166" hidden="1" xr:uid="{00000000-0005-0000-0000-000069610000}"/>
    <cellStyle name="Followed Hyperlink 4" xfId="9167" hidden="1" xr:uid="{00000000-0005-0000-0000-00006A610000}"/>
    <cellStyle name="Followed Hyperlink 4" xfId="9170" hidden="1" xr:uid="{00000000-0005-0000-0000-00006B610000}"/>
    <cellStyle name="Followed Hyperlink 4" xfId="9181" hidden="1" xr:uid="{00000000-0005-0000-0000-00006C610000}"/>
    <cellStyle name="Followed Hyperlink 4" xfId="9173" hidden="1" xr:uid="{00000000-0005-0000-0000-00006D610000}"/>
    <cellStyle name="Followed Hyperlink 4" xfId="9184" hidden="1" xr:uid="{00000000-0005-0000-0000-00006E610000}"/>
    <cellStyle name="Followed Hyperlink 4" xfId="9187" hidden="1" xr:uid="{00000000-0005-0000-0000-00006F610000}"/>
    <cellStyle name="Followed Hyperlink 4" xfId="9190" hidden="1" xr:uid="{00000000-0005-0000-0000-000070610000}"/>
    <cellStyle name="Followed Hyperlink 4" xfId="9192" hidden="1" xr:uid="{00000000-0005-0000-0000-000071610000}"/>
    <cellStyle name="Followed Hyperlink 4" xfId="9193" hidden="1" xr:uid="{00000000-0005-0000-0000-000072610000}"/>
    <cellStyle name="Followed Hyperlink 4" xfId="9196" hidden="1" xr:uid="{00000000-0005-0000-0000-000073610000}"/>
    <cellStyle name="Followed Hyperlink 4" xfId="9205" hidden="1" xr:uid="{00000000-0005-0000-0000-000074610000}"/>
    <cellStyle name="Followed Hyperlink 4" xfId="9197" hidden="1" xr:uid="{00000000-0005-0000-0000-000075610000}"/>
    <cellStyle name="Followed Hyperlink 4" xfId="9208" hidden="1" xr:uid="{00000000-0005-0000-0000-000076610000}"/>
    <cellStyle name="Followed Hyperlink 4" xfId="9211" hidden="1" xr:uid="{00000000-0005-0000-0000-000077610000}"/>
    <cellStyle name="Followed Hyperlink 4" xfId="9214" hidden="1" xr:uid="{00000000-0005-0000-0000-000078610000}"/>
    <cellStyle name="Followed Hyperlink 4" xfId="9216" hidden="1" xr:uid="{00000000-0005-0000-0000-000079610000}"/>
    <cellStyle name="Followed Hyperlink 4" xfId="9217" hidden="1" xr:uid="{00000000-0005-0000-0000-00007A610000}"/>
    <cellStyle name="Followed Hyperlink 4" xfId="9220" hidden="1" xr:uid="{00000000-0005-0000-0000-00007B610000}"/>
    <cellStyle name="Followed Hyperlink 4" xfId="9103" hidden="1" xr:uid="{00000000-0005-0000-0000-00007C610000}"/>
    <cellStyle name="Followed Hyperlink 4" xfId="9097" hidden="1" xr:uid="{00000000-0005-0000-0000-00007D610000}"/>
    <cellStyle name="Followed Hyperlink 4" xfId="9221" hidden="1" xr:uid="{00000000-0005-0000-0000-00007E610000}"/>
    <cellStyle name="Followed Hyperlink 4" xfId="9224" hidden="1" xr:uid="{00000000-0005-0000-0000-00007F610000}"/>
    <cellStyle name="Followed Hyperlink 4" xfId="9227" hidden="1" xr:uid="{00000000-0005-0000-0000-000080610000}"/>
    <cellStyle name="Followed Hyperlink 4" xfId="9229" hidden="1" xr:uid="{00000000-0005-0000-0000-000081610000}"/>
    <cellStyle name="Followed Hyperlink 4" xfId="9230" hidden="1" xr:uid="{00000000-0005-0000-0000-000082610000}"/>
    <cellStyle name="Followed Hyperlink 4" xfId="9233" hidden="1" xr:uid="{00000000-0005-0000-0000-000083610000}"/>
    <cellStyle name="Followed Hyperlink 4" xfId="9242" hidden="1" xr:uid="{00000000-0005-0000-0000-000084610000}"/>
    <cellStyle name="Followed Hyperlink 4" xfId="9234" hidden="1" xr:uid="{00000000-0005-0000-0000-000085610000}"/>
    <cellStyle name="Followed Hyperlink 4" xfId="9245" hidden="1" xr:uid="{00000000-0005-0000-0000-000086610000}"/>
    <cellStyle name="Followed Hyperlink 4" xfId="9248" hidden="1" xr:uid="{00000000-0005-0000-0000-000087610000}"/>
    <cellStyle name="Followed Hyperlink 4" xfId="9251" hidden="1" xr:uid="{00000000-0005-0000-0000-000088610000}"/>
    <cellStyle name="Followed Hyperlink 4" xfId="9253" hidden="1" xr:uid="{00000000-0005-0000-0000-000089610000}"/>
    <cellStyle name="Followed Hyperlink 4" xfId="9254" hidden="1" xr:uid="{00000000-0005-0000-0000-00008A610000}"/>
    <cellStyle name="Followed Hyperlink 4" xfId="9257" hidden="1" xr:uid="{00000000-0005-0000-0000-00008B610000}"/>
    <cellStyle name="Followed Hyperlink 4" xfId="9267" hidden="1" xr:uid="{00000000-0005-0000-0000-00008C610000}"/>
    <cellStyle name="Followed Hyperlink 4" xfId="9259" hidden="1" xr:uid="{00000000-0005-0000-0000-00008D610000}"/>
    <cellStyle name="Followed Hyperlink 4" xfId="9270" hidden="1" xr:uid="{00000000-0005-0000-0000-00008E610000}"/>
    <cellStyle name="Followed Hyperlink 4" xfId="9273" hidden="1" xr:uid="{00000000-0005-0000-0000-00008F610000}"/>
    <cellStyle name="Followed Hyperlink 4" xfId="9276" hidden="1" xr:uid="{00000000-0005-0000-0000-000090610000}"/>
    <cellStyle name="Followed Hyperlink 4" xfId="9278" hidden="1" xr:uid="{00000000-0005-0000-0000-000091610000}"/>
    <cellStyle name="Followed Hyperlink 4" xfId="9279" hidden="1" xr:uid="{00000000-0005-0000-0000-000092610000}"/>
    <cellStyle name="Followed Hyperlink 4" xfId="9282" hidden="1" xr:uid="{00000000-0005-0000-0000-000093610000}"/>
    <cellStyle name="Followed Hyperlink 4" xfId="9291" hidden="1" xr:uid="{00000000-0005-0000-0000-000094610000}"/>
    <cellStyle name="Followed Hyperlink 4" xfId="9283" hidden="1" xr:uid="{00000000-0005-0000-0000-000095610000}"/>
    <cellStyle name="Followed Hyperlink 4" xfId="9294" hidden="1" xr:uid="{00000000-0005-0000-0000-000096610000}"/>
    <cellStyle name="Followed Hyperlink 4" xfId="9297" hidden="1" xr:uid="{00000000-0005-0000-0000-000097610000}"/>
    <cellStyle name="Followed Hyperlink 4" xfId="9300" hidden="1" xr:uid="{00000000-0005-0000-0000-000098610000}"/>
    <cellStyle name="Followed Hyperlink 4" xfId="9302" hidden="1" xr:uid="{00000000-0005-0000-0000-000099610000}"/>
    <cellStyle name="Followed Hyperlink 4" xfId="9303" hidden="1" xr:uid="{00000000-0005-0000-0000-00009A610000}"/>
    <cellStyle name="Followed Hyperlink 4" xfId="9306" hidden="1" xr:uid="{00000000-0005-0000-0000-00009B610000}"/>
    <cellStyle name="Followed Hyperlink 4" xfId="9107" hidden="1" xr:uid="{00000000-0005-0000-0000-00009C610000}"/>
    <cellStyle name="Followed Hyperlink 4" xfId="9113" hidden="1" xr:uid="{00000000-0005-0000-0000-00009D610000}"/>
    <cellStyle name="Followed Hyperlink 4" xfId="9307" hidden="1" xr:uid="{00000000-0005-0000-0000-00009E610000}"/>
    <cellStyle name="Followed Hyperlink 4" xfId="9310" hidden="1" xr:uid="{00000000-0005-0000-0000-00009F610000}"/>
    <cellStyle name="Followed Hyperlink 4" xfId="9313" hidden="1" xr:uid="{00000000-0005-0000-0000-0000A0610000}"/>
    <cellStyle name="Followed Hyperlink 4" xfId="9315" hidden="1" xr:uid="{00000000-0005-0000-0000-0000A1610000}"/>
    <cellStyle name="Followed Hyperlink 4" xfId="9316" hidden="1" xr:uid="{00000000-0005-0000-0000-0000A2610000}"/>
    <cellStyle name="Followed Hyperlink 4" xfId="9319" hidden="1" xr:uid="{00000000-0005-0000-0000-0000A3610000}"/>
    <cellStyle name="Followed Hyperlink 4" xfId="9328" hidden="1" xr:uid="{00000000-0005-0000-0000-0000A4610000}"/>
    <cellStyle name="Followed Hyperlink 4" xfId="9320" hidden="1" xr:uid="{00000000-0005-0000-0000-0000A5610000}"/>
    <cellStyle name="Followed Hyperlink 4" xfId="9331" hidden="1" xr:uid="{00000000-0005-0000-0000-0000A6610000}"/>
    <cellStyle name="Followed Hyperlink 4" xfId="9334" hidden="1" xr:uid="{00000000-0005-0000-0000-0000A7610000}"/>
    <cellStyle name="Followed Hyperlink 4" xfId="9337" hidden="1" xr:uid="{00000000-0005-0000-0000-0000A8610000}"/>
    <cellStyle name="Followed Hyperlink 4" xfId="9339" hidden="1" xr:uid="{00000000-0005-0000-0000-0000A9610000}"/>
    <cellStyle name="Followed Hyperlink 4" xfId="9340" hidden="1" xr:uid="{00000000-0005-0000-0000-0000AA610000}"/>
    <cellStyle name="Followed Hyperlink 4" xfId="9343" hidden="1" xr:uid="{00000000-0005-0000-0000-0000AB610000}"/>
    <cellStyle name="Followed Hyperlink 4" xfId="9353" hidden="1" xr:uid="{00000000-0005-0000-0000-0000AC610000}"/>
    <cellStyle name="Followed Hyperlink 4" xfId="9345" hidden="1" xr:uid="{00000000-0005-0000-0000-0000AD610000}"/>
    <cellStyle name="Followed Hyperlink 4" xfId="9356" hidden="1" xr:uid="{00000000-0005-0000-0000-0000AE610000}"/>
    <cellStyle name="Followed Hyperlink 4" xfId="9359" hidden="1" xr:uid="{00000000-0005-0000-0000-0000AF610000}"/>
    <cellStyle name="Followed Hyperlink 4" xfId="9362" hidden="1" xr:uid="{00000000-0005-0000-0000-0000B0610000}"/>
    <cellStyle name="Followed Hyperlink 4" xfId="9364" hidden="1" xr:uid="{00000000-0005-0000-0000-0000B1610000}"/>
    <cellStyle name="Followed Hyperlink 4" xfId="9365" hidden="1" xr:uid="{00000000-0005-0000-0000-0000B2610000}"/>
    <cellStyle name="Followed Hyperlink 4" xfId="9368" hidden="1" xr:uid="{00000000-0005-0000-0000-0000B3610000}"/>
    <cellStyle name="Followed Hyperlink 4" xfId="9377" hidden="1" xr:uid="{00000000-0005-0000-0000-0000B4610000}"/>
    <cellStyle name="Followed Hyperlink 4" xfId="9369" hidden="1" xr:uid="{00000000-0005-0000-0000-0000B5610000}"/>
    <cellStyle name="Followed Hyperlink 4" xfId="9380" hidden="1" xr:uid="{00000000-0005-0000-0000-0000B6610000}"/>
    <cellStyle name="Followed Hyperlink 4" xfId="9383" hidden="1" xr:uid="{00000000-0005-0000-0000-0000B7610000}"/>
    <cellStyle name="Followed Hyperlink 4" xfId="9386" hidden="1" xr:uid="{00000000-0005-0000-0000-0000B8610000}"/>
    <cellStyle name="Followed Hyperlink 4" xfId="9388" hidden="1" xr:uid="{00000000-0005-0000-0000-0000B9610000}"/>
    <cellStyle name="Followed Hyperlink 4" xfId="9389" hidden="1" xr:uid="{00000000-0005-0000-0000-0000BA610000}"/>
    <cellStyle name="Followed Hyperlink 4" xfId="9392" hidden="1" xr:uid="{00000000-0005-0000-0000-0000BB610000}"/>
    <cellStyle name="Followed Hyperlink 4" xfId="9117" hidden="1" xr:uid="{00000000-0005-0000-0000-0000BC610000}"/>
    <cellStyle name="Followed Hyperlink 4" xfId="9172" hidden="1" xr:uid="{00000000-0005-0000-0000-0000BD610000}"/>
    <cellStyle name="Followed Hyperlink 4" xfId="9393" hidden="1" xr:uid="{00000000-0005-0000-0000-0000BE610000}"/>
    <cellStyle name="Followed Hyperlink 4" xfId="9396" hidden="1" xr:uid="{00000000-0005-0000-0000-0000BF610000}"/>
    <cellStyle name="Followed Hyperlink 4" xfId="9399" hidden="1" xr:uid="{00000000-0005-0000-0000-0000C0610000}"/>
    <cellStyle name="Followed Hyperlink 4" xfId="9401" hidden="1" xr:uid="{00000000-0005-0000-0000-0000C1610000}"/>
    <cellStyle name="Followed Hyperlink 4" xfId="9402" hidden="1" xr:uid="{00000000-0005-0000-0000-0000C2610000}"/>
    <cellStyle name="Followed Hyperlink 4" xfId="9405" hidden="1" xr:uid="{00000000-0005-0000-0000-0000C3610000}"/>
    <cellStyle name="Followed Hyperlink 4" xfId="9414" hidden="1" xr:uid="{00000000-0005-0000-0000-0000C4610000}"/>
    <cellStyle name="Followed Hyperlink 4" xfId="9406" hidden="1" xr:uid="{00000000-0005-0000-0000-0000C5610000}"/>
    <cellStyle name="Followed Hyperlink 4" xfId="9417" hidden="1" xr:uid="{00000000-0005-0000-0000-0000C6610000}"/>
    <cellStyle name="Followed Hyperlink 4" xfId="9420" hidden="1" xr:uid="{00000000-0005-0000-0000-0000C7610000}"/>
    <cellStyle name="Followed Hyperlink 4" xfId="9423" hidden="1" xr:uid="{00000000-0005-0000-0000-0000C8610000}"/>
    <cellStyle name="Followed Hyperlink 4" xfId="9425" hidden="1" xr:uid="{00000000-0005-0000-0000-0000C9610000}"/>
    <cellStyle name="Followed Hyperlink 4" xfId="9426" hidden="1" xr:uid="{00000000-0005-0000-0000-0000CA610000}"/>
    <cellStyle name="Followed Hyperlink 4" xfId="9429" hidden="1" xr:uid="{00000000-0005-0000-0000-0000CB610000}"/>
    <cellStyle name="Followed Hyperlink 4" xfId="9438" hidden="1" xr:uid="{00000000-0005-0000-0000-0000CC610000}"/>
    <cellStyle name="Followed Hyperlink 4" xfId="9430" hidden="1" xr:uid="{00000000-0005-0000-0000-0000CD610000}"/>
    <cellStyle name="Followed Hyperlink 4" xfId="9441" hidden="1" xr:uid="{00000000-0005-0000-0000-0000CE610000}"/>
    <cellStyle name="Followed Hyperlink 4" xfId="9444" hidden="1" xr:uid="{00000000-0005-0000-0000-0000CF610000}"/>
    <cellStyle name="Followed Hyperlink 4" xfId="9447" hidden="1" xr:uid="{00000000-0005-0000-0000-0000D0610000}"/>
    <cellStyle name="Followed Hyperlink 4" xfId="9449" hidden="1" xr:uid="{00000000-0005-0000-0000-0000D1610000}"/>
    <cellStyle name="Followed Hyperlink 4" xfId="9450" hidden="1" xr:uid="{00000000-0005-0000-0000-0000D2610000}"/>
    <cellStyle name="Followed Hyperlink 4" xfId="9453" hidden="1" xr:uid="{00000000-0005-0000-0000-0000D3610000}"/>
    <cellStyle name="Followed Hyperlink 4" xfId="9462" hidden="1" xr:uid="{00000000-0005-0000-0000-0000D4610000}"/>
    <cellStyle name="Followed Hyperlink 4" xfId="9454" hidden="1" xr:uid="{00000000-0005-0000-0000-0000D5610000}"/>
    <cellStyle name="Followed Hyperlink 4" xfId="9465" hidden="1" xr:uid="{00000000-0005-0000-0000-0000D6610000}"/>
    <cellStyle name="Followed Hyperlink 4" xfId="9468" hidden="1" xr:uid="{00000000-0005-0000-0000-0000D7610000}"/>
    <cellStyle name="Followed Hyperlink 4" xfId="9471" hidden="1" xr:uid="{00000000-0005-0000-0000-0000D8610000}"/>
    <cellStyle name="Followed Hyperlink 4" xfId="9473" hidden="1" xr:uid="{00000000-0005-0000-0000-0000D9610000}"/>
    <cellStyle name="Followed Hyperlink 4" xfId="9474" hidden="1" xr:uid="{00000000-0005-0000-0000-0000DA610000}"/>
    <cellStyle name="Followed Hyperlink 4" xfId="9477" hidden="1" xr:uid="{00000000-0005-0000-0000-0000DB610000}"/>
    <cellStyle name="Followed Hyperlink 4" xfId="8976" hidden="1" xr:uid="{00000000-0005-0000-0000-0000DC610000}"/>
    <cellStyle name="Followed Hyperlink 4" xfId="8970" hidden="1" xr:uid="{00000000-0005-0000-0000-0000DD610000}"/>
    <cellStyle name="Followed Hyperlink 4" xfId="9478" hidden="1" xr:uid="{00000000-0005-0000-0000-0000DE610000}"/>
    <cellStyle name="Followed Hyperlink 4" xfId="9481" hidden="1" xr:uid="{00000000-0005-0000-0000-0000DF610000}"/>
    <cellStyle name="Followed Hyperlink 4" xfId="9484" hidden="1" xr:uid="{00000000-0005-0000-0000-0000E0610000}"/>
    <cellStyle name="Followed Hyperlink 4" xfId="9486" hidden="1" xr:uid="{00000000-0005-0000-0000-0000E1610000}"/>
    <cellStyle name="Followed Hyperlink 4" xfId="9487" hidden="1" xr:uid="{00000000-0005-0000-0000-0000E2610000}"/>
    <cellStyle name="Followed Hyperlink 4" xfId="9490" hidden="1" xr:uid="{00000000-0005-0000-0000-0000E3610000}"/>
    <cellStyle name="Followed Hyperlink 4" xfId="9499" hidden="1" xr:uid="{00000000-0005-0000-0000-0000E4610000}"/>
    <cellStyle name="Followed Hyperlink 4" xfId="9491" hidden="1" xr:uid="{00000000-0005-0000-0000-0000E5610000}"/>
    <cellStyle name="Followed Hyperlink 4" xfId="9502" hidden="1" xr:uid="{00000000-0005-0000-0000-0000E6610000}"/>
    <cellStyle name="Followed Hyperlink 4" xfId="9505" hidden="1" xr:uid="{00000000-0005-0000-0000-0000E7610000}"/>
    <cellStyle name="Followed Hyperlink 4" xfId="9508" hidden="1" xr:uid="{00000000-0005-0000-0000-0000E8610000}"/>
    <cellStyle name="Followed Hyperlink 4" xfId="9510" hidden="1" xr:uid="{00000000-0005-0000-0000-0000E9610000}"/>
    <cellStyle name="Followed Hyperlink 4" xfId="9511" hidden="1" xr:uid="{00000000-0005-0000-0000-0000EA610000}"/>
    <cellStyle name="Followed Hyperlink 4" xfId="9514" hidden="1" xr:uid="{00000000-0005-0000-0000-0000EB610000}"/>
    <cellStyle name="Followed Hyperlink 4" xfId="9524" hidden="1" xr:uid="{00000000-0005-0000-0000-0000EC610000}"/>
    <cellStyle name="Followed Hyperlink 4" xfId="9516" hidden="1" xr:uid="{00000000-0005-0000-0000-0000ED610000}"/>
    <cellStyle name="Followed Hyperlink 4" xfId="9527" hidden="1" xr:uid="{00000000-0005-0000-0000-0000EE610000}"/>
    <cellStyle name="Followed Hyperlink 4" xfId="9530" hidden="1" xr:uid="{00000000-0005-0000-0000-0000EF610000}"/>
    <cellStyle name="Followed Hyperlink 4" xfId="9533" hidden="1" xr:uid="{00000000-0005-0000-0000-0000F0610000}"/>
    <cellStyle name="Followed Hyperlink 4" xfId="9535" hidden="1" xr:uid="{00000000-0005-0000-0000-0000F1610000}"/>
    <cellStyle name="Followed Hyperlink 4" xfId="9536" hidden="1" xr:uid="{00000000-0005-0000-0000-0000F2610000}"/>
    <cellStyle name="Followed Hyperlink 4" xfId="9539" hidden="1" xr:uid="{00000000-0005-0000-0000-0000F3610000}"/>
    <cellStyle name="Followed Hyperlink 4" xfId="9548" hidden="1" xr:uid="{00000000-0005-0000-0000-0000F4610000}"/>
    <cellStyle name="Followed Hyperlink 4" xfId="9540" hidden="1" xr:uid="{00000000-0005-0000-0000-0000F5610000}"/>
    <cellStyle name="Followed Hyperlink 4" xfId="9551" hidden="1" xr:uid="{00000000-0005-0000-0000-0000F6610000}"/>
    <cellStyle name="Followed Hyperlink 4" xfId="9554" hidden="1" xr:uid="{00000000-0005-0000-0000-0000F7610000}"/>
    <cellStyle name="Followed Hyperlink 4" xfId="9557" hidden="1" xr:uid="{00000000-0005-0000-0000-0000F8610000}"/>
    <cellStyle name="Followed Hyperlink 4" xfId="9559" hidden="1" xr:uid="{00000000-0005-0000-0000-0000F9610000}"/>
    <cellStyle name="Followed Hyperlink 4" xfId="9560" hidden="1" xr:uid="{00000000-0005-0000-0000-0000FA610000}"/>
    <cellStyle name="Followed Hyperlink 4" xfId="9563" hidden="1" xr:uid="{00000000-0005-0000-0000-0000FB610000}"/>
    <cellStyle name="Followed Hyperlink 4" xfId="9601" hidden="1" xr:uid="{00000000-0005-0000-0000-0000FC610000}"/>
    <cellStyle name="Followed Hyperlink 4" xfId="9593" hidden="1" xr:uid="{00000000-0005-0000-0000-0000FD610000}"/>
    <cellStyle name="Followed Hyperlink 4" xfId="9604" hidden="1" xr:uid="{00000000-0005-0000-0000-0000FE610000}"/>
    <cellStyle name="Followed Hyperlink 4" xfId="9607" hidden="1" xr:uid="{00000000-0005-0000-0000-0000FF610000}"/>
    <cellStyle name="Followed Hyperlink 4" xfId="9610" hidden="1" xr:uid="{00000000-0005-0000-0000-000000620000}"/>
    <cellStyle name="Followed Hyperlink 4" xfId="9612" hidden="1" xr:uid="{00000000-0005-0000-0000-000001620000}"/>
    <cellStyle name="Followed Hyperlink 4" xfId="9613" hidden="1" xr:uid="{00000000-0005-0000-0000-000002620000}"/>
    <cellStyle name="Followed Hyperlink 4" xfId="9616" hidden="1" xr:uid="{00000000-0005-0000-0000-000003620000}"/>
    <cellStyle name="Followed Hyperlink 4" xfId="9625" hidden="1" xr:uid="{00000000-0005-0000-0000-000004620000}"/>
    <cellStyle name="Followed Hyperlink 4" xfId="9617" hidden="1" xr:uid="{00000000-0005-0000-0000-000005620000}"/>
    <cellStyle name="Followed Hyperlink 4" xfId="9628" hidden="1" xr:uid="{00000000-0005-0000-0000-000006620000}"/>
    <cellStyle name="Followed Hyperlink 4" xfId="9631" hidden="1" xr:uid="{00000000-0005-0000-0000-000007620000}"/>
    <cellStyle name="Followed Hyperlink 4" xfId="9634" hidden="1" xr:uid="{00000000-0005-0000-0000-000008620000}"/>
    <cellStyle name="Followed Hyperlink 4" xfId="9636" hidden="1" xr:uid="{00000000-0005-0000-0000-000009620000}"/>
    <cellStyle name="Followed Hyperlink 4" xfId="9637" hidden="1" xr:uid="{00000000-0005-0000-0000-00000A620000}"/>
    <cellStyle name="Followed Hyperlink 4" xfId="9640" hidden="1" xr:uid="{00000000-0005-0000-0000-00000B620000}"/>
    <cellStyle name="Followed Hyperlink 4" xfId="9651" hidden="1" xr:uid="{00000000-0005-0000-0000-00000C620000}"/>
    <cellStyle name="Followed Hyperlink 4" xfId="9643" hidden="1" xr:uid="{00000000-0005-0000-0000-00000D620000}"/>
    <cellStyle name="Followed Hyperlink 4" xfId="9654" hidden="1" xr:uid="{00000000-0005-0000-0000-00000E620000}"/>
    <cellStyle name="Followed Hyperlink 4" xfId="9657" hidden="1" xr:uid="{00000000-0005-0000-0000-00000F620000}"/>
    <cellStyle name="Followed Hyperlink 4" xfId="9660" hidden="1" xr:uid="{00000000-0005-0000-0000-000010620000}"/>
    <cellStyle name="Followed Hyperlink 4" xfId="9662" hidden="1" xr:uid="{00000000-0005-0000-0000-000011620000}"/>
    <cellStyle name="Followed Hyperlink 4" xfId="9663" hidden="1" xr:uid="{00000000-0005-0000-0000-000012620000}"/>
    <cellStyle name="Followed Hyperlink 4" xfId="9666" hidden="1" xr:uid="{00000000-0005-0000-0000-000013620000}"/>
    <cellStyle name="Followed Hyperlink 4" xfId="9675" hidden="1" xr:uid="{00000000-0005-0000-0000-000014620000}"/>
    <cellStyle name="Followed Hyperlink 4" xfId="9667" hidden="1" xr:uid="{00000000-0005-0000-0000-000015620000}"/>
    <cellStyle name="Followed Hyperlink 4" xfId="9678" hidden="1" xr:uid="{00000000-0005-0000-0000-000016620000}"/>
    <cellStyle name="Followed Hyperlink 4" xfId="9681" hidden="1" xr:uid="{00000000-0005-0000-0000-000017620000}"/>
    <cellStyle name="Followed Hyperlink 4" xfId="9684" hidden="1" xr:uid="{00000000-0005-0000-0000-000018620000}"/>
    <cellStyle name="Followed Hyperlink 4" xfId="9686" hidden="1" xr:uid="{00000000-0005-0000-0000-000019620000}"/>
    <cellStyle name="Followed Hyperlink 4" xfId="9687" hidden="1" xr:uid="{00000000-0005-0000-0000-00001A620000}"/>
    <cellStyle name="Followed Hyperlink 4" xfId="9690" hidden="1" xr:uid="{00000000-0005-0000-0000-00001B620000}"/>
    <cellStyle name="Followed Hyperlink 4" xfId="9573" hidden="1" xr:uid="{00000000-0005-0000-0000-00001C620000}"/>
    <cellStyle name="Followed Hyperlink 4" xfId="9567" hidden="1" xr:uid="{00000000-0005-0000-0000-00001D620000}"/>
    <cellStyle name="Followed Hyperlink 4" xfId="9691" hidden="1" xr:uid="{00000000-0005-0000-0000-00001E620000}"/>
    <cellStyle name="Followed Hyperlink 4" xfId="9694" hidden="1" xr:uid="{00000000-0005-0000-0000-00001F620000}"/>
    <cellStyle name="Followed Hyperlink 4" xfId="9697" hidden="1" xr:uid="{00000000-0005-0000-0000-000020620000}"/>
    <cellStyle name="Followed Hyperlink 4" xfId="9699" hidden="1" xr:uid="{00000000-0005-0000-0000-000021620000}"/>
    <cellStyle name="Followed Hyperlink 4" xfId="9700" hidden="1" xr:uid="{00000000-0005-0000-0000-000022620000}"/>
    <cellStyle name="Followed Hyperlink 4" xfId="9703" hidden="1" xr:uid="{00000000-0005-0000-0000-000023620000}"/>
    <cellStyle name="Followed Hyperlink 4" xfId="9712" hidden="1" xr:uid="{00000000-0005-0000-0000-000024620000}"/>
    <cellStyle name="Followed Hyperlink 4" xfId="9704" hidden="1" xr:uid="{00000000-0005-0000-0000-000025620000}"/>
    <cellStyle name="Followed Hyperlink 4" xfId="9715" hidden="1" xr:uid="{00000000-0005-0000-0000-000026620000}"/>
    <cellStyle name="Followed Hyperlink 4" xfId="9718" hidden="1" xr:uid="{00000000-0005-0000-0000-000027620000}"/>
    <cellStyle name="Followed Hyperlink 4" xfId="9721" hidden="1" xr:uid="{00000000-0005-0000-0000-000028620000}"/>
    <cellStyle name="Followed Hyperlink 4" xfId="9723" hidden="1" xr:uid="{00000000-0005-0000-0000-000029620000}"/>
    <cellStyle name="Followed Hyperlink 4" xfId="9724" hidden="1" xr:uid="{00000000-0005-0000-0000-00002A620000}"/>
    <cellStyle name="Followed Hyperlink 4" xfId="9727" hidden="1" xr:uid="{00000000-0005-0000-0000-00002B620000}"/>
    <cellStyle name="Followed Hyperlink 4" xfId="9737" hidden="1" xr:uid="{00000000-0005-0000-0000-00002C620000}"/>
    <cellStyle name="Followed Hyperlink 4" xfId="9729" hidden="1" xr:uid="{00000000-0005-0000-0000-00002D620000}"/>
    <cellStyle name="Followed Hyperlink 4" xfId="9740" hidden="1" xr:uid="{00000000-0005-0000-0000-00002E620000}"/>
    <cellStyle name="Followed Hyperlink 4" xfId="9743" hidden="1" xr:uid="{00000000-0005-0000-0000-00002F620000}"/>
    <cellStyle name="Followed Hyperlink 4" xfId="9746" hidden="1" xr:uid="{00000000-0005-0000-0000-000030620000}"/>
    <cellStyle name="Followed Hyperlink 4" xfId="9748" hidden="1" xr:uid="{00000000-0005-0000-0000-000031620000}"/>
    <cellStyle name="Followed Hyperlink 4" xfId="9749" hidden="1" xr:uid="{00000000-0005-0000-0000-000032620000}"/>
    <cellStyle name="Followed Hyperlink 4" xfId="9752" hidden="1" xr:uid="{00000000-0005-0000-0000-000033620000}"/>
    <cellStyle name="Followed Hyperlink 4" xfId="9761" hidden="1" xr:uid="{00000000-0005-0000-0000-000034620000}"/>
    <cellStyle name="Followed Hyperlink 4" xfId="9753" hidden="1" xr:uid="{00000000-0005-0000-0000-000035620000}"/>
    <cellStyle name="Followed Hyperlink 4" xfId="9764" hidden="1" xr:uid="{00000000-0005-0000-0000-000036620000}"/>
    <cellStyle name="Followed Hyperlink 4" xfId="9767" hidden="1" xr:uid="{00000000-0005-0000-0000-000037620000}"/>
    <cellStyle name="Followed Hyperlink 4" xfId="9770" hidden="1" xr:uid="{00000000-0005-0000-0000-000038620000}"/>
    <cellStyle name="Followed Hyperlink 4" xfId="9772" hidden="1" xr:uid="{00000000-0005-0000-0000-000039620000}"/>
    <cellStyle name="Followed Hyperlink 4" xfId="9773" hidden="1" xr:uid="{00000000-0005-0000-0000-00003A620000}"/>
    <cellStyle name="Followed Hyperlink 4" xfId="9776" hidden="1" xr:uid="{00000000-0005-0000-0000-00003B620000}"/>
    <cellStyle name="Followed Hyperlink 4" xfId="9577" hidden="1" xr:uid="{00000000-0005-0000-0000-00003C620000}"/>
    <cellStyle name="Followed Hyperlink 4" xfId="9583" hidden="1" xr:uid="{00000000-0005-0000-0000-00003D620000}"/>
    <cellStyle name="Followed Hyperlink 4" xfId="9777" hidden="1" xr:uid="{00000000-0005-0000-0000-00003E620000}"/>
    <cellStyle name="Followed Hyperlink 4" xfId="9780" hidden="1" xr:uid="{00000000-0005-0000-0000-00003F620000}"/>
    <cellStyle name="Followed Hyperlink 4" xfId="9783" hidden="1" xr:uid="{00000000-0005-0000-0000-000040620000}"/>
    <cellStyle name="Followed Hyperlink 4" xfId="9785" hidden="1" xr:uid="{00000000-0005-0000-0000-000041620000}"/>
    <cellStyle name="Followed Hyperlink 4" xfId="9786" hidden="1" xr:uid="{00000000-0005-0000-0000-000042620000}"/>
    <cellStyle name="Followed Hyperlink 4" xfId="9789" hidden="1" xr:uid="{00000000-0005-0000-0000-000043620000}"/>
    <cellStyle name="Followed Hyperlink 4" xfId="9798" hidden="1" xr:uid="{00000000-0005-0000-0000-000044620000}"/>
    <cellStyle name="Followed Hyperlink 4" xfId="9790" hidden="1" xr:uid="{00000000-0005-0000-0000-000045620000}"/>
    <cellStyle name="Followed Hyperlink 4" xfId="9801" hidden="1" xr:uid="{00000000-0005-0000-0000-000046620000}"/>
    <cellStyle name="Followed Hyperlink 4" xfId="9804" hidden="1" xr:uid="{00000000-0005-0000-0000-000047620000}"/>
    <cellStyle name="Followed Hyperlink 4" xfId="9807" hidden="1" xr:uid="{00000000-0005-0000-0000-000048620000}"/>
    <cellStyle name="Followed Hyperlink 4" xfId="9809" hidden="1" xr:uid="{00000000-0005-0000-0000-000049620000}"/>
    <cellStyle name="Followed Hyperlink 4" xfId="9810" hidden="1" xr:uid="{00000000-0005-0000-0000-00004A620000}"/>
    <cellStyle name="Followed Hyperlink 4" xfId="9813" hidden="1" xr:uid="{00000000-0005-0000-0000-00004B620000}"/>
    <cellStyle name="Followed Hyperlink 4" xfId="9823" hidden="1" xr:uid="{00000000-0005-0000-0000-00004C620000}"/>
    <cellStyle name="Followed Hyperlink 4" xfId="9815" hidden="1" xr:uid="{00000000-0005-0000-0000-00004D620000}"/>
    <cellStyle name="Followed Hyperlink 4" xfId="9826" hidden="1" xr:uid="{00000000-0005-0000-0000-00004E620000}"/>
    <cellStyle name="Followed Hyperlink 4" xfId="9829" hidden="1" xr:uid="{00000000-0005-0000-0000-00004F620000}"/>
    <cellStyle name="Followed Hyperlink 4" xfId="9832" hidden="1" xr:uid="{00000000-0005-0000-0000-000050620000}"/>
    <cellStyle name="Followed Hyperlink 4" xfId="9834" hidden="1" xr:uid="{00000000-0005-0000-0000-000051620000}"/>
    <cellStyle name="Followed Hyperlink 4" xfId="9835" hidden="1" xr:uid="{00000000-0005-0000-0000-000052620000}"/>
    <cellStyle name="Followed Hyperlink 4" xfId="9838" hidden="1" xr:uid="{00000000-0005-0000-0000-000053620000}"/>
    <cellStyle name="Followed Hyperlink 4" xfId="9847" hidden="1" xr:uid="{00000000-0005-0000-0000-000054620000}"/>
    <cellStyle name="Followed Hyperlink 4" xfId="9839" hidden="1" xr:uid="{00000000-0005-0000-0000-000055620000}"/>
    <cellStyle name="Followed Hyperlink 4" xfId="9850" hidden="1" xr:uid="{00000000-0005-0000-0000-000056620000}"/>
    <cellStyle name="Followed Hyperlink 4" xfId="9853" hidden="1" xr:uid="{00000000-0005-0000-0000-000057620000}"/>
    <cellStyle name="Followed Hyperlink 4" xfId="9856" hidden="1" xr:uid="{00000000-0005-0000-0000-000058620000}"/>
    <cellStyle name="Followed Hyperlink 4" xfId="9858" hidden="1" xr:uid="{00000000-0005-0000-0000-000059620000}"/>
    <cellStyle name="Followed Hyperlink 4" xfId="9859" hidden="1" xr:uid="{00000000-0005-0000-0000-00005A620000}"/>
    <cellStyle name="Followed Hyperlink 4" xfId="9862" hidden="1" xr:uid="{00000000-0005-0000-0000-00005B620000}"/>
    <cellStyle name="Followed Hyperlink 4" xfId="9587" hidden="1" xr:uid="{00000000-0005-0000-0000-00005C620000}"/>
    <cellStyle name="Followed Hyperlink 4" xfId="9642" hidden="1" xr:uid="{00000000-0005-0000-0000-00005D620000}"/>
    <cellStyle name="Followed Hyperlink 4" xfId="9863" hidden="1" xr:uid="{00000000-0005-0000-0000-00005E620000}"/>
    <cellStyle name="Followed Hyperlink 4" xfId="9866" hidden="1" xr:uid="{00000000-0005-0000-0000-00005F620000}"/>
    <cellStyle name="Followed Hyperlink 4" xfId="9869" hidden="1" xr:uid="{00000000-0005-0000-0000-000060620000}"/>
    <cellStyle name="Followed Hyperlink 4" xfId="9871" hidden="1" xr:uid="{00000000-0005-0000-0000-000061620000}"/>
    <cellStyle name="Followed Hyperlink 4" xfId="9872" hidden="1" xr:uid="{00000000-0005-0000-0000-000062620000}"/>
    <cellStyle name="Followed Hyperlink 4" xfId="9875" hidden="1" xr:uid="{00000000-0005-0000-0000-000063620000}"/>
    <cellStyle name="Followed Hyperlink 4" xfId="9884" hidden="1" xr:uid="{00000000-0005-0000-0000-000064620000}"/>
    <cellStyle name="Followed Hyperlink 4" xfId="9876" hidden="1" xr:uid="{00000000-0005-0000-0000-000065620000}"/>
    <cellStyle name="Followed Hyperlink 4" xfId="9887" hidden="1" xr:uid="{00000000-0005-0000-0000-000066620000}"/>
    <cellStyle name="Followed Hyperlink 4" xfId="9890" hidden="1" xr:uid="{00000000-0005-0000-0000-000067620000}"/>
    <cellStyle name="Followed Hyperlink 4" xfId="9893" hidden="1" xr:uid="{00000000-0005-0000-0000-000068620000}"/>
    <cellStyle name="Followed Hyperlink 4" xfId="9895" hidden="1" xr:uid="{00000000-0005-0000-0000-000069620000}"/>
    <cellStyle name="Followed Hyperlink 4" xfId="9896" hidden="1" xr:uid="{00000000-0005-0000-0000-00006A620000}"/>
    <cellStyle name="Followed Hyperlink 4" xfId="9899" hidden="1" xr:uid="{00000000-0005-0000-0000-00006B620000}"/>
    <cellStyle name="Followed Hyperlink 4" xfId="9908" hidden="1" xr:uid="{00000000-0005-0000-0000-00006C620000}"/>
    <cellStyle name="Followed Hyperlink 4" xfId="9900" hidden="1" xr:uid="{00000000-0005-0000-0000-00006D620000}"/>
    <cellStyle name="Followed Hyperlink 4" xfId="9911" hidden="1" xr:uid="{00000000-0005-0000-0000-00006E620000}"/>
    <cellStyle name="Followed Hyperlink 4" xfId="9914" hidden="1" xr:uid="{00000000-0005-0000-0000-00006F620000}"/>
    <cellStyle name="Followed Hyperlink 4" xfId="9917" hidden="1" xr:uid="{00000000-0005-0000-0000-000070620000}"/>
    <cellStyle name="Followed Hyperlink 4" xfId="9919" hidden="1" xr:uid="{00000000-0005-0000-0000-000071620000}"/>
    <cellStyle name="Followed Hyperlink 4" xfId="9920" hidden="1" xr:uid="{00000000-0005-0000-0000-000072620000}"/>
    <cellStyle name="Followed Hyperlink 4" xfId="9923" hidden="1" xr:uid="{00000000-0005-0000-0000-000073620000}"/>
    <cellStyle name="Followed Hyperlink 4" xfId="9932" hidden="1" xr:uid="{00000000-0005-0000-0000-000074620000}"/>
    <cellStyle name="Followed Hyperlink 4" xfId="9924" hidden="1" xr:uid="{00000000-0005-0000-0000-000075620000}"/>
    <cellStyle name="Followed Hyperlink 4" xfId="9935" hidden="1" xr:uid="{00000000-0005-0000-0000-000076620000}"/>
    <cellStyle name="Followed Hyperlink 4" xfId="9938" hidden="1" xr:uid="{00000000-0005-0000-0000-000077620000}"/>
    <cellStyle name="Followed Hyperlink 4" xfId="9941" hidden="1" xr:uid="{00000000-0005-0000-0000-000078620000}"/>
    <cellStyle name="Followed Hyperlink 4" xfId="9943" hidden="1" xr:uid="{00000000-0005-0000-0000-000079620000}"/>
    <cellStyle name="Followed Hyperlink 4" xfId="9944" hidden="1" xr:uid="{00000000-0005-0000-0000-00007A620000}"/>
    <cellStyle name="Followed Hyperlink 4" xfId="9947" hidden="1" xr:uid="{00000000-0005-0000-0000-00007B620000}"/>
    <cellStyle name="Followed Hyperlink 4" xfId="8980" hidden="1" xr:uid="{00000000-0005-0000-0000-00007C620000}"/>
    <cellStyle name="Followed Hyperlink 4" xfId="8986" hidden="1" xr:uid="{00000000-0005-0000-0000-00007D620000}"/>
    <cellStyle name="Followed Hyperlink 4" xfId="9948" hidden="1" xr:uid="{00000000-0005-0000-0000-00007E620000}"/>
    <cellStyle name="Followed Hyperlink 4" xfId="9951" hidden="1" xr:uid="{00000000-0005-0000-0000-00007F620000}"/>
    <cellStyle name="Followed Hyperlink 4" xfId="9954" hidden="1" xr:uid="{00000000-0005-0000-0000-000080620000}"/>
    <cellStyle name="Followed Hyperlink 4" xfId="9956" hidden="1" xr:uid="{00000000-0005-0000-0000-000081620000}"/>
    <cellStyle name="Followed Hyperlink 4" xfId="9957" hidden="1" xr:uid="{00000000-0005-0000-0000-000082620000}"/>
    <cellStyle name="Followed Hyperlink 4" xfId="9960" hidden="1" xr:uid="{00000000-0005-0000-0000-000083620000}"/>
    <cellStyle name="Followed Hyperlink 4" xfId="9969" hidden="1" xr:uid="{00000000-0005-0000-0000-000084620000}"/>
    <cellStyle name="Followed Hyperlink 4" xfId="9961" hidden="1" xr:uid="{00000000-0005-0000-0000-000085620000}"/>
    <cellStyle name="Followed Hyperlink 4" xfId="9972" hidden="1" xr:uid="{00000000-0005-0000-0000-000086620000}"/>
    <cellStyle name="Followed Hyperlink 4" xfId="9975" hidden="1" xr:uid="{00000000-0005-0000-0000-000087620000}"/>
    <cellStyle name="Followed Hyperlink 4" xfId="9978" hidden="1" xr:uid="{00000000-0005-0000-0000-000088620000}"/>
    <cellStyle name="Followed Hyperlink 4" xfId="9980" hidden="1" xr:uid="{00000000-0005-0000-0000-000089620000}"/>
    <cellStyle name="Followed Hyperlink 4" xfId="9981" hidden="1" xr:uid="{00000000-0005-0000-0000-00008A620000}"/>
    <cellStyle name="Followed Hyperlink 4" xfId="9984" hidden="1" xr:uid="{00000000-0005-0000-0000-00008B620000}"/>
    <cellStyle name="Followed Hyperlink 4" xfId="9994" hidden="1" xr:uid="{00000000-0005-0000-0000-00008C620000}"/>
    <cellStyle name="Followed Hyperlink 4" xfId="9986" hidden="1" xr:uid="{00000000-0005-0000-0000-00008D620000}"/>
    <cellStyle name="Followed Hyperlink 4" xfId="9997" hidden="1" xr:uid="{00000000-0005-0000-0000-00008E620000}"/>
    <cellStyle name="Followed Hyperlink 4" xfId="10000" hidden="1" xr:uid="{00000000-0005-0000-0000-00008F620000}"/>
    <cellStyle name="Followed Hyperlink 4" xfId="10003" hidden="1" xr:uid="{00000000-0005-0000-0000-000090620000}"/>
    <cellStyle name="Followed Hyperlink 4" xfId="10005" hidden="1" xr:uid="{00000000-0005-0000-0000-000091620000}"/>
    <cellStyle name="Followed Hyperlink 4" xfId="10006" hidden="1" xr:uid="{00000000-0005-0000-0000-000092620000}"/>
    <cellStyle name="Followed Hyperlink 4" xfId="10009" hidden="1" xr:uid="{00000000-0005-0000-0000-000093620000}"/>
    <cellStyle name="Followed Hyperlink 4" xfId="10018" hidden="1" xr:uid="{00000000-0005-0000-0000-000094620000}"/>
    <cellStyle name="Followed Hyperlink 4" xfId="10010" hidden="1" xr:uid="{00000000-0005-0000-0000-000095620000}"/>
    <cellStyle name="Followed Hyperlink 4" xfId="10021" hidden="1" xr:uid="{00000000-0005-0000-0000-000096620000}"/>
    <cellStyle name="Followed Hyperlink 4" xfId="10024" hidden="1" xr:uid="{00000000-0005-0000-0000-000097620000}"/>
    <cellStyle name="Followed Hyperlink 4" xfId="10027" hidden="1" xr:uid="{00000000-0005-0000-0000-000098620000}"/>
    <cellStyle name="Followed Hyperlink 4" xfId="10029" hidden="1" xr:uid="{00000000-0005-0000-0000-000099620000}"/>
    <cellStyle name="Followed Hyperlink 4" xfId="10030" hidden="1" xr:uid="{00000000-0005-0000-0000-00009A620000}"/>
    <cellStyle name="Followed Hyperlink 4" xfId="10033" hidden="1" xr:uid="{00000000-0005-0000-0000-00009B620000}"/>
    <cellStyle name="Followed Hyperlink 4" xfId="10071" hidden="1" xr:uid="{00000000-0005-0000-0000-00009C620000}"/>
    <cellStyle name="Followed Hyperlink 4" xfId="10063" hidden="1" xr:uid="{00000000-0005-0000-0000-00009D620000}"/>
    <cellStyle name="Followed Hyperlink 4" xfId="10074" hidden="1" xr:uid="{00000000-0005-0000-0000-00009E620000}"/>
    <cellStyle name="Followed Hyperlink 4" xfId="10077" hidden="1" xr:uid="{00000000-0005-0000-0000-00009F620000}"/>
    <cellStyle name="Followed Hyperlink 4" xfId="10080" hidden="1" xr:uid="{00000000-0005-0000-0000-0000A0620000}"/>
    <cellStyle name="Followed Hyperlink 4" xfId="10082" hidden="1" xr:uid="{00000000-0005-0000-0000-0000A1620000}"/>
    <cellStyle name="Followed Hyperlink 4" xfId="10083" hidden="1" xr:uid="{00000000-0005-0000-0000-0000A2620000}"/>
    <cellStyle name="Followed Hyperlink 4" xfId="10086" hidden="1" xr:uid="{00000000-0005-0000-0000-0000A3620000}"/>
    <cellStyle name="Followed Hyperlink 4" xfId="10095" hidden="1" xr:uid="{00000000-0005-0000-0000-0000A4620000}"/>
    <cellStyle name="Followed Hyperlink 4" xfId="10087" hidden="1" xr:uid="{00000000-0005-0000-0000-0000A5620000}"/>
    <cellStyle name="Followed Hyperlink 4" xfId="10098" hidden="1" xr:uid="{00000000-0005-0000-0000-0000A6620000}"/>
    <cellStyle name="Followed Hyperlink 4" xfId="10101" hidden="1" xr:uid="{00000000-0005-0000-0000-0000A7620000}"/>
    <cellStyle name="Followed Hyperlink 4" xfId="10104" hidden="1" xr:uid="{00000000-0005-0000-0000-0000A8620000}"/>
    <cellStyle name="Followed Hyperlink 4" xfId="10106" hidden="1" xr:uid="{00000000-0005-0000-0000-0000A9620000}"/>
    <cellStyle name="Followed Hyperlink 4" xfId="10107" hidden="1" xr:uid="{00000000-0005-0000-0000-0000AA620000}"/>
    <cellStyle name="Followed Hyperlink 4" xfId="10110" hidden="1" xr:uid="{00000000-0005-0000-0000-0000AB620000}"/>
    <cellStyle name="Followed Hyperlink 4" xfId="10121" hidden="1" xr:uid="{00000000-0005-0000-0000-0000AC620000}"/>
    <cellStyle name="Followed Hyperlink 4" xfId="10113" hidden="1" xr:uid="{00000000-0005-0000-0000-0000AD620000}"/>
    <cellStyle name="Followed Hyperlink 4" xfId="10124" hidden="1" xr:uid="{00000000-0005-0000-0000-0000AE620000}"/>
    <cellStyle name="Followed Hyperlink 4" xfId="10127" hidden="1" xr:uid="{00000000-0005-0000-0000-0000AF620000}"/>
    <cellStyle name="Followed Hyperlink 4" xfId="10130" hidden="1" xr:uid="{00000000-0005-0000-0000-0000B0620000}"/>
    <cellStyle name="Followed Hyperlink 4" xfId="10132" hidden="1" xr:uid="{00000000-0005-0000-0000-0000B1620000}"/>
    <cellStyle name="Followed Hyperlink 4" xfId="10133" hidden="1" xr:uid="{00000000-0005-0000-0000-0000B2620000}"/>
    <cellStyle name="Followed Hyperlink 4" xfId="10136" hidden="1" xr:uid="{00000000-0005-0000-0000-0000B3620000}"/>
    <cellStyle name="Followed Hyperlink 4" xfId="10145" hidden="1" xr:uid="{00000000-0005-0000-0000-0000B4620000}"/>
    <cellStyle name="Followed Hyperlink 4" xfId="10137" hidden="1" xr:uid="{00000000-0005-0000-0000-0000B5620000}"/>
    <cellStyle name="Followed Hyperlink 4" xfId="10148" hidden="1" xr:uid="{00000000-0005-0000-0000-0000B6620000}"/>
    <cellStyle name="Followed Hyperlink 4" xfId="10151" hidden="1" xr:uid="{00000000-0005-0000-0000-0000B7620000}"/>
    <cellStyle name="Followed Hyperlink 4" xfId="10154" hidden="1" xr:uid="{00000000-0005-0000-0000-0000B8620000}"/>
    <cellStyle name="Followed Hyperlink 4" xfId="10156" hidden="1" xr:uid="{00000000-0005-0000-0000-0000B9620000}"/>
    <cellStyle name="Followed Hyperlink 4" xfId="10157" hidden="1" xr:uid="{00000000-0005-0000-0000-0000BA620000}"/>
    <cellStyle name="Followed Hyperlink 4" xfId="10160" hidden="1" xr:uid="{00000000-0005-0000-0000-0000BB620000}"/>
    <cellStyle name="Followed Hyperlink 4" xfId="10043" hidden="1" xr:uid="{00000000-0005-0000-0000-0000BC620000}"/>
    <cellStyle name="Followed Hyperlink 4" xfId="10037" hidden="1" xr:uid="{00000000-0005-0000-0000-0000BD620000}"/>
    <cellStyle name="Followed Hyperlink 4" xfId="10161" hidden="1" xr:uid="{00000000-0005-0000-0000-0000BE620000}"/>
    <cellStyle name="Followed Hyperlink 4" xfId="10164" hidden="1" xr:uid="{00000000-0005-0000-0000-0000BF620000}"/>
    <cellStyle name="Followed Hyperlink 4" xfId="10167" hidden="1" xr:uid="{00000000-0005-0000-0000-0000C0620000}"/>
    <cellStyle name="Followed Hyperlink 4" xfId="10169" hidden="1" xr:uid="{00000000-0005-0000-0000-0000C1620000}"/>
    <cellStyle name="Followed Hyperlink 4" xfId="10170" hidden="1" xr:uid="{00000000-0005-0000-0000-0000C2620000}"/>
    <cellStyle name="Followed Hyperlink 4" xfId="10173" hidden="1" xr:uid="{00000000-0005-0000-0000-0000C3620000}"/>
    <cellStyle name="Followed Hyperlink 4" xfId="10182" hidden="1" xr:uid="{00000000-0005-0000-0000-0000C4620000}"/>
    <cellStyle name="Followed Hyperlink 4" xfId="10174" hidden="1" xr:uid="{00000000-0005-0000-0000-0000C5620000}"/>
    <cellStyle name="Followed Hyperlink 4" xfId="10185" hidden="1" xr:uid="{00000000-0005-0000-0000-0000C6620000}"/>
    <cellStyle name="Followed Hyperlink 4" xfId="10188" hidden="1" xr:uid="{00000000-0005-0000-0000-0000C7620000}"/>
    <cellStyle name="Followed Hyperlink 4" xfId="10191" hidden="1" xr:uid="{00000000-0005-0000-0000-0000C8620000}"/>
    <cellStyle name="Followed Hyperlink 4" xfId="10193" hidden="1" xr:uid="{00000000-0005-0000-0000-0000C9620000}"/>
    <cellStyle name="Followed Hyperlink 4" xfId="10194" hidden="1" xr:uid="{00000000-0005-0000-0000-0000CA620000}"/>
    <cellStyle name="Followed Hyperlink 4" xfId="10197" hidden="1" xr:uid="{00000000-0005-0000-0000-0000CB620000}"/>
    <cellStyle name="Followed Hyperlink 4" xfId="10207" hidden="1" xr:uid="{00000000-0005-0000-0000-0000CC620000}"/>
    <cellStyle name="Followed Hyperlink 4" xfId="10199" hidden="1" xr:uid="{00000000-0005-0000-0000-0000CD620000}"/>
    <cellStyle name="Followed Hyperlink 4" xfId="10210" hidden="1" xr:uid="{00000000-0005-0000-0000-0000CE620000}"/>
    <cellStyle name="Followed Hyperlink 4" xfId="10213" hidden="1" xr:uid="{00000000-0005-0000-0000-0000CF620000}"/>
    <cellStyle name="Followed Hyperlink 4" xfId="10216" hidden="1" xr:uid="{00000000-0005-0000-0000-0000D0620000}"/>
    <cellStyle name="Followed Hyperlink 4" xfId="10218" hidden="1" xr:uid="{00000000-0005-0000-0000-0000D1620000}"/>
    <cellStyle name="Followed Hyperlink 4" xfId="10219" hidden="1" xr:uid="{00000000-0005-0000-0000-0000D2620000}"/>
    <cellStyle name="Followed Hyperlink 4" xfId="10222" hidden="1" xr:uid="{00000000-0005-0000-0000-0000D3620000}"/>
    <cellStyle name="Followed Hyperlink 4" xfId="10231" hidden="1" xr:uid="{00000000-0005-0000-0000-0000D4620000}"/>
    <cellStyle name="Followed Hyperlink 4" xfId="10223" hidden="1" xr:uid="{00000000-0005-0000-0000-0000D5620000}"/>
    <cellStyle name="Followed Hyperlink 4" xfId="10234" hidden="1" xr:uid="{00000000-0005-0000-0000-0000D6620000}"/>
    <cellStyle name="Followed Hyperlink 4" xfId="10237" hidden="1" xr:uid="{00000000-0005-0000-0000-0000D7620000}"/>
    <cellStyle name="Followed Hyperlink 4" xfId="10240" hidden="1" xr:uid="{00000000-0005-0000-0000-0000D8620000}"/>
    <cellStyle name="Followed Hyperlink 4" xfId="10242" hidden="1" xr:uid="{00000000-0005-0000-0000-0000D9620000}"/>
    <cellStyle name="Followed Hyperlink 4" xfId="10243" hidden="1" xr:uid="{00000000-0005-0000-0000-0000DA620000}"/>
    <cellStyle name="Followed Hyperlink 4" xfId="10246" hidden="1" xr:uid="{00000000-0005-0000-0000-0000DB620000}"/>
    <cellStyle name="Followed Hyperlink 4" xfId="10047" hidden="1" xr:uid="{00000000-0005-0000-0000-0000DC620000}"/>
    <cellStyle name="Followed Hyperlink 4" xfId="10053" hidden="1" xr:uid="{00000000-0005-0000-0000-0000DD620000}"/>
    <cellStyle name="Followed Hyperlink 4" xfId="10247" hidden="1" xr:uid="{00000000-0005-0000-0000-0000DE620000}"/>
    <cellStyle name="Followed Hyperlink 4" xfId="10250" hidden="1" xr:uid="{00000000-0005-0000-0000-0000DF620000}"/>
    <cellStyle name="Followed Hyperlink 4" xfId="10253" hidden="1" xr:uid="{00000000-0005-0000-0000-0000E0620000}"/>
    <cellStyle name="Followed Hyperlink 4" xfId="10255" hidden="1" xr:uid="{00000000-0005-0000-0000-0000E1620000}"/>
    <cellStyle name="Followed Hyperlink 4" xfId="10256" hidden="1" xr:uid="{00000000-0005-0000-0000-0000E2620000}"/>
    <cellStyle name="Followed Hyperlink 4" xfId="10259" hidden="1" xr:uid="{00000000-0005-0000-0000-0000E3620000}"/>
    <cellStyle name="Followed Hyperlink 4" xfId="10268" hidden="1" xr:uid="{00000000-0005-0000-0000-0000E4620000}"/>
    <cellStyle name="Followed Hyperlink 4" xfId="10260" hidden="1" xr:uid="{00000000-0005-0000-0000-0000E5620000}"/>
    <cellStyle name="Followed Hyperlink 4" xfId="10271" hidden="1" xr:uid="{00000000-0005-0000-0000-0000E6620000}"/>
    <cellStyle name="Followed Hyperlink 4" xfId="10274" hidden="1" xr:uid="{00000000-0005-0000-0000-0000E7620000}"/>
    <cellStyle name="Followed Hyperlink 4" xfId="10277" hidden="1" xr:uid="{00000000-0005-0000-0000-0000E8620000}"/>
    <cellStyle name="Followed Hyperlink 4" xfId="10279" hidden="1" xr:uid="{00000000-0005-0000-0000-0000E9620000}"/>
    <cellStyle name="Followed Hyperlink 4" xfId="10280" hidden="1" xr:uid="{00000000-0005-0000-0000-0000EA620000}"/>
    <cellStyle name="Followed Hyperlink 4" xfId="10283" hidden="1" xr:uid="{00000000-0005-0000-0000-0000EB620000}"/>
    <cellStyle name="Followed Hyperlink 4" xfId="10293" hidden="1" xr:uid="{00000000-0005-0000-0000-0000EC620000}"/>
    <cellStyle name="Followed Hyperlink 4" xfId="10285" hidden="1" xr:uid="{00000000-0005-0000-0000-0000ED620000}"/>
    <cellStyle name="Followed Hyperlink 4" xfId="10296" hidden="1" xr:uid="{00000000-0005-0000-0000-0000EE620000}"/>
    <cellStyle name="Followed Hyperlink 4" xfId="10299" hidden="1" xr:uid="{00000000-0005-0000-0000-0000EF620000}"/>
    <cellStyle name="Followed Hyperlink 4" xfId="10302" hidden="1" xr:uid="{00000000-0005-0000-0000-0000F0620000}"/>
    <cellStyle name="Followed Hyperlink 4" xfId="10304" hidden="1" xr:uid="{00000000-0005-0000-0000-0000F1620000}"/>
    <cellStyle name="Followed Hyperlink 4" xfId="10305" hidden="1" xr:uid="{00000000-0005-0000-0000-0000F2620000}"/>
    <cellStyle name="Followed Hyperlink 4" xfId="10308" hidden="1" xr:uid="{00000000-0005-0000-0000-0000F3620000}"/>
    <cellStyle name="Followed Hyperlink 4" xfId="10317" hidden="1" xr:uid="{00000000-0005-0000-0000-0000F4620000}"/>
    <cellStyle name="Followed Hyperlink 4" xfId="10309" hidden="1" xr:uid="{00000000-0005-0000-0000-0000F5620000}"/>
    <cellStyle name="Followed Hyperlink 4" xfId="10320" hidden="1" xr:uid="{00000000-0005-0000-0000-0000F6620000}"/>
    <cellStyle name="Followed Hyperlink 4" xfId="10323" hidden="1" xr:uid="{00000000-0005-0000-0000-0000F7620000}"/>
    <cellStyle name="Followed Hyperlink 4" xfId="10326" hidden="1" xr:uid="{00000000-0005-0000-0000-0000F8620000}"/>
    <cellStyle name="Followed Hyperlink 4" xfId="10328" hidden="1" xr:uid="{00000000-0005-0000-0000-0000F9620000}"/>
    <cellStyle name="Followed Hyperlink 4" xfId="10329" hidden="1" xr:uid="{00000000-0005-0000-0000-0000FA620000}"/>
    <cellStyle name="Followed Hyperlink 4" xfId="10332" hidden="1" xr:uid="{00000000-0005-0000-0000-0000FB620000}"/>
    <cellStyle name="Followed Hyperlink 4" xfId="10057" hidden="1" xr:uid="{00000000-0005-0000-0000-0000FC620000}"/>
    <cellStyle name="Followed Hyperlink 4" xfId="10112" hidden="1" xr:uid="{00000000-0005-0000-0000-0000FD620000}"/>
    <cellStyle name="Followed Hyperlink 4" xfId="10333" hidden="1" xr:uid="{00000000-0005-0000-0000-0000FE620000}"/>
    <cellStyle name="Followed Hyperlink 4" xfId="10336" hidden="1" xr:uid="{00000000-0005-0000-0000-0000FF620000}"/>
    <cellStyle name="Followed Hyperlink 4" xfId="10339" hidden="1" xr:uid="{00000000-0005-0000-0000-000000630000}"/>
    <cellStyle name="Followed Hyperlink 4" xfId="10341" hidden="1" xr:uid="{00000000-0005-0000-0000-000001630000}"/>
    <cellStyle name="Followed Hyperlink 4" xfId="10342" hidden="1" xr:uid="{00000000-0005-0000-0000-000002630000}"/>
    <cellStyle name="Followed Hyperlink 4" xfId="10345" hidden="1" xr:uid="{00000000-0005-0000-0000-000003630000}"/>
    <cellStyle name="Followed Hyperlink 4" xfId="10354" hidden="1" xr:uid="{00000000-0005-0000-0000-000004630000}"/>
    <cellStyle name="Followed Hyperlink 4" xfId="10346" hidden="1" xr:uid="{00000000-0005-0000-0000-000005630000}"/>
    <cellStyle name="Followed Hyperlink 4" xfId="10357" hidden="1" xr:uid="{00000000-0005-0000-0000-000006630000}"/>
    <cellStyle name="Followed Hyperlink 4" xfId="10360" hidden="1" xr:uid="{00000000-0005-0000-0000-000007630000}"/>
    <cellStyle name="Followed Hyperlink 4" xfId="10363" hidden="1" xr:uid="{00000000-0005-0000-0000-000008630000}"/>
    <cellStyle name="Followed Hyperlink 4" xfId="10365" hidden="1" xr:uid="{00000000-0005-0000-0000-000009630000}"/>
    <cellStyle name="Followed Hyperlink 4" xfId="10366" hidden="1" xr:uid="{00000000-0005-0000-0000-00000A630000}"/>
    <cellStyle name="Followed Hyperlink 4" xfId="10369" hidden="1" xr:uid="{00000000-0005-0000-0000-00000B630000}"/>
    <cellStyle name="Followed Hyperlink 4" xfId="10378" hidden="1" xr:uid="{00000000-0005-0000-0000-00000C630000}"/>
    <cellStyle name="Followed Hyperlink 4" xfId="10370" hidden="1" xr:uid="{00000000-0005-0000-0000-00000D630000}"/>
    <cellStyle name="Followed Hyperlink 4" xfId="10381" hidden="1" xr:uid="{00000000-0005-0000-0000-00000E630000}"/>
    <cellStyle name="Followed Hyperlink 4" xfId="10384" hidden="1" xr:uid="{00000000-0005-0000-0000-00000F630000}"/>
    <cellStyle name="Followed Hyperlink 4" xfId="10387" hidden="1" xr:uid="{00000000-0005-0000-0000-000010630000}"/>
    <cellStyle name="Followed Hyperlink 4" xfId="10389" hidden="1" xr:uid="{00000000-0005-0000-0000-000011630000}"/>
    <cellStyle name="Followed Hyperlink 4" xfId="10390" hidden="1" xr:uid="{00000000-0005-0000-0000-000012630000}"/>
    <cellStyle name="Followed Hyperlink 4" xfId="10393" hidden="1" xr:uid="{00000000-0005-0000-0000-000013630000}"/>
    <cellStyle name="Followed Hyperlink 4" xfId="10402" hidden="1" xr:uid="{00000000-0005-0000-0000-000014630000}"/>
    <cellStyle name="Followed Hyperlink 4" xfId="10394" hidden="1" xr:uid="{00000000-0005-0000-0000-000015630000}"/>
    <cellStyle name="Followed Hyperlink 4" xfId="10405" hidden="1" xr:uid="{00000000-0005-0000-0000-000016630000}"/>
    <cellStyle name="Followed Hyperlink 4" xfId="10408" hidden="1" xr:uid="{00000000-0005-0000-0000-000017630000}"/>
    <cellStyle name="Followed Hyperlink 4" xfId="10411" hidden="1" xr:uid="{00000000-0005-0000-0000-000018630000}"/>
    <cellStyle name="Followed Hyperlink 4" xfId="10413" hidden="1" xr:uid="{00000000-0005-0000-0000-000019630000}"/>
    <cellStyle name="Followed Hyperlink 4" xfId="10414" hidden="1" xr:uid="{00000000-0005-0000-0000-00001A630000}"/>
    <cellStyle name="Followed Hyperlink 4" xfId="10417" hidden="1" xr:uid="{00000000-0005-0000-0000-00001B630000}"/>
    <cellStyle name="Followed Hyperlink 4" xfId="8990" hidden="1" xr:uid="{00000000-0005-0000-0000-00001C630000}"/>
    <cellStyle name="Followed Hyperlink 4" xfId="9045" hidden="1" xr:uid="{00000000-0005-0000-0000-00001D630000}"/>
    <cellStyle name="Followed Hyperlink 4" xfId="10418" hidden="1" xr:uid="{00000000-0005-0000-0000-00001E630000}"/>
    <cellStyle name="Followed Hyperlink 4" xfId="10421" hidden="1" xr:uid="{00000000-0005-0000-0000-00001F630000}"/>
    <cellStyle name="Followed Hyperlink 4" xfId="10424" hidden="1" xr:uid="{00000000-0005-0000-0000-000020630000}"/>
    <cellStyle name="Followed Hyperlink 4" xfId="10426" hidden="1" xr:uid="{00000000-0005-0000-0000-000021630000}"/>
    <cellStyle name="Followed Hyperlink 4" xfId="10427" hidden="1" xr:uid="{00000000-0005-0000-0000-000022630000}"/>
    <cellStyle name="Followed Hyperlink 4" xfId="10430" hidden="1" xr:uid="{00000000-0005-0000-0000-000023630000}"/>
    <cellStyle name="Followed Hyperlink 4" xfId="10439" hidden="1" xr:uid="{00000000-0005-0000-0000-000024630000}"/>
    <cellStyle name="Followed Hyperlink 4" xfId="10431" hidden="1" xr:uid="{00000000-0005-0000-0000-000025630000}"/>
    <cellStyle name="Followed Hyperlink 4" xfId="10442" hidden="1" xr:uid="{00000000-0005-0000-0000-000026630000}"/>
    <cellStyle name="Followed Hyperlink 4" xfId="10445" hidden="1" xr:uid="{00000000-0005-0000-0000-000027630000}"/>
    <cellStyle name="Followed Hyperlink 4" xfId="10448" hidden="1" xr:uid="{00000000-0005-0000-0000-000028630000}"/>
    <cellStyle name="Followed Hyperlink 4" xfId="10450" hidden="1" xr:uid="{00000000-0005-0000-0000-000029630000}"/>
    <cellStyle name="Followed Hyperlink 4" xfId="10451" hidden="1" xr:uid="{00000000-0005-0000-0000-00002A630000}"/>
    <cellStyle name="Followed Hyperlink 4" xfId="10454" hidden="1" xr:uid="{00000000-0005-0000-0000-00002B630000}"/>
    <cellStyle name="Followed Hyperlink 4" xfId="10463" hidden="1" xr:uid="{00000000-0005-0000-0000-00002C630000}"/>
    <cellStyle name="Followed Hyperlink 4" xfId="10455" hidden="1" xr:uid="{00000000-0005-0000-0000-00002D630000}"/>
    <cellStyle name="Followed Hyperlink 4" xfId="10466" hidden="1" xr:uid="{00000000-0005-0000-0000-00002E630000}"/>
    <cellStyle name="Followed Hyperlink 4" xfId="10469" hidden="1" xr:uid="{00000000-0005-0000-0000-00002F630000}"/>
    <cellStyle name="Followed Hyperlink 4" xfId="10472" hidden="1" xr:uid="{00000000-0005-0000-0000-000030630000}"/>
    <cellStyle name="Followed Hyperlink 4" xfId="10474" hidden="1" xr:uid="{00000000-0005-0000-0000-000031630000}"/>
    <cellStyle name="Followed Hyperlink 4" xfId="10475" hidden="1" xr:uid="{00000000-0005-0000-0000-000032630000}"/>
    <cellStyle name="Followed Hyperlink 4" xfId="10478" hidden="1" xr:uid="{00000000-0005-0000-0000-000033630000}"/>
    <cellStyle name="Followed Hyperlink 4" xfId="10487" hidden="1" xr:uid="{00000000-0005-0000-0000-000034630000}"/>
    <cellStyle name="Followed Hyperlink 4" xfId="10479" hidden="1" xr:uid="{00000000-0005-0000-0000-000035630000}"/>
    <cellStyle name="Followed Hyperlink 4" xfId="10490" hidden="1" xr:uid="{00000000-0005-0000-0000-000036630000}"/>
    <cellStyle name="Followed Hyperlink 4" xfId="10493" hidden="1" xr:uid="{00000000-0005-0000-0000-000037630000}"/>
    <cellStyle name="Followed Hyperlink 4" xfId="10496" hidden="1" xr:uid="{00000000-0005-0000-0000-000038630000}"/>
    <cellStyle name="Followed Hyperlink 4" xfId="10498" hidden="1" xr:uid="{00000000-0005-0000-0000-000039630000}"/>
    <cellStyle name="Followed Hyperlink 4" xfId="10499" hidden="1" xr:uid="{00000000-0005-0000-0000-00003A630000}"/>
    <cellStyle name="Followed Hyperlink 4" xfId="10502" hidden="1" xr:uid="{00000000-0005-0000-0000-00003B630000}"/>
    <cellStyle name="Followed Hyperlink 4" xfId="10540" hidden="1" xr:uid="{00000000-0005-0000-0000-00003C630000}"/>
    <cellStyle name="Followed Hyperlink 4" xfId="10532" hidden="1" xr:uid="{00000000-0005-0000-0000-00003D630000}"/>
    <cellStyle name="Followed Hyperlink 4" xfId="10543" hidden="1" xr:uid="{00000000-0005-0000-0000-00003E630000}"/>
    <cellStyle name="Followed Hyperlink 4" xfId="10546" hidden="1" xr:uid="{00000000-0005-0000-0000-00003F630000}"/>
    <cellStyle name="Followed Hyperlink 4" xfId="10549" hidden="1" xr:uid="{00000000-0005-0000-0000-000040630000}"/>
    <cellStyle name="Followed Hyperlink 4" xfId="10551" hidden="1" xr:uid="{00000000-0005-0000-0000-000041630000}"/>
    <cellStyle name="Followed Hyperlink 4" xfId="10552" hidden="1" xr:uid="{00000000-0005-0000-0000-000042630000}"/>
    <cellStyle name="Followed Hyperlink 4" xfId="10555" hidden="1" xr:uid="{00000000-0005-0000-0000-000043630000}"/>
    <cellStyle name="Followed Hyperlink 4" xfId="10564" hidden="1" xr:uid="{00000000-0005-0000-0000-000044630000}"/>
    <cellStyle name="Followed Hyperlink 4" xfId="10556" hidden="1" xr:uid="{00000000-0005-0000-0000-000045630000}"/>
    <cellStyle name="Followed Hyperlink 4" xfId="10567" hidden="1" xr:uid="{00000000-0005-0000-0000-000046630000}"/>
    <cellStyle name="Followed Hyperlink 4" xfId="10570" hidden="1" xr:uid="{00000000-0005-0000-0000-000047630000}"/>
    <cellStyle name="Followed Hyperlink 4" xfId="10573" hidden="1" xr:uid="{00000000-0005-0000-0000-000048630000}"/>
    <cellStyle name="Followed Hyperlink 4" xfId="10575" hidden="1" xr:uid="{00000000-0005-0000-0000-000049630000}"/>
    <cellStyle name="Followed Hyperlink 4" xfId="10576" hidden="1" xr:uid="{00000000-0005-0000-0000-00004A630000}"/>
    <cellStyle name="Followed Hyperlink 4" xfId="10579" hidden="1" xr:uid="{00000000-0005-0000-0000-00004B630000}"/>
    <cellStyle name="Followed Hyperlink 4" xfId="10590" hidden="1" xr:uid="{00000000-0005-0000-0000-00004C630000}"/>
    <cellStyle name="Followed Hyperlink 4" xfId="10582" hidden="1" xr:uid="{00000000-0005-0000-0000-00004D630000}"/>
    <cellStyle name="Followed Hyperlink 4" xfId="10593" hidden="1" xr:uid="{00000000-0005-0000-0000-00004E630000}"/>
    <cellStyle name="Followed Hyperlink 4" xfId="10596" hidden="1" xr:uid="{00000000-0005-0000-0000-00004F630000}"/>
    <cellStyle name="Followed Hyperlink 4" xfId="10599" hidden="1" xr:uid="{00000000-0005-0000-0000-000050630000}"/>
    <cellStyle name="Followed Hyperlink 4" xfId="10601" hidden="1" xr:uid="{00000000-0005-0000-0000-000051630000}"/>
    <cellStyle name="Followed Hyperlink 4" xfId="10602" hidden="1" xr:uid="{00000000-0005-0000-0000-000052630000}"/>
    <cellStyle name="Followed Hyperlink 4" xfId="10605" hidden="1" xr:uid="{00000000-0005-0000-0000-000053630000}"/>
    <cellStyle name="Followed Hyperlink 4" xfId="10614" hidden="1" xr:uid="{00000000-0005-0000-0000-000054630000}"/>
    <cellStyle name="Followed Hyperlink 4" xfId="10606" hidden="1" xr:uid="{00000000-0005-0000-0000-000055630000}"/>
    <cellStyle name="Followed Hyperlink 4" xfId="10617" hidden="1" xr:uid="{00000000-0005-0000-0000-000056630000}"/>
    <cellStyle name="Followed Hyperlink 4" xfId="10620" hidden="1" xr:uid="{00000000-0005-0000-0000-000057630000}"/>
    <cellStyle name="Followed Hyperlink 4" xfId="10623" hidden="1" xr:uid="{00000000-0005-0000-0000-000058630000}"/>
    <cellStyle name="Followed Hyperlink 4" xfId="10625" hidden="1" xr:uid="{00000000-0005-0000-0000-000059630000}"/>
    <cellStyle name="Followed Hyperlink 4" xfId="10626" hidden="1" xr:uid="{00000000-0005-0000-0000-00005A630000}"/>
    <cellStyle name="Followed Hyperlink 4" xfId="10629" hidden="1" xr:uid="{00000000-0005-0000-0000-00005B630000}"/>
    <cellStyle name="Followed Hyperlink 4" xfId="10512" hidden="1" xr:uid="{00000000-0005-0000-0000-00005C630000}"/>
    <cellStyle name="Followed Hyperlink 4" xfId="10506" hidden="1" xr:uid="{00000000-0005-0000-0000-00005D630000}"/>
    <cellStyle name="Followed Hyperlink 4" xfId="10630" hidden="1" xr:uid="{00000000-0005-0000-0000-00005E630000}"/>
    <cellStyle name="Followed Hyperlink 4" xfId="10633" hidden="1" xr:uid="{00000000-0005-0000-0000-00005F630000}"/>
    <cellStyle name="Followed Hyperlink 4" xfId="10636" hidden="1" xr:uid="{00000000-0005-0000-0000-000060630000}"/>
    <cellStyle name="Followed Hyperlink 4" xfId="10638" hidden="1" xr:uid="{00000000-0005-0000-0000-000061630000}"/>
    <cellStyle name="Followed Hyperlink 4" xfId="10639" hidden="1" xr:uid="{00000000-0005-0000-0000-000062630000}"/>
    <cellStyle name="Followed Hyperlink 4" xfId="10642" hidden="1" xr:uid="{00000000-0005-0000-0000-000063630000}"/>
    <cellStyle name="Followed Hyperlink 4" xfId="10651" hidden="1" xr:uid="{00000000-0005-0000-0000-000064630000}"/>
    <cellStyle name="Followed Hyperlink 4" xfId="10643" hidden="1" xr:uid="{00000000-0005-0000-0000-000065630000}"/>
    <cellStyle name="Followed Hyperlink 4" xfId="10654" hidden="1" xr:uid="{00000000-0005-0000-0000-000066630000}"/>
    <cellStyle name="Followed Hyperlink 4" xfId="10657" hidden="1" xr:uid="{00000000-0005-0000-0000-000067630000}"/>
    <cellStyle name="Followed Hyperlink 4" xfId="10660" hidden="1" xr:uid="{00000000-0005-0000-0000-000068630000}"/>
    <cellStyle name="Followed Hyperlink 4" xfId="10662" hidden="1" xr:uid="{00000000-0005-0000-0000-000069630000}"/>
    <cellStyle name="Followed Hyperlink 4" xfId="10663" hidden="1" xr:uid="{00000000-0005-0000-0000-00006A630000}"/>
    <cellStyle name="Followed Hyperlink 4" xfId="10666" hidden="1" xr:uid="{00000000-0005-0000-0000-00006B630000}"/>
    <cellStyle name="Followed Hyperlink 4" xfId="10676" hidden="1" xr:uid="{00000000-0005-0000-0000-00006C630000}"/>
    <cellStyle name="Followed Hyperlink 4" xfId="10668" hidden="1" xr:uid="{00000000-0005-0000-0000-00006D630000}"/>
    <cellStyle name="Followed Hyperlink 4" xfId="10679" hidden="1" xr:uid="{00000000-0005-0000-0000-00006E630000}"/>
    <cellStyle name="Followed Hyperlink 4" xfId="10682" hidden="1" xr:uid="{00000000-0005-0000-0000-00006F630000}"/>
    <cellStyle name="Followed Hyperlink 4" xfId="10685" hidden="1" xr:uid="{00000000-0005-0000-0000-000070630000}"/>
    <cellStyle name="Followed Hyperlink 4" xfId="10687" hidden="1" xr:uid="{00000000-0005-0000-0000-000071630000}"/>
    <cellStyle name="Followed Hyperlink 4" xfId="10688" hidden="1" xr:uid="{00000000-0005-0000-0000-000072630000}"/>
    <cellStyle name="Followed Hyperlink 4" xfId="10691" hidden="1" xr:uid="{00000000-0005-0000-0000-000073630000}"/>
    <cellStyle name="Followed Hyperlink 4" xfId="10700" hidden="1" xr:uid="{00000000-0005-0000-0000-000074630000}"/>
    <cellStyle name="Followed Hyperlink 4" xfId="10692" hidden="1" xr:uid="{00000000-0005-0000-0000-000075630000}"/>
    <cellStyle name="Followed Hyperlink 4" xfId="10703" hidden="1" xr:uid="{00000000-0005-0000-0000-000076630000}"/>
    <cellStyle name="Followed Hyperlink 4" xfId="10706" hidden="1" xr:uid="{00000000-0005-0000-0000-000077630000}"/>
    <cellStyle name="Followed Hyperlink 4" xfId="10709" hidden="1" xr:uid="{00000000-0005-0000-0000-000078630000}"/>
    <cellStyle name="Followed Hyperlink 4" xfId="10711" hidden="1" xr:uid="{00000000-0005-0000-0000-000079630000}"/>
    <cellStyle name="Followed Hyperlink 4" xfId="10712" hidden="1" xr:uid="{00000000-0005-0000-0000-00007A630000}"/>
    <cellStyle name="Followed Hyperlink 4" xfId="10715" hidden="1" xr:uid="{00000000-0005-0000-0000-00007B630000}"/>
    <cellStyle name="Followed Hyperlink 4" xfId="10516" hidden="1" xr:uid="{00000000-0005-0000-0000-00007C630000}"/>
    <cellStyle name="Followed Hyperlink 4" xfId="10522" hidden="1" xr:uid="{00000000-0005-0000-0000-00007D630000}"/>
    <cellStyle name="Followed Hyperlink 4" xfId="10716" hidden="1" xr:uid="{00000000-0005-0000-0000-00007E630000}"/>
    <cellStyle name="Followed Hyperlink 4" xfId="10719" hidden="1" xr:uid="{00000000-0005-0000-0000-00007F630000}"/>
    <cellStyle name="Followed Hyperlink 4" xfId="10722" hidden="1" xr:uid="{00000000-0005-0000-0000-000080630000}"/>
    <cellStyle name="Followed Hyperlink 4" xfId="10724" hidden="1" xr:uid="{00000000-0005-0000-0000-000081630000}"/>
    <cellStyle name="Followed Hyperlink 4" xfId="10725" hidden="1" xr:uid="{00000000-0005-0000-0000-000082630000}"/>
    <cellStyle name="Followed Hyperlink 4" xfId="10728" hidden="1" xr:uid="{00000000-0005-0000-0000-000083630000}"/>
    <cellStyle name="Followed Hyperlink 4" xfId="10737" hidden="1" xr:uid="{00000000-0005-0000-0000-000084630000}"/>
    <cellStyle name="Followed Hyperlink 4" xfId="10729" hidden="1" xr:uid="{00000000-0005-0000-0000-000085630000}"/>
    <cellStyle name="Followed Hyperlink 4" xfId="10740" hidden="1" xr:uid="{00000000-0005-0000-0000-000086630000}"/>
    <cellStyle name="Followed Hyperlink 4" xfId="10743" hidden="1" xr:uid="{00000000-0005-0000-0000-000087630000}"/>
    <cellStyle name="Followed Hyperlink 4" xfId="10746" hidden="1" xr:uid="{00000000-0005-0000-0000-000088630000}"/>
    <cellStyle name="Followed Hyperlink 4" xfId="10748" hidden="1" xr:uid="{00000000-0005-0000-0000-000089630000}"/>
    <cellStyle name="Followed Hyperlink 4" xfId="10749" hidden="1" xr:uid="{00000000-0005-0000-0000-00008A630000}"/>
    <cellStyle name="Followed Hyperlink 4" xfId="10752" hidden="1" xr:uid="{00000000-0005-0000-0000-00008B630000}"/>
    <cellStyle name="Followed Hyperlink 4" xfId="10762" hidden="1" xr:uid="{00000000-0005-0000-0000-00008C630000}"/>
    <cellStyle name="Followed Hyperlink 4" xfId="10754" hidden="1" xr:uid="{00000000-0005-0000-0000-00008D630000}"/>
    <cellStyle name="Followed Hyperlink 4" xfId="10765" hidden="1" xr:uid="{00000000-0005-0000-0000-00008E630000}"/>
    <cellStyle name="Followed Hyperlink 4" xfId="10768" hidden="1" xr:uid="{00000000-0005-0000-0000-00008F630000}"/>
    <cellStyle name="Followed Hyperlink 4" xfId="10771" hidden="1" xr:uid="{00000000-0005-0000-0000-000090630000}"/>
    <cellStyle name="Followed Hyperlink 4" xfId="10773" hidden="1" xr:uid="{00000000-0005-0000-0000-000091630000}"/>
    <cellStyle name="Followed Hyperlink 4" xfId="10774" hidden="1" xr:uid="{00000000-0005-0000-0000-000092630000}"/>
    <cellStyle name="Followed Hyperlink 4" xfId="10777" hidden="1" xr:uid="{00000000-0005-0000-0000-000093630000}"/>
    <cellStyle name="Followed Hyperlink 4" xfId="10786" hidden="1" xr:uid="{00000000-0005-0000-0000-000094630000}"/>
    <cellStyle name="Followed Hyperlink 4" xfId="10778" hidden="1" xr:uid="{00000000-0005-0000-0000-000095630000}"/>
    <cellStyle name="Followed Hyperlink 4" xfId="10789" hidden="1" xr:uid="{00000000-0005-0000-0000-000096630000}"/>
    <cellStyle name="Followed Hyperlink 4" xfId="10792" hidden="1" xr:uid="{00000000-0005-0000-0000-000097630000}"/>
    <cellStyle name="Followed Hyperlink 4" xfId="10795" hidden="1" xr:uid="{00000000-0005-0000-0000-000098630000}"/>
    <cellStyle name="Followed Hyperlink 4" xfId="10797" hidden="1" xr:uid="{00000000-0005-0000-0000-000099630000}"/>
    <cellStyle name="Followed Hyperlink 4" xfId="10798" hidden="1" xr:uid="{00000000-0005-0000-0000-00009A630000}"/>
    <cellStyle name="Followed Hyperlink 4" xfId="10801" hidden="1" xr:uid="{00000000-0005-0000-0000-00009B630000}"/>
    <cellStyle name="Followed Hyperlink 4" xfId="10526" hidden="1" xr:uid="{00000000-0005-0000-0000-00009C630000}"/>
    <cellStyle name="Followed Hyperlink 4" xfId="10581" hidden="1" xr:uid="{00000000-0005-0000-0000-00009D630000}"/>
    <cellStyle name="Followed Hyperlink 4" xfId="10802" hidden="1" xr:uid="{00000000-0005-0000-0000-00009E630000}"/>
    <cellStyle name="Followed Hyperlink 4" xfId="10805" hidden="1" xr:uid="{00000000-0005-0000-0000-00009F630000}"/>
    <cellStyle name="Followed Hyperlink 4" xfId="10808" hidden="1" xr:uid="{00000000-0005-0000-0000-0000A0630000}"/>
    <cellStyle name="Followed Hyperlink 4" xfId="10810" hidden="1" xr:uid="{00000000-0005-0000-0000-0000A1630000}"/>
    <cellStyle name="Followed Hyperlink 4" xfId="10811" hidden="1" xr:uid="{00000000-0005-0000-0000-0000A2630000}"/>
    <cellStyle name="Followed Hyperlink 4" xfId="10814" hidden="1" xr:uid="{00000000-0005-0000-0000-0000A3630000}"/>
    <cellStyle name="Followed Hyperlink 4" xfId="10823" hidden="1" xr:uid="{00000000-0005-0000-0000-0000A4630000}"/>
    <cellStyle name="Followed Hyperlink 4" xfId="10815" hidden="1" xr:uid="{00000000-0005-0000-0000-0000A5630000}"/>
    <cellStyle name="Followed Hyperlink 4" xfId="10826" hidden="1" xr:uid="{00000000-0005-0000-0000-0000A6630000}"/>
    <cellStyle name="Followed Hyperlink 4" xfId="10829" hidden="1" xr:uid="{00000000-0005-0000-0000-0000A7630000}"/>
    <cellStyle name="Followed Hyperlink 4" xfId="10832" hidden="1" xr:uid="{00000000-0005-0000-0000-0000A8630000}"/>
    <cellStyle name="Followed Hyperlink 4" xfId="10834" hidden="1" xr:uid="{00000000-0005-0000-0000-0000A9630000}"/>
    <cellStyle name="Followed Hyperlink 4" xfId="10835" hidden="1" xr:uid="{00000000-0005-0000-0000-0000AA630000}"/>
    <cellStyle name="Followed Hyperlink 4" xfId="10838" hidden="1" xr:uid="{00000000-0005-0000-0000-0000AB630000}"/>
    <cellStyle name="Followed Hyperlink 4" xfId="10847" hidden="1" xr:uid="{00000000-0005-0000-0000-0000AC630000}"/>
    <cellStyle name="Followed Hyperlink 4" xfId="10839" hidden="1" xr:uid="{00000000-0005-0000-0000-0000AD630000}"/>
    <cellStyle name="Followed Hyperlink 4" xfId="10850" hidden="1" xr:uid="{00000000-0005-0000-0000-0000AE630000}"/>
    <cellStyle name="Followed Hyperlink 4" xfId="10853" hidden="1" xr:uid="{00000000-0005-0000-0000-0000AF630000}"/>
    <cellStyle name="Followed Hyperlink 4" xfId="10856" hidden="1" xr:uid="{00000000-0005-0000-0000-0000B0630000}"/>
    <cellStyle name="Followed Hyperlink 4" xfId="10858" hidden="1" xr:uid="{00000000-0005-0000-0000-0000B1630000}"/>
    <cellStyle name="Followed Hyperlink 4" xfId="10859" hidden="1" xr:uid="{00000000-0005-0000-0000-0000B2630000}"/>
    <cellStyle name="Followed Hyperlink 4" xfId="10862" hidden="1" xr:uid="{00000000-0005-0000-0000-0000B3630000}"/>
    <cellStyle name="Followed Hyperlink 4" xfId="10871" hidden="1" xr:uid="{00000000-0005-0000-0000-0000B4630000}"/>
    <cellStyle name="Followed Hyperlink 4" xfId="10863" hidden="1" xr:uid="{00000000-0005-0000-0000-0000B5630000}"/>
    <cellStyle name="Followed Hyperlink 4" xfId="10874" hidden="1" xr:uid="{00000000-0005-0000-0000-0000B6630000}"/>
    <cellStyle name="Followed Hyperlink 4" xfId="10877" hidden="1" xr:uid="{00000000-0005-0000-0000-0000B7630000}"/>
    <cellStyle name="Followed Hyperlink 4" xfId="10880" hidden="1" xr:uid="{00000000-0005-0000-0000-0000B8630000}"/>
    <cellStyle name="Followed Hyperlink 4" xfId="10882" hidden="1" xr:uid="{00000000-0005-0000-0000-0000B9630000}"/>
    <cellStyle name="Followed Hyperlink 4" xfId="10883" hidden="1" xr:uid="{00000000-0005-0000-0000-0000BA630000}"/>
    <cellStyle name="Followed Hyperlink 4" xfId="10886" hidden="1" xr:uid="{00000000-0005-0000-0000-0000BB630000}"/>
    <cellStyle name="Followed Hyperlink 4" xfId="8849" hidden="1" xr:uid="{00000000-0005-0000-0000-0000BC630000}"/>
    <cellStyle name="Followed Hyperlink 4" xfId="8843" hidden="1" xr:uid="{00000000-0005-0000-0000-0000BD630000}"/>
    <cellStyle name="Followed Hyperlink 4" xfId="10887" hidden="1" xr:uid="{00000000-0005-0000-0000-0000BE630000}"/>
    <cellStyle name="Followed Hyperlink 4" xfId="10890" hidden="1" xr:uid="{00000000-0005-0000-0000-0000BF630000}"/>
    <cellStyle name="Followed Hyperlink 4" xfId="10893" hidden="1" xr:uid="{00000000-0005-0000-0000-0000C0630000}"/>
    <cellStyle name="Followed Hyperlink 4" xfId="10895" hidden="1" xr:uid="{00000000-0005-0000-0000-0000C1630000}"/>
    <cellStyle name="Followed Hyperlink 4" xfId="10896" hidden="1" xr:uid="{00000000-0005-0000-0000-0000C2630000}"/>
    <cellStyle name="Followed Hyperlink 4" xfId="10899" hidden="1" xr:uid="{00000000-0005-0000-0000-0000C3630000}"/>
    <cellStyle name="Followed Hyperlink 4" xfId="10908" hidden="1" xr:uid="{00000000-0005-0000-0000-0000C4630000}"/>
    <cellStyle name="Followed Hyperlink 4" xfId="10900" hidden="1" xr:uid="{00000000-0005-0000-0000-0000C5630000}"/>
    <cellStyle name="Followed Hyperlink 4" xfId="10911" hidden="1" xr:uid="{00000000-0005-0000-0000-0000C6630000}"/>
    <cellStyle name="Followed Hyperlink 4" xfId="10914" hidden="1" xr:uid="{00000000-0005-0000-0000-0000C7630000}"/>
    <cellStyle name="Followed Hyperlink 4" xfId="10917" hidden="1" xr:uid="{00000000-0005-0000-0000-0000C8630000}"/>
    <cellStyle name="Followed Hyperlink 4" xfId="10919" hidden="1" xr:uid="{00000000-0005-0000-0000-0000C9630000}"/>
    <cellStyle name="Followed Hyperlink 4" xfId="10920" hidden="1" xr:uid="{00000000-0005-0000-0000-0000CA630000}"/>
    <cellStyle name="Followed Hyperlink 4" xfId="10923" hidden="1" xr:uid="{00000000-0005-0000-0000-0000CB630000}"/>
    <cellStyle name="Followed Hyperlink 4" xfId="10933" hidden="1" xr:uid="{00000000-0005-0000-0000-0000CC630000}"/>
    <cellStyle name="Followed Hyperlink 4" xfId="10925" hidden="1" xr:uid="{00000000-0005-0000-0000-0000CD630000}"/>
    <cellStyle name="Followed Hyperlink 4" xfId="10936" hidden="1" xr:uid="{00000000-0005-0000-0000-0000CE630000}"/>
    <cellStyle name="Followed Hyperlink 4" xfId="10939" hidden="1" xr:uid="{00000000-0005-0000-0000-0000CF630000}"/>
    <cellStyle name="Followed Hyperlink 4" xfId="10942" hidden="1" xr:uid="{00000000-0005-0000-0000-0000D0630000}"/>
    <cellStyle name="Followed Hyperlink 4" xfId="10944" hidden="1" xr:uid="{00000000-0005-0000-0000-0000D1630000}"/>
    <cellStyle name="Followed Hyperlink 4" xfId="10945" hidden="1" xr:uid="{00000000-0005-0000-0000-0000D2630000}"/>
    <cellStyle name="Followed Hyperlink 4" xfId="10948" hidden="1" xr:uid="{00000000-0005-0000-0000-0000D3630000}"/>
    <cellStyle name="Followed Hyperlink 4" xfId="10957" hidden="1" xr:uid="{00000000-0005-0000-0000-0000D4630000}"/>
    <cellStyle name="Followed Hyperlink 4" xfId="10949" hidden="1" xr:uid="{00000000-0005-0000-0000-0000D5630000}"/>
    <cellStyle name="Followed Hyperlink 4" xfId="10960" hidden="1" xr:uid="{00000000-0005-0000-0000-0000D6630000}"/>
    <cellStyle name="Followed Hyperlink 4" xfId="10963" hidden="1" xr:uid="{00000000-0005-0000-0000-0000D7630000}"/>
    <cellStyle name="Followed Hyperlink 4" xfId="10966" hidden="1" xr:uid="{00000000-0005-0000-0000-0000D8630000}"/>
    <cellStyle name="Followed Hyperlink 4" xfId="10968" hidden="1" xr:uid="{00000000-0005-0000-0000-0000D9630000}"/>
    <cellStyle name="Followed Hyperlink 4" xfId="10969" hidden="1" xr:uid="{00000000-0005-0000-0000-0000DA630000}"/>
    <cellStyle name="Followed Hyperlink 4" xfId="10972" hidden="1" xr:uid="{00000000-0005-0000-0000-0000DB630000}"/>
    <cellStyle name="Followed Hyperlink 4" xfId="11010" hidden="1" xr:uid="{00000000-0005-0000-0000-0000DC630000}"/>
    <cellStyle name="Followed Hyperlink 4" xfId="11002" hidden="1" xr:uid="{00000000-0005-0000-0000-0000DD630000}"/>
    <cellStyle name="Followed Hyperlink 4" xfId="11013" hidden="1" xr:uid="{00000000-0005-0000-0000-0000DE630000}"/>
    <cellStyle name="Followed Hyperlink 4" xfId="11016" hidden="1" xr:uid="{00000000-0005-0000-0000-0000DF630000}"/>
    <cellStyle name="Followed Hyperlink 4" xfId="11019" hidden="1" xr:uid="{00000000-0005-0000-0000-0000E0630000}"/>
    <cellStyle name="Followed Hyperlink 4" xfId="11021" hidden="1" xr:uid="{00000000-0005-0000-0000-0000E1630000}"/>
    <cellStyle name="Followed Hyperlink 4" xfId="11022" hidden="1" xr:uid="{00000000-0005-0000-0000-0000E2630000}"/>
    <cellStyle name="Followed Hyperlink 4" xfId="11025" hidden="1" xr:uid="{00000000-0005-0000-0000-0000E3630000}"/>
    <cellStyle name="Followed Hyperlink 4" xfId="11034" hidden="1" xr:uid="{00000000-0005-0000-0000-0000E4630000}"/>
    <cellStyle name="Followed Hyperlink 4" xfId="11026" hidden="1" xr:uid="{00000000-0005-0000-0000-0000E5630000}"/>
    <cellStyle name="Followed Hyperlink 4" xfId="11037" hidden="1" xr:uid="{00000000-0005-0000-0000-0000E6630000}"/>
    <cellStyle name="Followed Hyperlink 4" xfId="11040" hidden="1" xr:uid="{00000000-0005-0000-0000-0000E7630000}"/>
    <cellStyle name="Followed Hyperlink 4" xfId="11043" hidden="1" xr:uid="{00000000-0005-0000-0000-0000E8630000}"/>
    <cellStyle name="Followed Hyperlink 4" xfId="11045" hidden="1" xr:uid="{00000000-0005-0000-0000-0000E9630000}"/>
    <cellStyle name="Followed Hyperlink 4" xfId="11046" hidden="1" xr:uid="{00000000-0005-0000-0000-0000EA630000}"/>
    <cellStyle name="Followed Hyperlink 4" xfId="11049" hidden="1" xr:uid="{00000000-0005-0000-0000-0000EB630000}"/>
    <cellStyle name="Followed Hyperlink 4" xfId="11060" hidden="1" xr:uid="{00000000-0005-0000-0000-0000EC630000}"/>
    <cellStyle name="Followed Hyperlink 4" xfId="11052" hidden="1" xr:uid="{00000000-0005-0000-0000-0000ED630000}"/>
    <cellStyle name="Followed Hyperlink 4" xfId="11063" hidden="1" xr:uid="{00000000-0005-0000-0000-0000EE630000}"/>
    <cellStyle name="Followed Hyperlink 4" xfId="11066" hidden="1" xr:uid="{00000000-0005-0000-0000-0000EF630000}"/>
    <cellStyle name="Followed Hyperlink 4" xfId="11069" hidden="1" xr:uid="{00000000-0005-0000-0000-0000F0630000}"/>
    <cellStyle name="Followed Hyperlink 4" xfId="11071" hidden="1" xr:uid="{00000000-0005-0000-0000-0000F1630000}"/>
    <cellStyle name="Followed Hyperlink 4" xfId="11072" hidden="1" xr:uid="{00000000-0005-0000-0000-0000F2630000}"/>
    <cellStyle name="Followed Hyperlink 4" xfId="11075" hidden="1" xr:uid="{00000000-0005-0000-0000-0000F3630000}"/>
    <cellStyle name="Followed Hyperlink 4" xfId="11084" hidden="1" xr:uid="{00000000-0005-0000-0000-0000F4630000}"/>
    <cellStyle name="Followed Hyperlink 4" xfId="11076" hidden="1" xr:uid="{00000000-0005-0000-0000-0000F5630000}"/>
    <cellStyle name="Followed Hyperlink 4" xfId="11087" hidden="1" xr:uid="{00000000-0005-0000-0000-0000F6630000}"/>
    <cellStyle name="Followed Hyperlink 4" xfId="11090" hidden="1" xr:uid="{00000000-0005-0000-0000-0000F7630000}"/>
    <cellStyle name="Followed Hyperlink 4" xfId="11093" hidden="1" xr:uid="{00000000-0005-0000-0000-0000F8630000}"/>
    <cellStyle name="Followed Hyperlink 4" xfId="11095" hidden="1" xr:uid="{00000000-0005-0000-0000-0000F9630000}"/>
    <cellStyle name="Followed Hyperlink 4" xfId="11096" hidden="1" xr:uid="{00000000-0005-0000-0000-0000FA630000}"/>
    <cellStyle name="Followed Hyperlink 4" xfId="11099" hidden="1" xr:uid="{00000000-0005-0000-0000-0000FB630000}"/>
    <cellStyle name="Followed Hyperlink 4" xfId="11137" hidden="1" xr:uid="{00000000-0005-0000-0000-0000FC630000}"/>
    <cellStyle name="Followed Hyperlink 4" xfId="11129" hidden="1" xr:uid="{00000000-0005-0000-0000-0000FD630000}"/>
    <cellStyle name="Followed Hyperlink 4" xfId="11140" hidden="1" xr:uid="{00000000-0005-0000-0000-0000FE630000}"/>
    <cellStyle name="Followed Hyperlink 4" xfId="11143" hidden="1" xr:uid="{00000000-0005-0000-0000-0000FF630000}"/>
    <cellStyle name="Followed Hyperlink 4" xfId="11146" hidden="1" xr:uid="{00000000-0005-0000-0000-000000640000}"/>
    <cellStyle name="Followed Hyperlink 4" xfId="11148" hidden="1" xr:uid="{00000000-0005-0000-0000-000001640000}"/>
    <cellStyle name="Followed Hyperlink 4" xfId="11149" hidden="1" xr:uid="{00000000-0005-0000-0000-000002640000}"/>
    <cellStyle name="Followed Hyperlink 4" xfId="11152" hidden="1" xr:uid="{00000000-0005-0000-0000-000003640000}"/>
    <cellStyle name="Followed Hyperlink 4" xfId="11161" hidden="1" xr:uid="{00000000-0005-0000-0000-000004640000}"/>
    <cellStyle name="Followed Hyperlink 4" xfId="11153" hidden="1" xr:uid="{00000000-0005-0000-0000-000005640000}"/>
    <cellStyle name="Followed Hyperlink 4" xfId="11164" hidden="1" xr:uid="{00000000-0005-0000-0000-000006640000}"/>
    <cellStyle name="Followed Hyperlink 4" xfId="11167" hidden="1" xr:uid="{00000000-0005-0000-0000-000007640000}"/>
    <cellStyle name="Followed Hyperlink 4" xfId="11170" hidden="1" xr:uid="{00000000-0005-0000-0000-000008640000}"/>
    <cellStyle name="Followed Hyperlink 4" xfId="11172" hidden="1" xr:uid="{00000000-0005-0000-0000-000009640000}"/>
    <cellStyle name="Followed Hyperlink 4" xfId="11173" hidden="1" xr:uid="{00000000-0005-0000-0000-00000A640000}"/>
    <cellStyle name="Followed Hyperlink 4" xfId="11176" hidden="1" xr:uid="{00000000-0005-0000-0000-00000B640000}"/>
    <cellStyle name="Followed Hyperlink 4" xfId="11187" hidden="1" xr:uid="{00000000-0005-0000-0000-00000C640000}"/>
    <cellStyle name="Followed Hyperlink 4" xfId="11179" hidden="1" xr:uid="{00000000-0005-0000-0000-00000D640000}"/>
    <cellStyle name="Followed Hyperlink 4" xfId="11190" hidden="1" xr:uid="{00000000-0005-0000-0000-00000E640000}"/>
    <cellStyle name="Followed Hyperlink 4" xfId="11193" hidden="1" xr:uid="{00000000-0005-0000-0000-00000F640000}"/>
    <cellStyle name="Followed Hyperlink 4" xfId="11196" hidden="1" xr:uid="{00000000-0005-0000-0000-000010640000}"/>
    <cellStyle name="Followed Hyperlink 4" xfId="11198" hidden="1" xr:uid="{00000000-0005-0000-0000-000011640000}"/>
    <cellStyle name="Followed Hyperlink 4" xfId="11199" hidden="1" xr:uid="{00000000-0005-0000-0000-000012640000}"/>
    <cellStyle name="Followed Hyperlink 4" xfId="11202" hidden="1" xr:uid="{00000000-0005-0000-0000-000013640000}"/>
    <cellStyle name="Followed Hyperlink 4" xfId="11211" hidden="1" xr:uid="{00000000-0005-0000-0000-000014640000}"/>
    <cellStyle name="Followed Hyperlink 4" xfId="11203" hidden="1" xr:uid="{00000000-0005-0000-0000-000015640000}"/>
    <cellStyle name="Followed Hyperlink 4" xfId="11214" hidden="1" xr:uid="{00000000-0005-0000-0000-000016640000}"/>
    <cellStyle name="Followed Hyperlink 4" xfId="11217" hidden="1" xr:uid="{00000000-0005-0000-0000-000017640000}"/>
    <cellStyle name="Followed Hyperlink 4" xfId="11220" hidden="1" xr:uid="{00000000-0005-0000-0000-000018640000}"/>
    <cellStyle name="Followed Hyperlink 4" xfId="11222" hidden="1" xr:uid="{00000000-0005-0000-0000-000019640000}"/>
    <cellStyle name="Followed Hyperlink 4" xfId="11223" hidden="1" xr:uid="{00000000-0005-0000-0000-00001A640000}"/>
    <cellStyle name="Followed Hyperlink 4" xfId="11226" hidden="1" xr:uid="{00000000-0005-0000-0000-00001B640000}"/>
    <cellStyle name="Followed Hyperlink 4" xfId="11109" hidden="1" xr:uid="{00000000-0005-0000-0000-00001C640000}"/>
    <cellStyle name="Followed Hyperlink 4" xfId="11103" hidden="1" xr:uid="{00000000-0005-0000-0000-00001D640000}"/>
    <cellStyle name="Followed Hyperlink 4" xfId="11227" hidden="1" xr:uid="{00000000-0005-0000-0000-00001E640000}"/>
    <cellStyle name="Followed Hyperlink 4" xfId="11230" hidden="1" xr:uid="{00000000-0005-0000-0000-00001F640000}"/>
    <cellStyle name="Followed Hyperlink 4" xfId="11233" hidden="1" xr:uid="{00000000-0005-0000-0000-000020640000}"/>
    <cellStyle name="Followed Hyperlink 4" xfId="11235" hidden="1" xr:uid="{00000000-0005-0000-0000-000021640000}"/>
    <cellStyle name="Followed Hyperlink 4" xfId="11236" hidden="1" xr:uid="{00000000-0005-0000-0000-000022640000}"/>
    <cellStyle name="Followed Hyperlink 4" xfId="11239" hidden="1" xr:uid="{00000000-0005-0000-0000-000023640000}"/>
    <cellStyle name="Followed Hyperlink 4" xfId="11248" hidden="1" xr:uid="{00000000-0005-0000-0000-000024640000}"/>
    <cellStyle name="Followed Hyperlink 4" xfId="11240" hidden="1" xr:uid="{00000000-0005-0000-0000-000025640000}"/>
    <cellStyle name="Followed Hyperlink 4" xfId="11251" hidden="1" xr:uid="{00000000-0005-0000-0000-000026640000}"/>
    <cellStyle name="Followed Hyperlink 4" xfId="11254" hidden="1" xr:uid="{00000000-0005-0000-0000-000027640000}"/>
    <cellStyle name="Followed Hyperlink 4" xfId="11257" hidden="1" xr:uid="{00000000-0005-0000-0000-000028640000}"/>
    <cellStyle name="Followed Hyperlink 4" xfId="11259" hidden="1" xr:uid="{00000000-0005-0000-0000-000029640000}"/>
    <cellStyle name="Followed Hyperlink 4" xfId="11260" hidden="1" xr:uid="{00000000-0005-0000-0000-00002A640000}"/>
    <cellStyle name="Followed Hyperlink 4" xfId="11263" hidden="1" xr:uid="{00000000-0005-0000-0000-00002B640000}"/>
    <cellStyle name="Followed Hyperlink 4" xfId="11273" hidden="1" xr:uid="{00000000-0005-0000-0000-00002C640000}"/>
    <cellStyle name="Followed Hyperlink 4" xfId="11265" hidden="1" xr:uid="{00000000-0005-0000-0000-00002D640000}"/>
    <cellStyle name="Followed Hyperlink 4" xfId="11276" hidden="1" xr:uid="{00000000-0005-0000-0000-00002E640000}"/>
    <cellStyle name="Followed Hyperlink 4" xfId="11279" hidden="1" xr:uid="{00000000-0005-0000-0000-00002F640000}"/>
    <cellStyle name="Followed Hyperlink 4" xfId="11282" hidden="1" xr:uid="{00000000-0005-0000-0000-000030640000}"/>
    <cellStyle name="Followed Hyperlink 4" xfId="11284" hidden="1" xr:uid="{00000000-0005-0000-0000-000031640000}"/>
    <cellStyle name="Followed Hyperlink 4" xfId="11285" hidden="1" xr:uid="{00000000-0005-0000-0000-000032640000}"/>
    <cellStyle name="Followed Hyperlink 4" xfId="11288" hidden="1" xr:uid="{00000000-0005-0000-0000-000033640000}"/>
    <cellStyle name="Followed Hyperlink 4" xfId="11297" hidden="1" xr:uid="{00000000-0005-0000-0000-000034640000}"/>
    <cellStyle name="Followed Hyperlink 4" xfId="11289" hidden="1" xr:uid="{00000000-0005-0000-0000-000035640000}"/>
    <cellStyle name="Followed Hyperlink 4" xfId="11300" hidden="1" xr:uid="{00000000-0005-0000-0000-000036640000}"/>
    <cellStyle name="Followed Hyperlink 4" xfId="11303" hidden="1" xr:uid="{00000000-0005-0000-0000-000037640000}"/>
    <cellStyle name="Followed Hyperlink 4" xfId="11306" hidden="1" xr:uid="{00000000-0005-0000-0000-000038640000}"/>
    <cellStyle name="Followed Hyperlink 4" xfId="11308" hidden="1" xr:uid="{00000000-0005-0000-0000-000039640000}"/>
    <cellStyle name="Followed Hyperlink 4" xfId="11309" hidden="1" xr:uid="{00000000-0005-0000-0000-00003A640000}"/>
    <cellStyle name="Followed Hyperlink 4" xfId="11312" hidden="1" xr:uid="{00000000-0005-0000-0000-00003B640000}"/>
    <cellStyle name="Followed Hyperlink 4" xfId="11113" hidden="1" xr:uid="{00000000-0005-0000-0000-00003C640000}"/>
    <cellStyle name="Followed Hyperlink 4" xfId="11119" hidden="1" xr:uid="{00000000-0005-0000-0000-00003D640000}"/>
    <cellStyle name="Followed Hyperlink 4" xfId="11313" hidden="1" xr:uid="{00000000-0005-0000-0000-00003E640000}"/>
    <cellStyle name="Followed Hyperlink 4" xfId="11316" hidden="1" xr:uid="{00000000-0005-0000-0000-00003F640000}"/>
    <cellStyle name="Followed Hyperlink 4" xfId="11319" hidden="1" xr:uid="{00000000-0005-0000-0000-000040640000}"/>
    <cellStyle name="Followed Hyperlink 4" xfId="11321" hidden="1" xr:uid="{00000000-0005-0000-0000-000041640000}"/>
    <cellStyle name="Followed Hyperlink 4" xfId="11322" hidden="1" xr:uid="{00000000-0005-0000-0000-000042640000}"/>
    <cellStyle name="Followed Hyperlink 4" xfId="11325" hidden="1" xr:uid="{00000000-0005-0000-0000-000043640000}"/>
    <cellStyle name="Followed Hyperlink 4" xfId="11334" hidden="1" xr:uid="{00000000-0005-0000-0000-000044640000}"/>
    <cellStyle name="Followed Hyperlink 4" xfId="11326" hidden="1" xr:uid="{00000000-0005-0000-0000-000045640000}"/>
    <cellStyle name="Followed Hyperlink 4" xfId="11337" hidden="1" xr:uid="{00000000-0005-0000-0000-000046640000}"/>
    <cellStyle name="Followed Hyperlink 4" xfId="11340" hidden="1" xr:uid="{00000000-0005-0000-0000-000047640000}"/>
    <cellStyle name="Followed Hyperlink 4" xfId="11343" hidden="1" xr:uid="{00000000-0005-0000-0000-000048640000}"/>
    <cellStyle name="Followed Hyperlink 4" xfId="11345" hidden="1" xr:uid="{00000000-0005-0000-0000-000049640000}"/>
    <cellStyle name="Followed Hyperlink 4" xfId="11346" hidden="1" xr:uid="{00000000-0005-0000-0000-00004A640000}"/>
    <cellStyle name="Followed Hyperlink 4" xfId="11349" hidden="1" xr:uid="{00000000-0005-0000-0000-00004B640000}"/>
    <cellStyle name="Followed Hyperlink 4" xfId="11359" hidden="1" xr:uid="{00000000-0005-0000-0000-00004C640000}"/>
    <cellStyle name="Followed Hyperlink 4" xfId="11351" hidden="1" xr:uid="{00000000-0005-0000-0000-00004D640000}"/>
    <cellStyle name="Followed Hyperlink 4" xfId="11362" hidden="1" xr:uid="{00000000-0005-0000-0000-00004E640000}"/>
    <cellStyle name="Followed Hyperlink 4" xfId="11365" hidden="1" xr:uid="{00000000-0005-0000-0000-00004F640000}"/>
    <cellStyle name="Followed Hyperlink 4" xfId="11368" hidden="1" xr:uid="{00000000-0005-0000-0000-000050640000}"/>
    <cellStyle name="Followed Hyperlink 4" xfId="11370" hidden="1" xr:uid="{00000000-0005-0000-0000-000051640000}"/>
    <cellStyle name="Followed Hyperlink 4" xfId="11371" hidden="1" xr:uid="{00000000-0005-0000-0000-000052640000}"/>
    <cellStyle name="Followed Hyperlink 4" xfId="11374" hidden="1" xr:uid="{00000000-0005-0000-0000-000053640000}"/>
    <cellStyle name="Followed Hyperlink 4" xfId="11383" hidden="1" xr:uid="{00000000-0005-0000-0000-000054640000}"/>
    <cellStyle name="Followed Hyperlink 4" xfId="11375" hidden="1" xr:uid="{00000000-0005-0000-0000-000055640000}"/>
    <cellStyle name="Followed Hyperlink 4" xfId="11386" hidden="1" xr:uid="{00000000-0005-0000-0000-000056640000}"/>
    <cellStyle name="Followed Hyperlink 4" xfId="11389" hidden="1" xr:uid="{00000000-0005-0000-0000-000057640000}"/>
    <cellStyle name="Followed Hyperlink 4" xfId="11392" hidden="1" xr:uid="{00000000-0005-0000-0000-000058640000}"/>
    <cellStyle name="Followed Hyperlink 4" xfId="11394" hidden="1" xr:uid="{00000000-0005-0000-0000-000059640000}"/>
    <cellStyle name="Followed Hyperlink 4" xfId="11395" hidden="1" xr:uid="{00000000-0005-0000-0000-00005A640000}"/>
    <cellStyle name="Followed Hyperlink 4" xfId="11398" hidden="1" xr:uid="{00000000-0005-0000-0000-00005B640000}"/>
    <cellStyle name="Followed Hyperlink 4" xfId="11123" hidden="1" xr:uid="{00000000-0005-0000-0000-00005C640000}"/>
    <cellStyle name="Followed Hyperlink 4" xfId="11178" hidden="1" xr:uid="{00000000-0005-0000-0000-00005D640000}"/>
    <cellStyle name="Followed Hyperlink 4" xfId="11399" hidden="1" xr:uid="{00000000-0005-0000-0000-00005E640000}"/>
    <cellStyle name="Followed Hyperlink 4" xfId="11402" hidden="1" xr:uid="{00000000-0005-0000-0000-00005F640000}"/>
    <cellStyle name="Followed Hyperlink 4" xfId="11405" hidden="1" xr:uid="{00000000-0005-0000-0000-000060640000}"/>
    <cellStyle name="Followed Hyperlink 4" xfId="11407" hidden="1" xr:uid="{00000000-0005-0000-0000-000061640000}"/>
    <cellStyle name="Followed Hyperlink 4" xfId="11408" hidden="1" xr:uid="{00000000-0005-0000-0000-000062640000}"/>
    <cellStyle name="Followed Hyperlink 4" xfId="11411" hidden="1" xr:uid="{00000000-0005-0000-0000-000063640000}"/>
    <cellStyle name="Followed Hyperlink 4" xfId="11420" hidden="1" xr:uid="{00000000-0005-0000-0000-000064640000}"/>
    <cellStyle name="Followed Hyperlink 4" xfId="11412" hidden="1" xr:uid="{00000000-0005-0000-0000-000065640000}"/>
    <cellStyle name="Followed Hyperlink 4" xfId="11423" hidden="1" xr:uid="{00000000-0005-0000-0000-000066640000}"/>
    <cellStyle name="Followed Hyperlink 4" xfId="11426" hidden="1" xr:uid="{00000000-0005-0000-0000-000067640000}"/>
    <cellStyle name="Followed Hyperlink 4" xfId="11429" hidden="1" xr:uid="{00000000-0005-0000-0000-000068640000}"/>
    <cellStyle name="Followed Hyperlink 4" xfId="11431" hidden="1" xr:uid="{00000000-0005-0000-0000-000069640000}"/>
    <cellStyle name="Followed Hyperlink 4" xfId="11432" hidden="1" xr:uid="{00000000-0005-0000-0000-00006A640000}"/>
    <cellStyle name="Followed Hyperlink 4" xfId="11435" hidden="1" xr:uid="{00000000-0005-0000-0000-00006B640000}"/>
    <cellStyle name="Followed Hyperlink 4" xfId="11444" hidden="1" xr:uid="{00000000-0005-0000-0000-00006C640000}"/>
    <cellStyle name="Followed Hyperlink 4" xfId="11436" hidden="1" xr:uid="{00000000-0005-0000-0000-00006D640000}"/>
    <cellStyle name="Followed Hyperlink 4" xfId="11447" hidden="1" xr:uid="{00000000-0005-0000-0000-00006E640000}"/>
    <cellStyle name="Followed Hyperlink 4" xfId="11450" hidden="1" xr:uid="{00000000-0005-0000-0000-00006F640000}"/>
    <cellStyle name="Followed Hyperlink 4" xfId="11453" hidden="1" xr:uid="{00000000-0005-0000-0000-000070640000}"/>
    <cellStyle name="Followed Hyperlink 4" xfId="11455" hidden="1" xr:uid="{00000000-0005-0000-0000-000071640000}"/>
    <cellStyle name="Followed Hyperlink 4" xfId="11456" hidden="1" xr:uid="{00000000-0005-0000-0000-000072640000}"/>
    <cellStyle name="Followed Hyperlink 4" xfId="11459" hidden="1" xr:uid="{00000000-0005-0000-0000-000073640000}"/>
    <cellStyle name="Followed Hyperlink 4" xfId="11468" hidden="1" xr:uid="{00000000-0005-0000-0000-000074640000}"/>
    <cellStyle name="Followed Hyperlink 4" xfId="11460" hidden="1" xr:uid="{00000000-0005-0000-0000-000075640000}"/>
    <cellStyle name="Followed Hyperlink 4" xfId="11471" hidden="1" xr:uid="{00000000-0005-0000-0000-000076640000}"/>
    <cellStyle name="Followed Hyperlink 4" xfId="11474" hidden="1" xr:uid="{00000000-0005-0000-0000-000077640000}"/>
    <cellStyle name="Followed Hyperlink 4" xfId="11477" hidden="1" xr:uid="{00000000-0005-0000-0000-000078640000}"/>
    <cellStyle name="Followed Hyperlink 4" xfId="11479" hidden="1" xr:uid="{00000000-0005-0000-0000-000079640000}"/>
    <cellStyle name="Followed Hyperlink 4" xfId="11480" hidden="1" xr:uid="{00000000-0005-0000-0000-00007A640000}"/>
    <cellStyle name="Followed Hyperlink 4" xfId="11483" hidden="1" xr:uid="{00000000-0005-0000-0000-00007B640000}"/>
    <cellStyle name="Followed Hyperlink 4" xfId="10982" hidden="1" xr:uid="{00000000-0005-0000-0000-00007C640000}"/>
    <cellStyle name="Followed Hyperlink 4" xfId="10976" hidden="1" xr:uid="{00000000-0005-0000-0000-00007D640000}"/>
    <cellStyle name="Followed Hyperlink 4" xfId="11484" hidden="1" xr:uid="{00000000-0005-0000-0000-00007E640000}"/>
    <cellStyle name="Followed Hyperlink 4" xfId="11487" hidden="1" xr:uid="{00000000-0005-0000-0000-00007F640000}"/>
    <cellStyle name="Followed Hyperlink 4" xfId="11490" hidden="1" xr:uid="{00000000-0005-0000-0000-000080640000}"/>
    <cellStyle name="Followed Hyperlink 4" xfId="11492" hidden="1" xr:uid="{00000000-0005-0000-0000-000081640000}"/>
    <cellStyle name="Followed Hyperlink 4" xfId="11493" hidden="1" xr:uid="{00000000-0005-0000-0000-000082640000}"/>
    <cellStyle name="Followed Hyperlink 4" xfId="11496" hidden="1" xr:uid="{00000000-0005-0000-0000-000083640000}"/>
    <cellStyle name="Followed Hyperlink 4" xfId="11505" hidden="1" xr:uid="{00000000-0005-0000-0000-000084640000}"/>
    <cellStyle name="Followed Hyperlink 4" xfId="11497" hidden="1" xr:uid="{00000000-0005-0000-0000-000085640000}"/>
    <cellStyle name="Followed Hyperlink 4" xfId="11508" hidden="1" xr:uid="{00000000-0005-0000-0000-000086640000}"/>
    <cellStyle name="Followed Hyperlink 4" xfId="11511" hidden="1" xr:uid="{00000000-0005-0000-0000-000087640000}"/>
    <cellStyle name="Followed Hyperlink 4" xfId="11514" hidden="1" xr:uid="{00000000-0005-0000-0000-000088640000}"/>
    <cellStyle name="Followed Hyperlink 4" xfId="11516" hidden="1" xr:uid="{00000000-0005-0000-0000-000089640000}"/>
    <cellStyle name="Followed Hyperlink 4" xfId="11517" hidden="1" xr:uid="{00000000-0005-0000-0000-00008A640000}"/>
    <cellStyle name="Followed Hyperlink 4" xfId="11520" hidden="1" xr:uid="{00000000-0005-0000-0000-00008B640000}"/>
    <cellStyle name="Followed Hyperlink 4" xfId="11530" hidden="1" xr:uid="{00000000-0005-0000-0000-00008C640000}"/>
    <cellStyle name="Followed Hyperlink 4" xfId="11522" hidden="1" xr:uid="{00000000-0005-0000-0000-00008D640000}"/>
    <cellStyle name="Followed Hyperlink 4" xfId="11533" hidden="1" xr:uid="{00000000-0005-0000-0000-00008E640000}"/>
    <cellStyle name="Followed Hyperlink 4" xfId="11536" hidden="1" xr:uid="{00000000-0005-0000-0000-00008F640000}"/>
    <cellStyle name="Followed Hyperlink 4" xfId="11539" hidden="1" xr:uid="{00000000-0005-0000-0000-000090640000}"/>
    <cellStyle name="Followed Hyperlink 4" xfId="11541" hidden="1" xr:uid="{00000000-0005-0000-0000-000091640000}"/>
    <cellStyle name="Followed Hyperlink 4" xfId="11542" hidden="1" xr:uid="{00000000-0005-0000-0000-000092640000}"/>
    <cellStyle name="Followed Hyperlink 4" xfId="11545" hidden="1" xr:uid="{00000000-0005-0000-0000-000093640000}"/>
    <cellStyle name="Followed Hyperlink 4" xfId="11554" hidden="1" xr:uid="{00000000-0005-0000-0000-000094640000}"/>
    <cellStyle name="Followed Hyperlink 4" xfId="11546" hidden="1" xr:uid="{00000000-0005-0000-0000-000095640000}"/>
    <cellStyle name="Followed Hyperlink 4" xfId="11557" hidden="1" xr:uid="{00000000-0005-0000-0000-000096640000}"/>
    <cellStyle name="Followed Hyperlink 4" xfId="11560" hidden="1" xr:uid="{00000000-0005-0000-0000-000097640000}"/>
    <cellStyle name="Followed Hyperlink 4" xfId="11563" hidden="1" xr:uid="{00000000-0005-0000-0000-000098640000}"/>
    <cellStyle name="Followed Hyperlink 4" xfId="11565" hidden="1" xr:uid="{00000000-0005-0000-0000-000099640000}"/>
    <cellStyle name="Followed Hyperlink 4" xfId="11566" hidden="1" xr:uid="{00000000-0005-0000-0000-00009A640000}"/>
    <cellStyle name="Followed Hyperlink 4" xfId="11569" hidden="1" xr:uid="{00000000-0005-0000-0000-00009B640000}"/>
    <cellStyle name="Followed Hyperlink 4" xfId="11607" hidden="1" xr:uid="{00000000-0005-0000-0000-00009C640000}"/>
    <cellStyle name="Followed Hyperlink 4" xfId="11599" hidden="1" xr:uid="{00000000-0005-0000-0000-00009D640000}"/>
    <cellStyle name="Followed Hyperlink 4" xfId="11610" hidden="1" xr:uid="{00000000-0005-0000-0000-00009E640000}"/>
    <cellStyle name="Followed Hyperlink 4" xfId="11613" hidden="1" xr:uid="{00000000-0005-0000-0000-00009F640000}"/>
    <cellStyle name="Followed Hyperlink 4" xfId="11616" hidden="1" xr:uid="{00000000-0005-0000-0000-0000A0640000}"/>
    <cellStyle name="Followed Hyperlink 4" xfId="11618" hidden="1" xr:uid="{00000000-0005-0000-0000-0000A1640000}"/>
    <cellStyle name="Followed Hyperlink 4" xfId="11619" hidden="1" xr:uid="{00000000-0005-0000-0000-0000A2640000}"/>
    <cellStyle name="Followed Hyperlink 4" xfId="11622" hidden="1" xr:uid="{00000000-0005-0000-0000-0000A3640000}"/>
    <cellStyle name="Followed Hyperlink 4" xfId="11631" hidden="1" xr:uid="{00000000-0005-0000-0000-0000A4640000}"/>
    <cellStyle name="Followed Hyperlink 4" xfId="11623" hidden="1" xr:uid="{00000000-0005-0000-0000-0000A5640000}"/>
    <cellStyle name="Followed Hyperlink 4" xfId="11634" hidden="1" xr:uid="{00000000-0005-0000-0000-0000A6640000}"/>
    <cellStyle name="Followed Hyperlink 4" xfId="11637" hidden="1" xr:uid="{00000000-0005-0000-0000-0000A7640000}"/>
    <cellStyle name="Followed Hyperlink 4" xfId="11640" hidden="1" xr:uid="{00000000-0005-0000-0000-0000A8640000}"/>
    <cellStyle name="Followed Hyperlink 4" xfId="11642" hidden="1" xr:uid="{00000000-0005-0000-0000-0000A9640000}"/>
    <cellStyle name="Followed Hyperlink 4" xfId="11643" hidden="1" xr:uid="{00000000-0005-0000-0000-0000AA640000}"/>
    <cellStyle name="Followed Hyperlink 4" xfId="11646" hidden="1" xr:uid="{00000000-0005-0000-0000-0000AB640000}"/>
    <cellStyle name="Followed Hyperlink 4" xfId="11657" hidden="1" xr:uid="{00000000-0005-0000-0000-0000AC640000}"/>
    <cellStyle name="Followed Hyperlink 4" xfId="11649" hidden="1" xr:uid="{00000000-0005-0000-0000-0000AD640000}"/>
    <cellStyle name="Followed Hyperlink 4" xfId="11660" hidden="1" xr:uid="{00000000-0005-0000-0000-0000AE640000}"/>
    <cellStyle name="Followed Hyperlink 4" xfId="11663" hidden="1" xr:uid="{00000000-0005-0000-0000-0000AF640000}"/>
    <cellStyle name="Followed Hyperlink 4" xfId="11666" hidden="1" xr:uid="{00000000-0005-0000-0000-0000B0640000}"/>
    <cellStyle name="Followed Hyperlink 4" xfId="11668" hidden="1" xr:uid="{00000000-0005-0000-0000-0000B1640000}"/>
    <cellStyle name="Followed Hyperlink 4" xfId="11669" hidden="1" xr:uid="{00000000-0005-0000-0000-0000B2640000}"/>
    <cellStyle name="Followed Hyperlink 4" xfId="11672" hidden="1" xr:uid="{00000000-0005-0000-0000-0000B3640000}"/>
    <cellStyle name="Followed Hyperlink 4" xfId="11681" hidden="1" xr:uid="{00000000-0005-0000-0000-0000B4640000}"/>
    <cellStyle name="Followed Hyperlink 4" xfId="11673" hidden="1" xr:uid="{00000000-0005-0000-0000-0000B5640000}"/>
    <cellStyle name="Followed Hyperlink 4" xfId="11684" hidden="1" xr:uid="{00000000-0005-0000-0000-0000B6640000}"/>
    <cellStyle name="Followed Hyperlink 4" xfId="11687" hidden="1" xr:uid="{00000000-0005-0000-0000-0000B7640000}"/>
    <cellStyle name="Followed Hyperlink 4" xfId="11690" hidden="1" xr:uid="{00000000-0005-0000-0000-0000B8640000}"/>
    <cellStyle name="Followed Hyperlink 4" xfId="11692" hidden="1" xr:uid="{00000000-0005-0000-0000-0000B9640000}"/>
    <cellStyle name="Followed Hyperlink 4" xfId="11693" hidden="1" xr:uid="{00000000-0005-0000-0000-0000BA640000}"/>
    <cellStyle name="Followed Hyperlink 4" xfId="11696" hidden="1" xr:uid="{00000000-0005-0000-0000-0000BB640000}"/>
    <cellStyle name="Followed Hyperlink 4" xfId="11579" hidden="1" xr:uid="{00000000-0005-0000-0000-0000BC640000}"/>
    <cellStyle name="Followed Hyperlink 4" xfId="11573" hidden="1" xr:uid="{00000000-0005-0000-0000-0000BD640000}"/>
    <cellStyle name="Followed Hyperlink 4" xfId="11697" hidden="1" xr:uid="{00000000-0005-0000-0000-0000BE640000}"/>
    <cellStyle name="Followed Hyperlink 4" xfId="11700" hidden="1" xr:uid="{00000000-0005-0000-0000-0000BF640000}"/>
    <cellStyle name="Followed Hyperlink 4" xfId="11703" hidden="1" xr:uid="{00000000-0005-0000-0000-0000C0640000}"/>
    <cellStyle name="Followed Hyperlink 4" xfId="11705" hidden="1" xr:uid="{00000000-0005-0000-0000-0000C1640000}"/>
    <cellStyle name="Followed Hyperlink 4" xfId="11706" hidden="1" xr:uid="{00000000-0005-0000-0000-0000C2640000}"/>
    <cellStyle name="Followed Hyperlink 4" xfId="11709" hidden="1" xr:uid="{00000000-0005-0000-0000-0000C3640000}"/>
    <cellStyle name="Followed Hyperlink 4" xfId="11718" hidden="1" xr:uid="{00000000-0005-0000-0000-0000C4640000}"/>
    <cellStyle name="Followed Hyperlink 4" xfId="11710" hidden="1" xr:uid="{00000000-0005-0000-0000-0000C5640000}"/>
    <cellStyle name="Followed Hyperlink 4" xfId="11721" hidden="1" xr:uid="{00000000-0005-0000-0000-0000C6640000}"/>
    <cellStyle name="Followed Hyperlink 4" xfId="11724" hidden="1" xr:uid="{00000000-0005-0000-0000-0000C7640000}"/>
    <cellStyle name="Followed Hyperlink 4" xfId="11727" hidden="1" xr:uid="{00000000-0005-0000-0000-0000C8640000}"/>
    <cellStyle name="Followed Hyperlink 4" xfId="11729" hidden="1" xr:uid="{00000000-0005-0000-0000-0000C9640000}"/>
    <cellStyle name="Followed Hyperlink 4" xfId="11730" hidden="1" xr:uid="{00000000-0005-0000-0000-0000CA640000}"/>
    <cellStyle name="Followed Hyperlink 4" xfId="11733" hidden="1" xr:uid="{00000000-0005-0000-0000-0000CB640000}"/>
    <cellStyle name="Followed Hyperlink 4" xfId="11743" hidden="1" xr:uid="{00000000-0005-0000-0000-0000CC640000}"/>
    <cellStyle name="Followed Hyperlink 4" xfId="11735" hidden="1" xr:uid="{00000000-0005-0000-0000-0000CD640000}"/>
    <cellStyle name="Followed Hyperlink 4" xfId="11746" hidden="1" xr:uid="{00000000-0005-0000-0000-0000CE640000}"/>
    <cellStyle name="Followed Hyperlink 4" xfId="11749" hidden="1" xr:uid="{00000000-0005-0000-0000-0000CF640000}"/>
    <cellStyle name="Followed Hyperlink 4" xfId="11752" hidden="1" xr:uid="{00000000-0005-0000-0000-0000D0640000}"/>
    <cellStyle name="Followed Hyperlink 4" xfId="11754" hidden="1" xr:uid="{00000000-0005-0000-0000-0000D1640000}"/>
    <cellStyle name="Followed Hyperlink 4" xfId="11755" hidden="1" xr:uid="{00000000-0005-0000-0000-0000D2640000}"/>
    <cellStyle name="Followed Hyperlink 4" xfId="11758" hidden="1" xr:uid="{00000000-0005-0000-0000-0000D3640000}"/>
    <cellStyle name="Followed Hyperlink 4" xfId="11767" hidden="1" xr:uid="{00000000-0005-0000-0000-0000D4640000}"/>
    <cellStyle name="Followed Hyperlink 4" xfId="11759" hidden="1" xr:uid="{00000000-0005-0000-0000-0000D5640000}"/>
    <cellStyle name="Followed Hyperlink 4" xfId="11770" hidden="1" xr:uid="{00000000-0005-0000-0000-0000D6640000}"/>
    <cellStyle name="Followed Hyperlink 4" xfId="11773" hidden="1" xr:uid="{00000000-0005-0000-0000-0000D7640000}"/>
    <cellStyle name="Followed Hyperlink 4" xfId="11776" hidden="1" xr:uid="{00000000-0005-0000-0000-0000D8640000}"/>
    <cellStyle name="Followed Hyperlink 4" xfId="11778" hidden="1" xr:uid="{00000000-0005-0000-0000-0000D9640000}"/>
    <cellStyle name="Followed Hyperlink 4" xfId="11779" hidden="1" xr:uid="{00000000-0005-0000-0000-0000DA640000}"/>
    <cellStyle name="Followed Hyperlink 4" xfId="11782" hidden="1" xr:uid="{00000000-0005-0000-0000-0000DB640000}"/>
    <cellStyle name="Followed Hyperlink 4" xfId="11583" hidden="1" xr:uid="{00000000-0005-0000-0000-0000DC640000}"/>
    <cellStyle name="Followed Hyperlink 4" xfId="11589" hidden="1" xr:uid="{00000000-0005-0000-0000-0000DD640000}"/>
    <cellStyle name="Followed Hyperlink 4" xfId="11783" hidden="1" xr:uid="{00000000-0005-0000-0000-0000DE640000}"/>
    <cellStyle name="Followed Hyperlink 4" xfId="11786" hidden="1" xr:uid="{00000000-0005-0000-0000-0000DF640000}"/>
    <cellStyle name="Followed Hyperlink 4" xfId="11789" hidden="1" xr:uid="{00000000-0005-0000-0000-0000E0640000}"/>
    <cellStyle name="Followed Hyperlink 4" xfId="11791" hidden="1" xr:uid="{00000000-0005-0000-0000-0000E1640000}"/>
    <cellStyle name="Followed Hyperlink 4" xfId="11792" hidden="1" xr:uid="{00000000-0005-0000-0000-0000E2640000}"/>
    <cellStyle name="Followed Hyperlink 4" xfId="11795" hidden="1" xr:uid="{00000000-0005-0000-0000-0000E3640000}"/>
    <cellStyle name="Followed Hyperlink 4" xfId="11804" hidden="1" xr:uid="{00000000-0005-0000-0000-0000E4640000}"/>
    <cellStyle name="Followed Hyperlink 4" xfId="11796" hidden="1" xr:uid="{00000000-0005-0000-0000-0000E5640000}"/>
    <cellStyle name="Followed Hyperlink 4" xfId="11807" hidden="1" xr:uid="{00000000-0005-0000-0000-0000E6640000}"/>
    <cellStyle name="Followed Hyperlink 4" xfId="11810" hidden="1" xr:uid="{00000000-0005-0000-0000-0000E7640000}"/>
    <cellStyle name="Followed Hyperlink 4" xfId="11813" hidden="1" xr:uid="{00000000-0005-0000-0000-0000E8640000}"/>
    <cellStyle name="Followed Hyperlink 4" xfId="11815" hidden="1" xr:uid="{00000000-0005-0000-0000-0000E9640000}"/>
    <cellStyle name="Followed Hyperlink 4" xfId="11816" hidden="1" xr:uid="{00000000-0005-0000-0000-0000EA640000}"/>
    <cellStyle name="Followed Hyperlink 4" xfId="11819" hidden="1" xr:uid="{00000000-0005-0000-0000-0000EB640000}"/>
    <cellStyle name="Followed Hyperlink 4" xfId="11829" hidden="1" xr:uid="{00000000-0005-0000-0000-0000EC640000}"/>
    <cellStyle name="Followed Hyperlink 4" xfId="11821" hidden="1" xr:uid="{00000000-0005-0000-0000-0000ED640000}"/>
    <cellStyle name="Followed Hyperlink 4" xfId="11832" hidden="1" xr:uid="{00000000-0005-0000-0000-0000EE640000}"/>
    <cellStyle name="Followed Hyperlink 4" xfId="11835" hidden="1" xr:uid="{00000000-0005-0000-0000-0000EF640000}"/>
    <cellStyle name="Followed Hyperlink 4" xfId="11838" hidden="1" xr:uid="{00000000-0005-0000-0000-0000F0640000}"/>
    <cellStyle name="Followed Hyperlink 4" xfId="11840" hidden="1" xr:uid="{00000000-0005-0000-0000-0000F1640000}"/>
    <cellStyle name="Followed Hyperlink 4" xfId="11841" hidden="1" xr:uid="{00000000-0005-0000-0000-0000F2640000}"/>
    <cellStyle name="Followed Hyperlink 4" xfId="11844" hidden="1" xr:uid="{00000000-0005-0000-0000-0000F3640000}"/>
    <cellStyle name="Followed Hyperlink 4" xfId="11853" hidden="1" xr:uid="{00000000-0005-0000-0000-0000F4640000}"/>
    <cellStyle name="Followed Hyperlink 4" xfId="11845" hidden="1" xr:uid="{00000000-0005-0000-0000-0000F5640000}"/>
    <cellStyle name="Followed Hyperlink 4" xfId="11856" hidden="1" xr:uid="{00000000-0005-0000-0000-0000F6640000}"/>
    <cellStyle name="Followed Hyperlink 4" xfId="11859" hidden="1" xr:uid="{00000000-0005-0000-0000-0000F7640000}"/>
    <cellStyle name="Followed Hyperlink 4" xfId="11862" hidden="1" xr:uid="{00000000-0005-0000-0000-0000F8640000}"/>
    <cellStyle name="Followed Hyperlink 4" xfId="11864" hidden="1" xr:uid="{00000000-0005-0000-0000-0000F9640000}"/>
    <cellStyle name="Followed Hyperlink 4" xfId="11865" hidden="1" xr:uid="{00000000-0005-0000-0000-0000FA640000}"/>
    <cellStyle name="Followed Hyperlink 4" xfId="11868" hidden="1" xr:uid="{00000000-0005-0000-0000-0000FB640000}"/>
    <cellStyle name="Followed Hyperlink 4" xfId="11593" hidden="1" xr:uid="{00000000-0005-0000-0000-0000FC640000}"/>
    <cellStyle name="Followed Hyperlink 4" xfId="11648" hidden="1" xr:uid="{00000000-0005-0000-0000-0000FD640000}"/>
    <cellStyle name="Followed Hyperlink 4" xfId="11869" hidden="1" xr:uid="{00000000-0005-0000-0000-0000FE640000}"/>
    <cellStyle name="Followed Hyperlink 4" xfId="11872" hidden="1" xr:uid="{00000000-0005-0000-0000-0000FF640000}"/>
    <cellStyle name="Followed Hyperlink 4" xfId="11875" hidden="1" xr:uid="{00000000-0005-0000-0000-000000650000}"/>
    <cellStyle name="Followed Hyperlink 4" xfId="11877" hidden="1" xr:uid="{00000000-0005-0000-0000-000001650000}"/>
    <cellStyle name="Followed Hyperlink 4" xfId="11878" hidden="1" xr:uid="{00000000-0005-0000-0000-000002650000}"/>
    <cellStyle name="Followed Hyperlink 4" xfId="11881" hidden="1" xr:uid="{00000000-0005-0000-0000-000003650000}"/>
    <cellStyle name="Followed Hyperlink 4" xfId="11890" hidden="1" xr:uid="{00000000-0005-0000-0000-000004650000}"/>
    <cellStyle name="Followed Hyperlink 4" xfId="11882" hidden="1" xr:uid="{00000000-0005-0000-0000-000005650000}"/>
    <cellStyle name="Followed Hyperlink 4" xfId="11893" hidden="1" xr:uid="{00000000-0005-0000-0000-000006650000}"/>
    <cellStyle name="Followed Hyperlink 4" xfId="11896" hidden="1" xr:uid="{00000000-0005-0000-0000-000007650000}"/>
    <cellStyle name="Followed Hyperlink 4" xfId="11899" hidden="1" xr:uid="{00000000-0005-0000-0000-000008650000}"/>
    <cellStyle name="Followed Hyperlink 4" xfId="11901" hidden="1" xr:uid="{00000000-0005-0000-0000-000009650000}"/>
    <cellStyle name="Followed Hyperlink 4" xfId="11902" hidden="1" xr:uid="{00000000-0005-0000-0000-00000A650000}"/>
    <cellStyle name="Followed Hyperlink 4" xfId="11905" hidden="1" xr:uid="{00000000-0005-0000-0000-00000B650000}"/>
    <cellStyle name="Followed Hyperlink 4" xfId="11914" hidden="1" xr:uid="{00000000-0005-0000-0000-00000C650000}"/>
    <cellStyle name="Followed Hyperlink 4" xfId="11906" hidden="1" xr:uid="{00000000-0005-0000-0000-00000D650000}"/>
    <cellStyle name="Followed Hyperlink 4" xfId="11917" hidden="1" xr:uid="{00000000-0005-0000-0000-00000E650000}"/>
    <cellStyle name="Followed Hyperlink 4" xfId="11920" hidden="1" xr:uid="{00000000-0005-0000-0000-00000F650000}"/>
    <cellStyle name="Followed Hyperlink 4" xfId="11923" hidden="1" xr:uid="{00000000-0005-0000-0000-000010650000}"/>
    <cellStyle name="Followed Hyperlink 4" xfId="11925" hidden="1" xr:uid="{00000000-0005-0000-0000-000011650000}"/>
    <cellStyle name="Followed Hyperlink 4" xfId="11926" hidden="1" xr:uid="{00000000-0005-0000-0000-000012650000}"/>
    <cellStyle name="Followed Hyperlink 4" xfId="11929" hidden="1" xr:uid="{00000000-0005-0000-0000-000013650000}"/>
    <cellStyle name="Followed Hyperlink 4" xfId="11938" hidden="1" xr:uid="{00000000-0005-0000-0000-000014650000}"/>
    <cellStyle name="Followed Hyperlink 4" xfId="11930" hidden="1" xr:uid="{00000000-0005-0000-0000-000015650000}"/>
    <cellStyle name="Followed Hyperlink 4" xfId="11941" hidden="1" xr:uid="{00000000-0005-0000-0000-000016650000}"/>
    <cellStyle name="Followed Hyperlink 4" xfId="11944" hidden="1" xr:uid="{00000000-0005-0000-0000-000017650000}"/>
    <cellStyle name="Followed Hyperlink 4" xfId="11947" hidden="1" xr:uid="{00000000-0005-0000-0000-000018650000}"/>
    <cellStyle name="Followed Hyperlink 4" xfId="11949" hidden="1" xr:uid="{00000000-0005-0000-0000-000019650000}"/>
    <cellStyle name="Followed Hyperlink 4" xfId="11950" hidden="1" xr:uid="{00000000-0005-0000-0000-00001A650000}"/>
    <cellStyle name="Followed Hyperlink 4" xfId="11953" hidden="1" xr:uid="{00000000-0005-0000-0000-00001B650000}"/>
    <cellStyle name="Followed Hyperlink 4" xfId="10986" hidden="1" xr:uid="{00000000-0005-0000-0000-00001C650000}"/>
    <cellStyle name="Followed Hyperlink 4" xfId="10992" hidden="1" xr:uid="{00000000-0005-0000-0000-00001D650000}"/>
    <cellStyle name="Followed Hyperlink 4" xfId="11954" hidden="1" xr:uid="{00000000-0005-0000-0000-00001E650000}"/>
    <cellStyle name="Followed Hyperlink 4" xfId="11957" hidden="1" xr:uid="{00000000-0005-0000-0000-00001F650000}"/>
    <cellStyle name="Followed Hyperlink 4" xfId="11960" hidden="1" xr:uid="{00000000-0005-0000-0000-000020650000}"/>
    <cellStyle name="Followed Hyperlink 4" xfId="11962" hidden="1" xr:uid="{00000000-0005-0000-0000-000021650000}"/>
    <cellStyle name="Followed Hyperlink 4" xfId="11963" hidden="1" xr:uid="{00000000-0005-0000-0000-000022650000}"/>
    <cellStyle name="Followed Hyperlink 4" xfId="11966" hidden="1" xr:uid="{00000000-0005-0000-0000-000023650000}"/>
    <cellStyle name="Followed Hyperlink 4" xfId="11975" hidden="1" xr:uid="{00000000-0005-0000-0000-000024650000}"/>
    <cellStyle name="Followed Hyperlink 4" xfId="11967" hidden="1" xr:uid="{00000000-0005-0000-0000-000025650000}"/>
    <cellStyle name="Followed Hyperlink 4" xfId="11978" hidden="1" xr:uid="{00000000-0005-0000-0000-000026650000}"/>
    <cellStyle name="Followed Hyperlink 4" xfId="11981" hidden="1" xr:uid="{00000000-0005-0000-0000-000027650000}"/>
    <cellStyle name="Followed Hyperlink 4" xfId="11984" hidden="1" xr:uid="{00000000-0005-0000-0000-000028650000}"/>
    <cellStyle name="Followed Hyperlink 4" xfId="11986" hidden="1" xr:uid="{00000000-0005-0000-0000-000029650000}"/>
    <cellStyle name="Followed Hyperlink 4" xfId="11987" hidden="1" xr:uid="{00000000-0005-0000-0000-00002A650000}"/>
    <cellStyle name="Followed Hyperlink 4" xfId="11990" hidden="1" xr:uid="{00000000-0005-0000-0000-00002B650000}"/>
    <cellStyle name="Followed Hyperlink 4" xfId="12000" hidden="1" xr:uid="{00000000-0005-0000-0000-00002C650000}"/>
    <cellStyle name="Followed Hyperlink 4" xfId="11992" hidden="1" xr:uid="{00000000-0005-0000-0000-00002D650000}"/>
    <cellStyle name="Followed Hyperlink 4" xfId="12003" hidden="1" xr:uid="{00000000-0005-0000-0000-00002E650000}"/>
    <cellStyle name="Followed Hyperlink 4" xfId="12006" hidden="1" xr:uid="{00000000-0005-0000-0000-00002F650000}"/>
    <cellStyle name="Followed Hyperlink 4" xfId="12009" hidden="1" xr:uid="{00000000-0005-0000-0000-000030650000}"/>
    <cellStyle name="Followed Hyperlink 4" xfId="12011" hidden="1" xr:uid="{00000000-0005-0000-0000-000031650000}"/>
    <cellStyle name="Followed Hyperlink 4" xfId="12012" hidden="1" xr:uid="{00000000-0005-0000-0000-000032650000}"/>
    <cellStyle name="Followed Hyperlink 4" xfId="12015" hidden="1" xr:uid="{00000000-0005-0000-0000-000033650000}"/>
    <cellStyle name="Followed Hyperlink 4" xfId="12024" hidden="1" xr:uid="{00000000-0005-0000-0000-000034650000}"/>
    <cellStyle name="Followed Hyperlink 4" xfId="12016" hidden="1" xr:uid="{00000000-0005-0000-0000-000035650000}"/>
    <cellStyle name="Followed Hyperlink 4" xfId="12027" hidden="1" xr:uid="{00000000-0005-0000-0000-000036650000}"/>
    <cellStyle name="Followed Hyperlink 4" xfId="12030" hidden="1" xr:uid="{00000000-0005-0000-0000-000037650000}"/>
    <cellStyle name="Followed Hyperlink 4" xfId="12033" hidden="1" xr:uid="{00000000-0005-0000-0000-000038650000}"/>
    <cellStyle name="Followed Hyperlink 4" xfId="12035" hidden="1" xr:uid="{00000000-0005-0000-0000-000039650000}"/>
    <cellStyle name="Followed Hyperlink 4" xfId="12036" hidden="1" xr:uid="{00000000-0005-0000-0000-00003A650000}"/>
    <cellStyle name="Followed Hyperlink 4" xfId="12039" hidden="1" xr:uid="{00000000-0005-0000-0000-00003B650000}"/>
    <cellStyle name="Followed Hyperlink 4" xfId="12077" hidden="1" xr:uid="{00000000-0005-0000-0000-00003C650000}"/>
    <cellStyle name="Followed Hyperlink 4" xfId="12069" hidden="1" xr:uid="{00000000-0005-0000-0000-00003D650000}"/>
    <cellStyle name="Followed Hyperlink 4" xfId="12080" hidden="1" xr:uid="{00000000-0005-0000-0000-00003E650000}"/>
    <cellStyle name="Followed Hyperlink 4" xfId="12083" hidden="1" xr:uid="{00000000-0005-0000-0000-00003F650000}"/>
    <cellStyle name="Followed Hyperlink 4" xfId="12086" hidden="1" xr:uid="{00000000-0005-0000-0000-000040650000}"/>
    <cellStyle name="Followed Hyperlink 4" xfId="12088" hidden="1" xr:uid="{00000000-0005-0000-0000-000041650000}"/>
    <cellStyle name="Followed Hyperlink 4" xfId="12089" hidden="1" xr:uid="{00000000-0005-0000-0000-000042650000}"/>
    <cellStyle name="Followed Hyperlink 4" xfId="12092" hidden="1" xr:uid="{00000000-0005-0000-0000-000043650000}"/>
    <cellStyle name="Followed Hyperlink 4" xfId="12101" hidden="1" xr:uid="{00000000-0005-0000-0000-000044650000}"/>
    <cellStyle name="Followed Hyperlink 4" xfId="12093" hidden="1" xr:uid="{00000000-0005-0000-0000-000045650000}"/>
    <cellStyle name="Followed Hyperlink 4" xfId="12104" hidden="1" xr:uid="{00000000-0005-0000-0000-000046650000}"/>
    <cellStyle name="Followed Hyperlink 4" xfId="12107" hidden="1" xr:uid="{00000000-0005-0000-0000-000047650000}"/>
    <cellStyle name="Followed Hyperlink 4" xfId="12110" hidden="1" xr:uid="{00000000-0005-0000-0000-000048650000}"/>
    <cellStyle name="Followed Hyperlink 4" xfId="12112" hidden="1" xr:uid="{00000000-0005-0000-0000-000049650000}"/>
    <cellStyle name="Followed Hyperlink 4" xfId="12113" hidden="1" xr:uid="{00000000-0005-0000-0000-00004A650000}"/>
    <cellStyle name="Followed Hyperlink 4" xfId="12116" hidden="1" xr:uid="{00000000-0005-0000-0000-00004B650000}"/>
    <cellStyle name="Followed Hyperlink 4" xfId="12127" hidden="1" xr:uid="{00000000-0005-0000-0000-00004C650000}"/>
    <cellStyle name="Followed Hyperlink 4" xfId="12119" hidden="1" xr:uid="{00000000-0005-0000-0000-00004D650000}"/>
    <cellStyle name="Followed Hyperlink 4" xfId="12130" hidden="1" xr:uid="{00000000-0005-0000-0000-00004E650000}"/>
    <cellStyle name="Followed Hyperlink 4" xfId="12133" hidden="1" xr:uid="{00000000-0005-0000-0000-00004F650000}"/>
    <cellStyle name="Followed Hyperlink 4" xfId="12136" hidden="1" xr:uid="{00000000-0005-0000-0000-000050650000}"/>
    <cellStyle name="Followed Hyperlink 4" xfId="12138" hidden="1" xr:uid="{00000000-0005-0000-0000-000051650000}"/>
    <cellStyle name="Followed Hyperlink 4" xfId="12139" hidden="1" xr:uid="{00000000-0005-0000-0000-000052650000}"/>
    <cellStyle name="Followed Hyperlink 4" xfId="12142" hidden="1" xr:uid="{00000000-0005-0000-0000-000053650000}"/>
    <cellStyle name="Followed Hyperlink 4" xfId="12151" hidden="1" xr:uid="{00000000-0005-0000-0000-000054650000}"/>
    <cellStyle name="Followed Hyperlink 4" xfId="12143" hidden="1" xr:uid="{00000000-0005-0000-0000-000055650000}"/>
    <cellStyle name="Followed Hyperlink 4" xfId="12154" hidden="1" xr:uid="{00000000-0005-0000-0000-000056650000}"/>
    <cellStyle name="Followed Hyperlink 4" xfId="12157" hidden="1" xr:uid="{00000000-0005-0000-0000-000057650000}"/>
    <cellStyle name="Followed Hyperlink 4" xfId="12160" hidden="1" xr:uid="{00000000-0005-0000-0000-000058650000}"/>
    <cellStyle name="Followed Hyperlink 4" xfId="12162" hidden="1" xr:uid="{00000000-0005-0000-0000-000059650000}"/>
    <cellStyle name="Followed Hyperlink 4" xfId="12163" hidden="1" xr:uid="{00000000-0005-0000-0000-00005A650000}"/>
    <cellStyle name="Followed Hyperlink 4" xfId="12166" hidden="1" xr:uid="{00000000-0005-0000-0000-00005B650000}"/>
    <cellStyle name="Followed Hyperlink 4" xfId="12049" hidden="1" xr:uid="{00000000-0005-0000-0000-00005C650000}"/>
    <cellStyle name="Followed Hyperlink 4" xfId="12043" hidden="1" xr:uid="{00000000-0005-0000-0000-00005D650000}"/>
    <cellStyle name="Followed Hyperlink 4" xfId="12167" hidden="1" xr:uid="{00000000-0005-0000-0000-00005E650000}"/>
    <cellStyle name="Followed Hyperlink 4" xfId="12170" hidden="1" xr:uid="{00000000-0005-0000-0000-00005F650000}"/>
    <cellStyle name="Followed Hyperlink 4" xfId="12173" hidden="1" xr:uid="{00000000-0005-0000-0000-000060650000}"/>
    <cellStyle name="Followed Hyperlink 4" xfId="12175" hidden="1" xr:uid="{00000000-0005-0000-0000-000061650000}"/>
    <cellStyle name="Followed Hyperlink 4" xfId="12176" hidden="1" xr:uid="{00000000-0005-0000-0000-000062650000}"/>
    <cellStyle name="Followed Hyperlink 4" xfId="12179" hidden="1" xr:uid="{00000000-0005-0000-0000-000063650000}"/>
    <cellStyle name="Followed Hyperlink 4" xfId="12188" hidden="1" xr:uid="{00000000-0005-0000-0000-000064650000}"/>
    <cellStyle name="Followed Hyperlink 4" xfId="12180" hidden="1" xr:uid="{00000000-0005-0000-0000-000065650000}"/>
    <cellStyle name="Followed Hyperlink 4" xfId="12191" hidden="1" xr:uid="{00000000-0005-0000-0000-000066650000}"/>
    <cellStyle name="Followed Hyperlink 4" xfId="12194" hidden="1" xr:uid="{00000000-0005-0000-0000-000067650000}"/>
    <cellStyle name="Followed Hyperlink 4" xfId="12197" hidden="1" xr:uid="{00000000-0005-0000-0000-000068650000}"/>
    <cellStyle name="Followed Hyperlink 4" xfId="12199" hidden="1" xr:uid="{00000000-0005-0000-0000-000069650000}"/>
    <cellStyle name="Followed Hyperlink 4" xfId="12200" hidden="1" xr:uid="{00000000-0005-0000-0000-00006A650000}"/>
    <cellStyle name="Followed Hyperlink 4" xfId="12203" hidden="1" xr:uid="{00000000-0005-0000-0000-00006B650000}"/>
    <cellStyle name="Followed Hyperlink 4" xfId="12213" hidden="1" xr:uid="{00000000-0005-0000-0000-00006C650000}"/>
    <cellStyle name="Followed Hyperlink 4" xfId="12205" hidden="1" xr:uid="{00000000-0005-0000-0000-00006D650000}"/>
    <cellStyle name="Followed Hyperlink 4" xfId="12216" hidden="1" xr:uid="{00000000-0005-0000-0000-00006E650000}"/>
    <cellStyle name="Followed Hyperlink 4" xfId="12219" hidden="1" xr:uid="{00000000-0005-0000-0000-00006F650000}"/>
    <cellStyle name="Followed Hyperlink 4" xfId="12222" hidden="1" xr:uid="{00000000-0005-0000-0000-000070650000}"/>
    <cellStyle name="Followed Hyperlink 4" xfId="12224" hidden="1" xr:uid="{00000000-0005-0000-0000-000071650000}"/>
    <cellStyle name="Followed Hyperlink 4" xfId="12225" hidden="1" xr:uid="{00000000-0005-0000-0000-000072650000}"/>
    <cellStyle name="Followed Hyperlink 4" xfId="12228" hidden="1" xr:uid="{00000000-0005-0000-0000-000073650000}"/>
    <cellStyle name="Followed Hyperlink 4" xfId="12237" hidden="1" xr:uid="{00000000-0005-0000-0000-000074650000}"/>
    <cellStyle name="Followed Hyperlink 4" xfId="12229" hidden="1" xr:uid="{00000000-0005-0000-0000-000075650000}"/>
    <cellStyle name="Followed Hyperlink 4" xfId="12240" hidden="1" xr:uid="{00000000-0005-0000-0000-000076650000}"/>
    <cellStyle name="Followed Hyperlink 4" xfId="12243" hidden="1" xr:uid="{00000000-0005-0000-0000-000077650000}"/>
    <cellStyle name="Followed Hyperlink 4" xfId="12246" hidden="1" xr:uid="{00000000-0005-0000-0000-000078650000}"/>
    <cellStyle name="Followed Hyperlink 4" xfId="12248" hidden="1" xr:uid="{00000000-0005-0000-0000-000079650000}"/>
    <cellStyle name="Followed Hyperlink 4" xfId="12249" hidden="1" xr:uid="{00000000-0005-0000-0000-00007A650000}"/>
    <cellStyle name="Followed Hyperlink 4" xfId="12252" hidden="1" xr:uid="{00000000-0005-0000-0000-00007B650000}"/>
    <cellStyle name="Followed Hyperlink 4" xfId="12053" hidden="1" xr:uid="{00000000-0005-0000-0000-00007C650000}"/>
    <cellStyle name="Followed Hyperlink 4" xfId="12059" hidden="1" xr:uid="{00000000-0005-0000-0000-00007D650000}"/>
    <cellStyle name="Followed Hyperlink 4" xfId="12253" hidden="1" xr:uid="{00000000-0005-0000-0000-00007E650000}"/>
    <cellStyle name="Followed Hyperlink 4" xfId="12256" hidden="1" xr:uid="{00000000-0005-0000-0000-00007F650000}"/>
    <cellStyle name="Followed Hyperlink 4" xfId="12259" hidden="1" xr:uid="{00000000-0005-0000-0000-000080650000}"/>
    <cellStyle name="Followed Hyperlink 4" xfId="12261" hidden="1" xr:uid="{00000000-0005-0000-0000-000081650000}"/>
    <cellStyle name="Followed Hyperlink 4" xfId="12262" hidden="1" xr:uid="{00000000-0005-0000-0000-000082650000}"/>
    <cellStyle name="Followed Hyperlink 4" xfId="12265" hidden="1" xr:uid="{00000000-0005-0000-0000-000083650000}"/>
    <cellStyle name="Followed Hyperlink 4" xfId="12274" hidden="1" xr:uid="{00000000-0005-0000-0000-000084650000}"/>
    <cellStyle name="Followed Hyperlink 4" xfId="12266" hidden="1" xr:uid="{00000000-0005-0000-0000-000085650000}"/>
    <cellStyle name="Followed Hyperlink 4" xfId="12277" hidden="1" xr:uid="{00000000-0005-0000-0000-000086650000}"/>
    <cellStyle name="Followed Hyperlink 4" xfId="12280" hidden="1" xr:uid="{00000000-0005-0000-0000-000087650000}"/>
    <cellStyle name="Followed Hyperlink 4" xfId="12283" hidden="1" xr:uid="{00000000-0005-0000-0000-000088650000}"/>
    <cellStyle name="Followed Hyperlink 4" xfId="12285" hidden="1" xr:uid="{00000000-0005-0000-0000-000089650000}"/>
    <cellStyle name="Followed Hyperlink 4" xfId="12286" hidden="1" xr:uid="{00000000-0005-0000-0000-00008A650000}"/>
    <cellStyle name="Followed Hyperlink 4" xfId="12289" hidden="1" xr:uid="{00000000-0005-0000-0000-00008B650000}"/>
    <cellStyle name="Followed Hyperlink 4" xfId="12299" hidden="1" xr:uid="{00000000-0005-0000-0000-00008C650000}"/>
    <cellStyle name="Followed Hyperlink 4" xfId="12291" hidden="1" xr:uid="{00000000-0005-0000-0000-00008D650000}"/>
    <cellStyle name="Followed Hyperlink 4" xfId="12302" hidden="1" xr:uid="{00000000-0005-0000-0000-00008E650000}"/>
    <cellStyle name="Followed Hyperlink 4" xfId="12305" hidden="1" xr:uid="{00000000-0005-0000-0000-00008F650000}"/>
    <cellStyle name="Followed Hyperlink 4" xfId="12308" hidden="1" xr:uid="{00000000-0005-0000-0000-000090650000}"/>
    <cellStyle name="Followed Hyperlink 4" xfId="12310" hidden="1" xr:uid="{00000000-0005-0000-0000-000091650000}"/>
    <cellStyle name="Followed Hyperlink 4" xfId="12311" hidden="1" xr:uid="{00000000-0005-0000-0000-000092650000}"/>
    <cellStyle name="Followed Hyperlink 4" xfId="12314" hidden="1" xr:uid="{00000000-0005-0000-0000-000093650000}"/>
    <cellStyle name="Followed Hyperlink 4" xfId="12323" hidden="1" xr:uid="{00000000-0005-0000-0000-000094650000}"/>
    <cellStyle name="Followed Hyperlink 4" xfId="12315" hidden="1" xr:uid="{00000000-0005-0000-0000-000095650000}"/>
    <cellStyle name="Followed Hyperlink 4" xfId="12326" hidden="1" xr:uid="{00000000-0005-0000-0000-000096650000}"/>
    <cellStyle name="Followed Hyperlink 4" xfId="12329" hidden="1" xr:uid="{00000000-0005-0000-0000-000097650000}"/>
    <cellStyle name="Followed Hyperlink 4" xfId="12332" hidden="1" xr:uid="{00000000-0005-0000-0000-000098650000}"/>
    <cellStyle name="Followed Hyperlink 4" xfId="12334" hidden="1" xr:uid="{00000000-0005-0000-0000-000099650000}"/>
    <cellStyle name="Followed Hyperlink 4" xfId="12335" hidden="1" xr:uid="{00000000-0005-0000-0000-00009A650000}"/>
    <cellStyle name="Followed Hyperlink 4" xfId="12338" hidden="1" xr:uid="{00000000-0005-0000-0000-00009B650000}"/>
    <cellStyle name="Followed Hyperlink 4" xfId="12063" hidden="1" xr:uid="{00000000-0005-0000-0000-00009C650000}"/>
    <cellStyle name="Followed Hyperlink 4" xfId="12118" hidden="1" xr:uid="{00000000-0005-0000-0000-00009D650000}"/>
    <cellStyle name="Followed Hyperlink 4" xfId="12339" hidden="1" xr:uid="{00000000-0005-0000-0000-00009E650000}"/>
    <cellStyle name="Followed Hyperlink 4" xfId="12342" hidden="1" xr:uid="{00000000-0005-0000-0000-00009F650000}"/>
    <cellStyle name="Followed Hyperlink 4" xfId="12345" hidden="1" xr:uid="{00000000-0005-0000-0000-0000A0650000}"/>
    <cellStyle name="Followed Hyperlink 4" xfId="12347" hidden="1" xr:uid="{00000000-0005-0000-0000-0000A1650000}"/>
    <cellStyle name="Followed Hyperlink 4" xfId="12348" hidden="1" xr:uid="{00000000-0005-0000-0000-0000A2650000}"/>
    <cellStyle name="Followed Hyperlink 4" xfId="12351" hidden="1" xr:uid="{00000000-0005-0000-0000-0000A3650000}"/>
    <cellStyle name="Followed Hyperlink 4" xfId="12360" hidden="1" xr:uid="{00000000-0005-0000-0000-0000A4650000}"/>
    <cellStyle name="Followed Hyperlink 4" xfId="12352" hidden="1" xr:uid="{00000000-0005-0000-0000-0000A5650000}"/>
    <cellStyle name="Followed Hyperlink 4" xfId="12363" hidden="1" xr:uid="{00000000-0005-0000-0000-0000A6650000}"/>
    <cellStyle name="Followed Hyperlink 4" xfId="12366" hidden="1" xr:uid="{00000000-0005-0000-0000-0000A7650000}"/>
    <cellStyle name="Followed Hyperlink 4" xfId="12369" hidden="1" xr:uid="{00000000-0005-0000-0000-0000A8650000}"/>
    <cellStyle name="Followed Hyperlink 4" xfId="12371" hidden="1" xr:uid="{00000000-0005-0000-0000-0000A9650000}"/>
    <cellStyle name="Followed Hyperlink 4" xfId="12372" hidden="1" xr:uid="{00000000-0005-0000-0000-0000AA650000}"/>
    <cellStyle name="Followed Hyperlink 4" xfId="12375" hidden="1" xr:uid="{00000000-0005-0000-0000-0000AB650000}"/>
    <cellStyle name="Followed Hyperlink 4" xfId="12384" hidden="1" xr:uid="{00000000-0005-0000-0000-0000AC650000}"/>
    <cellStyle name="Followed Hyperlink 4" xfId="12376" hidden="1" xr:uid="{00000000-0005-0000-0000-0000AD650000}"/>
    <cellStyle name="Followed Hyperlink 4" xfId="12387" hidden="1" xr:uid="{00000000-0005-0000-0000-0000AE650000}"/>
    <cellStyle name="Followed Hyperlink 4" xfId="12390" hidden="1" xr:uid="{00000000-0005-0000-0000-0000AF650000}"/>
    <cellStyle name="Followed Hyperlink 4" xfId="12393" hidden="1" xr:uid="{00000000-0005-0000-0000-0000B0650000}"/>
    <cellStyle name="Followed Hyperlink 4" xfId="12395" hidden="1" xr:uid="{00000000-0005-0000-0000-0000B1650000}"/>
    <cellStyle name="Followed Hyperlink 4" xfId="12396" hidden="1" xr:uid="{00000000-0005-0000-0000-0000B2650000}"/>
    <cellStyle name="Followed Hyperlink 4" xfId="12399" hidden="1" xr:uid="{00000000-0005-0000-0000-0000B3650000}"/>
    <cellStyle name="Followed Hyperlink 4" xfId="12408" hidden="1" xr:uid="{00000000-0005-0000-0000-0000B4650000}"/>
    <cellStyle name="Followed Hyperlink 4" xfId="12400" hidden="1" xr:uid="{00000000-0005-0000-0000-0000B5650000}"/>
    <cellStyle name="Followed Hyperlink 4" xfId="12411" hidden="1" xr:uid="{00000000-0005-0000-0000-0000B6650000}"/>
    <cellStyle name="Followed Hyperlink 4" xfId="12414" hidden="1" xr:uid="{00000000-0005-0000-0000-0000B7650000}"/>
    <cellStyle name="Followed Hyperlink 4" xfId="12417" hidden="1" xr:uid="{00000000-0005-0000-0000-0000B8650000}"/>
    <cellStyle name="Followed Hyperlink 4" xfId="12419" hidden="1" xr:uid="{00000000-0005-0000-0000-0000B9650000}"/>
    <cellStyle name="Followed Hyperlink 4" xfId="12420" hidden="1" xr:uid="{00000000-0005-0000-0000-0000BA650000}"/>
    <cellStyle name="Followed Hyperlink 4" xfId="12423" hidden="1" xr:uid="{00000000-0005-0000-0000-0000BB650000}"/>
    <cellStyle name="Followed Hyperlink 4" xfId="10996" hidden="1" xr:uid="{00000000-0005-0000-0000-0000BC650000}"/>
    <cellStyle name="Followed Hyperlink 4" xfId="11051" hidden="1" xr:uid="{00000000-0005-0000-0000-0000BD650000}"/>
    <cellStyle name="Followed Hyperlink 4" xfId="12424" hidden="1" xr:uid="{00000000-0005-0000-0000-0000BE650000}"/>
    <cellStyle name="Followed Hyperlink 4" xfId="12427" hidden="1" xr:uid="{00000000-0005-0000-0000-0000BF650000}"/>
    <cellStyle name="Followed Hyperlink 4" xfId="12430" hidden="1" xr:uid="{00000000-0005-0000-0000-0000C0650000}"/>
    <cellStyle name="Followed Hyperlink 4" xfId="12432" hidden="1" xr:uid="{00000000-0005-0000-0000-0000C1650000}"/>
    <cellStyle name="Followed Hyperlink 4" xfId="12433" hidden="1" xr:uid="{00000000-0005-0000-0000-0000C2650000}"/>
    <cellStyle name="Followed Hyperlink 4" xfId="12436" hidden="1" xr:uid="{00000000-0005-0000-0000-0000C3650000}"/>
    <cellStyle name="Followed Hyperlink 4" xfId="12445" hidden="1" xr:uid="{00000000-0005-0000-0000-0000C4650000}"/>
    <cellStyle name="Followed Hyperlink 4" xfId="12437" hidden="1" xr:uid="{00000000-0005-0000-0000-0000C5650000}"/>
    <cellStyle name="Followed Hyperlink 4" xfId="12448" hidden="1" xr:uid="{00000000-0005-0000-0000-0000C6650000}"/>
    <cellStyle name="Followed Hyperlink 4" xfId="12451" hidden="1" xr:uid="{00000000-0005-0000-0000-0000C7650000}"/>
    <cellStyle name="Followed Hyperlink 4" xfId="12454" hidden="1" xr:uid="{00000000-0005-0000-0000-0000C8650000}"/>
    <cellStyle name="Followed Hyperlink 4" xfId="12456" hidden="1" xr:uid="{00000000-0005-0000-0000-0000C9650000}"/>
    <cellStyle name="Followed Hyperlink 4" xfId="12457" hidden="1" xr:uid="{00000000-0005-0000-0000-0000CA650000}"/>
    <cellStyle name="Followed Hyperlink 4" xfId="12460" hidden="1" xr:uid="{00000000-0005-0000-0000-0000CB650000}"/>
    <cellStyle name="Followed Hyperlink 4" xfId="12469" hidden="1" xr:uid="{00000000-0005-0000-0000-0000CC650000}"/>
    <cellStyle name="Followed Hyperlink 4" xfId="12461" hidden="1" xr:uid="{00000000-0005-0000-0000-0000CD650000}"/>
    <cellStyle name="Followed Hyperlink 4" xfId="12472" hidden="1" xr:uid="{00000000-0005-0000-0000-0000CE650000}"/>
    <cellStyle name="Followed Hyperlink 4" xfId="12475" hidden="1" xr:uid="{00000000-0005-0000-0000-0000CF650000}"/>
    <cellStyle name="Followed Hyperlink 4" xfId="12478" hidden="1" xr:uid="{00000000-0005-0000-0000-0000D0650000}"/>
    <cellStyle name="Followed Hyperlink 4" xfId="12480" hidden="1" xr:uid="{00000000-0005-0000-0000-0000D1650000}"/>
    <cellStyle name="Followed Hyperlink 4" xfId="12481" hidden="1" xr:uid="{00000000-0005-0000-0000-0000D2650000}"/>
    <cellStyle name="Followed Hyperlink 4" xfId="12484" hidden="1" xr:uid="{00000000-0005-0000-0000-0000D3650000}"/>
    <cellStyle name="Followed Hyperlink 4" xfId="12493" hidden="1" xr:uid="{00000000-0005-0000-0000-0000D4650000}"/>
    <cellStyle name="Followed Hyperlink 4" xfId="12485" hidden="1" xr:uid="{00000000-0005-0000-0000-0000D5650000}"/>
    <cellStyle name="Followed Hyperlink 4" xfId="12496" hidden="1" xr:uid="{00000000-0005-0000-0000-0000D6650000}"/>
    <cellStyle name="Followed Hyperlink 4" xfId="12499" hidden="1" xr:uid="{00000000-0005-0000-0000-0000D7650000}"/>
    <cellStyle name="Followed Hyperlink 4" xfId="12502" hidden="1" xr:uid="{00000000-0005-0000-0000-0000D8650000}"/>
    <cellStyle name="Followed Hyperlink 4" xfId="12504" hidden="1" xr:uid="{00000000-0005-0000-0000-0000D9650000}"/>
    <cellStyle name="Followed Hyperlink 4" xfId="12505" hidden="1" xr:uid="{00000000-0005-0000-0000-0000DA650000}"/>
    <cellStyle name="Followed Hyperlink 4" xfId="12508" hidden="1" xr:uid="{00000000-0005-0000-0000-0000DB650000}"/>
    <cellStyle name="Followed Hyperlink 4" xfId="12546" hidden="1" xr:uid="{00000000-0005-0000-0000-0000DC650000}"/>
    <cellStyle name="Followed Hyperlink 4" xfId="12538" hidden="1" xr:uid="{00000000-0005-0000-0000-0000DD650000}"/>
    <cellStyle name="Followed Hyperlink 4" xfId="12549" hidden="1" xr:uid="{00000000-0005-0000-0000-0000DE650000}"/>
    <cellStyle name="Followed Hyperlink 4" xfId="12552" hidden="1" xr:uid="{00000000-0005-0000-0000-0000DF650000}"/>
    <cellStyle name="Followed Hyperlink 4" xfId="12555" hidden="1" xr:uid="{00000000-0005-0000-0000-0000E0650000}"/>
    <cellStyle name="Followed Hyperlink 4" xfId="12557" hidden="1" xr:uid="{00000000-0005-0000-0000-0000E1650000}"/>
    <cellStyle name="Followed Hyperlink 4" xfId="12558" hidden="1" xr:uid="{00000000-0005-0000-0000-0000E2650000}"/>
    <cellStyle name="Followed Hyperlink 4" xfId="12561" hidden="1" xr:uid="{00000000-0005-0000-0000-0000E3650000}"/>
    <cellStyle name="Followed Hyperlink 4" xfId="12570" hidden="1" xr:uid="{00000000-0005-0000-0000-0000E4650000}"/>
    <cellStyle name="Followed Hyperlink 4" xfId="12562" hidden="1" xr:uid="{00000000-0005-0000-0000-0000E5650000}"/>
    <cellStyle name="Followed Hyperlink 4" xfId="12573" hidden="1" xr:uid="{00000000-0005-0000-0000-0000E6650000}"/>
    <cellStyle name="Followed Hyperlink 4" xfId="12576" hidden="1" xr:uid="{00000000-0005-0000-0000-0000E7650000}"/>
    <cellStyle name="Followed Hyperlink 4" xfId="12579" hidden="1" xr:uid="{00000000-0005-0000-0000-0000E8650000}"/>
    <cellStyle name="Followed Hyperlink 4" xfId="12581" hidden="1" xr:uid="{00000000-0005-0000-0000-0000E9650000}"/>
    <cellStyle name="Followed Hyperlink 4" xfId="12582" hidden="1" xr:uid="{00000000-0005-0000-0000-0000EA650000}"/>
    <cellStyle name="Followed Hyperlink 4" xfId="12585" hidden="1" xr:uid="{00000000-0005-0000-0000-0000EB650000}"/>
    <cellStyle name="Followed Hyperlink 4" xfId="12596" hidden="1" xr:uid="{00000000-0005-0000-0000-0000EC650000}"/>
    <cellStyle name="Followed Hyperlink 4" xfId="12588" hidden="1" xr:uid="{00000000-0005-0000-0000-0000ED650000}"/>
    <cellStyle name="Followed Hyperlink 4" xfId="12599" hidden="1" xr:uid="{00000000-0005-0000-0000-0000EE650000}"/>
    <cellStyle name="Followed Hyperlink 4" xfId="12602" hidden="1" xr:uid="{00000000-0005-0000-0000-0000EF650000}"/>
    <cellStyle name="Followed Hyperlink 4" xfId="12605" hidden="1" xr:uid="{00000000-0005-0000-0000-0000F0650000}"/>
    <cellStyle name="Followed Hyperlink 4" xfId="12607" hidden="1" xr:uid="{00000000-0005-0000-0000-0000F1650000}"/>
    <cellStyle name="Followed Hyperlink 4" xfId="12608" hidden="1" xr:uid="{00000000-0005-0000-0000-0000F2650000}"/>
    <cellStyle name="Followed Hyperlink 4" xfId="12611" hidden="1" xr:uid="{00000000-0005-0000-0000-0000F3650000}"/>
    <cellStyle name="Followed Hyperlink 4" xfId="12620" hidden="1" xr:uid="{00000000-0005-0000-0000-0000F4650000}"/>
    <cellStyle name="Followed Hyperlink 4" xfId="12612" hidden="1" xr:uid="{00000000-0005-0000-0000-0000F5650000}"/>
    <cellStyle name="Followed Hyperlink 4" xfId="12623" hidden="1" xr:uid="{00000000-0005-0000-0000-0000F6650000}"/>
    <cellStyle name="Followed Hyperlink 4" xfId="12626" hidden="1" xr:uid="{00000000-0005-0000-0000-0000F7650000}"/>
    <cellStyle name="Followed Hyperlink 4" xfId="12629" hidden="1" xr:uid="{00000000-0005-0000-0000-0000F8650000}"/>
    <cellStyle name="Followed Hyperlink 4" xfId="12631" hidden="1" xr:uid="{00000000-0005-0000-0000-0000F9650000}"/>
    <cellStyle name="Followed Hyperlink 4" xfId="12632" hidden="1" xr:uid="{00000000-0005-0000-0000-0000FA650000}"/>
    <cellStyle name="Followed Hyperlink 4" xfId="12635" hidden="1" xr:uid="{00000000-0005-0000-0000-0000FB650000}"/>
    <cellStyle name="Followed Hyperlink 4" xfId="12518" hidden="1" xr:uid="{00000000-0005-0000-0000-0000FC650000}"/>
    <cellStyle name="Followed Hyperlink 4" xfId="12512" hidden="1" xr:uid="{00000000-0005-0000-0000-0000FD650000}"/>
    <cellStyle name="Followed Hyperlink 4" xfId="12636" hidden="1" xr:uid="{00000000-0005-0000-0000-0000FE650000}"/>
    <cellStyle name="Followed Hyperlink 4" xfId="12639" hidden="1" xr:uid="{00000000-0005-0000-0000-0000FF650000}"/>
    <cellStyle name="Followed Hyperlink 4" xfId="12642" hidden="1" xr:uid="{00000000-0005-0000-0000-000000660000}"/>
    <cellStyle name="Followed Hyperlink 4" xfId="12644" hidden="1" xr:uid="{00000000-0005-0000-0000-000001660000}"/>
    <cellStyle name="Followed Hyperlink 4" xfId="12645" hidden="1" xr:uid="{00000000-0005-0000-0000-000002660000}"/>
    <cellStyle name="Followed Hyperlink 4" xfId="12648" hidden="1" xr:uid="{00000000-0005-0000-0000-000003660000}"/>
    <cellStyle name="Followed Hyperlink 4" xfId="12657" hidden="1" xr:uid="{00000000-0005-0000-0000-000004660000}"/>
    <cellStyle name="Followed Hyperlink 4" xfId="12649" hidden="1" xr:uid="{00000000-0005-0000-0000-000005660000}"/>
    <cellStyle name="Followed Hyperlink 4" xfId="12660" hidden="1" xr:uid="{00000000-0005-0000-0000-000006660000}"/>
    <cellStyle name="Followed Hyperlink 4" xfId="12663" hidden="1" xr:uid="{00000000-0005-0000-0000-000007660000}"/>
    <cellStyle name="Followed Hyperlink 4" xfId="12666" hidden="1" xr:uid="{00000000-0005-0000-0000-000008660000}"/>
    <cellStyle name="Followed Hyperlink 4" xfId="12668" hidden="1" xr:uid="{00000000-0005-0000-0000-000009660000}"/>
    <cellStyle name="Followed Hyperlink 4" xfId="12669" hidden="1" xr:uid="{00000000-0005-0000-0000-00000A660000}"/>
    <cellStyle name="Followed Hyperlink 4" xfId="12672" hidden="1" xr:uid="{00000000-0005-0000-0000-00000B660000}"/>
    <cellStyle name="Followed Hyperlink 4" xfId="12682" hidden="1" xr:uid="{00000000-0005-0000-0000-00000C660000}"/>
    <cellStyle name="Followed Hyperlink 4" xfId="12674" hidden="1" xr:uid="{00000000-0005-0000-0000-00000D660000}"/>
    <cellStyle name="Followed Hyperlink 4" xfId="12685" hidden="1" xr:uid="{00000000-0005-0000-0000-00000E660000}"/>
    <cellStyle name="Followed Hyperlink 4" xfId="12688" hidden="1" xr:uid="{00000000-0005-0000-0000-00000F660000}"/>
    <cellStyle name="Followed Hyperlink 4" xfId="12691" hidden="1" xr:uid="{00000000-0005-0000-0000-000010660000}"/>
    <cellStyle name="Followed Hyperlink 4" xfId="12693" hidden="1" xr:uid="{00000000-0005-0000-0000-000011660000}"/>
    <cellStyle name="Followed Hyperlink 4" xfId="12694" hidden="1" xr:uid="{00000000-0005-0000-0000-000012660000}"/>
    <cellStyle name="Followed Hyperlink 4" xfId="12697" hidden="1" xr:uid="{00000000-0005-0000-0000-000013660000}"/>
    <cellStyle name="Followed Hyperlink 4" xfId="12706" hidden="1" xr:uid="{00000000-0005-0000-0000-000014660000}"/>
    <cellStyle name="Followed Hyperlink 4" xfId="12698" hidden="1" xr:uid="{00000000-0005-0000-0000-000015660000}"/>
    <cellStyle name="Followed Hyperlink 4" xfId="12709" hidden="1" xr:uid="{00000000-0005-0000-0000-000016660000}"/>
    <cellStyle name="Followed Hyperlink 4" xfId="12712" hidden="1" xr:uid="{00000000-0005-0000-0000-000017660000}"/>
    <cellStyle name="Followed Hyperlink 4" xfId="12715" hidden="1" xr:uid="{00000000-0005-0000-0000-000018660000}"/>
    <cellStyle name="Followed Hyperlink 4" xfId="12717" hidden="1" xr:uid="{00000000-0005-0000-0000-000019660000}"/>
    <cellStyle name="Followed Hyperlink 4" xfId="12718" hidden="1" xr:uid="{00000000-0005-0000-0000-00001A660000}"/>
    <cellStyle name="Followed Hyperlink 4" xfId="12721" hidden="1" xr:uid="{00000000-0005-0000-0000-00001B660000}"/>
    <cellStyle name="Followed Hyperlink 4" xfId="12522" hidden="1" xr:uid="{00000000-0005-0000-0000-00001C660000}"/>
    <cellStyle name="Followed Hyperlink 4" xfId="12528" hidden="1" xr:uid="{00000000-0005-0000-0000-00001D660000}"/>
    <cellStyle name="Followed Hyperlink 4" xfId="12722" hidden="1" xr:uid="{00000000-0005-0000-0000-00001E660000}"/>
    <cellStyle name="Followed Hyperlink 4" xfId="12725" hidden="1" xr:uid="{00000000-0005-0000-0000-00001F660000}"/>
    <cellStyle name="Followed Hyperlink 4" xfId="12728" hidden="1" xr:uid="{00000000-0005-0000-0000-000020660000}"/>
    <cellStyle name="Followed Hyperlink 4" xfId="12730" hidden="1" xr:uid="{00000000-0005-0000-0000-000021660000}"/>
    <cellStyle name="Followed Hyperlink 4" xfId="12731" hidden="1" xr:uid="{00000000-0005-0000-0000-000022660000}"/>
    <cellStyle name="Followed Hyperlink 4" xfId="12734" hidden="1" xr:uid="{00000000-0005-0000-0000-000023660000}"/>
    <cellStyle name="Followed Hyperlink 4" xfId="12743" hidden="1" xr:uid="{00000000-0005-0000-0000-000024660000}"/>
    <cellStyle name="Followed Hyperlink 4" xfId="12735" hidden="1" xr:uid="{00000000-0005-0000-0000-000025660000}"/>
    <cellStyle name="Followed Hyperlink 4" xfId="12746" hidden="1" xr:uid="{00000000-0005-0000-0000-000026660000}"/>
    <cellStyle name="Followed Hyperlink 4" xfId="12749" hidden="1" xr:uid="{00000000-0005-0000-0000-000027660000}"/>
    <cellStyle name="Followed Hyperlink 4" xfId="12752" hidden="1" xr:uid="{00000000-0005-0000-0000-000028660000}"/>
    <cellStyle name="Followed Hyperlink 4" xfId="12754" hidden="1" xr:uid="{00000000-0005-0000-0000-000029660000}"/>
    <cellStyle name="Followed Hyperlink 4" xfId="12755" hidden="1" xr:uid="{00000000-0005-0000-0000-00002A660000}"/>
    <cellStyle name="Followed Hyperlink 4" xfId="12758" hidden="1" xr:uid="{00000000-0005-0000-0000-00002B660000}"/>
    <cellStyle name="Followed Hyperlink 4" xfId="12768" hidden="1" xr:uid="{00000000-0005-0000-0000-00002C660000}"/>
    <cellStyle name="Followed Hyperlink 4" xfId="12760" hidden="1" xr:uid="{00000000-0005-0000-0000-00002D660000}"/>
    <cellStyle name="Followed Hyperlink 4" xfId="12771" hidden="1" xr:uid="{00000000-0005-0000-0000-00002E660000}"/>
    <cellStyle name="Followed Hyperlink 4" xfId="12774" hidden="1" xr:uid="{00000000-0005-0000-0000-00002F660000}"/>
    <cellStyle name="Followed Hyperlink 4" xfId="12777" hidden="1" xr:uid="{00000000-0005-0000-0000-000030660000}"/>
    <cellStyle name="Followed Hyperlink 4" xfId="12779" hidden="1" xr:uid="{00000000-0005-0000-0000-000031660000}"/>
    <cellStyle name="Followed Hyperlink 4" xfId="12780" hidden="1" xr:uid="{00000000-0005-0000-0000-000032660000}"/>
    <cellStyle name="Followed Hyperlink 4" xfId="12783" hidden="1" xr:uid="{00000000-0005-0000-0000-000033660000}"/>
    <cellStyle name="Followed Hyperlink 4" xfId="12792" hidden="1" xr:uid="{00000000-0005-0000-0000-000034660000}"/>
    <cellStyle name="Followed Hyperlink 4" xfId="12784" hidden="1" xr:uid="{00000000-0005-0000-0000-000035660000}"/>
    <cellStyle name="Followed Hyperlink 4" xfId="12795" hidden="1" xr:uid="{00000000-0005-0000-0000-000036660000}"/>
    <cellStyle name="Followed Hyperlink 4" xfId="12798" hidden="1" xr:uid="{00000000-0005-0000-0000-000037660000}"/>
    <cellStyle name="Followed Hyperlink 4" xfId="12801" hidden="1" xr:uid="{00000000-0005-0000-0000-000038660000}"/>
    <cellStyle name="Followed Hyperlink 4" xfId="12803" hidden="1" xr:uid="{00000000-0005-0000-0000-000039660000}"/>
    <cellStyle name="Followed Hyperlink 4" xfId="12804" hidden="1" xr:uid="{00000000-0005-0000-0000-00003A660000}"/>
    <cellStyle name="Followed Hyperlink 4" xfId="12807" hidden="1" xr:uid="{00000000-0005-0000-0000-00003B660000}"/>
    <cellStyle name="Followed Hyperlink 4" xfId="12532" hidden="1" xr:uid="{00000000-0005-0000-0000-00003C660000}"/>
    <cellStyle name="Followed Hyperlink 4" xfId="12587" hidden="1" xr:uid="{00000000-0005-0000-0000-00003D660000}"/>
    <cellStyle name="Followed Hyperlink 4" xfId="12808" hidden="1" xr:uid="{00000000-0005-0000-0000-00003E660000}"/>
    <cellStyle name="Followed Hyperlink 4" xfId="12811" hidden="1" xr:uid="{00000000-0005-0000-0000-00003F660000}"/>
    <cellStyle name="Followed Hyperlink 4" xfId="12814" hidden="1" xr:uid="{00000000-0005-0000-0000-000040660000}"/>
    <cellStyle name="Followed Hyperlink 4" xfId="12816" hidden="1" xr:uid="{00000000-0005-0000-0000-000041660000}"/>
    <cellStyle name="Followed Hyperlink 4" xfId="12817" hidden="1" xr:uid="{00000000-0005-0000-0000-000042660000}"/>
    <cellStyle name="Followed Hyperlink 4" xfId="12820" hidden="1" xr:uid="{00000000-0005-0000-0000-000043660000}"/>
    <cellStyle name="Followed Hyperlink 4" xfId="12829" hidden="1" xr:uid="{00000000-0005-0000-0000-000044660000}"/>
    <cellStyle name="Followed Hyperlink 4" xfId="12821" hidden="1" xr:uid="{00000000-0005-0000-0000-000045660000}"/>
    <cellStyle name="Followed Hyperlink 4" xfId="12832" hidden="1" xr:uid="{00000000-0005-0000-0000-000046660000}"/>
    <cellStyle name="Followed Hyperlink 4" xfId="12835" hidden="1" xr:uid="{00000000-0005-0000-0000-000047660000}"/>
    <cellStyle name="Followed Hyperlink 4" xfId="12838" hidden="1" xr:uid="{00000000-0005-0000-0000-000048660000}"/>
    <cellStyle name="Followed Hyperlink 4" xfId="12840" hidden="1" xr:uid="{00000000-0005-0000-0000-000049660000}"/>
    <cellStyle name="Followed Hyperlink 4" xfId="12841" hidden="1" xr:uid="{00000000-0005-0000-0000-00004A660000}"/>
    <cellStyle name="Followed Hyperlink 4" xfId="12844" hidden="1" xr:uid="{00000000-0005-0000-0000-00004B660000}"/>
    <cellStyle name="Followed Hyperlink 4" xfId="12853" hidden="1" xr:uid="{00000000-0005-0000-0000-00004C660000}"/>
    <cellStyle name="Followed Hyperlink 4" xfId="12845" hidden="1" xr:uid="{00000000-0005-0000-0000-00004D660000}"/>
    <cellStyle name="Followed Hyperlink 4" xfId="12856" hidden="1" xr:uid="{00000000-0005-0000-0000-00004E660000}"/>
    <cellStyle name="Followed Hyperlink 4" xfId="12859" hidden="1" xr:uid="{00000000-0005-0000-0000-00004F660000}"/>
    <cellStyle name="Followed Hyperlink 4" xfId="12862" hidden="1" xr:uid="{00000000-0005-0000-0000-000050660000}"/>
    <cellStyle name="Followed Hyperlink 4" xfId="12864" hidden="1" xr:uid="{00000000-0005-0000-0000-000051660000}"/>
    <cellStyle name="Followed Hyperlink 4" xfId="12865" hidden="1" xr:uid="{00000000-0005-0000-0000-000052660000}"/>
    <cellStyle name="Followed Hyperlink 4" xfId="12868" hidden="1" xr:uid="{00000000-0005-0000-0000-000053660000}"/>
    <cellStyle name="Followed Hyperlink 4" xfId="12877" hidden="1" xr:uid="{00000000-0005-0000-0000-000054660000}"/>
    <cellStyle name="Followed Hyperlink 4" xfId="12869" hidden="1" xr:uid="{00000000-0005-0000-0000-000055660000}"/>
    <cellStyle name="Followed Hyperlink 4" xfId="12880" hidden="1" xr:uid="{00000000-0005-0000-0000-000056660000}"/>
    <cellStyle name="Followed Hyperlink 4" xfId="12883" hidden="1" xr:uid="{00000000-0005-0000-0000-000057660000}"/>
    <cellStyle name="Followed Hyperlink 4" xfId="12886" hidden="1" xr:uid="{00000000-0005-0000-0000-000058660000}"/>
    <cellStyle name="Followed Hyperlink 4" xfId="12888" hidden="1" xr:uid="{00000000-0005-0000-0000-000059660000}"/>
    <cellStyle name="Followed Hyperlink 4" xfId="12889" hidden="1" xr:uid="{00000000-0005-0000-0000-00005A660000}"/>
    <cellStyle name="Followed Hyperlink 4" xfId="12892" hidden="1" xr:uid="{00000000-0005-0000-0000-00005B660000}"/>
    <cellStyle name="Followed Hyperlink 4" xfId="8853" hidden="1" xr:uid="{00000000-0005-0000-0000-00005C660000}"/>
    <cellStyle name="Followed Hyperlink 4" xfId="8859" hidden="1" xr:uid="{00000000-0005-0000-0000-00005D660000}"/>
    <cellStyle name="Followed Hyperlink 4" xfId="12893" hidden="1" xr:uid="{00000000-0005-0000-0000-00005E660000}"/>
    <cellStyle name="Followed Hyperlink 4" xfId="12896" hidden="1" xr:uid="{00000000-0005-0000-0000-00005F660000}"/>
    <cellStyle name="Followed Hyperlink 4" xfId="12899" hidden="1" xr:uid="{00000000-0005-0000-0000-000060660000}"/>
    <cellStyle name="Followed Hyperlink 4" xfId="12901" hidden="1" xr:uid="{00000000-0005-0000-0000-000061660000}"/>
    <cellStyle name="Followed Hyperlink 4" xfId="12902" hidden="1" xr:uid="{00000000-0005-0000-0000-000062660000}"/>
    <cellStyle name="Followed Hyperlink 4" xfId="12905" hidden="1" xr:uid="{00000000-0005-0000-0000-000063660000}"/>
    <cellStyle name="Followed Hyperlink 4" xfId="12914" hidden="1" xr:uid="{00000000-0005-0000-0000-000064660000}"/>
    <cellStyle name="Followed Hyperlink 4" xfId="12906" hidden="1" xr:uid="{00000000-0005-0000-0000-000065660000}"/>
    <cellStyle name="Followed Hyperlink 4" xfId="12917" hidden="1" xr:uid="{00000000-0005-0000-0000-000066660000}"/>
    <cellStyle name="Followed Hyperlink 4" xfId="12920" hidden="1" xr:uid="{00000000-0005-0000-0000-000067660000}"/>
    <cellStyle name="Followed Hyperlink 4" xfId="12923" hidden="1" xr:uid="{00000000-0005-0000-0000-000068660000}"/>
    <cellStyle name="Followed Hyperlink 4" xfId="12925" hidden="1" xr:uid="{00000000-0005-0000-0000-000069660000}"/>
    <cellStyle name="Followed Hyperlink 4" xfId="12926" hidden="1" xr:uid="{00000000-0005-0000-0000-00006A660000}"/>
    <cellStyle name="Followed Hyperlink 4" xfId="12929" hidden="1" xr:uid="{00000000-0005-0000-0000-00006B660000}"/>
    <cellStyle name="Followed Hyperlink 4" xfId="12939" hidden="1" xr:uid="{00000000-0005-0000-0000-00006C660000}"/>
    <cellStyle name="Followed Hyperlink 4" xfId="12931" hidden="1" xr:uid="{00000000-0005-0000-0000-00006D660000}"/>
    <cellStyle name="Followed Hyperlink 4" xfId="12942" hidden="1" xr:uid="{00000000-0005-0000-0000-00006E660000}"/>
    <cellStyle name="Followed Hyperlink 4" xfId="12945" hidden="1" xr:uid="{00000000-0005-0000-0000-00006F660000}"/>
    <cellStyle name="Followed Hyperlink 4" xfId="12948" hidden="1" xr:uid="{00000000-0005-0000-0000-000070660000}"/>
    <cellStyle name="Followed Hyperlink 4" xfId="12950" hidden="1" xr:uid="{00000000-0005-0000-0000-000071660000}"/>
    <cellStyle name="Followed Hyperlink 4" xfId="12951" hidden="1" xr:uid="{00000000-0005-0000-0000-000072660000}"/>
    <cellStyle name="Followed Hyperlink 4" xfId="12954" hidden="1" xr:uid="{00000000-0005-0000-0000-000073660000}"/>
    <cellStyle name="Followed Hyperlink 4" xfId="12963" hidden="1" xr:uid="{00000000-0005-0000-0000-000074660000}"/>
    <cellStyle name="Followed Hyperlink 4" xfId="12955" hidden="1" xr:uid="{00000000-0005-0000-0000-000075660000}"/>
    <cellStyle name="Followed Hyperlink 4" xfId="12966" hidden="1" xr:uid="{00000000-0005-0000-0000-000076660000}"/>
    <cellStyle name="Followed Hyperlink 4" xfId="12969" hidden="1" xr:uid="{00000000-0005-0000-0000-000077660000}"/>
    <cellStyle name="Followed Hyperlink 4" xfId="12972" hidden="1" xr:uid="{00000000-0005-0000-0000-000078660000}"/>
    <cellStyle name="Followed Hyperlink 4" xfId="12974" hidden="1" xr:uid="{00000000-0005-0000-0000-000079660000}"/>
    <cellStyle name="Followed Hyperlink 4" xfId="12975" hidden="1" xr:uid="{00000000-0005-0000-0000-00007A660000}"/>
    <cellStyle name="Followed Hyperlink 4" xfId="12978" hidden="1" xr:uid="{00000000-0005-0000-0000-00007B660000}"/>
    <cellStyle name="Followed Hyperlink 4" xfId="13016" hidden="1" xr:uid="{00000000-0005-0000-0000-00007C660000}"/>
    <cellStyle name="Followed Hyperlink 4" xfId="13008" hidden="1" xr:uid="{00000000-0005-0000-0000-00007D660000}"/>
    <cellStyle name="Followed Hyperlink 4" xfId="13019" hidden="1" xr:uid="{00000000-0005-0000-0000-00007E660000}"/>
    <cellStyle name="Followed Hyperlink 4" xfId="13022" hidden="1" xr:uid="{00000000-0005-0000-0000-00007F660000}"/>
    <cellStyle name="Followed Hyperlink 4" xfId="13025" hidden="1" xr:uid="{00000000-0005-0000-0000-000080660000}"/>
    <cellStyle name="Followed Hyperlink 4" xfId="13027" hidden="1" xr:uid="{00000000-0005-0000-0000-000081660000}"/>
    <cellStyle name="Followed Hyperlink 4" xfId="13028" hidden="1" xr:uid="{00000000-0005-0000-0000-000082660000}"/>
    <cellStyle name="Followed Hyperlink 4" xfId="13031" hidden="1" xr:uid="{00000000-0005-0000-0000-000083660000}"/>
    <cellStyle name="Followed Hyperlink 4" xfId="13040" hidden="1" xr:uid="{00000000-0005-0000-0000-000084660000}"/>
    <cellStyle name="Followed Hyperlink 4" xfId="13032" hidden="1" xr:uid="{00000000-0005-0000-0000-000085660000}"/>
    <cellStyle name="Followed Hyperlink 4" xfId="13043" hidden="1" xr:uid="{00000000-0005-0000-0000-000086660000}"/>
    <cellStyle name="Followed Hyperlink 4" xfId="13046" hidden="1" xr:uid="{00000000-0005-0000-0000-000087660000}"/>
    <cellStyle name="Followed Hyperlink 4" xfId="13049" hidden="1" xr:uid="{00000000-0005-0000-0000-000088660000}"/>
    <cellStyle name="Followed Hyperlink 4" xfId="13051" hidden="1" xr:uid="{00000000-0005-0000-0000-000089660000}"/>
    <cellStyle name="Followed Hyperlink 4" xfId="13052" hidden="1" xr:uid="{00000000-0005-0000-0000-00008A660000}"/>
    <cellStyle name="Followed Hyperlink 4" xfId="13055" hidden="1" xr:uid="{00000000-0005-0000-0000-00008B660000}"/>
    <cellStyle name="Followed Hyperlink 4" xfId="13066" hidden="1" xr:uid="{00000000-0005-0000-0000-00008C660000}"/>
    <cellStyle name="Followed Hyperlink 4" xfId="13058" hidden="1" xr:uid="{00000000-0005-0000-0000-00008D660000}"/>
    <cellStyle name="Followed Hyperlink 4" xfId="13069" hidden="1" xr:uid="{00000000-0005-0000-0000-00008E660000}"/>
    <cellStyle name="Followed Hyperlink 4" xfId="13072" hidden="1" xr:uid="{00000000-0005-0000-0000-00008F660000}"/>
    <cellStyle name="Followed Hyperlink 4" xfId="13075" hidden="1" xr:uid="{00000000-0005-0000-0000-000090660000}"/>
    <cellStyle name="Followed Hyperlink 4" xfId="13077" hidden="1" xr:uid="{00000000-0005-0000-0000-000091660000}"/>
    <cellStyle name="Followed Hyperlink 4" xfId="13078" hidden="1" xr:uid="{00000000-0005-0000-0000-000092660000}"/>
    <cellStyle name="Followed Hyperlink 4" xfId="13081" hidden="1" xr:uid="{00000000-0005-0000-0000-000093660000}"/>
    <cellStyle name="Followed Hyperlink 4" xfId="13090" hidden="1" xr:uid="{00000000-0005-0000-0000-000094660000}"/>
    <cellStyle name="Followed Hyperlink 4" xfId="13082" hidden="1" xr:uid="{00000000-0005-0000-0000-000095660000}"/>
    <cellStyle name="Followed Hyperlink 4" xfId="13093" hidden="1" xr:uid="{00000000-0005-0000-0000-000096660000}"/>
    <cellStyle name="Followed Hyperlink 4" xfId="13096" hidden="1" xr:uid="{00000000-0005-0000-0000-000097660000}"/>
    <cellStyle name="Followed Hyperlink 4" xfId="13099" hidden="1" xr:uid="{00000000-0005-0000-0000-000098660000}"/>
    <cellStyle name="Followed Hyperlink 4" xfId="13101" hidden="1" xr:uid="{00000000-0005-0000-0000-000099660000}"/>
    <cellStyle name="Followed Hyperlink 4" xfId="13102" hidden="1" xr:uid="{00000000-0005-0000-0000-00009A660000}"/>
    <cellStyle name="Followed Hyperlink 4" xfId="13105" hidden="1" xr:uid="{00000000-0005-0000-0000-00009B660000}"/>
    <cellStyle name="Followed Hyperlink 4" xfId="13143" hidden="1" xr:uid="{00000000-0005-0000-0000-00009C660000}"/>
    <cellStyle name="Followed Hyperlink 4" xfId="13135" hidden="1" xr:uid="{00000000-0005-0000-0000-00009D660000}"/>
    <cellStyle name="Followed Hyperlink 4" xfId="13146" hidden="1" xr:uid="{00000000-0005-0000-0000-00009E660000}"/>
    <cellStyle name="Followed Hyperlink 4" xfId="13149" hidden="1" xr:uid="{00000000-0005-0000-0000-00009F660000}"/>
    <cellStyle name="Followed Hyperlink 4" xfId="13152" hidden="1" xr:uid="{00000000-0005-0000-0000-0000A0660000}"/>
    <cellStyle name="Followed Hyperlink 4" xfId="13154" hidden="1" xr:uid="{00000000-0005-0000-0000-0000A1660000}"/>
    <cellStyle name="Followed Hyperlink 4" xfId="13155" hidden="1" xr:uid="{00000000-0005-0000-0000-0000A2660000}"/>
    <cellStyle name="Followed Hyperlink 4" xfId="13158" hidden="1" xr:uid="{00000000-0005-0000-0000-0000A3660000}"/>
    <cellStyle name="Followed Hyperlink 4" xfId="13167" hidden="1" xr:uid="{00000000-0005-0000-0000-0000A4660000}"/>
    <cellStyle name="Followed Hyperlink 4" xfId="13159" hidden="1" xr:uid="{00000000-0005-0000-0000-0000A5660000}"/>
    <cellStyle name="Followed Hyperlink 4" xfId="13170" hidden="1" xr:uid="{00000000-0005-0000-0000-0000A6660000}"/>
    <cellStyle name="Followed Hyperlink 4" xfId="13173" hidden="1" xr:uid="{00000000-0005-0000-0000-0000A7660000}"/>
    <cellStyle name="Followed Hyperlink 4" xfId="13176" hidden="1" xr:uid="{00000000-0005-0000-0000-0000A8660000}"/>
    <cellStyle name="Followed Hyperlink 4" xfId="13178" hidden="1" xr:uid="{00000000-0005-0000-0000-0000A9660000}"/>
    <cellStyle name="Followed Hyperlink 4" xfId="13179" hidden="1" xr:uid="{00000000-0005-0000-0000-0000AA660000}"/>
    <cellStyle name="Followed Hyperlink 4" xfId="13182" hidden="1" xr:uid="{00000000-0005-0000-0000-0000AB660000}"/>
    <cellStyle name="Followed Hyperlink 4" xfId="13193" hidden="1" xr:uid="{00000000-0005-0000-0000-0000AC660000}"/>
    <cellStyle name="Followed Hyperlink 4" xfId="13185" hidden="1" xr:uid="{00000000-0005-0000-0000-0000AD660000}"/>
    <cellStyle name="Followed Hyperlink 4" xfId="13196" hidden="1" xr:uid="{00000000-0005-0000-0000-0000AE660000}"/>
    <cellStyle name="Followed Hyperlink 4" xfId="13199" hidden="1" xr:uid="{00000000-0005-0000-0000-0000AF660000}"/>
    <cellStyle name="Followed Hyperlink 4" xfId="13202" hidden="1" xr:uid="{00000000-0005-0000-0000-0000B0660000}"/>
    <cellStyle name="Followed Hyperlink 4" xfId="13204" hidden="1" xr:uid="{00000000-0005-0000-0000-0000B1660000}"/>
    <cellStyle name="Followed Hyperlink 4" xfId="13205" hidden="1" xr:uid="{00000000-0005-0000-0000-0000B2660000}"/>
    <cellStyle name="Followed Hyperlink 4" xfId="13208" hidden="1" xr:uid="{00000000-0005-0000-0000-0000B3660000}"/>
    <cellStyle name="Followed Hyperlink 4" xfId="13217" hidden="1" xr:uid="{00000000-0005-0000-0000-0000B4660000}"/>
    <cellStyle name="Followed Hyperlink 4" xfId="13209" hidden="1" xr:uid="{00000000-0005-0000-0000-0000B5660000}"/>
    <cellStyle name="Followed Hyperlink 4" xfId="13220" hidden="1" xr:uid="{00000000-0005-0000-0000-0000B6660000}"/>
    <cellStyle name="Followed Hyperlink 4" xfId="13223" hidden="1" xr:uid="{00000000-0005-0000-0000-0000B7660000}"/>
    <cellStyle name="Followed Hyperlink 4" xfId="13226" hidden="1" xr:uid="{00000000-0005-0000-0000-0000B8660000}"/>
    <cellStyle name="Followed Hyperlink 4" xfId="13228" hidden="1" xr:uid="{00000000-0005-0000-0000-0000B9660000}"/>
    <cellStyle name="Followed Hyperlink 4" xfId="13229" hidden="1" xr:uid="{00000000-0005-0000-0000-0000BA660000}"/>
    <cellStyle name="Followed Hyperlink 4" xfId="13232" hidden="1" xr:uid="{00000000-0005-0000-0000-0000BB660000}"/>
    <cellStyle name="Followed Hyperlink 4" xfId="13115" hidden="1" xr:uid="{00000000-0005-0000-0000-0000BC660000}"/>
    <cellStyle name="Followed Hyperlink 4" xfId="13109" hidden="1" xr:uid="{00000000-0005-0000-0000-0000BD660000}"/>
    <cellStyle name="Followed Hyperlink 4" xfId="13233" hidden="1" xr:uid="{00000000-0005-0000-0000-0000BE660000}"/>
    <cellStyle name="Followed Hyperlink 4" xfId="13236" hidden="1" xr:uid="{00000000-0005-0000-0000-0000BF660000}"/>
    <cellStyle name="Followed Hyperlink 4" xfId="13239" hidden="1" xr:uid="{00000000-0005-0000-0000-0000C0660000}"/>
    <cellStyle name="Followed Hyperlink 4" xfId="13241" hidden="1" xr:uid="{00000000-0005-0000-0000-0000C1660000}"/>
    <cellStyle name="Followed Hyperlink 4" xfId="13242" hidden="1" xr:uid="{00000000-0005-0000-0000-0000C2660000}"/>
    <cellStyle name="Followed Hyperlink 4" xfId="13245" hidden="1" xr:uid="{00000000-0005-0000-0000-0000C3660000}"/>
    <cellStyle name="Followed Hyperlink 4" xfId="13254" hidden="1" xr:uid="{00000000-0005-0000-0000-0000C4660000}"/>
    <cellStyle name="Followed Hyperlink 4" xfId="13246" hidden="1" xr:uid="{00000000-0005-0000-0000-0000C5660000}"/>
    <cellStyle name="Followed Hyperlink 4" xfId="13257" hidden="1" xr:uid="{00000000-0005-0000-0000-0000C6660000}"/>
    <cellStyle name="Followed Hyperlink 4" xfId="13260" hidden="1" xr:uid="{00000000-0005-0000-0000-0000C7660000}"/>
    <cellStyle name="Followed Hyperlink 4" xfId="13263" hidden="1" xr:uid="{00000000-0005-0000-0000-0000C8660000}"/>
    <cellStyle name="Followed Hyperlink 4" xfId="13265" hidden="1" xr:uid="{00000000-0005-0000-0000-0000C9660000}"/>
    <cellStyle name="Followed Hyperlink 4" xfId="13266" hidden="1" xr:uid="{00000000-0005-0000-0000-0000CA660000}"/>
    <cellStyle name="Followed Hyperlink 4" xfId="13269" hidden="1" xr:uid="{00000000-0005-0000-0000-0000CB660000}"/>
    <cellStyle name="Followed Hyperlink 4" xfId="13279" hidden="1" xr:uid="{00000000-0005-0000-0000-0000CC660000}"/>
    <cellStyle name="Followed Hyperlink 4" xfId="13271" hidden="1" xr:uid="{00000000-0005-0000-0000-0000CD660000}"/>
    <cellStyle name="Followed Hyperlink 4" xfId="13282" hidden="1" xr:uid="{00000000-0005-0000-0000-0000CE660000}"/>
    <cellStyle name="Followed Hyperlink 4" xfId="13285" hidden="1" xr:uid="{00000000-0005-0000-0000-0000CF660000}"/>
    <cellStyle name="Followed Hyperlink 4" xfId="13288" hidden="1" xr:uid="{00000000-0005-0000-0000-0000D0660000}"/>
    <cellStyle name="Followed Hyperlink 4" xfId="13290" hidden="1" xr:uid="{00000000-0005-0000-0000-0000D1660000}"/>
    <cellStyle name="Followed Hyperlink 4" xfId="13291" hidden="1" xr:uid="{00000000-0005-0000-0000-0000D2660000}"/>
    <cellStyle name="Followed Hyperlink 4" xfId="13294" hidden="1" xr:uid="{00000000-0005-0000-0000-0000D3660000}"/>
    <cellStyle name="Followed Hyperlink 4" xfId="13303" hidden="1" xr:uid="{00000000-0005-0000-0000-0000D4660000}"/>
    <cellStyle name="Followed Hyperlink 4" xfId="13295" hidden="1" xr:uid="{00000000-0005-0000-0000-0000D5660000}"/>
    <cellStyle name="Followed Hyperlink 4" xfId="13306" hidden="1" xr:uid="{00000000-0005-0000-0000-0000D6660000}"/>
    <cellStyle name="Followed Hyperlink 4" xfId="13309" hidden="1" xr:uid="{00000000-0005-0000-0000-0000D7660000}"/>
    <cellStyle name="Followed Hyperlink 4" xfId="13312" hidden="1" xr:uid="{00000000-0005-0000-0000-0000D8660000}"/>
    <cellStyle name="Followed Hyperlink 4" xfId="13314" hidden="1" xr:uid="{00000000-0005-0000-0000-0000D9660000}"/>
    <cellStyle name="Followed Hyperlink 4" xfId="13315" hidden="1" xr:uid="{00000000-0005-0000-0000-0000DA660000}"/>
    <cellStyle name="Followed Hyperlink 4" xfId="13318" hidden="1" xr:uid="{00000000-0005-0000-0000-0000DB660000}"/>
    <cellStyle name="Followed Hyperlink 4" xfId="13119" hidden="1" xr:uid="{00000000-0005-0000-0000-0000DC660000}"/>
    <cellStyle name="Followed Hyperlink 4" xfId="13125" hidden="1" xr:uid="{00000000-0005-0000-0000-0000DD660000}"/>
    <cellStyle name="Followed Hyperlink 4" xfId="13319" hidden="1" xr:uid="{00000000-0005-0000-0000-0000DE660000}"/>
    <cellStyle name="Followed Hyperlink 4" xfId="13322" hidden="1" xr:uid="{00000000-0005-0000-0000-0000DF660000}"/>
    <cellStyle name="Followed Hyperlink 4" xfId="13325" hidden="1" xr:uid="{00000000-0005-0000-0000-0000E0660000}"/>
    <cellStyle name="Followed Hyperlink 4" xfId="13327" hidden="1" xr:uid="{00000000-0005-0000-0000-0000E1660000}"/>
    <cellStyle name="Followed Hyperlink 4" xfId="13328" hidden="1" xr:uid="{00000000-0005-0000-0000-0000E2660000}"/>
    <cellStyle name="Followed Hyperlink 4" xfId="13331" hidden="1" xr:uid="{00000000-0005-0000-0000-0000E3660000}"/>
    <cellStyle name="Followed Hyperlink 4" xfId="13340" hidden="1" xr:uid="{00000000-0005-0000-0000-0000E4660000}"/>
    <cellStyle name="Followed Hyperlink 4" xfId="13332" hidden="1" xr:uid="{00000000-0005-0000-0000-0000E5660000}"/>
    <cellStyle name="Followed Hyperlink 4" xfId="13343" hidden="1" xr:uid="{00000000-0005-0000-0000-0000E6660000}"/>
    <cellStyle name="Followed Hyperlink 4" xfId="13346" hidden="1" xr:uid="{00000000-0005-0000-0000-0000E7660000}"/>
    <cellStyle name="Followed Hyperlink 4" xfId="13349" hidden="1" xr:uid="{00000000-0005-0000-0000-0000E8660000}"/>
    <cellStyle name="Followed Hyperlink 4" xfId="13351" hidden="1" xr:uid="{00000000-0005-0000-0000-0000E9660000}"/>
    <cellStyle name="Followed Hyperlink 4" xfId="13352" hidden="1" xr:uid="{00000000-0005-0000-0000-0000EA660000}"/>
    <cellStyle name="Followed Hyperlink 4" xfId="13355" hidden="1" xr:uid="{00000000-0005-0000-0000-0000EB660000}"/>
    <cellStyle name="Followed Hyperlink 4" xfId="13365" hidden="1" xr:uid="{00000000-0005-0000-0000-0000EC660000}"/>
    <cellStyle name="Followed Hyperlink 4" xfId="13357" hidden="1" xr:uid="{00000000-0005-0000-0000-0000ED660000}"/>
    <cellStyle name="Followed Hyperlink 4" xfId="13368" hidden="1" xr:uid="{00000000-0005-0000-0000-0000EE660000}"/>
    <cellStyle name="Followed Hyperlink 4" xfId="13371" hidden="1" xr:uid="{00000000-0005-0000-0000-0000EF660000}"/>
    <cellStyle name="Followed Hyperlink 4" xfId="13374" hidden="1" xr:uid="{00000000-0005-0000-0000-0000F0660000}"/>
    <cellStyle name="Followed Hyperlink 4" xfId="13376" hidden="1" xr:uid="{00000000-0005-0000-0000-0000F1660000}"/>
    <cellStyle name="Followed Hyperlink 4" xfId="13377" hidden="1" xr:uid="{00000000-0005-0000-0000-0000F2660000}"/>
    <cellStyle name="Followed Hyperlink 4" xfId="13380" hidden="1" xr:uid="{00000000-0005-0000-0000-0000F3660000}"/>
    <cellStyle name="Followed Hyperlink 4" xfId="13389" hidden="1" xr:uid="{00000000-0005-0000-0000-0000F4660000}"/>
    <cellStyle name="Followed Hyperlink 4" xfId="13381" hidden="1" xr:uid="{00000000-0005-0000-0000-0000F5660000}"/>
    <cellStyle name="Followed Hyperlink 4" xfId="13392" hidden="1" xr:uid="{00000000-0005-0000-0000-0000F6660000}"/>
    <cellStyle name="Followed Hyperlink 4" xfId="13395" hidden="1" xr:uid="{00000000-0005-0000-0000-0000F7660000}"/>
    <cellStyle name="Followed Hyperlink 4" xfId="13398" hidden="1" xr:uid="{00000000-0005-0000-0000-0000F8660000}"/>
    <cellStyle name="Followed Hyperlink 4" xfId="13400" hidden="1" xr:uid="{00000000-0005-0000-0000-0000F9660000}"/>
    <cellStyle name="Followed Hyperlink 4" xfId="13401" hidden="1" xr:uid="{00000000-0005-0000-0000-0000FA660000}"/>
    <cellStyle name="Followed Hyperlink 4" xfId="13404" hidden="1" xr:uid="{00000000-0005-0000-0000-0000FB660000}"/>
    <cellStyle name="Followed Hyperlink 4" xfId="13129" hidden="1" xr:uid="{00000000-0005-0000-0000-0000FC660000}"/>
    <cellStyle name="Followed Hyperlink 4" xfId="13184" hidden="1" xr:uid="{00000000-0005-0000-0000-0000FD660000}"/>
    <cellStyle name="Followed Hyperlink 4" xfId="13405" hidden="1" xr:uid="{00000000-0005-0000-0000-0000FE660000}"/>
    <cellStyle name="Followed Hyperlink 4" xfId="13408" hidden="1" xr:uid="{00000000-0005-0000-0000-0000FF660000}"/>
    <cellStyle name="Followed Hyperlink 4" xfId="13411" hidden="1" xr:uid="{00000000-0005-0000-0000-000000670000}"/>
    <cellStyle name="Followed Hyperlink 4" xfId="13413" hidden="1" xr:uid="{00000000-0005-0000-0000-000001670000}"/>
    <cellStyle name="Followed Hyperlink 4" xfId="13414" hidden="1" xr:uid="{00000000-0005-0000-0000-000002670000}"/>
    <cellStyle name="Followed Hyperlink 4" xfId="13417" hidden="1" xr:uid="{00000000-0005-0000-0000-000003670000}"/>
    <cellStyle name="Followed Hyperlink 4" xfId="13426" hidden="1" xr:uid="{00000000-0005-0000-0000-000004670000}"/>
    <cellStyle name="Followed Hyperlink 4" xfId="13418" hidden="1" xr:uid="{00000000-0005-0000-0000-000005670000}"/>
    <cellStyle name="Followed Hyperlink 4" xfId="13429" hidden="1" xr:uid="{00000000-0005-0000-0000-000006670000}"/>
    <cellStyle name="Followed Hyperlink 4" xfId="13432" hidden="1" xr:uid="{00000000-0005-0000-0000-000007670000}"/>
    <cellStyle name="Followed Hyperlink 4" xfId="13435" hidden="1" xr:uid="{00000000-0005-0000-0000-000008670000}"/>
    <cellStyle name="Followed Hyperlink 4" xfId="13437" hidden="1" xr:uid="{00000000-0005-0000-0000-000009670000}"/>
    <cellStyle name="Followed Hyperlink 4" xfId="13438" hidden="1" xr:uid="{00000000-0005-0000-0000-00000A670000}"/>
    <cellStyle name="Followed Hyperlink 4" xfId="13441" hidden="1" xr:uid="{00000000-0005-0000-0000-00000B670000}"/>
    <cellStyle name="Followed Hyperlink 4" xfId="13450" hidden="1" xr:uid="{00000000-0005-0000-0000-00000C670000}"/>
    <cellStyle name="Followed Hyperlink 4" xfId="13442" hidden="1" xr:uid="{00000000-0005-0000-0000-00000D670000}"/>
    <cellStyle name="Followed Hyperlink 4" xfId="13453" hidden="1" xr:uid="{00000000-0005-0000-0000-00000E670000}"/>
    <cellStyle name="Followed Hyperlink 4" xfId="13456" hidden="1" xr:uid="{00000000-0005-0000-0000-00000F670000}"/>
    <cellStyle name="Followed Hyperlink 4" xfId="13459" hidden="1" xr:uid="{00000000-0005-0000-0000-000010670000}"/>
    <cellStyle name="Followed Hyperlink 4" xfId="13461" hidden="1" xr:uid="{00000000-0005-0000-0000-000011670000}"/>
    <cellStyle name="Followed Hyperlink 4" xfId="13462" hidden="1" xr:uid="{00000000-0005-0000-0000-000012670000}"/>
    <cellStyle name="Followed Hyperlink 4" xfId="13465" hidden="1" xr:uid="{00000000-0005-0000-0000-000013670000}"/>
    <cellStyle name="Followed Hyperlink 4" xfId="13474" hidden="1" xr:uid="{00000000-0005-0000-0000-000014670000}"/>
    <cellStyle name="Followed Hyperlink 4" xfId="13466" hidden="1" xr:uid="{00000000-0005-0000-0000-000015670000}"/>
    <cellStyle name="Followed Hyperlink 4" xfId="13477" hidden="1" xr:uid="{00000000-0005-0000-0000-000016670000}"/>
    <cellStyle name="Followed Hyperlink 4" xfId="13480" hidden="1" xr:uid="{00000000-0005-0000-0000-000017670000}"/>
    <cellStyle name="Followed Hyperlink 4" xfId="13483" hidden="1" xr:uid="{00000000-0005-0000-0000-000018670000}"/>
    <cellStyle name="Followed Hyperlink 4" xfId="13485" hidden="1" xr:uid="{00000000-0005-0000-0000-000019670000}"/>
    <cellStyle name="Followed Hyperlink 4" xfId="13486" hidden="1" xr:uid="{00000000-0005-0000-0000-00001A670000}"/>
    <cellStyle name="Followed Hyperlink 4" xfId="13489" hidden="1" xr:uid="{00000000-0005-0000-0000-00001B670000}"/>
    <cellStyle name="Followed Hyperlink 4" xfId="12988" hidden="1" xr:uid="{00000000-0005-0000-0000-00001C670000}"/>
    <cellStyle name="Followed Hyperlink 4" xfId="12982" hidden="1" xr:uid="{00000000-0005-0000-0000-00001D670000}"/>
    <cellStyle name="Followed Hyperlink 4" xfId="13490" hidden="1" xr:uid="{00000000-0005-0000-0000-00001E670000}"/>
    <cellStyle name="Followed Hyperlink 4" xfId="13493" hidden="1" xr:uid="{00000000-0005-0000-0000-00001F670000}"/>
    <cellStyle name="Followed Hyperlink 4" xfId="13496" hidden="1" xr:uid="{00000000-0005-0000-0000-000020670000}"/>
    <cellStyle name="Followed Hyperlink 4" xfId="13498" hidden="1" xr:uid="{00000000-0005-0000-0000-000021670000}"/>
    <cellStyle name="Followed Hyperlink 4" xfId="13499" hidden="1" xr:uid="{00000000-0005-0000-0000-000022670000}"/>
    <cellStyle name="Followed Hyperlink 4" xfId="13502" hidden="1" xr:uid="{00000000-0005-0000-0000-000023670000}"/>
    <cellStyle name="Followed Hyperlink 4" xfId="13511" hidden="1" xr:uid="{00000000-0005-0000-0000-000024670000}"/>
    <cellStyle name="Followed Hyperlink 4" xfId="13503" hidden="1" xr:uid="{00000000-0005-0000-0000-000025670000}"/>
    <cellStyle name="Followed Hyperlink 4" xfId="13514" hidden="1" xr:uid="{00000000-0005-0000-0000-000026670000}"/>
    <cellStyle name="Followed Hyperlink 4" xfId="13517" hidden="1" xr:uid="{00000000-0005-0000-0000-000027670000}"/>
    <cellStyle name="Followed Hyperlink 4" xfId="13520" hidden="1" xr:uid="{00000000-0005-0000-0000-000028670000}"/>
    <cellStyle name="Followed Hyperlink 4" xfId="13522" hidden="1" xr:uid="{00000000-0005-0000-0000-000029670000}"/>
    <cellStyle name="Followed Hyperlink 4" xfId="13523" hidden="1" xr:uid="{00000000-0005-0000-0000-00002A670000}"/>
    <cellStyle name="Followed Hyperlink 4" xfId="13526" hidden="1" xr:uid="{00000000-0005-0000-0000-00002B670000}"/>
    <cellStyle name="Followed Hyperlink 4" xfId="13536" hidden="1" xr:uid="{00000000-0005-0000-0000-00002C670000}"/>
    <cellStyle name="Followed Hyperlink 4" xfId="13528" hidden="1" xr:uid="{00000000-0005-0000-0000-00002D670000}"/>
    <cellStyle name="Followed Hyperlink 4" xfId="13539" hidden="1" xr:uid="{00000000-0005-0000-0000-00002E670000}"/>
    <cellStyle name="Followed Hyperlink 4" xfId="13542" hidden="1" xr:uid="{00000000-0005-0000-0000-00002F670000}"/>
    <cellStyle name="Followed Hyperlink 4" xfId="13545" hidden="1" xr:uid="{00000000-0005-0000-0000-000030670000}"/>
    <cellStyle name="Followed Hyperlink 4" xfId="13547" hidden="1" xr:uid="{00000000-0005-0000-0000-000031670000}"/>
    <cellStyle name="Followed Hyperlink 4" xfId="13548" hidden="1" xr:uid="{00000000-0005-0000-0000-000032670000}"/>
    <cellStyle name="Followed Hyperlink 4" xfId="13551" hidden="1" xr:uid="{00000000-0005-0000-0000-000033670000}"/>
    <cellStyle name="Followed Hyperlink 4" xfId="13560" hidden="1" xr:uid="{00000000-0005-0000-0000-000034670000}"/>
    <cellStyle name="Followed Hyperlink 4" xfId="13552" hidden="1" xr:uid="{00000000-0005-0000-0000-000035670000}"/>
    <cellStyle name="Followed Hyperlink 4" xfId="13563" hidden="1" xr:uid="{00000000-0005-0000-0000-000036670000}"/>
    <cellStyle name="Followed Hyperlink 4" xfId="13566" hidden="1" xr:uid="{00000000-0005-0000-0000-000037670000}"/>
    <cellStyle name="Followed Hyperlink 4" xfId="13569" hidden="1" xr:uid="{00000000-0005-0000-0000-000038670000}"/>
    <cellStyle name="Followed Hyperlink 4" xfId="13571" hidden="1" xr:uid="{00000000-0005-0000-0000-000039670000}"/>
    <cellStyle name="Followed Hyperlink 4" xfId="13572" hidden="1" xr:uid="{00000000-0005-0000-0000-00003A670000}"/>
    <cellStyle name="Followed Hyperlink 4" xfId="13575" hidden="1" xr:uid="{00000000-0005-0000-0000-00003B670000}"/>
    <cellStyle name="Followed Hyperlink 4" xfId="13613" hidden="1" xr:uid="{00000000-0005-0000-0000-00003C670000}"/>
    <cellStyle name="Followed Hyperlink 4" xfId="13605" hidden="1" xr:uid="{00000000-0005-0000-0000-00003D670000}"/>
    <cellStyle name="Followed Hyperlink 4" xfId="13616" hidden="1" xr:uid="{00000000-0005-0000-0000-00003E670000}"/>
    <cellStyle name="Followed Hyperlink 4" xfId="13619" hidden="1" xr:uid="{00000000-0005-0000-0000-00003F670000}"/>
    <cellStyle name="Followed Hyperlink 4" xfId="13622" hidden="1" xr:uid="{00000000-0005-0000-0000-000040670000}"/>
    <cellStyle name="Followed Hyperlink 4" xfId="13624" hidden="1" xr:uid="{00000000-0005-0000-0000-000041670000}"/>
    <cellStyle name="Followed Hyperlink 4" xfId="13625" hidden="1" xr:uid="{00000000-0005-0000-0000-000042670000}"/>
    <cellStyle name="Followed Hyperlink 4" xfId="13628" hidden="1" xr:uid="{00000000-0005-0000-0000-000043670000}"/>
    <cellStyle name="Followed Hyperlink 4" xfId="13637" hidden="1" xr:uid="{00000000-0005-0000-0000-000044670000}"/>
    <cellStyle name="Followed Hyperlink 4" xfId="13629" hidden="1" xr:uid="{00000000-0005-0000-0000-000045670000}"/>
    <cellStyle name="Followed Hyperlink 4" xfId="13640" hidden="1" xr:uid="{00000000-0005-0000-0000-000046670000}"/>
    <cellStyle name="Followed Hyperlink 4" xfId="13643" hidden="1" xr:uid="{00000000-0005-0000-0000-000047670000}"/>
    <cellStyle name="Followed Hyperlink 4" xfId="13646" hidden="1" xr:uid="{00000000-0005-0000-0000-000048670000}"/>
    <cellStyle name="Followed Hyperlink 4" xfId="13648" hidden="1" xr:uid="{00000000-0005-0000-0000-000049670000}"/>
    <cellStyle name="Followed Hyperlink 4" xfId="13649" hidden="1" xr:uid="{00000000-0005-0000-0000-00004A670000}"/>
    <cellStyle name="Followed Hyperlink 4" xfId="13652" hidden="1" xr:uid="{00000000-0005-0000-0000-00004B670000}"/>
    <cellStyle name="Followed Hyperlink 4" xfId="13663" hidden="1" xr:uid="{00000000-0005-0000-0000-00004C670000}"/>
    <cellStyle name="Followed Hyperlink 4" xfId="13655" hidden="1" xr:uid="{00000000-0005-0000-0000-00004D670000}"/>
    <cellStyle name="Followed Hyperlink 4" xfId="13666" hidden="1" xr:uid="{00000000-0005-0000-0000-00004E670000}"/>
    <cellStyle name="Followed Hyperlink 4" xfId="13669" hidden="1" xr:uid="{00000000-0005-0000-0000-00004F670000}"/>
    <cellStyle name="Followed Hyperlink 4" xfId="13672" hidden="1" xr:uid="{00000000-0005-0000-0000-000050670000}"/>
    <cellStyle name="Followed Hyperlink 4" xfId="13674" hidden="1" xr:uid="{00000000-0005-0000-0000-000051670000}"/>
    <cellStyle name="Followed Hyperlink 4" xfId="13675" hidden="1" xr:uid="{00000000-0005-0000-0000-000052670000}"/>
    <cellStyle name="Followed Hyperlink 4" xfId="13678" hidden="1" xr:uid="{00000000-0005-0000-0000-000053670000}"/>
    <cellStyle name="Followed Hyperlink 4" xfId="13687" hidden="1" xr:uid="{00000000-0005-0000-0000-000054670000}"/>
    <cellStyle name="Followed Hyperlink 4" xfId="13679" hidden="1" xr:uid="{00000000-0005-0000-0000-000055670000}"/>
    <cellStyle name="Followed Hyperlink 4" xfId="13690" hidden="1" xr:uid="{00000000-0005-0000-0000-000056670000}"/>
    <cellStyle name="Followed Hyperlink 4" xfId="13693" hidden="1" xr:uid="{00000000-0005-0000-0000-000057670000}"/>
    <cellStyle name="Followed Hyperlink 4" xfId="13696" hidden="1" xr:uid="{00000000-0005-0000-0000-000058670000}"/>
    <cellStyle name="Followed Hyperlink 4" xfId="13698" hidden="1" xr:uid="{00000000-0005-0000-0000-000059670000}"/>
    <cellStyle name="Followed Hyperlink 4" xfId="13699" hidden="1" xr:uid="{00000000-0005-0000-0000-00005A670000}"/>
    <cellStyle name="Followed Hyperlink 4" xfId="13702" hidden="1" xr:uid="{00000000-0005-0000-0000-00005B670000}"/>
    <cellStyle name="Followed Hyperlink 4" xfId="13585" hidden="1" xr:uid="{00000000-0005-0000-0000-00005C670000}"/>
    <cellStyle name="Followed Hyperlink 4" xfId="13579" hidden="1" xr:uid="{00000000-0005-0000-0000-00005D670000}"/>
    <cellStyle name="Followed Hyperlink 4" xfId="13703" hidden="1" xr:uid="{00000000-0005-0000-0000-00005E670000}"/>
    <cellStyle name="Followed Hyperlink 4" xfId="13706" hidden="1" xr:uid="{00000000-0005-0000-0000-00005F670000}"/>
    <cellStyle name="Followed Hyperlink 4" xfId="13709" hidden="1" xr:uid="{00000000-0005-0000-0000-000060670000}"/>
    <cellStyle name="Followed Hyperlink 4" xfId="13711" hidden="1" xr:uid="{00000000-0005-0000-0000-000061670000}"/>
    <cellStyle name="Followed Hyperlink 4" xfId="13712" hidden="1" xr:uid="{00000000-0005-0000-0000-000062670000}"/>
    <cellStyle name="Followed Hyperlink 4" xfId="13715" hidden="1" xr:uid="{00000000-0005-0000-0000-000063670000}"/>
    <cellStyle name="Followed Hyperlink 4" xfId="13724" hidden="1" xr:uid="{00000000-0005-0000-0000-000064670000}"/>
    <cellStyle name="Followed Hyperlink 4" xfId="13716" hidden="1" xr:uid="{00000000-0005-0000-0000-000065670000}"/>
    <cellStyle name="Followed Hyperlink 4" xfId="13727" hidden="1" xr:uid="{00000000-0005-0000-0000-000066670000}"/>
    <cellStyle name="Followed Hyperlink 4" xfId="13730" hidden="1" xr:uid="{00000000-0005-0000-0000-000067670000}"/>
    <cellStyle name="Followed Hyperlink 4" xfId="13733" hidden="1" xr:uid="{00000000-0005-0000-0000-000068670000}"/>
    <cellStyle name="Followed Hyperlink 4" xfId="13735" hidden="1" xr:uid="{00000000-0005-0000-0000-000069670000}"/>
    <cellStyle name="Followed Hyperlink 4" xfId="13736" hidden="1" xr:uid="{00000000-0005-0000-0000-00006A670000}"/>
    <cellStyle name="Followed Hyperlink 4" xfId="13739" hidden="1" xr:uid="{00000000-0005-0000-0000-00006B670000}"/>
    <cellStyle name="Followed Hyperlink 4" xfId="13749" hidden="1" xr:uid="{00000000-0005-0000-0000-00006C670000}"/>
    <cellStyle name="Followed Hyperlink 4" xfId="13741" hidden="1" xr:uid="{00000000-0005-0000-0000-00006D670000}"/>
    <cellStyle name="Followed Hyperlink 4" xfId="13752" hidden="1" xr:uid="{00000000-0005-0000-0000-00006E670000}"/>
    <cellStyle name="Followed Hyperlink 4" xfId="13755" hidden="1" xr:uid="{00000000-0005-0000-0000-00006F670000}"/>
    <cellStyle name="Followed Hyperlink 4" xfId="13758" hidden="1" xr:uid="{00000000-0005-0000-0000-000070670000}"/>
    <cellStyle name="Followed Hyperlink 4" xfId="13760" hidden="1" xr:uid="{00000000-0005-0000-0000-000071670000}"/>
    <cellStyle name="Followed Hyperlink 4" xfId="13761" hidden="1" xr:uid="{00000000-0005-0000-0000-000072670000}"/>
    <cellStyle name="Followed Hyperlink 4" xfId="13764" hidden="1" xr:uid="{00000000-0005-0000-0000-000073670000}"/>
    <cellStyle name="Followed Hyperlink 4" xfId="13773" hidden="1" xr:uid="{00000000-0005-0000-0000-000074670000}"/>
    <cellStyle name="Followed Hyperlink 4" xfId="13765" hidden="1" xr:uid="{00000000-0005-0000-0000-000075670000}"/>
    <cellStyle name="Followed Hyperlink 4" xfId="13776" hidden="1" xr:uid="{00000000-0005-0000-0000-000076670000}"/>
    <cellStyle name="Followed Hyperlink 4" xfId="13779" hidden="1" xr:uid="{00000000-0005-0000-0000-000077670000}"/>
    <cellStyle name="Followed Hyperlink 4" xfId="13782" hidden="1" xr:uid="{00000000-0005-0000-0000-000078670000}"/>
    <cellStyle name="Followed Hyperlink 4" xfId="13784" hidden="1" xr:uid="{00000000-0005-0000-0000-000079670000}"/>
    <cellStyle name="Followed Hyperlink 4" xfId="13785" hidden="1" xr:uid="{00000000-0005-0000-0000-00007A670000}"/>
    <cellStyle name="Followed Hyperlink 4" xfId="13788" hidden="1" xr:uid="{00000000-0005-0000-0000-00007B670000}"/>
    <cellStyle name="Followed Hyperlink 4" xfId="13589" hidden="1" xr:uid="{00000000-0005-0000-0000-00007C670000}"/>
    <cellStyle name="Followed Hyperlink 4" xfId="13595" hidden="1" xr:uid="{00000000-0005-0000-0000-00007D670000}"/>
    <cellStyle name="Followed Hyperlink 4" xfId="13789" hidden="1" xr:uid="{00000000-0005-0000-0000-00007E670000}"/>
    <cellStyle name="Followed Hyperlink 4" xfId="13792" hidden="1" xr:uid="{00000000-0005-0000-0000-00007F670000}"/>
    <cellStyle name="Followed Hyperlink 4" xfId="13795" hidden="1" xr:uid="{00000000-0005-0000-0000-000080670000}"/>
    <cellStyle name="Followed Hyperlink 4" xfId="13797" hidden="1" xr:uid="{00000000-0005-0000-0000-000081670000}"/>
    <cellStyle name="Followed Hyperlink 4" xfId="13798" hidden="1" xr:uid="{00000000-0005-0000-0000-000082670000}"/>
    <cellStyle name="Followed Hyperlink 4" xfId="13801" hidden="1" xr:uid="{00000000-0005-0000-0000-000083670000}"/>
    <cellStyle name="Followed Hyperlink 4" xfId="13810" hidden="1" xr:uid="{00000000-0005-0000-0000-000084670000}"/>
    <cellStyle name="Followed Hyperlink 4" xfId="13802" hidden="1" xr:uid="{00000000-0005-0000-0000-000085670000}"/>
    <cellStyle name="Followed Hyperlink 4" xfId="13813" hidden="1" xr:uid="{00000000-0005-0000-0000-000086670000}"/>
    <cellStyle name="Followed Hyperlink 4" xfId="13816" hidden="1" xr:uid="{00000000-0005-0000-0000-000087670000}"/>
    <cellStyle name="Followed Hyperlink 4" xfId="13819" hidden="1" xr:uid="{00000000-0005-0000-0000-000088670000}"/>
    <cellStyle name="Followed Hyperlink 4" xfId="13821" hidden="1" xr:uid="{00000000-0005-0000-0000-000089670000}"/>
    <cellStyle name="Followed Hyperlink 4" xfId="13822" hidden="1" xr:uid="{00000000-0005-0000-0000-00008A670000}"/>
    <cellStyle name="Followed Hyperlink 4" xfId="13825" hidden="1" xr:uid="{00000000-0005-0000-0000-00008B670000}"/>
    <cellStyle name="Followed Hyperlink 4" xfId="13835" hidden="1" xr:uid="{00000000-0005-0000-0000-00008C670000}"/>
    <cellStyle name="Followed Hyperlink 4" xfId="13827" hidden="1" xr:uid="{00000000-0005-0000-0000-00008D670000}"/>
    <cellStyle name="Followed Hyperlink 4" xfId="13838" hidden="1" xr:uid="{00000000-0005-0000-0000-00008E670000}"/>
    <cellStyle name="Followed Hyperlink 4" xfId="13841" hidden="1" xr:uid="{00000000-0005-0000-0000-00008F670000}"/>
    <cellStyle name="Followed Hyperlink 4" xfId="13844" hidden="1" xr:uid="{00000000-0005-0000-0000-000090670000}"/>
    <cellStyle name="Followed Hyperlink 4" xfId="13846" hidden="1" xr:uid="{00000000-0005-0000-0000-000091670000}"/>
    <cellStyle name="Followed Hyperlink 4" xfId="13847" hidden="1" xr:uid="{00000000-0005-0000-0000-000092670000}"/>
    <cellStyle name="Followed Hyperlink 4" xfId="13850" hidden="1" xr:uid="{00000000-0005-0000-0000-000093670000}"/>
    <cellStyle name="Followed Hyperlink 4" xfId="13859" hidden="1" xr:uid="{00000000-0005-0000-0000-000094670000}"/>
    <cellStyle name="Followed Hyperlink 4" xfId="13851" hidden="1" xr:uid="{00000000-0005-0000-0000-000095670000}"/>
    <cellStyle name="Followed Hyperlink 4" xfId="13862" hidden="1" xr:uid="{00000000-0005-0000-0000-000096670000}"/>
    <cellStyle name="Followed Hyperlink 4" xfId="13865" hidden="1" xr:uid="{00000000-0005-0000-0000-000097670000}"/>
    <cellStyle name="Followed Hyperlink 4" xfId="13868" hidden="1" xr:uid="{00000000-0005-0000-0000-000098670000}"/>
    <cellStyle name="Followed Hyperlink 4" xfId="13870" hidden="1" xr:uid="{00000000-0005-0000-0000-000099670000}"/>
    <cellStyle name="Followed Hyperlink 4" xfId="13871" hidden="1" xr:uid="{00000000-0005-0000-0000-00009A670000}"/>
    <cellStyle name="Followed Hyperlink 4" xfId="13874" hidden="1" xr:uid="{00000000-0005-0000-0000-00009B670000}"/>
    <cellStyle name="Followed Hyperlink 4" xfId="13599" hidden="1" xr:uid="{00000000-0005-0000-0000-00009C670000}"/>
    <cellStyle name="Followed Hyperlink 4" xfId="13654" hidden="1" xr:uid="{00000000-0005-0000-0000-00009D670000}"/>
    <cellStyle name="Followed Hyperlink 4" xfId="13875" hidden="1" xr:uid="{00000000-0005-0000-0000-00009E670000}"/>
    <cellStyle name="Followed Hyperlink 4" xfId="13878" hidden="1" xr:uid="{00000000-0005-0000-0000-00009F670000}"/>
    <cellStyle name="Followed Hyperlink 4" xfId="13881" hidden="1" xr:uid="{00000000-0005-0000-0000-0000A0670000}"/>
    <cellStyle name="Followed Hyperlink 4" xfId="13883" hidden="1" xr:uid="{00000000-0005-0000-0000-0000A1670000}"/>
    <cellStyle name="Followed Hyperlink 4" xfId="13884" hidden="1" xr:uid="{00000000-0005-0000-0000-0000A2670000}"/>
    <cellStyle name="Followed Hyperlink 4" xfId="13887" hidden="1" xr:uid="{00000000-0005-0000-0000-0000A3670000}"/>
    <cellStyle name="Followed Hyperlink 4" xfId="13896" hidden="1" xr:uid="{00000000-0005-0000-0000-0000A4670000}"/>
    <cellStyle name="Followed Hyperlink 4" xfId="13888" hidden="1" xr:uid="{00000000-0005-0000-0000-0000A5670000}"/>
    <cellStyle name="Followed Hyperlink 4" xfId="13899" hidden="1" xr:uid="{00000000-0005-0000-0000-0000A6670000}"/>
    <cellStyle name="Followed Hyperlink 4" xfId="13902" hidden="1" xr:uid="{00000000-0005-0000-0000-0000A7670000}"/>
    <cellStyle name="Followed Hyperlink 4" xfId="13905" hidden="1" xr:uid="{00000000-0005-0000-0000-0000A8670000}"/>
    <cellStyle name="Followed Hyperlink 4" xfId="13907" hidden="1" xr:uid="{00000000-0005-0000-0000-0000A9670000}"/>
    <cellStyle name="Followed Hyperlink 4" xfId="13908" hidden="1" xr:uid="{00000000-0005-0000-0000-0000AA670000}"/>
    <cellStyle name="Followed Hyperlink 4" xfId="13911" hidden="1" xr:uid="{00000000-0005-0000-0000-0000AB670000}"/>
    <cellStyle name="Followed Hyperlink 4" xfId="13920" hidden="1" xr:uid="{00000000-0005-0000-0000-0000AC670000}"/>
    <cellStyle name="Followed Hyperlink 4" xfId="13912" hidden="1" xr:uid="{00000000-0005-0000-0000-0000AD670000}"/>
    <cellStyle name="Followed Hyperlink 4" xfId="13923" hidden="1" xr:uid="{00000000-0005-0000-0000-0000AE670000}"/>
    <cellStyle name="Followed Hyperlink 4" xfId="13926" hidden="1" xr:uid="{00000000-0005-0000-0000-0000AF670000}"/>
    <cellStyle name="Followed Hyperlink 4" xfId="13929" hidden="1" xr:uid="{00000000-0005-0000-0000-0000B0670000}"/>
    <cellStyle name="Followed Hyperlink 4" xfId="13931" hidden="1" xr:uid="{00000000-0005-0000-0000-0000B1670000}"/>
    <cellStyle name="Followed Hyperlink 4" xfId="13932" hidden="1" xr:uid="{00000000-0005-0000-0000-0000B2670000}"/>
    <cellStyle name="Followed Hyperlink 4" xfId="13935" hidden="1" xr:uid="{00000000-0005-0000-0000-0000B3670000}"/>
    <cellStyle name="Followed Hyperlink 4" xfId="13944" hidden="1" xr:uid="{00000000-0005-0000-0000-0000B4670000}"/>
    <cellStyle name="Followed Hyperlink 4" xfId="13936" hidden="1" xr:uid="{00000000-0005-0000-0000-0000B5670000}"/>
    <cellStyle name="Followed Hyperlink 4" xfId="13947" hidden="1" xr:uid="{00000000-0005-0000-0000-0000B6670000}"/>
    <cellStyle name="Followed Hyperlink 4" xfId="13950" hidden="1" xr:uid="{00000000-0005-0000-0000-0000B7670000}"/>
    <cellStyle name="Followed Hyperlink 4" xfId="13953" hidden="1" xr:uid="{00000000-0005-0000-0000-0000B8670000}"/>
    <cellStyle name="Followed Hyperlink 4" xfId="13955" hidden="1" xr:uid="{00000000-0005-0000-0000-0000B9670000}"/>
    <cellStyle name="Followed Hyperlink 4" xfId="13956" hidden="1" xr:uid="{00000000-0005-0000-0000-0000BA670000}"/>
    <cellStyle name="Followed Hyperlink 4" xfId="13959" hidden="1" xr:uid="{00000000-0005-0000-0000-0000BB670000}"/>
    <cellStyle name="Followed Hyperlink 4" xfId="12992" hidden="1" xr:uid="{00000000-0005-0000-0000-0000BC670000}"/>
    <cellStyle name="Followed Hyperlink 4" xfId="12998" hidden="1" xr:uid="{00000000-0005-0000-0000-0000BD670000}"/>
    <cellStyle name="Followed Hyperlink 4" xfId="13960" hidden="1" xr:uid="{00000000-0005-0000-0000-0000BE670000}"/>
    <cellStyle name="Followed Hyperlink 4" xfId="13963" hidden="1" xr:uid="{00000000-0005-0000-0000-0000BF670000}"/>
    <cellStyle name="Followed Hyperlink 4" xfId="13966" hidden="1" xr:uid="{00000000-0005-0000-0000-0000C0670000}"/>
    <cellStyle name="Followed Hyperlink 4" xfId="13968" hidden="1" xr:uid="{00000000-0005-0000-0000-0000C1670000}"/>
    <cellStyle name="Followed Hyperlink 4" xfId="13969" hidden="1" xr:uid="{00000000-0005-0000-0000-0000C2670000}"/>
    <cellStyle name="Followed Hyperlink 4" xfId="13972" hidden="1" xr:uid="{00000000-0005-0000-0000-0000C3670000}"/>
    <cellStyle name="Followed Hyperlink 4" xfId="13981" hidden="1" xr:uid="{00000000-0005-0000-0000-0000C4670000}"/>
    <cellStyle name="Followed Hyperlink 4" xfId="13973" hidden="1" xr:uid="{00000000-0005-0000-0000-0000C5670000}"/>
    <cellStyle name="Followed Hyperlink 4" xfId="13984" hidden="1" xr:uid="{00000000-0005-0000-0000-0000C6670000}"/>
    <cellStyle name="Followed Hyperlink 4" xfId="13987" hidden="1" xr:uid="{00000000-0005-0000-0000-0000C7670000}"/>
    <cellStyle name="Followed Hyperlink 4" xfId="13990" hidden="1" xr:uid="{00000000-0005-0000-0000-0000C8670000}"/>
    <cellStyle name="Followed Hyperlink 4" xfId="13992" hidden="1" xr:uid="{00000000-0005-0000-0000-0000C9670000}"/>
    <cellStyle name="Followed Hyperlink 4" xfId="13993" hidden="1" xr:uid="{00000000-0005-0000-0000-0000CA670000}"/>
    <cellStyle name="Followed Hyperlink 4" xfId="13996" hidden="1" xr:uid="{00000000-0005-0000-0000-0000CB670000}"/>
    <cellStyle name="Followed Hyperlink 4" xfId="14006" hidden="1" xr:uid="{00000000-0005-0000-0000-0000CC670000}"/>
    <cellStyle name="Followed Hyperlink 4" xfId="13998" hidden="1" xr:uid="{00000000-0005-0000-0000-0000CD670000}"/>
    <cellStyle name="Followed Hyperlink 4" xfId="14009" hidden="1" xr:uid="{00000000-0005-0000-0000-0000CE670000}"/>
    <cellStyle name="Followed Hyperlink 4" xfId="14012" hidden="1" xr:uid="{00000000-0005-0000-0000-0000CF670000}"/>
    <cellStyle name="Followed Hyperlink 4" xfId="14015" hidden="1" xr:uid="{00000000-0005-0000-0000-0000D0670000}"/>
    <cellStyle name="Followed Hyperlink 4" xfId="14017" hidden="1" xr:uid="{00000000-0005-0000-0000-0000D1670000}"/>
    <cellStyle name="Followed Hyperlink 4" xfId="14018" hidden="1" xr:uid="{00000000-0005-0000-0000-0000D2670000}"/>
    <cellStyle name="Followed Hyperlink 4" xfId="14021" hidden="1" xr:uid="{00000000-0005-0000-0000-0000D3670000}"/>
    <cellStyle name="Followed Hyperlink 4" xfId="14030" hidden="1" xr:uid="{00000000-0005-0000-0000-0000D4670000}"/>
    <cellStyle name="Followed Hyperlink 4" xfId="14022" hidden="1" xr:uid="{00000000-0005-0000-0000-0000D5670000}"/>
    <cellStyle name="Followed Hyperlink 4" xfId="14033" hidden="1" xr:uid="{00000000-0005-0000-0000-0000D6670000}"/>
    <cellStyle name="Followed Hyperlink 4" xfId="14036" hidden="1" xr:uid="{00000000-0005-0000-0000-0000D7670000}"/>
    <cellStyle name="Followed Hyperlink 4" xfId="14039" hidden="1" xr:uid="{00000000-0005-0000-0000-0000D8670000}"/>
    <cellStyle name="Followed Hyperlink 4" xfId="14041" hidden="1" xr:uid="{00000000-0005-0000-0000-0000D9670000}"/>
    <cellStyle name="Followed Hyperlink 4" xfId="14042" hidden="1" xr:uid="{00000000-0005-0000-0000-0000DA670000}"/>
    <cellStyle name="Followed Hyperlink 4" xfId="14045" hidden="1" xr:uid="{00000000-0005-0000-0000-0000DB670000}"/>
    <cellStyle name="Followed Hyperlink 4" xfId="14083" hidden="1" xr:uid="{00000000-0005-0000-0000-0000DC670000}"/>
    <cellStyle name="Followed Hyperlink 4" xfId="14075" hidden="1" xr:uid="{00000000-0005-0000-0000-0000DD670000}"/>
    <cellStyle name="Followed Hyperlink 4" xfId="14086" hidden="1" xr:uid="{00000000-0005-0000-0000-0000DE670000}"/>
    <cellStyle name="Followed Hyperlink 4" xfId="14089" hidden="1" xr:uid="{00000000-0005-0000-0000-0000DF670000}"/>
    <cellStyle name="Followed Hyperlink 4" xfId="14092" hidden="1" xr:uid="{00000000-0005-0000-0000-0000E0670000}"/>
    <cellStyle name="Followed Hyperlink 4" xfId="14094" hidden="1" xr:uid="{00000000-0005-0000-0000-0000E1670000}"/>
    <cellStyle name="Followed Hyperlink 4" xfId="14095" hidden="1" xr:uid="{00000000-0005-0000-0000-0000E2670000}"/>
    <cellStyle name="Followed Hyperlink 4" xfId="14098" hidden="1" xr:uid="{00000000-0005-0000-0000-0000E3670000}"/>
    <cellStyle name="Followed Hyperlink 4" xfId="14107" hidden="1" xr:uid="{00000000-0005-0000-0000-0000E4670000}"/>
    <cellStyle name="Followed Hyperlink 4" xfId="14099" hidden="1" xr:uid="{00000000-0005-0000-0000-0000E5670000}"/>
    <cellStyle name="Followed Hyperlink 4" xfId="14110" hidden="1" xr:uid="{00000000-0005-0000-0000-0000E6670000}"/>
    <cellStyle name="Followed Hyperlink 4" xfId="14113" hidden="1" xr:uid="{00000000-0005-0000-0000-0000E7670000}"/>
    <cellStyle name="Followed Hyperlink 4" xfId="14116" hidden="1" xr:uid="{00000000-0005-0000-0000-0000E8670000}"/>
    <cellStyle name="Followed Hyperlink 4" xfId="14118" hidden="1" xr:uid="{00000000-0005-0000-0000-0000E9670000}"/>
    <cellStyle name="Followed Hyperlink 4" xfId="14119" hidden="1" xr:uid="{00000000-0005-0000-0000-0000EA670000}"/>
    <cellStyle name="Followed Hyperlink 4" xfId="14122" hidden="1" xr:uid="{00000000-0005-0000-0000-0000EB670000}"/>
    <cellStyle name="Followed Hyperlink 4" xfId="14133" hidden="1" xr:uid="{00000000-0005-0000-0000-0000EC670000}"/>
    <cellStyle name="Followed Hyperlink 4" xfId="14125" hidden="1" xr:uid="{00000000-0005-0000-0000-0000ED670000}"/>
    <cellStyle name="Followed Hyperlink 4" xfId="14136" hidden="1" xr:uid="{00000000-0005-0000-0000-0000EE670000}"/>
    <cellStyle name="Followed Hyperlink 4" xfId="14139" hidden="1" xr:uid="{00000000-0005-0000-0000-0000EF670000}"/>
    <cellStyle name="Followed Hyperlink 4" xfId="14142" hidden="1" xr:uid="{00000000-0005-0000-0000-0000F0670000}"/>
    <cellStyle name="Followed Hyperlink 4" xfId="14144" hidden="1" xr:uid="{00000000-0005-0000-0000-0000F1670000}"/>
    <cellStyle name="Followed Hyperlink 4" xfId="14145" hidden="1" xr:uid="{00000000-0005-0000-0000-0000F2670000}"/>
    <cellStyle name="Followed Hyperlink 4" xfId="14148" hidden="1" xr:uid="{00000000-0005-0000-0000-0000F3670000}"/>
    <cellStyle name="Followed Hyperlink 4" xfId="14157" hidden="1" xr:uid="{00000000-0005-0000-0000-0000F4670000}"/>
    <cellStyle name="Followed Hyperlink 4" xfId="14149" hidden="1" xr:uid="{00000000-0005-0000-0000-0000F5670000}"/>
    <cellStyle name="Followed Hyperlink 4" xfId="14160" hidden="1" xr:uid="{00000000-0005-0000-0000-0000F6670000}"/>
    <cellStyle name="Followed Hyperlink 4" xfId="14163" hidden="1" xr:uid="{00000000-0005-0000-0000-0000F7670000}"/>
    <cellStyle name="Followed Hyperlink 4" xfId="14166" hidden="1" xr:uid="{00000000-0005-0000-0000-0000F8670000}"/>
    <cellStyle name="Followed Hyperlink 4" xfId="14168" hidden="1" xr:uid="{00000000-0005-0000-0000-0000F9670000}"/>
    <cellStyle name="Followed Hyperlink 4" xfId="14169" hidden="1" xr:uid="{00000000-0005-0000-0000-0000FA670000}"/>
    <cellStyle name="Followed Hyperlink 4" xfId="14172" hidden="1" xr:uid="{00000000-0005-0000-0000-0000FB670000}"/>
    <cellStyle name="Followed Hyperlink 4" xfId="14055" hidden="1" xr:uid="{00000000-0005-0000-0000-0000FC670000}"/>
    <cellStyle name="Followed Hyperlink 4" xfId="14049" hidden="1" xr:uid="{00000000-0005-0000-0000-0000FD670000}"/>
    <cellStyle name="Followed Hyperlink 4" xfId="14173" hidden="1" xr:uid="{00000000-0005-0000-0000-0000FE670000}"/>
    <cellStyle name="Followed Hyperlink 4" xfId="14176" hidden="1" xr:uid="{00000000-0005-0000-0000-0000FF670000}"/>
    <cellStyle name="Followed Hyperlink 4" xfId="14179" hidden="1" xr:uid="{00000000-0005-0000-0000-000000680000}"/>
    <cellStyle name="Followed Hyperlink 4" xfId="14181" hidden="1" xr:uid="{00000000-0005-0000-0000-000001680000}"/>
    <cellStyle name="Followed Hyperlink 4" xfId="14182" hidden="1" xr:uid="{00000000-0005-0000-0000-000002680000}"/>
    <cellStyle name="Followed Hyperlink 4" xfId="14185" hidden="1" xr:uid="{00000000-0005-0000-0000-000003680000}"/>
    <cellStyle name="Followed Hyperlink 4" xfId="14194" hidden="1" xr:uid="{00000000-0005-0000-0000-000004680000}"/>
    <cellStyle name="Followed Hyperlink 4" xfId="14186" hidden="1" xr:uid="{00000000-0005-0000-0000-000005680000}"/>
    <cellStyle name="Followed Hyperlink 4" xfId="14197" hidden="1" xr:uid="{00000000-0005-0000-0000-000006680000}"/>
    <cellStyle name="Followed Hyperlink 4" xfId="14200" hidden="1" xr:uid="{00000000-0005-0000-0000-000007680000}"/>
    <cellStyle name="Followed Hyperlink 4" xfId="14203" hidden="1" xr:uid="{00000000-0005-0000-0000-000008680000}"/>
    <cellStyle name="Followed Hyperlink 4" xfId="14205" hidden="1" xr:uid="{00000000-0005-0000-0000-000009680000}"/>
    <cellStyle name="Followed Hyperlink 4" xfId="14206" hidden="1" xr:uid="{00000000-0005-0000-0000-00000A680000}"/>
    <cellStyle name="Followed Hyperlink 4" xfId="14209" hidden="1" xr:uid="{00000000-0005-0000-0000-00000B680000}"/>
    <cellStyle name="Followed Hyperlink 4" xfId="14219" hidden="1" xr:uid="{00000000-0005-0000-0000-00000C680000}"/>
    <cellStyle name="Followed Hyperlink 4" xfId="14211" hidden="1" xr:uid="{00000000-0005-0000-0000-00000D680000}"/>
    <cellStyle name="Followed Hyperlink 4" xfId="14222" hidden="1" xr:uid="{00000000-0005-0000-0000-00000E680000}"/>
    <cellStyle name="Followed Hyperlink 4" xfId="14225" hidden="1" xr:uid="{00000000-0005-0000-0000-00000F680000}"/>
    <cellStyle name="Followed Hyperlink 4" xfId="14228" hidden="1" xr:uid="{00000000-0005-0000-0000-000010680000}"/>
    <cellStyle name="Followed Hyperlink 4" xfId="14230" hidden="1" xr:uid="{00000000-0005-0000-0000-000011680000}"/>
    <cellStyle name="Followed Hyperlink 4" xfId="14231" hidden="1" xr:uid="{00000000-0005-0000-0000-000012680000}"/>
    <cellStyle name="Followed Hyperlink 4" xfId="14234" hidden="1" xr:uid="{00000000-0005-0000-0000-000013680000}"/>
    <cellStyle name="Followed Hyperlink 4" xfId="14243" hidden="1" xr:uid="{00000000-0005-0000-0000-000014680000}"/>
    <cellStyle name="Followed Hyperlink 4" xfId="14235" hidden="1" xr:uid="{00000000-0005-0000-0000-000015680000}"/>
    <cellStyle name="Followed Hyperlink 4" xfId="14246" hidden="1" xr:uid="{00000000-0005-0000-0000-000016680000}"/>
    <cellStyle name="Followed Hyperlink 4" xfId="14249" hidden="1" xr:uid="{00000000-0005-0000-0000-000017680000}"/>
    <cellStyle name="Followed Hyperlink 4" xfId="14252" hidden="1" xr:uid="{00000000-0005-0000-0000-000018680000}"/>
    <cellStyle name="Followed Hyperlink 4" xfId="14254" hidden="1" xr:uid="{00000000-0005-0000-0000-000019680000}"/>
    <cellStyle name="Followed Hyperlink 4" xfId="14255" hidden="1" xr:uid="{00000000-0005-0000-0000-00001A680000}"/>
    <cellStyle name="Followed Hyperlink 4" xfId="14258" hidden="1" xr:uid="{00000000-0005-0000-0000-00001B680000}"/>
    <cellStyle name="Followed Hyperlink 4" xfId="14059" hidden="1" xr:uid="{00000000-0005-0000-0000-00001C680000}"/>
    <cellStyle name="Followed Hyperlink 4" xfId="14065" hidden="1" xr:uid="{00000000-0005-0000-0000-00001D680000}"/>
    <cellStyle name="Followed Hyperlink 4" xfId="14259" hidden="1" xr:uid="{00000000-0005-0000-0000-00001E680000}"/>
    <cellStyle name="Followed Hyperlink 4" xfId="14262" hidden="1" xr:uid="{00000000-0005-0000-0000-00001F680000}"/>
    <cellStyle name="Followed Hyperlink 4" xfId="14265" hidden="1" xr:uid="{00000000-0005-0000-0000-000020680000}"/>
    <cellStyle name="Followed Hyperlink 4" xfId="14267" hidden="1" xr:uid="{00000000-0005-0000-0000-000021680000}"/>
    <cellStyle name="Followed Hyperlink 4" xfId="14268" hidden="1" xr:uid="{00000000-0005-0000-0000-000022680000}"/>
    <cellStyle name="Followed Hyperlink 4" xfId="14271" hidden="1" xr:uid="{00000000-0005-0000-0000-000023680000}"/>
    <cellStyle name="Followed Hyperlink 4" xfId="14280" hidden="1" xr:uid="{00000000-0005-0000-0000-000024680000}"/>
    <cellStyle name="Followed Hyperlink 4" xfId="14272" hidden="1" xr:uid="{00000000-0005-0000-0000-000025680000}"/>
    <cellStyle name="Followed Hyperlink 4" xfId="14283" hidden="1" xr:uid="{00000000-0005-0000-0000-000026680000}"/>
    <cellStyle name="Followed Hyperlink 4" xfId="14286" hidden="1" xr:uid="{00000000-0005-0000-0000-000027680000}"/>
    <cellStyle name="Followed Hyperlink 4" xfId="14289" hidden="1" xr:uid="{00000000-0005-0000-0000-000028680000}"/>
    <cellStyle name="Followed Hyperlink 4" xfId="14291" hidden="1" xr:uid="{00000000-0005-0000-0000-000029680000}"/>
    <cellStyle name="Followed Hyperlink 4" xfId="14292" hidden="1" xr:uid="{00000000-0005-0000-0000-00002A680000}"/>
    <cellStyle name="Followed Hyperlink 4" xfId="14295" hidden="1" xr:uid="{00000000-0005-0000-0000-00002B680000}"/>
    <cellStyle name="Followed Hyperlink 4" xfId="14305" hidden="1" xr:uid="{00000000-0005-0000-0000-00002C680000}"/>
    <cellStyle name="Followed Hyperlink 4" xfId="14297" hidden="1" xr:uid="{00000000-0005-0000-0000-00002D680000}"/>
    <cellStyle name="Followed Hyperlink 4" xfId="14308" hidden="1" xr:uid="{00000000-0005-0000-0000-00002E680000}"/>
    <cellStyle name="Followed Hyperlink 4" xfId="14311" hidden="1" xr:uid="{00000000-0005-0000-0000-00002F680000}"/>
    <cellStyle name="Followed Hyperlink 4" xfId="14314" hidden="1" xr:uid="{00000000-0005-0000-0000-000030680000}"/>
    <cellStyle name="Followed Hyperlink 4" xfId="14316" hidden="1" xr:uid="{00000000-0005-0000-0000-000031680000}"/>
    <cellStyle name="Followed Hyperlink 4" xfId="14317" hidden="1" xr:uid="{00000000-0005-0000-0000-000032680000}"/>
    <cellStyle name="Followed Hyperlink 4" xfId="14320" hidden="1" xr:uid="{00000000-0005-0000-0000-000033680000}"/>
    <cellStyle name="Followed Hyperlink 4" xfId="14329" hidden="1" xr:uid="{00000000-0005-0000-0000-000034680000}"/>
    <cellStyle name="Followed Hyperlink 4" xfId="14321" hidden="1" xr:uid="{00000000-0005-0000-0000-000035680000}"/>
    <cellStyle name="Followed Hyperlink 4" xfId="14332" hidden="1" xr:uid="{00000000-0005-0000-0000-000036680000}"/>
    <cellStyle name="Followed Hyperlink 4" xfId="14335" hidden="1" xr:uid="{00000000-0005-0000-0000-000037680000}"/>
    <cellStyle name="Followed Hyperlink 4" xfId="14338" hidden="1" xr:uid="{00000000-0005-0000-0000-000038680000}"/>
    <cellStyle name="Followed Hyperlink 4" xfId="14340" hidden="1" xr:uid="{00000000-0005-0000-0000-000039680000}"/>
    <cellStyle name="Followed Hyperlink 4" xfId="14341" hidden="1" xr:uid="{00000000-0005-0000-0000-00003A680000}"/>
    <cellStyle name="Followed Hyperlink 4" xfId="14344" hidden="1" xr:uid="{00000000-0005-0000-0000-00003B680000}"/>
    <cellStyle name="Followed Hyperlink 4" xfId="14069" hidden="1" xr:uid="{00000000-0005-0000-0000-00003C680000}"/>
    <cellStyle name="Followed Hyperlink 4" xfId="14124" hidden="1" xr:uid="{00000000-0005-0000-0000-00003D680000}"/>
    <cellStyle name="Followed Hyperlink 4" xfId="14345" hidden="1" xr:uid="{00000000-0005-0000-0000-00003E680000}"/>
    <cellStyle name="Followed Hyperlink 4" xfId="14348" hidden="1" xr:uid="{00000000-0005-0000-0000-00003F680000}"/>
    <cellStyle name="Followed Hyperlink 4" xfId="14351" hidden="1" xr:uid="{00000000-0005-0000-0000-000040680000}"/>
    <cellStyle name="Followed Hyperlink 4" xfId="14353" hidden="1" xr:uid="{00000000-0005-0000-0000-000041680000}"/>
    <cellStyle name="Followed Hyperlink 4" xfId="14354" hidden="1" xr:uid="{00000000-0005-0000-0000-000042680000}"/>
    <cellStyle name="Followed Hyperlink 4" xfId="14357" hidden="1" xr:uid="{00000000-0005-0000-0000-000043680000}"/>
    <cellStyle name="Followed Hyperlink 4" xfId="14366" hidden="1" xr:uid="{00000000-0005-0000-0000-000044680000}"/>
    <cellStyle name="Followed Hyperlink 4" xfId="14358" hidden="1" xr:uid="{00000000-0005-0000-0000-000045680000}"/>
    <cellStyle name="Followed Hyperlink 4" xfId="14369" hidden="1" xr:uid="{00000000-0005-0000-0000-000046680000}"/>
    <cellStyle name="Followed Hyperlink 4" xfId="14372" hidden="1" xr:uid="{00000000-0005-0000-0000-000047680000}"/>
    <cellStyle name="Followed Hyperlink 4" xfId="14375" hidden="1" xr:uid="{00000000-0005-0000-0000-000048680000}"/>
    <cellStyle name="Followed Hyperlink 4" xfId="14377" hidden="1" xr:uid="{00000000-0005-0000-0000-000049680000}"/>
    <cellStyle name="Followed Hyperlink 4" xfId="14378" hidden="1" xr:uid="{00000000-0005-0000-0000-00004A680000}"/>
    <cellStyle name="Followed Hyperlink 4" xfId="14381" hidden="1" xr:uid="{00000000-0005-0000-0000-00004B680000}"/>
    <cellStyle name="Followed Hyperlink 4" xfId="14390" hidden="1" xr:uid="{00000000-0005-0000-0000-00004C680000}"/>
    <cellStyle name="Followed Hyperlink 4" xfId="14382" hidden="1" xr:uid="{00000000-0005-0000-0000-00004D680000}"/>
    <cellStyle name="Followed Hyperlink 4" xfId="14393" hidden="1" xr:uid="{00000000-0005-0000-0000-00004E680000}"/>
    <cellStyle name="Followed Hyperlink 4" xfId="14396" hidden="1" xr:uid="{00000000-0005-0000-0000-00004F680000}"/>
    <cellStyle name="Followed Hyperlink 4" xfId="14399" hidden="1" xr:uid="{00000000-0005-0000-0000-000050680000}"/>
    <cellStyle name="Followed Hyperlink 4" xfId="14401" hidden="1" xr:uid="{00000000-0005-0000-0000-000051680000}"/>
    <cellStyle name="Followed Hyperlink 4" xfId="14402" hidden="1" xr:uid="{00000000-0005-0000-0000-000052680000}"/>
    <cellStyle name="Followed Hyperlink 4" xfId="14405" hidden="1" xr:uid="{00000000-0005-0000-0000-000053680000}"/>
    <cellStyle name="Followed Hyperlink 4" xfId="14414" hidden="1" xr:uid="{00000000-0005-0000-0000-000054680000}"/>
    <cellStyle name="Followed Hyperlink 4" xfId="14406" hidden="1" xr:uid="{00000000-0005-0000-0000-000055680000}"/>
    <cellStyle name="Followed Hyperlink 4" xfId="14417" hidden="1" xr:uid="{00000000-0005-0000-0000-000056680000}"/>
    <cellStyle name="Followed Hyperlink 4" xfId="14420" hidden="1" xr:uid="{00000000-0005-0000-0000-000057680000}"/>
    <cellStyle name="Followed Hyperlink 4" xfId="14423" hidden="1" xr:uid="{00000000-0005-0000-0000-000058680000}"/>
    <cellStyle name="Followed Hyperlink 4" xfId="14425" hidden="1" xr:uid="{00000000-0005-0000-0000-000059680000}"/>
    <cellStyle name="Followed Hyperlink 4" xfId="14426" hidden="1" xr:uid="{00000000-0005-0000-0000-00005A680000}"/>
    <cellStyle name="Followed Hyperlink 4" xfId="14429" hidden="1" xr:uid="{00000000-0005-0000-0000-00005B680000}"/>
    <cellStyle name="Followed Hyperlink 4" xfId="13002" hidden="1" xr:uid="{00000000-0005-0000-0000-00005C680000}"/>
    <cellStyle name="Followed Hyperlink 4" xfId="13057" hidden="1" xr:uid="{00000000-0005-0000-0000-00005D680000}"/>
    <cellStyle name="Followed Hyperlink 4" xfId="14430" hidden="1" xr:uid="{00000000-0005-0000-0000-00005E680000}"/>
    <cellStyle name="Followed Hyperlink 4" xfId="14433" hidden="1" xr:uid="{00000000-0005-0000-0000-00005F680000}"/>
    <cellStyle name="Followed Hyperlink 4" xfId="14436" hidden="1" xr:uid="{00000000-0005-0000-0000-000060680000}"/>
    <cellStyle name="Followed Hyperlink 4" xfId="14438" hidden="1" xr:uid="{00000000-0005-0000-0000-000061680000}"/>
    <cellStyle name="Followed Hyperlink 4" xfId="14439" hidden="1" xr:uid="{00000000-0005-0000-0000-000062680000}"/>
    <cellStyle name="Followed Hyperlink 4" xfId="14442" hidden="1" xr:uid="{00000000-0005-0000-0000-000063680000}"/>
    <cellStyle name="Followed Hyperlink 4" xfId="14451" hidden="1" xr:uid="{00000000-0005-0000-0000-000064680000}"/>
    <cellStyle name="Followed Hyperlink 4" xfId="14443" hidden="1" xr:uid="{00000000-0005-0000-0000-000065680000}"/>
    <cellStyle name="Followed Hyperlink 4" xfId="14454" hidden="1" xr:uid="{00000000-0005-0000-0000-000066680000}"/>
    <cellStyle name="Followed Hyperlink 4" xfId="14457" hidden="1" xr:uid="{00000000-0005-0000-0000-000067680000}"/>
    <cellStyle name="Followed Hyperlink 4" xfId="14460" hidden="1" xr:uid="{00000000-0005-0000-0000-000068680000}"/>
    <cellStyle name="Followed Hyperlink 4" xfId="14462" hidden="1" xr:uid="{00000000-0005-0000-0000-000069680000}"/>
    <cellStyle name="Followed Hyperlink 4" xfId="14463" hidden="1" xr:uid="{00000000-0005-0000-0000-00006A680000}"/>
    <cellStyle name="Followed Hyperlink 4" xfId="14466" hidden="1" xr:uid="{00000000-0005-0000-0000-00006B680000}"/>
    <cellStyle name="Followed Hyperlink 4" xfId="14475" hidden="1" xr:uid="{00000000-0005-0000-0000-00006C680000}"/>
    <cellStyle name="Followed Hyperlink 4" xfId="14467" hidden="1" xr:uid="{00000000-0005-0000-0000-00006D680000}"/>
    <cellStyle name="Followed Hyperlink 4" xfId="14478" hidden="1" xr:uid="{00000000-0005-0000-0000-00006E680000}"/>
    <cellStyle name="Followed Hyperlink 4" xfId="14481" hidden="1" xr:uid="{00000000-0005-0000-0000-00006F680000}"/>
    <cellStyle name="Followed Hyperlink 4" xfId="14484" hidden="1" xr:uid="{00000000-0005-0000-0000-000070680000}"/>
    <cellStyle name="Followed Hyperlink 4" xfId="14486" hidden="1" xr:uid="{00000000-0005-0000-0000-000071680000}"/>
    <cellStyle name="Followed Hyperlink 4" xfId="14487" hidden="1" xr:uid="{00000000-0005-0000-0000-000072680000}"/>
    <cellStyle name="Followed Hyperlink 4" xfId="14490" hidden="1" xr:uid="{00000000-0005-0000-0000-000073680000}"/>
    <cellStyle name="Followed Hyperlink 4" xfId="14499" hidden="1" xr:uid="{00000000-0005-0000-0000-000074680000}"/>
    <cellStyle name="Followed Hyperlink 4" xfId="14491" hidden="1" xr:uid="{00000000-0005-0000-0000-000075680000}"/>
    <cellStyle name="Followed Hyperlink 4" xfId="14502" hidden="1" xr:uid="{00000000-0005-0000-0000-000076680000}"/>
    <cellStyle name="Followed Hyperlink 4" xfId="14505" hidden="1" xr:uid="{00000000-0005-0000-0000-000077680000}"/>
    <cellStyle name="Followed Hyperlink 4" xfId="14508" hidden="1" xr:uid="{00000000-0005-0000-0000-000078680000}"/>
    <cellStyle name="Followed Hyperlink 4" xfId="14510" hidden="1" xr:uid="{00000000-0005-0000-0000-000079680000}"/>
    <cellStyle name="Followed Hyperlink 4" xfId="14511" hidden="1" xr:uid="{00000000-0005-0000-0000-00007A680000}"/>
    <cellStyle name="Followed Hyperlink 4" xfId="14514" hidden="1" xr:uid="{00000000-0005-0000-0000-00007B680000}"/>
    <cellStyle name="Followed Hyperlink 4" xfId="14552" hidden="1" xr:uid="{00000000-0005-0000-0000-00007C680000}"/>
    <cellStyle name="Followed Hyperlink 4" xfId="14544" hidden="1" xr:uid="{00000000-0005-0000-0000-00007D680000}"/>
    <cellStyle name="Followed Hyperlink 4" xfId="14555" hidden="1" xr:uid="{00000000-0005-0000-0000-00007E680000}"/>
    <cellStyle name="Followed Hyperlink 4" xfId="14558" hidden="1" xr:uid="{00000000-0005-0000-0000-00007F680000}"/>
    <cellStyle name="Followed Hyperlink 4" xfId="14561" hidden="1" xr:uid="{00000000-0005-0000-0000-000080680000}"/>
    <cellStyle name="Followed Hyperlink 4" xfId="14563" hidden="1" xr:uid="{00000000-0005-0000-0000-000081680000}"/>
    <cellStyle name="Followed Hyperlink 4" xfId="14564" hidden="1" xr:uid="{00000000-0005-0000-0000-000082680000}"/>
    <cellStyle name="Followed Hyperlink 4" xfId="14567" hidden="1" xr:uid="{00000000-0005-0000-0000-000083680000}"/>
    <cellStyle name="Followed Hyperlink 4" xfId="14576" hidden="1" xr:uid="{00000000-0005-0000-0000-000084680000}"/>
    <cellStyle name="Followed Hyperlink 4" xfId="14568" hidden="1" xr:uid="{00000000-0005-0000-0000-000085680000}"/>
    <cellStyle name="Followed Hyperlink 4" xfId="14579" hidden="1" xr:uid="{00000000-0005-0000-0000-000086680000}"/>
    <cellStyle name="Followed Hyperlink 4" xfId="14582" hidden="1" xr:uid="{00000000-0005-0000-0000-000087680000}"/>
    <cellStyle name="Followed Hyperlink 4" xfId="14585" hidden="1" xr:uid="{00000000-0005-0000-0000-000088680000}"/>
    <cellStyle name="Followed Hyperlink 4" xfId="14587" hidden="1" xr:uid="{00000000-0005-0000-0000-000089680000}"/>
    <cellStyle name="Followed Hyperlink 4" xfId="14588" hidden="1" xr:uid="{00000000-0005-0000-0000-00008A680000}"/>
    <cellStyle name="Followed Hyperlink 4" xfId="14591" hidden="1" xr:uid="{00000000-0005-0000-0000-00008B680000}"/>
    <cellStyle name="Followed Hyperlink 4" xfId="14602" hidden="1" xr:uid="{00000000-0005-0000-0000-00008C680000}"/>
    <cellStyle name="Followed Hyperlink 4" xfId="14594" hidden="1" xr:uid="{00000000-0005-0000-0000-00008D680000}"/>
    <cellStyle name="Followed Hyperlink 4" xfId="14605" hidden="1" xr:uid="{00000000-0005-0000-0000-00008E680000}"/>
    <cellStyle name="Followed Hyperlink 4" xfId="14608" hidden="1" xr:uid="{00000000-0005-0000-0000-00008F680000}"/>
    <cellStyle name="Followed Hyperlink 4" xfId="14611" hidden="1" xr:uid="{00000000-0005-0000-0000-000090680000}"/>
    <cellStyle name="Followed Hyperlink 4" xfId="14613" hidden="1" xr:uid="{00000000-0005-0000-0000-000091680000}"/>
    <cellStyle name="Followed Hyperlink 4" xfId="14614" hidden="1" xr:uid="{00000000-0005-0000-0000-000092680000}"/>
    <cellStyle name="Followed Hyperlink 4" xfId="14617" hidden="1" xr:uid="{00000000-0005-0000-0000-000093680000}"/>
    <cellStyle name="Followed Hyperlink 4" xfId="14626" hidden="1" xr:uid="{00000000-0005-0000-0000-000094680000}"/>
    <cellStyle name="Followed Hyperlink 4" xfId="14618" hidden="1" xr:uid="{00000000-0005-0000-0000-000095680000}"/>
    <cellStyle name="Followed Hyperlink 4" xfId="14629" hidden="1" xr:uid="{00000000-0005-0000-0000-000096680000}"/>
    <cellStyle name="Followed Hyperlink 4" xfId="14632" hidden="1" xr:uid="{00000000-0005-0000-0000-000097680000}"/>
    <cellStyle name="Followed Hyperlink 4" xfId="14635" hidden="1" xr:uid="{00000000-0005-0000-0000-000098680000}"/>
    <cellStyle name="Followed Hyperlink 4" xfId="14637" hidden="1" xr:uid="{00000000-0005-0000-0000-000099680000}"/>
    <cellStyle name="Followed Hyperlink 4" xfId="14638" hidden="1" xr:uid="{00000000-0005-0000-0000-00009A680000}"/>
    <cellStyle name="Followed Hyperlink 4" xfId="14641" hidden="1" xr:uid="{00000000-0005-0000-0000-00009B680000}"/>
    <cellStyle name="Followed Hyperlink 4" xfId="14524" hidden="1" xr:uid="{00000000-0005-0000-0000-00009C680000}"/>
    <cellStyle name="Followed Hyperlink 4" xfId="14518" hidden="1" xr:uid="{00000000-0005-0000-0000-00009D680000}"/>
    <cellStyle name="Followed Hyperlink 4" xfId="14642" hidden="1" xr:uid="{00000000-0005-0000-0000-00009E680000}"/>
    <cellStyle name="Followed Hyperlink 4" xfId="14645" hidden="1" xr:uid="{00000000-0005-0000-0000-00009F680000}"/>
    <cellStyle name="Followed Hyperlink 4" xfId="14648" hidden="1" xr:uid="{00000000-0005-0000-0000-0000A0680000}"/>
    <cellStyle name="Followed Hyperlink 4" xfId="14650" hidden="1" xr:uid="{00000000-0005-0000-0000-0000A1680000}"/>
    <cellStyle name="Followed Hyperlink 4" xfId="14651" hidden="1" xr:uid="{00000000-0005-0000-0000-0000A2680000}"/>
    <cellStyle name="Followed Hyperlink 4" xfId="14654" hidden="1" xr:uid="{00000000-0005-0000-0000-0000A3680000}"/>
    <cellStyle name="Followed Hyperlink 4" xfId="14663" hidden="1" xr:uid="{00000000-0005-0000-0000-0000A4680000}"/>
    <cellStyle name="Followed Hyperlink 4" xfId="14655" hidden="1" xr:uid="{00000000-0005-0000-0000-0000A5680000}"/>
    <cellStyle name="Followed Hyperlink 4" xfId="14666" hidden="1" xr:uid="{00000000-0005-0000-0000-0000A6680000}"/>
    <cellStyle name="Followed Hyperlink 4" xfId="14669" hidden="1" xr:uid="{00000000-0005-0000-0000-0000A7680000}"/>
    <cellStyle name="Followed Hyperlink 4" xfId="14672" hidden="1" xr:uid="{00000000-0005-0000-0000-0000A8680000}"/>
    <cellStyle name="Followed Hyperlink 4" xfId="14674" hidden="1" xr:uid="{00000000-0005-0000-0000-0000A9680000}"/>
    <cellStyle name="Followed Hyperlink 4" xfId="14675" hidden="1" xr:uid="{00000000-0005-0000-0000-0000AA680000}"/>
    <cellStyle name="Followed Hyperlink 4" xfId="14678" hidden="1" xr:uid="{00000000-0005-0000-0000-0000AB680000}"/>
    <cellStyle name="Followed Hyperlink 4" xfId="14688" hidden="1" xr:uid="{00000000-0005-0000-0000-0000AC680000}"/>
    <cellStyle name="Followed Hyperlink 4" xfId="14680" hidden="1" xr:uid="{00000000-0005-0000-0000-0000AD680000}"/>
    <cellStyle name="Followed Hyperlink 4" xfId="14691" hidden="1" xr:uid="{00000000-0005-0000-0000-0000AE680000}"/>
    <cellStyle name="Followed Hyperlink 4" xfId="14694" hidden="1" xr:uid="{00000000-0005-0000-0000-0000AF680000}"/>
    <cellStyle name="Followed Hyperlink 4" xfId="14697" hidden="1" xr:uid="{00000000-0005-0000-0000-0000B0680000}"/>
    <cellStyle name="Followed Hyperlink 4" xfId="14699" hidden="1" xr:uid="{00000000-0005-0000-0000-0000B1680000}"/>
    <cellStyle name="Followed Hyperlink 4" xfId="14700" hidden="1" xr:uid="{00000000-0005-0000-0000-0000B2680000}"/>
    <cellStyle name="Followed Hyperlink 4" xfId="14703" hidden="1" xr:uid="{00000000-0005-0000-0000-0000B3680000}"/>
    <cellStyle name="Followed Hyperlink 4" xfId="14712" hidden="1" xr:uid="{00000000-0005-0000-0000-0000B4680000}"/>
    <cellStyle name="Followed Hyperlink 4" xfId="14704" hidden="1" xr:uid="{00000000-0005-0000-0000-0000B5680000}"/>
    <cellStyle name="Followed Hyperlink 4" xfId="14715" hidden="1" xr:uid="{00000000-0005-0000-0000-0000B6680000}"/>
    <cellStyle name="Followed Hyperlink 4" xfId="14718" hidden="1" xr:uid="{00000000-0005-0000-0000-0000B7680000}"/>
    <cellStyle name="Followed Hyperlink 4" xfId="14721" hidden="1" xr:uid="{00000000-0005-0000-0000-0000B8680000}"/>
    <cellStyle name="Followed Hyperlink 4" xfId="14723" hidden="1" xr:uid="{00000000-0005-0000-0000-0000B9680000}"/>
    <cellStyle name="Followed Hyperlink 4" xfId="14724" hidden="1" xr:uid="{00000000-0005-0000-0000-0000BA680000}"/>
    <cellStyle name="Followed Hyperlink 4" xfId="14727" hidden="1" xr:uid="{00000000-0005-0000-0000-0000BB680000}"/>
    <cellStyle name="Followed Hyperlink 4" xfId="14528" hidden="1" xr:uid="{00000000-0005-0000-0000-0000BC680000}"/>
    <cellStyle name="Followed Hyperlink 4" xfId="14534" hidden="1" xr:uid="{00000000-0005-0000-0000-0000BD680000}"/>
    <cellStyle name="Followed Hyperlink 4" xfId="14728" hidden="1" xr:uid="{00000000-0005-0000-0000-0000BE680000}"/>
    <cellStyle name="Followed Hyperlink 4" xfId="14731" hidden="1" xr:uid="{00000000-0005-0000-0000-0000BF680000}"/>
    <cellStyle name="Followed Hyperlink 4" xfId="14734" hidden="1" xr:uid="{00000000-0005-0000-0000-0000C0680000}"/>
    <cellStyle name="Followed Hyperlink 4" xfId="14736" hidden="1" xr:uid="{00000000-0005-0000-0000-0000C1680000}"/>
    <cellStyle name="Followed Hyperlink 4" xfId="14737" hidden="1" xr:uid="{00000000-0005-0000-0000-0000C2680000}"/>
    <cellStyle name="Followed Hyperlink 4" xfId="14740" hidden="1" xr:uid="{00000000-0005-0000-0000-0000C3680000}"/>
    <cellStyle name="Followed Hyperlink 4" xfId="14749" hidden="1" xr:uid="{00000000-0005-0000-0000-0000C4680000}"/>
    <cellStyle name="Followed Hyperlink 4" xfId="14741" hidden="1" xr:uid="{00000000-0005-0000-0000-0000C5680000}"/>
    <cellStyle name="Followed Hyperlink 4" xfId="14752" hidden="1" xr:uid="{00000000-0005-0000-0000-0000C6680000}"/>
    <cellStyle name="Followed Hyperlink 4" xfId="14755" hidden="1" xr:uid="{00000000-0005-0000-0000-0000C7680000}"/>
    <cellStyle name="Followed Hyperlink 4" xfId="14758" hidden="1" xr:uid="{00000000-0005-0000-0000-0000C8680000}"/>
    <cellStyle name="Followed Hyperlink 4" xfId="14760" hidden="1" xr:uid="{00000000-0005-0000-0000-0000C9680000}"/>
    <cellStyle name="Followed Hyperlink 4" xfId="14761" hidden="1" xr:uid="{00000000-0005-0000-0000-0000CA680000}"/>
    <cellStyle name="Followed Hyperlink 4" xfId="14764" hidden="1" xr:uid="{00000000-0005-0000-0000-0000CB680000}"/>
    <cellStyle name="Followed Hyperlink 4" xfId="14774" hidden="1" xr:uid="{00000000-0005-0000-0000-0000CC680000}"/>
    <cellStyle name="Followed Hyperlink 4" xfId="14766" hidden="1" xr:uid="{00000000-0005-0000-0000-0000CD680000}"/>
    <cellStyle name="Followed Hyperlink 4" xfId="14777" hidden="1" xr:uid="{00000000-0005-0000-0000-0000CE680000}"/>
    <cellStyle name="Followed Hyperlink 4" xfId="14780" hidden="1" xr:uid="{00000000-0005-0000-0000-0000CF680000}"/>
    <cellStyle name="Followed Hyperlink 4" xfId="14783" hidden="1" xr:uid="{00000000-0005-0000-0000-0000D0680000}"/>
    <cellStyle name="Followed Hyperlink 4" xfId="14785" hidden="1" xr:uid="{00000000-0005-0000-0000-0000D1680000}"/>
    <cellStyle name="Followed Hyperlink 4" xfId="14786" hidden="1" xr:uid="{00000000-0005-0000-0000-0000D2680000}"/>
    <cellStyle name="Followed Hyperlink 4" xfId="14789" hidden="1" xr:uid="{00000000-0005-0000-0000-0000D3680000}"/>
    <cellStyle name="Followed Hyperlink 4" xfId="14798" hidden="1" xr:uid="{00000000-0005-0000-0000-0000D4680000}"/>
    <cellStyle name="Followed Hyperlink 4" xfId="14790" hidden="1" xr:uid="{00000000-0005-0000-0000-0000D5680000}"/>
    <cellStyle name="Followed Hyperlink 4" xfId="14801" hidden="1" xr:uid="{00000000-0005-0000-0000-0000D6680000}"/>
    <cellStyle name="Followed Hyperlink 4" xfId="14804" hidden="1" xr:uid="{00000000-0005-0000-0000-0000D7680000}"/>
    <cellStyle name="Followed Hyperlink 4" xfId="14807" hidden="1" xr:uid="{00000000-0005-0000-0000-0000D8680000}"/>
    <cellStyle name="Followed Hyperlink 4" xfId="14809" hidden="1" xr:uid="{00000000-0005-0000-0000-0000D9680000}"/>
    <cellStyle name="Followed Hyperlink 4" xfId="14810" hidden="1" xr:uid="{00000000-0005-0000-0000-0000DA680000}"/>
    <cellStyle name="Followed Hyperlink 4" xfId="14813" hidden="1" xr:uid="{00000000-0005-0000-0000-0000DB680000}"/>
    <cellStyle name="Followed Hyperlink 4" xfId="14538" hidden="1" xr:uid="{00000000-0005-0000-0000-0000DC680000}"/>
    <cellStyle name="Followed Hyperlink 4" xfId="14593" hidden="1" xr:uid="{00000000-0005-0000-0000-0000DD680000}"/>
    <cellStyle name="Followed Hyperlink 4" xfId="14814" hidden="1" xr:uid="{00000000-0005-0000-0000-0000DE680000}"/>
    <cellStyle name="Followed Hyperlink 4" xfId="14817" hidden="1" xr:uid="{00000000-0005-0000-0000-0000DF680000}"/>
    <cellStyle name="Followed Hyperlink 4" xfId="14820" hidden="1" xr:uid="{00000000-0005-0000-0000-0000E0680000}"/>
    <cellStyle name="Followed Hyperlink 4" xfId="14822" hidden="1" xr:uid="{00000000-0005-0000-0000-0000E1680000}"/>
    <cellStyle name="Followed Hyperlink 4" xfId="14823" hidden="1" xr:uid="{00000000-0005-0000-0000-0000E2680000}"/>
    <cellStyle name="Followed Hyperlink 4" xfId="14826" hidden="1" xr:uid="{00000000-0005-0000-0000-0000E3680000}"/>
    <cellStyle name="Followed Hyperlink 4" xfId="14835" hidden="1" xr:uid="{00000000-0005-0000-0000-0000E4680000}"/>
    <cellStyle name="Followed Hyperlink 4" xfId="14827" hidden="1" xr:uid="{00000000-0005-0000-0000-0000E5680000}"/>
    <cellStyle name="Followed Hyperlink 4" xfId="14838" hidden="1" xr:uid="{00000000-0005-0000-0000-0000E6680000}"/>
    <cellStyle name="Followed Hyperlink 4" xfId="14841" hidden="1" xr:uid="{00000000-0005-0000-0000-0000E7680000}"/>
    <cellStyle name="Followed Hyperlink 4" xfId="14844" hidden="1" xr:uid="{00000000-0005-0000-0000-0000E8680000}"/>
    <cellStyle name="Followed Hyperlink 4" xfId="14846" hidden="1" xr:uid="{00000000-0005-0000-0000-0000E9680000}"/>
    <cellStyle name="Followed Hyperlink 4" xfId="14847" hidden="1" xr:uid="{00000000-0005-0000-0000-0000EA680000}"/>
    <cellStyle name="Followed Hyperlink 4" xfId="14850" hidden="1" xr:uid="{00000000-0005-0000-0000-0000EB680000}"/>
    <cellStyle name="Followed Hyperlink 4" xfId="14859" hidden="1" xr:uid="{00000000-0005-0000-0000-0000EC680000}"/>
    <cellStyle name="Followed Hyperlink 4" xfId="14851" hidden="1" xr:uid="{00000000-0005-0000-0000-0000ED680000}"/>
    <cellStyle name="Followed Hyperlink 4" xfId="14862" hidden="1" xr:uid="{00000000-0005-0000-0000-0000EE680000}"/>
    <cellStyle name="Followed Hyperlink 4" xfId="14865" hidden="1" xr:uid="{00000000-0005-0000-0000-0000EF680000}"/>
    <cellStyle name="Followed Hyperlink 4" xfId="14868" hidden="1" xr:uid="{00000000-0005-0000-0000-0000F0680000}"/>
    <cellStyle name="Followed Hyperlink 4" xfId="14870" hidden="1" xr:uid="{00000000-0005-0000-0000-0000F1680000}"/>
    <cellStyle name="Followed Hyperlink 4" xfId="14871" hidden="1" xr:uid="{00000000-0005-0000-0000-0000F2680000}"/>
    <cellStyle name="Followed Hyperlink 4" xfId="14874" hidden="1" xr:uid="{00000000-0005-0000-0000-0000F3680000}"/>
    <cellStyle name="Followed Hyperlink 4" xfId="14883" hidden="1" xr:uid="{00000000-0005-0000-0000-0000F4680000}"/>
    <cellStyle name="Followed Hyperlink 4" xfId="14875" hidden="1" xr:uid="{00000000-0005-0000-0000-0000F5680000}"/>
    <cellStyle name="Followed Hyperlink 4" xfId="14886" hidden="1" xr:uid="{00000000-0005-0000-0000-0000F6680000}"/>
    <cellStyle name="Followed Hyperlink 4" xfId="14889" hidden="1" xr:uid="{00000000-0005-0000-0000-0000F7680000}"/>
    <cellStyle name="Followed Hyperlink 4" xfId="14892" hidden="1" xr:uid="{00000000-0005-0000-0000-0000F8680000}"/>
    <cellStyle name="Followed Hyperlink 4" xfId="14894" hidden="1" xr:uid="{00000000-0005-0000-0000-0000F9680000}"/>
    <cellStyle name="Followed Hyperlink 4" xfId="14895" hidden="1" xr:uid="{00000000-0005-0000-0000-0000FA680000}"/>
    <cellStyle name="Followed Hyperlink 4" xfId="14898" hidden="1" xr:uid="{00000000-0005-0000-0000-0000FB680000}"/>
    <cellStyle name="Followed Hyperlink 4" xfId="8863" hidden="1" xr:uid="{00000000-0005-0000-0000-0000FC680000}"/>
    <cellStyle name="Followed Hyperlink 4" xfId="8918" hidden="1" xr:uid="{00000000-0005-0000-0000-0000FD680000}"/>
    <cellStyle name="Followed Hyperlink 4" xfId="14899" hidden="1" xr:uid="{00000000-0005-0000-0000-0000FE680000}"/>
    <cellStyle name="Followed Hyperlink 4" xfId="14902" hidden="1" xr:uid="{00000000-0005-0000-0000-0000FF680000}"/>
    <cellStyle name="Followed Hyperlink 4" xfId="14905" hidden="1" xr:uid="{00000000-0005-0000-0000-000000690000}"/>
    <cellStyle name="Followed Hyperlink 4" xfId="14907" hidden="1" xr:uid="{00000000-0005-0000-0000-000001690000}"/>
    <cellStyle name="Followed Hyperlink 4" xfId="14908" hidden="1" xr:uid="{00000000-0005-0000-0000-000002690000}"/>
    <cellStyle name="Followed Hyperlink 4" xfId="14911" hidden="1" xr:uid="{00000000-0005-0000-0000-000003690000}"/>
    <cellStyle name="Followed Hyperlink 4" xfId="14920" hidden="1" xr:uid="{00000000-0005-0000-0000-000004690000}"/>
    <cellStyle name="Followed Hyperlink 4" xfId="14912" hidden="1" xr:uid="{00000000-0005-0000-0000-000005690000}"/>
    <cellStyle name="Followed Hyperlink 4" xfId="14923" hidden="1" xr:uid="{00000000-0005-0000-0000-000006690000}"/>
    <cellStyle name="Followed Hyperlink 4" xfId="14926" hidden="1" xr:uid="{00000000-0005-0000-0000-000007690000}"/>
    <cellStyle name="Followed Hyperlink 4" xfId="14929" hidden="1" xr:uid="{00000000-0005-0000-0000-000008690000}"/>
    <cellStyle name="Followed Hyperlink 4" xfId="14931" hidden="1" xr:uid="{00000000-0005-0000-0000-000009690000}"/>
    <cellStyle name="Followed Hyperlink 4" xfId="14932" hidden="1" xr:uid="{00000000-0005-0000-0000-00000A690000}"/>
    <cellStyle name="Followed Hyperlink 4" xfId="14935" hidden="1" xr:uid="{00000000-0005-0000-0000-00000B690000}"/>
    <cellStyle name="Followed Hyperlink 4" xfId="14944" hidden="1" xr:uid="{00000000-0005-0000-0000-00000C690000}"/>
    <cellStyle name="Followed Hyperlink 4" xfId="14936" hidden="1" xr:uid="{00000000-0005-0000-0000-00000D690000}"/>
    <cellStyle name="Followed Hyperlink 4" xfId="14947" hidden="1" xr:uid="{00000000-0005-0000-0000-00000E690000}"/>
    <cellStyle name="Followed Hyperlink 4" xfId="14950" hidden="1" xr:uid="{00000000-0005-0000-0000-00000F690000}"/>
    <cellStyle name="Followed Hyperlink 4" xfId="14953" hidden="1" xr:uid="{00000000-0005-0000-0000-000010690000}"/>
    <cellStyle name="Followed Hyperlink 4" xfId="14955" hidden="1" xr:uid="{00000000-0005-0000-0000-000011690000}"/>
    <cellStyle name="Followed Hyperlink 4" xfId="14956" hidden="1" xr:uid="{00000000-0005-0000-0000-000012690000}"/>
    <cellStyle name="Followed Hyperlink 4" xfId="14959" hidden="1" xr:uid="{00000000-0005-0000-0000-000013690000}"/>
    <cellStyle name="Followed Hyperlink 4" xfId="14968" hidden="1" xr:uid="{00000000-0005-0000-0000-000014690000}"/>
    <cellStyle name="Followed Hyperlink 4" xfId="14960" hidden="1" xr:uid="{00000000-0005-0000-0000-000015690000}"/>
    <cellStyle name="Followed Hyperlink 4" xfId="14971" hidden="1" xr:uid="{00000000-0005-0000-0000-000016690000}"/>
    <cellStyle name="Followed Hyperlink 4" xfId="14974" hidden="1" xr:uid="{00000000-0005-0000-0000-000017690000}"/>
    <cellStyle name="Followed Hyperlink 4" xfId="14977" hidden="1" xr:uid="{00000000-0005-0000-0000-000018690000}"/>
    <cellStyle name="Followed Hyperlink 4" xfId="14979" hidden="1" xr:uid="{00000000-0005-0000-0000-000019690000}"/>
    <cellStyle name="Followed Hyperlink 4" xfId="14980" hidden="1" xr:uid="{00000000-0005-0000-0000-00001A690000}"/>
    <cellStyle name="Followed Hyperlink 4" xfId="14983" hidden="1" xr:uid="{00000000-0005-0000-0000-00001B690000}"/>
    <cellStyle name="Followed Hyperlink 4" xfId="15021" hidden="1" xr:uid="{00000000-0005-0000-0000-00001C690000}"/>
    <cellStyle name="Followed Hyperlink 4" xfId="15013" hidden="1" xr:uid="{00000000-0005-0000-0000-00001D690000}"/>
    <cellStyle name="Followed Hyperlink 4" xfId="15024" hidden="1" xr:uid="{00000000-0005-0000-0000-00001E690000}"/>
    <cellStyle name="Followed Hyperlink 4" xfId="15027" hidden="1" xr:uid="{00000000-0005-0000-0000-00001F690000}"/>
    <cellStyle name="Followed Hyperlink 4" xfId="15030" hidden="1" xr:uid="{00000000-0005-0000-0000-000020690000}"/>
    <cellStyle name="Followed Hyperlink 4" xfId="15032" hidden="1" xr:uid="{00000000-0005-0000-0000-000021690000}"/>
    <cellStyle name="Followed Hyperlink 4" xfId="15033" hidden="1" xr:uid="{00000000-0005-0000-0000-000022690000}"/>
    <cellStyle name="Followed Hyperlink 4" xfId="15036" hidden="1" xr:uid="{00000000-0005-0000-0000-000023690000}"/>
    <cellStyle name="Followed Hyperlink 4" xfId="15045" hidden="1" xr:uid="{00000000-0005-0000-0000-000024690000}"/>
    <cellStyle name="Followed Hyperlink 4" xfId="15037" hidden="1" xr:uid="{00000000-0005-0000-0000-000025690000}"/>
    <cellStyle name="Followed Hyperlink 4" xfId="15048" hidden="1" xr:uid="{00000000-0005-0000-0000-000026690000}"/>
    <cellStyle name="Followed Hyperlink 4" xfId="15051" hidden="1" xr:uid="{00000000-0005-0000-0000-000027690000}"/>
    <cellStyle name="Followed Hyperlink 4" xfId="15054" hidden="1" xr:uid="{00000000-0005-0000-0000-000028690000}"/>
    <cellStyle name="Followed Hyperlink 4" xfId="15056" hidden="1" xr:uid="{00000000-0005-0000-0000-000029690000}"/>
    <cellStyle name="Followed Hyperlink 4" xfId="15057" hidden="1" xr:uid="{00000000-0005-0000-0000-00002A690000}"/>
    <cellStyle name="Followed Hyperlink 4" xfId="15060" hidden="1" xr:uid="{00000000-0005-0000-0000-00002B690000}"/>
    <cellStyle name="Followed Hyperlink 4" xfId="15071" hidden="1" xr:uid="{00000000-0005-0000-0000-00002C690000}"/>
    <cellStyle name="Followed Hyperlink 4" xfId="15063" hidden="1" xr:uid="{00000000-0005-0000-0000-00002D690000}"/>
    <cellStyle name="Followed Hyperlink 4" xfId="15074" hidden="1" xr:uid="{00000000-0005-0000-0000-00002E690000}"/>
    <cellStyle name="Followed Hyperlink 4" xfId="15077" hidden="1" xr:uid="{00000000-0005-0000-0000-00002F690000}"/>
    <cellStyle name="Followed Hyperlink 4" xfId="15080" hidden="1" xr:uid="{00000000-0005-0000-0000-000030690000}"/>
    <cellStyle name="Followed Hyperlink 4" xfId="15082" hidden="1" xr:uid="{00000000-0005-0000-0000-000031690000}"/>
    <cellStyle name="Followed Hyperlink 4" xfId="15083" hidden="1" xr:uid="{00000000-0005-0000-0000-000032690000}"/>
    <cellStyle name="Followed Hyperlink 4" xfId="15086" hidden="1" xr:uid="{00000000-0005-0000-0000-000033690000}"/>
    <cellStyle name="Followed Hyperlink 4" xfId="15095" hidden="1" xr:uid="{00000000-0005-0000-0000-000034690000}"/>
    <cellStyle name="Followed Hyperlink 4" xfId="15087" hidden="1" xr:uid="{00000000-0005-0000-0000-000035690000}"/>
    <cellStyle name="Followed Hyperlink 4" xfId="15098" hidden="1" xr:uid="{00000000-0005-0000-0000-000036690000}"/>
    <cellStyle name="Followed Hyperlink 4" xfId="15101" hidden="1" xr:uid="{00000000-0005-0000-0000-000037690000}"/>
    <cellStyle name="Followed Hyperlink 4" xfId="15104" hidden="1" xr:uid="{00000000-0005-0000-0000-000038690000}"/>
    <cellStyle name="Followed Hyperlink 4" xfId="15106" hidden="1" xr:uid="{00000000-0005-0000-0000-000039690000}"/>
    <cellStyle name="Followed Hyperlink 4" xfId="15107" hidden="1" xr:uid="{00000000-0005-0000-0000-00003A690000}"/>
    <cellStyle name="Followed Hyperlink 4" xfId="15110" hidden="1" xr:uid="{00000000-0005-0000-0000-00003B690000}"/>
    <cellStyle name="Followed Hyperlink 4" xfId="15148" hidden="1" xr:uid="{00000000-0005-0000-0000-00003C690000}"/>
    <cellStyle name="Followed Hyperlink 4" xfId="15140" hidden="1" xr:uid="{00000000-0005-0000-0000-00003D690000}"/>
    <cellStyle name="Followed Hyperlink 4" xfId="15151" hidden="1" xr:uid="{00000000-0005-0000-0000-00003E690000}"/>
    <cellStyle name="Followed Hyperlink 4" xfId="15154" hidden="1" xr:uid="{00000000-0005-0000-0000-00003F690000}"/>
    <cellStyle name="Followed Hyperlink 4" xfId="15157" hidden="1" xr:uid="{00000000-0005-0000-0000-000040690000}"/>
    <cellStyle name="Followed Hyperlink 4" xfId="15159" hidden="1" xr:uid="{00000000-0005-0000-0000-000041690000}"/>
    <cellStyle name="Followed Hyperlink 4" xfId="15160" hidden="1" xr:uid="{00000000-0005-0000-0000-000042690000}"/>
    <cellStyle name="Followed Hyperlink 4" xfId="15163" hidden="1" xr:uid="{00000000-0005-0000-0000-000043690000}"/>
    <cellStyle name="Followed Hyperlink 4" xfId="15172" hidden="1" xr:uid="{00000000-0005-0000-0000-000044690000}"/>
    <cellStyle name="Followed Hyperlink 4" xfId="15164" hidden="1" xr:uid="{00000000-0005-0000-0000-000045690000}"/>
    <cellStyle name="Followed Hyperlink 4" xfId="15175" hidden="1" xr:uid="{00000000-0005-0000-0000-000046690000}"/>
    <cellStyle name="Followed Hyperlink 4" xfId="15178" hidden="1" xr:uid="{00000000-0005-0000-0000-000047690000}"/>
    <cellStyle name="Followed Hyperlink 4" xfId="15181" hidden="1" xr:uid="{00000000-0005-0000-0000-000048690000}"/>
    <cellStyle name="Followed Hyperlink 4" xfId="15183" hidden="1" xr:uid="{00000000-0005-0000-0000-000049690000}"/>
    <cellStyle name="Followed Hyperlink 4" xfId="15184" hidden="1" xr:uid="{00000000-0005-0000-0000-00004A690000}"/>
    <cellStyle name="Followed Hyperlink 4" xfId="15187" hidden="1" xr:uid="{00000000-0005-0000-0000-00004B690000}"/>
    <cellStyle name="Followed Hyperlink 4" xfId="15198" hidden="1" xr:uid="{00000000-0005-0000-0000-00004C690000}"/>
    <cellStyle name="Followed Hyperlink 4" xfId="15190" hidden="1" xr:uid="{00000000-0005-0000-0000-00004D690000}"/>
    <cellStyle name="Followed Hyperlink 4" xfId="15201" hidden="1" xr:uid="{00000000-0005-0000-0000-00004E690000}"/>
    <cellStyle name="Followed Hyperlink 4" xfId="15204" hidden="1" xr:uid="{00000000-0005-0000-0000-00004F690000}"/>
    <cellStyle name="Followed Hyperlink 4" xfId="15207" hidden="1" xr:uid="{00000000-0005-0000-0000-000050690000}"/>
    <cellStyle name="Followed Hyperlink 4" xfId="15209" hidden="1" xr:uid="{00000000-0005-0000-0000-000051690000}"/>
    <cellStyle name="Followed Hyperlink 4" xfId="15210" hidden="1" xr:uid="{00000000-0005-0000-0000-000052690000}"/>
    <cellStyle name="Followed Hyperlink 4" xfId="15213" hidden="1" xr:uid="{00000000-0005-0000-0000-000053690000}"/>
    <cellStyle name="Followed Hyperlink 4" xfId="15222" hidden="1" xr:uid="{00000000-0005-0000-0000-000054690000}"/>
    <cellStyle name="Followed Hyperlink 4" xfId="15214" hidden="1" xr:uid="{00000000-0005-0000-0000-000055690000}"/>
    <cellStyle name="Followed Hyperlink 4" xfId="15225" hidden="1" xr:uid="{00000000-0005-0000-0000-000056690000}"/>
    <cellStyle name="Followed Hyperlink 4" xfId="15228" hidden="1" xr:uid="{00000000-0005-0000-0000-000057690000}"/>
    <cellStyle name="Followed Hyperlink 4" xfId="15231" hidden="1" xr:uid="{00000000-0005-0000-0000-000058690000}"/>
    <cellStyle name="Followed Hyperlink 4" xfId="15233" hidden="1" xr:uid="{00000000-0005-0000-0000-000059690000}"/>
    <cellStyle name="Followed Hyperlink 4" xfId="15234" hidden="1" xr:uid="{00000000-0005-0000-0000-00005A690000}"/>
    <cellStyle name="Followed Hyperlink 4" xfId="15237" hidden="1" xr:uid="{00000000-0005-0000-0000-00005B690000}"/>
    <cellStyle name="Followed Hyperlink 4" xfId="15120" hidden="1" xr:uid="{00000000-0005-0000-0000-00005C690000}"/>
    <cellStyle name="Followed Hyperlink 4" xfId="15114" hidden="1" xr:uid="{00000000-0005-0000-0000-00005D690000}"/>
    <cellStyle name="Followed Hyperlink 4" xfId="15238" hidden="1" xr:uid="{00000000-0005-0000-0000-00005E690000}"/>
    <cellStyle name="Followed Hyperlink 4" xfId="15241" hidden="1" xr:uid="{00000000-0005-0000-0000-00005F690000}"/>
    <cellStyle name="Followed Hyperlink 4" xfId="15244" hidden="1" xr:uid="{00000000-0005-0000-0000-000060690000}"/>
    <cellStyle name="Followed Hyperlink 4" xfId="15246" hidden="1" xr:uid="{00000000-0005-0000-0000-000061690000}"/>
    <cellStyle name="Followed Hyperlink 4" xfId="15247" hidden="1" xr:uid="{00000000-0005-0000-0000-000062690000}"/>
    <cellStyle name="Followed Hyperlink 4" xfId="15250" hidden="1" xr:uid="{00000000-0005-0000-0000-000063690000}"/>
    <cellStyle name="Followed Hyperlink 4" xfId="15259" hidden="1" xr:uid="{00000000-0005-0000-0000-000064690000}"/>
    <cellStyle name="Followed Hyperlink 4" xfId="15251" hidden="1" xr:uid="{00000000-0005-0000-0000-000065690000}"/>
    <cellStyle name="Followed Hyperlink 4" xfId="15262" hidden="1" xr:uid="{00000000-0005-0000-0000-000066690000}"/>
    <cellStyle name="Followed Hyperlink 4" xfId="15265" hidden="1" xr:uid="{00000000-0005-0000-0000-000067690000}"/>
    <cellStyle name="Followed Hyperlink 4" xfId="15268" hidden="1" xr:uid="{00000000-0005-0000-0000-000068690000}"/>
    <cellStyle name="Followed Hyperlink 4" xfId="15270" hidden="1" xr:uid="{00000000-0005-0000-0000-000069690000}"/>
    <cellStyle name="Followed Hyperlink 4" xfId="15271" hidden="1" xr:uid="{00000000-0005-0000-0000-00006A690000}"/>
    <cellStyle name="Followed Hyperlink 4" xfId="15274" hidden="1" xr:uid="{00000000-0005-0000-0000-00006B690000}"/>
    <cellStyle name="Followed Hyperlink 4" xfId="15284" hidden="1" xr:uid="{00000000-0005-0000-0000-00006C690000}"/>
    <cellStyle name="Followed Hyperlink 4" xfId="15276" hidden="1" xr:uid="{00000000-0005-0000-0000-00006D690000}"/>
    <cellStyle name="Followed Hyperlink 4" xfId="15287" hidden="1" xr:uid="{00000000-0005-0000-0000-00006E690000}"/>
    <cellStyle name="Followed Hyperlink 4" xfId="15290" hidden="1" xr:uid="{00000000-0005-0000-0000-00006F690000}"/>
    <cellStyle name="Followed Hyperlink 4" xfId="15293" hidden="1" xr:uid="{00000000-0005-0000-0000-000070690000}"/>
    <cellStyle name="Followed Hyperlink 4" xfId="15295" hidden="1" xr:uid="{00000000-0005-0000-0000-000071690000}"/>
    <cellStyle name="Followed Hyperlink 4" xfId="15296" hidden="1" xr:uid="{00000000-0005-0000-0000-000072690000}"/>
    <cellStyle name="Followed Hyperlink 4" xfId="15299" hidden="1" xr:uid="{00000000-0005-0000-0000-000073690000}"/>
    <cellStyle name="Followed Hyperlink 4" xfId="15308" hidden="1" xr:uid="{00000000-0005-0000-0000-000074690000}"/>
    <cellStyle name="Followed Hyperlink 4" xfId="15300" hidden="1" xr:uid="{00000000-0005-0000-0000-000075690000}"/>
    <cellStyle name="Followed Hyperlink 4" xfId="15311" hidden="1" xr:uid="{00000000-0005-0000-0000-000076690000}"/>
    <cellStyle name="Followed Hyperlink 4" xfId="15314" hidden="1" xr:uid="{00000000-0005-0000-0000-000077690000}"/>
    <cellStyle name="Followed Hyperlink 4" xfId="15317" hidden="1" xr:uid="{00000000-0005-0000-0000-000078690000}"/>
    <cellStyle name="Followed Hyperlink 4" xfId="15319" hidden="1" xr:uid="{00000000-0005-0000-0000-000079690000}"/>
    <cellStyle name="Followed Hyperlink 4" xfId="15320" hidden="1" xr:uid="{00000000-0005-0000-0000-00007A690000}"/>
    <cellStyle name="Followed Hyperlink 4" xfId="15323" hidden="1" xr:uid="{00000000-0005-0000-0000-00007B690000}"/>
    <cellStyle name="Followed Hyperlink 4" xfId="15124" hidden="1" xr:uid="{00000000-0005-0000-0000-00007C690000}"/>
    <cellStyle name="Followed Hyperlink 4" xfId="15130" hidden="1" xr:uid="{00000000-0005-0000-0000-00007D690000}"/>
    <cellStyle name="Followed Hyperlink 4" xfId="15324" hidden="1" xr:uid="{00000000-0005-0000-0000-00007E690000}"/>
    <cellStyle name="Followed Hyperlink 4" xfId="15327" hidden="1" xr:uid="{00000000-0005-0000-0000-00007F690000}"/>
    <cellStyle name="Followed Hyperlink 4" xfId="15330" hidden="1" xr:uid="{00000000-0005-0000-0000-000080690000}"/>
    <cellStyle name="Followed Hyperlink 4" xfId="15332" hidden="1" xr:uid="{00000000-0005-0000-0000-000081690000}"/>
    <cellStyle name="Followed Hyperlink 4" xfId="15333" hidden="1" xr:uid="{00000000-0005-0000-0000-000082690000}"/>
    <cellStyle name="Followed Hyperlink 4" xfId="15336" hidden="1" xr:uid="{00000000-0005-0000-0000-000083690000}"/>
    <cellStyle name="Followed Hyperlink 4" xfId="15345" hidden="1" xr:uid="{00000000-0005-0000-0000-000084690000}"/>
    <cellStyle name="Followed Hyperlink 4" xfId="15337" hidden="1" xr:uid="{00000000-0005-0000-0000-000085690000}"/>
    <cellStyle name="Followed Hyperlink 4" xfId="15348" hidden="1" xr:uid="{00000000-0005-0000-0000-000086690000}"/>
    <cellStyle name="Followed Hyperlink 4" xfId="15351" hidden="1" xr:uid="{00000000-0005-0000-0000-000087690000}"/>
    <cellStyle name="Followed Hyperlink 4" xfId="15354" hidden="1" xr:uid="{00000000-0005-0000-0000-000088690000}"/>
    <cellStyle name="Followed Hyperlink 4" xfId="15356" hidden="1" xr:uid="{00000000-0005-0000-0000-000089690000}"/>
    <cellStyle name="Followed Hyperlink 4" xfId="15357" hidden="1" xr:uid="{00000000-0005-0000-0000-00008A690000}"/>
    <cellStyle name="Followed Hyperlink 4" xfId="15360" hidden="1" xr:uid="{00000000-0005-0000-0000-00008B690000}"/>
    <cellStyle name="Followed Hyperlink 4" xfId="15370" hidden="1" xr:uid="{00000000-0005-0000-0000-00008C690000}"/>
    <cellStyle name="Followed Hyperlink 4" xfId="15362" hidden="1" xr:uid="{00000000-0005-0000-0000-00008D690000}"/>
    <cellStyle name="Followed Hyperlink 4" xfId="15373" hidden="1" xr:uid="{00000000-0005-0000-0000-00008E690000}"/>
    <cellStyle name="Followed Hyperlink 4" xfId="15376" hidden="1" xr:uid="{00000000-0005-0000-0000-00008F690000}"/>
    <cellStyle name="Followed Hyperlink 4" xfId="15379" hidden="1" xr:uid="{00000000-0005-0000-0000-000090690000}"/>
    <cellStyle name="Followed Hyperlink 4" xfId="15381" hidden="1" xr:uid="{00000000-0005-0000-0000-000091690000}"/>
    <cellStyle name="Followed Hyperlink 4" xfId="15382" hidden="1" xr:uid="{00000000-0005-0000-0000-000092690000}"/>
    <cellStyle name="Followed Hyperlink 4" xfId="15385" hidden="1" xr:uid="{00000000-0005-0000-0000-000093690000}"/>
    <cellStyle name="Followed Hyperlink 4" xfId="15394" hidden="1" xr:uid="{00000000-0005-0000-0000-000094690000}"/>
    <cellStyle name="Followed Hyperlink 4" xfId="15386" hidden="1" xr:uid="{00000000-0005-0000-0000-000095690000}"/>
    <cellStyle name="Followed Hyperlink 4" xfId="15397" hidden="1" xr:uid="{00000000-0005-0000-0000-000096690000}"/>
    <cellStyle name="Followed Hyperlink 4" xfId="15400" hidden="1" xr:uid="{00000000-0005-0000-0000-000097690000}"/>
    <cellStyle name="Followed Hyperlink 4" xfId="15403" hidden="1" xr:uid="{00000000-0005-0000-0000-000098690000}"/>
    <cellStyle name="Followed Hyperlink 4" xfId="15405" hidden="1" xr:uid="{00000000-0005-0000-0000-000099690000}"/>
    <cellStyle name="Followed Hyperlink 4" xfId="15406" hidden="1" xr:uid="{00000000-0005-0000-0000-00009A690000}"/>
    <cellStyle name="Followed Hyperlink 4" xfId="15409" hidden="1" xr:uid="{00000000-0005-0000-0000-00009B690000}"/>
    <cellStyle name="Followed Hyperlink 4" xfId="15134" hidden="1" xr:uid="{00000000-0005-0000-0000-00009C690000}"/>
    <cellStyle name="Followed Hyperlink 4" xfId="15189" hidden="1" xr:uid="{00000000-0005-0000-0000-00009D690000}"/>
    <cellStyle name="Followed Hyperlink 4" xfId="15410" hidden="1" xr:uid="{00000000-0005-0000-0000-00009E690000}"/>
    <cellStyle name="Followed Hyperlink 4" xfId="15413" hidden="1" xr:uid="{00000000-0005-0000-0000-00009F690000}"/>
    <cellStyle name="Followed Hyperlink 4" xfId="15416" hidden="1" xr:uid="{00000000-0005-0000-0000-0000A0690000}"/>
    <cellStyle name="Followed Hyperlink 4" xfId="15418" hidden="1" xr:uid="{00000000-0005-0000-0000-0000A1690000}"/>
    <cellStyle name="Followed Hyperlink 4" xfId="15419" hidden="1" xr:uid="{00000000-0005-0000-0000-0000A2690000}"/>
    <cellStyle name="Followed Hyperlink 4" xfId="15422" hidden="1" xr:uid="{00000000-0005-0000-0000-0000A3690000}"/>
    <cellStyle name="Followed Hyperlink 4" xfId="15431" hidden="1" xr:uid="{00000000-0005-0000-0000-0000A4690000}"/>
    <cellStyle name="Followed Hyperlink 4" xfId="15423" hidden="1" xr:uid="{00000000-0005-0000-0000-0000A5690000}"/>
    <cellStyle name="Followed Hyperlink 4" xfId="15434" hidden="1" xr:uid="{00000000-0005-0000-0000-0000A6690000}"/>
    <cellStyle name="Followed Hyperlink 4" xfId="15437" hidden="1" xr:uid="{00000000-0005-0000-0000-0000A7690000}"/>
    <cellStyle name="Followed Hyperlink 4" xfId="15440" hidden="1" xr:uid="{00000000-0005-0000-0000-0000A8690000}"/>
    <cellStyle name="Followed Hyperlink 4" xfId="15442" hidden="1" xr:uid="{00000000-0005-0000-0000-0000A9690000}"/>
    <cellStyle name="Followed Hyperlink 4" xfId="15443" hidden="1" xr:uid="{00000000-0005-0000-0000-0000AA690000}"/>
    <cellStyle name="Followed Hyperlink 4" xfId="15446" hidden="1" xr:uid="{00000000-0005-0000-0000-0000AB690000}"/>
    <cellStyle name="Followed Hyperlink 4" xfId="15455" hidden="1" xr:uid="{00000000-0005-0000-0000-0000AC690000}"/>
    <cellStyle name="Followed Hyperlink 4" xfId="15447" hidden="1" xr:uid="{00000000-0005-0000-0000-0000AD690000}"/>
    <cellStyle name="Followed Hyperlink 4" xfId="15458" hidden="1" xr:uid="{00000000-0005-0000-0000-0000AE690000}"/>
    <cellStyle name="Followed Hyperlink 4" xfId="15461" hidden="1" xr:uid="{00000000-0005-0000-0000-0000AF690000}"/>
    <cellStyle name="Followed Hyperlink 4" xfId="15464" hidden="1" xr:uid="{00000000-0005-0000-0000-0000B0690000}"/>
    <cellStyle name="Followed Hyperlink 4" xfId="15466" hidden="1" xr:uid="{00000000-0005-0000-0000-0000B1690000}"/>
    <cellStyle name="Followed Hyperlink 4" xfId="15467" hidden="1" xr:uid="{00000000-0005-0000-0000-0000B2690000}"/>
    <cellStyle name="Followed Hyperlink 4" xfId="15470" hidden="1" xr:uid="{00000000-0005-0000-0000-0000B3690000}"/>
    <cellStyle name="Followed Hyperlink 4" xfId="15479" hidden="1" xr:uid="{00000000-0005-0000-0000-0000B4690000}"/>
    <cellStyle name="Followed Hyperlink 4" xfId="15471" hidden="1" xr:uid="{00000000-0005-0000-0000-0000B5690000}"/>
    <cellStyle name="Followed Hyperlink 4" xfId="15482" hidden="1" xr:uid="{00000000-0005-0000-0000-0000B6690000}"/>
    <cellStyle name="Followed Hyperlink 4" xfId="15485" hidden="1" xr:uid="{00000000-0005-0000-0000-0000B7690000}"/>
    <cellStyle name="Followed Hyperlink 4" xfId="15488" hidden="1" xr:uid="{00000000-0005-0000-0000-0000B8690000}"/>
    <cellStyle name="Followed Hyperlink 4" xfId="15490" hidden="1" xr:uid="{00000000-0005-0000-0000-0000B9690000}"/>
    <cellStyle name="Followed Hyperlink 4" xfId="15491" hidden="1" xr:uid="{00000000-0005-0000-0000-0000BA690000}"/>
    <cellStyle name="Followed Hyperlink 4" xfId="15494" hidden="1" xr:uid="{00000000-0005-0000-0000-0000BB690000}"/>
    <cellStyle name="Followed Hyperlink 4" xfId="14993" hidden="1" xr:uid="{00000000-0005-0000-0000-0000BC690000}"/>
    <cellStyle name="Followed Hyperlink 4" xfId="14987" hidden="1" xr:uid="{00000000-0005-0000-0000-0000BD690000}"/>
    <cellStyle name="Followed Hyperlink 4" xfId="15495" hidden="1" xr:uid="{00000000-0005-0000-0000-0000BE690000}"/>
    <cellStyle name="Followed Hyperlink 4" xfId="15498" hidden="1" xr:uid="{00000000-0005-0000-0000-0000BF690000}"/>
    <cellStyle name="Followed Hyperlink 4" xfId="15501" hidden="1" xr:uid="{00000000-0005-0000-0000-0000C0690000}"/>
    <cellStyle name="Followed Hyperlink 4" xfId="15503" hidden="1" xr:uid="{00000000-0005-0000-0000-0000C1690000}"/>
    <cellStyle name="Followed Hyperlink 4" xfId="15504" hidden="1" xr:uid="{00000000-0005-0000-0000-0000C2690000}"/>
    <cellStyle name="Followed Hyperlink 4" xfId="15507" hidden="1" xr:uid="{00000000-0005-0000-0000-0000C3690000}"/>
    <cellStyle name="Followed Hyperlink 4" xfId="15516" hidden="1" xr:uid="{00000000-0005-0000-0000-0000C4690000}"/>
    <cellStyle name="Followed Hyperlink 4" xfId="15508" hidden="1" xr:uid="{00000000-0005-0000-0000-0000C5690000}"/>
    <cellStyle name="Followed Hyperlink 4" xfId="15519" hidden="1" xr:uid="{00000000-0005-0000-0000-0000C6690000}"/>
    <cellStyle name="Followed Hyperlink 4" xfId="15522" hidden="1" xr:uid="{00000000-0005-0000-0000-0000C7690000}"/>
    <cellStyle name="Followed Hyperlink 4" xfId="15525" hidden="1" xr:uid="{00000000-0005-0000-0000-0000C8690000}"/>
    <cellStyle name="Followed Hyperlink 4" xfId="15527" hidden="1" xr:uid="{00000000-0005-0000-0000-0000C9690000}"/>
    <cellStyle name="Followed Hyperlink 4" xfId="15528" hidden="1" xr:uid="{00000000-0005-0000-0000-0000CA690000}"/>
    <cellStyle name="Followed Hyperlink 4" xfId="15531" hidden="1" xr:uid="{00000000-0005-0000-0000-0000CB690000}"/>
    <cellStyle name="Followed Hyperlink 4" xfId="15541" hidden="1" xr:uid="{00000000-0005-0000-0000-0000CC690000}"/>
    <cellStyle name="Followed Hyperlink 4" xfId="15533" hidden="1" xr:uid="{00000000-0005-0000-0000-0000CD690000}"/>
    <cellStyle name="Followed Hyperlink 4" xfId="15544" hidden="1" xr:uid="{00000000-0005-0000-0000-0000CE690000}"/>
    <cellStyle name="Followed Hyperlink 4" xfId="15547" hidden="1" xr:uid="{00000000-0005-0000-0000-0000CF690000}"/>
    <cellStyle name="Followed Hyperlink 4" xfId="15550" hidden="1" xr:uid="{00000000-0005-0000-0000-0000D0690000}"/>
    <cellStyle name="Followed Hyperlink 4" xfId="15552" hidden="1" xr:uid="{00000000-0005-0000-0000-0000D1690000}"/>
    <cellStyle name="Followed Hyperlink 4" xfId="15553" hidden="1" xr:uid="{00000000-0005-0000-0000-0000D2690000}"/>
    <cellStyle name="Followed Hyperlink 4" xfId="15556" hidden="1" xr:uid="{00000000-0005-0000-0000-0000D3690000}"/>
    <cellStyle name="Followed Hyperlink 4" xfId="15565" hidden="1" xr:uid="{00000000-0005-0000-0000-0000D4690000}"/>
    <cellStyle name="Followed Hyperlink 4" xfId="15557" hidden="1" xr:uid="{00000000-0005-0000-0000-0000D5690000}"/>
    <cellStyle name="Followed Hyperlink 4" xfId="15568" hidden="1" xr:uid="{00000000-0005-0000-0000-0000D6690000}"/>
    <cellStyle name="Followed Hyperlink 4" xfId="15571" hidden="1" xr:uid="{00000000-0005-0000-0000-0000D7690000}"/>
    <cellStyle name="Followed Hyperlink 4" xfId="15574" hidden="1" xr:uid="{00000000-0005-0000-0000-0000D8690000}"/>
    <cellStyle name="Followed Hyperlink 4" xfId="15576" hidden="1" xr:uid="{00000000-0005-0000-0000-0000D9690000}"/>
    <cellStyle name="Followed Hyperlink 4" xfId="15577" hidden="1" xr:uid="{00000000-0005-0000-0000-0000DA690000}"/>
    <cellStyle name="Followed Hyperlink 4" xfId="15580" hidden="1" xr:uid="{00000000-0005-0000-0000-0000DB690000}"/>
    <cellStyle name="Followed Hyperlink 4" xfId="15618" hidden="1" xr:uid="{00000000-0005-0000-0000-0000DC690000}"/>
    <cellStyle name="Followed Hyperlink 4" xfId="15610" hidden="1" xr:uid="{00000000-0005-0000-0000-0000DD690000}"/>
    <cellStyle name="Followed Hyperlink 4" xfId="15621" hidden="1" xr:uid="{00000000-0005-0000-0000-0000DE690000}"/>
    <cellStyle name="Followed Hyperlink 4" xfId="15624" hidden="1" xr:uid="{00000000-0005-0000-0000-0000DF690000}"/>
    <cellStyle name="Followed Hyperlink 4" xfId="15627" hidden="1" xr:uid="{00000000-0005-0000-0000-0000E0690000}"/>
    <cellStyle name="Followed Hyperlink 4" xfId="15629" hidden="1" xr:uid="{00000000-0005-0000-0000-0000E1690000}"/>
    <cellStyle name="Followed Hyperlink 4" xfId="15630" hidden="1" xr:uid="{00000000-0005-0000-0000-0000E2690000}"/>
    <cellStyle name="Followed Hyperlink 4" xfId="15633" hidden="1" xr:uid="{00000000-0005-0000-0000-0000E3690000}"/>
    <cellStyle name="Followed Hyperlink 4" xfId="15642" hidden="1" xr:uid="{00000000-0005-0000-0000-0000E4690000}"/>
    <cellStyle name="Followed Hyperlink 4" xfId="15634" hidden="1" xr:uid="{00000000-0005-0000-0000-0000E5690000}"/>
    <cellStyle name="Followed Hyperlink 4" xfId="15645" hidden="1" xr:uid="{00000000-0005-0000-0000-0000E6690000}"/>
    <cellStyle name="Followed Hyperlink 4" xfId="15648" hidden="1" xr:uid="{00000000-0005-0000-0000-0000E7690000}"/>
    <cellStyle name="Followed Hyperlink 4" xfId="15651" hidden="1" xr:uid="{00000000-0005-0000-0000-0000E8690000}"/>
    <cellStyle name="Followed Hyperlink 4" xfId="15653" hidden="1" xr:uid="{00000000-0005-0000-0000-0000E9690000}"/>
    <cellStyle name="Followed Hyperlink 4" xfId="15654" hidden="1" xr:uid="{00000000-0005-0000-0000-0000EA690000}"/>
    <cellStyle name="Followed Hyperlink 4" xfId="15657" hidden="1" xr:uid="{00000000-0005-0000-0000-0000EB690000}"/>
    <cellStyle name="Followed Hyperlink 4" xfId="15668" hidden="1" xr:uid="{00000000-0005-0000-0000-0000EC690000}"/>
    <cellStyle name="Followed Hyperlink 4" xfId="15660" hidden="1" xr:uid="{00000000-0005-0000-0000-0000ED690000}"/>
    <cellStyle name="Followed Hyperlink 4" xfId="15671" hidden="1" xr:uid="{00000000-0005-0000-0000-0000EE690000}"/>
    <cellStyle name="Followed Hyperlink 4" xfId="15674" hidden="1" xr:uid="{00000000-0005-0000-0000-0000EF690000}"/>
    <cellStyle name="Followed Hyperlink 4" xfId="15677" hidden="1" xr:uid="{00000000-0005-0000-0000-0000F0690000}"/>
    <cellStyle name="Followed Hyperlink 4" xfId="15679" hidden="1" xr:uid="{00000000-0005-0000-0000-0000F1690000}"/>
    <cellStyle name="Followed Hyperlink 4" xfId="15680" hidden="1" xr:uid="{00000000-0005-0000-0000-0000F2690000}"/>
    <cellStyle name="Followed Hyperlink 4" xfId="15683" hidden="1" xr:uid="{00000000-0005-0000-0000-0000F3690000}"/>
    <cellStyle name="Followed Hyperlink 4" xfId="15692" hidden="1" xr:uid="{00000000-0005-0000-0000-0000F4690000}"/>
    <cellStyle name="Followed Hyperlink 4" xfId="15684" hidden="1" xr:uid="{00000000-0005-0000-0000-0000F5690000}"/>
    <cellStyle name="Followed Hyperlink 4" xfId="15695" hidden="1" xr:uid="{00000000-0005-0000-0000-0000F6690000}"/>
    <cellStyle name="Followed Hyperlink 4" xfId="15698" hidden="1" xr:uid="{00000000-0005-0000-0000-0000F7690000}"/>
    <cellStyle name="Followed Hyperlink 4" xfId="15701" hidden="1" xr:uid="{00000000-0005-0000-0000-0000F8690000}"/>
    <cellStyle name="Followed Hyperlink 4" xfId="15703" hidden="1" xr:uid="{00000000-0005-0000-0000-0000F9690000}"/>
    <cellStyle name="Followed Hyperlink 4" xfId="15704" hidden="1" xr:uid="{00000000-0005-0000-0000-0000FA690000}"/>
    <cellStyle name="Followed Hyperlink 4" xfId="15707" hidden="1" xr:uid="{00000000-0005-0000-0000-0000FB690000}"/>
    <cellStyle name="Followed Hyperlink 4" xfId="15590" hidden="1" xr:uid="{00000000-0005-0000-0000-0000FC690000}"/>
    <cellStyle name="Followed Hyperlink 4" xfId="15584" hidden="1" xr:uid="{00000000-0005-0000-0000-0000FD690000}"/>
    <cellStyle name="Followed Hyperlink 4" xfId="15708" hidden="1" xr:uid="{00000000-0005-0000-0000-0000FE690000}"/>
    <cellStyle name="Followed Hyperlink 4" xfId="15711" hidden="1" xr:uid="{00000000-0005-0000-0000-0000FF690000}"/>
    <cellStyle name="Followed Hyperlink 4" xfId="15714" hidden="1" xr:uid="{00000000-0005-0000-0000-0000006A0000}"/>
    <cellStyle name="Followed Hyperlink 4" xfId="15716" hidden="1" xr:uid="{00000000-0005-0000-0000-0000016A0000}"/>
    <cellStyle name="Followed Hyperlink 4" xfId="15717" hidden="1" xr:uid="{00000000-0005-0000-0000-0000026A0000}"/>
    <cellStyle name="Followed Hyperlink 4" xfId="15720" hidden="1" xr:uid="{00000000-0005-0000-0000-0000036A0000}"/>
    <cellStyle name="Followed Hyperlink 4" xfId="15729" hidden="1" xr:uid="{00000000-0005-0000-0000-0000046A0000}"/>
    <cellStyle name="Followed Hyperlink 4" xfId="15721" hidden="1" xr:uid="{00000000-0005-0000-0000-0000056A0000}"/>
    <cellStyle name="Followed Hyperlink 4" xfId="15732" hidden="1" xr:uid="{00000000-0005-0000-0000-0000066A0000}"/>
    <cellStyle name="Followed Hyperlink 4" xfId="15735" hidden="1" xr:uid="{00000000-0005-0000-0000-0000076A0000}"/>
    <cellStyle name="Followed Hyperlink 4" xfId="15738" hidden="1" xr:uid="{00000000-0005-0000-0000-0000086A0000}"/>
    <cellStyle name="Followed Hyperlink 4" xfId="15740" hidden="1" xr:uid="{00000000-0005-0000-0000-0000096A0000}"/>
    <cellStyle name="Followed Hyperlink 4" xfId="15741" hidden="1" xr:uid="{00000000-0005-0000-0000-00000A6A0000}"/>
    <cellStyle name="Followed Hyperlink 4" xfId="15744" hidden="1" xr:uid="{00000000-0005-0000-0000-00000B6A0000}"/>
    <cellStyle name="Followed Hyperlink 4" xfId="15754" hidden="1" xr:uid="{00000000-0005-0000-0000-00000C6A0000}"/>
    <cellStyle name="Followed Hyperlink 4" xfId="15746" hidden="1" xr:uid="{00000000-0005-0000-0000-00000D6A0000}"/>
    <cellStyle name="Followed Hyperlink 4" xfId="15757" hidden="1" xr:uid="{00000000-0005-0000-0000-00000E6A0000}"/>
    <cellStyle name="Followed Hyperlink 4" xfId="15760" hidden="1" xr:uid="{00000000-0005-0000-0000-00000F6A0000}"/>
    <cellStyle name="Followed Hyperlink 4" xfId="15763" hidden="1" xr:uid="{00000000-0005-0000-0000-0000106A0000}"/>
    <cellStyle name="Followed Hyperlink 4" xfId="15765" hidden="1" xr:uid="{00000000-0005-0000-0000-0000116A0000}"/>
    <cellStyle name="Followed Hyperlink 4" xfId="15766" hidden="1" xr:uid="{00000000-0005-0000-0000-0000126A0000}"/>
    <cellStyle name="Followed Hyperlink 4" xfId="15769" hidden="1" xr:uid="{00000000-0005-0000-0000-0000136A0000}"/>
    <cellStyle name="Followed Hyperlink 4" xfId="15778" hidden="1" xr:uid="{00000000-0005-0000-0000-0000146A0000}"/>
    <cellStyle name="Followed Hyperlink 4" xfId="15770" hidden="1" xr:uid="{00000000-0005-0000-0000-0000156A0000}"/>
    <cellStyle name="Followed Hyperlink 4" xfId="15781" hidden="1" xr:uid="{00000000-0005-0000-0000-0000166A0000}"/>
    <cellStyle name="Followed Hyperlink 4" xfId="15784" hidden="1" xr:uid="{00000000-0005-0000-0000-0000176A0000}"/>
    <cellStyle name="Followed Hyperlink 4" xfId="15787" hidden="1" xr:uid="{00000000-0005-0000-0000-0000186A0000}"/>
    <cellStyle name="Followed Hyperlink 4" xfId="15789" hidden="1" xr:uid="{00000000-0005-0000-0000-0000196A0000}"/>
    <cellStyle name="Followed Hyperlink 4" xfId="15790" hidden="1" xr:uid="{00000000-0005-0000-0000-00001A6A0000}"/>
    <cellStyle name="Followed Hyperlink 4" xfId="15793" hidden="1" xr:uid="{00000000-0005-0000-0000-00001B6A0000}"/>
    <cellStyle name="Followed Hyperlink 4" xfId="15594" hidden="1" xr:uid="{00000000-0005-0000-0000-00001C6A0000}"/>
    <cellStyle name="Followed Hyperlink 4" xfId="15600" hidden="1" xr:uid="{00000000-0005-0000-0000-00001D6A0000}"/>
    <cellStyle name="Followed Hyperlink 4" xfId="15794" hidden="1" xr:uid="{00000000-0005-0000-0000-00001E6A0000}"/>
    <cellStyle name="Followed Hyperlink 4" xfId="15797" hidden="1" xr:uid="{00000000-0005-0000-0000-00001F6A0000}"/>
    <cellStyle name="Followed Hyperlink 4" xfId="15800" hidden="1" xr:uid="{00000000-0005-0000-0000-0000206A0000}"/>
    <cellStyle name="Followed Hyperlink 4" xfId="15802" hidden="1" xr:uid="{00000000-0005-0000-0000-0000216A0000}"/>
    <cellStyle name="Followed Hyperlink 4" xfId="15803" hidden="1" xr:uid="{00000000-0005-0000-0000-0000226A0000}"/>
    <cellStyle name="Followed Hyperlink 4" xfId="15806" hidden="1" xr:uid="{00000000-0005-0000-0000-0000236A0000}"/>
    <cellStyle name="Followed Hyperlink 4" xfId="15815" hidden="1" xr:uid="{00000000-0005-0000-0000-0000246A0000}"/>
    <cellStyle name="Followed Hyperlink 4" xfId="15807" hidden="1" xr:uid="{00000000-0005-0000-0000-0000256A0000}"/>
    <cellStyle name="Followed Hyperlink 4" xfId="15818" hidden="1" xr:uid="{00000000-0005-0000-0000-0000266A0000}"/>
    <cellStyle name="Followed Hyperlink 4" xfId="15821" hidden="1" xr:uid="{00000000-0005-0000-0000-0000276A0000}"/>
    <cellStyle name="Followed Hyperlink 4" xfId="15824" hidden="1" xr:uid="{00000000-0005-0000-0000-0000286A0000}"/>
    <cellStyle name="Followed Hyperlink 4" xfId="15826" hidden="1" xr:uid="{00000000-0005-0000-0000-0000296A0000}"/>
    <cellStyle name="Followed Hyperlink 4" xfId="15827" hidden="1" xr:uid="{00000000-0005-0000-0000-00002A6A0000}"/>
    <cellStyle name="Followed Hyperlink 4" xfId="15830" hidden="1" xr:uid="{00000000-0005-0000-0000-00002B6A0000}"/>
    <cellStyle name="Followed Hyperlink 4" xfId="15840" hidden="1" xr:uid="{00000000-0005-0000-0000-00002C6A0000}"/>
    <cellStyle name="Followed Hyperlink 4" xfId="15832" hidden="1" xr:uid="{00000000-0005-0000-0000-00002D6A0000}"/>
    <cellStyle name="Followed Hyperlink 4" xfId="15843" hidden="1" xr:uid="{00000000-0005-0000-0000-00002E6A0000}"/>
    <cellStyle name="Followed Hyperlink 4" xfId="15846" hidden="1" xr:uid="{00000000-0005-0000-0000-00002F6A0000}"/>
    <cellStyle name="Followed Hyperlink 4" xfId="15849" hidden="1" xr:uid="{00000000-0005-0000-0000-0000306A0000}"/>
    <cellStyle name="Followed Hyperlink 4" xfId="15851" hidden="1" xr:uid="{00000000-0005-0000-0000-0000316A0000}"/>
    <cellStyle name="Followed Hyperlink 4" xfId="15852" hidden="1" xr:uid="{00000000-0005-0000-0000-0000326A0000}"/>
    <cellStyle name="Followed Hyperlink 4" xfId="15855" hidden="1" xr:uid="{00000000-0005-0000-0000-0000336A0000}"/>
    <cellStyle name="Followed Hyperlink 4" xfId="15864" hidden="1" xr:uid="{00000000-0005-0000-0000-0000346A0000}"/>
    <cellStyle name="Followed Hyperlink 4" xfId="15856" hidden="1" xr:uid="{00000000-0005-0000-0000-0000356A0000}"/>
    <cellStyle name="Followed Hyperlink 4" xfId="15867" hidden="1" xr:uid="{00000000-0005-0000-0000-0000366A0000}"/>
    <cellStyle name="Followed Hyperlink 4" xfId="15870" hidden="1" xr:uid="{00000000-0005-0000-0000-0000376A0000}"/>
    <cellStyle name="Followed Hyperlink 4" xfId="15873" hidden="1" xr:uid="{00000000-0005-0000-0000-0000386A0000}"/>
    <cellStyle name="Followed Hyperlink 4" xfId="15875" hidden="1" xr:uid="{00000000-0005-0000-0000-0000396A0000}"/>
    <cellStyle name="Followed Hyperlink 4" xfId="15876" hidden="1" xr:uid="{00000000-0005-0000-0000-00003A6A0000}"/>
    <cellStyle name="Followed Hyperlink 4" xfId="15879" hidden="1" xr:uid="{00000000-0005-0000-0000-00003B6A0000}"/>
    <cellStyle name="Followed Hyperlink 4" xfId="15604" hidden="1" xr:uid="{00000000-0005-0000-0000-00003C6A0000}"/>
    <cellStyle name="Followed Hyperlink 4" xfId="15659" hidden="1" xr:uid="{00000000-0005-0000-0000-00003D6A0000}"/>
    <cellStyle name="Followed Hyperlink 4" xfId="15880" hidden="1" xr:uid="{00000000-0005-0000-0000-00003E6A0000}"/>
    <cellStyle name="Followed Hyperlink 4" xfId="15883" hidden="1" xr:uid="{00000000-0005-0000-0000-00003F6A0000}"/>
    <cellStyle name="Followed Hyperlink 4" xfId="15886" hidden="1" xr:uid="{00000000-0005-0000-0000-0000406A0000}"/>
    <cellStyle name="Followed Hyperlink 4" xfId="15888" hidden="1" xr:uid="{00000000-0005-0000-0000-0000416A0000}"/>
    <cellStyle name="Followed Hyperlink 4" xfId="15889" hidden="1" xr:uid="{00000000-0005-0000-0000-0000426A0000}"/>
    <cellStyle name="Followed Hyperlink 4" xfId="15892" hidden="1" xr:uid="{00000000-0005-0000-0000-0000436A0000}"/>
    <cellStyle name="Followed Hyperlink 4" xfId="15901" hidden="1" xr:uid="{00000000-0005-0000-0000-0000446A0000}"/>
    <cellStyle name="Followed Hyperlink 4" xfId="15893" hidden="1" xr:uid="{00000000-0005-0000-0000-0000456A0000}"/>
    <cellStyle name="Followed Hyperlink 4" xfId="15904" hidden="1" xr:uid="{00000000-0005-0000-0000-0000466A0000}"/>
    <cellStyle name="Followed Hyperlink 4" xfId="15907" hidden="1" xr:uid="{00000000-0005-0000-0000-0000476A0000}"/>
    <cellStyle name="Followed Hyperlink 4" xfId="15910" hidden="1" xr:uid="{00000000-0005-0000-0000-0000486A0000}"/>
    <cellStyle name="Followed Hyperlink 4" xfId="15912" hidden="1" xr:uid="{00000000-0005-0000-0000-0000496A0000}"/>
    <cellStyle name="Followed Hyperlink 4" xfId="15913" hidden="1" xr:uid="{00000000-0005-0000-0000-00004A6A0000}"/>
    <cellStyle name="Followed Hyperlink 4" xfId="15916" hidden="1" xr:uid="{00000000-0005-0000-0000-00004B6A0000}"/>
    <cellStyle name="Followed Hyperlink 4" xfId="15925" hidden="1" xr:uid="{00000000-0005-0000-0000-00004C6A0000}"/>
    <cellStyle name="Followed Hyperlink 4" xfId="15917" hidden="1" xr:uid="{00000000-0005-0000-0000-00004D6A0000}"/>
    <cellStyle name="Followed Hyperlink 4" xfId="15928" hidden="1" xr:uid="{00000000-0005-0000-0000-00004E6A0000}"/>
    <cellStyle name="Followed Hyperlink 4" xfId="15931" hidden="1" xr:uid="{00000000-0005-0000-0000-00004F6A0000}"/>
    <cellStyle name="Followed Hyperlink 4" xfId="15934" hidden="1" xr:uid="{00000000-0005-0000-0000-0000506A0000}"/>
    <cellStyle name="Followed Hyperlink 4" xfId="15936" hidden="1" xr:uid="{00000000-0005-0000-0000-0000516A0000}"/>
    <cellStyle name="Followed Hyperlink 4" xfId="15937" hidden="1" xr:uid="{00000000-0005-0000-0000-0000526A0000}"/>
    <cellStyle name="Followed Hyperlink 4" xfId="15940" hidden="1" xr:uid="{00000000-0005-0000-0000-0000536A0000}"/>
    <cellStyle name="Followed Hyperlink 4" xfId="15949" hidden="1" xr:uid="{00000000-0005-0000-0000-0000546A0000}"/>
    <cellStyle name="Followed Hyperlink 4" xfId="15941" hidden="1" xr:uid="{00000000-0005-0000-0000-0000556A0000}"/>
    <cellStyle name="Followed Hyperlink 4" xfId="15952" hidden="1" xr:uid="{00000000-0005-0000-0000-0000566A0000}"/>
    <cellStyle name="Followed Hyperlink 4" xfId="15955" hidden="1" xr:uid="{00000000-0005-0000-0000-0000576A0000}"/>
    <cellStyle name="Followed Hyperlink 4" xfId="15958" hidden="1" xr:uid="{00000000-0005-0000-0000-0000586A0000}"/>
    <cellStyle name="Followed Hyperlink 4" xfId="15960" hidden="1" xr:uid="{00000000-0005-0000-0000-0000596A0000}"/>
    <cellStyle name="Followed Hyperlink 4" xfId="15961" hidden="1" xr:uid="{00000000-0005-0000-0000-00005A6A0000}"/>
    <cellStyle name="Followed Hyperlink 4" xfId="15964" hidden="1" xr:uid="{00000000-0005-0000-0000-00005B6A0000}"/>
    <cellStyle name="Followed Hyperlink 4" xfId="14997" hidden="1" xr:uid="{00000000-0005-0000-0000-00005C6A0000}"/>
    <cellStyle name="Followed Hyperlink 4" xfId="15003" hidden="1" xr:uid="{00000000-0005-0000-0000-00005D6A0000}"/>
    <cellStyle name="Followed Hyperlink 4" xfId="15965" hidden="1" xr:uid="{00000000-0005-0000-0000-00005E6A0000}"/>
    <cellStyle name="Followed Hyperlink 4" xfId="15968" hidden="1" xr:uid="{00000000-0005-0000-0000-00005F6A0000}"/>
    <cellStyle name="Followed Hyperlink 4" xfId="15971" hidden="1" xr:uid="{00000000-0005-0000-0000-0000606A0000}"/>
    <cellStyle name="Followed Hyperlink 4" xfId="15973" hidden="1" xr:uid="{00000000-0005-0000-0000-0000616A0000}"/>
    <cellStyle name="Followed Hyperlink 4" xfId="15974" hidden="1" xr:uid="{00000000-0005-0000-0000-0000626A0000}"/>
    <cellStyle name="Followed Hyperlink 4" xfId="15977" hidden="1" xr:uid="{00000000-0005-0000-0000-0000636A0000}"/>
    <cellStyle name="Followed Hyperlink 4" xfId="15986" hidden="1" xr:uid="{00000000-0005-0000-0000-0000646A0000}"/>
    <cellStyle name="Followed Hyperlink 4" xfId="15978" hidden="1" xr:uid="{00000000-0005-0000-0000-0000656A0000}"/>
    <cellStyle name="Followed Hyperlink 4" xfId="15989" hidden="1" xr:uid="{00000000-0005-0000-0000-0000666A0000}"/>
    <cellStyle name="Followed Hyperlink 4" xfId="15992" hidden="1" xr:uid="{00000000-0005-0000-0000-0000676A0000}"/>
    <cellStyle name="Followed Hyperlink 4" xfId="15995" hidden="1" xr:uid="{00000000-0005-0000-0000-0000686A0000}"/>
    <cellStyle name="Followed Hyperlink 4" xfId="15997" hidden="1" xr:uid="{00000000-0005-0000-0000-0000696A0000}"/>
    <cellStyle name="Followed Hyperlink 4" xfId="15998" hidden="1" xr:uid="{00000000-0005-0000-0000-00006A6A0000}"/>
    <cellStyle name="Followed Hyperlink 4" xfId="16001" hidden="1" xr:uid="{00000000-0005-0000-0000-00006B6A0000}"/>
    <cellStyle name="Followed Hyperlink 4" xfId="16011" hidden="1" xr:uid="{00000000-0005-0000-0000-00006C6A0000}"/>
    <cellStyle name="Followed Hyperlink 4" xfId="16003" hidden="1" xr:uid="{00000000-0005-0000-0000-00006D6A0000}"/>
    <cellStyle name="Followed Hyperlink 4" xfId="16014" hidden="1" xr:uid="{00000000-0005-0000-0000-00006E6A0000}"/>
    <cellStyle name="Followed Hyperlink 4" xfId="16017" hidden="1" xr:uid="{00000000-0005-0000-0000-00006F6A0000}"/>
    <cellStyle name="Followed Hyperlink 4" xfId="16020" hidden="1" xr:uid="{00000000-0005-0000-0000-0000706A0000}"/>
    <cellStyle name="Followed Hyperlink 4" xfId="16022" hidden="1" xr:uid="{00000000-0005-0000-0000-0000716A0000}"/>
    <cellStyle name="Followed Hyperlink 4" xfId="16023" hidden="1" xr:uid="{00000000-0005-0000-0000-0000726A0000}"/>
    <cellStyle name="Followed Hyperlink 4" xfId="16026" hidden="1" xr:uid="{00000000-0005-0000-0000-0000736A0000}"/>
    <cellStyle name="Followed Hyperlink 4" xfId="16035" hidden="1" xr:uid="{00000000-0005-0000-0000-0000746A0000}"/>
    <cellStyle name="Followed Hyperlink 4" xfId="16027" hidden="1" xr:uid="{00000000-0005-0000-0000-0000756A0000}"/>
    <cellStyle name="Followed Hyperlink 4" xfId="16038" hidden="1" xr:uid="{00000000-0005-0000-0000-0000766A0000}"/>
    <cellStyle name="Followed Hyperlink 4" xfId="16041" hidden="1" xr:uid="{00000000-0005-0000-0000-0000776A0000}"/>
    <cellStyle name="Followed Hyperlink 4" xfId="16044" hidden="1" xr:uid="{00000000-0005-0000-0000-0000786A0000}"/>
    <cellStyle name="Followed Hyperlink 4" xfId="16046" hidden="1" xr:uid="{00000000-0005-0000-0000-0000796A0000}"/>
    <cellStyle name="Followed Hyperlink 4" xfId="16047" hidden="1" xr:uid="{00000000-0005-0000-0000-00007A6A0000}"/>
    <cellStyle name="Followed Hyperlink 4" xfId="16050" hidden="1" xr:uid="{00000000-0005-0000-0000-00007B6A0000}"/>
    <cellStyle name="Followed Hyperlink 4" xfId="16088" hidden="1" xr:uid="{00000000-0005-0000-0000-00007C6A0000}"/>
    <cellStyle name="Followed Hyperlink 4" xfId="16080" hidden="1" xr:uid="{00000000-0005-0000-0000-00007D6A0000}"/>
    <cellStyle name="Followed Hyperlink 4" xfId="16091" hidden="1" xr:uid="{00000000-0005-0000-0000-00007E6A0000}"/>
    <cellStyle name="Followed Hyperlink 4" xfId="16094" hidden="1" xr:uid="{00000000-0005-0000-0000-00007F6A0000}"/>
    <cellStyle name="Followed Hyperlink 4" xfId="16097" hidden="1" xr:uid="{00000000-0005-0000-0000-0000806A0000}"/>
    <cellStyle name="Followed Hyperlink 4" xfId="16099" hidden="1" xr:uid="{00000000-0005-0000-0000-0000816A0000}"/>
    <cellStyle name="Followed Hyperlink 4" xfId="16100" hidden="1" xr:uid="{00000000-0005-0000-0000-0000826A0000}"/>
    <cellStyle name="Followed Hyperlink 4" xfId="16103" hidden="1" xr:uid="{00000000-0005-0000-0000-0000836A0000}"/>
    <cellStyle name="Followed Hyperlink 4" xfId="16112" hidden="1" xr:uid="{00000000-0005-0000-0000-0000846A0000}"/>
    <cellStyle name="Followed Hyperlink 4" xfId="16104" hidden="1" xr:uid="{00000000-0005-0000-0000-0000856A0000}"/>
    <cellStyle name="Followed Hyperlink 4" xfId="16115" hidden="1" xr:uid="{00000000-0005-0000-0000-0000866A0000}"/>
    <cellStyle name="Followed Hyperlink 4" xfId="16118" hidden="1" xr:uid="{00000000-0005-0000-0000-0000876A0000}"/>
    <cellStyle name="Followed Hyperlink 4" xfId="16121" hidden="1" xr:uid="{00000000-0005-0000-0000-0000886A0000}"/>
    <cellStyle name="Followed Hyperlink 4" xfId="16123" hidden="1" xr:uid="{00000000-0005-0000-0000-0000896A0000}"/>
    <cellStyle name="Followed Hyperlink 4" xfId="16124" hidden="1" xr:uid="{00000000-0005-0000-0000-00008A6A0000}"/>
    <cellStyle name="Followed Hyperlink 4" xfId="16127" hidden="1" xr:uid="{00000000-0005-0000-0000-00008B6A0000}"/>
    <cellStyle name="Followed Hyperlink 4" xfId="16138" hidden="1" xr:uid="{00000000-0005-0000-0000-00008C6A0000}"/>
    <cellStyle name="Followed Hyperlink 4" xfId="16130" hidden="1" xr:uid="{00000000-0005-0000-0000-00008D6A0000}"/>
    <cellStyle name="Followed Hyperlink 4" xfId="16141" hidden="1" xr:uid="{00000000-0005-0000-0000-00008E6A0000}"/>
    <cellStyle name="Followed Hyperlink 4" xfId="16144" hidden="1" xr:uid="{00000000-0005-0000-0000-00008F6A0000}"/>
    <cellStyle name="Followed Hyperlink 4" xfId="16147" hidden="1" xr:uid="{00000000-0005-0000-0000-0000906A0000}"/>
    <cellStyle name="Followed Hyperlink 4" xfId="16149" hidden="1" xr:uid="{00000000-0005-0000-0000-0000916A0000}"/>
    <cellStyle name="Followed Hyperlink 4" xfId="16150" hidden="1" xr:uid="{00000000-0005-0000-0000-0000926A0000}"/>
    <cellStyle name="Followed Hyperlink 4" xfId="16153" hidden="1" xr:uid="{00000000-0005-0000-0000-0000936A0000}"/>
    <cellStyle name="Followed Hyperlink 4" xfId="16162" hidden="1" xr:uid="{00000000-0005-0000-0000-0000946A0000}"/>
    <cellStyle name="Followed Hyperlink 4" xfId="16154" hidden="1" xr:uid="{00000000-0005-0000-0000-0000956A0000}"/>
    <cellStyle name="Followed Hyperlink 4" xfId="16165" hidden="1" xr:uid="{00000000-0005-0000-0000-0000966A0000}"/>
    <cellStyle name="Followed Hyperlink 4" xfId="16168" hidden="1" xr:uid="{00000000-0005-0000-0000-0000976A0000}"/>
    <cellStyle name="Followed Hyperlink 4" xfId="16171" hidden="1" xr:uid="{00000000-0005-0000-0000-0000986A0000}"/>
    <cellStyle name="Followed Hyperlink 4" xfId="16173" hidden="1" xr:uid="{00000000-0005-0000-0000-0000996A0000}"/>
    <cellStyle name="Followed Hyperlink 4" xfId="16174" hidden="1" xr:uid="{00000000-0005-0000-0000-00009A6A0000}"/>
    <cellStyle name="Followed Hyperlink 4" xfId="16177" hidden="1" xr:uid="{00000000-0005-0000-0000-00009B6A0000}"/>
    <cellStyle name="Followed Hyperlink 4" xfId="16060" hidden="1" xr:uid="{00000000-0005-0000-0000-00009C6A0000}"/>
    <cellStyle name="Followed Hyperlink 4" xfId="16054" hidden="1" xr:uid="{00000000-0005-0000-0000-00009D6A0000}"/>
    <cellStyle name="Followed Hyperlink 4" xfId="16178" hidden="1" xr:uid="{00000000-0005-0000-0000-00009E6A0000}"/>
    <cellStyle name="Followed Hyperlink 4" xfId="16181" hidden="1" xr:uid="{00000000-0005-0000-0000-00009F6A0000}"/>
    <cellStyle name="Followed Hyperlink 4" xfId="16184" hidden="1" xr:uid="{00000000-0005-0000-0000-0000A06A0000}"/>
    <cellStyle name="Followed Hyperlink 4" xfId="16186" hidden="1" xr:uid="{00000000-0005-0000-0000-0000A16A0000}"/>
    <cellStyle name="Followed Hyperlink 4" xfId="16187" hidden="1" xr:uid="{00000000-0005-0000-0000-0000A26A0000}"/>
    <cellStyle name="Followed Hyperlink 4" xfId="16190" hidden="1" xr:uid="{00000000-0005-0000-0000-0000A36A0000}"/>
    <cellStyle name="Followed Hyperlink 4" xfId="16199" hidden="1" xr:uid="{00000000-0005-0000-0000-0000A46A0000}"/>
    <cellStyle name="Followed Hyperlink 4" xfId="16191" hidden="1" xr:uid="{00000000-0005-0000-0000-0000A56A0000}"/>
    <cellStyle name="Followed Hyperlink 4" xfId="16202" hidden="1" xr:uid="{00000000-0005-0000-0000-0000A66A0000}"/>
    <cellStyle name="Followed Hyperlink 4" xfId="16205" hidden="1" xr:uid="{00000000-0005-0000-0000-0000A76A0000}"/>
    <cellStyle name="Followed Hyperlink 4" xfId="16208" hidden="1" xr:uid="{00000000-0005-0000-0000-0000A86A0000}"/>
    <cellStyle name="Followed Hyperlink 4" xfId="16210" hidden="1" xr:uid="{00000000-0005-0000-0000-0000A96A0000}"/>
    <cellStyle name="Followed Hyperlink 4" xfId="16211" hidden="1" xr:uid="{00000000-0005-0000-0000-0000AA6A0000}"/>
    <cellStyle name="Followed Hyperlink 4" xfId="16214" hidden="1" xr:uid="{00000000-0005-0000-0000-0000AB6A0000}"/>
    <cellStyle name="Followed Hyperlink 4" xfId="16224" hidden="1" xr:uid="{00000000-0005-0000-0000-0000AC6A0000}"/>
    <cellStyle name="Followed Hyperlink 4" xfId="16216" hidden="1" xr:uid="{00000000-0005-0000-0000-0000AD6A0000}"/>
    <cellStyle name="Followed Hyperlink 4" xfId="16227" hidden="1" xr:uid="{00000000-0005-0000-0000-0000AE6A0000}"/>
    <cellStyle name="Followed Hyperlink 4" xfId="16230" hidden="1" xr:uid="{00000000-0005-0000-0000-0000AF6A0000}"/>
    <cellStyle name="Followed Hyperlink 4" xfId="16233" hidden="1" xr:uid="{00000000-0005-0000-0000-0000B06A0000}"/>
    <cellStyle name="Followed Hyperlink 4" xfId="16235" hidden="1" xr:uid="{00000000-0005-0000-0000-0000B16A0000}"/>
    <cellStyle name="Followed Hyperlink 4" xfId="16236" hidden="1" xr:uid="{00000000-0005-0000-0000-0000B26A0000}"/>
    <cellStyle name="Followed Hyperlink 4" xfId="16239" hidden="1" xr:uid="{00000000-0005-0000-0000-0000B36A0000}"/>
    <cellStyle name="Followed Hyperlink 4" xfId="16248" hidden="1" xr:uid="{00000000-0005-0000-0000-0000B46A0000}"/>
    <cellStyle name="Followed Hyperlink 4" xfId="16240" hidden="1" xr:uid="{00000000-0005-0000-0000-0000B56A0000}"/>
    <cellStyle name="Followed Hyperlink 4" xfId="16251" hidden="1" xr:uid="{00000000-0005-0000-0000-0000B66A0000}"/>
    <cellStyle name="Followed Hyperlink 4" xfId="16254" hidden="1" xr:uid="{00000000-0005-0000-0000-0000B76A0000}"/>
    <cellStyle name="Followed Hyperlink 4" xfId="16257" hidden="1" xr:uid="{00000000-0005-0000-0000-0000B86A0000}"/>
    <cellStyle name="Followed Hyperlink 4" xfId="16259" hidden="1" xr:uid="{00000000-0005-0000-0000-0000B96A0000}"/>
    <cellStyle name="Followed Hyperlink 4" xfId="16260" hidden="1" xr:uid="{00000000-0005-0000-0000-0000BA6A0000}"/>
    <cellStyle name="Followed Hyperlink 4" xfId="16263" hidden="1" xr:uid="{00000000-0005-0000-0000-0000BB6A0000}"/>
    <cellStyle name="Followed Hyperlink 4" xfId="16064" hidden="1" xr:uid="{00000000-0005-0000-0000-0000BC6A0000}"/>
    <cellStyle name="Followed Hyperlink 4" xfId="16070" hidden="1" xr:uid="{00000000-0005-0000-0000-0000BD6A0000}"/>
    <cellStyle name="Followed Hyperlink 4" xfId="16264" hidden="1" xr:uid="{00000000-0005-0000-0000-0000BE6A0000}"/>
    <cellStyle name="Followed Hyperlink 4" xfId="16267" hidden="1" xr:uid="{00000000-0005-0000-0000-0000BF6A0000}"/>
    <cellStyle name="Followed Hyperlink 4" xfId="16270" hidden="1" xr:uid="{00000000-0005-0000-0000-0000C06A0000}"/>
    <cellStyle name="Followed Hyperlink 4" xfId="16272" hidden="1" xr:uid="{00000000-0005-0000-0000-0000C16A0000}"/>
    <cellStyle name="Followed Hyperlink 4" xfId="16273" hidden="1" xr:uid="{00000000-0005-0000-0000-0000C26A0000}"/>
    <cellStyle name="Followed Hyperlink 4" xfId="16276" hidden="1" xr:uid="{00000000-0005-0000-0000-0000C36A0000}"/>
    <cellStyle name="Followed Hyperlink 4" xfId="16285" hidden="1" xr:uid="{00000000-0005-0000-0000-0000C46A0000}"/>
    <cellStyle name="Followed Hyperlink 4" xfId="16277" hidden="1" xr:uid="{00000000-0005-0000-0000-0000C56A0000}"/>
    <cellStyle name="Followed Hyperlink 4" xfId="16288" hidden="1" xr:uid="{00000000-0005-0000-0000-0000C66A0000}"/>
    <cellStyle name="Followed Hyperlink 4" xfId="16291" hidden="1" xr:uid="{00000000-0005-0000-0000-0000C76A0000}"/>
    <cellStyle name="Followed Hyperlink 4" xfId="16294" hidden="1" xr:uid="{00000000-0005-0000-0000-0000C86A0000}"/>
    <cellStyle name="Followed Hyperlink 4" xfId="16296" hidden="1" xr:uid="{00000000-0005-0000-0000-0000C96A0000}"/>
    <cellStyle name="Followed Hyperlink 4" xfId="16297" hidden="1" xr:uid="{00000000-0005-0000-0000-0000CA6A0000}"/>
    <cellStyle name="Followed Hyperlink 4" xfId="16300" hidden="1" xr:uid="{00000000-0005-0000-0000-0000CB6A0000}"/>
    <cellStyle name="Followed Hyperlink 4" xfId="16310" hidden="1" xr:uid="{00000000-0005-0000-0000-0000CC6A0000}"/>
    <cellStyle name="Followed Hyperlink 4" xfId="16302" hidden="1" xr:uid="{00000000-0005-0000-0000-0000CD6A0000}"/>
    <cellStyle name="Followed Hyperlink 4" xfId="16313" hidden="1" xr:uid="{00000000-0005-0000-0000-0000CE6A0000}"/>
    <cellStyle name="Followed Hyperlink 4" xfId="16316" hidden="1" xr:uid="{00000000-0005-0000-0000-0000CF6A0000}"/>
    <cellStyle name="Followed Hyperlink 4" xfId="16319" hidden="1" xr:uid="{00000000-0005-0000-0000-0000D06A0000}"/>
    <cellStyle name="Followed Hyperlink 4" xfId="16321" hidden="1" xr:uid="{00000000-0005-0000-0000-0000D16A0000}"/>
    <cellStyle name="Followed Hyperlink 4" xfId="16322" hidden="1" xr:uid="{00000000-0005-0000-0000-0000D26A0000}"/>
    <cellStyle name="Followed Hyperlink 4" xfId="16325" hidden="1" xr:uid="{00000000-0005-0000-0000-0000D36A0000}"/>
    <cellStyle name="Followed Hyperlink 4" xfId="16334" hidden="1" xr:uid="{00000000-0005-0000-0000-0000D46A0000}"/>
    <cellStyle name="Followed Hyperlink 4" xfId="16326" hidden="1" xr:uid="{00000000-0005-0000-0000-0000D56A0000}"/>
    <cellStyle name="Followed Hyperlink 4" xfId="16337" hidden="1" xr:uid="{00000000-0005-0000-0000-0000D66A0000}"/>
    <cellStyle name="Followed Hyperlink 4" xfId="16340" hidden="1" xr:uid="{00000000-0005-0000-0000-0000D76A0000}"/>
    <cellStyle name="Followed Hyperlink 4" xfId="16343" hidden="1" xr:uid="{00000000-0005-0000-0000-0000D86A0000}"/>
    <cellStyle name="Followed Hyperlink 4" xfId="16345" hidden="1" xr:uid="{00000000-0005-0000-0000-0000D96A0000}"/>
    <cellStyle name="Followed Hyperlink 4" xfId="16346" hidden="1" xr:uid="{00000000-0005-0000-0000-0000DA6A0000}"/>
    <cellStyle name="Followed Hyperlink 4" xfId="16349" hidden="1" xr:uid="{00000000-0005-0000-0000-0000DB6A0000}"/>
    <cellStyle name="Followed Hyperlink 4" xfId="16074" hidden="1" xr:uid="{00000000-0005-0000-0000-0000DC6A0000}"/>
    <cellStyle name="Followed Hyperlink 4" xfId="16129" hidden="1" xr:uid="{00000000-0005-0000-0000-0000DD6A0000}"/>
    <cellStyle name="Followed Hyperlink 4" xfId="16350" hidden="1" xr:uid="{00000000-0005-0000-0000-0000DE6A0000}"/>
    <cellStyle name="Followed Hyperlink 4" xfId="16353" hidden="1" xr:uid="{00000000-0005-0000-0000-0000DF6A0000}"/>
    <cellStyle name="Followed Hyperlink 4" xfId="16356" hidden="1" xr:uid="{00000000-0005-0000-0000-0000E06A0000}"/>
    <cellStyle name="Followed Hyperlink 4" xfId="16358" hidden="1" xr:uid="{00000000-0005-0000-0000-0000E16A0000}"/>
    <cellStyle name="Followed Hyperlink 4" xfId="16359" hidden="1" xr:uid="{00000000-0005-0000-0000-0000E26A0000}"/>
    <cellStyle name="Followed Hyperlink 4" xfId="16362" hidden="1" xr:uid="{00000000-0005-0000-0000-0000E36A0000}"/>
    <cellStyle name="Followed Hyperlink 4" xfId="16371" hidden="1" xr:uid="{00000000-0005-0000-0000-0000E46A0000}"/>
    <cellStyle name="Followed Hyperlink 4" xfId="16363" hidden="1" xr:uid="{00000000-0005-0000-0000-0000E56A0000}"/>
    <cellStyle name="Followed Hyperlink 4" xfId="16374" hidden="1" xr:uid="{00000000-0005-0000-0000-0000E66A0000}"/>
    <cellStyle name="Followed Hyperlink 4" xfId="16377" hidden="1" xr:uid="{00000000-0005-0000-0000-0000E76A0000}"/>
    <cellStyle name="Followed Hyperlink 4" xfId="16380" hidden="1" xr:uid="{00000000-0005-0000-0000-0000E86A0000}"/>
    <cellStyle name="Followed Hyperlink 4" xfId="16382" hidden="1" xr:uid="{00000000-0005-0000-0000-0000E96A0000}"/>
    <cellStyle name="Followed Hyperlink 4" xfId="16383" hidden="1" xr:uid="{00000000-0005-0000-0000-0000EA6A0000}"/>
    <cellStyle name="Followed Hyperlink 4" xfId="16386" hidden="1" xr:uid="{00000000-0005-0000-0000-0000EB6A0000}"/>
    <cellStyle name="Followed Hyperlink 4" xfId="16395" hidden="1" xr:uid="{00000000-0005-0000-0000-0000EC6A0000}"/>
    <cellStyle name="Followed Hyperlink 4" xfId="16387" hidden="1" xr:uid="{00000000-0005-0000-0000-0000ED6A0000}"/>
    <cellStyle name="Followed Hyperlink 4" xfId="16398" hidden="1" xr:uid="{00000000-0005-0000-0000-0000EE6A0000}"/>
    <cellStyle name="Followed Hyperlink 4" xfId="16401" hidden="1" xr:uid="{00000000-0005-0000-0000-0000EF6A0000}"/>
    <cellStyle name="Followed Hyperlink 4" xfId="16404" hidden="1" xr:uid="{00000000-0005-0000-0000-0000F06A0000}"/>
    <cellStyle name="Followed Hyperlink 4" xfId="16406" hidden="1" xr:uid="{00000000-0005-0000-0000-0000F16A0000}"/>
    <cellStyle name="Followed Hyperlink 4" xfId="16407" hidden="1" xr:uid="{00000000-0005-0000-0000-0000F26A0000}"/>
    <cellStyle name="Followed Hyperlink 4" xfId="16410" hidden="1" xr:uid="{00000000-0005-0000-0000-0000F36A0000}"/>
    <cellStyle name="Followed Hyperlink 4" xfId="16419" hidden="1" xr:uid="{00000000-0005-0000-0000-0000F46A0000}"/>
    <cellStyle name="Followed Hyperlink 4" xfId="16411" hidden="1" xr:uid="{00000000-0005-0000-0000-0000F56A0000}"/>
    <cellStyle name="Followed Hyperlink 4" xfId="16422" hidden="1" xr:uid="{00000000-0005-0000-0000-0000F66A0000}"/>
    <cellStyle name="Followed Hyperlink 4" xfId="16425" hidden="1" xr:uid="{00000000-0005-0000-0000-0000F76A0000}"/>
    <cellStyle name="Followed Hyperlink 4" xfId="16428" hidden="1" xr:uid="{00000000-0005-0000-0000-0000F86A0000}"/>
    <cellStyle name="Followed Hyperlink 4" xfId="16430" hidden="1" xr:uid="{00000000-0005-0000-0000-0000F96A0000}"/>
    <cellStyle name="Followed Hyperlink 4" xfId="16431" hidden="1" xr:uid="{00000000-0005-0000-0000-0000FA6A0000}"/>
    <cellStyle name="Followed Hyperlink 4" xfId="16434" hidden="1" xr:uid="{00000000-0005-0000-0000-0000FB6A0000}"/>
    <cellStyle name="Followed Hyperlink 4" xfId="15007" hidden="1" xr:uid="{00000000-0005-0000-0000-0000FC6A0000}"/>
    <cellStyle name="Followed Hyperlink 4" xfId="15062" hidden="1" xr:uid="{00000000-0005-0000-0000-0000FD6A0000}"/>
    <cellStyle name="Followed Hyperlink 4" xfId="16435" hidden="1" xr:uid="{00000000-0005-0000-0000-0000FE6A0000}"/>
    <cellStyle name="Followed Hyperlink 4" xfId="16438" hidden="1" xr:uid="{00000000-0005-0000-0000-0000FF6A0000}"/>
    <cellStyle name="Followed Hyperlink 4" xfId="16441" hidden="1" xr:uid="{00000000-0005-0000-0000-0000006B0000}"/>
    <cellStyle name="Followed Hyperlink 4" xfId="16443" hidden="1" xr:uid="{00000000-0005-0000-0000-0000016B0000}"/>
    <cellStyle name="Followed Hyperlink 4" xfId="16444" hidden="1" xr:uid="{00000000-0005-0000-0000-0000026B0000}"/>
    <cellStyle name="Followed Hyperlink 4" xfId="16447" hidden="1" xr:uid="{00000000-0005-0000-0000-0000036B0000}"/>
    <cellStyle name="Followed Hyperlink 4" xfId="16456" hidden="1" xr:uid="{00000000-0005-0000-0000-0000046B0000}"/>
    <cellStyle name="Followed Hyperlink 4" xfId="16448" hidden="1" xr:uid="{00000000-0005-0000-0000-0000056B0000}"/>
    <cellStyle name="Followed Hyperlink 4" xfId="16459" hidden="1" xr:uid="{00000000-0005-0000-0000-0000066B0000}"/>
    <cellStyle name="Followed Hyperlink 4" xfId="16462" hidden="1" xr:uid="{00000000-0005-0000-0000-0000076B0000}"/>
    <cellStyle name="Followed Hyperlink 4" xfId="16465" hidden="1" xr:uid="{00000000-0005-0000-0000-0000086B0000}"/>
    <cellStyle name="Followed Hyperlink 4" xfId="16467" hidden="1" xr:uid="{00000000-0005-0000-0000-0000096B0000}"/>
    <cellStyle name="Followed Hyperlink 4" xfId="16468" hidden="1" xr:uid="{00000000-0005-0000-0000-00000A6B0000}"/>
    <cellStyle name="Followed Hyperlink 4" xfId="16471" hidden="1" xr:uid="{00000000-0005-0000-0000-00000B6B0000}"/>
    <cellStyle name="Followed Hyperlink 4" xfId="16480" hidden="1" xr:uid="{00000000-0005-0000-0000-00000C6B0000}"/>
    <cellStyle name="Followed Hyperlink 4" xfId="16472" hidden="1" xr:uid="{00000000-0005-0000-0000-00000D6B0000}"/>
    <cellStyle name="Followed Hyperlink 4" xfId="16483" hidden="1" xr:uid="{00000000-0005-0000-0000-00000E6B0000}"/>
    <cellStyle name="Followed Hyperlink 4" xfId="16486" hidden="1" xr:uid="{00000000-0005-0000-0000-00000F6B0000}"/>
    <cellStyle name="Followed Hyperlink 4" xfId="16489" hidden="1" xr:uid="{00000000-0005-0000-0000-0000106B0000}"/>
    <cellStyle name="Followed Hyperlink 4" xfId="16491" hidden="1" xr:uid="{00000000-0005-0000-0000-0000116B0000}"/>
    <cellStyle name="Followed Hyperlink 4" xfId="16492" hidden="1" xr:uid="{00000000-0005-0000-0000-0000126B0000}"/>
    <cellStyle name="Followed Hyperlink 4" xfId="16495" hidden="1" xr:uid="{00000000-0005-0000-0000-0000136B0000}"/>
    <cellStyle name="Followed Hyperlink 4" xfId="16504" hidden="1" xr:uid="{00000000-0005-0000-0000-0000146B0000}"/>
    <cellStyle name="Followed Hyperlink 4" xfId="16496" hidden="1" xr:uid="{00000000-0005-0000-0000-0000156B0000}"/>
    <cellStyle name="Followed Hyperlink 4" xfId="16507" hidden="1" xr:uid="{00000000-0005-0000-0000-0000166B0000}"/>
    <cellStyle name="Followed Hyperlink 4" xfId="16510" hidden="1" xr:uid="{00000000-0005-0000-0000-0000176B0000}"/>
    <cellStyle name="Followed Hyperlink 4" xfId="16513" hidden="1" xr:uid="{00000000-0005-0000-0000-0000186B0000}"/>
    <cellStyle name="Followed Hyperlink 4" xfId="16515" hidden="1" xr:uid="{00000000-0005-0000-0000-0000196B0000}"/>
    <cellStyle name="Followed Hyperlink 4" xfId="16516" hidden="1" xr:uid="{00000000-0005-0000-0000-00001A6B0000}"/>
    <cellStyle name="Followed Hyperlink 4" xfId="16519" hidden="1" xr:uid="{00000000-0005-0000-0000-00001B6B0000}"/>
    <cellStyle name="Followed Hyperlink 4" xfId="16557" hidden="1" xr:uid="{00000000-0005-0000-0000-00001C6B0000}"/>
    <cellStyle name="Followed Hyperlink 4" xfId="16549" hidden="1" xr:uid="{00000000-0005-0000-0000-00001D6B0000}"/>
    <cellStyle name="Followed Hyperlink 4" xfId="16560" hidden="1" xr:uid="{00000000-0005-0000-0000-00001E6B0000}"/>
    <cellStyle name="Followed Hyperlink 4" xfId="16563" hidden="1" xr:uid="{00000000-0005-0000-0000-00001F6B0000}"/>
    <cellStyle name="Followed Hyperlink 4" xfId="16566" hidden="1" xr:uid="{00000000-0005-0000-0000-0000206B0000}"/>
    <cellStyle name="Followed Hyperlink 4" xfId="16568" hidden="1" xr:uid="{00000000-0005-0000-0000-0000216B0000}"/>
    <cellStyle name="Followed Hyperlink 4" xfId="16569" hidden="1" xr:uid="{00000000-0005-0000-0000-0000226B0000}"/>
    <cellStyle name="Followed Hyperlink 4" xfId="16572" hidden="1" xr:uid="{00000000-0005-0000-0000-0000236B0000}"/>
    <cellStyle name="Followed Hyperlink 4" xfId="16581" hidden="1" xr:uid="{00000000-0005-0000-0000-0000246B0000}"/>
    <cellStyle name="Followed Hyperlink 4" xfId="16573" hidden="1" xr:uid="{00000000-0005-0000-0000-0000256B0000}"/>
    <cellStyle name="Followed Hyperlink 4" xfId="16584" hidden="1" xr:uid="{00000000-0005-0000-0000-0000266B0000}"/>
    <cellStyle name="Followed Hyperlink 4" xfId="16587" hidden="1" xr:uid="{00000000-0005-0000-0000-0000276B0000}"/>
    <cellStyle name="Followed Hyperlink 4" xfId="16590" hidden="1" xr:uid="{00000000-0005-0000-0000-0000286B0000}"/>
    <cellStyle name="Followed Hyperlink 4" xfId="16592" hidden="1" xr:uid="{00000000-0005-0000-0000-0000296B0000}"/>
    <cellStyle name="Followed Hyperlink 4" xfId="16593" hidden="1" xr:uid="{00000000-0005-0000-0000-00002A6B0000}"/>
    <cellStyle name="Followed Hyperlink 4" xfId="16596" hidden="1" xr:uid="{00000000-0005-0000-0000-00002B6B0000}"/>
    <cellStyle name="Followed Hyperlink 4" xfId="16607" hidden="1" xr:uid="{00000000-0005-0000-0000-00002C6B0000}"/>
    <cellStyle name="Followed Hyperlink 4" xfId="16599" hidden="1" xr:uid="{00000000-0005-0000-0000-00002D6B0000}"/>
    <cellStyle name="Followed Hyperlink 4" xfId="16610" hidden="1" xr:uid="{00000000-0005-0000-0000-00002E6B0000}"/>
    <cellStyle name="Followed Hyperlink 4" xfId="16613" hidden="1" xr:uid="{00000000-0005-0000-0000-00002F6B0000}"/>
    <cellStyle name="Followed Hyperlink 4" xfId="16616" hidden="1" xr:uid="{00000000-0005-0000-0000-0000306B0000}"/>
    <cellStyle name="Followed Hyperlink 4" xfId="16618" hidden="1" xr:uid="{00000000-0005-0000-0000-0000316B0000}"/>
    <cellStyle name="Followed Hyperlink 4" xfId="16619" hidden="1" xr:uid="{00000000-0005-0000-0000-0000326B0000}"/>
    <cellStyle name="Followed Hyperlink 4" xfId="16622" hidden="1" xr:uid="{00000000-0005-0000-0000-0000336B0000}"/>
    <cellStyle name="Followed Hyperlink 4" xfId="16631" hidden="1" xr:uid="{00000000-0005-0000-0000-0000346B0000}"/>
    <cellStyle name="Followed Hyperlink 4" xfId="16623" hidden="1" xr:uid="{00000000-0005-0000-0000-0000356B0000}"/>
    <cellStyle name="Followed Hyperlink 4" xfId="16634" hidden="1" xr:uid="{00000000-0005-0000-0000-0000366B0000}"/>
    <cellStyle name="Followed Hyperlink 4" xfId="16637" hidden="1" xr:uid="{00000000-0005-0000-0000-0000376B0000}"/>
    <cellStyle name="Followed Hyperlink 4" xfId="16640" hidden="1" xr:uid="{00000000-0005-0000-0000-0000386B0000}"/>
    <cellStyle name="Followed Hyperlink 4" xfId="16642" hidden="1" xr:uid="{00000000-0005-0000-0000-0000396B0000}"/>
    <cellStyle name="Followed Hyperlink 4" xfId="16643" hidden="1" xr:uid="{00000000-0005-0000-0000-00003A6B0000}"/>
    <cellStyle name="Followed Hyperlink 4" xfId="16646" hidden="1" xr:uid="{00000000-0005-0000-0000-00003B6B0000}"/>
    <cellStyle name="Followed Hyperlink 4" xfId="16529" hidden="1" xr:uid="{00000000-0005-0000-0000-00003C6B0000}"/>
    <cellStyle name="Followed Hyperlink 4" xfId="16523" hidden="1" xr:uid="{00000000-0005-0000-0000-00003D6B0000}"/>
    <cellStyle name="Followed Hyperlink 4" xfId="16647" hidden="1" xr:uid="{00000000-0005-0000-0000-00003E6B0000}"/>
    <cellStyle name="Followed Hyperlink 4" xfId="16650" hidden="1" xr:uid="{00000000-0005-0000-0000-00003F6B0000}"/>
    <cellStyle name="Followed Hyperlink 4" xfId="16653" hidden="1" xr:uid="{00000000-0005-0000-0000-0000406B0000}"/>
    <cellStyle name="Followed Hyperlink 4" xfId="16655" hidden="1" xr:uid="{00000000-0005-0000-0000-0000416B0000}"/>
    <cellStyle name="Followed Hyperlink 4" xfId="16656" hidden="1" xr:uid="{00000000-0005-0000-0000-0000426B0000}"/>
    <cellStyle name="Followed Hyperlink 4" xfId="16659" hidden="1" xr:uid="{00000000-0005-0000-0000-0000436B0000}"/>
    <cellStyle name="Followed Hyperlink 4" xfId="16668" hidden="1" xr:uid="{00000000-0005-0000-0000-0000446B0000}"/>
    <cellStyle name="Followed Hyperlink 4" xfId="16660" hidden="1" xr:uid="{00000000-0005-0000-0000-0000456B0000}"/>
    <cellStyle name="Followed Hyperlink 4" xfId="16671" hidden="1" xr:uid="{00000000-0005-0000-0000-0000466B0000}"/>
    <cellStyle name="Followed Hyperlink 4" xfId="16674" hidden="1" xr:uid="{00000000-0005-0000-0000-0000476B0000}"/>
    <cellStyle name="Followed Hyperlink 4" xfId="16677" hidden="1" xr:uid="{00000000-0005-0000-0000-0000486B0000}"/>
    <cellStyle name="Followed Hyperlink 4" xfId="16679" hidden="1" xr:uid="{00000000-0005-0000-0000-0000496B0000}"/>
    <cellStyle name="Followed Hyperlink 4" xfId="16680" hidden="1" xr:uid="{00000000-0005-0000-0000-00004A6B0000}"/>
    <cellStyle name="Followed Hyperlink 4" xfId="16683" hidden="1" xr:uid="{00000000-0005-0000-0000-00004B6B0000}"/>
    <cellStyle name="Followed Hyperlink 4" xfId="16693" hidden="1" xr:uid="{00000000-0005-0000-0000-00004C6B0000}"/>
    <cellStyle name="Followed Hyperlink 4" xfId="16685" hidden="1" xr:uid="{00000000-0005-0000-0000-00004D6B0000}"/>
    <cellStyle name="Followed Hyperlink 4" xfId="16696" hidden="1" xr:uid="{00000000-0005-0000-0000-00004E6B0000}"/>
    <cellStyle name="Followed Hyperlink 4" xfId="16699" hidden="1" xr:uid="{00000000-0005-0000-0000-00004F6B0000}"/>
    <cellStyle name="Followed Hyperlink 4" xfId="16702" hidden="1" xr:uid="{00000000-0005-0000-0000-0000506B0000}"/>
    <cellStyle name="Followed Hyperlink 4" xfId="16704" hidden="1" xr:uid="{00000000-0005-0000-0000-0000516B0000}"/>
    <cellStyle name="Followed Hyperlink 4" xfId="16705" hidden="1" xr:uid="{00000000-0005-0000-0000-0000526B0000}"/>
    <cellStyle name="Followed Hyperlink 4" xfId="16708" hidden="1" xr:uid="{00000000-0005-0000-0000-0000536B0000}"/>
    <cellStyle name="Followed Hyperlink 4" xfId="16717" hidden="1" xr:uid="{00000000-0005-0000-0000-0000546B0000}"/>
    <cellStyle name="Followed Hyperlink 4" xfId="16709" hidden="1" xr:uid="{00000000-0005-0000-0000-0000556B0000}"/>
    <cellStyle name="Followed Hyperlink 4" xfId="16720" hidden="1" xr:uid="{00000000-0005-0000-0000-0000566B0000}"/>
    <cellStyle name="Followed Hyperlink 4" xfId="16723" hidden="1" xr:uid="{00000000-0005-0000-0000-0000576B0000}"/>
    <cellStyle name="Followed Hyperlink 4" xfId="16726" hidden="1" xr:uid="{00000000-0005-0000-0000-0000586B0000}"/>
    <cellStyle name="Followed Hyperlink 4" xfId="16728" hidden="1" xr:uid="{00000000-0005-0000-0000-0000596B0000}"/>
    <cellStyle name="Followed Hyperlink 4" xfId="16729" hidden="1" xr:uid="{00000000-0005-0000-0000-00005A6B0000}"/>
    <cellStyle name="Followed Hyperlink 4" xfId="16732" hidden="1" xr:uid="{00000000-0005-0000-0000-00005B6B0000}"/>
    <cellStyle name="Followed Hyperlink 4" xfId="16533" hidden="1" xr:uid="{00000000-0005-0000-0000-00005C6B0000}"/>
    <cellStyle name="Followed Hyperlink 4" xfId="16539" hidden="1" xr:uid="{00000000-0005-0000-0000-00005D6B0000}"/>
    <cellStyle name="Followed Hyperlink 4" xfId="16733" hidden="1" xr:uid="{00000000-0005-0000-0000-00005E6B0000}"/>
    <cellStyle name="Followed Hyperlink 4" xfId="16736" hidden="1" xr:uid="{00000000-0005-0000-0000-00005F6B0000}"/>
    <cellStyle name="Followed Hyperlink 4" xfId="16739" hidden="1" xr:uid="{00000000-0005-0000-0000-0000606B0000}"/>
    <cellStyle name="Followed Hyperlink 4" xfId="16741" hidden="1" xr:uid="{00000000-0005-0000-0000-0000616B0000}"/>
    <cellStyle name="Followed Hyperlink 4" xfId="16742" hidden="1" xr:uid="{00000000-0005-0000-0000-0000626B0000}"/>
    <cellStyle name="Followed Hyperlink 4" xfId="16745" hidden="1" xr:uid="{00000000-0005-0000-0000-0000636B0000}"/>
    <cellStyle name="Followed Hyperlink 4" xfId="16754" hidden="1" xr:uid="{00000000-0005-0000-0000-0000646B0000}"/>
    <cellStyle name="Followed Hyperlink 4" xfId="16746" hidden="1" xr:uid="{00000000-0005-0000-0000-0000656B0000}"/>
    <cellStyle name="Followed Hyperlink 4" xfId="16757" hidden="1" xr:uid="{00000000-0005-0000-0000-0000666B0000}"/>
    <cellStyle name="Followed Hyperlink 4" xfId="16760" hidden="1" xr:uid="{00000000-0005-0000-0000-0000676B0000}"/>
    <cellStyle name="Followed Hyperlink 4" xfId="16763" hidden="1" xr:uid="{00000000-0005-0000-0000-0000686B0000}"/>
    <cellStyle name="Followed Hyperlink 4" xfId="16765" hidden="1" xr:uid="{00000000-0005-0000-0000-0000696B0000}"/>
    <cellStyle name="Followed Hyperlink 4" xfId="16766" hidden="1" xr:uid="{00000000-0005-0000-0000-00006A6B0000}"/>
    <cellStyle name="Followed Hyperlink 4" xfId="16769" hidden="1" xr:uid="{00000000-0005-0000-0000-00006B6B0000}"/>
    <cellStyle name="Followed Hyperlink 4" xfId="16779" hidden="1" xr:uid="{00000000-0005-0000-0000-00006C6B0000}"/>
    <cellStyle name="Followed Hyperlink 4" xfId="16771" hidden="1" xr:uid="{00000000-0005-0000-0000-00006D6B0000}"/>
    <cellStyle name="Followed Hyperlink 4" xfId="16782" hidden="1" xr:uid="{00000000-0005-0000-0000-00006E6B0000}"/>
    <cellStyle name="Followed Hyperlink 4" xfId="16785" hidden="1" xr:uid="{00000000-0005-0000-0000-00006F6B0000}"/>
    <cellStyle name="Followed Hyperlink 4" xfId="16788" hidden="1" xr:uid="{00000000-0005-0000-0000-0000706B0000}"/>
    <cellStyle name="Followed Hyperlink 4" xfId="16790" hidden="1" xr:uid="{00000000-0005-0000-0000-0000716B0000}"/>
    <cellStyle name="Followed Hyperlink 4" xfId="16791" hidden="1" xr:uid="{00000000-0005-0000-0000-0000726B0000}"/>
    <cellStyle name="Followed Hyperlink 4" xfId="16794" hidden="1" xr:uid="{00000000-0005-0000-0000-0000736B0000}"/>
    <cellStyle name="Followed Hyperlink 4" xfId="16803" hidden="1" xr:uid="{00000000-0005-0000-0000-0000746B0000}"/>
    <cellStyle name="Followed Hyperlink 4" xfId="16795" hidden="1" xr:uid="{00000000-0005-0000-0000-0000756B0000}"/>
    <cellStyle name="Followed Hyperlink 4" xfId="16806" hidden="1" xr:uid="{00000000-0005-0000-0000-0000766B0000}"/>
    <cellStyle name="Followed Hyperlink 4" xfId="16809" hidden="1" xr:uid="{00000000-0005-0000-0000-0000776B0000}"/>
    <cellStyle name="Followed Hyperlink 4" xfId="16812" hidden="1" xr:uid="{00000000-0005-0000-0000-0000786B0000}"/>
    <cellStyle name="Followed Hyperlink 4" xfId="16814" hidden="1" xr:uid="{00000000-0005-0000-0000-0000796B0000}"/>
    <cellStyle name="Followed Hyperlink 4" xfId="16815" hidden="1" xr:uid="{00000000-0005-0000-0000-00007A6B0000}"/>
    <cellStyle name="Followed Hyperlink 4" xfId="16818" hidden="1" xr:uid="{00000000-0005-0000-0000-00007B6B0000}"/>
    <cellStyle name="Followed Hyperlink 4" xfId="16543" hidden="1" xr:uid="{00000000-0005-0000-0000-00007C6B0000}"/>
    <cellStyle name="Followed Hyperlink 4" xfId="16598" hidden="1" xr:uid="{00000000-0005-0000-0000-00007D6B0000}"/>
    <cellStyle name="Followed Hyperlink 4" xfId="16819" hidden="1" xr:uid="{00000000-0005-0000-0000-00007E6B0000}"/>
    <cellStyle name="Followed Hyperlink 4" xfId="16822" hidden="1" xr:uid="{00000000-0005-0000-0000-00007F6B0000}"/>
    <cellStyle name="Followed Hyperlink 4" xfId="16825" hidden="1" xr:uid="{00000000-0005-0000-0000-0000806B0000}"/>
    <cellStyle name="Followed Hyperlink 4" xfId="16827" hidden="1" xr:uid="{00000000-0005-0000-0000-0000816B0000}"/>
    <cellStyle name="Followed Hyperlink 4" xfId="16828" hidden="1" xr:uid="{00000000-0005-0000-0000-0000826B0000}"/>
    <cellStyle name="Followed Hyperlink 4" xfId="16831" hidden="1" xr:uid="{00000000-0005-0000-0000-0000836B0000}"/>
    <cellStyle name="Followed Hyperlink 4" xfId="16840" hidden="1" xr:uid="{00000000-0005-0000-0000-0000846B0000}"/>
    <cellStyle name="Followed Hyperlink 4" xfId="16832" hidden="1" xr:uid="{00000000-0005-0000-0000-0000856B0000}"/>
    <cellStyle name="Followed Hyperlink 4" xfId="16843" hidden="1" xr:uid="{00000000-0005-0000-0000-0000866B0000}"/>
    <cellStyle name="Followed Hyperlink 4" xfId="16846" hidden="1" xr:uid="{00000000-0005-0000-0000-0000876B0000}"/>
    <cellStyle name="Followed Hyperlink 4" xfId="16849" hidden="1" xr:uid="{00000000-0005-0000-0000-0000886B0000}"/>
    <cellStyle name="Followed Hyperlink 4" xfId="16851" hidden="1" xr:uid="{00000000-0005-0000-0000-0000896B0000}"/>
    <cellStyle name="Followed Hyperlink 4" xfId="16852" hidden="1" xr:uid="{00000000-0005-0000-0000-00008A6B0000}"/>
    <cellStyle name="Followed Hyperlink 4" xfId="16855" hidden="1" xr:uid="{00000000-0005-0000-0000-00008B6B0000}"/>
    <cellStyle name="Followed Hyperlink 4" xfId="16864" hidden="1" xr:uid="{00000000-0005-0000-0000-00008C6B0000}"/>
    <cellStyle name="Followed Hyperlink 4" xfId="16856" hidden="1" xr:uid="{00000000-0005-0000-0000-00008D6B0000}"/>
    <cellStyle name="Followed Hyperlink 4" xfId="16867" hidden="1" xr:uid="{00000000-0005-0000-0000-00008E6B0000}"/>
    <cellStyle name="Followed Hyperlink 4" xfId="16870" hidden="1" xr:uid="{00000000-0005-0000-0000-00008F6B0000}"/>
    <cellStyle name="Followed Hyperlink 4" xfId="16873" hidden="1" xr:uid="{00000000-0005-0000-0000-0000906B0000}"/>
    <cellStyle name="Followed Hyperlink 4" xfId="16875" hidden="1" xr:uid="{00000000-0005-0000-0000-0000916B0000}"/>
    <cellStyle name="Followed Hyperlink 4" xfId="16876" hidden="1" xr:uid="{00000000-0005-0000-0000-0000926B0000}"/>
    <cellStyle name="Followed Hyperlink 4" xfId="16879" hidden="1" xr:uid="{00000000-0005-0000-0000-0000936B0000}"/>
    <cellStyle name="Followed Hyperlink 4" xfId="16888" hidden="1" xr:uid="{00000000-0005-0000-0000-0000946B0000}"/>
    <cellStyle name="Followed Hyperlink 4" xfId="16880" hidden="1" xr:uid="{00000000-0005-0000-0000-0000956B0000}"/>
    <cellStyle name="Followed Hyperlink 4" xfId="16891" hidden="1" xr:uid="{00000000-0005-0000-0000-0000966B0000}"/>
    <cellStyle name="Followed Hyperlink 4" xfId="16894" hidden="1" xr:uid="{00000000-0005-0000-0000-0000976B0000}"/>
    <cellStyle name="Followed Hyperlink 4" xfId="16897" hidden="1" xr:uid="{00000000-0005-0000-0000-0000986B0000}"/>
    <cellStyle name="Followed Hyperlink 4" xfId="16899" hidden="1" xr:uid="{00000000-0005-0000-0000-0000996B0000}"/>
    <cellStyle name="Followed Hyperlink 4" xfId="16900" hidden="1" xr:uid="{00000000-0005-0000-0000-00009A6B0000}"/>
    <cellStyle name="Followed Hyperlink 4" xfId="16903" hidden="1" xr:uid="{00000000-0005-0000-0000-00009B6B0000}"/>
    <cellStyle name="Followed Hyperlink 4" xfId="563" hidden="1" xr:uid="{00000000-0005-0000-0000-00009C6B0000}"/>
    <cellStyle name="Followed Hyperlink 4" xfId="559" hidden="1" xr:uid="{00000000-0005-0000-0000-00009D6B0000}"/>
    <cellStyle name="Followed Hyperlink 4" xfId="558" hidden="1" xr:uid="{00000000-0005-0000-0000-00009E6B0000}"/>
    <cellStyle name="Followed Hyperlink 4" xfId="564" hidden="1" xr:uid="{00000000-0005-0000-0000-00009F6B0000}"/>
    <cellStyle name="Followed Hyperlink 4" xfId="8790" hidden="1" xr:uid="{00000000-0005-0000-0000-0000A06B0000}"/>
    <cellStyle name="Followed Hyperlink 4" xfId="16904" hidden="1" xr:uid="{00000000-0005-0000-0000-0000A16B0000}"/>
    <cellStyle name="Followed Hyperlink 4" xfId="16905" hidden="1" xr:uid="{00000000-0005-0000-0000-0000A26B0000}"/>
    <cellStyle name="Followed Hyperlink 4" xfId="16908" hidden="1" xr:uid="{00000000-0005-0000-0000-0000A36B0000}"/>
    <cellStyle name="Followed Hyperlink 4" xfId="16917" hidden="1" xr:uid="{00000000-0005-0000-0000-0000A46B0000}"/>
    <cellStyle name="Followed Hyperlink 4" xfId="16909" hidden="1" xr:uid="{00000000-0005-0000-0000-0000A56B0000}"/>
    <cellStyle name="Followed Hyperlink 4" xfId="16920" hidden="1" xr:uid="{00000000-0005-0000-0000-0000A66B0000}"/>
    <cellStyle name="Followed Hyperlink 4" xfId="16923" hidden="1" xr:uid="{00000000-0005-0000-0000-0000A76B0000}"/>
    <cellStyle name="Followed Hyperlink 4" xfId="16926" hidden="1" xr:uid="{00000000-0005-0000-0000-0000A86B0000}"/>
    <cellStyle name="Followed Hyperlink 4" xfId="16928" hidden="1" xr:uid="{00000000-0005-0000-0000-0000A96B0000}"/>
    <cellStyle name="Followed Hyperlink 4" xfId="16929" hidden="1" xr:uid="{00000000-0005-0000-0000-0000AA6B0000}"/>
    <cellStyle name="Followed Hyperlink 4" xfId="16932" hidden="1" xr:uid="{00000000-0005-0000-0000-0000AB6B0000}"/>
    <cellStyle name="Followed Hyperlink 4" xfId="16942" hidden="1" xr:uid="{00000000-0005-0000-0000-0000AC6B0000}"/>
    <cellStyle name="Followed Hyperlink 4" xfId="16934" hidden="1" xr:uid="{00000000-0005-0000-0000-0000AD6B0000}"/>
    <cellStyle name="Followed Hyperlink 4" xfId="16945" hidden="1" xr:uid="{00000000-0005-0000-0000-0000AE6B0000}"/>
    <cellStyle name="Followed Hyperlink 4" xfId="16948" hidden="1" xr:uid="{00000000-0005-0000-0000-0000AF6B0000}"/>
    <cellStyle name="Followed Hyperlink 4" xfId="16951" hidden="1" xr:uid="{00000000-0005-0000-0000-0000B06B0000}"/>
    <cellStyle name="Followed Hyperlink 4" xfId="16953" hidden="1" xr:uid="{00000000-0005-0000-0000-0000B16B0000}"/>
    <cellStyle name="Followed Hyperlink 4" xfId="16954" hidden="1" xr:uid="{00000000-0005-0000-0000-0000B26B0000}"/>
    <cellStyle name="Followed Hyperlink 4" xfId="16957" hidden="1" xr:uid="{00000000-0005-0000-0000-0000B36B0000}"/>
    <cellStyle name="Followed Hyperlink 4" xfId="16966" hidden="1" xr:uid="{00000000-0005-0000-0000-0000B46B0000}"/>
    <cellStyle name="Followed Hyperlink 4" xfId="16958" hidden="1" xr:uid="{00000000-0005-0000-0000-0000B56B0000}"/>
    <cellStyle name="Followed Hyperlink 4" xfId="16969" hidden="1" xr:uid="{00000000-0005-0000-0000-0000B66B0000}"/>
    <cellStyle name="Followed Hyperlink 4" xfId="16972" hidden="1" xr:uid="{00000000-0005-0000-0000-0000B76B0000}"/>
    <cellStyle name="Followed Hyperlink 4" xfId="16975" hidden="1" xr:uid="{00000000-0005-0000-0000-0000B86B0000}"/>
    <cellStyle name="Followed Hyperlink 4" xfId="16977" hidden="1" xr:uid="{00000000-0005-0000-0000-0000B96B0000}"/>
    <cellStyle name="Followed Hyperlink 4" xfId="16978" hidden="1" xr:uid="{00000000-0005-0000-0000-0000BA6B0000}"/>
    <cellStyle name="Followed Hyperlink 4" xfId="16981" hidden="1" xr:uid="{00000000-0005-0000-0000-0000BB6B0000}"/>
    <cellStyle name="Followed Hyperlink 4" xfId="17019" hidden="1" xr:uid="{00000000-0005-0000-0000-0000BC6B0000}"/>
    <cellStyle name="Followed Hyperlink 4" xfId="17011" hidden="1" xr:uid="{00000000-0005-0000-0000-0000BD6B0000}"/>
    <cellStyle name="Followed Hyperlink 4" xfId="17022" hidden="1" xr:uid="{00000000-0005-0000-0000-0000BE6B0000}"/>
    <cellStyle name="Followed Hyperlink 4" xfId="17025" hidden="1" xr:uid="{00000000-0005-0000-0000-0000BF6B0000}"/>
    <cellStyle name="Followed Hyperlink 4" xfId="17028" hidden="1" xr:uid="{00000000-0005-0000-0000-0000C06B0000}"/>
    <cellStyle name="Followed Hyperlink 4" xfId="17030" hidden="1" xr:uid="{00000000-0005-0000-0000-0000C16B0000}"/>
    <cellStyle name="Followed Hyperlink 4" xfId="17031" hidden="1" xr:uid="{00000000-0005-0000-0000-0000C26B0000}"/>
    <cellStyle name="Followed Hyperlink 4" xfId="17034" hidden="1" xr:uid="{00000000-0005-0000-0000-0000C36B0000}"/>
    <cellStyle name="Followed Hyperlink 4" xfId="17043" hidden="1" xr:uid="{00000000-0005-0000-0000-0000C46B0000}"/>
    <cellStyle name="Followed Hyperlink 4" xfId="17035" hidden="1" xr:uid="{00000000-0005-0000-0000-0000C56B0000}"/>
    <cellStyle name="Followed Hyperlink 4" xfId="17046" hidden="1" xr:uid="{00000000-0005-0000-0000-0000C66B0000}"/>
    <cellStyle name="Followed Hyperlink 4" xfId="17049" hidden="1" xr:uid="{00000000-0005-0000-0000-0000C76B0000}"/>
    <cellStyle name="Followed Hyperlink 4" xfId="17052" hidden="1" xr:uid="{00000000-0005-0000-0000-0000C86B0000}"/>
    <cellStyle name="Followed Hyperlink 4" xfId="17054" hidden="1" xr:uid="{00000000-0005-0000-0000-0000C96B0000}"/>
    <cellStyle name="Followed Hyperlink 4" xfId="17055" hidden="1" xr:uid="{00000000-0005-0000-0000-0000CA6B0000}"/>
    <cellStyle name="Followed Hyperlink 4" xfId="17058" hidden="1" xr:uid="{00000000-0005-0000-0000-0000CB6B0000}"/>
    <cellStyle name="Followed Hyperlink 4" xfId="17069" hidden="1" xr:uid="{00000000-0005-0000-0000-0000CC6B0000}"/>
    <cellStyle name="Followed Hyperlink 4" xfId="17061" hidden="1" xr:uid="{00000000-0005-0000-0000-0000CD6B0000}"/>
    <cellStyle name="Followed Hyperlink 4" xfId="17072" hidden="1" xr:uid="{00000000-0005-0000-0000-0000CE6B0000}"/>
    <cellStyle name="Followed Hyperlink 4" xfId="17075" hidden="1" xr:uid="{00000000-0005-0000-0000-0000CF6B0000}"/>
    <cellStyle name="Followed Hyperlink 4" xfId="17078" hidden="1" xr:uid="{00000000-0005-0000-0000-0000D06B0000}"/>
    <cellStyle name="Followed Hyperlink 4" xfId="17080" hidden="1" xr:uid="{00000000-0005-0000-0000-0000D16B0000}"/>
    <cellStyle name="Followed Hyperlink 4" xfId="17081" hidden="1" xr:uid="{00000000-0005-0000-0000-0000D26B0000}"/>
    <cellStyle name="Followed Hyperlink 4" xfId="17084" hidden="1" xr:uid="{00000000-0005-0000-0000-0000D36B0000}"/>
    <cellStyle name="Followed Hyperlink 4" xfId="17093" hidden="1" xr:uid="{00000000-0005-0000-0000-0000D46B0000}"/>
    <cellStyle name="Followed Hyperlink 4" xfId="17085" hidden="1" xr:uid="{00000000-0005-0000-0000-0000D56B0000}"/>
    <cellStyle name="Followed Hyperlink 4" xfId="17096" hidden="1" xr:uid="{00000000-0005-0000-0000-0000D66B0000}"/>
    <cellStyle name="Followed Hyperlink 4" xfId="17099" hidden="1" xr:uid="{00000000-0005-0000-0000-0000D76B0000}"/>
    <cellStyle name="Followed Hyperlink 4" xfId="17102" hidden="1" xr:uid="{00000000-0005-0000-0000-0000D86B0000}"/>
    <cellStyle name="Followed Hyperlink 4" xfId="17104" hidden="1" xr:uid="{00000000-0005-0000-0000-0000D96B0000}"/>
    <cellStyle name="Followed Hyperlink 4" xfId="17105" hidden="1" xr:uid="{00000000-0005-0000-0000-0000DA6B0000}"/>
    <cellStyle name="Followed Hyperlink 4" xfId="17108" hidden="1" xr:uid="{00000000-0005-0000-0000-0000DB6B0000}"/>
    <cellStyle name="Followed Hyperlink 4" xfId="17146" hidden="1" xr:uid="{00000000-0005-0000-0000-0000DC6B0000}"/>
    <cellStyle name="Followed Hyperlink 4" xfId="17138" hidden="1" xr:uid="{00000000-0005-0000-0000-0000DD6B0000}"/>
    <cellStyle name="Followed Hyperlink 4" xfId="17149" hidden="1" xr:uid="{00000000-0005-0000-0000-0000DE6B0000}"/>
    <cellStyle name="Followed Hyperlink 4" xfId="17152" hidden="1" xr:uid="{00000000-0005-0000-0000-0000DF6B0000}"/>
    <cellStyle name="Followed Hyperlink 4" xfId="17155" hidden="1" xr:uid="{00000000-0005-0000-0000-0000E06B0000}"/>
    <cellStyle name="Followed Hyperlink 4" xfId="17157" hidden="1" xr:uid="{00000000-0005-0000-0000-0000E16B0000}"/>
    <cellStyle name="Followed Hyperlink 4" xfId="17158" hidden="1" xr:uid="{00000000-0005-0000-0000-0000E26B0000}"/>
    <cellStyle name="Followed Hyperlink 4" xfId="17161" hidden="1" xr:uid="{00000000-0005-0000-0000-0000E36B0000}"/>
    <cellStyle name="Followed Hyperlink 4" xfId="17170" hidden="1" xr:uid="{00000000-0005-0000-0000-0000E46B0000}"/>
    <cellStyle name="Followed Hyperlink 4" xfId="17162" hidden="1" xr:uid="{00000000-0005-0000-0000-0000E56B0000}"/>
    <cellStyle name="Followed Hyperlink 4" xfId="17173" hidden="1" xr:uid="{00000000-0005-0000-0000-0000E66B0000}"/>
    <cellStyle name="Followed Hyperlink 4" xfId="17176" hidden="1" xr:uid="{00000000-0005-0000-0000-0000E76B0000}"/>
    <cellStyle name="Followed Hyperlink 4" xfId="17179" hidden="1" xr:uid="{00000000-0005-0000-0000-0000E86B0000}"/>
    <cellStyle name="Followed Hyperlink 4" xfId="17181" hidden="1" xr:uid="{00000000-0005-0000-0000-0000E96B0000}"/>
    <cellStyle name="Followed Hyperlink 4" xfId="17182" hidden="1" xr:uid="{00000000-0005-0000-0000-0000EA6B0000}"/>
    <cellStyle name="Followed Hyperlink 4" xfId="17185" hidden="1" xr:uid="{00000000-0005-0000-0000-0000EB6B0000}"/>
    <cellStyle name="Followed Hyperlink 4" xfId="17196" hidden="1" xr:uid="{00000000-0005-0000-0000-0000EC6B0000}"/>
    <cellStyle name="Followed Hyperlink 4" xfId="17188" hidden="1" xr:uid="{00000000-0005-0000-0000-0000ED6B0000}"/>
    <cellStyle name="Followed Hyperlink 4" xfId="17199" hidden="1" xr:uid="{00000000-0005-0000-0000-0000EE6B0000}"/>
    <cellStyle name="Followed Hyperlink 4" xfId="17202" hidden="1" xr:uid="{00000000-0005-0000-0000-0000EF6B0000}"/>
    <cellStyle name="Followed Hyperlink 4" xfId="17205" hidden="1" xr:uid="{00000000-0005-0000-0000-0000F06B0000}"/>
    <cellStyle name="Followed Hyperlink 4" xfId="17207" hidden="1" xr:uid="{00000000-0005-0000-0000-0000F16B0000}"/>
    <cellStyle name="Followed Hyperlink 4" xfId="17208" hidden="1" xr:uid="{00000000-0005-0000-0000-0000F26B0000}"/>
    <cellStyle name="Followed Hyperlink 4" xfId="17211" hidden="1" xr:uid="{00000000-0005-0000-0000-0000F36B0000}"/>
    <cellStyle name="Followed Hyperlink 4" xfId="17220" hidden="1" xr:uid="{00000000-0005-0000-0000-0000F46B0000}"/>
    <cellStyle name="Followed Hyperlink 4" xfId="17212" hidden="1" xr:uid="{00000000-0005-0000-0000-0000F56B0000}"/>
    <cellStyle name="Followed Hyperlink 4" xfId="17223" hidden="1" xr:uid="{00000000-0005-0000-0000-0000F66B0000}"/>
    <cellStyle name="Followed Hyperlink 4" xfId="17226" hidden="1" xr:uid="{00000000-0005-0000-0000-0000F76B0000}"/>
    <cellStyle name="Followed Hyperlink 4" xfId="17229" hidden="1" xr:uid="{00000000-0005-0000-0000-0000F86B0000}"/>
    <cellStyle name="Followed Hyperlink 4" xfId="17231" hidden="1" xr:uid="{00000000-0005-0000-0000-0000F96B0000}"/>
    <cellStyle name="Followed Hyperlink 4" xfId="17232" hidden="1" xr:uid="{00000000-0005-0000-0000-0000FA6B0000}"/>
    <cellStyle name="Followed Hyperlink 4" xfId="17235" hidden="1" xr:uid="{00000000-0005-0000-0000-0000FB6B0000}"/>
    <cellStyle name="Followed Hyperlink 4" xfId="17273" hidden="1" xr:uid="{00000000-0005-0000-0000-0000FC6B0000}"/>
    <cellStyle name="Followed Hyperlink 4" xfId="17265" hidden="1" xr:uid="{00000000-0005-0000-0000-0000FD6B0000}"/>
    <cellStyle name="Followed Hyperlink 4" xfId="17276" hidden="1" xr:uid="{00000000-0005-0000-0000-0000FE6B0000}"/>
    <cellStyle name="Followed Hyperlink 4" xfId="17279" hidden="1" xr:uid="{00000000-0005-0000-0000-0000FF6B0000}"/>
    <cellStyle name="Followed Hyperlink 4" xfId="17282" hidden="1" xr:uid="{00000000-0005-0000-0000-0000006C0000}"/>
    <cellStyle name="Followed Hyperlink 4" xfId="17284" hidden="1" xr:uid="{00000000-0005-0000-0000-0000016C0000}"/>
    <cellStyle name="Followed Hyperlink 4" xfId="17285" hidden="1" xr:uid="{00000000-0005-0000-0000-0000026C0000}"/>
    <cellStyle name="Followed Hyperlink 4" xfId="17288" hidden="1" xr:uid="{00000000-0005-0000-0000-0000036C0000}"/>
    <cellStyle name="Followed Hyperlink 4" xfId="17297" hidden="1" xr:uid="{00000000-0005-0000-0000-0000046C0000}"/>
    <cellStyle name="Followed Hyperlink 4" xfId="17289" hidden="1" xr:uid="{00000000-0005-0000-0000-0000056C0000}"/>
    <cellStyle name="Followed Hyperlink 4" xfId="17300" hidden="1" xr:uid="{00000000-0005-0000-0000-0000066C0000}"/>
    <cellStyle name="Followed Hyperlink 4" xfId="17303" hidden="1" xr:uid="{00000000-0005-0000-0000-0000076C0000}"/>
    <cellStyle name="Followed Hyperlink 4" xfId="17306" hidden="1" xr:uid="{00000000-0005-0000-0000-0000086C0000}"/>
    <cellStyle name="Followed Hyperlink 4" xfId="17308" hidden="1" xr:uid="{00000000-0005-0000-0000-0000096C0000}"/>
    <cellStyle name="Followed Hyperlink 4" xfId="17309" hidden="1" xr:uid="{00000000-0005-0000-0000-00000A6C0000}"/>
    <cellStyle name="Followed Hyperlink 4" xfId="17312" hidden="1" xr:uid="{00000000-0005-0000-0000-00000B6C0000}"/>
    <cellStyle name="Followed Hyperlink 4" xfId="17323" hidden="1" xr:uid="{00000000-0005-0000-0000-00000C6C0000}"/>
    <cellStyle name="Followed Hyperlink 4" xfId="17315" hidden="1" xr:uid="{00000000-0005-0000-0000-00000D6C0000}"/>
    <cellStyle name="Followed Hyperlink 4" xfId="17326" hidden="1" xr:uid="{00000000-0005-0000-0000-00000E6C0000}"/>
    <cellStyle name="Followed Hyperlink 4" xfId="17329" hidden="1" xr:uid="{00000000-0005-0000-0000-00000F6C0000}"/>
    <cellStyle name="Followed Hyperlink 4" xfId="17332" hidden="1" xr:uid="{00000000-0005-0000-0000-0000106C0000}"/>
    <cellStyle name="Followed Hyperlink 4" xfId="17334" hidden="1" xr:uid="{00000000-0005-0000-0000-0000116C0000}"/>
    <cellStyle name="Followed Hyperlink 4" xfId="17335" hidden="1" xr:uid="{00000000-0005-0000-0000-0000126C0000}"/>
    <cellStyle name="Followed Hyperlink 4" xfId="17338" hidden="1" xr:uid="{00000000-0005-0000-0000-0000136C0000}"/>
    <cellStyle name="Followed Hyperlink 4" xfId="17347" hidden="1" xr:uid="{00000000-0005-0000-0000-0000146C0000}"/>
    <cellStyle name="Followed Hyperlink 4" xfId="17339" hidden="1" xr:uid="{00000000-0005-0000-0000-0000156C0000}"/>
    <cellStyle name="Followed Hyperlink 4" xfId="17350" hidden="1" xr:uid="{00000000-0005-0000-0000-0000166C0000}"/>
    <cellStyle name="Followed Hyperlink 4" xfId="17353" hidden="1" xr:uid="{00000000-0005-0000-0000-0000176C0000}"/>
    <cellStyle name="Followed Hyperlink 4" xfId="17356" hidden="1" xr:uid="{00000000-0005-0000-0000-0000186C0000}"/>
    <cellStyle name="Followed Hyperlink 4" xfId="17358" hidden="1" xr:uid="{00000000-0005-0000-0000-0000196C0000}"/>
    <cellStyle name="Followed Hyperlink 4" xfId="17359" hidden="1" xr:uid="{00000000-0005-0000-0000-00001A6C0000}"/>
    <cellStyle name="Followed Hyperlink 4" xfId="17362" hidden="1" xr:uid="{00000000-0005-0000-0000-00001B6C0000}"/>
    <cellStyle name="Followed Hyperlink 4" xfId="17245" hidden="1" xr:uid="{00000000-0005-0000-0000-00001C6C0000}"/>
    <cellStyle name="Followed Hyperlink 4" xfId="17239" hidden="1" xr:uid="{00000000-0005-0000-0000-00001D6C0000}"/>
    <cellStyle name="Followed Hyperlink 4" xfId="17363" hidden="1" xr:uid="{00000000-0005-0000-0000-00001E6C0000}"/>
    <cellStyle name="Followed Hyperlink 4" xfId="17366" hidden="1" xr:uid="{00000000-0005-0000-0000-00001F6C0000}"/>
    <cellStyle name="Followed Hyperlink 4" xfId="17369" hidden="1" xr:uid="{00000000-0005-0000-0000-0000206C0000}"/>
    <cellStyle name="Followed Hyperlink 4" xfId="17371" hidden="1" xr:uid="{00000000-0005-0000-0000-0000216C0000}"/>
    <cellStyle name="Followed Hyperlink 4" xfId="17372" hidden="1" xr:uid="{00000000-0005-0000-0000-0000226C0000}"/>
    <cellStyle name="Followed Hyperlink 4" xfId="17375" hidden="1" xr:uid="{00000000-0005-0000-0000-0000236C0000}"/>
    <cellStyle name="Followed Hyperlink 4" xfId="17384" hidden="1" xr:uid="{00000000-0005-0000-0000-0000246C0000}"/>
    <cellStyle name="Followed Hyperlink 4" xfId="17376" hidden="1" xr:uid="{00000000-0005-0000-0000-0000256C0000}"/>
    <cellStyle name="Followed Hyperlink 4" xfId="17387" hidden="1" xr:uid="{00000000-0005-0000-0000-0000266C0000}"/>
    <cellStyle name="Followed Hyperlink 4" xfId="17390" hidden="1" xr:uid="{00000000-0005-0000-0000-0000276C0000}"/>
    <cellStyle name="Followed Hyperlink 4" xfId="17393" hidden="1" xr:uid="{00000000-0005-0000-0000-0000286C0000}"/>
    <cellStyle name="Followed Hyperlink 4" xfId="17395" hidden="1" xr:uid="{00000000-0005-0000-0000-0000296C0000}"/>
    <cellStyle name="Followed Hyperlink 4" xfId="17396" hidden="1" xr:uid="{00000000-0005-0000-0000-00002A6C0000}"/>
    <cellStyle name="Followed Hyperlink 4" xfId="17399" hidden="1" xr:uid="{00000000-0005-0000-0000-00002B6C0000}"/>
    <cellStyle name="Followed Hyperlink 4" xfId="17409" hidden="1" xr:uid="{00000000-0005-0000-0000-00002C6C0000}"/>
    <cellStyle name="Followed Hyperlink 4" xfId="17401" hidden="1" xr:uid="{00000000-0005-0000-0000-00002D6C0000}"/>
    <cellStyle name="Followed Hyperlink 4" xfId="17412" hidden="1" xr:uid="{00000000-0005-0000-0000-00002E6C0000}"/>
    <cellStyle name="Followed Hyperlink 4" xfId="17415" hidden="1" xr:uid="{00000000-0005-0000-0000-00002F6C0000}"/>
    <cellStyle name="Followed Hyperlink 4" xfId="17418" hidden="1" xr:uid="{00000000-0005-0000-0000-0000306C0000}"/>
    <cellStyle name="Followed Hyperlink 4" xfId="17420" hidden="1" xr:uid="{00000000-0005-0000-0000-0000316C0000}"/>
    <cellStyle name="Followed Hyperlink 4" xfId="17421" hidden="1" xr:uid="{00000000-0005-0000-0000-0000326C0000}"/>
    <cellStyle name="Followed Hyperlink 4" xfId="17424" hidden="1" xr:uid="{00000000-0005-0000-0000-0000336C0000}"/>
    <cellStyle name="Followed Hyperlink 4" xfId="17433" hidden="1" xr:uid="{00000000-0005-0000-0000-0000346C0000}"/>
    <cellStyle name="Followed Hyperlink 4" xfId="17425" hidden="1" xr:uid="{00000000-0005-0000-0000-0000356C0000}"/>
    <cellStyle name="Followed Hyperlink 4" xfId="17436" hidden="1" xr:uid="{00000000-0005-0000-0000-0000366C0000}"/>
    <cellStyle name="Followed Hyperlink 4" xfId="17439" hidden="1" xr:uid="{00000000-0005-0000-0000-0000376C0000}"/>
    <cellStyle name="Followed Hyperlink 4" xfId="17442" hidden="1" xr:uid="{00000000-0005-0000-0000-0000386C0000}"/>
    <cellStyle name="Followed Hyperlink 4" xfId="17444" hidden="1" xr:uid="{00000000-0005-0000-0000-0000396C0000}"/>
    <cellStyle name="Followed Hyperlink 4" xfId="17445" hidden="1" xr:uid="{00000000-0005-0000-0000-00003A6C0000}"/>
    <cellStyle name="Followed Hyperlink 4" xfId="17448" hidden="1" xr:uid="{00000000-0005-0000-0000-00003B6C0000}"/>
    <cellStyle name="Followed Hyperlink 4" xfId="17249" hidden="1" xr:uid="{00000000-0005-0000-0000-00003C6C0000}"/>
    <cellStyle name="Followed Hyperlink 4" xfId="17255" hidden="1" xr:uid="{00000000-0005-0000-0000-00003D6C0000}"/>
    <cellStyle name="Followed Hyperlink 4" xfId="17449" hidden="1" xr:uid="{00000000-0005-0000-0000-00003E6C0000}"/>
    <cellStyle name="Followed Hyperlink 4" xfId="17452" hidden="1" xr:uid="{00000000-0005-0000-0000-00003F6C0000}"/>
    <cellStyle name="Followed Hyperlink 4" xfId="17455" hidden="1" xr:uid="{00000000-0005-0000-0000-0000406C0000}"/>
    <cellStyle name="Followed Hyperlink 4" xfId="17457" hidden="1" xr:uid="{00000000-0005-0000-0000-0000416C0000}"/>
    <cellStyle name="Followed Hyperlink 4" xfId="17458" hidden="1" xr:uid="{00000000-0005-0000-0000-0000426C0000}"/>
    <cellStyle name="Followed Hyperlink 4" xfId="17461" hidden="1" xr:uid="{00000000-0005-0000-0000-0000436C0000}"/>
    <cellStyle name="Followed Hyperlink 4" xfId="17470" hidden="1" xr:uid="{00000000-0005-0000-0000-0000446C0000}"/>
    <cellStyle name="Followed Hyperlink 4" xfId="17462" hidden="1" xr:uid="{00000000-0005-0000-0000-0000456C0000}"/>
    <cellStyle name="Followed Hyperlink 4" xfId="17473" hidden="1" xr:uid="{00000000-0005-0000-0000-0000466C0000}"/>
    <cellStyle name="Followed Hyperlink 4" xfId="17476" hidden="1" xr:uid="{00000000-0005-0000-0000-0000476C0000}"/>
    <cellStyle name="Followed Hyperlink 4" xfId="17479" hidden="1" xr:uid="{00000000-0005-0000-0000-0000486C0000}"/>
    <cellStyle name="Followed Hyperlink 4" xfId="17481" hidden="1" xr:uid="{00000000-0005-0000-0000-0000496C0000}"/>
    <cellStyle name="Followed Hyperlink 4" xfId="17482" hidden="1" xr:uid="{00000000-0005-0000-0000-00004A6C0000}"/>
    <cellStyle name="Followed Hyperlink 4" xfId="17485" hidden="1" xr:uid="{00000000-0005-0000-0000-00004B6C0000}"/>
    <cellStyle name="Followed Hyperlink 4" xfId="17495" hidden="1" xr:uid="{00000000-0005-0000-0000-00004C6C0000}"/>
    <cellStyle name="Followed Hyperlink 4" xfId="17487" hidden="1" xr:uid="{00000000-0005-0000-0000-00004D6C0000}"/>
    <cellStyle name="Followed Hyperlink 4" xfId="17498" hidden="1" xr:uid="{00000000-0005-0000-0000-00004E6C0000}"/>
    <cellStyle name="Followed Hyperlink 4" xfId="17501" hidden="1" xr:uid="{00000000-0005-0000-0000-00004F6C0000}"/>
    <cellStyle name="Followed Hyperlink 4" xfId="17504" hidden="1" xr:uid="{00000000-0005-0000-0000-0000506C0000}"/>
    <cellStyle name="Followed Hyperlink 4" xfId="17506" hidden="1" xr:uid="{00000000-0005-0000-0000-0000516C0000}"/>
    <cellStyle name="Followed Hyperlink 4" xfId="17507" hidden="1" xr:uid="{00000000-0005-0000-0000-0000526C0000}"/>
    <cellStyle name="Followed Hyperlink 4" xfId="17510" hidden="1" xr:uid="{00000000-0005-0000-0000-0000536C0000}"/>
    <cellStyle name="Followed Hyperlink 4" xfId="17519" hidden="1" xr:uid="{00000000-0005-0000-0000-0000546C0000}"/>
    <cellStyle name="Followed Hyperlink 4" xfId="17511" hidden="1" xr:uid="{00000000-0005-0000-0000-0000556C0000}"/>
    <cellStyle name="Followed Hyperlink 4" xfId="17522" hidden="1" xr:uid="{00000000-0005-0000-0000-0000566C0000}"/>
    <cellStyle name="Followed Hyperlink 4" xfId="17525" hidden="1" xr:uid="{00000000-0005-0000-0000-0000576C0000}"/>
    <cellStyle name="Followed Hyperlink 4" xfId="17528" hidden="1" xr:uid="{00000000-0005-0000-0000-0000586C0000}"/>
    <cellStyle name="Followed Hyperlink 4" xfId="17530" hidden="1" xr:uid="{00000000-0005-0000-0000-0000596C0000}"/>
    <cellStyle name="Followed Hyperlink 4" xfId="17531" hidden="1" xr:uid="{00000000-0005-0000-0000-00005A6C0000}"/>
    <cellStyle name="Followed Hyperlink 4" xfId="17534" hidden="1" xr:uid="{00000000-0005-0000-0000-00005B6C0000}"/>
    <cellStyle name="Followed Hyperlink 4" xfId="17259" hidden="1" xr:uid="{00000000-0005-0000-0000-00005C6C0000}"/>
    <cellStyle name="Followed Hyperlink 4" xfId="17314" hidden="1" xr:uid="{00000000-0005-0000-0000-00005D6C0000}"/>
    <cellStyle name="Followed Hyperlink 4" xfId="17535" hidden="1" xr:uid="{00000000-0005-0000-0000-00005E6C0000}"/>
    <cellStyle name="Followed Hyperlink 4" xfId="17538" hidden="1" xr:uid="{00000000-0005-0000-0000-00005F6C0000}"/>
    <cellStyle name="Followed Hyperlink 4" xfId="17541" hidden="1" xr:uid="{00000000-0005-0000-0000-0000606C0000}"/>
    <cellStyle name="Followed Hyperlink 4" xfId="17543" hidden="1" xr:uid="{00000000-0005-0000-0000-0000616C0000}"/>
    <cellStyle name="Followed Hyperlink 4" xfId="17544" hidden="1" xr:uid="{00000000-0005-0000-0000-0000626C0000}"/>
    <cellStyle name="Followed Hyperlink 4" xfId="17547" hidden="1" xr:uid="{00000000-0005-0000-0000-0000636C0000}"/>
    <cellStyle name="Followed Hyperlink 4" xfId="17556" hidden="1" xr:uid="{00000000-0005-0000-0000-0000646C0000}"/>
    <cellStyle name="Followed Hyperlink 4" xfId="17548" hidden="1" xr:uid="{00000000-0005-0000-0000-0000656C0000}"/>
    <cellStyle name="Followed Hyperlink 4" xfId="17559" hidden="1" xr:uid="{00000000-0005-0000-0000-0000666C0000}"/>
    <cellStyle name="Followed Hyperlink 4" xfId="17562" hidden="1" xr:uid="{00000000-0005-0000-0000-0000676C0000}"/>
    <cellStyle name="Followed Hyperlink 4" xfId="17565" hidden="1" xr:uid="{00000000-0005-0000-0000-0000686C0000}"/>
    <cellStyle name="Followed Hyperlink 4" xfId="17567" hidden="1" xr:uid="{00000000-0005-0000-0000-0000696C0000}"/>
    <cellStyle name="Followed Hyperlink 4" xfId="17568" hidden="1" xr:uid="{00000000-0005-0000-0000-00006A6C0000}"/>
    <cellStyle name="Followed Hyperlink 4" xfId="17571" hidden="1" xr:uid="{00000000-0005-0000-0000-00006B6C0000}"/>
    <cellStyle name="Followed Hyperlink 4" xfId="17580" hidden="1" xr:uid="{00000000-0005-0000-0000-00006C6C0000}"/>
    <cellStyle name="Followed Hyperlink 4" xfId="17572" hidden="1" xr:uid="{00000000-0005-0000-0000-00006D6C0000}"/>
    <cellStyle name="Followed Hyperlink 4" xfId="17583" hidden="1" xr:uid="{00000000-0005-0000-0000-00006E6C0000}"/>
    <cellStyle name="Followed Hyperlink 4" xfId="17586" hidden="1" xr:uid="{00000000-0005-0000-0000-00006F6C0000}"/>
    <cellStyle name="Followed Hyperlink 4" xfId="17589" hidden="1" xr:uid="{00000000-0005-0000-0000-0000706C0000}"/>
    <cellStyle name="Followed Hyperlink 4" xfId="17591" hidden="1" xr:uid="{00000000-0005-0000-0000-0000716C0000}"/>
    <cellStyle name="Followed Hyperlink 4" xfId="17592" hidden="1" xr:uid="{00000000-0005-0000-0000-0000726C0000}"/>
    <cellStyle name="Followed Hyperlink 4" xfId="17595" hidden="1" xr:uid="{00000000-0005-0000-0000-0000736C0000}"/>
    <cellStyle name="Followed Hyperlink 4" xfId="17604" hidden="1" xr:uid="{00000000-0005-0000-0000-0000746C0000}"/>
    <cellStyle name="Followed Hyperlink 4" xfId="17596" hidden="1" xr:uid="{00000000-0005-0000-0000-0000756C0000}"/>
    <cellStyle name="Followed Hyperlink 4" xfId="17607" hidden="1" xr:uid="{00000000-0005-0000-0000-0000766C0000}"/>
    <cellStyle name="Followed Hyperlink 4" xfId="17610" hidden="1" xr:uid="{00000000-0005-0000-0000-0000776C0000}"/>
    <cellStyle name="Followed Hyperlink 4" xfId="17613" hidden="1" xr:uid="{00000000-0005-0000-0000-0000786C0000}"/>
    <cellStyle name="Followed Hyperlink 4" xfId="17615" hidden="1" xr:uid="{00000000-0005-0000-0000-0000796C0000}"/>
    <cellStyle name="Followed Hyperlink 4" xfId="17616" hidden="1" xr:uid="{00000000-0005-0000-0000-00007A6C0000}"/>
    <cellStyle name="Followed Hyperlink 4" xfId="17619" hidden="1" xr:uid="{00000000-0005-0000-0000-00007B6C0000}"/>
    <cellStyle name="Followed Hyperlink 4" xfId="17118" hidden="1" xr:uid="{00000000-0005-0000-0000-00007C6C0000}"/>
    <cellStyle name="Followed Hyperlink 4" xfId="17112" hidden="1" xr:uid="{00000000-0005-0000-0000-00007D6C0000}"/>
    <cellStyle name="Followed Hyperlink 4" xfId="17620" hidden="1" xr:uid="{00000000-0005-0000-0000-00007E6C0000}"/>
    <cellStyle name="Followed Hyperlink 4" xfId="17623" hidden="1" xr:uid="{00000000-0005-0000-0000-00007F6C0000}"/>
    <cellStyle name="Followed Hyperlink 4" xfId="17626" hidden="1" xr:uid="{00000000-0005-0000-0000-0000806C0000}"/>
    <cellStyle name="Followed Hyperlink 4" xfId="17628" hidden="1" xr:uid="{00000000-0005-0000-0000-0000816C0000}"/>
    <cellStyle name="Followed Hyperlink 4" xfId="17629" hidden="1" xr:uid="{00000000-0005-0000-0000-0000826C0000}"/>
    <cellStyle name="Followed Hyperlink 4" xfId="17632" hidden="1" xr:uid="{00000000-0005-0000-0000-0000836C0000}"/>
    <cellStyle name="Followed Hyperlink 4" xfId="17641" hidden="1" xr:uid="{00000000-0005-0000-0000-0000846C0000}"/>
    <cellStyle name="Followed Hyperlink 4" xfId="17633" hidden="1" xr:uid="{00000000-0005-0000-0000-0000856C0000}"/>
    <cellStyle name="Followed Hyperlink 4" xfId="17644" hidden="1" xr:uid="{00000000-0005-0000-0000-0000866C0000}"/>
    <cellStyle name="Followed Hyperlink 4" xfId="17647" hidden="1" xr:uid="{00000000-0005-0000-0000-0000876C0000}"/>
    <cellStyle name="Followed Hyperlink 4" xfId="17650" hidden="1" xr:uid="{00000000-0005-0000-0000-0000886C0000}"/>
    <cellStyle name="Followed Hyperlink 4" xfId="17652" hidden="1" xr:uid="{00000000-0005-0000-0000-0000896C0000}"/>
    <cellStyle name="Followed Hyperlink 4" xfId="17653" hidden="1" xr:uid="{00000000-0005-0000-0000-00008A6C0000}"/>
    <cellStyle name="Followed Hyperlink 4" xfId="17656" hidden="1" xr:uid="{00000000-0005-0000-0000-00008B6C0000}"/>
    <cellStyle name="Followed Hyperlink 4" xfId="17666" hidden="1" xr:uid="{00000000-0005-0000-0000-00008C6C0000}"/>
    <cellStyle name="Followed Hyperlink 4" xfId="17658" hidden="1" xr:uid="{00000000-0005-0000-0000-00008D6C0000}"/>
    <cellStyle name="Followed Hyperlink 4" xfId="17669" hidden="1" xr:uid="{00000000-0005-0000-0000-00008E6C0000}"/>
    <cellStyle name="Followed Hyperlink 4" xfId="17672" hidden="1" xr:uid="{00000000-0005-0000-0000-00008F6C0000}"/>
    <cellStyle name="Followed Hyperlink 4" xfId="17675" hidden="1" xr:uid="{00000000-0005-0000-0000-0000906C0000}"/>
    <cellStyle name="Followed Hyperlink 4" xfId="17677" hidden="1" xr:uid="{00000000-0005-0000-0000-0000916C0000}"/>
    <cellStyle name="Followed Hyperlink 4" xfId="17678" hidden="1" xr:uid="{00000000-0005-0000-0000-0000926C0000}"/>
    <cellStyle name="Followed Hyperlink 4" xfId="17681" hidden="1" xr:uid="{00000000-0005-0000-0000-0000936C0000}"/>
    <cellStyle name="Followed Hyperlink 4" xfId="17690" hidden="1" xr:uid="{00000000-0005-0000-0000-0000946C0000}"/>
    <cellStyle name="Followed Hyperlink 4" xfId="17682" hidden="1" xr:uid="{00000000-0005-0000-0000-0000956C0000}"/>
    <cellStyle name="Followed Hyperlink 4" xfId="17693" hidden="1" xr:uid="{00000000-0005-0000-0000-0000966C0000}"/>
    <cellStyle name="Followed Hyperlink 4" xfId="17696" hidden="1" xr:uid="{00000000-0005-0000-0000-0000976C0000}"/>
    <cellStyle name="Followed Hyperlink 4" xfId="17699" hidden="1" xr:uid="{00000000-0005-0000-0000-0000986C0000}"/>
    <cellStyle name="Followed Hyperlink 4" xfId="17701" hidden="1" xr:uid="{00000000-0005-0000-0000-0000996C0000}"/>
    <cellStyle name="Followed Hyperlink 4" xfId="17702" hidden="1" xr:uid="{00000000-0005-0000-0000-00009A6C0000}"/>
    <cellStyle name="Followed Hyperlink 4" xfId="17705" hidden="1" xr:uid="{00000000-0005-0000-0000-00009B6C0000}"/>
    <cellStyle name="Followed Hyperlink 4" xfId="17743" hidden="1" xr:uid="{00000000-0005-0000-0000-00009C6C0000}"/>
    <cellStyle name="Followed Hyperlink 4" xfId="17735" hidden="1" xr:uid="{00000000-0005-0000-0000-00009D6C0000}"/>
    <cellStyle name="Followed Hyperlink 4" xfId="17746" hidden="1" xr:uid="{00000000-0005-0000-0000-00009E6C0000}"/>
    <cellStyle name="Followed Hyperlink 4" xfId="17749" hidden="1" xr:uid="{00000000-0005-0000-0000-00009F6C0000}"/>
    <cellStyle name="Followed Hyperlink 4" xfId="17752" hidden="1" xr:uid="{00000000-0005-0000-0000-0000A06C0000}"/>
    <cellStyle name="Followed Hyperlink 4" xfId="17754" hidden="1" xr:uid="{00000000-0005-0000-0000-0000A16C0000}"/>
    <cellStyle name="Followed Hyperlink 4" xfId="17755" hidden="1" xr:uid="{00000000-0005-0000-0000-0000A26C0000}"/>
    <cellStyle name="Followed Hyperlink 4" xfId="17758" hidden="1" xr:uid="{00000000-0005-0000-0000-0000A36C0000}"/>
    <cellStyle name="Followed Hyperlink 4" xfId="17767" hidden="1" xr:uid="{00000000-0005-0000-0000-0000A46C0000}"/>
    <cellStyle name="Followed Hyperlink 4" xfId="17759" hidden="1" xr:uid="{00000000-0005-0000-0000-0000A56C0000}"/>
    <cellStyle name="Followed Hyperlink 4" xfId="17770" hidden="1" xr:uid="{00000000-0005-0000-0000-0000A66C0000}"/>
    <cellStyle name="Followed Hyperlink 4" xfId="17773" hidden="1" xr:uid="{00000000-0005-0000-0000-0000A76C0000}"/>
    <cellStyle name="Followed Hyperlink 4" xfId="17776" hidden="1" xr:uid="{00000000-0005-0000-0000-0000A86C0000}"/>
    <cellStyle name="Followed Hyperlink 4" xfId="17778" hidden="1" xr:uid="{00000000-0005-0000-0000-0000A96C0000}"/>
    <cellStyle name="Followed Hyperlink 4" xfId="17779" hidden="1" xr:uid="{00000000-0005-0000-0000-0000AA6C0000}"/>
    <cellStyle name="Followed Hyperlink 4" xfId="17782" hidden="1" xr:uid="{00000000-0005-0000-0000-0000AB6C0000}"/>
    <cellStyle name="Followed Hyperlink 4" xfId="17793" hidden="1" xr:uid="{00000000-0005-0000-0000-0000AC6C0000}"/>
    <cellStyle name="Followed Hyperlink 4" xfId="17785" hidden="1" xr:uid="{00000000-0005-0000-0000-0000AD6C0000}"/>
    <cellStyle name="Followed Hyperlink 4" xfId="17796" hidden="1" xr:uid="{00000000-0005-0000-0000-0000AE6C0000}"/>
    <cellStyle name="Followed Hyperlink 4" xfId="17799" hidden="1" xr:uid="{00000000-0005-0000-0000-0000AF6C0000}"/>
    <cellStyle name="Followed Hyperlink 4" xfId="17802" hidden="1" xr:uid="{00000000-0005-0000-0000-0000B06C0000}"/>
    <cellStyle name="Followed Hyperlink 4" xfId="17804" hidden="1" xr:uid="{00000000-0005-0000-0000-0000B16C0000}"/>
    <cellStyle name="Followed Hyperlink 4" xfId="17805" hidden="1" xr:uid="{00000000-0005-0000-0000-0000B26C0000}"/>
    <cellStyle name="Followed Hyperlink 4" xfId="17808" hidden="1" xr:uid="{00000000-0005-0000-0000-0000B36C0000}"/>
    <cellStyle name="Followed Hyperlink 4" xfId="17817" hidden="1" xr:uid="{00000000-0005-0000-0000-0000B46C0000}"/>
    <cellStyle name="Followed Hyperlink 4" xfId="17809" hidden="1" xr:uid="{00000000-0005-0000-0000-0000B56C0000}"/>
    <cellStyle name="Followed Hyperlink 4" xfId="17820" hidden="1" xr:uid="{00000000-0005-0000-0000-0000B66C0000}"/>
    <cellStyle name="Followed Hyperlink 4" xfId="17823" hidden="1" xr:uid="{00000000-0005-0000-0000-0000B76C0000}"/>
    <cellStyle name="Followed Hyperlink 4" xfId="17826" hidden="1" xr:uid="{00000000-0005-0000-0000-0000B86C0000}"/>
    <cellStyle name="Followed Hyperlink 4" xfId="17828" hidden="1" xr:uid="{00000000-0005-0000-0000-0000B96C0000}"/>
    <cellStyle name="Followed Hyperlink 4" xfId="17829" hidden="1" xr:uid="{00000000-0005-0000-0000-0000BA6C0000}"/>
    <cellStyle name="Followed Hyperlink 4" xfId="17832" hidden="1" xr:uid="{00000000-0005-0000-0000-0000BB6C0000}"/>
    <cellStyle name="Followed Hyperlink 4" xfId="17715" hidden="1" xr:uid="{00000000-0005-0000-0000-0000BC6C0000}"/>
    <cellStyle name="Followed Hyperlink 4" xfId="17709" hidden="1" xr:uid="{00000000-0005-0000-0000-0000BD6C0000}"/>
    <cellStyle name="Followed Hyperlink 4" xfId="17833" hidden="1" xr:uid="{00000000-0005-0000-0000-0000BE6C0000}"/>
    <cellStyle name="Followed Hyperlink 4" xfId="17836" hidden="1" xr:uid="{00000000-0005-0000-0000-0000BF6C0000}"/>
    <cellStyle name="Followed Hyperlink 4" xfId="17839" hidden="1" xr:uid="{00000000-0005-0000-0000-0000C06C0000}"/>
    <cellStyle name="Followed Hyperlink 4" xfId="17841" hidden="1" xr:uid="{00000000-0005-0000-0000-0000C16C0000}"/>
    <cellStyle name="Followed Hyperlink 4" xfId="17842" hidden="1" xr:uid="{00000000-0005-0000-0000-0000C26C0000}"/>
    <cellStyle name="Followed Hyperlink 4" xfId="17845" hidden="1" xr:uid="{00000000-0005-0000-0000-0000C36C0000}"/>
    <cellStyle name="Followed Hyperlink 4" xfId="17854" hidden="1" xr:uid="{00000000-0005-0000-0000-0000C46C0000}"/>
    <cellStyle name="Followed Hyperlink 4" xfId="17846" hidden="1" xr:uid="{00000000-0005-0000-0000-0000C56C0000}"/>
    <cellStyle name="Followed Hyperlink 4" xfId="17857" hidden="1" xr:uid="{00000000-0005-0000-0000-0000C66C0000}"/>
    <cellStyle name="Followed Hyperlink 4" xfId="17860" hidden="1" xr:uid="{00000000-0005-0000-0000-0000C76C0000}"/>
    <cellStyle name="Followed Hyperlink 4" xfId="17863" hidden="1" xr:uid="{00000000-0005-0000-0000-0000C86C0000}"/>
    <cellStyle name="Followed Hyperlink 4" xfId="17865" hidden="1" xr:uid="{00000000-0005-0000-0000-0000C96C0000}"/>
    <cellStyle name="Followed Hyperlink 4" xfId="17866" hidden="1" xr:uid="{00000000-0005-0000-0000-0000CA6C0000}"/>
    <cellStyle name="Followed Hyperlink 4" xfId="17869" hidden="1" xr:uid="{00000000-0005-0000-0000-0000CB6C0000}"/>
    <cellStyle name="Followed Hyperlink 4" xfId="17879" hidden="1" xr:uid="{00000000-0005-0000-0000-0000CC6C0000}"/>
    <cellStyle name="Followed Hyperlink 4" xfId="17871" hidden="1" xr:uid="{00000000-0005-0000-0000-0000CD6C0000}"/>
    <cellStyle name="Followed Hyperlink 4" xfId="17882" hidden="1" xr:uid="{00000000-0005-0000-0000-0000CE6C0000}"/>
    <cellStyle name="Followed Hyperlink 4" xfId="17885" hidden="1" xr:uid="{00000000-0005-0000-0000-0000CF6C0000}"/>
    <cellStyle name="Followed Hyperlink 4" xfId="17888" hidden="1" xr:uid="{00000000-0005-0000-0000-0000D06C0000}"/>
    <cellStyle name="Followed Hyperlink 4" xfId="17890" hidden="1" xr:uid="{00000000-0005-0000-0000-0000D16C0000}"/>
    <cellStyle name="Followed Hyperlink 4" xfId="17891" hidden="1" xr:uid="{00000000-0005-0000-0000-0000D26C0000}"/>
    <cellStyle name="Followed Hyperlink 4" xfId="17894" hidden="1" xr:uid="{00000000-0005-0000-0000-0000D36C0000}"/>
    <cellStyle name="Followed Hyperlink 4" xfId="17903" hidden="1" xr:uid="{00000000-0005-0000-0000-0000D46C0000}"/>
    <cellStyle name="Followed Hyperlink 4" xfId="17895" hidden="1" xr:uid="{00000000-0005-0000-0000-0000D56C0000}"/>
    <cellStyle name="Followed Hyperlink 4" xfId="17906" hidden="1" xr:uid="{00000000-0005-0000-0000-0000D66C0000}"/>
    <cellStyle name="Followed Hyperlink 4" xfId="17909" hidden="1" xr:uid="{00000000-0005-0000-0000-0000D76C0000}"/>
    <cellStyle name="Followed Hyperlink 4" xfId="17912" hidden="1" xr:uid="{00000000-0005-0000-0000-0000D86C0000}"/>
    <cellStyle name="Followed Hyperlink 4" xfId="17914" hidden="1" xr:uid="{00000000-0005-0000-0000-0000D96C0000}"/>
    <cellStyle name="Followed Hyperlink 4" xfId="17915" hidden="1" xr:uid="{00000000-0005-0000-0000-0000DA6C0000}"/>
    <cellStyle name="Followed Hyperlink 4" xfId="17918" hidden="1" xr:uid="{00000000-0005-0000-0000-0000DB6C0000}"/>
    <cellStyle name="Followed Hyperlink 4" xfId="17719" hidden="1" xr:uid="{00000000-0005-0000-0000-0000DC6C0000}"/>
    <cellStyle name="Followed Hyperlink 4" xfId="17725" hidden="1" xr:uid="{00000000-0005-0000-0000-0000DD6C0000}"/>
    <cellStyle name="Followed Hyperlink 4" xfId="17919" hidden="1" xr:uid="{00000000-0005-0000-0000-0000DE6C0000}"/>
    <cellStyle name="Followed Hyperlink 4" xfId="17922" hidden="1" xr:uid="{00000000-0005-0000-0000-0000DF6C0000}"/>
    <cellStyle name="Followed Hyperlink 4" xfId="17925" hidden="1" xr:uid="{00000000-0005-0000-0000-0000E06C0000}"/>
    <cellStyle name="Followed Hyperlink 4" xfId="17927" hidden="1" xr:uid="{00000000-0005-0000-0000-0000E16C0000}"/>
    <cellStyle name="Followed Hyperlink 4" xfId="17928" hidden="1" xr:uid="{00000000-0005-0000-0000-0000E26C0000}"/>
    <cellStyle name="Followed Hyperlink 4" xfId="17931" hidden="1" xr:uid="{00000000-0005-0000-0000-0000E36C0000}"/>
    <cellStyle name="Followed Hyperlink 4" xfId="17940" hidden="1" xr:uid="{00000000-0005-0000-0000-0000E46C0000}"/>
    <cellStyle name="Followed Hyperlink 4" xfId="17932" hidden="1" xr:uid="{00000000-0005-0000-0000-0000E56C0000}"/>
    <cellStyle name="Followed Hyperlink 4" xfId="17943" hidden="1" xr:uid="{00000000-0005-0000-0000-0000E66C0000}"/>
    <cellStyle name="Followed Hyperlink 4" xfId="17946" hidden="1" xr:uid="{00000000-0005-0000-0000-0000E76C0000}"/>
    <cellStyle name="Followed Hyperlink 4" xfId="17949" hidden="1" xr:uid="{00000000-0005-0000-0000-0000E86C0000}"/>
    <cellStyle name="Followed Hyperlink 4" xfId="17951" hidden="1" xr:uid="{00000000-0005-0000-0000-0000E96C0000}"/>
    <cellStyle name="Followed Hyperlink 4" xfId="17952" hidden="1" xr:uid="{00000000-0005-0000-0000-0000EA6C0000}"/>
    <cellStyle name="Followed Hyperlink 4" xfId="17955" hidden="1" xr:uid="{00000000-0005-0000-0000-0000EB6C0000}"/>
    <cellStyle name="Followed Hyperlink 4" xfId="17965" hidden="1" xr:uid="{00000000-0005-0000-0000-0000EC6C0000}"/>
    <cellStyle name="Followed Hyperlink 4" xfId="17957" hidden="1" xr:uid="{00000000-0005-0000-0000-0000ED6C0000}"/>
    <cellStyle name="Followed Hyperlink 4" xfId="17968" hidden="1" xr:uid="{00000000-0005-0000-0000-0000EE6C0000}"/>
    <cellStyle name="Followed Hyperlink 4" xfId="17971" hidden="1" xr:uid="{00000000-0005-0000-0000-0000EF6C0000}"/>
    <cellStyle name="Followed Hyperlink 4" xfId="17974" hidden="1" xr:uid="{00000000-0005-0000-0000-0000F06C0000}"/>
    <cellStyle name="Followed Hyperlink 4" xfId="17976" hidden="1" xr:uid="{00000000-0005-0000-0000-0000F16C0000}"/>
    <cellStyle name="Followed Hyperlink 4" xfId="17977" hidden="1" xr:uid="{00000000-0005-0000-0000-0000F26C0000}"/>
    <cellStyle name="Followed Hyperlink 4" xfId="17980" hidden="1" xr:uid="{00000000-0005-0000-0000-0000F36C0000}"/>
    <cellStyle name="Followed Hyperlink 4" xfId="17989" hidden="1" xr:uid="{00000000-0005-0000-0000-0000F46C0000}"/>
    <cellStyle name="Followed Hyperlink 4" xfId="17981" hidden="1" xr:uid="{00000000-0005-0000-0000-0000F56C0000}"/>
    <cellStyle name="Followed Hyperlink 4" xfId="17992" hidden="1" xr:uid="{00000000-0005-0000-0000-0000F66C0000}"/>
    <cellStyle name="Followed Hyperlink 4" xfId="17995" hidden="1" xr:uid="{00000000-0005-0000-0000-0000F76C0000}"/>
    <cellStyle name="Followed Hyperlink 4" xfId="17998" hidden="1" xr:uid="{00000000-0005-0000-0000-0000F86C0000}"/>
    <cellStyle name="Followed Hyperlink 4" xfId="18000" hidden="1" xr:uid="{00000000-0005-0000-0000-0000F96C0000}"/>
    <cellStyle name="Followed Hyperlink 4" xfId="18001" hidden="1" xr:uid="{00000000-0005-0000-0000-0000FA6C0000}"/>
    <cellStyle name="Followed Hyperlink 4" xfId="18004" hidden="1" xr:uid="{00000000-0005-0000-0000-0000FB6C0000}"/>
    <cellStyle name="Followed Hyperlink 4" xfId="17729" hidden="1" xr:uid="{00000000-0005-0000-0000-0000FC6C0000}"/>
    <cellStyle name="Followed Hyperlink 4" xfId="17784" hidden="1" xr:uid="{00000000-0005-0000-0000-0000FD6C0000}"/>
    <cellStyle name="Followed Hyperlink 4" xfId="18005" hidden="1" xr:uid="{00000000-0005-0000-0000-0000FE6C0000}"/>
    <cellStyle name="Followed Hyperlink 4" xfId="18008" hidden="1" xr:uid="{00000000-0005-0000-0000-0000FF6C0000}"/>
    <cellStyle name="Followed Hyperlink 4" xfId="18011" hidden="1" xr:uid="{00000000-0005-0000-0000-0000006D0000}"/>
    <cellStyle name="Followed Hyperlink 4" xfId="18013" hidden="1" xr:uid="{00000000-0005-0000-0000-0000016D0000}"/>
    <cellStyle name="Followed Hyperlink 4" xfId="18014" hidden="1" xr:uid="{00000000-0005-0000-0000-0000026D0000}"/>
    <cellStyle name="Followed Hyperlink 4" xfId="18017" hidden="1" xr:uid="{00000000-0005-0000-0000-0000036D0000}"/>
    <cellStyle name="Followed Hyperlink 4" xfId="18026" hidden="1" xr:uid="{00000000-0005-0000-0000-0000046D0000}"/>
    <cellStyle name="Followed Hyperlink 4" xfId="18018" hidden="1" xr:uid="{00000000-0005-0000-0000-0000056D0000}"/>
    <cellStyle name="Followed Hyperlink 4" xfId="18029" hidden="1" xr:uid="{00000000-0005-0000-0000-0000066D0000}"/>
    <cellStyle name="Followed Hyperlink 4" xfId="18032" hidden="1" xr:uid="{00000000-0005-0000-0000-0000076D0000}"/>
    <cellStyle name="Followed Hyperlink 4" xfId="18035" hidden="1" xr:uid="{00000000-0005-0000-0000-0000086D0000}"/>
    <cellStyle name="Followed Hyperlink 4" xfId="18037" hidden="1" xr:uid="{00000000-0005-0000-0000-0000096D0000}"/>
    <cellStyle name="Followed Hyperlink 4" xfId="18038" hidden="1" xr:uid="{00000000-0005-0000-0000-00000A6D0000}"/>
    <cellStyle name="Followed Hyperlink 4" xfId="18041" hidden="1" xr:uid="{00000000-0005-0000-0000-00000B6D0000}"/>
    <cellStyle name="Followed Hyperlink 4" xfId="18050" hidden="1" xr:uid="{00000000-0005-0000-0000-00000C6D0000}"/>
    <cellStyle name="Followed Hyperlink 4" xfId="18042" hidden="1" xr:uid="{00000000-0005-0000-0000-00000D6D0000}"/>
    <cellStyle name="Followed Hyperlink 4" xfId="18053" hidden="1" xr:uid="{00000000-0005-0000-0000-00000E6D0000}"/>
    <cellStyle name="Followed Hyperlink 4" xfId="18056" hidden="1" xr:uid="{00000000-0005-0000-0000-00000F6D0000}"/>
    <cellStyle name="Followed Hyperlink 4" xfId="18059" hidden="1" xr:uid="{00000000-0005-0000-0000-0000106D0000}"/>
    <cellStyle name="Followed Hyperlink 4" xfId="18061" hidden="1" xr:uid="{00000000-0005-0000-0000-0000116D0000}"/>
    <cellStyle name="Followed Hyperlink 4" xfId="18062" hidden="1" xr:uid="{00000000-0005-0000-0000-0000126D0000}"/>
    <cellStyle name="Followed Hyperlink 4" xfId="18065" hidden="1" xr:uid="{00000000-0005-0000-0000-0000136D0000}"/>
    <cellStyle name="Followed Hyperlink 4" xfId="18074" hidden="1" xr:uid="{00000000-0005-0000-0000-0000146D0000}"/>
    <cellStyle name="Followed Hyperlink 4" xfId="18066" hidden="1" xr:uid="{00000000-0005-0000-0000-0000156D0000}"/>
    <cellStyle name="Followed Hyperlink 4" xfId="18077" hidden="1" xr:uid="{00000000-0005-0000-0000-0000166D0000}"/>
    <cellStyle name="Followed Hyperlink 4" xfId="18080" hidden="1" xr:uid="{00000000-0005-0000-0000-0000176D0000}"/>
    <cellStyle name="Followed Hyperlink 4" xfId="18083" hidden="1" xr:uid="{00000000-0005-0000-0000-0000186D0000}"/>
    <cellStyle name="Followed Hyperlink 4" xfId="18085" hidden="1" xr:uid="{00000000-0005-0000-0000-0000196D0000}"/>
    <cellStyle name="Followed Hyperlink 4" xfId="18086" hidden="1" xr:uid="{00000000-0005-0000-0000-00001A6D0000}"/>
    <cellStyle name="Followed Hyperlink 4" xfId="18089" hidden="1" xr:uid="{00000000-0005-0000-0000-00001B6D0000}"/>
    <cellStyle name="Followed Hyperlink 4" xfId="17122" hidden="1" xr:uid="{00000000-0005-0000-0000-00001C6D0000}"/>
    <cellStyle name="Followed Hyperlink 4" xfId="17128" hidden="1" xr:uid="{00000000-0005-0000-0000-00001D6D0000}"/>
    <cellStyle name="Followed Hyperlink 4" xfId="18090" hidden="1" xr:uid="{00000000-0005-0000-0000-00001E6D0000}"/>
    <cellStyle name="Followed Hyperlink 4" xfId="18093" hidden="1" xr:uid="{00000000-0005-0000-0000-00001F6D0000}"/>
    <cellStyle name="Followed Hyperlink 4" xfId="18096" hidden="1" xr:uid="{00000000-0005-0000-0000-0000206D0000}"/>
    <cellStyle name="Followed Hyperlink 4" xfId="18098" hidden="1" xr:uid="{00000000-0005-0000-0000-0000216D0000}"/>
    <cellStyle name="Followed Hyperlink 4" xfId="18099" hidden="1" xr:uid="{00000000-0005-0000-0000-0000226D0000}"/>
    <cellStyle name="Followed Hyperlink 4" xfId="18102" hidden="1" xr:uid="{00000000-0005-0000-0000-0000236D0000}"/>
    <cellStyle name="Followed Hyperlink 4" xfId="18111" hidden="1" xr:uid="{00000000-0005-0000-0000-0000246D0000}"/>
    <cellStyle name="Followed Hyperlink 4" xfId="18103" hidden="1" xr:uid="{00000000-0005-0000-0000-0000256D0000}"/>
    <cellStyle name="Followed Hyperlink 4" xfId="18114" hidden="1" xr:uid="{00000000-0005-0000-0000-0000266D0000}"/>
    <cellStyle name="Followed Hyperlink 4" xfId="18117" hidden="1" xr:uid="{00000000-0005-0000-0000-0000276D0000}"/>
    <cellStyle name="Followed Hyperlink 4" xfId="18120" hidden="1" xr:uid="{00000000-0005-0000-0000-0000286D0000}"/>
    <cellStyle name="Followed Hyperlink 4" xfId="18122" hidden="1" xr:uid="{00000000-0005-0000-0000-0000296D0000}"/>
    <cellStyle name="Followed Hyperlink 4" xfId="18123" hidden="1" xr:uid="{00000000-0005-0000-0000-00002A6D0000}"/>
    <cellStyle name="Followed Hyperlink 4" xfId="18126" hidden="1" xr:uid="{00000000-0005-0000-0000-00002B6D0000}"/>
    <cellStyle name="Followed Hyperlink 4" xfId="18136" hidden="1" xr:uid="{00000000-0005-0000-0000-00002C6D0000}"/>
    <cellStyle name="Followed Hyperlink 4" xfId="18128" hidden="1" xr:uid="{00000000-0005-0000-0000-00002D6D0000}"/>
    <cellStyle name="Followed Hyperlink 4" xfId="18139" hidden="1" xr:uid="{00000000-0005-0000-0000-00002E6D0000}"/>
    <cellStyle name="Followed Hyperlink 4" xfId="18142" hidden="1" xr:uid="{00000000-0005-0000-0000-00002F6D0000}"/>
    <cellStyle name="Followed Hyperlink 4" xfId="18145" hidden="1" xr:uid="{00000000-0005-0000-0000-0000306D0000}"/>
    <cellStyle name="Followed Hyperlink 4" xfId="18147" hidden="1" xr:uid="{00000000-0005-0000-0000-0000316D0000}"/>
    <cellStyle name="Followed Hyperlink 4" xfId="18148" hidden="1" xr:uid="{00000000-0005-0000-0000-0000326D0000}"/>
    <cellStyle name="Followed Hyperlink 4" xfId="18151" hidden="1" xr:uid="{00000000-0005-0000-0000-0000336D0000}"/>
    <cellStyle name="Followed Hyperlink 4" xfId="18160" hidden="1" xr:uid="{00000000-0005-0000-0000-0000346D0000}"/>
    <cellStyle name="Followed Hyperlink 4" xfId="18152" hidden="1" xr:uid="{00000000-0005-0000-0000-0000356D0000}"/>
    <cellStyle name="Followed Hyperlink 4" xfId="18163" hidden="1" xr:uid="{00000000-0005-0000-0000-0000366D0000}"/>
    <cellStyle name="Followed Hyperlink 4" xfId="18166" hidden="1" xr:uid="{00000000-0005-0000-0000-0000376D0000}"/>
    <cellStyle name="Followed Hyperlink 4" xfId="18169" hidden="1" xr:uid="{00000000-0005-0000-0000-0000386D0000}"/>
    <cellStyle name="Followed Hyperlink 4" xfId="18171" hidden="1" xr:uid="{00000000-0005-0000-0000-0000396D0000}"/>
    <cellStyle name="Followed Hyperlink 4" xfId="18172" hidden="1" xr:uid="{00000000-0005-0000-0000-00003A6D0000}"/>
    <cellStyle name="Followed Hyperlink 4" xfId="18175" hidden="1" xr:uid="{00000000-0005-0000-0000-00003B6D0000}"/>
    <cellStyle name="Followed Hyperlink 4" xfId="18213" hidden="1" xr:uid="{00000000-0005-0000-0000-00003C6D0000}"/>
    <cellStyle name="Followed Hyperlink 4" xfId="18205" hidden="1" xr:uid="{00000000-0005-0000-0000-00003D6D0000}"/>
    <cellStyle name="Followed Hyperlink 4" xfId="18216" hidden="1" xr:uid="{00000000-0005-0000-0000-00003E6D0000}"/>
    <cellStyle name="Followed Hyperlink 4" xfId="18219" hidden="1" xr:uid="{00000000-0005-0000-0000-00003F6D0000}"/>
    <cellStyle name="Followed Hyperlink 4" xfId="18222" hidden="1" xr:uid="{00000000-0005-0000-0000-0000406D0000}"/>
    <cellStyle name="Followed Hyperlink 4" xfId="18224" hidden="1" xr:uid="{00000000-0005-0000-0000-0000416D0000}"/>
    <cellStyle name="Followed Hyperlink 4" xfId="18225" hidden="1" xr:uid="{00000000-0005-0000-0000-0000426D0000}"/>
    <cellStyle name="Followed Hyperlink 4" xfId="18228" hidden="1" xr:uid="{00000000-0005-0000-0000-0000436D0000}"/>
    <cellStyle name="Followed Hyperlink 4" xfId="18237" hidden="1" xr:uid="{00000000-0005-0000-0000-0000446D0000}"/>
    <cellStyle name="Followed Hyperlink 4" xfId="18229" hidden="1" xr:uid="{00000000-0005-0000-0000-0000456D0000}"/>
    <cellStyle name="Followed Hyperlink 4" xfId="18240" hidden="1" xr:uid="{00000000-0005-0000-0000-0000466D0000}"/>
    <cellStyle name="Followed Hyperlink 4" xfId="18243" hidden="1" xr:uid="{00000000-0005-0000-0000-0000476D0000}"/>
    <cellStyle name="Followed Hyperlink 4" xfId="18246" hidden="1" xr:uid="{00000000-0005-0000-0000-0000486D0000}"/>
    <cellStyle name="Followed Hyperlink 4" xfId="18248" hidden="1" xr:uid="{00000000-0005-0000-0000-0000496D0000}"/>
    <cellStyle name="Followed Hyperlink 4" xfId="18249" hidden="1" xr:uid="{00000000-0005-0000-0000-00004A6D0000}"/>
    <cellStyle name="Followed Hyperlink 4" xfId="18252" hidden="1" xr:uid="{00000000-0005-0000-0000-00004B6D0000}"/>
    <cellStyle name="Followed Hyperlink 4" xfId="18263" hidden="1" xr:uid="{00000000-0005-0000-0000-00004C6D0000}"/>
    <cellStyle name="Followed Hyperlink 4" xfId="18255" hidden="1" xr:uid="{00000000-0005-0000-0000-00004D6D0000}"/>
    <cellStyle name="Followed Hyperlink 4" xfId="18266" hidden="1" xr:uid="{00000000-0005-0000-0000-00004E6D0000}"/>
    <cellStyle name="Followed Hyperlink 4" xfId="18269" hidden="1" xr:uid="{00000000-0005-0000-0000-00004F6D0000}"/>
    <cellStyle name="Followed Hyperlink 4" xfId="18272" hidden="1" xr:uid="{00000000-0005-0000-0000-0000506D0000}"/>
    <cellStyle name="Followed Hyperlink 4" xfId="18274" hidden="1" xr:uid="{00000000-0005-0000-0000-0000516D0000}"/>
    <cellStyle name="Followed Hyperlink 4" xfId="18275" hidden="1" xr:uid="{00000000-0005-0000-0000-0000526D0000}"/>
    <cellStyle name="Followed Hyperlink 4" xfId="18278" hidden="1" xr:uid="{00000000-0005-0000-0000-0000536D0000}"/>
    <cellStyle name="Followed Hyperlink 4" xfId="18287" hidden="1" xr:uid="{00000000-0005-0000-0000-0000546D0000}"/>
    <cellStyle name="Followed Hyperlink 4" xfId="18279" hidden="1" xr:uid="{00000000-0005-0000-0000-0000556D0000}"/>
    <cellStyle name="Followed Hyperlink 4" xfId="18290" hidden="1" xr:uid="{00000000-0005-0000-0000-0000566D0000}"/>
    <cellStyle name="Followed Hyperlink 4" xfId="18293" hidden="1" xr:uid="{00000000-0005-0000-0000-0000576D0000}"/>
    <cellStyle name="Followed Hyperlink 4" xfId="18296" hidden="1" xr:uid="{00000000-0005-0000-0000-0000586D0000}"/>
    <cellStyle name="Followed Hyperlink 4" xfId="18298" hidden="1" xr:uid="{00000000-0005-0000-0000-0000596D0000}"/>
    <cellStyle name="Followed Hyperlink 4" xfId="18299" hidden="1" xr:uid="{00000000-0005-0000-0000-00005A6D0000}"/>
    <cellStyle name="Followed Hyperlink 4" xfId="18302" hidden="1" xr:uid="{00000000-0005-0000-0000-00005B6D0000}"/>
    <cellStyle name="Followed Hyperlink 4" xfId="18185" hidden="1" xr:uid="{00000000-0005-0000-0000-00005C6D0000}"/>
    <cellStyle name="Followed Hyperlink 4" xfId="18179" hidden="1" xr:uid="{00000000-0005-0000-0000-00005D6D0000}"/>
    <cellStyle name="Followed Hyperlink 4" xfId="18303" hidden="1" xr:uid="{00000000-0005-0000-0000-00005E6D0000}"/>
    <cellStyle name="Followed Hyperlink 4" xfId="18306" hidden="1" xr:uid="{00000000-0005-0000-0000-00005F6D0000}"/>
    <cellStyle name="Followed Hyperlink 4" xfId="18309" hidden="1" xr:uid="{00000000-0005-0000-0000-0000606D0000}"/>
    <cellStyle name="Followed Hyperlink 4" xfId="18311" hidden="1" xr:uid="{00000000-0005-0000-0000-0000616D0000}"/>
    <cellStyle name="Followed Hyperlink 4" xfId="18312" hidden="1" xr:uid="{00000000-0005-0000-0000-0000626D0000}"/>
    <cellStyle name="Followed Hyperlink 4" xfId="18315" hidden="1" xr:uid="{00000000-0005-0000-0000-0000636D0000}"/>
    <cellStyle name="Followed Hyperlink 4" xfId="18324" hidden="1" xr:uid="{00000000-0005-0000-0000-0000646D0000}"/>
    <cellStyle name="Followed Hyperlink 4" xfId="18316" hidden="1" xr:uid="{00000000-0005-0000-0000-0000656D0000}"/>
    <cellStyle name="Followed Hyperlink 4" xfId="18327" hidden="1" xr:uid="{00000000-0005-0000-0000-0000666D0000}"/>
    <cellStyle name="Followed Hyperlink 4" xfId="18330" hidden="1" xr:uid="{00000000-0005-0000-0000-0000676D0000}"/>
    <cellStyle name="Followed Hyperlink 4" xfId="18333" hidden="1" xr:uid="{00000000-0005-0000-0000-0000686D0000}"/>
    <cellStyle name="Followed Hyperlink 4" xfId="18335" hidden="1" xr:uid="{00000000-0005-0000-0000-0000696D0000}"/>
    <cellStyle name="Followed Hyperlink 4" xfId="18336" hidden="1" xr:uid="{00000000-0005-0000-0000-00006A6D0000}"/>
    <cellStyle name="Followed Hyperlink 4" xfId="18339" hidden="1" xr:uid="{00000000-0005-0000-0000-00006B6D0000}"/>
    <cellStyle name="Followed Hyperlink 4" xfId="18349" hidden="1" xr:uid="{00000000-0005-0000-0000-00006C6D0000}"/>
    <cellStyle name="Followed Hyperlink 4" xfId="18341" hidden="1" xr:uid="{00000000-0005-0000-0000-00006D6D0000}"/>
    <cellStyle name="Followed Hyperlink 4" xfId="18352" hidden="1" xr:uid="{00000000-0005-0000-0000-00006E6D0000}"/>
    <cellStyle name="Followed Hyperlink 4" xfId="18355" hidden="1" xr:uid="{00000000-0005-0000-0000-00006F6D0000}"/>
    <cellStyle name="Followed Hyperlink 4" xfId="18358" hidden="1" xr:uid="{00000000-0005-0000-0000-0000706D0000}"/>
    <cellStyle name="Followed Hyperlink 4" xfId="18360" hidden="1" xr:uid="{00000000-0005-0000-0000-0000716D0000}"/>
    <cellStyle name="Followed Hyperlink 4" xfId="18361" hidden="1" xr:uid="{00000000-0005-0000-0000-0000726D0000}"/>
    <cellStyle name="Followed Hyperlink 4" xfId="18364" hidden="1" xr:uid="{00000000-0005-0000-0000-0000736D0000}"/>
    <cellStyle name="Followed Hyperlink 4" xfId="18373" hidden="1" xr:uid="{00000000-0005-0000-0000-0000746D0000}"/>
    <cellStyle name="Followed Hyperlink 4" xfId="18365" hidden="1" xr:uid="{00000000-0005-0000-0000-0000756D0000}"/>
    <cellStyle name="Followed Hyperlink 4" xfId="18376" hidden="1" xr:uid="{00000000-0005-0000-0000-0000766D0000}"/>
    <cellStyle name="Followed Hyperlink 4" xfId="18379" hidden="1" xr:uid="{00000000-0005-0000-0000-0000776D0000}"/>
    <cellStyle name="Followed Hyperlink 4" xfId="18382" hidden="1" xr:uid="{00000000-0005-0000-0000-0000786D0000}"/>
    <cellStyle name="Followed Hyperlink 4" xfId="18384" hidden="1" xr:uid="{00000000-0005-0000-0000-0000796D0000}"/>
    <cellStyle name="Followed Hyperlink 4" xfId="18385" hidden="1" xr:uid="{00000000-0005-0000-0000-00007A6D0000}"/>
    <cellStyle name="Followed Hyperlink 4" xfId="18388" hidden="1" xr:uid="{00000000-0005-0000-0000-00007B6D0000}"/>
    <cellStyle name="Followed Hyperlink 4" xfId="18189" hidden="1" xr:uid="{00000000-0005-0000-0000-00007C6D0000}"/>
    <cellStyle name="Followed Hyperlink 4" xfId="18195" hidden="1" xr:uid="{00000000-0005-0000-0000-00007D6D0000}"/>
    <cellStyle name="Followed Hyperlink 4" xfId="18389" hidden="1" xr:uid="{00000000-0005-0000-0000-00007E6D0000}"/>
    <cellStyle name="Followed Hyperlink 4" xfId="18392" hidden="1" xr:uid="{00000000-0005-0000-0000-00007F6D0000}"/>
    <cellStyle name="Followed Hyperlink 4" xfId="18395" hidden="1" xr:uid="{00000000-0005-0000-0000-0000806D0000}"/>
    <cellStyle name="Followed Hyperlink 4" xfId="18397" hidden="1" xr:uid="{00000000-0005-0000-0000-0000816D0000}"/>
    <cellStyle name="Followed Hyperlink 4" xfId="18398" hidden="1" xr:uid="{00000000-0005-0000-0000-0000826D0000}"/>
    <cellStyle name="Followed Hyperlink 4" xfId="18401" hidden="1" xr:uid="{00000000-0005-0000-0000-0000836D0000}"/>
    <cellStyle name="Followed Hyperlink 4" xfId="18410" hidden="1" xr:uid="{00000000-0005-0000-0000-0000846D0000}"/>
    <cellStyle name="Followed Hyperlink 4" xfId="18402" hidden="1" xr:uid="{00000000-0005-0000-0000-0000856D0000}"/>
    <cellStyle name="Followed Hyperlink 4" xfId="18413" hidden="1" xr:uid="{00000000-0005-0000-0000-0000866D0000}"/>
    <cellStyle name="Followed Hyperlink 4" xfId="18416" hidden="1" xr:uid="{00000000-0005-0000-0000-0000876D0000}"/>
    <cellStyle name="Followed Hyperlink 4" xfId="18419" hidden="1" xr:uid="{00000000-0005-0000-0000-0000886D0000}"/>
    <cellStyle name="Followed Hyperlink 4" xfId="18421" hidden="1" xr:uid="{00000000-0005-0000-0000-0000896D0000}"/>
    <cellStyle name="Followed Hyperlink 4" xfId="18422" hidden="1" xr:uid="{00000000-0005-0000-0000-00008A6D0000}"/>
    <cellStyle name="Followed Hyperlink 4" xfId="18425" hidden="1" xr:uid="{00000000-0005-0000-0000-00008B6D0000}"/>
    <cellStyle name="Followed Hyperlink 4" xfId="18435" hidden="1" xr:uid="{00000000-0005-0000-0000-00008C6D0000}"/>
    <cellStyle name="Followed Hyperlink 4" xfId="18427" hidden="1" xr:uid="{00000000-0005-0000-0000-00008D6D0000}"/>
    <cellStyle name="Followed Hyperlink 4" xfId="18438" hidden="1" xr:uid="{00000000-0005-0000-0000-00008E6D0000}"/>
    <cellStyle name="Followed Hyperlink 4" xfId="18441" hidden="1" xr:uid="{00000000-0005-0000-0000-00008F6D0000}"/>
    <cellStyle name="Followed Hyperlink 4" xfId="18444" hidden="1" xr:uid="{00000000-0005-0000-0000-0000906D0000}"/>
    <cellStyle name="Followed Hyperlink 4" xfId="18446" hidden="1" xr:uid="{00000000-0005-0000-0000-0000916D0000}"/>
    <cellStyle name="Followed Hyperlink 4" xfId="18447" hidden="1" xr:uid="{00000000-0005-0000-0000-0000926D0000}"/>
    <cellStyle name="Followed Hyperlink 4" xfId="18450" hidden="1" xr:uid="{00000000-0005-0000-0000-0000936D0000}"/>
    <cellStyle name="Followed Hyperlink 4" xfId="18459" hidden="1" xr:uid="{00000000-0005-0000-0000-0000946D0000}"/>
    <cellStyle name="Followed Hyperlink 4" xfId="18451" hidden="1" xr:uid="{00000000-0005-0000-0000-0000956D0000}"/>
    <cellStyle name="Followed Hyperlink 4" xfId="18462" hidden="1" xr:uid="{00000000-0005-0000-0000-0000966D0000}"/>
    <cellStyle name="Followed Hyperlink 4" xfId="18465" hidden="1" xr:uid="{00000000-0005-0000-0000-0000976D0000}"/>
    <cellStyle name="Followed Hyperlink 4" xfId="18468" hidden="1" xr:uid="{00000000-0005-0000-0000-0000986D0000}"/>
    <cellStyle name="Followed Hyperlink 4" xfId="18470" hidden="1" xr:uid="{00000000-0005-0000-0000-0000996D0000}"/>
    <cellStyle name="Followed Hyperlink 4" xfId="18471" hidden="1" xr:uid="{00000000-0005-0000-0000-00009A6D0000}"/>
    <cellStyle name="Followed Hyperlink 4" xfId="18474" hidden="1" xr:uid="{00000000-0005-0000-0000-00009B6D0000}"/>
    <cellStyle name="Followed Hyperlink 4" xfId="18199" hidden="1" xr:uid="{00000000-0005-0000-0000-00009C6D0000}"/>
    <cellStyle name="Followed Hyperlink 4" xfId="18254" hidden="1" xr:uid="{00000000-0005-0000-0000-00009D6D0000}"/>
    <cellStyle name="Followed Hyperlink 4" xfId="18475" hidden="1" xr:uid="{00000000-0005-0000-0000-00009E6D0000}"/>
    <cellStyle name="Followed Hyperlink 4" xfId="18478" hidden="1" xr:uid="{00000000-0005-0000-0000-00009F6D0000}"/>
    <cellStyle name="Followed Hyperlink 4" xfId="18481" hidden="1" xr:uid="{00000000-0005-0000-0000-0000A06D0000}"/>
    <cellStyle name="Followed Hyperlink 4" xfId="18483" hidden="1" xr:uid="{00000000-0005-0000-0000-0000A16D0000}"/>
    <cellStyle name="Followed Hyperlink 4" xfId="18484" hidden="1" xr:uid="{00000000-0005-0000-0000-0000A26D0000}"/>
    <cellStyle name="Followed Hyperlink 4" xfId="18487" hidden="1" xr:uid="{00000000-0005-0000-0000-0000A36D0000}"/>
    <cellStyle name="Followed Hyperlink 4" xfId="18496" hidden="1" xr:uid="{00000000-0005-0000-0000-0000A46D0000}"/>
    <cellStyle name="Followed Hyperlink 4" xfId="18488" hidden="1" xr:uid="{00000000-0005-0000-0000-0000A56D0000}"/>
    <cellStyle name="Followed Hyperlink 4" xfId="18499" hidden="1" xr:uid="{00000000-0005-0000-0000-0000A66D0000}"/>
    <cellStyle name="Followed Hyperlink 4" xfId="18502" hidden="1" xr:uid="{00000000-0005-0000-0000-0000A76D0000}"/>
    <cellStyle name="Followed Hyperlink 4" xfId="18505" hidden="1" xr:uid="{00000000-0005-0000-0000-0000A86D0000}"/>
    <cellStyle name="Followed Hyperlink 4" xfId="18507" hidden="1" xr:uid="{00000000-0005-0000-0000-0000A96D0000}"/>
    <cellStyle name="Followed Hyperlink 4" xfId="18508" hidden="1" xr:uid="{00000000-0005-0000-0000-0000AA6D0000}"/>
    <cellStyle name="Followed Hyperlink 4" xfId="18511" hidden="1" xr:uid="{00000000-0005-0000-0000-0000AB6D0000}"/>
    <cellStyle name="Followed Hyperlink 4" xfId="18520" hidden="1" xr:uid="{00000000-0005-0000-0000-0000AC6D0000}"/>
    <cellStyle name="Followed Hyperlink 4" xfId="18512" hidden="1" xr:uid="{00000000-0005-0000-0000-0000AD6D0000}"/>
    <cellStyle name="Followed Hyperlink 4" xfId="18523" hidden="1" xr:uid="{00000000-0005-0000-0000-0000AE6D0000}"/>
    <cellStyle name="Followed Hyperlink 4" xfId="18526" hidden="1" xr:uid="{00000000-0005-0000-0000-0000AF6D0000}"/>
    <cellStyle name="Followed Hyperlink 4" xfId="18529" hidden="1" xr:uid="{00000000-0005-0000-0000-0000B06D0000}"/>
    <cellStyle name="Followed Hyperlink 4" xfId="18531" hidden="1" xr:uid="{00000000-0005-0000-0000-0000B16D0000}"/>
    <cellStyle name="Followed Hyperlink 4" xfId="18532" hidden="1" xr:uid="{00000000-0005-0000-0000-0000B26D0000}"/>
    <cellStyle name="Followed Hyperlink 4" xfId="18535" hidden="1" xr:uid="{00000000-0005-0000-0000-0000B36D0000}"/>
    <cellStyle name="Followed Hyperlink 4" xfId="18544" hidden="1" xr:uid="{00000000-0005-0000-0000-0000B46D0000}"/>
    <cellStyle name="Followed Hyperlink 4" xfId="18536" hidden="1" xr:uid="{00000000-0005-0000-0000-0000B56D0000}"/>
    <cellStyle name="Followed Hyperlink 4" xfId="18547" hidden="1" xr:uid="{00000000-0005-0000-0000-0000B66D0000}"/>
    <cellStyle name="Followed Hyperlink 4" xfId="18550" hidden="1" xr:uid="{00000000-0005-0000-0000-0000B76D0000}"/>
    <cellStyle name="Followed Hyperlink 4" xfId="18553" hidden="1" xr:uid="{00000000-0005-0000-0000-0000B86D0000}"/>
    <cellStyle name="Followed Hyperlink 4" xfId="18555" hidden="1" xr:uid="{00000000-0005-0000-0000-0000B96D0000}"/>
    <cellStyle name="Followed Hyperlink 4" xfId="18556" hidden="1" xr:uid="{00000000-0005-0000-0000-0000BA6D0000}"/>
    <cellStyle name="Followed Hyperlink 4" xfId="18559" hidden="1" xr:uid="{00000000-0005-0000-0000-0000BB6D0000}"/>
    <cellStyle name="Followed Hyperlink 4" xfId="17132" hidden="1" xr:uid="{00000000-0005-0000-0000-0000BC6D0000}"/>
    <cellStyle name="Followed Hyperlink 4" xfId="17187" hidden="1" xr:uid="{00000000-0005-0000-0000-0000BD6D0000}"/>
    <cellStyle name="Followed Hyperlink 4" xfId="18560" hidden="1" xr:uid="{00000000-0005-0000-0000-0000BE6D0000}"/>
    <cellStyle name="Followed Hyperlink 4" xfId="18563" hidden="1" xr:uid="{00000000-0005-0000-0000-0000BF6D0000}"/>
    <cellStyle name="Followed Hyperlink 4" xfId="18566" hidden="1" xr:uid="{00000000-0005-0000-0000-0000C06D0000}"/>
    <cellStyle name="Followed Hyperlink 4" xfId="18568" hidden="1" xr:uid="{00000000-0005-0000-0000-0000C16D0000}"/>
    <cellStyle name="Followed Hyperlink 4" xfId="18569" hidden="1" xr:uid="{00000000-0005-0000-0000-0000C26D0000}"/>
    <cellStyle name="Followed Hyperlink 4" xfId="18572" hidden="1" xr:uid="{00000000-0005-0000-0000-0000C36D0000}"/>
    <cellStyle name="Followed Hyperlink 4" xfId="18581" hidden="1" xr:uid="{00000000-0005-0000-0000-0000C46D0000}"/>
    <cellStyle name="Followed Hyperlink 4" xfId="18573" hidden="1" xr:uid="{00000000-0005-0000-0000-0000C56D0000}"/>
    <cellStyle name="Followed Hyperlink 4" xfId="18584" hidden="1" xr:uid="{00000000-0005-0000-0000-0000C66D0000}"/>
    <cellStyle name="Followed Hyperlink 4" xfId="18587" hidden="1" xr:uid="{00000000-0005-0000-0000-0000C76D0000}"/>
    <cellStyle name="Followed Hyperlink 4" xfId="18590" hidden="1" xr:uid="{00000000-0005-0000-0000-0000C86D0000}"/>
    <cellStyle name="Followed Hyperlink 4" xfId="18592" hidden="1" xr:uid="{00000000-0005-0000-0000-0000C96D0000}"/>
    <cellStyle name="Followed Hyperlink 4" xfId="18593" hidden="1" xr:uid="{00000000-0005-0000-0000-0000CA6D0000}"/>
    <cellStyle name="Followed Hyperlink 4" xfId="18596" hidden="1" xr:uid="{00000000-0005-0000-0000-0000CB6D0000}"/>
    <cellStyle name="Followed Hyperlink 4" xfId="18605" hidden="1" xr:uid="{00000000-0005-0000-0000-0000CC6D0000}"/>
    <cellStyle name="Followed Hyperlink 4" xfId="18597" hidden="1" xr:uid="{00000000-0005-0000-0000-0000CD6D0000}"/>
    <cellStyle name="Followed Hyperlink 4" xfId="18608" hidden="1" xr:uid="{00000000-0005-0000-0000-0000CE6D0000}"/>
    <cellStyle name="Followed Hyperlink 4" xfId="18611" hidden="1" xr:uid="{00000000-0005-0000-0000-0000CF6D0000}"/>
    <cellStyle name="Followed Hyperlink 4" xfId="18614" hidden="1" xr:uid="{00000000-0005-0000-0000-0000D06D0000}"/>
    <cellStyle name="Followed Hyperlink 4" xfId="18616" hidden="1" xr:uid="{00000000-0005-0000-0000-0000D16D0000}"/>
    <cellStyle name="Followed Hyperlink 4" xfId="18617" hidden="1" xr:uid="{00000000-0005-0000-0000-0000D26D0000}"/>
    <cellStyle name="Followed Hyperlink 4" xfId="18620" hidden="1" xr:uid="{00000000-0005-0000-0000-0000D36D0000}"/>
    <cellStyle name="Followed Hyperlink 4" xfId="18629" hidden="1" xr:uid="{00000000-0005-0000-0000-0000D46D0000}"/>
    <cellStyle name="Followed Hyperlink 4" xfId="18621" hidden="1" xr:uid="{00000000-0005-0000-0000-0000D56D0000}"/>
    <cellStyle name="Followed Hyperlink 4" xfId="18632" hidden="1" xr:uid="{00000000-0005-0000-0000-0000D66D0000}"/>
    <cellStyle name="Followed Hyperlink 4" xfId="18635" hidden="1" xr:uid="{00000000-0005-0000-0000-0000D76D0000}"/>
    <cellStyle name="Followed Hyperlink 4" xfId="18638" hidden="1" xr:uid="{00000000-0005-0000-0000-0000D86D0000}"/>
    <cellStyle name="Followed Hyperlink 4" xfId="18640" hidden="1" xr:uid="{00000000-0005-0000-0000-0000D96D0000}"/>
    <cellStyle name="Followed Hyperlink 4" xfId="18641" hidden="1" xr:uid="{00000000-0005-0000-0000-0000DA6D0000}"/>
    <cellStyle name="Followed Hyperlink 4" xfId="18644" hidden="1" xr:uid="{00000000-0005-0000-0000-0000DB6D0000}"/>
    <cellStyle name="Followed Hyperlink 4" xfId="18682" hidden="1" xr:uid="{00000000-0005-0000-0000-0000DC6D0000}"/>
    <cellStyle name="Followed Hyperlink 4" xfId="18674" hidden="1" xr:uid="{00000000-0005-0000-0000-0000DD6D0000}"/>
    <cellStyle name="Followed Hyperlink 4" xfId="18685" hidden="1" xr:uid="{00000000-0005-0000-0000-0000DE6D0000}"/>
    <cellStyle name="Followed Hyperlink 4" xfId="18688" hidden="1" xr:uid="{00000000-0005-0000-0000-0000DF6D0000}"/>
    <cellStyle name="Followed Hyperlink 4" xfId="18691" hidden="1" xr:uid="{00000000-0005-0000-0000-0000E06D0000}"/>
    <cellStyle name="Followed Hyperlink 4" xfId="18693" hidden="1" xr:uid="{00000000-0005-0000-0000-0000E16D0000}"/>
    <cellStyle name="Followed Hyperlink 4" xfId="18694" hidden="1" xr:uid="{00000000-0005-0000-0000-0000E26D0000}"/>
    <cellStyle name="Followed Hyperlink 4" xfId="18697" hidden="1" xr:uid="{00000000-0005-0000-0000-0000E36D0000}"/>
    <cellStyle name="Followed Hyperlink 4" xfId="18706" hidden="1" xr:uid="{00000000-0005-0000-0000-0000E46D0000}"/>
    <cellStyle name="Followed Hyperlink 4" xfId="18698" hidden="1" xr:uid="{00000000-0005-0000-0000-0000E56D0000}"/>
    <cellStyle name="Followed Hyperlink 4" xfId="18709" hidden="1" xr:uid="{00000000-0005-0000-0000-0000E66D0000}"/>
    <cellStyle name="Followed Hyperlink 4" xfId="18712" hidden="1" xr:uid="{00000000-0005-0000-0000-0000E76D0000}"/>
    <cellStyle name="Followed Hyperlink 4" xfId="18715" hidden="1" xr:uid="{00000000-0005-0000-0000-0000E86D0000}"/>
    <cellStyle name="Followed Hyperlink 4" xfId="18717" hidden="1" xr:uid="{00000000-0005-0000-0000-0000E96D0000}"/>
    <cellStyle name="Followed Hyperlink 4" xfId="18718" hidden="1" xr:uid="{00000000-0005-0000-0000-0000EA6D0000}"/>
    <cellStyle name="Followed Hyperlink 4" xfId="18721" hidden="1" xr:uid="{00000000-0005-0000-0000-0000EB6D0000}"/>
    <cellStyle name="Followed Hyperlink 4" xfId="18732" hidden="1" xr:uid="{00000000-0005-0000-0000-0000EC6D0000}"/>
    <cellStyle name="Followed Hyperlink 4" xfId="18724" hidden="1" xr:uid="{00000000-0005-0000-0000-0000ED6D0000}"/>
    <cellStyle name="Followed Hyperlink 4" xfId="18735" hidden="1" xr:uid="{00000000-0005-0000-0000-0000EE6D0000}"/>
    <cellStyle name="Followed Hyperlink 4" xfId="18738" hidden="1" xr:uid="{00000000-0005-0000-0000-0000EF6D0000}"/>
    <cellStyle name="Followed Hyperlink 4" xfId="18741" hidden="1" xr:uid="{00000000-0005-0000-0000-0000F06D0000}"/>
    <cellStyle name="Followed Hyperlink 4" xfId="18743" hidden="1" xr:uid="{00000000-0005-0000-0000-0000F16D0000}"/>
    <cellStyle name="Followed Hyperlink 4" xfId="18744" hidden="1" xr:uid="{00000000-0005-0000-0000-0000F26D0000}"/>
    <cellStyle name="Followed Hyperlink 4" xfId="18747" hidden="1" xr:uid="{00000000-0005-0000-0000-0000F36D0000}"/>
    <cellStyle name="Followed Hyperlink 4" xfId="18756" hidden="1" xr:uid="{00000000-0005-0000-0000-0000F46D0000}"/>
    <cellStyle name="Followed Hyperlink 4" xfId="18748" hidden="1" xr:uid="{00000000-0005-0000-0000-0000F56D0000}"/>
    <cellStyle name="Followed Hyperlink 4" xfId="18759" hidden="1" xr:uid="{00000000-0005-0000-0000-0000F66D0000}"/>
    <cellStyle name="Followed Hyperlink 4" xfId="18762" hidden="1" xr:uid="{00000000-0005-0000-0000-0000F76D0000}"/>
    <cellStyle name="Followed Hyperlink 4" xfId="18765" hidden="1" xr:uid="{00000000-0005-0000-0000-0000F86D0000}"/>
    <cellStyle name="Followed Hyperlink 4" xfId="18767" hidden="1" xr:uid="{00000000-0005-0000-0000-0000F96D0000}"/>
    <cellStyle name="Followed Hyperlink 4" xfId="18768" hidden="1" xr:uid="{00000000-0005-0000-0000-0000FA6D0000}"/>
    <cellStyle name="Followed Hyperlink 4" xfId="18771" hidden="1" xr:uid="{00000000-0005-0000-0000-0000FB6D0000}"/>
    <cellStyle name="Followed Hyperlink 4" xfId="18654" hidden="1" xr:uid="{00000000-0005-0000-0000-0000FC6D0000}"/>
    <cellStyle name="Followed Hyperlink 4" xfId="18648" hidden="1" xr:uid="{00000000-0005-0000-0000-0000FD6D0000}"/>
    <cellStyle name="Followed Hyperlink 4" xfId="18772" hidden="1" xr:uid="{00000000-0005-0000-0000-0000FE6D0000}"/>
    <cellStyle name="Followed Hyperlink 4" xfId="18775" hidden="1" xr:uid="{00000000-0005-0000-0000-0000FF6D0000}"/>
    <cellStyle name="Followed Hyperlink 4" xfId="18778" hidden="1" xr:uid="{00000000-0005-0000-0000-0000006E0000}"/>
    <cellStyle name="Followed Hyperlink 4" xfId="18780" hidden="1" xr:uid="{00000000-0005-0000-0000-0000016E0000}"/>
    <cellStyle name="Followed Hyperlink 4" xfId="18781" hidden="1" xr:uid="{00000000-0005-0000-0000-0000026E0000}"/>
    <cellStyle name="Followed Hyperlink 4" xfId="18784" hidden="1" xr:uid="{00000000-0005-0000-0000-0000036E0000}"/>
    <cellStyle name="Followed Hyperlink 4" xfId="18793" hidden="1" xr:uid="{00000000-0005-0000-0000-0000046E0000}"/>
    <cellStyle name="Followed Hyperlink 4" xfId="18785" hidden="1" xr:uid="{00000000-0005-0000-0000-0000056E0000}"/>
    <cellStyle name="Followed Hyperlink 4" xfId="18796" hidden="1" xr:uid="{00000000-0005-0000-0000-0000066E0000}"/>
    <cellStyle name="Followed Hyperlink 4" xfId="18799" hidden="1" xr:uid="{00000000-0005-0000-0000-0000076E0000}"/>
    <cellStyle name="Followed Hyperlink 4" xfId="18802" hidden="1" xr:uid="{00000000-0005-0000-0000-0000086E0000}"/>
    <cellStyle name="Followed Hyperlink 4" xfId="18804" hidden="1" xr:uid="{00000000-0005-0000-0000-0000096E0000}"/>
    <cellStyle name="Followed Hyperlink 4" xfId="18805" hidden="1" xr:uid="{00000000-0005-0000-0000-00000A6E0000}"/>
    <cellStyle name="Followed Hyperlink 4" xfId="18808" hidden="1" xr:uid="{00000000-0005-0000-0000-00000B6E0000}"/>
    <cellStyle name="Followed Hyperlink 4" xfId="18818" hidden="1" xr:uid="{00000000-0005-0000-0000-00000C6E0000}"/>
    <cellStyle name="Followed Hyperlink 4" xfId="18810" hidden="1" xr:uid="{00000000-0005-0000-0000-00000D6E0000}"/>
    <cellStyle name="Followed Hyperlink 4" xfId="18821" hidden="1" xr:uid="{00000000-0005-0000-0000-00000E6E0000}"/>
    <cellStyle name="Followed Hyperlink 4" xfId="18824" hidden="1" xr:uid="{00000000-0005-0000-0000-00000F6E0000}"/>
    <cellStyle name="Followed Hyperlink 4" xfId="18827" hidden="1" xr:uid="{00000000-0005-0000-0000-0000106E0000}"/>
    <cellStyle name="Followed Hyperlink 4" xfId="18829" hidden="1" xr:uid="{00000000-0005-0000-0000-0000116E0000}"/>
    <cellStyle name="Followed Hyperlink 4" xfId="18830" hidden="1" xr:uid="{00000000-0005-0000-0000-0000126E0000}"/>
    <cellStyle name="Followed Hyperlink 4" xfId="18833" hidden="1" xr:uid="{00000000-0005-0000-0000-0000136E0000}"/>
    <cellStyle name="Followed Hyperlink 4" xfId="18842" hidden="1" xr:uid="{00000000-0005-0000-0000-0000146E0000}"/>
    <cellStyle name="Followed Hyperlink 4" xfId="18834" hidden="1" xr:uid="{00000000-0005-0000-0000-0000156E0000}"/>
    <cellStyle name="Followed Hyperlink 4" xfId="18845" hidden="1" xr:uid="{00000000-0005-0000-0000-0000166E0000}"/>
    <cellStyle name="Followed Hyperlink 4" xfId="18848" hidden="1" xr:uid="{00000000-0005-0000-0000-0000176E0000}"/>
    <cellStyle name="Followed Hyperlink 4" xfId="18851" hidden="1" xr:uid="{00000000-0005-0000-0000-0000186E0000}"/>
    <cellStyle name="Followed Hyperlink 4" xfId="18853" hidden="1" xr:uid="{00000000-0005-0000-0000-0000196E0000}"/>
    <cellStyle name="Followed Hyperlink 4" xfId="18854" hidden="1" xr:uid="{00000000-0005-0000-0000-00001A6E0000}"/>
    <cellStyle name="Followed Hyperlink 4" xfId="18857" hidden="1" xr:uid="{00000000-0005-0000-0000-00001B6E0000}"/>
    <cellStyle name="Followed Hyperlink 4" xfId="18658" hidden="1" xr:uid="{00000000-0005-0000-0000-00001C6E0000}"/>
    <cellStyle name="Followed Hyperlink 4" xfId="18664" hidden="1" xr:uid="{00000000-0005-0000-0000-00001D6E0000}"/>
    <cellStyle name="Followed Hyperlink 4" xfId="18858" hidden="1" xr:uid="{00000000-0005-0000-0000-00001E6E0000}"/>
    <cellStyle name="Followed Hyperlink 4" xfId="18861" hidden="1" xr:uid="{00000000-0005-0000-0000-00001F6E0000}"/>
    <cellStyle name="Followed Hyperlink 4" xfId="18864" hidden="1" xr:uid="{00000000-0005-0000-0000-0000206E0000}"/>
    <cellStyle name="Followed Hyperlink 4" xfId="18866" hidden="1" xr:uid="{00000000-0005-0000-0000-0000216E0000}"/>
    <cellStyle name="Followed Hyperlink 4" xfId="18867" hidden="1" xr:uid="{00000000-0005-0000-0000-0000226E0000}"/>
    <cellStyle name="Followed Hyperlink 4" xfId="18870" hidden="1" xr:uid="{00000000-0005-0000-0000-0000236E0000}"/>
    <cellStyle name="Followed Hyperlink 4" xfId="18879" hidden="1" xr:uid="{00000000-0005-0000-0000-0000246E0000}"/>
    <cellStyle name="Followed Hyperlink 4" xfId="18871" hidden="1" xr:uid="{00000000-0005-0000-0000-0000256E0000}"/>
    <cellStyle name="Followed Hyperlink 4" xfId="18882" hidden="1" xr:uid="{00000000-0005-0000-0000-0000266E0000}"/>
    <cellStyle name="Followed Hyperlink 4" xfId="18885" hidden="1" xr:uid="{00000000-0005-0000-0000-0000276E0000}"/>
    <cellStyle name="Followed Hyperlink 4" xfId="18888" hidden="1" xr:uid="{00000000-0005-0000-0000-0000286E0000}"/>
    <cellStyle name="Followed Hyperlink 4" xfId="18890" hidden="1" xr:uid="{00000000-0005-0000-0000-0000296E0000}"/>
    <cellStyle name="Followed Hyperlink 4" xfId="18891" hidden="1" xr:uid="{00000000-0005-0000-0000-00002A6E0000}"/>
    <cellStyle name="Followed Hyperlink 4" xfId="18894" hidden="1" xr:uid="{00000000-0005-0000-0000-00002B6E0000}"/>
    <cellStyle name="Followed Hyperlink 4" xfId="18904" hidden="1" xr:uid="{00000000-0005-0000-0000-00002C6E0000}"/>
    <cellStyle name="Followed Hyperlink 4" xfId="18896" hidden="1" xr:uid="{00000000-0005-0000-0000-00002D6E0000}"/>
    <cellStyle name="Followed Hyperlink 4" xfId="18907" hidden="1" xr:uid="{00000000-0005-0000-0000-00002E6E0000}"/>
    <cellStyle name="Followed Hyperlink 4" xfId="18910" hidden="1" xr:uid="{00000000-0005-0000-0000-00002F6E0000}"/>
    <cellStyle name="Followed Hyperlink 4" xfId="18913" hidden="1" xr:uid="{00000000-0005-0000-0000-0000306E0000}"/>
    <cellStyle name="Followed Hyperlink 4" xfId="18915" hidden="1" xr:uid="{00000000-0005-0000-0000-0000316E0000}"/>
    <cellStyle name="Followed Hyperlink 4" xfId="18916" hidden="1" xr:uid="{00000000-0005-0000-0000-0000326E0000}"/>
    <cellStyle name="Followed Hyperlink 4" xfId="18919" hidden="1" xr:uid="{00000000-0005-0000-0000-0000336E0000}"/>
    <cellStyle name="Followed Hyperlink 4" xfId="18928" hidden="1" xr:uid="{00000000-0005-0000-0000-0000346E0000}"/>
    <cellStyle name="Followed Hyperlink 4" xfId="18920" hidden="1" xr:uid="{00000000-0005-0000-0000-0000356E0000}"/>
    <cellStyle name="Followed Hyperlink 4" xfId="18931" hidden="1" xr:uid="{00000000-0005-0000-0000-0000366E0000}"/>
    <cellStyle name="Followed Hyperlink 4" xfId="18934" hidden="1" xr:uid="{00000000-0005-0000-0000-0000376E0000}"/>
    <cellStyle name="Followed Hyperlink 4" xfId="18937" hidden="1" xr:uid="{00000000-0005-0000-0000-0000386E0000}"/>
    <cellStyle name="Followed Hyperlink 4" xfId="18939" hidden="1" xr:uid="{00000000-0005-0000-0000-0000396E0000}"/>
    <cellStyle name="Followed Hyperlink 4" xfId="18940" hidden="1" xr:uid="{00000000-0005-0000-0000-00003A6E0000}"/>
    <cellStyle name="Followed Hyperlink 4" xfId="18943" hidden="1" xr:uid="{00000000-0005-0000-0000-00003B6E0000}"/>
    <cellStyle name="Followed Hyperlink 4" xfId="18668" hidden="1" xr:uid="{00000000-0005-0000-0000-00003C6E0000}"/>
    <cellStyle name="Followed Hyperlink 4" xfId="18723" hidden="1" xr:uid="{00000000-0005-0000-0000-00003D6E0000}"/>
    <cellStyle name="Followed Hyperlink 4" xfId="18944" hidden="1" xr:uid="{00000000-0005-0000-0000-00003E6E0000}"/>
    <cellStyle name="Followed Hyperlink 4" xfId="18947" hidden="1" xr:uid="{00000000-0005-0000-0000-00003F6E0000}"/>
    <cellStyle name="Followed Hyperlink 4" xfId="18950" hidden="1" xr:uid="{00000000-0005-0000-0000-0000406E0000}"/>
    <cellStyle name="Followed Hyperlink 4" xfId="18952" hidden="1" xr:uid="{00000000-0005-0000-0000-0000416E0000}"/>
    <cellStyle name="Followed Hyperlink 4" xfId="18953" hidden="1" xr:uid="{00000000-0005-0000-0000-0000426E0000}"/>
    <cellStyle name="Followed Hyperlink 4" xfId="18956" hidden="1" xr:uid="{00000000-0005-0000-0000-0000436E0000}"/>
    <cellStyle name="Followed Hyperlink 4" xfId="18965" hidden="1" xr:uid="{00000000-0005-0000-0000-0000446E0000}"/>
    <cellStyle name="Followed Hyperlink 4" xfId="18957" hidden="1" xr:uid="{00000000-0005-0000-0000-0000456E0000}"/>
    <cellStyle name="Followed Hyperlink 4" xfId="18968" hidden="1" xr:uid="{00000000-0005-0000-0000-0000466E0000}"/>
    <cellStyle name="Followed Hyperlink 4" xfId="18971" hidden="1" xr:uid="{00000000-0005-0000-0000-0000476E0000}"/>
    <cellStyle name="Followed Hyperlink 4" xfId="18974" hidden="1" xr:uid="{00000000-0005-0000-0000-0000486E0000}"/>
    <cellStyle name="Followed Hyperlink 4" xfId="18976" hidden="1" xr:uid="{00000000-0005-0000-0000-0000496E0000}"/>
    <cellStyle name="Followed Hyperlink 4" xfId="18977" hidden="1" xr:uid="{00000000-0005-0000-0000-00004A6E0000}"/>
    <cellStyle name="Followed Hyperlink 4" xfId="18980" hidden="1" xr:uid="{00000000-0005-0000-0000-00004B6E0000}"/>
    <cellStyle name="Followed Hyperlink 4" xfId="18989" hidden="1" xr:uid="{00000000-0005-0000-0000-00004C6E0000}"/>
    <cellStyle name="Followed Hyperlink 4" xfId="18981" hidden="1" xr:uid="{00000000-0005-0000-0000-00004D6E0000}"/>
    <cellStyle name="Followed Hyperlink 4" xfId="18992" hidden="1" xr:uid="{00000000-0005-0000-0000-00004E6E0000}"/>
    <cellStyle name="Followed Hyperlink 4" xfId="18995" hidden="1" xr:uid="{00000000-0005-0000-0000-00004F6E0000}"/>
    <cellStyle name="Followed Hyperlink 4" xfId="18998" hidden="1" xr:uid="{00000000-0005-0000-0000-0000506E0000}"/>
    <cellStyle name="Followed Hyperlink 4" xfId="19000" hidden="1" xr:uid="{00000000-0005-0000-0000-0000516E0000}"/>
    <cellStyle name="Followed Hyperlink 4" xfId="19001" hidden="1" xr:uid="{00000000-0005-0000-0000-0000526E0000}"/>
    <cellStyle name="Followed Hyperlink 4" xfId="19004" hidden="1" xr:uid="{00000000-0005-0000-0000-0000536E0000}"/>
    <cellStyle name="Followed Hyperlink 4" xfId="19013" hidden="1" xr:uid="{00000000-0005-0000-0000-0000546E0000}"/>
    <cellStyle name="Followed Hyperlink 4" xfId="19005" hidden="1" xr:uid="{00000000-0005-0000-0000-0000556E0000}"/>
    <cellStyle name="Followed Hyperlink 4" xfId="19016" hidden="1" xr:uid="{00000000-0005-0000-0000-0000566E0000}"/>
    <cellStyle name="Followed Hyperlink 4" xfId="19019" hidden="1" xr:uid="{00000000-0005-0000-0000-0000576E0000}"/>
    <cellStyle name="Followed Hyperlink 4" xfId="19022" hidden="1" xr:uid="{00000000-0005-0000-0000-0000586E0000}"/>
    <cellStyle name="Followed Hyperlink 4" xfId="19024" hidden="1" xr:uid="{00000000-0005-0000-0000-0000596E0000}"/>
    <cellStyle name="Followed Hyperlink 4" xfId="19025" hidden="1" xr:uid="{00000000-0005-0000-0000-00005A6E0000}"/>
    <cellStyle name="Followed Hyperlink 4" xfId="19028" hidden="1" xr:uid="{00000000-0005-0000-0000-00005B6E0000}"/>
    <cellStyle name="Followed Hyperlink 4" xfId="16991" hidden="1" xr:uid="{00000000-0005-0000-0000-00005C6E0000}"/>
    <cellStyle name="Followed Hyperlink 4" xfId="16985" hidden="1" xr:uid="{00000000-0005-0000-0000-00005D6E0000}"/>
    <cellStyle name="Followed Hyperlink 4" xfId="19029" hidden="1" xr:uid="{00000000-0005-0000-0000-00005E6E0000}"/>
    <cellStyle name="Followed Hyperlink 4" xfId="19032" hidden="1" xr:uid="{00000000-0005-0000-0000-00005F6E0000}"/>
    <cellStyle name="Followed Hyperlink 4" xfId="19035" hidden="1" xr:uid="{00000000-0005-0000-0000-0000606E0000}"/>
    <cellStyle name="Followed Hyperlink 4" xfId="19037" hidden="1" xr:uid="{00000000-0005-0000-0000-0000616E0000}"/>
    <cellStyle name="Followed Hyperlink 4" xfId="19038" hidden="1" xr:uid="{00000000-0005-0000-0000-0000626E0000}"/>
    <cellStyle name="Followed Hyperlink 4" xfId="19041" hidden="1" xr:uid="{00000000-0005-0000-0000-0000636E0000}"/>
    <cellStyle name="Followed Hyperlink 4" xfId="19050" hidden="1" xr:uid="{00000000-0005-0000-0000-0000646E0000}"/>
    <cellStyle name="Followed Hyperlink 4" xfId="19042" hidden="1" xr:uid="{00000000-0005-0000-0000-0000656E0000}"/>
    <cellStyle name="Followed Hyperlink 4" xfId="19053" hidden="1" xr:uid="{00000000-0005-0000-0000-0000666E0000}"/>
    <cellStyle name="Followed Hyperlink 4" xfId="19056" hidden="1" xr:uid="{00000000-0005-0000-0000-0000676E0000}"/>
    <cellStyle name="Followed Hyperlink 4" xfId="19059" hidden="1" xr:uid="{00000000-0005-0000-0000-0000686E0000}"/>
    <cellStyle name="Followed Hyperlink 4" xfId="19061" hidden="1" xr:uid="{00000000-0005-0000-0000-0000696E0000}"/>
    <cellStyle name="Followed Hyperlink 4" xfId="19062" hidden="1" xr:uid="{00000000-0005-0000-0000-00006A6E0000}"/>
    <cellStyle name="Followed Hyperlink 4" xfId="19065" hidden="1" xr:uid="{00000000-0005-0000-0000-00006B6E0000}"/>
    <cellStyle name="Followed Hyperlink 4" xfId="19075" hidden="1" xr:uid="{00000000-0005-0000-0000-00006C6E0000}"/>
    <cellStyle name="Followed Hyperlink 4" xfId="19067" hidden="1" xr:uid="{00000000-0005-0000-0000-00006D6E0000}"/>
    <cellStyle name="Followed Hyperlink 4" xfId="19078" hidden="1" xr:uid="{00000000-0005-0000-0000-00006E6E0000}"/>
    <cellStyle name="Followed Hyperlink 4" xfId="19081" hidden="1" xr:uid="{00000000-0005-0000-0000-00006F6E0000}"/>
    <cellStyle name="Followed Hyperlink 4" xfId="19084" hidden="1" xr:uid="{00000000-0005-0000-0000-0000706E0000}"/>
    <cellStyle name="Followed Hyperlink 4" xfId="19086" hidden="1" xr:uid="{00000000-0005-0000-0000-0000716E0000}"/>
    <cellStyle name="Followed Hyperlink 4" xfId="19087" hidden="1" xr:uid="{00000000-0005-0000-0000-0000726E0000}"/>
    <cellStyle name="Followed Hyperlink 4" xfId="19090" hidden="1" xr:uid="{00000000-0005-0000-0000-0000736E0000}"/>
    <cellStyle name="Followed Hyperlink 4" xfId="19099" hidden="1" xr:uid="{00000000-0005-0000-0000-0000746E0000}"/>
    <cellStyle name="Followed Hyperlink 4" xfId="19091" hidden="1" xr:uid="{00000000-0005-0000-0000-0000756E0000}"/>
    <cellStyle name="Followed Hyperlink 4" xfId="19102" hidden="1" xr:uid="{00000000-0005-0000-0000-0000766E0000}"/>
    <cellStyle name="Followed Hyperlink 4" xfId="19105" hidden="1" xr:uid="{00000000-0005-0000-0000-0000776E0000}"/>
    <cellStyle name="Followed Hyperlink 4" xfId="19108" hidden="1" xr:uid="{00000000-0005-0000-0000-0000786E0000}"/>
    <cellStyle name="Followed Hyperlink 4" xfId="19110" hidden="1" xr:uid="{00000000-0005-0000-0000-0000796E0000}"/>
    <cellStyle name="Followed Hyperlink 4" xfId="19111" hidden="1" xr:uid="{00000000-0005-0000-0000-00007A6E0000}"/>
    <cellStyle name="Followed Hyperlink 4" xfId="19114" hidden="1" xr:uid="{00000000-0005-0000-0000-00007B6E0000}"/>
    <cellStyle name="Followed Hyperlink 4" xfId="19152" hidden="1" xr:uid="{00000000-0005-0000-0000-00007C6E0000}"/>
    <cellStyle name="Followed Hyperlink 4" xfId="19144" hidden="1" xr:uid="{00000000-0005-0000-0000-00007D6E0000}"/>
    <cellStyle name="Followed Hyperlink 4" xfId="19155" hidden="1" xr:uid="{00000000-0005-0000-0000-00007E6E0000}"/>
    <cellStyle name="Followed Hyperlink 4" xfId="19158" hidden="1" xr:uid="{00000000-0005-0000-0000-00007F6E0000}"/>
    <cellStyle name="Followed Hyperlink 4" xfId="19161" hidden="1" xr:uid="{00000000-0005-0000-0000-0000806E0000}"/>
    <cellStyle name="Followed Hyperlink 4" xfId="19163" hidden="1" xr:uid="{00000000-0005-0000-0000-0000816E0000}"/>
    <cellStyle name="Followed Hyperlink 4" xfId="19164" hidden="1" xr:uid="{00000000-0005-0000-0000-0000826E0000}"/>
    <cellStyle name="Followed Hyperlink 4" xfId="19167" hidden="1" xr:uid="{00000000-0005-0000-0000-0000836E0000}"/>
    <cellStyle name="Followed Hyperlink 4" xfId="19176" hidden="1" xr:uid="{00000000-0005-0000-0000-0000846E0000}"/>
    <cellStyle name="Followed Hyperlink 4" xfId="19168" hidden="1" xr:uid="{00000000-0005-0000-0000-0000856E0000}"/>
    <cellStyle name="Followed Hyperlink 4" xfId="19179" hidden="1" xr:uid="{00000000-0005-0000-0000-0000866E0000}"/>
    <cellStyle name="Followed Hyperlink 4" xfId="19182" hidden="1" xr:uid="{00000000-0005-0000-0000-0000876E0000}"/>
    <cellStyle name="Followed Hyperlink 4" xfId="19185" hidden="1" xr:uid="{00000000-0005-0000-0000-0000886E0000}"/>
    <cellStyle name="Followed Hyperlink 4" xfId="19187" hidden="1" xr:uid="{00000000-0005-0000-0000-0000896E0000}"/>
    <cellStyle name="Followed Hyperlink 4" xfId="19188" hidden="1" xr:uid="{00000000-0005-0000-0000-00008A6E0000}"/>
    <cellStyle name="Followed Hyperlink 4" xfId="19191" hidden="1" xr:uid="{00000000-0005-0000-0000-00008B6E0000}"/>
    <cellStyle name="Followed Hyperlink 4" xfId="19202" hidden="1" xr:uid="{00000000-0005-0000-0000-00008C6E0000}"/>
    <cellStyle name="Followed Hyperlink 4" xfId="19194" hidden="1" xr:uid="{00000000-0005-0000-0000-00008D6E0000}"/>
    <cellStyle name="Followed Hyperlink 4" xfId="19205" hidden="1" xr:uid="{00000000-0005-0000-0000-00008E6E0000}"/>
    <cellStyle name="Followed Hyperlink 4" xfId="19208" hidden="1" xr:uid="{00000000-0005-0000-0000-00008F6E0000}"/>
    <cellStyle name="Followed Hyperlink 4" xfId="19211" hidden="1" xr:uid="{00000000-0005-0000-0000-0000906E0000}"/>
    <cellStyle name="Followed Hyperlink 4" xfId="19213" hidden="1" xr:uid="{00000000-0005-0000-0000-0000916E0000}"/>
    <cellStyle name="Followed Hyperlink 4" xfId="19214" hidden="1" xr:uid="{00000000-0005-0000-0000-0000926E0000}"/>
    <cellStyle name="Followed Hyperlink 4" xfId="19217" hidden="1" xr:uid="{00000000-0005-0000-0000-0000936E0000}"/>
    <cellStyle name="Followed Hyperlink 4" xfId="19226" hidden="1" xr:uid="{00000000-0005-0000-0000-0000946E0000}"/>
    <cellStyle name="Followed Hyperlink 4" xfId="19218" hidden="1" xr:uid="{00000000-0005-0000-0000-0000956E0000}"/>
    <cellStyle name="Followed Hyperlink 4" xfId="19229" hidden="1" xr:uid="{00000000-0005-0000-0000-0000966E0000}"/>
    <cellStyle name="Followed Hyperlink 4" xfId="19232" hidden="1" xr:uid="{00000000-0005-0000-0000-0000976E0000}"/>
    <cellStyle name="Followed Hyperlink 4" xfId="19235" hidden="1" xr:uid="{00000000-0005-0000-0000-0000986E0000}"/>
    <cellStyle name="Followed Hyperlink 4" xfId="19237" hidden="1" xr:uid="{00000000-0005-0000-0000-0000996E0000}"/>
    <cellStyle name="Followed Hyperlink 4" xfId="19238" hidden="1" xr:uid="{00000000-0005-0000-0000-00009A6E0000}"/>
    <cellStyle name="Followed Hyperlink 4" xfId="19241" hidden="1" xr:uid="{00000000-0005-0000-0000-00009B6E0000}"/>
    <cellStyle name="Followed Hyperlink 4" xfId="19279" hidden="1" xr:uid="{00000000-0005-0000-0000-00009C6E0000}"/>
    <cellStyle name="Followed Hyperlink 4" xfId="19271" hidden="1" xr:uid="{00000000-0005-0000-0000-00009D6E0000}"/>
    <cellStyle name="Followed Hyperlink 4" xfId="19282" hidden="1" xr:uid="{00000000-0005-0000-0000-00009E6E0000}"/>
    <cellStyle name="Followed Hyperlink 4" xfId="19285" hidden="1" xr:uid="{00000000-0005-0000-0000-00009F6E0000}"/>
    <cellStyle name="Followed Hyperlink 4" xfId="19288" hidden="1" xr:uid="{00000000-0005-0000-0000-0000A06E0000}"/>
    <cellStyle name="Followed Hyperlink 4" xfId="19290" hidden="1" xr:uid="{00000000-0005-0000-0000-0000A16E0000}"/>
    <cellStyle name="Followed Hyperlink 4" xfId="19291" hidden="1" xr:uid="{00000000-0005-0000-0000-0000A26E0000}"/>
    <cellStyle name="Followed Hyperlink 4" xfId="19294" hidden="1" xr:uid="{00000000-0005-0000-0000-0000A36E0000}"/>
    <cellStyle name="Followed Hyperlink 4" xfId="19303" hidden="1" xr:uid="{00000000-0005-0000-0000-0000A46E0000}"/>
    <cellStyle name="Followed Hyperlink 4" xfId="19295" hidden="1" xr:uid="{00000000-0005-0000-0000-0000A56E0000}"/>
    <cellStyle name="Followed Hyperlink 4" xfId="19306" hidden="1" xr:uid="{00000000-0005-0000-0000-0000A66E0000}"/>
    <cellStyle name="Followed Hyperlink 4" xfId="19309" hidden="1" xr:uid="{00000000-0005-0000-0000-0000A76E0000}"/>
    <cellStyle name="Followed Hyperlink 4" xfId="19312" hidden="1" xr:uid="{00000000-0005-0000-0000-0000A86E0000}"/>
    <cellStyle name="Followed Hyperlink 4" xfId="19314" hidden="1" xr:uid="{00000000-0005-0000-0000-0000A96E0000}"/>
    <cellStyle name="Followed Hyperlink 4" xfId="19315" hidden="1" xr:uid="{00000000-0005-0000-0000-0000AA6E0000}"/>
    <cellStyle name="Followed Hyperlink 4" xfId="19318" hidden="1" xr:uid="{00000000-0005-0000-0000-0000AB6E0000}"/>
    <cellStyle name="Followed Hyperlink 4" xfId="19329" hidden="1" xr:uid="{00000000-0005-0000-0000-0000AC6E0000}"/>
    <cellStyle name="Followed Hyperlink 4" xfId="19321" hidden="1" xr:uid="{00000000-0005-0000-0000-0000AD6E0000}"/>
    <cellStyle name="Followed Hyperlink 4" xfId="19332" hidden="1" xr:uid="{00000000-0005-0000-0000-0000AE6E0000}"/>
    <cellStyle name="Followed Hyperlink 4" xfId="19335" hidden="1" xr:uid="{00000000-0005-0000-0000-0000AF6E0000}"/>
    <cellStyle name="Followed Hyperlink 4" xfId="19338" hidden="1" xr:uid="{00000000-0005-0000-0000-0000B06E0000}"/>
    <cellStyle name="Followed Hyperlink 4" xfId="19340" hidden="1" xr:uid="{00000000-0005-0000-0000-0000B16E0000}"/>
    <cellStyle name="Followed Hyperlink 4" xfId="19341" hidden="1" xr:uid="{00000000-0005-0000-0000-0000B26E0000}"/>
    <cellStyle name="Followed Hyperlink 4" xfId="19344" hidden="1" xr:uid="{00000000-0005-0000-0000-0000B36E0000}"/>
    <cellStyle name="Followed Hyperlink 4" xfId="19353" hidden="1" xr:uid="{00000000-0005-0000-0000-0000B46E0000}"/>
    <cellStyle name="Followed Hyperlink 4" xfId="19345" hidden="1" xr:uid="{00000000-0005-0000-0000-0000B56E0000}"/>
    <cellStyle name="Followed Hyperlink 4" xfId="19356" hidden="1" xr:uid="{00000000-0005-0000-0000-0000B66E0000}"/>
    <cellStyle name="Followed Hyperlink 4" xfId="19359" hidden="1" xr:uid="{00000000-0005-0000-0000-0000B76E0000}"/>
    <cellStyle name="Followed Hyperlink 4" xfId="19362" hidden="1" xr:uid="{00000000-0005-0000-0000-0000B86E0000}"/>
    <cellStyle name="Followed Hyperlink 4" xfId="19364" hidden="1" xr:uid="{00000000-0005-0000-0000-0000B96E0000}"/>
    <cellStyle name="Followed Hyperlink 4" xfId="19365" hidden="1" xr:uid="{00000000-0005-0000-0000-0000BA6E0000}"/>
    <cellStyle name="Followed Hyperlink 4" xfId="19368" hidden="1" xr:uid="{00000000-0005-0000-0000-0000BB6E0000}"/>
    <cellStyle name="Followed Hyperlink 4" xfId="19251" hidden="1" xr:uid="{00000000-0005-0000-0000-0000BC6E0000}"/>
    <cellStyle name="Followed Hyperlink 4" xfId="19245" hidden="1" xr:uid="{00000000-0005-0000-0000-0000BD6E0000}"/>
    <cellStyle name="Followed Hyperlink 4" xfId="19369" hidden="1" xr:uid="{00000000-0005-0000-0000-0000BE6E0000}"/>
    <cellStyle name="Followed Hyperlink 4" xfId="19372" hidden="1" xr:uid="{00000000-0005-0000-0000-0000BF6E0000}"/>
    <cellStyle name="Followed Hyperlink 4" xfId="19375" hidden="1" xr:uid="{00000000-0005-0000-0000-0000C06E0000}"/>
    <cellStyle name="Followed Hyperlink 4" xfId="19377" hidden="1" xr:uid="{00000000-0005-0000-0000-0000C16E0000}"/>
    <cellStyle name="Followed Hyperlink 4" xfId="19378" hidden="1" xr:uid="{00000000-0005-0000-0000-0000C26E0000}"/>
    <cellStyle name="Followed Hyperlink 4" xfId="19381" hidden="1" xr:uid="{00000000-0005-0000-0000-0000C36E0000}"/>
    <cellStyle name="Followed Hyperlink 4" xfId="19390" hidden="1" xr:uid="{00000000-0005-0000-0000-0000C46E0000}"/>
    <cellStyle name="Followed Hyperlink 4" xfId="19382" hidden="1" xr:uid="{00000000-0005-0000-0000-0000C56E0000}"/>
    <cellStyle name="Followed Hyperlink 4" xfId="19393" hidden="1" xr:uid="{00000000-0005-0000-0000-0000C66E0000}"/>
    <cellStyle name="Followed Hyperlink 4" xfId="19396" hidden="1" xr:uid="{00000000-0005-0000-0000-0000C76E0000}"/>
    <cellStyle name="Followed Hyperlink 4" xfId="19399" hidden="1" xr:uid="{00000000-0005-0000-0000-0000C86E0000}"/>
    <cellStyle name="Followed Hyperlink 4" xfId="19401" hidden="1" xr:uid="{00000000-0005-0000-0000-0000C96E0000}"/>
    <cellStyle name="Followed Hyperlink 4" xfId="19402" hidden="1" xr:uid="{00000000-0005-0000-0000-0000CA6E0000}"/>
    <cellStyle name="Followed Hyperlink 4" xfId="19405" hidden="1" xr:uid="{00000000-0005-0000-0000-0000CB6E0000}"/>
    <cellStyle name="Followed Hyperlink 4" xfId="19415" hidden="1" xr:uid="{00000000-0005-0000-0000-0000CC6E0000}"/>
    <cellStyle name="Followed Hyperlink 4" xfId="19407" hidden="1" xr:uid="{00000000-0005-0000-0000-0000CD6E0000}"/>
    <cellStyle name="Followed Hyperlink 4" xfId="19418" hidden="1" xr:uid="{00000000-0005-0000-0000-0000CE6E0000}"/>
    <cellStyle name="Followed Hyperlink 4" xfId="19421" hidden="1" xr:uid="{00000000-0005-0000-0000-0000CF6E0000}"/>
    <cellStyle name="Followed Hyperlink 4" xfId="19424" hidden="1" xr:uid="{00000000-0005-0000-0000-0000D06E0000}"/>
    <cellStyle name="Followed Hyperlink 4" xfId="19426" hidden="1" xr:uid="{00000000-0005-0000-0000-0000D16E0000}"/>
    <cellStyle name="Followed Hyperlink 4" xfId="19427" hidden="1" xr:uid="{00000000-0005-0000-0000-0000D26E0000}"/>
    <cellStyle name="Followed Hyperlink 4" xfId="19430" hidden="1" xr:uid="{00000000-0005-0000-0000-0000D36E0000}"/>
    <cellStyle name="Followed Hyperlink 4" xfId="19439" hidden="1" xr:uid="{00000000-0005-0000-0000-0000D46E0000}"/>
    <cellStyle name="Followed Hyperlink 4" xfId="19431" hidden="1" xr:uid="{00000000-0005-0000-0000-0000D56E0000}"/>
    <cellStyle name="Followed Hyperlink 4" xfId="19442" hidden="1" xr:uid="{00000000-0005-0000-0000-0000D66E0000}"/>
    <cellStyle name="Followed Hyperlink 4" xfId="19445" hidden="1" xr:uid="{00000000-0005-0000-0000-0000D76E0000}"/>
    <cellStyle name="Followed Hyperlink 4" xfId="19448" hidden="1" xr:uid="{00000000-0005-0000-0000-0000D86E0000}"/>
    <cellStyle name="Followed Hyperlink 4" xfId="19450" hidden="1" xr:uid="{00000000-0005-0000-0000-0000D96E0000}"/>
    <cellStyle name="Followed Hyperlink 4" xfId="19451" hidden="1" xr:uid="{00000000-0005-0000-0000-0000DA6E0000}"/>
    <cellStyle name="Followed Hyperlink 4" xfId="19454" hidden="1" xr:uid="{00000000-0005-0000-0000-0000DB6E0000}"/>
    <cellStyle name="Followed Hyperlink 4" xfId="19255" hidden="1" xr:uid="{00000000-0005-0000-0000-0000DC6E0000}"/>
    <cellStyle name="Followed Hyperlink 4" xfId="19261" hidden="1" xr:uid="{00000000-0005-0000-0000-0000DD6E0000}"/>
    <cellStyle name="Followed Hyperlink 4" xfId="19455" hidden="1" xr:uid="{00000000-0005-0000-0000-0000DE6E0000}"/>
    <cellStyle name="Followed Hyperlink 4" xfId="19458" hidden="1" xr:uid="{00000000-0005-0000-0000-0000DF6E0000}"/>
    <cellStyle name="Followed Hyperlink 4" xfId="19461" hidden="1" xr:uid="{00000000-0005-0000-0000-0000E06E0000}"/>
    <cellStyle name="Followed Hyperlink 4" xfId="19463" hidden="1" xr:uid="{00000000-0005-0000-0000-0000E16E0000}"/>
    <cellStyle name="Followed Hyperlink 4" xfId="19464" hidden="1" xr:uid="{00000000-0005-0000-0000-0000E26E0000}"/>
    <cellStyle name="Followed Hyperlink 4" xfId="19467" hidden="1" xr:uid="{00000000-0005-0000-0000-0000E36E0000}"/>
    <cellStyle name="Followed Hyperlink 4" xfId="19476" hidden="1" xr:uid="{00000000-0005-0000-0000-0000E46E0000}"/>
    <cellStyle name="Followed Hyperlink 4" xfId="19468" hidden="1" xr:uid="{00000000-0005-0000-0000-0000E56E0000}"/>
    <cellStyle name="Followed Hyperlink 4" xfId="19479" hidden="1" xr:uid="{00000000-0005-0000-0000-0000E66E0000}"/>
    <cellStyle name="Followed Hyperlink 4" xfId="19482" hidden="1" xr:uid="{00000000-0005-0000-0000-0000E76E0000}"/>
    <cellStyle name="Followed Hyperlink 4" xfId="19485" hidden="1" xr:uid="{00000000-0005-0000-0000-0000E86E0000}"/>
    <cellStyle name="Followed Hyperlink 4" xfId="19487" hidden="1" xr:uid="{00000000-0005-0000-0000-0000E96E0000}"/>
    <cellStyle name="Followed Hyperlink 4" xfId="19488" hidden="1" xr:uid="{00000000-0005-0000-0000-0000EA6E0000}"/>
    <cellStyle name="Followed Hyperlink 4" xfId="19491" hidden="1" xr:uid="{00000000-0005-0000-0000-0000EB6E0000}"/>
    <cellStyle name="Followed Hyperlink 4" xfId="19501" hidden="1" xr:uid="{00000000-0005-0000-0000-0000EC6E0000}"/>
    <cellStyle name="Followed Hyperlink 4" xfId="19493" hidden="1" xr:uid="{00000000-0005-0000-0000-0000ED6E0000}"/>
    <cellStyle name="Followed Hyperlink 4" xfId="19504" hidden="1" xr:uid="{00000000-0005-0000-0000-0000EE6E0000}"/>
    <cellStyle name="Followed Hyperlink 4" xfId="19507" hidden="1" xr:uid="{00000000-0005-0000-0000-0000EF6E0000}"/>
    <cellStyle name="Followed Hyperlink 4" xfId="19510" hidden="1" xr:uid="{00000000-0005-0000-0000-0000F06E0000}"/>
    <cellStyle name="Followed Hyperlink 4" xfId="19512" hidden="1" xr:uid="{00000000-0005-0000-0000-0000F16E0000}"/>
    <cellStyle name="Followed Hyperlink 4" xfId="19513" hidden="1" xr:uid="{00000000-0005-0000-0000-0000F26E0000}"/>
    <cellStyle name="Followed Hyperlink 4" xfId="19516" hidden="1" xr:uid="{00000000-0005-0000-0000-0000F36E0000}"/>
    <cellStyle name="Followed Hyperlink 4" xfId="19525" hidden="1" xr:uid="{00000000-0005-0000-0000-0000F46E0000}"/>
    <cellStyle name="Followed Hyperlink 4" xfId="19517" hidden="1" xr:uid="{00000000-0005-0000-0000-0000F56E0000}"/>
    <cellStyle name="Followed Hyperlink 4" xfId="19528" hidden="1" xr:uid="{00000000-0005-0000-0000-0000F66E0000}"/>
    <cellStyle name="Followed Hyperlink 4" xfId="19531" hidden="1" xr:uid="{00000000-0005-0000-0000-0000F76E0000}"/>
    <cellStyle name="Followed Hyperlink 4" xfId="19534" hidden="1" xr:uid="{00000000-0005-0000-0000-0000F86E0000}"/>
    <cellStyle name="Followed Hyperlink 4" xfId="19536" hidden="1" xr:uid="{00000000-0005-0000-0000-0000F96E0000}"/>
    <cellStyle name="Followed Hyperlink 4" xfId="19537" hidden="1" xr:uid="{00000000-0005-0000-0000-0000FA6E0000}"/>
    <cellStyle name="Followed Hyperlink 4" xfId="19540" hidden="1" xr:uid="{00000000-0005-0000-0000-0000FB6E0000}"/>
    <cellStyle name="Followed Hyperlink 4" xfId="19265" hidden="1" xr:uid="{00000000-0005-0000-0000-0000FC6E0000}"/>
    <cellStyle name="Followed Hyperlink 4" xfId="19320" hidden="1" xr:uid="{00000000-0005-0000-0000-0000FD6E0000}"/>
    <cellStyle name="Followed Hyperlink 4" xfId="19541" hidden="1" xr:uid="{00000000-0005-0000-0000-0000FE6E0000}"/>
    <cellStyle name="Followed Hyperlink 4" xfId="19544" hidden="1" xr:uid="{00000000-0005-0000-0000-0000FF6E0000}"/>
    <cellStyle name="Followed Hyperlink 4" xfId="19547" hidden="1" xr:uid="{00000000-0005-0000-0000-0000006F0000}"/>
    <cellStyle name="Followed Hyperlink 4" xfId="19549" hidden="1" xr:uid="{00000000-0005-0000-0000-0000016F0000}"/>
    <cellStyle name="Followed Hyperlink 4" xfId="19550" hidden="1" xr:uid="{00000000-0005-0000-0000-0000026F0000}"/>
    <cellStyle name="Followed Hyperlink 4" xfId="19553" hidden="1" xr:uid="{00000000-0005-0000-0000-0000036F0000}"/>
    <cellStyle name="Followed Hyperlink 4" xfId="19562" hidden="1" xr:uid="{00000000-0005-0000-0000-0000046F0000}"/>
    <cellStyle name="Followed Hyperlink 4" xfId="19554" hidden="1" xr:uid="{00000000-0005-0000-0000-0000056F0000}"/>
    <cellStyle name="Followed Hyperlink 4" xfId="19565" hidden="1" xr:uid="{00000000-0005-0000-0000-0000066F0000}"/>
    <cellStyle name="Followed Hyperlink 4" xfId="19568" hidden="1" xr:uid="{00000000-0005-0000-0000-0000076F0000}"/>
    <cellStyle name="Followed Hyperlink 4" xfId="19571" hidden="1" xr:uid="{00000000-0005-0000-0000-0000086F0000}"/>
    <cellStyle name="Followed Hyperlink 4" xfId="19573" hidden="1" xr:uid="{00000000-0005-0000-0000-0000096F0000}"/>
    <cellStyle name="Followed Hyperlink 4" xfId="19574" hidden="1" xr:uid="{00000000-0005-0000-0000-00000A6F0000}"/>
    <cellStyle name="Followed Hyperlink 4" xfId="19577" hidden="1" xr:uid="{00000000-0005-0000-0000-00000B6F0000}"/>
    <cellStyle name="Followed Hyperlink 4" xfId="19586" hidden="1" xr:uid="{00000000-0005-0000-0000-00000C6F0000}"/>
    <cellStyle name="Followed Hyperlink 4" xfId="19578" hidden="1" xr:uid="{00000000-0005-0000-0000-00000D6F0000}"/>
    <cellStyle name="Followed Hyperlink 4" xfId="19589" hidden="1" xr:uid="{00000000-0005-0000-0000-00000E6F0000}"/>
    <cellStyle name="Followed Hyperlink 4" xfId="19592" hidden="1" xr:uid="{00000000-0005-0000-0000-00000F6F0000}"/>
    <cellStyle name="Followed Hyperlink 4" xfId="19595" hidden="1" xr:uid="{00000000-0005-0000-0000-0000106F0000}"/>
    <cellStyle name="Followed Hyperlink 4" xfId="19597" hidden="1" xr:uid="{00000000-0005-0000-0000-0000116F0000}"/>
    <cellStyle name="Followed Hyperlink 4" xfId="19598" hidden="1" xr:uid="{00000000-0005-0000-0000-0000126F0000}"/>
    <cellStyle name="Followed Hyperlink 4" xfId="19601" hidden="1" xr:uid="{00000000-0005-0000-0000-0000136F0000}"/>
    <cellStyle name="Followed Hyperlink 4" xfId="19610" hidden="1" xr:uid="{00000000-0005-0000-0000-0000146F0000}"/>
    <cellStyle name="Followed Hyperlink 4" xfId="19602" hidden="1" xr:uid="{00000000-0005-0000-0000-0000156F0000}"/>
    <cellStyle name="Followed Hyperlink 4" xfId="19613" hidden="1" xr:uid="{00000000-0005-0000-0000-0000166F0000}"/>
    <cellStyle name="Followed Hyperlink 4" xfId="19616" hidden="1" xr:uid="{00000000-0005-0000-0000-0000176F0000}"/>
    <cellStyle name="Followed Hyperlink 4" xfId="19619" hidden="1" xr:uid="{00000000-0005-0000-0000-0000186F0000}"/>
    <cellStyle name="Followed Hyperlink 4" xfId="19621" hidden="1" xr:uid="{00000000-0005-0000-0000-0000196F0000}"/>
    <cellStyle name="Followed Hyperlink 4" xfId="19622" hidden="1" xr:uid="{00000000-0005-0000-0000-00001A6F0000}"/>
    <cellStyle name="Followed Hyperlink 4" xfId="19625" hidden="1" xr:uid="{00000000-0005-0000-0000-00001B6F0000}"/>
    <cellStyle name="Followed Hyperlink 4" xfId="19124" hidden="1" xr:uid="{00000000-0005-0000-0000-00001C6F0000}"/>
    <cellStyle name="Followed Hyperlink 4" xfId="19118" hidden="1" xr:uid="{00000000-0005-0000-0000-00001D6F0000}"/>
    <cellStyle name="Followed Hyperlink 4" xfId="19626" hidden="1" xr:uid="{00000000-0005-0000-0000-00001E6F0000}"/>
    <cellStyle name="Followed Hyperlink 4" xfId="19629" hidden="1" xr:uid="{00000000-0005-0000-0000-00001F6F0000}"/>
    <cellStyle name="Followed Hyperlink 4" xfId="19632" hidden="1" xr:uid="{00000000-0005-0000-0000-0000206F0000}"/>
    <cellStyle name="Followed Hyperlink 4" xfId="19634" hidden="1" xr:uid="{00000000-0005-0000-0000-0000216F0000}"/>
    <cellStyle name="Followed Hyperlink 4" xfId="19635" hidden="1" xr:uid="{00000000-0005-0000-0000-0000226F0000}"/>
    <cellStyle name="Followed Hyperlink 4" xfId="19638" hidden="1" xr:uid="{00000000-0005-0000-0000-0000236F0000}"/>
    <cellStyle name="Followed Hyperlink 4" xfId="19647" hidden="1" xr:uid="{00000000-0005-0000-0000-0000246F0000}"/>
    <cellStyle name="Followed Hyperlink 4" xfId="19639" hidden="1" xr:uid="{00000000-0005-0000-0000-0000256F0000}"/>
    <cellStyle name="Followed Hyperlink 4" xfId="19650" hidden="1" xr:uid="{00000000-0005-0000-0000-0000266F0000}"/>
    <cellStyle name="Followed Hyperlink 4" xfId="19653" hidden="1" xr:uid="{00000000-0005-0000-0000-0000276F0000}"/>
    <cellStyle name="Followed Hyperlink 4" xfId="19656" hidden="1" xr:uid="{00000000-0005-0000-0000-0000286F0000}"/>
    <cellStyle name="Followed Hyperlink 4" xfId="19658" hidden="1" xr:uid="{00000000-0005-0000-0000-0000296F0000}"/>
    <cellStyle name="Followed Hyperlink 4" xfId="19659" hidden="1" xr:uid="{00000000-0005-0000-0000-00002A6F0000}"/>
    <cellStyle name="Followed Hyperlink 4" xfId="19662" hidden="1" xr:uid="{00000000-0005-0000-0000-00002B6F0000}"/>
    <cellStyle name="Followed Hyperlink 4" xfId="19672" hidden="1" xr:uid="{00000000-0005-0000-0000-00002C6F0000}"/>
    <cellStyle name="Followed Hyperlink 4" xfId="19664" hidden="1" xr:uid="{00000000-0005-0000-0000-00002D6F0000}"/>
    <cellStyle name="Followed Hyperlink 4" xfId="19675" hidden="1" xr:uid="{00000000-0005-0000-0000-00002E6F0000}"/>
    <cellStyle name="Followed Hyperlink 4" xfId="19678" hidden="1" xr:uid="{00000000-0005-0000-0000-00002F6F0000}"/>
    <cellStyle name="Followed Hyperlink 4" xfId="19681" hidden="1" xr:uid="{00000000-0005-0000-0000-0000306F0000}"/>
    <cellStyle name="Followed Hyperlink 4" xfId="19683" hidden="1" xr:uid="{00000000-0005-0000-0000-0000316F0000}"/>
    <cellStyle name="Followed Hyperlink 4" xfId="19684" hidden="1" xr:uid="{00000000-0005-0000-0000-0000326F0000}"/>
    <cellStyle name="Followed Hyperlink 4" xfId="19687" hidden="1" xr:uid="{00000000-0005-0000-0000-0000336F0000}"/>
    <cellStyle name="Followed Hyperlink 4" xfId="19696" hidden="1" xr:uid="{00000000-0005-0000-0000-0000346F0000}"/>
    <cellStyle name="Followed Hyperlink 4" xfId="19688" hidden="1" xr:uid="{00000000-0005-0000-0000-0000356F0000}"/>
    <cellStyle name="Followed Hyperlink 4" xfId="19699" hidden="1" xr:uid="{00000000-0005-0000-0000-0000366F0000}"/>
    <cellStyle name="Followed Hyperlink 4" xfId="19702" hidden="1" xr:uid="{00000000-0005-0000-0000-0000376F0000}"/>
    <cellStyle name="Followed Hyperlink 4" xfId="19705" hidden="1" xr:uid="{00000000-0005-0000-0000-0000386F0000}"/>
    <cellStyle name="Followed Hyperlink 4" xfId="19707" hidden="1" xr:uid="{00000000-0005-0000-0000-0000396F0000}"/>
    <cellStyle name="Followed Hyperlink 4" xfId="19708" hidden="1" xr:uid="{00000000-0005-0000-0000-00003A6F0000}"/>
    <cellStyle name="Followed Hyperlink 4" xfId="19711" hidden="1" xr:uid="{00000000-0005-0000-0000-00003B6F0000}"/>
    <cellStyle name="Followed Hyperlink 4" xfId="19749" hidden="1" xr:uid="{00000000-0005-0000-0000-00003C6F0000}"/>
    <cellStyle name="Followed Hyperlink 4" xfId="19741" hidden="1" xr:uid="{00000000-0005-0000-0000-00003D6F0000}"/>
    <cellStyle name="Followed Hyperlink 4" xfId="19752" hidden="1" xr:uid="{00000000-0005-0000-0000-00003E6F0000}"/>
    <cellStyle name="Followed Hyperlink 4" xfId="19755" hidden="1" xr:uid="{00000000-0005-0000-0000-00003F6F0000}"/>
    <cellStyle name="Followed Hyperlink 4" xfId="19758" hidden="1" xr:uid="{00000000-0005-0000-0000-0000406F0000}"/>
    <cellStyle name="Followed Hyperlink 4" xfId="19760" hidden="1" xr:uid="{00000000-0005-0000-0000-0000416F0000}"/>
    <cellStyle name="Followed Hyperlink 4" xfId="19761" hidden="1" xr:uid="{00000000-0005-0000-0000-0000426F0000}"/>
    <cellStyle name="Followed Hyperlink 4" xfId="19764" hidden="1" xr:uid="{00000000-0005-0000-0000-0000436F0000}"/>
    <cellStyle name="Followed Hyperlink 4" xfId="19773" hidden="1" xr:uid="{00000000-0005-0000-0000-0000446F0000}"/>
    <cellStyle name="Followed Hyperlink 4" xfId="19765" hidden="1" xr:uid="{00000000-0005-0000-0000-0000456F0000}"/>
    <cellStyle name="Followed Hyperlink 4" xfId="19776" hidden="1" xr:uid="{00000000-0005-0000-0000-0000466F0000}"/>
    <cellStyle name="Followed Hyperlink 4" xfId="19779" hidden="1" xr:uid="{00000000-0005-0000-0000-0000476F0000}"/>
    <cellStyle name="Followed Hyperlink 4" xfId="19782" hidden="1" xr:uid="{00000000-0005-0000-0000-0000486F0000}"/>
    <cellStyle name="Followed Hyperlink 4" xfId="19784" hidden="1" xr:uid="{00000000-0005-0000-0000-0000496F0000}"/>
    <cellStyle name="Followed Hyperlink 4" xfId="19785" hidden="1" xr:uid="{00000000-0005-0000-0000-00004A6F0000}"/>
    <cellStyle name="Followed Hyperlink 4" xfId="19788" hidden="1" xr:uid="{00000000-0005-0000-0000-00004B6F0000}"/>
    <cellStyle name="Followed Hyperlink 4" xfId="19799" hidden="1" xr:uid="{00000000-0005-0000-0000-00004C6F0000}"/>
    <cellStyle name="Followed Hyperlink 4" xfId="19791" hidden="1" xr:uid="{00000000-0005-0000-0000-00004D6F0000}"/>
    <cellStyle name="Followed Hyperlink 4" xfId="19802" hidden="1" xr:uid="{00000000-0005-0000-0000-00004E6F0000}"/>
    <cellStyle name="Followed Hyperlink 4" xfId="19805" hidden="1" xr:uid="{00000000-0005-0000-0000-00004F6F0000}"/>
    <cellStyle name="Followed Hyperlink 4" xfId="19808" hidden="1" xr:uid="{00000000-0005-0000-0000-0000506F0000}"/>
    <cellStyle name="Followed Hyperlink 4" xfId="19810" hidden="1" xr:uid="{00000000-0005-0000-0000-0000516F0000}"/>
    <cellStyle name="Followed Hyperlink 4" xfId="19811" hidden="1" xr:uid="{00000000-0005-0000-0000-0000526F0000}"/>
    <cellStyle name="Followed Hyperlink 4" xfId="19814" hidden="1" xr:uid="{00000000-0005-0000-0000-0000536F0000}"/>
    <cellStyle name="Followed Hyperlink 4" xfId="19823" hidden="1" xr:uid="{00000000-0005-0000-0000-0000546F0000}"/>
    <cellStyle name="Followed Hyperlink 4" xfId="19815" hidden="1" xr:uid="{00000000-0005-0000-0000-0000556F0000}"/>
    <cellStyle name="Followed Hyperlink 4" xfId="19826" hidden="1" xr:uid="{00000000-0005-0000-0000-0000566F0000}"/>
    <cellStyle name="Followed Hyperlink 4" xfId="19829" hidden="1" xr:uid="{00000000-0005-0000-0000-0000576F0000}"/>
    <cellStyle name="Followed Hyperlink 4" xfId="19832" hidden="1" xr:uid="{00000000-0005-0000-0000-0000586F0000}"/>
    <cellStyle name="Followed Hyperlink 4" xfId="19834" hidden="1" xr:uid="{00000000-0005-0000-0000-0000596F0000}"/>
    <cellStyle name="Followed Hyperlink 4" xfId="19835" hidden="1" xr:uid="{00000000-0005-0000-0000-00005A6F0000}"/>
    <cellStyle name="Followed Hyperlink 4" xfId="19838" hidden="1" xr:uid="{00000000-0005-0000-0000-00005B6F0000}"/>
    <cellStyle name="Followed Hyperlink 4" xfId="19721" hidden="1" xr:uid="{00000000-0005-0000-0000-00005C6F0000}"/>
    <cellStyle name="Followed Hyperlink 4" xfId="19715" hidden="1" xr:uid="{00000000-0005-0000-0000-00005D6F0000}"/>
    <cellStyle name="Followed Hyperlink 4" xfId="19839" hidden="1" xr:uid="{00000000-0005-0000-0000-00005E6F0000}"/>
    <cellStyle name="Followed Hyperlink 4" xfId="19842" hidden="1" xr:uid="{00000000-0005-0000-0000-00005F6F0000}"/>
    <cellStyle name="Followed Hyperlink 4" xfId="19845" hidden="1" xr:uid="{00000000-0005-0000-0000-0000606F0000}"/>
    <cellStyle name="Followed Hyperlink 4" xfId="19847" hidden="1" xr:uid="{00000000-0005-0000-0000-0000616F0000}"/>
    <cellStyle name="Followed Hyperlink 4" xfId="19848" hidden="1" xr:uid="{00000000-0005-0000-0000-0000626F0000}"/>
    <cellStyle name="Followed Hyperlink 4" xfId="19851" hidden="1" xr:uid="{00000000-0005-0000-0000-0000636F0000}"/>
    <cellStyle name="Followed Hyperlink 4" xfId="19860" hidden="1" xr:uid="{00000000-0005-0000-0000-0000646F0000}"/>
    <cellStyle name="Followed Hyperlink 4" xfId="19852" hidden="1" xr:uid="{00000000-0005-0000-0000-0000656F0000}"/>
    <cellStyle name="Followed Hyperlink 4" xfId="19863" hidden="1" xr:uid="{00000000-0005-0000-0000-0000666F0000}"/>
    <cellStyle name="Followed Hyperlink 4" xfId="19866" hidden="1" xr:uid="{00000000-0005-0000-0000-0000676F0000}"/>
    <cellStyle name="Followed Hyperlink 4" xfId="19869" hidden="1" xr:uid="{00000000-0005-0000-0000-0000686F0000}"/>
    <cellStyle name="Followed Hyperlink 4" xfId="19871" hidden="1" xr:uid="{00000000-0005-0000-0000-0000696F0000}"/>
    <cellStyle name="Followed Hyperlink 4" xfId="19872" hidden="1" xr:uid="{00000000-0005-0000-0000-00006A6F0000}"/>
    <cellStyle name="Followed Hyperlink 4" xfId="19875" hidden="1" xr:uid="{00000000-0005-0000-0000-00006B6F0000}"/>
    <cellStyle name="Followed Hyperlink 4" xfId="19885" hidden="1" xr:uid="{00000000-0005-0000-0000-00006C6F0000}"/>
    <cellStyle name="Followed Hyperlink 4" xfId="19877" hidden="1" xr:uid="{00000000-0005-0000-0000-00006D6F0000}"/>
    <cellStyle name="Followed Hyperlink 4" xfId="19888" hidden="1" xr:uid="{00000000-0005-0000-0000-00006E6F0000}"/>
    <cellStyle name="Followed Hyperlink 4" xfId="19891" hidden="1" xr:uid="{00000000-0005-0000-0000-00006F6F0000}"/>
    <cellStyle name="Followed Hyperlink 4" xfId="19894" hidden="1" xr:uid="{00000000-0005-0000-0000-0000706F0000}"/>
    <cellStyle name="Followed Hyperlink 4" xfId="19896" hidden="1" xr:uid="{00000000-0005-0000-0000-0000716F0000}"/>
    <cellStyle name="Followed Hyperlink 4" xfId="19897" hidden="1" xr:uid="{00000000-0005-0000-0000-0000726F0000}"/>
    <cellStyle name="Followed Hyperlink 4" xfId="19900" hidden="1" xr:uid="{00000000-0005-0000-0000-0000736F0000}"/>
    <cellStyle name="Followed Hyperlink 4" xfId="19909" hidden="1" xr:uid="{00000000-0005-0000-0000-0000746F0000}"/>
    <cellStyle name="Followed Hyperlink 4" xfId="19901" hidden="1" xr:uid="{00000000-0005-0000-0000-0000756F0000}"/>
    <cellStyle name="Followed Hyperlink 4" xfId="19912" hidden="1" xr:uid="{00000000-0005-0000-0000-0000766F0000}"/>
    <cellStyle name="Followed Hyperlink 4" xfId="19915" hidden="1" xr:uid="{00000000-0005-0000-0000-0000776F0000}"/>
    <cellStyle name="Followed Hyperlink 4" xfId="19918" hidden="1" xr:uid="{00000000-0005-0000-0000-0000786F0000}"/>
    <cellStyle name="Followed Hyperlink 4" xfId="19920" hidden="1" xr:uid="{00000000-0005-0000-0000-0000796F0000}"/>
    <cellStyle name="Followed Hyperlink 4" xfId="19921" hidden="1" xr:uid="{00000000-0005-0000-0000-00007A6F0000}"/>
    <cellStyle name="Followed Hyperlink 4" xfId="19924" hidden="1" xr:uid="{00000000-0005-0000-0000-00007B6F0000}"/>
    <cellStyle name="Followed Hyperlink 4" xfId="19725" hidden="1" xr:uid="{00000000-0005-0000-0000-00007C6F0000}"/>
    <cellStyle name="Followed Hyperlink 4" xfId="19731" hidden="1" xr:uid="{00000000-0005-0000-0000-00007D6F0000}"/>
    <cellStyle name="Followed Hyperlink 4" xfId="19925" hidden="1" xr:uid="{00000000-0005-0000-0000-00007E6F0000}"/>
    <cellStyle name="Followed Hyperlink 4" xfId="19928" hidden="1" xr:uid="{00000000-0005-0000-0000-00007F6F0000}"/>
    <cellStyle name="Followed Hyperlink 4" xfId="19931" hidden="1" xr:uid="{00000000-0005-0000-0000-0000806F0000}"/>
    <cellStyle name="Followed Hyperlink 4" xfId="19933" hidden="1" xr:uid="{00000000-0005-0000-0000-0000816F0000}"/>
    <cellStyle name="Followed Hyperlink 4" xfId="19934" hidden="1" xr:uid="{00000000-0005-0000-0000-0000826F0000}"/>
    <cellStyle name="Followed Hyperlink 4" xfId="19937" hidden="1" xr:uid="{00000000-0005-0000-0000-0000836F0000}"/>
    <cellStyle name="Followed Hyperlink 4" xfId="19946" hidden="1" xr:uid="{00000000-0005-0000-0000-0000846F0000}"/>
    <cellStyle name="Followed Hyperlink 4" xfId="19938" hidden="1" xr:uid="{00000000-0005-0000-0000-0000856F0000}"/>
    <cellStyle name="Followed Hyperlink 4" xfId="19949" hidden="1" xr:uid="{00000000-0005-0000-0000-0000866F0000}"/>
    <cellStyle name="Followed Hyperlink 4" xfId="19952" hidden="1" xr:uid="{00000000-0005-0000-0000-0000876F0000}"/>
    <cellStyle name="Followed Hyperlink 4" xfId="19955" hidden="1" xr:uid="{00000000-0005-0000-0000-0000886F0000}"/>
    <cellStyle name="Followed Hyperlink 4" xfId="19957" hidden="1" xr:uid="{00000000-0005-0000-0000-0000896F0000}"/>
    <cellStyle name="Followed Hyperlink 4" xfId="19958" hidden="1" xr:uid="{00000000-0005-0000-0000-00008A6F0000}"/>
    <cellStyle name="Followed Hyperlink 4" xfId="19961" hidden="1" xr:uid="{00000000-0005-0000-0000-00008B6F0000}"/>
    <cellStyle name="Followed Hyperlink 4" xfId="19971" hidden="1" xr:uid="{00000000-0005-0000-0000-00008C6F0000}"/>
    <cellStyle name="Followed Hyperlink 4" xfId="19963" hidden="1" xr:uid="{00000000-0005-0000-0000-00008D6F0000}"/>
    <cellStyle name="Followed Hyperlink 4" xfId="19974" hidden="1" xr:uid="{00000000-0005-0000-0000-00008E6F0000}"/>
    <cellStyle name="Followed Hyperlink 4" xfId="19977" hidden="1" xr:uid="{00000000-0005-0000-0000-00008F6F0000}"/>
    <cellStyle name="Followed Hyperlink 4" xfId="19980" hidden="1" xr:uid="{00000000-0005-0000-0000-0000906F0000}"/>
    <cellStyle name="Followed Hyperlink 4" xfId="19982" hidden="1" xr:uid="{00000000-0005-0000-0000-0000916F0000}"/>
    <cellStyle name="Followed Hyperlink 4" xfId="19983" hidden="1" xr:uid="{00000000-0005-0000-0000-0000926F0000}"/>
    <cellStyle name="Followed Hyperlink 4" xfId="19986" hidden="1" xr:uid="{00000000-0005-0000-0000-0000936F0000}"/>
    <cellStyle name="Followed Hyperlink 4" xfId="19995" hidden="1" xr:uid="{00000000-0005-0000-0000-0000946F0000}"/>
    <cellStyle name="Followed Hyperlink 4" xfId="19987" hidden="1" xr:uid="{00000000-0005-0000-0000-0000956F0000}"/>
    <cellStyle name="Followed Hyperlink 4" xfId="19998" hidden="1" xr:uid="{00000000-0005-0000-0000-0000966F0000}"/>
    <cellStyle name="Followed Hyperlink 4" xfId="20001" hidden="1" xr:uid="{00000000-0005-0000-0000-0000976F0000}"/>
    <cellStyle name="Followed Hyperlink 4" xfId="20004" hidden="1" xr:uid="{00000000-0005-0000-0000-0000986F0000}"/>
    <cellStyle name="Followed Hyperlink 4" xfId="20006" hidden="1" xr:uid="{00000000-0005-0000-0000-0000996F0000}"/>
    <cellStyle name="Followed Hyperlink 4" xfId="20007" hidden="1" xr:uid="{00000000-0005-0000-0000-00009A6F0000}"/>
    <cellStyle name="Followed Hyperlink 4" xfId="20010" hidden="1" xr:uid="{00000000-0005-0000-0000-00009B6F0000}"/>
    <cellStyle name="Followed Hyperlink 4" xfId="19735" hidden="1" xr:uid="{00000000-0005-0000-0000-00009C6F0000}"/>
    <cellStyle name="Followed Hyperlink 4" xfId="19790" hidden="1" xr:uid="{00000000-0005-0000-0000-00009D6F0000}"/>
    <cellStyle name="Followed Hyperlink 4" xfId="20011" hidden="1" xr:uid="{00000000-0005-0000-0000-00009E6F0000}"/>
    <cellStyle name="Followed Hyperlink 4" xfId="20014" hidden="1" xr:uid="{00000000-0005-0000-0000-00009F6F0000}"/>
    <cellStyle name="Followed Hyperlink 4" xfId="20017" hidden="1" xr:uid="{00000000-0005-0000-0000-0000A06F0000}"/>
    <cellStyle name="Followed Hyperlink 4" xfId="20019" hidden="1" xr:uid="{00000000-0005-0000-0000-0000A16F0000}"/>
    <cellStyle name="Followed Hyperlink 4" xfId="20020" hidden="1" xr:uid="{00000000-0005-0000-0000-0000A26F0000}"/>
    <cellStyle name="Followed Hyperlink 4" xfId="20023" hidden="1" xr:uid="{00000000-0005-0000-0000-0000A36F0000}"/>
    <cellStyle name="Followed Hyperlink 4" xfId="20032" hidden="1" xr:uid="{00000000-0005-0000-0000-0000A46F0000}"/>
    <cellStyle name="Followed Hyperlink 4" xfId="20024" hidden="1" xr:uid="{00000000-0005-0000-0000-0000A56F0000}"/>
    <cellStyle name="Followed Hyperlink 4" xfId="20035" hidden="1" xr:uid="{00000000-0005-0000-0000-0000A66F0000}"/>
    <cellStyle name="Followed Hyperlink 4" xfId="20038" hidden="1" xr:uid="{00000000-0005-0000-0000-0000A76F0000}"/>
    <cellStyle name="Followed Hyperlink 4" xfId="20041" hidden="1" xr:uid="{00000000-0005-0000-0000-0000A86F0000}"/>
    <cellStyle name="Followed Hyperlink 4" xfId="20043" hidden="1" xr:uid="{00000000-0005-0000-0000-0000A96F0000}"/>
    <cellStyle name="Followed Hyperlink 4" xfId="20044" hidden="1" xr:uid="{00000000-0005-0000-0000-0000AA6F0000}"/>
    <cellStyle name="Followed Hyperlink 4" xfId="20047" hidden="1" xr:uid="{00000000-0005-0000-0000-0000AB6F0000}"/>
    <cellStyle name="Followed Hyperlink 4" xfId="20056" hidden="1" xr:uid="{00000000-0005-0000-0000-0000AC6F0000}"/>
    <cellStyle name="Followed Hyperlink 4" xfId="20048" hidden="1" xr:uid="{00000000-0005-0000-0000-0000AD6F0000}"/>
    <cellStyle name="Followed Hyperlink 4" xfId="20059" hidden="1" xr:uid="{00000000-0005-0000-0000-0000AE6F0000}"/>
    <cellStyle name="Followed Hyperlink 4" xfId="20062" hidden="1" xr:uid="{00000000-0005-0000-0000-0000AF6F0000}"/>
    <cellStyle name="Followed Hyperlink 4" xfId="20065" hidden="1" xr:uid="{00000000-0005-0000-0000-0000B06F0000}"/>
    <cellStyle name="Followed Hyperlink 4" xfId="20067" hidden="1" xr:uid="{00000000-0005-0000-0000-0000B16F0000}"/>
    <cellStyle name="Followed Hyperlink 4" xfId="20068" hidden="1" xr:uid="{00000000-0005-0000-0000-0000B26F0000}"/>
    <cellStyle name="Followed Hyperlink 4" xfId="20071" hidden="1" xr:uid="{00000000-0005-0000-0000-0000B36F0000}"/>
    <cellStyle name="Followed Hyperlink 4" xfId="20080" hidden="1" xr:uid="{00000000-0005-0000-0000-0000B46F0000}"/>
    <cellStyle name="Followed Hyperlink 4" xfId="20072" hidden="1" xr:uid="{00000000-0005-0000-0000-0000B56F0000}"/>
    <cellStyle name="Followed Hyperlink 4" xfId="20083" hidden="1" xr:uid="{00000000-0005-0000-0000-0000B66F0000}"/>
    <cellStyle name="Followed Hyperlink 4" xfId="20086" hidden="1" xr:uid="{00000000-0005-0000-0000-0000B76F0000}"/>
    <cellStyle name="Followed Hyperlink 4" xfId="20089" hidden="1" xr:uid="{00000000-0005-0000-0000-0000B86F0000}"/>
    <cellStyle name="Followed Hyperlink 4" xfId="20091" hidden="1" xr:uid="{00000000-0005-0000-0000-0000B96F0000}"/>
    <cellStyle name="Followed Hyperlink 4" xfId="20092" hidden="1" xr:uid="{00000000-0005-0000-0000-0000BA6F0000}"/>
    <cellStyle name="Followed Hyperlink 4" xfId="20095" hidden="1" xr:uid="{00000000-0005-0000-0000-0000BB6F0000}"/>
    <cellStyle name="Followed Hyperlink 4" xfId="19128" hidden="1" xr:uid="{00000000-0005-0000-0000-0000BC6F0000}"/>
    <cellStyle name="Followed Hyperlink 4" xfId="19134" hidden="1" xr:uid="{00000000-0005-0000-0000-0000BD6F0000}"/>
    <cellStyle name="Followed Hyperlink 4" xfId="20096" hidden="1" xr:uid="{00000000-0005-0000-0000-0000BE6F0000}"/>
    <cellStyle name="Followed Hyperlink 4" xfId="20099" hidden="1" xr:uid="{00000000-0005-0000-0000-0000BF6F0000}"/>
    <cellStyle name="Followed Hyperlink 4" xfId="20102" hidden="1" xr:uid="{00000000-0005-0000-0000-0000C06F0000}"/>
    <cellStyle name="Followed Hyperlink 4" xfId="20104" hidden="1" xr:uid="{00000000-0005-0000-0000-0000C16F0000}"/>
    <cellStyle name="Followed Hyperlink 4" xfId="20105" hidden="1" xr:uid="{00000000-0005-0000-0000-0000C26F0000}"/>
    <cellStyle name="Followed Hyperlink 4" xfId="20108" hidden="1" xr:uid="{00000000-0005-0000-0000-0000C36F0000}"/>
    <cellStyle name="Followed Hyperlink 4" xfId="20117" hidden="1" xr:uid="{00000000-0005-0000-0000-0000C46F0000}"/>
    <cellStyle name="Followed Hyperlink 4" xfId="20109" hidden="1" xr:uid="{00000000-0005-0000-0000-0000C56F0000}"/>
    <cellStyle name="Followed Hyperlink 4" xfId="20120" hidden="1" xr:uid="{00000000-0005-0000-0000-0000C66F0000}"/>
    <cellStyle name="Followed Hyperlink 4" xfId="20123" hidden="1" xr:uid="{00000000-0005-0000-0000-0000C76F0000}"/>
    <cellStyle name="Followed Hyperlink 4" xfId="20126" hidden="1" xr:uid="{00000000-0005-0000-0000-0000C86F0000}"/>
    <cellStyle name="Followed Hyperlink 4" xfId="20128" hidden="1" xr:uid="{00000000-0005-0000-0000-0000C96F0000}"/>
    <cellStyle name="Followed Hyperlink 4" xfId="20129" hidden="1" xr:uid="{00000000-0005-0000-0000-0000CA6F0000}"/>
    <cellStyle name="Followed Hyperlink 4" xfId="20132" hidden="1" xr:uid="{00000000-0005-0000-0000-0000CB6F0000}"/>
    <cellStyle name="Followed Hyperlink 4" xfId="20142" hidden="1" xr:uid="{00000000-0005-0000-0000-0000CC6F0000}"/>
    <cellStyle name="Followed Hyperlink 4" xfId="20134" hidden="1" xr:uid="{00000000-0005-0000-0000-0000CD6F0000}"/>
    <cellStyle name="Followed Hyperlink 4" xfId="20145" hidden="1" xr:uid="{00000000-0005-0000-0000-0000CE6F0000}"/>
    <cellStyle name="Followed Hyperlink 4" xfId="20148" hidden="1" xr:uid="{00000000-0005-0000-0000-0000CF6F0000}"/>
    <cellStyle name="Followed Hyperlink 4" xfId="20151" hidden="1" xr:uid="{00000000-0005-0000-0000-0000D06F0000}"/>
    <cellStyle name="Followed Hyperlink 4" xfId="20153" hidden="1" xr:uid="{00000000-0005-0000-0000-0000D16F0000}"/>
    <cellStyle name="Followed Hyperlink 4" xfId="20154" hidden="1" xr:uid="{00000000-0005-0000-0000-0000D26F0000}"/>
    <cellStyle name="Followed Hyperlink 4" xfId="20157" hidden="1" xr:uid="{00000000-0005-0000-0000-0000D36F0000}"/>
    <cellStyle name="Followed Hyperlink 4" xfId="20166" hidden="1" xr:uid="{00000000-0005-0000-0000-0000D46F0000}"/>
    <cellStyle name="Followed Hyperlink 4" xfId="20158" hidden="1" xr:uid="{00000000-0005-0000-0000-0000D56F0000}"/>
    <cellStyle name="Followed Hyperlink 4" xfId="20169" hidden="1" xr:uid="{00000000-0005-0000-0000-0000D66F0000}"/>
    <cellStyle name="Followed Hyperlink 4" xfId="20172" hidden="1" xr:uid="{00000000-0005-0000-0000-0000D76F0000}"/>
    <cellStyle name="Followed Hyperlink 4" xfId="20175" hidden="1" xr:uid="{00000000-0005-0000-0000-0000D86F0000}"/>
    <cellStyle name="Followed Hyperlink 4" xfId="20177" hidden="1" xr:uid="{00000000-0005-0000-0000-0000D96F0000}"/>
    <cellStyle name="Followed Hyperlink 4" xfId="20178" hidden="1" xr:uid="{00000000-0005-0000-0000-0000DA6F0000}"/>
    <cellStyle name="Followed Hyperlink 4" xfId="20181" hidden="1" xr:uid="{00000000-0005-0000-0000-0000DB6F0000}"/>
    <cellStyle name="Followed Hyperlink 4" xfId="20219" hidden="1" xr:uid="{00000000-0005-0000-0000-0000DC6F0000}"/>
    <cellStyle name="Followed Hyperlink 4" xfId="20211" hidden="1" xr:uid="{00000000-0005-0000-0000-0000DD6F0000}"/>
    <cellStyle name="Followed Hyperlink 4" xfId="20222" hidden="1" xr:uid="{00000000-0005-0000-0000-0000DE6F0000}"/>
    <cellStyle name="Followed Hyperlink 4" xfId="20225" hidden="1" xr:uid="{00000000-0005-0000-0000-0000DF6F0000}"/>
    <cellStyle name="Followed Hyperlink 4" xfId="20228" hidden="1" xr:uid="{00000000-0005-0000-0000-0000E06F0000}"/>
    <cellStyle name="Followed Hyperlink 4" xfId="20230" hidden="1" xr:uid="{00000000-0005-0000-0000-0000E16F0000}"/>
    <cellStyle name="Followed Hyperlink 4" xfId="20231" hidden="1" xr:uid="{00000000-0005-0000-0000-0000E26F0000}"/>
    <cellStyle name="Followed Hyperlink 4" xfId="20234" hidden="1" xr:uid="{00000000-0005-0000-0000-0000E36F0000}"/>
    <cellStyle name="Followed Hyperlink 4" xfId="20243" hidden="1" xr:uid="{00000000-0005-0000-0000-0000E46F0000}"/>
    <cellStyle name="Followed Hyperlink 4" xfId="20235" hidden="1" xr:uid="{00000000-0005-0000-0000-0000E56F0000}"/>
    <cellStyle name="Followed Hyperlink 4" xfId="20246" hidden="1" xr:uid="{00000000-0005-0000-0000-0000E66F0000}"/>
    <cellStyle name="Followed Hyperlink 4" xfId="20249" hidden="1" xr:uid="{00000000-0005-0000-0000-0000E76F0000}"/>
    <cellStyle name="Followed Hyperlink 4" xfId="20252" hidden="1" xr:uid="{00000000-0005-0000-0000-0000E86F0000}"/>
    <cellStyle name="Followed Hyperlink 4" xfId="20254" hidden="1" xr:uid="{00000000-0005-0000-0000-0000E96F0000}"/>
    <cellStyle name="Followed Hyperlink 4" xfId="20255" hidden="1" xr:uid="{00000000-0005-0000-0000-0000EA6F0000}"/>
    <cellStyle name="Followed Hyperlink 4" xfId="20258" hidden="1" xr:uid="{00000000-0005-0000-0000-0000EB6F0000}"/>
    <cellStyle name="Followed Hyperlink 4" xfId="20269" hidden="1" xr:uid="{00000000-0005-0000-0000-0000EC6F0000}"/>
    <cellStyle name="Followed Hyperlink 4" xfId="20261" hidden="1" xr:uid="{00000000-0005-0000-0000-0000ED6F0000}"/>
    <cellStyle name="Followed Hyperlink 4" xfId="20272" hidden="1" xr:uid="{00000000-0005-0000-0000-0000EE6F0000}"/>
    <cellStyle name="Followed Hyperlink 4" xfId="20275" hidden="1" xr:uid="{00000000-0005-0000-0000-0000EF6F0000}"/>
    <cellStyle name="Followed Hyperlink 4" xfId="20278" hidden="1" xr:uid="{00000000-0005-0000-0000-0000F06F0000}"/>
    <cellStyle name="Followed Hyperlink 4" xfId="20280" hidden="1" xr:uid="{00000000-0005-0000-0000-0000F16F0000}"/>
    <cellStyle name="Followed Hyperlink 4" xfId="20281" hidden="1" xr:uid="{00000000-0005-0000-0000-0000F26F0000}"/>
    <cellStyle name="Followed Hyperlink 4" xfId="20284" hidden="1" xr:uid="{00000000-0005-0000-0000-0000F36F0000}"/>
    <cellStyle name="Followed Hyperlink 4" xfId="20293" hidden="1" xr:uid="{00000000-0005-0000-0000-0000F46F0000}"/>
    <cellStyle name="Followed Hyperlink 4" xfId="20285" hidden="1" xr:uid="{00000000-0005-0000-0000-0000F56F0000}"/>
    <cellStyle name="Followed Hyperlink 4" xfId="20296" hidden="1" xr:uid="{00000000-0005-0000-0000-0000F66F0000}"/>
    <cellStyle name="Followed Hyperlink 4" xfId="20299" hidden="1" xr:uid="{00000000-0005-0000-0000-0000F76F0000}"/>
    <cellStyle name="Followed Hyperlink 4" xfId="20302" hidden="1" xr:uid="{00000000-0005-0000-0000-0000F86F0000}"/>
    <cellStyle name="Followed Hyperlink 4" xfId="20304" hidden="1" xr:uid="{00000000-0005-0000-0000-0000F96F0000}"/>
    <cellStyle name="Followed Hyperlink 4" xfId="20305" hidden="1" xr:uid="{00000000-0005-0000-0000-0000FA6F0000}"/>
    <cellStyle name="Followed Hyperlink 4" xfId="20308" hidden="1" xr:uid="{00000000-0005-0000-0000-0000FB6F0000}"/>
    <cellStyle name="Followed Hyperlink 4" xfId="20191" hidden="1" xr:uid="{00000000-0005-0000-0000-0000FC6F0000}"/>
    <cellStyle name="Followed Hyperlink 4" xfId="20185" hidden="1" xr:uid="{00000000-0005-0000-0000-0000FD6F0000}"/>
    <cellStyle name="Followed Hyperlink 4" xfId="20309" hidden="1" xr:uid="{00000000-0005-0000-0000-0000FE6F0000}"/>
    <cellStyle name="Followed Hyperlink 4" xfId="20312" hidden="1" xr:uid="{00000000-0005-0000-0000-0000FF6F0000}"/>
    <cellStyle name="Followed Hyperlink 4" xfId="20315" hidden="1" xr:uid="{00000000-0005-0000-0000-000000700000}"/>
    <cellStyle name="Followed Hyperlink 4" xfId="20317" hidden="1" xr:uid="{00000000-0005-0000-0000-000001700000}"/>
    <cellStyle name="Followed Hyperlink 4" xfId="20318" hidden="1" xr:uid="{00000000-0005-0000-0000-000002700000}"/>
    <cellStyle name="Followed Hyperlink 4" xfId="20321" hidden="1" xr:uid="{00000000-0005-0000-0000-000003700000}"/>
    <cellStyle name="Followed Hyperlink 4" xfId="20330" hidden="1" xr:uid="{00000000-0005-0000-0000-000004700000}"/>
    <cellStyle name="Followed Hyperlink 4" xfId="20322" hidden="1" xr:uid="{00000000-0005-0000-0000-000005700000}"/>
    <cellStyle name="Followed Hyperlink 4" xfId="20333" hidden="1" xr:uid="{00000000-0005-0000-0000-000006700000}"/>
    <cellStyle name="Followed Hyperlink 4" xfId="20336" hidden="1" xr:uid="{00000000-0005-0000-0000-000007700000}"/>
    <cellStyle name="Followed Hyperlink 4" xfId="20339" hidden="1" xr:uid="{00000000-0005-0000-0000-000008700000}"/>
    <cellStyle name="Followed Hyperlink 4" xfId="20341" hidden="1" xr:uid="{00000000-0005-0000-0000-000009700000}"/>
    <cellStyle name="Followed Hyperlink 4" xfId="20342" hidden="1" xr:uid="{00000000-0005-0000-0000-00000A700000}"/>
    <cellStyle name="Followed Hyperlink 4" xfId="20345" hidden="1" xr:uid="{00000000-0005-0000-0000-00000B700000}"/>
    <cellStyle name="Followed Hyperlink 4" xfId="20355" hidden="1" xr:uid="{00000000-0005-0000-0000-00000C700000}"/>
    <cellStyle name="Followed Hyperlink 4" xfId="20347" hidden="1" xr:uid="{00000000-0005-0000-0000-00000D700000}"/>
    <cellStyle name="Followed Hyperlink 4" xfId="20358" hidden="1" xr:uid="{00000000-0005-0000-0000-00000E700000}"/>
    <cellStyle name="Followed Hyperlink 4" xfId="20361" hidden="1" xr:uid="{00000000-0005-0000-0000-00000F700000}"/>
    <cellStyle name="Followed Hyperlink 4" xfId="20364" hidden="1" xr:uid="{00000000-0005-0000-0000-000010700000}"/>
    <cellStyle name="Followed Hyperlink 4" xfId="20366" hidden="1" xr:uid="{00000000-0005-0000-0000-000011700000}"/>
    <cellStyle name="Followed Hyperlink 4" xfId="20367" hidden="1" xr:uid="{00000000-0005-0000-0000-000012700000}"/>
    <cellStyle name="Followed Hyperlink 4" xfId="20370" hidden="1" xr:uid="{00000000-0005-0000-0000-000013700000}"/>
    <cellStyle name="Followed Hyperlink 4" xfId="20379" hidden="1" xr:uid="{00000000-0005-0000-0000-000014700000}"/>
    <cellStyle name="Followed Hyperlink 4" xfId="20371" hidden="1" xr:uid="{00000000-0005-0000-0000-000015700000}"/>
    <cellStyle name="Followed Hyperlink 4" xfId="20382" hidden="1" xr:uid="{00000000-0005-0000-0000-000016700000}"/>
    <cellStyle name="Followed Hyperlink 4" xfId="20385" hidden="1" xr:uid="{00000000-0005-0000-0000-000017700000}"/>
    <cellStyle name="Followed Hyperlink 4" xfId="20388" hidden="1" xr:uid="{00000000-0005-0000-0000-000018700000}"/>
    <cellStyle name="Followed Hyperlink 4" xfId="20390" hidden="1" xr:uid="{00000000-0005-0000-0000-000019700000}"/>
    <cellStyle name="Followed Hyperlink 4" xfId="20391" hidden="1" xr:uid="{00000000-0005-0000-0000-00001A700000}"/>
    <cellStyle name="Followed Hyperlink 4" xfId="20394" hidden="1" xr:uid="{00000000-0005-0000-0000-00001B700000}"/>
    <cellStyle name="Followed Hyperlink 4" xfId="20195" hidden="1" xr:uid="{00000000-0005-0000-0000-00001C700000}"/>
    <cellStyle name="Followed Hyperlink 4" xfId="20201" hidden="1" xr:uid="{00000000-0005-0000-0000-00001D700000}"/>
    <cellStyle name="Followed Hyperlink 4" xfId="20395" hidden="1" xr:uid="{00000000-0005-0000-0000-00001E700000}"/>
    <cellStyle name="Followed Hyperlink 4" xfId="20398" hidden="1" xr:uid="{00000000-0005-0000-0000-00001F700000}"/>
    <cellStyle name="Followed Hyperlink 4" xfId="20401" hidden="1" xr:uid="{00000000-0005-0000-0000-000020700000}"/>
    <cellStyle name="Followed Hyperlink 4" xfId="20403" hidden="1" xr:uid="{00000000-0005-0000-0000-000021700000}"/>
    <cellStyle name="Followed Hyperlink 4" xfId="20404" hidden="1" xr:uid="{00000000-0005-0000-0000-000022700000}"/>
    <cellStyle name="Followed Hyperlink 4" xfId="20407" hidden="1" xr:uid="{00000000-0005-0000-0000-000023700000}"/>
    <cellStyle name="Followed Hyperlink 4" xfId="20416" hidden="1" xr:uid="{00000000-0005-0000-0000-000024700000}"/>
    <cellStyle name="Followed Hyperlink 4" xfId="20408" hidden="1" xr:uid="{00000000-0005-0000-0000-000025700000}"/>
    <cellStyle name="Followed Hyperlink 4" xfId="20419" hidden="1" xr:uid="{00000000-0005-0000-0000-000026700000}"/>
    <cellStyle name="Followed Hyperlink 4" xfId="20422" hidden="1" xr:uid="{00000000-0005-0000-0000-000027700000}"/>
    <cellStyle name="Followed Hyperlink 4" xfId="20425" hidden="1" xr:uid="{00000000-0005-0000-0000-000028700000}"/>
    <cellStyle name="Followed Hyperlink 4" xfId="20427" hidden="1" xr:uid="{00000000-0005-0000-0000-000029700000}"/>
    <cellStyle name="Followed Hyperlink 4" xfId="20428" hidden="1" xr:uid="{00000000-0005-0000-0000-00002A700000}"/>
    <cellStyle name="Followed Hyperlink 4" xfId="20431" hidden="1" xr:uid="{00000000-0005-0000-0000-00002B700000}"/>
    <cellStyle name="Followed Hyperlink 4" xfId="20441" hidden="1" xr:uid="{00000000-0005-0000-0000-00002C700000}"/>
    <cellStyle name="Followed Hyperlink 4" xfId="20433" hidden="1" xr:uid="{00000000-0005-0000-0000-00002D700000}"/>
    <cellStyle name="Followed Hyperlink 4" xfId="20444" hidden="1" xr:uid="{00000000-0005-0000-0000-00002E700000}"/>
    <cellStyle name="Followed Hyperlink 4" xfId="20447" hidden="1" xr:uid="{00000000-0005-0000-0000-00002F700000}"/>
    <cellStyle name="Followed Hyperlink 4" xfId="20450" hidden="1" xr:uid="{00000000-0005-0000-0000-000030700000}"/>
    <cellStyle name="Followed Hyperlink 4" xfId="20452" hidden="1" xr:uid="{00000000-0005-0000-0000-000031700000}"/>
    <cellStyle name="Followed Hyperlink 4" xfId="20453" hidden="1" xr:uid="{00000000-0005-0000-0000-000032700000}"/>
    <cellStyle name="Followed Hyperlink 4" xfId="20456" hidden="1" xr:uid="{00000000-0005-0000-0000-000033700000}"/>
    <cellStyle name="Followed Hyperlink 4" xfId="20465" hidden="1" xr:uid="{00000000-0005-0000-0000-000034700000}"/>
    <cellStyle name="Followed Hyperlink 4" xfId="20457" hidden="1" xr:uid="{00000000-0005-0000-0000-000035700000}"/>
    <cellStyle name="Followed Hyperlink 4" xfId="20468" hidden="1" xr:uid="{00000000-0005-0000-0000-000036700000}"/>
    <cellStyle name="Followed Hyperlink 4" xfId="20471" hidden="1" xr:uid="{00000000-0005-0000-0000-000037700000}"/>
    <cellStyle name="Followed Hyperlink 4" xfId="20474" hidden="1" xr:uid="{00000000-0005-0000-0000-000038700000}"/>
    <cellStyle name="Followed Hyperlink 4" xfId="20476" hidden="1" xr:uid="{00000000-0005-0000-0000-000039700000}"/>
    <cellStyle name="Followed Hyperlink 4" xfId="20477" hidden="1" xr:uid="{00000000-0005-0000-0000-00003A700000}"/>
    <cellStyle name="Followed Hyperlink 4" xfId="20480" hidden="1" xr:uid="{00000000-0005-0000-0000-00003B700000}"/>
    <cellStyle name="Followed Hyperlink 4" xfId="20205" hidden="1" xr:uid="{00000000-0005-0000-0000-00003C700000}"/>
    <cellStyle name="Followed Hyperlink 4" xfId="20260" hidden="1" xr:uid="{00000000-0005-0000-0000-00003D700000}"/>
    <cellStyle name="Followed Hyperlink 4" xfId="20481" hidden="1" xr:uid="{00000000-0005-0000-0000-00003E700000}"/>
    <cellStyle name="Followed Hyperlink 4" xfId="20484" hidden="1" xr:uid="{00000000-0005-0000-0000-00003F700000}"/>
    <cellStyle name="Followed Hyperlink 4" xfId="20487" hidden="1" xr:uid="{00000000-0005-0000-0000-000040700000}"/>
    <cellStyle name="Followed Hyperlink 4" xfId="20489" hidden="1" xr:uid="{00000000-0005-0000-0000-000041700000}"/>
    <cellStyle name="Followed Hyperlink 4" xfId="20490" hidden="1" xr:uid="{00000000-0005-0000-0000-000042700000}"/>
    <cellStyle name="Followed Hyperlink 4" xfId="20493" hidden="1" xr:uid="{00000000-0005-0000-0000-000043700000}"/>
    <cellStyle name="Followed Hyperlink 4" xfId="20502" hidden="1" xr:uid="{00000000-0005-0000-0000-000044700000}"/>
    <cellStyle name="Followed Hyperlink 4" xfId="20494" hidden="1" xr:uid="{00000000-0005-0000-0000-000045700000}"/>
    <cellStyle name="Followed Hyperlink 4" xfId="20505" hidden="1" xr:uid="{00000000-0005-0000-0000-000046700000}"/>
    <cellStyle name="Followed Hyperlink 4" xfId="20508" hidden="1" xr:uid="{00000000-0005-0000-0000-000047700000}"/>
    <cellStyle name="Followed Hyperlink 4" xfId="20511" hidden="1" xr:uid="{00000000-0005-0000-0000-000048700000}"/>
    <cellStyle name="Followed Hyperlink 4" xfId="20513" hidden="1" xr:uid="{00000000-0005-0000-0000-000049700000}"/>
    <cellStyle name="Followed Hyperlink 4" xfId="20514" hidden="1" xr:uid="{00000000-0005-0000-0000-00004A700000}"/>
    <cellStyle name="Followed Hyperlink 4" xfId="20517" hidden="1" xr:uid="{00000000-0005-0000-0000-00004B700000}"/>
    <cellStyle name="Followed Hyperlink 4" xfId="20526" hidden="1" xr:uid="{00000000-0005-0000-0000-00004C700000}"/>
    <cellStyle name="Followed Hyperlink 4" xfId="20518" hidden="1" xr:uid="{00000000-0005-0000-0000-00004D700000}"/>
    <cellStyle name="Followed Hyperlink 4" xfId="20529" hidden="1" xr:uid="{00000000-0005-0000-0000-00004E700000}"/>
    <cellStyle name="Followed Hyperlink 4" xfId="20532" hidden="1" xr:uid="{00000000-0005-0000-0000-00004F700000}"/>
    <cellStyle name="Followed Hyperlink 4" xfId="20535" hidden="1" xr:uid="{00000000-0005-0000-0000-000050700000}"/>
    <cellStyle name="Followed Hyperlink 4" xfId="20537" hidden="1" xr:uid="{00000000-0005-0000-0000-000051700000}"/>
    <cellStyle name="Followed Hyperlink 4" xfId="20538" hidden="1" xr:uid="{00000000-0005-0000-0000-000052700000}"/>
    <cellStyle name="Followed Hyperlink 4" xfId="20541" hidden="1" xr:uid="{00000000-0005-0000-0000-000053700000}"/>
    <cellStyle name="Followed Hyperlink 4" xfId="20550" hidden="1" xr:uid="{00000000-0005-0000-0000-000054700000}"/>
    <cellStyle name="Followed Hyperlink 4" xfId="20542" hidden="1" xr:uid="{00000000-0005-0000-0000-000055700000}"/>
    <cellStyle name="Followed Hyperlink 4" xfId="20553" hidden="1" xr:uid="{00000000-0005-0000-0000-000056700000}"/>
    <cellStyle name="Followed Hyperlink 4" xfId="20556" hidden="1" xr:uid="{00000000-0005-0000-0000-000057700000}"/>
    <cellStyle name="Followed Hyperlink 4" xfId="20559" hidden="1" xr:uid="{00000000-0005-0000-0000-000058700000}"/>
    <cellStyle name="Followed Hyperlink 4" xfId="20561" hidden="1" xr:uid="{00000000-0005-0000-0000-000059700000}"/>
    <cellStyle name="Followed Hyperlink 4" xfId="20562" hidden="1" xr:uid="{00000000-0005-0000-0000-00005A700000}"/>
    <cellStyle name="Followed Hyperlink 4" xfId="20565" hidden="1" xr:uid="{00000000-0005-0000-0000-00005B700000}"/>
    <cellStyle name="Followed Hyperlink 4" xfId="19138" hidden="1" xr:uid="{00000000-0005-0000-0000-00005C700000}"/>
    <cellStyle name="Followed Hyperlink 4" xfId="19193" hidden="1" xr:uid="{00000000-0005-0000-0000-00005D700000}"/>
    <cellStyle name="Followed Hyperlink 4" xfId="20566" hidden="1" xr:uid="{00000000-0005-0000-0000-00005E700000}"/>
    <cellStyle name="Followed Hyperlink 4" xfId="20569" hidden="1" xr:uid="{00000000-0005-0000-0000-00005F700000}"/>
    <cellStyle name="Followed Hyperlink 4" xfId="20572" hidden="1" xr:uid="{00000000-0005-0000-0000-000060700000}"/>
    <cellStyle name="Followed Hyperlink 4" xfId="20574" hidden="1" xr:uid="{00000000-0005-0000-0000-000061700000}"/>
    <cellStyle name="Followed Hyperlink 4" xfId="20575" hidden="1" xr:uid="{00000000-0005-0000-0000-000062700000}"/>
    <cellStyle name="Followed Hyperlink 4" xfId="20578" hidden="1" xr:uid="{00000000-0005-0000-0000-000063700000}"/>
    <cellStyle name="Followed Hyperlink 4" xfId="20587" hidden="1" xr:uid="{00000000-0005-0000-0000-000064700000}"/>
    <cellStyle name="Followed Hyperlink 4" xfId="20579" hidden="1" xr:uid="{00000000-0005-0000-0000-000065700000}"/>
    <cellStyle name="Followed Hyperlink 4" xfId="20590" hidden="1" xr:uid="{00000000-0005-0000-0000-000066700000}"/>
    <cellStyle name="Followed Hyperlink 4" xfId="20593" hidden="1" xr:uid="{00000000-0005-0000-0000-000067700000}"/>
    <cellStyle name="Followed Hyperlink 4" xfId="20596" hidden="1" xr:uid="{00000000-0005-0000-0000-000068700000}"/>
    <cellStyle name="Followed Hyperlink 4" xfId="20598" hidden="1" xr:uid="{00000000-0005-0000-0000-000069700000}"/>
    <cellStyle name="Followed Hyperlink 4" xfId="20599" hidden="1" xr:uid="{00000000-0005-0000-0000-00006A700000}"/>
    <cellStyle name="Followed Hyperlink 4" xfId="20602" hidden="1" xr:uid="{00000000-0005-0000-0000-00006B700000}"/>
    <cellStyle name="Followed Hyperlink 4" xfId="20611" hidden="1" xr:uid="{00000000-0005-0000-0000-00006C700000}"/>
    <cellStyle name="Followed Hyperlink 4" xfId="20603" hidden="1" xr:uid="{00000000-0005-0000-0000-00006D700000}"/>
    <cellStyle name="Followed Hyperlink 4" xfId="20614" hidden="1" xr:uid="{00000000-0005-0000-0000-00006E700000}"/>
    <cellStyle name="Followed Hyperlink 4" xfId="20617" hidden="1" xr:uid="{00000000-0005-0000-0000-00006F700000}"/>
    <cellStyle name="Followed Hyperlink 4" xfId="20620" hidden="1" xr:uid="{00000000-0005-0000-0000-000070700000}"/>
    <cellStyle name="Followed Hyperlink 4" xfId="20622" hidden="1" xr:uid="{00000000-0005-0000-0000-000071700000}"/>
    <cellStyle name="Followed Hyperlink 4" xfId="20623" hidden="1" xr:uid="{00000000-0005-0000-0000-000072700000}"/>
    <cellStyle name="Followed Hyperlink 4" xfId="20626" hidden="1" xr:uid="{00000000-0005-0000-0000-000073700000}"/>
    <cellStyle name="Followed Hyperlink 4" xfId="20635" hidden="1" xr:uid="{00000000-0005-0000-0000-000074700000}"/>
    <cellStyle name="Followed Hyperlink 4" xfId="20627" hidden="1" xr:uid="{00000000-0005-0000-0000-000075700000}"/>
    <cellStyle name="Followed Hyperlink 4" xfId="20638" hidden="1" xr:uid="{00000000-0005-0000-0000-000076700000}"/>
    <cellStyle name="Followed Hyperlink 4" xfId="20641" hidden="1" xr:uid="{00000000-0005-0000-0000-000077700000}"/>
    <cellStyle name="Followed Hyperlink 4" xfId="20644" hidden="1" xr:uid="{00000000-0005-0000-0000-000078700000}"/>
    <cellStyle name="Followed Hyperlink 4" xfId="20646" hidden="1" xr:uid="{00000000-0005-0000-0000-000079700000}"/>
    <cellStyle name="Followed Hyperlink 4" xfId="20647" hidden="1" xr:uid="{00000000-0005-0000-0000-00007A700000}"/>
    <cellStyle name="Followed Hyperlink 4" xfId="20650" hidden="1" xr:uid="{00000000-0005-0000-0000-00007B700000}"/>
    <cellStyle name="Followed Hyperlink 4" xfId="20688" hidden="1" xr:uid="{00000000-0005-0000-0000-00007C700000}"/>
    <cellStyle name="Followed Hyperlink 4" xfId="20680" hidden="1" xr:uid="{00000000-0005-0000-0000-00007D700000}"/>
    <cellStyle name="Followed Hyperlink 4" xfId="20691" hidden="1" xr:uid="{00000000-0005-0000-0000-00007E700000}"/>
    <cellStyle name="Followed Hyperlink 4" xfId="20694" hidden="1" xr:uid="{00000000-0005-0000-0000-00007F700000}"/>
    <cellStyle name="Followed Hyperlink 4" xfId="20697" hidden="1" xr:uid="{00000000-0005-0000-0000-000080700000}"/>
    <cellStyle name="Followed Hyperlink 4" xfId="20699" hidden="1" xr:uid="{00000000-0005-0000-0000-000081700000}"/>
    <cellStyle name="Followed Hyperlink 4" xfId="20700" hidden="1" xr:uid="{00000000-0005-0000-0000-000082700000}"/>
    <cellStyle name="Followed Hyperlink 4" xfId="20703" hidden="1" xr:uid="{00000000-0005-0000-0000-000083700000}"/>
    <cellStyle name="Followed Hyperlink 4" xfId="20712" hidden="1" xr:uid="{00000000-0005-0000-0000-000084700000}"/>
    <cellStyle name="Followed Hyperlink 4" xfId="20704" hidden="1" xr:uid="{00000000-0005-0000-0000-000085700000}"/>
    <cellStyle name="Followed Hyperlink 4" xfId="20715" hidden="1" xr:uid="{00000000-0005-0000-0000-000086700000}"/>
    <cellStyle name="Followed Hyperlink 4" xfId="20718" hidden="1" xr:uid="{00000000-0005-0000-0000-000087700000}"/>
    <cellStyle name="Followed Hyperlink 4" xfId="20721" hidden="1" xr:uid="{00000000-0005-0000-0000-000088700000}"/>
    <cellStyle name="Followed Hyperlink 4" xfId="20723" hidden="1" xr:uid="{00000000-0005-0000-0000-000089700000}"/>
    <cellStyle name="Followed Hyperlink 4" xfId="20724" hidden="1" xr:uid="{00000000-0005-0000-0000-00008A700000}"/>
    <cellStyle name="Followed Hyperlink 4" xfId="20727" hidden="1" xr:uid="{00000000-0005-0000-0000-00008B700000}"/>
    <cellStyle name="Followed Hyperlink 4" xfId="20738" hidden="1" xr:uid="{00000000-0005-0000-0000-00008C700000}"/>
    <cellStyle name="Followed Hyperlink 4" xfId="20730" hidden="1" xr:uid="{00000000-0005-0000-0000-00008D700000}"/>
    <cellStyle name="Followed Hyperlink 4" xfId="20741" hidden="1" xr:uid="{00000000-0005-0000-0000-00008E700000}"/>
    <cellStyle name="Followed Hyperlink 4" xfId="20744" hidden="1" xr:uid="{00000000-0005-0000-0000-00008F700000}"/>
    <cellStyle name="Followed Hyperlink 4" xfId="20747" hidden="1" xr:uid="{00000000-0005-0000-0000-000090700000}"/>
    <cellStyle name="Followed Hyperlink 4" xfId="20749" hidden="1" xr:uid="{00000000-0005-0000-0000-000091700000}"/>
    <cellStyle name="Followed Hyperlink 4" xfId="20750" hidden="1" xr:uid="{00000000-0005-0000-0000-000092700000}"/>
    <cellStyle name="Followed Hyperlink 4" xfId="20753" hidden="1" xr:uid="{00000000-0005-0000-0000-000093700000}"/>
    <cellStyle name="Followed Hyperlink 4" xfId="20762" hidden="1" xr:uid="{00000000-0005-0000-0000-000094700000}"/>
    <cellStyle name="Followed Hyperlink 4" xfId="20754" hidden="1" xr:uid="{00000000-0005-0000-0000-000095700000}"/>
    <cellStyle name="Followed Hyperlink 4" xfId="20765" hidden="1" xr:uid="{00000000-0005-0000-0000-000096700000}"/>
    <cellStyle name="Followed Hyperlink 4" xfId="20768" hidden="1" xr:uid="{00000000-0005-0000-0000-000097700000}"/>
    <cellStyle name="Followed Hyperlink 4" xfId="20771" hidden="1" xr:uid="{00000000-0005-0000-0000-000098700000}"/>
    <cellStyle name="Followed Hyperlink 4" xfId="20773" hidden="1" xr:uid="{00000000-0005-0000-0000-000099700000}"/>
    <cellStyle name="Followed Hyperlink 4" xfId="20774" hidden="1" xr:uid="{00000000-0005-0000-0000-00009A700000}"/>
    <cellStyle name="Followed Hyperlink 4" xfId="20777" hidden="1" xr:uid="{00000000-0005-0000-0000-00009B700000}"/>
    <cellStyle name="Followed Hyperlink 4" xfId="20660" hidden="1" xr:uid="{00000000-0005-0000-0000-00009C700000}"/>
    <cellStyle name="Followed Hyperlink 4" xfId="20654" hidden="1" xr:uid="{00000000-0005-0000-0000-00009D700000}"/>
    <cellStyle name="Followed Hyperlink 4" xfId="20778" hidden="1" xr:uid="{00000000-0005-0000-0000-00009E700000}"/>
    <cellStyle name="Followed Hyperlink 4" xfId="20781" hidden="1" xr:uid="{00000000-0005-0000-0000-00009F700000}"/>
    <cellStyle name="Followed Hyperlink 4" xfId="20784" hidden="1" xr:uid="{00000000-0005-0000-0000-0000A0700000}"/>
    <cellStyle name="Followed Hyperlink 4" xfId="20786" hidden="1" xr:uid="{00000000-0005-0000-0000-0000A1700000}"/>
    <cellStyle name="Followed Hyperlink 4" xfId="20787" hidden="1" xr:uid="{00000000-0005-0000-0000-0000A2700000}"/>
    <cellStyle name="Followed Hyperlink 4" xfId="20790" hidden="1" xr:uid="{00000000-0005-0000-0000-0000A3700000}"/>
    <cellStyle name="Followed Hyperlink 4" xfId="20799" hidden="1" xr:uid="{00000000-0005-0000-0000-0000A4700000}"/>
    <cellStyle name="Followed Hyperlink 4" xfId="20791" hidden="1" xr:uid="{00000000-0005-0000-0000-0000A5700000}"/>
    <cellStyle name="Followed Hyperlink 4" xfId="20802" hidden="1" xr:uid="{00000000-0005-0000-0000-0000A6700000}"/>
    <cellStyle name="Followed Hyperlink 4" xfId="20805" hidden="1" xr:uid="{00000000-0005-0000-0000-0000A7700000}"/>
    <cellStyle name="Followed Hyperlink 4" xfId="20808" hidden="1" xr:uid="{00000000-0005-0000-0000-0000A8700000}"/>
    <cellStyle name="Followed Hyperlink 4" xfId="20810" hidden="1" xr:uid="{00000000-0005-0000-0000-0000A9700000}"/>
    <cellStyle name="Followed Hyperlink 4" xfId="20811" hidden="1" xr:uid="{00000000-0005-0000-0000-0000AA700000}"/>
    <cellStyle name="Followed Hyperlink 4" xfId="20814" hidden="1" xr:uid="{00000000-0005-0000-0000-0000AB700000}"/>
    <cellStyle name="Followed Hyperlink 4" xfId="20824" hidden="1" xr:uid="{00000000-0005-0000-0000-0000AC700000}"/>
    <cellStyle name="Followed Hyperlink 4" xfId="20816" hidden="1" xr:uid="{00000000-0005-0000-0000-0000AD700000}"/>
    <cellStyle name="Followed Hyperlink 4" xfId="20827" hidden="1" xr:uid="{00000000-0005-0000-0000-0000AE700000}"/>
    <cellStyle name="Followed Hyperlink 4" xfId="20830" hidden="1" xr:uid="{00000000-0005-0000-0000-0000AF700000}"/>
    <cellStyle name="Followed Hyperlink 4" xfId="20833" hidden="1" xr:uid="{00000000-0005-0000-0000-0000B0700000}"/>
    <cellStyle name="Followed Hyperlink 4" xfId="20835" hidden="1" xr:uid="{00000000-0005-0000-0000-0000B1700000}"/>
    <cellStyle name="Followed Hyperlink 4" xfId="20836" hidden="1" xr:uid="{00000000-0005-0000-0000-0000B2700000}"/>
    <cellStyle name="Followed Hyperlink 4" xfId="20839" hidden="1" xr:uid="{00000000-0005-0000-0000-0000B3700000}"/>
    <cellStyle name="Followed Hyperlink 4" xfId="20848" hidden="1" xr:uid="{00000000-0005-0000-0000-0000B4700000}"/>
    <cellStyle name="Followed Hyperlink 4" xfId="20840" hidden="1" xr:uid="{00000000-0005-0000-0000-0000B5700000}"/>
    <cellStyle name="Followed Hyperlink 4" xfId="20851" hidden="1" xr:uid="{00000000-0005-0000-0000-0000B6700000}"/>
    <cellStyle name="Followed Hyperlink 4" xfId="20854" hidden="1" xr:uid="{00000000-0005-0000-0000-0000B7700000}"/>
    <cellStyle name="Followed Hyperlink 4" xfId="20857" hidden="1" xr:uid="{00000000-0005-0000-0000-0000B8700000}"/>
    <cellStyle name="Followed Hyperlink 4" xfId="20859" hidden="1" xr:uid="{00000000-0005-0000-0000-0000B9700000}"/>
    <cellStyle name="Followed Hyperlink 4" xfId="20860" hidden="1" xr:uid="{00000000-0005-0000-0000-0000BA700000}"/>
    <cellStyle name="Followed Hyperlink 4" xfId="20863" hidden="1" xr:uid="{00000000-0005-0000-0000-0000BB700000}"/>
    <cellStyle name="Followed Hyperlink 4" xfId="20664" hidden="1" xr:uid="{00000000-0005-0000-0000-0000BC700000}"/>
    <cellStyle name="Followed Hyperlink 4" xfId="20670" hidden="1" xr:uid="{00000000-0005-0000-0000-0000BD700000}"/>
    <cellStyle name="Followed Hyperlink 4" xfId="20864" hidden="1" xr:uid="{00000000-0005-0000-0000-0000BE700000}"/>
    <cellStyle name="Followed Hyperlink 4" xfId="20867" hidden="1" xr:uid="{00000000-0005-0000-0000-0000BF700000}"/>
    <cellStyle name="Followed Hyperlink 4" xfId="20870" hidden="1" xr:uid="{00000000-0005-0000-0000-0000C0700000}"/>
    <cellStyle name="Followed Hyperlink 4" xfId="20872" hidden="1" xr:uid="{00000000-0005-0000-0000-0000C1700000}"/>
    <cellStyle name="Followed Hyperlink 4" xfId="20873" hidden="1" xr:uid="{00000000-0005-0000-0000-0000C2700000}"/>
    <cellStyle name="Followed Hyperlink 4" xfId="20876" hidden="1" xr:uid="{00000000-0005-0000-0000-0000C3700000}"/>
    <cellStyle name="Followed Hyperlink 4" xfId="20885" hidden="1" xr:uid="{00000000-0005-0000-0000-0000C4700000}"/>
    <cellStyle name="Followed Hyperlink 4" xfId="20877" hidden="1" xr:uid="{00000000-0005-0000-0000-0000C5700000}"/>
    <cellStyle name="Followed Hyperlink 4" xfId="20888" hidden="1" xr:uid="{00000000-0005-0000-0000-0000C6700000}"/>
    <cellStyle name="Followed Hyperlink 4" xfId="20891" hidden="1" xr:uid="{00000000-0005-0000-0000-0000C7700000}"/>
    <cellStyle name="Followed Hyperlink 4" xfId="20894" hidden="1" xr:uid="{00000000-0005-0000-0000-0000C8700000}"/>
    <cellStyle name="Followed Hyperlink 4" xfId="20896" hidden="1" xr:uid="{00000000-0005-0000-0000-0000C9700000}"/>
    <cellStyle name="Followed Hyperlink 4" xfId="20897" hidden="1" xr:uid="{00000000-0005-0000-0000-0000CA700000}"/>
    <cellStyle name="Followed Hyperlink 4" xfId="20900" hidden="1" xr:uid="{00000000-0005-0000-0000-0000CB700000}"/>
    <cellStyle name="Followed Hyperlink 4" xfId="20910" hidden="1" xr:uid="{00000000-0005-0000-0000-0000CC700000}"/>
    <cellStyle name="Followed Hyperlink 4" xfId="20902" hidden="1" xr:uid="{00000000-0005-0000-0000-0000CD700000}"/>
    <cellStyle name="Followed Hyperlink 4" xfId="20913" hidden="1" xr:uid="{00000000-0005-0000-0000-0000CE700000}"/>
    <cellStyle name="Followed Hyperlink 4" xfId="20916" hidden="1" xr:uid="{00000000-0005-0000-0000-0000CF700000}"/>
    <cellStyle name="Followed Hyperlink 4" xfId="20919" hidden="1" xr:uid="{00000000-0005-0000-0000-0000D0700000}"/>
    <cellStyle name="Followed Hyperlink 4" xfId="20921" hidden="1" xr:uid="{00000000-0005-0000-0000-0000D1700000}"/>
    <cellStyle name="Followed Hyperlink 4" xfId="20922" hidden="1" xr:uid="{00000000-0005-0000-0000-0000D2700000}"/>
    <cellStyle name="Followed Hyperlink 4" xfId="20925" hidden="1" xr:uid="{00000000-0005-0000-0000-0000D3700000}"/>
    <cellStyle name="Followed Hyperlink 4" xfId="20934" hidden="1" xr:uid="{00000000-0005-0000-0000-0000D4700000}"/>
    <cellStyle name="Followed Hyperlink 4" xfId="20926" hidden="1" xr:uid="{00000000-0005-0000-0000-0000D5700000}"/>
    <cellStyle name="Followed Hyperlink 4" xfId="20937" hidden="1" xr:uid="{00000000-0005-0000-0000-0000D6700000}"/>
    <cellStyle name="Followed Hyperlink 4" xfId="20940" hidden="1" xr:uid="{00000000-0005-0000-0000-0000D7700000}"/>
    <cellStyle name="Followed Hyperlink 4" xfId="20943" hidden="1" xr:uid="{00000000-0005-0000-0000-0000D8700000}"/>
    <cellStyle name="Followed Hyperlink 4" xfId="20945" hidden="1" xr:uid="{00000000-0005-0000-0000-0000D9700000}"/>
    <cellStyle name="Followed Hyperlink 4" xfId="20946" hidden="1" xr:uid="{00000000-0005-0000-0000-0000DA700000}"/>
    <cellStyle name="Followed Hyperlink 4" xfId="20949" hidden="1" xr:uid="{00000000-0005-0000-0000-0000DB700000}"/>
    <cellStyle name="Followed Hyperlink 4" xfId="20674" hidden="1" xr:uid="{00000000-0005-0000-0000-0000DC700000}"/>
    <cellStyle name="Followed Hyperlink 4" xfId="20729" hidden="1" xr:uid="{00000000-0005-0000-0000-0000DD700000}"/>
    <cellStyle name="Followed Hyperlink 4" xfId="20950" hidden="1" xr:uid="{00000000-0005-0000-0000-0000DE700000}"/>
    <cellStyle name="Followed Hyperlink 4" xfId="20953" hidden="1" xr:uid="{00000000-0005-0000-0000-0000DF700000}"/>
    <cellStyle name="Followed Hyperlink 4" xfId="20956" hidden="1" xr:uid="{00000000-0005-0000-0000-0000E0700000}"/>
    <cellStyle name="Followed Hyperlink 4" xfId="20958" hidden="1" xr:uid="{00000000-0005-0000-0000-0000E1700000}"/>
    <cellStyle name="Followed Hyperlink 4" xfId="20959" hidden="1" xr:uid="{00000000-0005-0000-0000-0000E2700000}"/>
    <cellStyle name="Followed Hyperlink 4" xfId="20962" hidden="1" xr:uid="{00000000-0005-0000-0000-0000E3700000}"/>
    <cellStyle name="Followed Hyperlink 4" xfId="20971" hidden="1" xr:uid="{00000000-0005-0000-0000-0000E4700000}"/>
    <cellStyle name="Followed Hyperlink 4" xfId="20963" hidden="1" xr:uid="{00000000-0005-0000-0000-0000E5700000}"/>
    <cellStyle name="Followed Hyperlink 4" xfId="20974" hidden="1" xr:uid="{00000000-0005-0000-0000-0000E6700000}"/>
    <cellStyle name="Followed Hyperlink 4" xfId="20977" hidden="1" xr:uid="{00000000-0005-0000-0000-0000E7700000}"/>
    <cellStyle name="Followed Hyperlink 4" xfId="20980" hidden="1" xr:uid="{00000000-0005-0000-0000-0000E8700000}"/>
    <cellStyle name="Followed Hyperlink 4" xfId="20982" hidden="1" xr:uid="{00000000-0005-0000-0000-0000E9700000}"/>
    <cellStyle name="Followed Hyperlink 4" xfId="20983" hidden="1" xr:uid="{00000000-0005-0000-0000-0000EA700000}"/>
    <cellStyle name="Followed Hyperlink 4" xfId="20986" hidden="1" xr:uid="{00000000-0005-0000-0000-0000EB700000}"/>
    <cellStyle name="Followed Hyperlink 4" xfId="20995" hidden="1" xr:uid="{00000000-0005-0000-0000-0000EC700000}"/>
    <cellStyle name="Followed Hyperlink 4" xfId="20987" hidden="1" xr:uid="{00000000-0005-0000-0000-0000ED700000}"/>
    <cellStyle name="Followed Hyperlink 4" xfId="20998" hidden="1" xr:uid="{00000000-0005-0000-0000-0000EE700000}"/>
    <cellStyle name="Followed Hyperlink 4" xfId="21001" hidden="1" xr:uid="{00000000-0005-0000-0000-0000EF700000}"/>
    <cellStyle name="Followed Hyperlink 4" xfId="21004" hidden="1" xr:uid="{00000000-0005-0000-0000-0000F0700000}"/>
    <cellStyle name="Followed Hyperlink 4" xfId="21006" hidden="1" xr:uid="{00000000-0005-0000-0000-0000F1700000}"/>
    <cellStyle name="Followed Hyperlink 4" xfId="21007" hidden="1" xr:uid="{00000000-0005-0000-0000-0000F2700000}"/>
    <cellStyle name="Followed Hyperlink 4" xfId="21010" hidden="1" xr:uid="{00000000-0005-0000-0000-0000F3700000}"/>
    <cellStyle name="Followed Hyperlink 4" xfId="21019" hidden="1" xr:uid="{00000000-0005-0000-0000-0000F4700000}"/>
    <cellStyle name="Followed Hyperlink 4" xfId="21011" hidden="1" xr:uid="{00000000-0005-0000-0000-0000F5700000}"/>
    <cellStyle name="Followed Hyperlink 4" xfId="21022" hidden="1" xr:uid="{00000000-0005-0000-0000-0000F6700000}"/>
    <cellStyle name="Followed Hyperlink 4" xfId="21025" hidden="1" xr:uid="{00000000-0005-0000-0000-0000F7700000}"/>
    <cellStyle name="Followed Hyperlink 4" xfId="21028" hidden="1" xr:uid="{00000000-0005-0000-0000-0000F8700000}"/>
    <cellStyle name="Followed Hyperlink 4" xfId="21030" hidden="1" xr:uid="{00000000-0005-0000-0000-0000F9700000}"/>
    <cellStyle name="Followed Hyperlink 4" xfId="21031" hidden="1" xr:uid="{00000000-0005-0000-0000-0000FA700000}"/>
    <cellStyle name="Followed Hyperlink 4" xfId="21034" hidden="1" xr:uid="{00000000-0005-0000-0000-0000FB700000}"/>
    <cellStyle name="Followed Hyperlink 4" xfId="16995" hidden="1" xr:uid="{00000000-0005-0000-0000-0000FC700000}"/>
    <cellStyle name="Followed Hyperlink 4" xfId="17001" hidden="1" xr:uid="{00000000-0005-0000-0000-0000FD700000}"/>
    <cellStyle name="Followed Hyperlink 4" xfId="21035" hidden="1" xr:uid="{00000000-0005-0000-0000-0000FE700000}"/>
    <cellStyle name="Followed Hyperlink 4" xfId="21038" hidden="1" xr:uid="{00000000-0005-0000-0000-0000FF700000}"/>
    <cellStyle name="Followed Hyperlink 4" xfId="21041" hidden="1" xr:uid="{00000000-0005-0000-0000-000000710000}"/>
    <cellStyle name="Followed Hyperlink 4" xfId="21043" hidden="1" xr:uid="{00000000-0005-0000-0000-000001710000}"/>
    <cellStyle name="Followed Hyperlink 4" xfId="21044" hidden="1" xr:uid="{00000000-0005-0000-0000-000002710000}"/>
    <cellStyle name="Followed Hyperlink 4" xfId="21047" hidden="1" xr:uid="{00000000-0005-0000-0000-000003710000}"/>
    <cellStyle name="Followed Hyperlink 4" xfId="21056" hidden="1" xr:uid="{00000000-0005-0000-0000-000004710000}"/>
    <cellStyle name="Followed Hyperlink 4" xfId="21048" hidden="1" xr:uid="{00000000-0005-0000-0000-000005710000}"/>
    <cellStyle name="Followed Hyperlink 4" xfId="21059" hidden="1" xr:uid="{00000000-0005-0000-0000-000006710000}"/>
    <cellStyle name="Followed Hyperlink 4" xfId="21062" hidden="1" xr:uid="{00000000-0005-0000-0000-000007710000}"/>
    <cellStyle name="Followed Hyperlink 4" xfId="21065" hidden="1" xr:uid="{00000000-0005-0000-0000-000008710000}"/>
    <cellStyle name="Followed Hyperlink 4" xfId="21067" hidden="1" xr:uid="{00000000-0005-0000-0000-000009710000}"/>
    <cellStyle name="Followed Hyperlink 4" xfId="21068" hidden="1" xr:uid="{00000000-0005-0000-0000-00000A710000}"/>
    <cellStyle name="Followed Hyperlink 4" xfId="21071" hidden="1" xr:uid="{00000000-0005-0000-0000-00000B710000}"/>
    <cellStyle name="Followed Hyperlink 4" xfId="21081" hidden="1" xr:uid="{00000000-0005-0000-0000-00000C710000}"/>
    <cellStyle name="Followed Hyperlink 4" xfId="21073" hidden="1" xr:uid="{00000000-0005-0000-0000-00000D710000}"/>
    <cellStyle name="Followed Hyperlink 4" xfId="21084" hidden="1" xr:uid="{00000000-0005-0000-0000-00000E710000}"/>
    <cellStyle name="Followed Hyperlink 4" xfId="21087" hidden="1" xr:uid="{00000000-0005-0000-0000-00000F710000}"/>
    <cellStyle name="Followed Hyperlink 4" xfId="21090" hidden="1" xr:uid="{00000000-0005-0000-0000-000010710000}"/>
    <cellStyle name="Followed Hyperlink 4" xfId="21092" hidden="1" xr:uid="{00000000-0005-0000-0000-000011710000}"/>
    <cellStyle name="Followed Hyperlink 4" xfId="21093" hidden="1" xr:uid="{00000000-0005-0000-0000-000012710000}"/>
    <cellStyle name="Followed Hyperlink 4" xfId="21096" hidden="1" xr:uid="{00000000-0005-0000-0000-000013710000}"/>
    <cellStyle name="Followed Hyperlink 4" xfId="21105" hidden="1" xr:uid="{00000000-0005-0000-0000-000014710000}"/>
    <cellStyle name="Followed Hyperlink 4" xfId="21097" hidden="1" xr:uid="{00000000-0005-0000-0000-000015710000}"/>
    <cellStyle name="Followed Hyperlink 4" xfId="21108" hidden="1" xr:uid="{00000000-0005-0000-0000-000016710000}"/>
    <cellStyle name="Followed Hyperlink 4" xfId="21111" hidden="1" xr:uid="{00000000-0005-0000-0000-000017710000}"/>
    <cellStyle name="Followed Hyperlink 4" xfId="21114" hidden="1" xr:uid="{00000000-0005-0000-0000-000018710000}"/>
    <cellStyle name="Followed Hyperlink 4" xfId="21116" hidden="1" xr:uid="{00000000-0005-0000-0000-000019710000}"/>
    <cellStyle name="Followed Hyperlink 4" xfId="21117" hidden="1" xr:uid="{00000000-0005-0000-0000-00001A710000}"/>
    <cellStyle name="Followed Hyperlink 4" xfId="21120" hidden="1" xr:uid="{00000000-0005-0000-0000-00001B710000}"/>
    <cellStyle name="Followed Hyperlink 4" xfId="21158" hidden="1" xr:uid="{00000000-0005-0000-0000-00001C710000}"/>
    <cellStyle name="Followed Hyperlink 4" xfId="21150" hidden="1" xr:uid="{00000000-0005-0000-0000-00001D710000}"/>
    <cellStyle name="Followed Hyperlink 4" xfId="21161" hidden="1" xr:uid="{00000000-0005-0000-0000-00001E710000}"/>
    <cellStyle name="Followed Hyperlink 4" xfId="21164" hidden="1" xr:uid="{00000000-0005-0000-0000-00001F710000}"/>
    <cellStyle name="Followed Hyperlink 4" xfId="21167" hidden="1" xr:uid="{00000000-0005-0000-0000-000020710000}"/>
    <cellStyle name="Followed Hyperlink 4" xfId="21169" hidden="1" xr:uid="{00000000-0005-0000-0000-000021710000}"/>
    <cellStyle name="Followed Hyperlink 4" xfId="21170" hidden="1" xr:uid="{00000000-0005-0000-0000-000022710000}"/>
    <cellStyle name="Followed Hyperlink 4" xfId="21173" hidden="1" xr:uid="{00000000-0005-0000-0000-000023710000}"/>
    <cellStyle name="Followed Hyperlink 4" xfId="21182" hidden="1" xr:uid="{00000000-0005-0000-0000-000024710000}"/>
    <cellStyle name="Followed Hyperlink 4" xfId="21174" hidden="1" xr:uid="{00000000-0005-0000-0000-000025710000}"/>
    <cellStyle name="Followed Hyperlink 4" xfId="21185" hidden="1" xr:uid="{00000000-0005-0000-0000-000026710000}"/>
    <cellStyle name="Followed Hyperlink 4" xfId="21188" hidden="1" xr:uid="{00000000-0005-0000-0000-000027710000}"/>
    <cellStyle name="Followed Hyperlink 4" xfId="21191" hidden="1" xr:uid="{00000000-0005-0000-0000-000028710000}"/>
    <cellStyle name="Followed Hyperlink 4" xfId="21193" hidden="1" xr:uid="{00000000-0005-0000-0000-000029710000}"/>
    <cellStyle name="Followed Hyperlink 4" xfId="21194" hidden="1" xr:uid="{00000000-0005-0000-0000-00002A710000}"/>
    <cellStyle name="Followed Hyperlink 4" xfId="21197" hidden="1" xr:uid="{00000000-0005-0000-0000-00002B710000}"/>
    <cellStyle name="Followed Hyperlink 4" xfId="21208" hidden="1" xr:uid="{00000000-0005-0000-0000-00002C710000}"/>
    <cellStyle name="Followed Hyperlink 4" xfId="21200" hidden="1" xr:uid="{00000000-0005-0000-0000-00002D710000}"/>
    <cellStyle name="Followed Hyperlink 4" xfId="21211" hidden="1" xr:uid="{00000000-0005-0000-0000-00002E710000}"/>
    <cellStyle name="Followed Hyperlink 4" xfId="21214" hidden="1" xr:uid="{00000000-0005-0000-0000-00002F710000}"/>
    <cellStyle name="Followed Hyperlink 4" xfId="21217" hidden="1" xr:uid="{00000000-0005-0000-0000-000030710000}"/>
    <cellStyle name="Followed Hyperlink 4" xfId="21219" hidden="1" xr:uid="{00000000-0005-0000-0000-000031710000}"/>
    <cellStyle name="Followed Hyperlink 4" xfId="21220" hidden="1" xr:uid="{00000000-0005-0000-0000-000032710000}"/>
    <cellStyle name="Followed Hyperlink 4" xfId="21223" hidden="1" xr:uid="{00000000-0005-0000-0000-000033710000}"/>
    <cellStyle name="Followed Hyperlink 4" xfId="21232" hidden="1" xr:uid="{00000000-0005-0000-0000-000034710000}"/>
    <cellStyle name="Followed Hyperlink 4" xfId="21224" hidden="1" xr:uid="{00000000-0005-0000-0000-000035710000}"/>
    <cellStyle name="Followed Hyperlink 4" xfId="21235" hidden="1" xr:uid="{00000000-0005-0000-0000-000036710000}"/>
    <cellStyle name="Followed Hyperlink 4" xfId="21238" hidden="1" xr:uid="{00000000-0005-0000-0000-000037710000}"/>
    <cellStyle name="Followed Hyperlink 4" xfId="21241" hidden="1" xr:uid="{00000000-0005-0000-0000-000038710000}"/>
    <cellStyle name="Followed Hyperlink 4" xfId="21243" hidden="1" xr:uid="{00000000-0005-0000-0000-000039710000}"/>
    <cellStyle name="Followed Hyperlink 4" xfId="21244" hidden="1" xr:uid="{00000000-0005-0000-0000-00003A710000}"/>
    <cellStyle name="Followed Hyperlink 4" xfId="21247" hidden="1" xr:uid="{00000000-0005-0000-0000-00003B710000}"/>
    <cellStyle name="Followed Hyperlink 4" xfId="21285" hidden="1" xr:uid="{00000000-0005-0000-0000-00003C710000}"/>
    <cellStyle name="Followed Hyperlink 4" xfId="21277" hidden="1" xr:uid="{00000000-0005-0000-0000-00003D710000}"/>
    <cellStyle name="Followed Hyperlink 4" xfId="21288" hidden="1" xr:uid="{00000000-0005-0000-0000-00003E710000}"/>
    <cellStyle name="Followed Hyperlink 4" xfId="21291" hidden="1" xr:uid="{00000000-0005-0000-0000-00003F710000}"/>
    <cellStyle name="Followed Hyperlink 4" xfId="21294" hidden="1" xr:uid="{00000000-0005-0000-0000-000040710000}"/>
    <cellStyle name="Followed Hyperlink 4" xfId="21296" hidden="1" xr:uid="{00000000-0005-0000-0000-000041710000}"/>
    <cellStyle name="Followed Hyperlink 4" xfId="21297" hidden="1" xr:uid="{00000000-0005-0000-0000-000042710000}"/>
    <cellStyle name="Followed Hyperlink 4" xfId="21300" hidden="1" xr:uid="{00000000-0005-0000-0000-000043710000}"/>
    <cellStyle name="Followed Hyperlink 4" xfId="21309" hidden="1" xr:uid="{00000000-0005-0000-0000-000044710000}"/>
    <cellStyle name="Followed Hyperlink 4" xfId="21301" hidden="1" xr:uid="{00000000-0005-0000-0000-000045710000}"/>
    <cellStyle name="Followed Hyperlink 4" xfId="21312" hidden="1" xr:uid="{00000000-0005-0000-0000-000046710000}"/>
    <cellStyle name="Followed Hyperlink 4" xfId="21315" hidden="1" xr:uid="{00000000-0005-0000-0000-000047710000}"/>
    <cellStyle name="Followed Hyperlink 4" xfId="21318" hidden="1" xr:uid="{00000000-0005-0000-0000-000048710000}"/>
    <cellStyle name="Followed Hyperlink 4" xfId="21320" hidden="1" xr:uid="{00000000-0005-0000-0000-000049710000}"/>
    <cellStyle name="Followed Hyperlink 4" xfId="21321" hidden="1" xr:uid="{00000000-0005-0000-0000-00004A710000}"/>
    <cellStyle name="Followed Hyperlink 4" xfId="21324" hidden="1" xr:uid="{00000000-0005-0000-0000-00004B710000}"/>
    <cellStyle name="Followed Hyperlink 4" xfId="21335" hidden="1" xr:uid="{00000000-0005-0000-0000-00004C710000}"/>
    <cellStyle name="Followed Hyperlink 4" xfId="21327" hidden="1" xr:uid="{00000000-0005-0000-0000-00004D710000}"/>
    <cellStyle name="Followed Hyperlink 4" xfId="21338" hidden="1" xr:uid="{00000000-0005-0000-0000-00004E710000}"/>
    <cellStyle name="Followed Hyperlink 4" xfId="21341" hidden="1" xr:uid="{00000000-0005-0000-0000-00004F710000}"/>
    <cellStyle name="Followed Hyperlink 4" xfId="21344" hidden="1" xr:uid="{00000000-0005-0000-0000-000050710000}"/>
    <cellStyle name="Followed Hyperlink 4" xfId="21346" hidden="1" xr:uid="{00000000-0005-0000-0000-000051710000}"/>
    <cellStyle name="Followed Hyperlink 4" xfId="21347" hidden="1" xr:uid="{00000000-0005-0000-0000-000052710000}"/>
    <cellStyle name="Followed Hyperlink 4" xfId="21350" hidden="1" xr:uid="{00000000-0005-0000-0000-000053710000}"/>
    <cellStyle name="Followed Hyperlink 4" xfId="21359" hidden="1" xr:uid="{00000000-0005-0000-0000-000054710000}"/>
    <cellStyle name="Followed Hyperlink 4" xfId="21351" hidden="1" xr:uid="{00000000-0005-0000-0000-000055710000}"/>
    <cellStyle name="Followed Hyperlink 4" xfId="21362" hidden="1" xr:uid="{00000000-0005-0000-0000-000056710000}"/>
    <cellStyle name="Followed Hyperlink 4" xfId="21365" hidden="1" xr:uid="{00000000-0005-0000-0000-000057710000}"/>
    <cellStyle name="Followed Hyperlink 4" xfId="21368" hidden="1" xr:uid="{00000000-0005-0000-0000-000058710000}"/>
    <cellStyle name="Followed Hyperlink 4" xfId="21370" hidden="1" xr:uid="{00000000-0005-0000-0000-000059710000}"/>
    <cellStyle name="Followed Hyperlink 4" xfId="21371" hidden="1" xr:uid="{00000000-0005-0000-0000-00005A710000}"/>
    <cellStyle name="Followed Hyperlink 4" xfId="21374" hidden="1" xr:uid="{00000000-0005-0000-0000-00005B710000}"/>
    <cellStyle name="Followed Hyperlink 4" xfId="21257" hidden="1" xr:uid="{00000000-0005-0000-0000-00005C710000}"/>
    <cellStyle name="Followed Hyperlink 4" xfId="21251" hidden="1" xr:uid="{00000000-0005-0000-0000-00005D710000}"/>
    <cellStyle name="Followed Hyperlink 4" xfId="21375" hidden="1" xr:uid="{00000000-0005-0000-0000-00005E710000}"/>
    <cellStyle name="Followed Hyperlink 4" xfId="21378" hidden="1" xr:uid="{00000000-0005-0000-0000-00005F710000}"/>
    <cellStyle name="Followed Hyperlink 4" xfId="21381" hidden="1" xr:uid="{00000000-0005-0000-0000-000060710000}"/>
    <cellStyle name="Followed Hyperlink 4" xfId="21383" hidden="1" xr:uid="{00000000-0005-0000-0000-000061710000}"/>
    <cellStyle name="Followed Hyperlink 4" xfId="21384" hidden="1" xr:uid="{00000000-0005-0000-0000-000062710000}"/>
    <cellStyle name="Followed Hyperlink 4" xfId="21387" hidden="1" xr:uid="{00000000-0005-0000-0000-000063710000}"/>
    <cellStyle name="Followed Hyperlink 4" xfId="21396" hidden="1" xr:uid="{00000000-0005-0000-0000-000064710000}"/>
    <cellStyle name="Followed Hyperlink 4" xfId="21388" hidden="1" xr:uid="{00000000-0005-0000-0000-000065710000}"/>
    <cellStyle name="Followed Hyperlink 4" xfId="21399" hidden="1" xr:uid="{00000000-0005-0000-0000-000066710000}"/>
    <cellStyle name="Followed Hyperlink 4" xfId="21402" hidden="1" xr:uid="{00000000-0005-0000-0000-000067710000}"/>
    <cellStyle name="Followed Hyperlink 4" xfId="21405" hidden="1" xr:uid="{00000000-0005-0000-0000-000068710000}"/>
    <cellStyle name="Followed Hyperlink 4" xfId="21407" hidden="1" xr:uid="{00000000-0005-0000-0000-000069710000}"/>
    <cellStyle name="Followed Hyperlink 4" xfId="21408" hidden="1" xr:uid="{00000000-0005-0000-0000-00006A710000}"/>
    <cellStyle name="Followed Hyperlink 4" xfId="21411" hidden="1" xr:uid="{00000000-0005-0000-0000-00006B710000}"/>
    <cellStyle name="Followed Hyperlink 4" xfId="21421" hidden="1" xr:uid="{00000000-0005-0000-0000-00006C710000}"/>
    <cellStyle name="Followed Hyperlink 4" xfId="21413" hidden="1" xr:uid="{00000000-0005-0000-0000-00006D710000}"/>
    <cellStyle name="Followed Hyperlink 4" xfId="21424" hidden="1" xr:uid="{00000000-0005-0000-0000-00006E710000}"/>
    <cellStyle name="Followed Hyperlink 4" xfId="21427" hidden="1" xr:uid="{00000000-0005-0000-0000-00006F710000}"/>
    <cellStyle name="Followed Hyperlink 4" xfId="21430" hidden="1" xr:uid="{00000000-0005-0000-0000-000070710000}"/>
    <cellStyle name="Followed Hyperlink 4" xfId="21432" hidden="1" xr:uid="{00000000-0005-0000-0000-000071710000}"/>
    <cellStyle name="Followed Hyperlink 4" xfId="21433" hidden="1" xr:uid="{00000000-0005-0000-0000-000072710000}"/>
    <cellStyle name="Followed Hyperlink 4" xfId="21436" hidden="1" xr:uid="{00000000-0005-0000-0000-000073710000}"/>
    <cellStyle name="Followed Hyperlink 4" xfId="21445" hidden="1" xr:uid="{00000000-0005-0000-0000-000074710000}"/>
    <cellStyle name="Followed Hyperlink 4" xfId="21437" hidden="1" xr:uid="{00000000-0005-0000-0000-000075710000}"/>
    <cellStyle name="Followed Hyperlink 4" xfId="21448" hidden="1" xr:uid="{00000000-0005-0000-0000-000076710000}"/>
    <cellStyle name="Followed Hyperlink 4" xfId="21451" hidden="1" xr:uid="{00000000-0005-0000-0000-000077710000}"/>
    <cellStyle name="Followed Hyperlink 4" xfId="21454" hidden="1" xr:uid="{00000000-0005-0000-0000-000078710000}"/>
    <cellStyle name="Followed Hyperlink 4" xfId="21456" hidden="1" xr:uid="{00000000-0005-0000-0000-000079710000}"/>
    <cellStyle name="Followed Hyperlink 4" xfId="21457" hidden="1" xr:uid="{00000000-0005-0000-0000-00007A710000}"/>
    <cellStyle name="Followed Hyperlink 4" xfId="21460" hidden="1" xr:uid="{00000000-0005-0000-0000-00007B710000}"/>
    <cellStyle name="Followed Hyperlink 4" xfId="21261" hidden="1" xr:uid="{00000000-0005-0000-0000-00007C710000}"/>
    <cellStyle name="Followed Hyperlink 4" xfId="21267" hidden="1" xr:uid="{00000000-0005-0000-0000-00007D710000}"/>
    <cellStyle name="Followed Hyperlink 4" xfId="21461" hidden="1" xr:uid="{00000000-0005-0000-0000-00007E710000}"/>
    <cellStyle name="Followed Hyperlink 4" xfId="21464" hidden="1" xr:uid="{00000000-0005-0000-0000-00007F710000}"/>
    <cellStyle name="Followed Hyperlink 4" xfId="21467" hidden="1" xr:uid="{00000000-0005-0000-0000-000080710000}"/>
    <cellStyle name="Followed Hyperlink 4" xfId="21469" hidden="1" xr:uid="{00000000-0005-0000-0000-000081710000}"/>
    <cellStyle name="Followed Hyperlink 4" xfId="21470" hidden="1" xr:uid="{00000000-0005-0000-0000-000082710000}"/>
    <cellStyle name="Followed Hyperlink 4" xfId="21473" hidden="1" xr:uid="{00000000-0005-0000-0000-000083710000}"/>
    <cellStyle name="Followed Hyperlink 4" xfId="21482" hidden="1" xr:uid="{00000000-0005-0000-0000-000084710000}"/>
    <cellStyle name="Followed Hyperlink 4" xfId="21474" hidden="1" xr:uid="{00000000-0005-0000-0000-000085710000}"/>
    <cellStyle name="Followed Hyperlink 4" xfId="21485" hidden="1" xr:uid="{00000000-0005-0000-0000-000086710000}"/>
    <cellStyle name="Followed Hyperlink 4" xfId="21488" hidden="1" xr:uid="{00000000-0005-0000-0000-000087710000}"/>
    <cellStyle name="Followed Hyperlink 4" xfId="21491" hidden="1" xr:uid="{00000000-0005-0000-0000-000088710000}"/>
    <cellStyle name="Followed Hyperlink 4" xfId="21493" hidden="1" xr:uid="{00000000-0005-0000-0000-000089710000}"/>
    <cellStyle name="Followed Hyperlink 4" xfId="21494" hidden="1" xr:uid="{00000000-0005-0000-0000-00008A710000}"/>
    <cellStyle name="Followed Hyperlink 4" xfId="21497" hidden="1" xr:uid="{00000000-0005-0000-0000-00008B710000}"/>
    <cellStyle name="Followed Hyperlink 4" xfId="21507" hidden="1" xr:uid="{00000000-0005-0000-0000-00008C710000}"/>
    <cellStyle name="Followed Hyperlink 4" xfId="21499" hidden="1" xr:uid="{00000000-0005-0000-0000-00008D710000}"/>
    <cellStyle name="Followed Hyperlink 4" xfId="21510" hidden="1" xr:uid="{00000000-0005-0000-0000-00008E710000}"/>
    <cellStyle name="Followed Hyperlink 4" xfId="21513" hidden="1" xr:uid="{00000000-0005-0000-0000-00008F710000}"/>
    <cellStyle name="Followed Hyperlink 4" xfId="21516" hidden="1" xr:uid="{00000000-0005-0000-0000-000090710000}"/>
    <cellStyle name="Followed Hyperlink 4" xfId="21518" hidden="1" xr:uid="{00000000-0005-0000-0000-000091710000}"/>
    <cellStyle name="Followed Hyperlink 4" xfId="21519" hidden="1" xr:uid="{00000000-0005-0000-0000-000092710000}"/>
    <cellStyle name="Followed Hyperlink 4" xfId="21522" hidden="1" xr:uid="{00000000-0005-0000-0000-000093710000}"/>
    <cellStyle name="Followed Hyperlink 4" xfId="21531" hidden="1" xr:uid="{00000000-0005-0000-0000-000094710000}"/>
    <cellStyle name="Followed Hyperlink 4" xfId="21523" hidden="1" xr:uid="{00000000-0005-0000-0000-000095710000}"/>
    <cellStyle name="Followed Hyperlink 4" xfId="21534" hidden="1" xr:uid="{00000000-0005-0000-0000-000096710000}"/>
    <cellStyle name="Followed Hyperlink 4" xfId="21537" hidden="1" xr:uid="{00000000-0005-0000-0000-000097710000}"/>
    <cellStyle name="Followed Hyperlink 4" xfId="21540" hidden="1" xr:uid="{00000000-0005-0000-0000-000098710000}"/>
    <cellStyle name="Followed Hyperlink 4" xfId="21542" hidden="1" xr:uid="{00000000-0005-0000-0000-000099710000}"/>
    <cellStyle name="Followed Hyperlink 4" xfId="21543" hidden="1" xr:uid="{00000000-0005-0000-0000-00009A710000}"/>
    <cellStyle name="Followed Hyperlink 4" xfId="21546" hidden="1" xr:uid="{00000000-0005-0000-0000-00009B710000}"/>
    <cellStyle name="Followed Hyperlink 4" xfId="21271" hidden="1" xr:uid="{00000000-0005-0000-0000-00009C710000}"/>
    <cellStyle name="Followed Hyperlink 4" xfId="21326" hidden="1" xr:uid="{00000000-0005-0000-0000-00009D710000}"/>
    <cellStyle name="Followed Hyperlink 4" xfId="21547" hidden="1" xr:uid="{00000000-0005-0000-0000-00009E710000}"/>
    <cellStyle name="Followed Hyperlink 4" xfId="21550" hidden="1" xr:uid="{00000000-0005-0000-0000-00009F710000}"/>
    <cellStyle name="Followed Hyperlink 4" xfId="21553" hidden="1" xr:uid="{00000000-0005-0000-0000-0000A0710000}"/>
    <cellStyle name="Followed Hyperlink 4" xfId="21555" hidden="1" xr:uid="{00000000-0005-0000-0000-0000A1710000}"/>
    <cellStyle name="Followed Hyperlink 4" xfId="21556" hidden="1" xr:uid="{00000000-0005-0000-0000-0000A2710000}"/>
    <cellStyle name="Followed Hyperlink 4" xfId="21559" hidden="1" xr:uid="{00000000-0005-0000-0000-0000A3710000}"/>
    <cellStyle name="Followed Hyperlink 4" xfId="21568" hidden="1" xr:uid="{00000000-0005-0000-0000-0000A4710000}"/>
    <cellStyle name="Followed Hyperlink 4" xfId="21560" hidden="1" xr:uid="{00000000-0005-0000-0000-0000A5710000}"/>
    <cellStyle name="Followed Hyperlink 4" xfId="21571" hidden="1" xr:uid="{00000000-0005-0000-0000-0000A6710000}"/>
    <cellStyle name="Followed Hyperlink 4" xfId="21574" hidden="1" xr:uid="{00000000-0005-0000-0000-0000A7710000}"/>
    <cellStyle name="Followed Hyperlink 4" xfId="21577" hidden="1" xr:uid="{00000000-0005-0000-0000-0000A8710000}"/>
    <cellStyle name="Followed Hyperlink 4" xfId="21579" hidden="1" xr:uid="{00000000-0005-0000-0000-0000A9710000}"/>
    <cellStyle name="Followed Hyperlink 4" xfId="21580" hidden="1" xr:uid="{00000000-0005-0000-0000-0000AA710000}"/>
    <cellStyle name="Followed Hyperlink 4" xfId="21583" hidden="1" xr:uid="{00000000-0005-0000-0000-0000AB710000}"/>
    <cellStyle name="Followed Hyperlink 4" xfId="21592" hidden="1" xr:uid="{00000000-0005-0000-0000-0000AC710000}"/>
    <cellStyle name="Followed Hyperlink 4" xfId="21584" hidden="1" xr:uid="{00000000-0005-0000-0000-0000AD710000}"/>
    <cellStyle name="Followed Hyperlink 4" xfId="21595" hidden="1" xr:uid="{00000000-0005-0000-0000-0000AE710000}"/>
    <cellStyle name="Followed Hyperlink 4" xfId="21598" hidden="1" xr:uid="{00000000-0005-0000-0000-0000AF710000}"/>
    <cellStyle name="Followed Hyperlink 4" xfId="21601" hidden="1" xr:uid="{00000000-0005-0000-0000-0000B0710000}"/>
    <cellStyle name="Followed Hyperlink 4" xfId="21603" hidden="1" xr:uid="{00000000-0005-0000-0000-0000B1710000}"/>
    <cellStyle name="Followed Hyperlink 4" xfId="21604" hidden="1" xr:uid="{00000000-0005-0000-0000-0000B2710000}"/>
    <cellStyle name="Followed Hyperlink 4" xfId="21607" hidden="1" xr:uid="{00000000-0005-0000-0000-0000B3710000}"/>
    <cellStyle name="Followed Hyperlink 4" xfId="21616" hidden="1" xr:uid="{00000000-0005-0000-0000-0000B4710000}"/>
    <cellStyle name="Followed Hyperlink 4" xfId="21608" hidden="1" xr:uid="{00000000-0005-0000-0000-0000B5710000}"/>
    <cellStyle name="Followed Hyperlink 4" xfId="21619" hidden="1" xr:uid="{00000000-0005-0000-0000-0000B6710000}"/>
    <cellStyle name="Followed Hyperlink 4" xfId="21622" hidden="1" xr:uid="{00000000-0005-0000-0000-0000B7710000}"/>
    <cellStyle name="Followed Hyperlink 4" xfId="21625" hidden="1" xr:uid="{00000000-0005-0000-0000-0000B8710000}"/>
    <cellStyle name="Followed Hyperlink 4" xfId="21627" hidden="1" xr:uid="{00000000-0005-0000-0000-0000B9710000}"/>
    <cellStyle name="Followed Hyperlink 4" xfId="21628" hidden="1" xr:uid="{00000000-0005-0000-0000-0000BA710000}"/>
    <cellStyle name="Followed Hyperlink 4" xfId="21631" hidden="1" xr:uid="{00000000-0005-0000-0000-0000BB710000}"/>
    <cellStyle name="Followed Hyperlink 4" xfId="21130" hidden="1" xr:uid="{00000000-0005-0000-0000-0000BC710000}"/>
    <cellStyle name="Followed Hyperlink 4" xfId="21124" hidden="1" xr:uid="{00000000-0005-0000-0000-0000BD710000}"/>
    <cellStyle name="Followed Hyperlink 4" xfId="21632" hidden="1" xr:uid="{00000000-0005-0000-0000-0000BE710000}"/>
    <cellStyle name="Followed Hyperlink 4" xfId="21635" hidden="1" xr:uid="{00000000-0005-0000-0000-0000BF710000}"/>
    <cellStyle name="Followed Hyperlink 4" xfId="21638" hidden="1" xr:uid="{00000000-0005-0000-0000-0000C0710000}"/>
    <cellStyle name="Followed Hyperlink 4" xfId="21640" hidden="1" xr:uid="{00000000-0005-0000-0000-0000C1710000}"/>
    <cellStyle name="Followed Hyperlink 4" xfId="21641" hidden="1" xr:uid="{00000000-0005-0000-0000-0000C2710000}"/>
    <cellStyle name="Followed Hyperlink 4" xfId="21644" hidden="1" xr:uid="{00000000-0005-0000-0000-0000C3710000}"/>
    <cellStyle name="Followed Hyperlink 4" xfId="21653" hidden="1" xr:uid="{00000000-0005-0000-0000-0000C4710000}"/>
    <cellStyle name="Followed Hyperlink 4" xfId="21645" hidden="1" xr:uid="{00000000-0005-0000-0000-0000C5710000}"/>
    <cellStyle name="Followed Hyperlink 4" xfId="21656" hidden="1" xr:uid="{00000000-0005-0000-0000-0000C6710000}"/>
    <cellStyle name="Followed Hyperlink 4" xfId="21659" hidden="1" xr:uid="{00000000-0005-0000-0000-0000C7710000}"/>
    <cellStyle name="Followed Hyperlink 4" xfId="21662" hidden="1" xr:uid="{00000000-0005-0000-0000-0000C8710000}"/>
    <cellStyle name="Followed Hyperlink 4" xfId="21664" hidden="1" xr:uid="{00000000-0005-0000-0000-0000C9710000}"/>
    <cellStyle name="Followed Hyperlink 4" xfId="21665" hidden="1" xr:uid="{00000000-0005-0000-0000-0000CA710000}"/>
    <cellStyle name="Followed Hyperlink 4" xfId="21668" hidden="1" xr:uid="{00000000-0005-0000-0000-0000CB710000}"/>
    <cellStyle name="Followed Hyperlink 4" xfId="21678" hidden="1" xr:uid="{00000000-0005-0000-0000-0000CC710000}"/>
    <cellStyle name="Followed Hyperlink 4" xfId="21670" hidden="1" xr:uid="{00000000-0005-0000-0000-0000CD710000}"/>
    <cellStyle name="Followed Hyperlink 4" xfId="21681" hidden="1" xr:uid="{00000000-0005-0000-0000-0000CE710000}"/>
    <cellStyle name="Followed Hyperlink 4" xfId="21684" hidden="1" xr:uid="{00000000-0005-0000-0000-0000CF710000}"/>
    <cellStyle name="Followed Hyperlink 4" xfId="21687" hidden="1" xr:uid="{00000000-0005-0000-0000-0000D0710000}"/>
    <cellStyle name="Followed Hyperlink 4" xfId="21689" hidden="1" xr:uid="{00000000-0005-0000-0000-0000D1710000}"/>
    <cellStyle name="Followed Hyperlink 4" xfId="21690" hidden="1" xr:uid="{00000000-0005-0000-0000-0000D2710000}"/>
    <cellStyle name="Followed Hyperlink 4" xfId="21693" hidden="1" xr:uid="{00000000-0005-0000-0000-0000D3710000}"/>
    <cellStyle name="Followed Hyperlink 4" xfId="21702" hidden="1" xr:uid="{00000000-0005-0000-0000-0000D4710000}"/>
    <cellStyle name="Followed Hyperlink 4" xfId="21694" hidden="1" xr:uid="{00000000-0005-0000-0000-0000D5710000}"/>
    <cellStyle name="Followed Hyperlink 4" xfId="21705" hidden="1" xr:uid="{00000000-0005-0000-0000-0000D6710000}"/>
    <cellStyle name="Followed Hyperlink 4" xfId="21708" hidden="1" xr:uid="{00000000-0005-0000-0000-0000D7710000}"/>
    <cellStyle name="Followed Hyperlink 4" xfId="21711" hidden="1" xr:uid="{00000000-0005-0000-0000-0000D8710000}"/>
    <cellStyle name="Followed Hyperlink 4" xfId="21713" hidden="1" xr:uid="{00000000-0005-0000-0000-0000D9710000}"/>
    <cellStyle name="Followed Hyperlink 4" xfId="21714" hidden="1" xr:uid="{00000000-0005-0000-0000-0000DA710000}"/>
    <cellStyle name="Followed Hyperlink 4" xfId="21717" hidden="1" xr:uid="{00000000-0005-0000-0000-0000DB710000}"/>
    <cellStyle name="Followed Hyperlink 4" xfId="21755" hidden="1" xr:uid="{00000000-0005-0000-0000-0000DC710000}"/>
    <cellStyle name="Followed Hyperlink 4" xfId="21747" hidden="1" xr:uid="{00000000-0005-0000-0000-0000DD710000}"/>
    <cellStyle name="Followed Hyperlink 4" xfId="21758" hidden="1" xr:uid="{00000000-0005-0000-0000-0000DE710000}"/>
    <cellStyle name="Followed Hyperlink 4" xfId="21761" hidden="1" xr:uid="{00000000-0005-0000-0000-0000DF710000}"/>
    <cellStyle name="Followed Hyperlink 4" xfId="21764" hidden="1" xr:uid="{00000000-0005-0000-0000-0000E0710000}"/>
    <cellStyle name="Followed Hyperlink 4" xfId="21766" hidden="1" xr:uid="{00000000-0005-0000-0000-0000E1710000}"/>
    <cellStyle name="Followed Hyperlink 4" xfId="21767" hidden="1" xr:uid="{00000000-0005-0000-0000-0000E2710000}"/>
    <cellStyle name="Followed Hyperlink 4" xfId="21770" hidden="1" xr:uid="{00000000-0005-0000-0000-0000E3710000}"/>
    <cellStyle name="Followed Hyperlink 4" xfId="21779" hidden="1" xr:uid="{00000000-0005-0000-0000-0000E4710000}"/>
    <cellStyle name="Followed Hyperlink 4" xfId="21771" hidden="1" xr:uid="{00000000-0005-0000-0000-0000E5710000}"/>
    <cellStyle name="Followed Hyperlink 4" xfId="21782" hidden="1" xr:uid="{00000000-0005-0000-0000-0000E6710000}"/>
    <cellStyle name="Followed Hyperlink 4" xfId="21785" hidden="1" xr:uid="{00000000-0005-0000-0000-0000E7710000}"/>
    <cellStyle name="Followed Hyperlink 4" xfId="21788" hidden="1" xr:uid="{00000000-0005-0000-0000-0000E8710000}"/>
    <cellStyle name="Followed Hyperlink 4" xfId="21790" hidden="1" xr:uid="{00000000-0005-0000-0000-0000E9710000}"/>
    <cellStyle name="Followed Hyperlink 4" xfId="21791" hidden="1" xr:uid="{00000000-0005-0000-0000-0000EA710000}"/>
    <cellStyle name="Followed Hyperlink 4" xfId="21794" hidden="1" xr:uid="{00000000-0005-0000-0000-0000EB710000}"/>
    <cellStyle name="Followed Hyperlink 4" xfId="21805" hidden="1" xr:uid="{00000000-0005-0000-0000-0000EC710000}"/>
    <cellStyle name="Followed Hyperlink 4" xfId="21797" hidden="1" xr:uid="{00000000-0005-0000-0000-0000ED710000}"/>
    <cellStyle name="Followed Hyperlink 4" xfId="21808" hidden="1" xr:uid="{00000000-0005-0000-0000-0000EE710000}"/>
    <cellStyle name="Followed Hyperlink 4" xfId="21811" hidden="1" xr:uid="{00000000-0005-0000-0000-0000EF710000}"/>
    <cellStyle name="Followed Hyperlink 4" xfId="21814" hidden="1" xr:uid="{00000000-0005-0000-0000-0000F0710000}"/>
    <cellStyle name="Followed Hyperlink 4" xfId="21816" hidden="1" xr:uid="{00000000-0005-0000-0000-0000F1710000}"/>
    <cellStyle name="Followed Hyperlink 4" xfId="21817" hidden="1" xr:uid="{00000000-0005-0000-0000-0000F2710000}"/>
    <cellStyle name="Followed Hyperlink 4" xfId="21820" hidden="1" xr:uid="{00000000-0005-0000-0000-0000F3710000}"/>
    <cellStyle name="Followed Hyperlink 4" xfId="21829" hidden="1" xr:uid="{00000000-0005-0000-0000-0000F4710000}"/>
    <cellStyle name="Followed Hyperlink 4" xfId="21821" hidden="1" xr:uid="{00000000-0005-0000-0000-0000F5710000}"/>
    <cellStyle name="Followed Hyperlink 4" xfId="21832" hidden="1" xr:uid="{00000000-0005-0000-0000-0000F6710000}"/>
    <cellStyle name="Followed Hyperlink 4" xfId="21835" hidden="1" xr:uid="{00000000-0005-0000-0000-0000F7710000}"/>
    <cellStyle name="Followed Hyperlink 4" xfId="21838" hidden="1" xr:uid="{00000000-0005-0000-0000-0000F8710000}"/>
    <cellStyle name="Followed Hyperlink 4" xfId="21840" hidden="1" xr:uid="{00000000-0005-0000-0000-0000F9710000}"/>
    <cellStyle name="Followed Hyperlink 4" xfId="21841" hidden="1" xr:uid="{00000000-0005-0000-0000-0000FA710000}"/>
    <cellStyle name="Followed Hyperlink 4" xfId="21844" hidden="1" xr:uid="{00000000-0005-0000-0000-0000FB710000}"/>
    <cellStyle name="Followed Hyperlink 4" xfId="21727" hidden="1" xr:uid="{00000000-0005-0000-0000-0000FC710000}"/>
    <cellStyle name="Followed Hyperlink 4" xfId="21721" hidden="1" xr:uid="{00000000-0005-0000-0000-0000FD710000}"/>
    <cellStyle name="Followed Hyperlink 4" xfId="21845" hidden="1" xr:uid="{00000000-0005-0000-0000-0000FE710000}"/>
    <cellStyle name="Followed Hyperlink 4" xfId="21848" hidden="1" xr:uid="{00000000-0005-0000-0000-0000FF710000}"/>
    <cellStyle name="Followed Hyperlink 4" xfId="21851" hidden="1" xr:uid="{00000000-0005-0000-0000-000000720000}"/>
    <cellStyle name="Followed Hyperlink 4" xfId="21853" hidden="1" xr:uid="{00000000-0005-0000-0000-000001720000}"/>
    <cellStyle name="Followed Hyperlink 4" xfId="21854" hidden="1" xr:uid="{00000000-0005-0000-0000-000002720000}"/>
    <cellStyle name="Followed Hyperlink 4" xfId="21857" hidden="1" xr:uid="{00000000-0005-0000-0000-000003720000}"/>
    <cellStyle name="Followed Hyperlink 4" xfId="21866" hidden="1" xr:uid="{00000000-0005-0000-0000-000004720000}"/>
    <cellStyle name="Followed Hyperlink 4" xfId="21858" hidden="1" xr:uid="{00000000-0005-0000-0000-000005720000}"/>
    <cellStyle name="Followed Hyperlink 4" xfId="21869" hidden="1" xr:uid="{00000000-0005-0000-0000-000006720000}"/>
    <cellStyle name="Followed Hyperlink 4" xfId="21872" hidden="1" xr:uid="{00000000-0005-0000-0000-000007720000}"/>
    <cellStyle name="Followed Hyperlink 4" xfId="21875" hidden="1" xr:uid="{00000000-0005-0000-0000-000008720000}"/>
    <cellStyle name="Followed Hyperlink 4" xfId="21877" hidden="1" xr:uid="{00000000-0005-0000-0000-000009720000}"/>
    <cellStyle name="Followed Hyperlink 4" xfId="21878" hidden="1" xr:uid="{00000000-0005-0000-0000-00000A720000}"/>
    <cellStyle name="Followed Hyperlink 4" xfId="21881" hidden="1" xr:uid="{00000000-0005-0000-0000-00000B720000}"/>
    <cellStyle name="Followed Hyperlink 4" xfId="21891" hidden="1" xr:uid="{00000000-0005-0000-0000-00000C720000}"/>
    <cellStyle name="Followed Hyperlink 4" xfId="21883" hidden="1" xr:uid="{00000000-0005-0000-0000-00000D720000}"/>
    <cellStyle name="Followed Hyperlink 4" xfId="21894" hidden="1" xr:uid="{00000000-0005-0000-0000-00000E720000}"/>
    <cellStyle name="Followed Hyperlink 4" xfId="21897" hidden="1" xr:uid="{00000000-0005-0000-0000-00000F720000}"/>
    <cellStyle name="Followed Hyperlink 4" xfId="21900" hidden="1" xr:uid="{00000000-0005-0000-0000-000010720000}"/>
    <cellStyle name="Followed Hyperlink 4" xfId="21902" hidden="1" xr:uid="{00000000-0005-0000-0000-000011720000}"/>
    <cellStyle name="Followed Hyperlink 4" xfId="21903" hidden="1" xr:uid="{00000000-0005-0000-0000-000012720000}"/>
    <cellStyle name="Followed Hyperlink 4" xfId="21906" hidden="1" xr:uid="{00000000-0005-0000-0000-000013720000}"/>
    <cellStyle name="Followed Hyperlink 4" xfId="21915" hidden="1" xr:uid="{00000000-0005-0000-0000-000014720000}"/>
    <cellStyle name="Followed Hyperlink 4" xfId="21907" hidden="1" xr:uid="{00000000-0005-0000-0000-000015720000}"/>
    <cellStyle name="Followed Hyperlink 4" xfId="21918" hidden="1" xr:uid="{00000000-0005-0000-0000-000016720000}"/>
    <cellStyle name="Followed Hyperlink 4" xfId="21921" hidden="1" xr:uid="{00000000-0005-0000-0000-000017720000}"/>
    <cellStyle name="Followed Hyperlink 4" xfId="21924" hidden="1" xr:uid="{00000000-0005-0000-0000-000018720000}"/>
    <cellStyle name="Followed Hyperlink 4" xfId="21926" hidden="1" xr:uid="{00000000-0005-0000-0000-000019720000}"/>
    <cellStyle name="Followed Hyperlink 4" xfId="21927" hidden="1" xr:uid="{00000000-0005-0000-0000-00001A720000}"/>
    <cellStyle name="Followed Hyperlink 4" xfId="21930" hidden="1" xr:uid="{00000000-0005-0000-0000-00001B720000}"/>
    <cellStyle name="Followed Hyperlink 4" xfId="21731" hidden="1" xr:uid="{00000000-0005-0000-0000-00001C720000}"/>
    <cellStyle name="Followed Hyperlink 4" xfId="21737" hidden="1" xr:uid="{00000000-0005-0000-0000-00001D720000}"/>
    <cellStyle name="Followed Hyperlink 4" xfId="21931" hidden="1" xr:uid="{00000000-0005-0000-0000-00001E720000}"/>
    <cellStyle name="Followed Hyperlink 4" xfId="21934" hidden="1" xr:uid="{00000000-0005-0000-0000-00001F720000}"/>
    <cellStyle name="Followed Hyperlink 4" xfId="21937" hidden="1" xr:uid="{00000000-0005-0000-0000-000020720000}"/>
    <cellStyle name="Followed Hyperlink 4" xfId="21939" hidden="1" xr:uid="{00000000-0005-0000-0000-000021720000}"/>
    <cellStyle name="Followed Hyperlink 4" xfId="21940" hidden="1" xr:uid="{00000000-0005-0000-0000-000022720000}"/>
    <cellStyle name="Followed Hyperlink 4" xfId="21943" hidden="1" xr:uid="{00000000-0005-0000-0000-000023720000}"/>
    <cellStyle name="Followed Hyperlink 4" xfId="21952" hidden="1" xr:uid="{00000000-0005-0000-0000-000024720000}"/>
    <cellStyle name="Followed Hyperlink 4" xfId="21944" hidden="1" xr:uid="{00000000-0005-0000-0000-000025720000}"/>
    <cellStyle name="Followed Hyperlink 4" xfId="21955" hidden="1" xr:uid="{00000000-0005-0000-0000-000026720000}"/>
    <cellStyle name="Followed Hyperlink 4" xfId="21958" hidden="1" xr:uid="{00000000-0005-0000-0000-000027720000}"/>
    <cellStyle name="Followed Hyperlink 4" xfId="21961" hidden="1" xr:uid="{00000000-0005-0000-0000-000028720000}"/>
    <cellStyle name="Followed Hyperlink 4" xfId="21963" hidden="1" xr:uid="{00000000-0005-0000-0000-000029720000}"/>
    <cellStyle name="Followed Hyperlink 4" xfId="21964" hidden="1" xr:uid="{00000000-0005-0000-0000-00002A720000}"/>
    <cellStyle name="Followed Hyperlink 4" xfId="21967" hidden="1" xr:uid="{00000000-0005-0000-0000-00002B720000}"/>
    <cellStyle name="Followed Hyperlink 4" xfId="21977" hidden="1" xr:uid="{00000000-0005-0000-0000-00002C720000}"/>
    <cellStyle name="Followed Hyperlink 4" xfId="21969" hidden="1" xr:uid="{00000000-0005-0000-0000-00002D720000}"/>
    <cellStyle name="Followed Hyperlink 4" xfId="21980" hidden="1" xr:uid="{00000000-0005-0000-0000-00002E720000}"/>
    <cellStyle name="Followed Hyperlink 4" xfId="21983" hidden="1" xr:uid="{00000000-0005-0000-0000-00002F720000}"/>
    <cellStyle name="Followed Hyperlink 4" xfId="21986" hidden="1" xr:uid="{00000000-0005-0000-0000-000030720000}"/>
    <cellStyle name="Followed Hyperlink 4" xfId="21988" hidden="1" xr:uid="{00000000-0005-0000-0000-000031720000}"/>
    <cellStyle name="Followed Hyperlink 4" xfId="21989" hidden="1" xr:uid="{00000000-0005-0000-0000-000032720000}"/>
    <cellStyle name="Followed Hyperlink 4" xfId="21992" hidden="1" xr:uid="{00000000-0005-0000-0000-000033720000}"/>
    <cellStyle name="Followed Hyperlink 4" xfId="22001" hidden="1" xr:uid="{00000000-0005-0000-0000-000034720000}"/>
    <cellStyle name="Followed Hyperlink 4" xfId="21993" hidden="1" xr:uid="{00000000-0005-0000-0000-000035720000}"/>
    <cellStyle name="Followed Hyperlink 4" xfId="22004" hidden="1" xr:uid="{00000000-0005-0000-0000-000036720000}"/>
    <cellStyle name="Followed Hyperlink 4" xfId="22007" hidden="1" xr:uid="{00000000-0005-0000-0000-000037720000}"/>
    <cellStyle name="Followed Hyperlink 4" xfId="22010" hidden="1" xr:uid="{00000000-0005-0000-0000-000038720000}"/>
    <cellStyle name="Followed Hyperlink 4" xfId="22012" hidden="1" xr:uid="{00000000-0005-0000-0000-000039720000}"/>
    <cellStyle name="Followed Hyperlink 4" xfId="22013" hidden="1" xr:uid="{00000000-0005-0000-0000-00003A720000}"/>
    <cellStyle name="Followed Hyperlink 4" xfId="22016" hidden="1" xr:uid="{00000000-0005-0000-0000-00003B720000}"/>
    <cellStyle name="Followed Hyperlink 4" xfId="21741" hidden="1" xr:uid="{00000000-0005-0000-0000-00003C720000}"/>
    <cellStyle name="Followed Hyperlink 4" xfId="21796" hidden="1" xr:uid="{00000000-0005-0000-0000-00003D720000}"/>
    <cellStyle name="Followed Hyperlink 4" xfId="22017" hidden="1" xr:uid="{00000000-0005-0000-0000-00003E720000}"/>
    <cellStyle name="Followed Hyperlink 4" xfId="22020" hidden="1" xr:uid="{00000000-0005-0000-0000-00003F720000}"/>
    <cellStyle name="Followed Hyperlink 4" xfId="22023" hidden="1" xr:uid="{00000000-0005-0000-0000-000040720000}"/>
    <cellStyle name="Followed Hyperlink 4" xfId="22025" hidden="1" xr:uid="{00000000-0005-0000-0000-000041720000}"/>
    <cellStyle name="Followed Hyperlink 4" xfId="22026" hidden="1" xr:uid="{00000000-0005-0000-0000-000042720000}"/>
    <cellStyle name="Followed Hyperlink 4" xfId="22029" hidden="1" xr:uid="{00000000-0005-0000-0000-000043720000}"/>
    <cellStyle name="Followed Hyperlink 4" xfId="22038" hidden="1" xr:uid="{00000000-0005-0000-0000-000044720000}"/>
    <cellStyle name="Followed Hyperlink 4" xfId="22030" hidden="1" xr:uid="{00000000-0005-0000-0000-000045720000}"/>
    <cellStyle name="Followed Hyperlink 4" xfId="22041" hidden="1" xr:uid="{00000000-0005-0000-0000-000046720000}"/>
    <cellStyle name="Followed Hyperlink 4" xfId="22044" hidden="1" xr:uid="{00000000-0005-0000-0000-000047720000}"/>
    <cellStyle name="Followed Hyperlink 4" xfId="22047" hidden="1" xr:uid="{00000000-0005-0000-0000-000048720000}"/>
    <cellStyle name="Followed Hyperlink 4" xfId="22049" hidden="1" xr:uid="{00000000-0005-0000-0000-000049720000}"/>
    <cellStyle name="Followed Hyperlink 4" xfId="22050" hidden="1" xr:uid="{00000000-0005-0000-0000-00004A720000}"/>
    <cellStyle name="Followed Hyperlink 4" xfId="22053" hidden="1" xr:uid="{00000000-0005-0000-0000-00004B720000}"/>
    <cellStyle name="Followed Hyperlink 4" xfId="22062" hidden="1" xr:uid="{00000000-0005-0000-0000-00004C720000}"/>
    <cellStyle name="Followed Hyperlink 4" xfId="22054" hidden="1" xr:uid="{00000000-0005-0000-0000-00004D720000}"/>
    <cellStyle name="Followed Hyperlink 4" xfId="22065" hidden="1" xr:uid="{00000000-0005-0000-0000-00004E720000}"/>
    <cellStyle name="Followed Hyperlink 4" xfId="22068" hidden="1" xr:uid="{00000000-0005-0000-0000-00004F720000}"/>
    <cellStyle name="Followed Hyperlink 4" xfId="22071" hidden="1" xr:uid="{00000000-0005-0000-0000-000050720000}"/>
    <cellStyle name="Followed Hyperlink 4" xfId="22073" hidden="1" xr:uid="{00000000-0005-0000-0000-000051720000}"/>
    <cellStyle name="Followed Hyperlink 4" xfId="22074" hidden="1" xr:uid="{00000000-0005-0000-0000-000052720000}"/>
    <cellStyle name="Followed Hyperlink 4" xfId="22077" hidden="1" xr:uid="{00000000-0005-0000-0000-000053720000}"/>
    <cellStyle name="Followed Hyperlink 4" xfId="22086" hidden="1" xr:uid="{00000000-0005-0000-0000-000054720000}"/>
    <cellStyle name="Followed Hyperlink 4" xfId="22078" hidden="1" xr:uid="{00000000-0005-0000-0000-000055720000}"/>
    <cellStyle name="Followed Hyperlink 4" xfId="22089" hidden="1" xr:uid="{00000000-0005-0000-0000-000056720000}"/>
    <cellStyle name="Followed Hyperlink 4" xfId="22092" hidden="1" xr:uid="{00000000-0005-0000-0000-000057720000}"/>
    <cellStyle name="Followed Hyperlink 4" xfId="22095" hidden="1" xr:uid="{00000000-0005-0000-0000-000058720000}"/>
    <cellStyle name="Followed Hyperlink 4" xfId="22097" hidden="1" xr:uid="{00000000-0005-0000-0000-000059720000}"/>
    <cellStyle name="Followed Hyperlink 4" xfId="22098" hidden="1" xr:uid="{00000000-0005-0000-0000-00005A720000}"/>
    <cellStyle name="Followed Hyperlink 4" xfId="22101" hidden="1" xr:uid="{00000000-0005-0000-0000-00005B720000}"/>
    <cellStyle name="Followed Hyperlink 4" xfId="21134" hidden="1" xr:uid="{00000000-0005-0000-0000-00005C720000}"/>
    <cellStyle name="Followed Hyperlink 4" xfId="21140" hidden="1" xr:uid="{00000000-0005-0000-0000-00005D720000}"/>
    <cellStyle name="Followed Hyperlink 4" xfId="22102" hidden="1" xr:uid="{00000000-0005-0000-0000-00005E720000}"/>
    <cellStyle name="Followed Hyperlink 4" xfId="22105" hidden="1" xr:uid="{00000000-0005-0000-0000-00005F720000}"/>
    <cellStyle name="Followed Hyperlink 4" xfId="22108" hidden="1" xr:uid="{00000000-0005-0000-0000-000060720000}"/>
    <cellStyle name="Followed Hyperlink 4" xfId="22110" hidden="1" xr:uid="{00000000-0005-0000-0000-000061720000}"/>
    <cellStyle name="Followed Hyperlink 4" xfId="22111" hidden="1" xr:uid="{00000000-0005-0000-0000-000062720000}"/>
    <cellStyle name="Followed Hyperlink 4" xfId="22114" hidden="1" xr:uid="{00000000-0005-0000-0000-000063720000}"/>
    <cellStyle name="Followed Hyperlink 4" xfId="22123" hidden="1" xr:uid="{00000000-0005-0000-0000-000064720000}"/>
    <cellStyle name="Followed Hyperlink 4" xfId="22115" hidden="1" xr:uid="{00000000-0005-0000-0000-000065720000}"/>
    <cellStyle name="Followed Hyperlink 4" xfId="22126" hidden="1" xr:uid="{00000000-0005-0000-0000-000066720000}"/>
    <cellStyle name="Followed Hyperlink 4" xfId="22129" hidden="1" xr:uid="{00000000-0005-0000-0000-000067720000}"/>
    <cellStyle name="Followed Hyperlink 4" xfId="22132" hidden="1" xr:uid="{00000000-0005-0000-0000-000068720000}"/>
    <cellStyle name="Followed Hyperlink 4" xfId="22134" hidden="1" xr:uid="{00000000-0005-0000-0000-000069720000}"/>
    <cellStyle name="Followed Hyperlink 4" xfId="22135" hidden="1" xr:uid="{00000000-0005-0000-0000-00006A720000}"/>
    <cellStyle name="Followed Hyperlink 4" xfId="22138" hidden="1" xr:uid="{00000000-0005-0000-0000-00006B720000}"/>
    <cellStyle name="Followed Hyperlink 4" xfId="22148" hidden="1" xr:uid="{00000000-0005-0000-0000-00006C720000}"/>
    <cellStyle name="Followed Hyperlink 4" xfId="22140" hidden="1" xr:uid="{00000000-0005-0000-0000-00006D720000}"/>
    <cellStyle name="Followed Hyperlink 4" xfId="22151" hidden="1" xr:uid="{00000000-0005-0000-0000-00006E720000}"/>
    <cellStyle name="Followed Hyperlink 4" xfId="22154" hidden="1" xr:uid="{00000000-0005-0000-0000-00006F720000}"/>
    <cellStyle name="Followed Hyperlink 4" xfId="22157" hidden="1" xr:uid="{00000000-0005-0000-0000-000070720000}"/>
    <cellStyle name="Followed Hyperlink 4" xfId="22159" hidden="1" xr:uid="{00000000-0005-0000-0000-000071720000}"/>
    <cellStyle name="Followed Hyperlink 4" xfId="22160" hidden="1" xr:uid="{00000000-0005-0000-0000-000072720000}"/>
    <cellStyle name="Followed Hyperlink 4" xfId="22163" hidden="1" xr:uid="{00000000-0005-0000-0000-000073720000}"/>
    <cellStyle name="Followed Hyperlink 4" xfId="22172" hidden="1" xr:uid="{00000000-0005-0000-0000-000074720000}"/>
    <cellStyle name="Followed Hyperlink 4" xfId="22164" hidden="1" xr:uid="{00000000-0005-0000-0000-000075720000}"/>
    <cellStyle name="Followed Hyperlink 4" xfId="22175" hidden="1" xr:uid="{00000000-0005-0000-0000-000076720000}"/>
    <cellStyle name="Followed Hyperlink 4" xfId="22178" hidden="1" xr:uid="{00000000-0005-0000-0000-000077720000}"/>
    <cellStyle name="Followed Hyperlink 4" xfId="22181" hidden="1" xr:uid="{00000000-0005-0000-0000-000078720000}"/>
    <cellStyle name="Followed Hyperlink 4" xfId="22183" hidden="1" xr:uid="{00000000-0005-0000-0000-000079720000}"/>
    <cellStyle name="Followed Hyperlink 4" xfId="22184" hidden="1" xr:uid="{00000000-0005-0000-0000-00007A720000}"/>
    <cellStyle name="Followed Hyperlink 4" xfId="22187" hidden="1" xr:uid="{00000000-0005-0000-0000-00007B720000}"/>
    <cellStyle name="Followed Hyperlink 4" xfId="22225" hidden="1" xr:uid="{00000000-0005-0000-0000-00007C720000}"/>
    <cellStyle name="Followed Hyperlink 4" xfId="22217" hidden="1" xr:uid="{00000000-0005-0000-0000-00007D720000}"/>
    <cellStyle name="Followed Hyperlink 4" xfId="22228" hidden="1" xr:uid="{00000000-0005-0000-0000-00007E720000}"/>
    <cellStyle name="Followed Hyperlink 4" xfId="22231" hidden="1" xr:uid="{00000000-0005-0000-0000-00007F720000}"/>
    <cellStyle name="Followed Hyperlink 4" xfId="22234" hidden="1" xr:uid="{00000000-0005-0000-0000-000080720000}"/>
    <cellStyle name="Followed Hyperlink 4" xfId="22236" hidden="1" xr:uid="{00000000-0005-0000-0000-000081720000}"/>
    <cellStyle name="Followed Hyperlink 4" xfId="22237" hidden="1" xr:uid="{00000000-0005-0000-0000-000082720000}"/>
    <cellStyle name="Followed Hyperlink 4" xfId="22240" hidden="1" xr:uid="{00000000-0005-0000-0000-000083720000}"/>
    <cellStyle name="Followed Hyperlink 4" xfId="22249" hidden="1" xr:uid="{00000000-0005-0000-0000-000084720000}"/>
    <cellStyle name="Followed Hyperlink 4" xfId="22241" hidden="1" xr:uid="{00000000-0005-0000-0000-000085720000}"/>
    <cellStyle name="Followed Hyperlink 4" xfId="22252" hidden="1" xr:uid="{00000000-0005-0000-0000-000086720000}"/>
    <cellStyle name="Followed Hyperlink 4" xfId="22255" hidden="1" xr:uid="{00000000-0005-0000-0000-000087720000}"/>
    <cellStyle name="Followed Hyperlink 4" xfId="22258" hidden="1" xr:uid="{00000000-0005-0000-0000-000088720000}"/>
    <cellStyle name="Followed Hyperlink 4" xfId="22260" hidden="1" xr:uid="{00000000-0005-0000-0000-000089720000}"/>
    <cellStyle name="Followed Hyperlink 4" xfId="22261" hidden="1" xr:uid="{00000000-0005-0000-0000-00008A720000}"/>
    <cellStyle name="Followed Hyperlink 4" xfId="22264" hidden="1" xr:uid="{00000000-0005-0000-0000-00008B720000}"/>
    <cellStyle name="Followed Hyperlink 4" xfId="22275" hidden="1" xr:uid="{00000000-0005-0000-0000-00008C720000}"/>
    <cellStyle name="Followed Hyperlink 4" xfId="22267" hidden="1" xr:uid="{00000000-0005-0000-0000-00008D720000}"/>
    <cellStyle name="Followed Hyperlink 4" xfId="22278" hidden="1" xr:uid="{00000000-0005-0000-0000-00008E720000}"/>
    <cellStyle name="Followed Hyperlink 4" xfId="22281" hidden="1" xr:uid="{00000000-0005-0000-0000-00008F720000}"/>
    <cellStyle name="Followed Hyperlink 4" xfId="22284" hidden="1" xr:uid="{00000000-0005-0000-0000-000090720000}"/>
    <cellStyle name="Followed Hyperlink 4" xfId="22286" hidden="1" xr:uid="{00000000-0005-0000-0000-000091720000}"/>
    <cellStyle name="Followed Hyperlink 4" xfId="22287" hidden="1" xr:uid="{00000000-0005-0000-0000-000092720000}"/>
    <cellStyle name="Followed Hyperlink 4" xfId="22290" hidden="1" xr:uid="{00000000-0005-0000-0000-000093720000}"/>
    <cellStyle name="Followed Hyperlink 4" xfId="22299" hidden="1" xr:uid="{00000000-0005-0000-0000-000094720000}"/>
    <cellStyle name="Followed Hyperlink 4" xfId="22291" hidden="1" xr:uid="{00000000-0005-0000-0000-000095720000}"/>
    <cellStyle name="Followed Hyperlink 4" xfId="22302" hidden="1" xr:uid="{00000000-0005-0000-0000-000096720000}"/>
    <cellStyle name="Followed Hyperlink 4" xfId="22305" hidden="1" xr:uid="{00000000-0005-0000-0000-000097720000}"/>
    <cellStyle name="Followed Hyperlink 4" xfId="22308" hidden="1" xr:uid="{00000000-0005-0000-0000-000098720000}"/>
    <cellStyle name="Followed Hyperlink 4" xfId="22310" hidden="1" xr:uid="{00000000-0005-0000-0000-000099720000}"/>
    <cellStyle name="Followed Hyperlink 4" xfId="22311" hidden="1" xr:uid="{00000000-0005-0000-0000-00009A720000}"/>
    <cellStyle name="Followed Hyperlink 4" xfId="22314" hidden="1" xr:uid="{00000000-0005-0000-0000-00009B720000}"/>
    <cellStyle name="Followed Hyperlink 4" xfId="22197" hidden="1" xr:uid="{00000000-0005-0000-0000-00009C720000}"/>
    <cellStyle name="Followed Hyperlink 4" xfId="22191" hidden="1" xr:uid="{00000000-0005-0000-0000-00009D720000}"/>
    <cellStyle name="Followed Hyperlink 4" xfId="22315" hidden="1" xr:uid="{00000000-0005-0000-0000-00009E720000}"/>
    <cellStyle name="Followed Hyperlink 4" xfId="22318" hidden="1" xr:uid="{00000000-0005-0000-0000-00009F720000}"/>
    <cellStyle name="Followed Hyperlink 4" xfId="22321" hidden="1" xr:uid="{00000000-0005-0000-0000-0000A0720000}"/>
    <cellStyle name="Followed Hyperlink 4" xfId="22323" hidden="1" xr:uid="{00000000-0005-0000-0000-0000A1720000}"/>
    <cellStyle name="Followed Hyperlink 4" xfId="22324" hidden="1" xr:uid="{00000000-0005-0000-0000-0000A2720000}"/>
    <cellStyle name="Followed Hyperlink 4" xfId="22327" hidden="1" xr:uid="{00000000-0005-0000-0000-0000A3720000}"/>
    <cellStyle name="Followed Hyperlink 4" xfId="22336" hidden="1" xr:uid="{00000000-0005-0000-0000-0000A4720000}"/>
    <cellStyle name="Followed Hyperlink 4" xfId="22328" hidden="1" xr:uid="{00000000-0005-0000-0000-0000A5720000}"/>
    <cellStyle name="Followed Hyperlink 4" xfId="22339" hidden="1" xr:uid="{00000000-0005-0000-0000-0000A6720000}"/>
    <cellStyle name="Followed Hyperlink 4" xfId="22342" hidden="1" xr:uid="{00000000-0005-0000-0000-0000A7720000}"/>
    <cellStyle name="Followed Hyperlink 4" xfId="22345" hidden="1" xr:uid="{00000000-0005-0000-0000-0000A8720000}"/>
    <cellStyle name="Followed Hyperlink 4" xfId="22347" hidden="1" xr:uid="{00000000-0005-0000-0000-0000A9720000}"/>
    <cellStyle name="Followed Hyperlink 4" xfId="22348" hidden="1" xr:uid="{00000000-0005-0000-0000-0000AA720000}"/>
    <cellStyle name="Followed Hyperlink 4" xfId="22351" hidden="1" xr:uid="{00000000-0005-0000-0000-0000AB720000}"/>
    <cellStyle name="Followed Hyperlink 4" xfId="22361" hidden="1" xr:uid="{00000000-0005-0000-0000-0000AC720000}"/>
    <cellStyle name="Followed Hyperlink 4" xfId="22353" hidden="1" xr:uid="{00000000-0005-0000-0000-0000AD720000}"/>
    <cellStyle name="Followed Hyperlink 4" xfId="22364" hidden="1" xr:uid="{00000000-0005-0000-0000-0000AE720000}"/>
    <cellStyle name="Followed Hyperlink 4" xfId="22367" hidden="1" xr:uid="{00000000-0005-0000-0000-0000AF720000}"/>
    <cellStyle name="Followed Hyperlink 4" xfId="22370" hidden="1" xr:uid="{00000000-0005-0000-0000-0000B0720000}"/>
    <cellStyle name="Followed Hyperlink 4" xfId="22372" hidden="1" xr:uid="{00000000-0005-0000-0000-0000B1720000}"/>
    <cellStyle name="Followed Hyperlink 4" xfId="22373" hidden="1" xr:uid="{00000000-0005-0000-0000-0000B2720000}"/>
    <cellStyle name="Followed Hyperlink 4" xfId="22376" hidden="1" xr:uid="{00000000-0005-0000-0000-0000B3720000}"/>
    <cellStyle name="Followed Hyperlink 4" xfId="22385" hidden="1" xr:uid="{00000000-0005-0000-0000-0000B4720000}"/>
    <cellStyle name="Followed Hyperlink 4" xfId="22377" hidden="1" xr:uid="{00000000-0005-0000-0000-0000B5720000}"/>
    <cellStyle name="Followed Hyperlink 4" xfId="22388" hidden="1" xr:uid="{00000000-0005-0000-0000-0000B6720000}"/>
    <cellStyle name="Followed Hyperlink 4" xfId="22391" hidden="1" xr:uid="{00000000-0005-0000-0000-0000B7720000}"/>
    <cellStyle name="Followed Hyperlink 4" xfId="22394" hidden="1" xr:uid="{00000000-0005-0000-0000-0000B8720000}"/>
    <cellStyle name="Followed Hyperlink 4" xfId="22396" hidden="1" xr:uid="{00000000-0005-0000-0000-0000B9720000}"/>
    <cellStyle name="Followed Hyperlink 4" xfId="22397" hidden="1" xr:uid="{00000000-0005-0000-0000-0000BA720000}"/>
    <cellStyle name="Followed Hyperlink 4" xfId="22400" hidden="1" xr:uid="{00000000-0005-0000-0000-0000BB720000}"/>
    <cellStyle name="Followed Hyperlink 4" xfId="22201" hidden="1" xr:uid="{00000000-0005-0000-0000-0000BC720000}"/>
    <cellStyle name="Followed Hyperlink 4" xfId="22207" hidden="1" xr:uid="{00000000-0005-0000-0000-0000BD720000}"/>
    <cellStyle name="Followed Hyperlink 4" xfId="22401" hidden="1" xr:uid="{00000000-0005-0000-0000-0000BE720000}"/>
    <cellStyle name="Followed Hyperlink 4" xfId="22404" hidden="1" xr:uid="{00000000-0005-0000-0000-0000BF720000}"/>
    <cellStyle name="Followed Hyperlink 4" xfId="22407" hidden="1" xr:uid="{00000000-0005-0000-0000-0000C0720000}"/>
    <cellStyle name="Followed Hyperlink 4" xfId="22409" hidden="1" xr:uid="{00000000-0005-0000-0000-0000C1720000}"/>
    <cellStyle name="Followed Hyperlink 4" xfId="22410" hidden="1" xr:uid="{00000000-0005-0000-0000-0000C2720000}"/>
    <cellStyle name="Followed Hyperlink 4" xfId="22413" hidden="1" xr:uid="{00000000-0005-0000-0000-0000C3720000}"/>
    <cellStyle name="Followed Hyperlink 4" xfId="22422" hidden="1" xr:uid="{00000000-0005-0000-0000-0000C4720000}"/>
    <cellStyle name="Followed Hyperlink 4" xfId="22414" hidden="1" xr:uid="{00000000-0005-0000-0000-0000C5720000}"/>
    <cellStyle name="Followed Hyperlink 4" xfId="22425" hidden="1" xr:uid="{00000000-0005-0000-0000-0000C6720000}"/>
    <cellStyle name="Followed Hyperlink 4" xfId="22428" hidden="1" xr:uid="{00000000-0005-0000-0000-0000C7720000}"/>
    <cellStyle name="Followed Hyperlink 4" xfId="22431" hidden="1" xr:uid="{00000000-0005-0000-0000-0000C8720000}"/>
    <cellStyle name="Followed Hyperlink 4" xfId="22433" hidden="1" xr:uid="{00000000-0005-0000-0000-0000C9720000}"/>
    <cellStyle name="Followed Hyperlink 4" xfId="22434" hidden="1" xr:uid="{00000000-0005-0000-0000-0000CA720000}"/>
    <cellStyle name="Followed Hyperlink 4" xfId="22437" hidden="1" xr:uid="{00000000-0005-0000-0000-0000CB720000}"/>
    <cellStyle name="Followed Hyperlink 4" xfId="22447" hidden="1" xr:uid="{00000000-0005-0000-0000-0000CC720000}"/>
    <cellStyle name="Followed Hyperlink 4" xfId="22439" hidden="1" xr:uid="{00000000-0005-0000-0000-0000CD720000}"/>
    <cellStyle name="Followed Hyperlink 4" xfId="22450" hidden="1" xr:uid="{00000000-0005-0000-0000-0000CE720000}"/>
    <cellStyle name="Followed Hyperlink 4" xfId="22453" hidden="1" xr:uid="{00000000-0005-0000-0000-0000CF720000}"/>
    <cellStyle name="Followed Hyperlink 4" xfId="22456" hidden="1" xr:uid="{00000000-0005-0000-0000-0000D0720000}"/>
    <cellStyle name="Followed Hyperlink 4" xfId="22458" hidden="1" xr:uid="{00000000-0005-0000-0000-0000D1720000}"/>
    <cellStyle name="Followed Hyperlink 4" xfId="22459" hidden="1" xr:uid="{00000000-0005-0000-0000-0000D2720000}"/>
    <cellStyle name="Followed Hyperlink 4" xfId="22462" hidden="1" xr:uid="{00000000-0005-0000-0000-0000D3720000}"/>
    <cellStyle name="Followed Hyperlink 4" xfId="22471" hidden="1" xr:uid="{00000000-0005-0000-0000-0000D4720000}"/>
    <cellStyle name="Followed Hyperlink 4" xfId="22463" hidden="1" xr:uid="{00000000-0005-0000-0000-0000D5720000}"/>
    <cellStyle name="Followed Hyperlink 4" xfId="22474" hidden="1" xr:uid="{00000000-0005-0000-0000-0000D6720000}"/>
    <cellStyle name="Followed Hyperlink 4" xfId="22477" hidden="1" xr:uid="{00000000-0005-0000-0000-0000D7720000}"/>
    <cellStyle name="Followed Hyperlink 4" xfId="22480" hidden="1" xr:uid="{00000000-0005-0000-0000-0000D8720000}"/>
    <cellStyle name="Followed Hyperlink 4" xfId="22482" hidden="1" xr:uid="{00000000-0005-0000-0000-0000D9720000}"/>
    <cellStyle name="Followed Hyperlink 4" xfId="22483" hidden="1" xr:uid="{00000000-0005-0000-0000-0000DA720000}"/>
    <cellStyle name="Followed Hyperlink 4" xfId="22486" hidden="1" xr:uid="{00000000-0005-0000-0000-0000DB720000}"/>
    <cellStyle name="Followed Hyperlink 4" xfId="22211" hidden="1" xr:uid="{00000000-0005-0000-0000-0000DC720000}"/>
    <cellStyle name="Followed Hyperlink 4" xfId="22266" hidden="1" xr:uid="{00000000-0005-0000-0000-0000DD720000}"/>
    <cellStyle name="Followed Hyperlink 4" xfId="22487" hidden="1" xr:uid="{00000000-0005-0000-0000-0000DE720000}"/>
    <cellStyle name="Followed Hyperlink 4" xfId="22490" hidden="1" xr:uid="{00000000-0005-0000-0000-0000DF720000}"/>
    <cellStyle name="Followed Hyperlink 4" xfId="22493" hidden="1" xr:uid="{00000000-0005-0000-0000-0000E0720000}"/>
    <cellStyle name="Followed Hyperlink 4" xfId="22495" hidden="1" xr:uid="{00000000-0005-0000-0000-0000E1720000}"/>
    <cellStyle name="Followed Hyperlink 4" xfId="22496" hidden="1" xr:uid="{00000000-0005-0000-0000-0000E2720000}"/>
    <cellStyle name="Followed Hyperlink 4" xfId="22499" hidden="1" xr:uid="{00000000-0005-0000-0000-0000E3720000}"/>
    <cellStyle name="Followed Hyperlink 4" xfId="22508" hidden="1" xr:uid="{00000000-0005-0000-0000-0000E4720000}"/>
    <cellStyle name="Followed Hyperlink 4" xfId="22500" hidden="1" xr:uid="{00000000-0005-0000-0000-0000E5720000}"/>
    <cellStyle name="Followed Hyperlink 4" xfId="22511" hidden="1" xr:uid="{00000000-0005-0000-0000-0000E6720000}"/>
    <cellStyle name="Followed Hyperlink 4" xfId="22514" hidden="1" xr:uid="{00000000-0005-0000-0000-0000E7720000}"/>
    <cellStyle name="Followed Hyperlink 4" xfId="22517" hidden="1" xr:uid="{00000000-0005-0000-0000-0000E8720000}"/>
    <cellStyle name="Followed Hyperlink 4" xfId="22519" hidden="1" xr:uid="{00000000-0005-0000-0000-0000E9720000}"/>
    <cellStyle name="Followed Hyperlink 4" xfId="22520" hidden="1" xr:uid="{00000000-0005-0000-0000-0000EA720000}"/>
    <cellStyle name="Followed Hyperlink 4" xfId="22523" hidden="1" xr:uid="{00000000-0005-0000-0000-0000EB720000}"/>
    <cellStyle name="Followed Hyperlink 4" xfId="22532" hidden="1" xr:uid="{00000000-0005-0000-0000-0000EC720000}"/>
    <cellStyle name="Followed Hyperlink 4" xfId="22524" hidden="1" xr:uid="{00000000-0005-0000-0000-0000ED720000}"/>
    <cellStyle name="Followed Hyperlink 4" xfId="22535" hidden="1" xr:uid="{00000000-0005-0000-0000-0000EE720000}"/>
    <cellStyle name="Followed Hyperlink 4" xfId="22538" hidden="1" xr:uid="{00000000-0005-0000-0000-0000EF720000}"/>
    <cellStyle name="Followed Hyperlink 4" xfId="22541" hidden="1" xr:uid="{00000000-0005-0000-0000-0000F0720000}"/>
    <cellStyle name="Followed Hyperlink 4" xfId="22543" hidden="1" xr:uid="{00000000-0005-0000-0000-0000F1720000}"/>
    <cellStyle name="Followed Hyperlink 4" xfId="22544" hidden="1" xr:uid="{00000000-0005-0000-0000-0000F2720000}"/>
    <cellStyle name="Followed Hyperlink 4" xfId="22547" hidden="1" xr:uid="{00000000-0005-0000-0000-0000F3720000}"/>
    <cellStyle name="Followed Hyperlink 4" xfId="22556" hidden="1" xr:uid="{00000000-0005-0000-0000-0000F4720000}"/>
    <cellStyle name="Followed Hyperlink 4" xfId="22548" hidden="1" xr:uid="{00000000-0005-0000-0000-0000F5720000}"/>
    <cellStyle name="Followed Hyperlink 4" xfId="22559" hidden="1" xr:uid="{00000000-0005-0000-0000-0000F6720000}"/>
    <cellStyle name="Followed Hyperlink 4" xfId="22562" hidden="1" xr:uid="{00000000-0005-0000-0000-0000F7720000}"/>
    <cellStyle name="Followed Hyperlink 4" xfId="22565" hidden="1" xr:uid="{00000000-0005-0000-0000-0000F8720000}"/>
    <cellStyle name="Followed Hyperlink 4" xfId="22567" hidden="1" xr:uid="{00000000-0005-0000-0000-0000F9720000}"/>
    <cellStyle name="Followed Hyperlink 4" xfId="22568" hidden="1" xr:uid="{00000000-0005-0000-0000-0000FA720000}"/>
    <cellStyle name="Followed Hyperlink 4" xfId="22571" hidden="1" xr:uid="{00000000-0005-0000-0000-0000FB720000}"/>
    <cellStyle name="Followed Hyperlink 4" xfId="21144" hidden="1" xr:uid="{00000000-0005-0000-0000-0000FC720000}"/>
    <cellStyle name="Followed Hyperlink 4" xfId="21199" hidden="1" xr:uid="{00000000-0005-0000-0000-0000FD720000}"/>
    <cellStyle name="Followed Hyperlink 4" xfId="22572" hidden="1" xr:uid="{00000000-0005-0000-0000-0000FE720000}"/>
    <cellStyle name="Followed Hyperlink 4" xfId="22575" hidden="1" xr:uid="{00000000-0005-0000-0000-0000FF720000}"/>
    <cellStyle name="Followed Hyperlink 4" xfId="22578" hidden="1" xr:uid="{00000000-0005-0000-0000-000000730000}"/>
    <cellStyle name="Followed Hyperlink 4" xfId="22580" hidden="1" xr:uid="{00000000-0005-0000-0000-000001730000}"/>
    <cellStyle name="Followed Hyperlink 4" xfId="22581" hidden="1" xr:uid="{00000000-0005-0000-0000-000002730000}"/>
    <cellStyle name="Followed Hyperlink 4" xfId="22584" hidden="1" xr:uid="{00000000-0005-0000-0000-000003730000}"/>
    <cellStyle name="Followed Hyperlink 4" xfId="22593" hidden="1" xr:uid="{00000000-0005-0000-0000-000004730000}"/>
    <cellStyle name="Followed Hyperlink 4" xfId="22585" hidden="1" xr:uid="{00000000-0005-0000-0000-000005730000}"/>
    <cellStyle name="Followed Hyperlink 4" xfId="22596" hidden="1" xr:uid="{00000000-0005-0000-0000-000006730000}"/>
    <cellStyle name="Followed Hyperlink 4" xfId="22599" hidden="1" xr:uid="{00000000-0005-0000-0000-000007730000}"/>
    <cellStyle name="Followed Hyperlink 4" xfId="22602" hidden="1" xr:uid="{00000000-0005-0000-0000-000008730000}"/>
    <cellStyle name="Followed Hyperlink 4" xfId="22604" hidden="1" xr:uid="{00000000-0005-0000-0000-000009730000}"/>
    <cellStyle name="Followed Hyperlink 4" xfId="22605" hidden="1" xr:uid="{00000000-0005-0000-0000-00000A730000}"/>
    <cellStyle name="Followed Hyperlink 4" xfId="22608" hidden="1" xr:uid="{00000000-0005-0000-0000-00000B730000}"/>
    <cellStyle name="Followed Hyperlink 4" xfId="22617" hidden="1" xr:uid="{00000000-0005-0000-0000-00000C730000}"/>
    <cellStyle name="Followed Hyperlink 4" xfId="22609" hidden="1" xr:uid="{00000000-0005-0000-0000-00000D730000}"/>
    <cellStyle name="Followed Hyperlink 4" xfId="22620" hidden="1" xr:uid="{00000000-0005-0000-0000-00000E730000}"/>
    <cellStyle name="Followed Hyperlink 4" xfId="22623" hidden="1" xr:uid="{00000000-0005-0000-0000-00000F730000}"/>
    <cellStyle name="Followed Hyperlink 4" xfId="22626" hidden="1" xr:uid="{00000000-0005-0000-0000-000010730000}"/>
    <cellStyle name="Followed Hyperlink 4" xfId="22628" hidden="1" xr:uid="{00000000-0005-0000-0000-000011730000}"/>
    <cellStyle name="Followed Hyperlink 4" xfId="22629" hidden="1" xr:uid="{00000000-0005-0000-0000-000012730000}"/>
    <cellStyle name="Followed Hyperlink 4" xfId="22632" hidden="1" xr:uid="{00000000-0005-0000-0000-000013730000}"/>
    <cellStyle name="Followed Hyperlink 4" xfId="22641" hidden="1" xr:uid="{00000000-0005-0000-0000-000014730000}"/>
    <cellStyle name="Followed Hyperlink 4" xfId="22633" hidden="1" xr:uid="{00000000-0005-0000-0000-000015730000}"/>
    <cellStyle name="Followed Hyperlink 4" xfId="22644" hidden="1" xr:uid="{00000000-0005-0000-0000-000016730000}"/>
    <cellStyle name="Followed Hyperlink 4" xfId="22647" hidden="1" xr:uid="{00000000-0005-0000-0000-000017730000}"/>
    <cellStyle name="Followed Hyperlink 4" xfId="22650" hidden="1" xr:uid="{00000000-0005-0000-0000-000018730000}"/>
    <cellStyle name="Followed Hyperlink 4" xfId="22652" hidden="1" xr:uid="{00000000-0005-0000-0000-000019730000}"/>
    <cellStyle name="Followed Hyperlink 4" xfId="22653" hidden="1" xr:uid="{00000000-0005-0000-0000-00001A730000}"/>
    <cellStyle name="Followed Hyperlink 4" xfId="22656" hidden="1" xr:uid="{00000000-0005-0000-0000-00001B730000}"/>
    <cellStyle name="Followed Hyperlink 4" xfId="22694" hidden="1" xr:uid="{00000000-0005-0000-0000-00001C730000}"/>
    <cellStyle name="Followed Hyperlink 4" xfId="22686" hidden="1" xr:uid="{00000000-0005-0000-0000-00001D730000}"/>
    <cellStyle name="Followed Hyperlink 4" xfId="22697" hidden="1" xr:uid="{00000000-0005-0000-0000-00001E730000}"/>
    <cellStyle name="Followed Hyperlink 4" xfId="22700" hidden="1" xr:uid="{00000000-0005-0000-0000-00001F730000}"/>
    <cellStyle name="Followed Hyperlink 4" xfId="22703" hidden="1" xr:uid="{00000000-0005-0000-0000-000020730000}"/>
    <cellStyle name="Followed Hyperlink 4" xfId="22705" hidden="1" xr:uid="{00000000-0005-0000-0000-000021730000}"/>
    <cellStyle name="Followed Hyperlink 4" xfId="22706" hidden="1" xr:uid="{00000000-0005-0000-0000-000022730000}"/>
    <cellStyle name="Followed Hyperlink 4" xfId="22709" hidden="1" xr:uid="{00000000-0005-0000-0000-000023730000}"/>
    <cellStyle name="Followed Hyperlink 4" xfId="22718" hidden="1" xr:uid="{00000000-0005-0000-0000-000024730000}"/>
    <cellStyle name="Followed Hyperlink 4" xfId="22710" hidden="1" xr:uid="{00000000-0005-0000-0000-000025730000}"/>
    <cellStyle name="Followed Hyperlink 4" xfId="22721" hidden="1" xr:uid="{00000000-0005-0000-0000-000026730000}"/>
    <cellStyle name="Followed Hyperlink 4" xfId="22724" hidden="1" xr:uid="{00000000-0005-0000-0000-000027730000}"/>
    <cellStyle name="Followed Hyperlink 4" xfId="22727" hidden="1" xr:uid="{00000000-0005-0000-0000-000028730000}"/>
    <cellStyle name="Followed Hyperlink 4" xfId="22729" hidden="1" xr:uid="{00000000-0005-0000-0000-000029730000}"/>
    <cellStyle name="Followed Hyperlink 4" xfId="22730" hidden="1" xr:uid="{00000000-0005-0000-0000-00002A730000}"/>
    <cellStyle name="Followed Hyperlink 4" xfId="22733" hidden="1" xr:uid="{00000000-0005-0000-0000-00002B730000}"/>
    <cellStyle name="Followed Hyperlink 4" xfId="22744" hidden="1" xr:uid="{00000000-0005-0000-0000-00002C730000}"/>
    <cellStyle name="Followed Hyperlink 4" xfId="22736" hidden="1" xr:uid="{00000000-0005-0000-0000-00002D730000}"/>
    <cellStyle name="Followed Hyperlink 4" xfId="22747" hidden="1" xr:uid="{00000000-0005-0000-0000-00002E730000}"/>
    <cellStyle name="Followed Hyperlink 4" xfId="22750" hidden="1" xr:uid="{00000000-0005-0000-0000-00002F730000}"/>
    <cellStyle name="Followed Hyperlink 4" xfId="22753" hidden="1" xr:uid="{00000000-0005-0000-0000-000030730000}"/>
    <cellStyle name="Followed Hyperlink 4" xfId="22755" hidden="1" xr:uid="{00000000-0005-0000-0000-000031730000}"/>
    <cellStyle name="Followed Hyperlink 4" xfId="22756" hidden="1" xr:uid="{00000000-0005-0000-0000-000032730000}"/>
    <cellStyle name="Followed Hyperlink 4" xfId="22759" hidden="1" xr:uid="{00000000-0005-0000-0000-000033730000}"/>
    <cellStyle name="Followed Hyperlink 4" xfId="22768" hidden="1" xr:uid="{00000000-0005-0000-0000-000034730000}"/>
    <cellStyle name="Followed Hyperlink 4" xfId="22760" hidden="1" xr:uid="{00000000-0005-0000-0000-000035730000}"/>
    <cellStyle name="Followed Hyperlink 4" xfId="22771" hidden="1" xr:uid="{00000000-0005-0000-0000-000036730000}"/>
    <cellStyle name="Followed Hyperlink 4" xfId="22774" hidden="1" xr:uid="{00000000-0005-0000-0000-000037730000}"/>
    <cellStyle name="Followed Hyperlink 4" xfId="22777" hidden="1" xr:uid="{00000000-0005-0000-0000-000038730000}"/>
    <cellStyle name="Followed Hyperlink 4" xfId="22779" hidden="1" xr:uid="{00000000-0005-0000-0000-000039730000}"/>
    <cellStyle name="Followed Hyperlink 4" xfId="22780" hidden="1" xr:uid="{00000000-0005-0000-0000-00003A730000}"/>
    <cellStyle name="Followed Hyperlink 4" xfId="22783" hidden="1" xr:uid="{00000000-0005-0000-0000-00003B730000}"/>
    <cellStyle name="Followed Hyperlink 4" xfId="22666" hidden="1" xr:uid="{00000000-0005-0000-0000-00003C730000}"/>
    <cellStyle name="Followed Hyperlink 4" xfId="22660" hidden="1" xr:uid="{00000000-0005-0000-0000-00003D730000}"/>
    <cellStyle name="Followed Hyperlink 4" xfId="22784" hidden="1" xr:uid="{00000000-0005-0000-0000-00003E730000}"/>
    <cellStyle name="Followed Hyperlink 4" xfId="22787" hidden="1" xr:uid="{00000000-0005-0000-0000-00003F730000}"/>
    <cellStyle name="Followed Hyperlink 4" xfId="22790" hidden="1" xr:uid="{00000000-0005-0000-0000-000040730000}"/>
    <cellStyle name="Followed Hyperlink 4" xfId="22792" hidden="1" xr:uid="{00000000-0005-0000-0000-000041730000}"/>
    <cellStyle name="Followed Hyperlink 4" xfId="22793" hidden="1" xr:uid="{00000000-0005-0000-0000-000042730000}"/>
    <cellStyle name="Followed Hyperlink 4" xfId="22796" hidden="1" xr:uid="{00000000-0005-0000-0000-000043730000}"/>
    <cellStyle name="Followed Hyperlink 4" xfId="22805" hidden="1" xr:uid="{00000000-0005-0000-0000-000044730000}"/>
    <cellStyle name="Followed Hyperlink 4" xfId="22797" hidden="1" xr:uid="{00000000-0005-0000-0000-000045730000}"/>
    <cellStyle name="Followed Hyperlink 4" xfId="22808" hidden="1" xr:uid="{00000000-0005-0000-0000-000046730000}"/>
    <cellStyle name="Followed Hyperlink 4" xfId="22811" hidden="1" xr:uid="{00000000-0005-0000-0000-000047730000}"/>
    <cellStyle name="Followed Hyperlink 4" xfId="22814" hidden="1" xr:uid="{00000000-0005-0000-0000-000048730000}"/>
    <cellStyle name="Followed Hyperlink 4" xfId="22816" hidden="1" xr:uid="{00000000-0005-0000-0000-000049730000}"/>
    <cellStyle name="Followed Hyperlink 4" xfId="22817" hidden="1" xr:uid="{00000000-0005-0000-0000-00004A730000}"/>
    <cellStyle name="Followed Hyperlink 4" xfId="22820" hidden="1" xr:uid="{00000000-0005-0000-0000-00004B730000}"/>
    <cellStyle name="Followed Hyperlink 4" xfId="22830" hidden="1" xr:uid="{00000000-0005-0000-0000-00004C730000}"/>
    <cellStyle name="Followed Hyperlink 4" xfId="22822" hidden="1" xr:uid="{00000000-0005-0000-0000-00004D730000}"/>
    <cellStyle name="Followed Hyperlink 4" xfId="22833" hidden="1" xr:uid="{00000000-0005-0000-0000-00004E730000}"/>
    <cellStyle name="Followed Hyperlink 4" xfId="22836" hidden="1" xr:uid="{00000000-0005-0000-0000-00004F730000}"/>
    <cellStyle name="Followed Hyperlink 4" xfId="22839" hidden="1" xr:uid="{00000000-0005-0000-0000-000050730000}"/>
    <cellStyle name="Followed Hyperlink 4" xfId="22841" hidden="1" xr:uid="{00000000-0005-0000-0000-000051730000}"/>
    <cellStyle name="Followed Hyperlink 4" xfId="22842" hidden="1" xr:uid="{00000000-0005-0000-0000-000052730000}"/>
    <cellStyle name="Followed Hyperlink 4" xfId="22845" hidden="1" xr:uid="{00000000-0005-0000-0000-000053730000}"/>
    <cellStyle name="Followed Hyperlink 4" xfId="22854" hidden="1" xr:uid="{00000000-0005-0000-0000-000054730000}"/>
    <cellStyle name="Followed Hyperlink 4" xfId="22846" hidden="1" xr:uid="{00000000-0005-0000-0000-000055730000}"/>
    <cellStyle name="Followed Hyperlink 4" xfId="22857" hidden="1" xr:uid="{00000000-0005-0000-0000-000056730000}"/>
    <cellStyle name="Followed Hyperlink 4" xfId="22860" hidden="1" xr:uid="{00000000-0005-0000-0000-000057730000}"/>
    <cellStyle name="Followed Hyperlink 4" xfId="22863" hidden="1" xr:uid="{00000000-0005-0000-0000-000058730000}"/>
    <cellStyle name="Followed Hyperlink 4" xfId="22865" hidden="1" xr:uid="{00000000-0005-0000-0000-000059730000}"/>
    <cellStyle name="Followed Hyperlink 4" xfId="22866" hidden="1" xr:uid="{00000000-0005-0000-0000-00005A730000}"/>
    <cellStyle name="Followed Hyperlink 4" xfId="22869" hidden="1" xr:uid="{00000000-0005-0000-0000-00005B730000}"/>
    <cellStyle name="Followed Hyperlink 4" xfId="22670" hidden="1" xr:uid="{00000000-0005-0000-0000-00005C730000}"/>
    <cellStyle name="Followed Hyperlink 4" xfId="22676" hidden="1" xr:uid="{00000000-0005-0000-0000-00005D730000}"/>
    <cellStyle name="Followed Hyperlink 4" xfId="22870" hidden="1" xr:uid="{00000000-0005-0000-0000-00005E730000}"/>
    <cellStyle name="Followed Hyperlink 4" xfId="22873" hidden="1" xr:uid="{00000000-0005-0000-0000-00005F730000}"/>
    <cellStyle name="Followed Hyperlink 4" xfId="22876" hidden="1" xr:uid="{00000000-0005-0000-0000-000060730000}"/>
    <cellStyle name="Followed Hyperlink 4" xfId="22878" hidden="1" xr:uid="{00000000-0005-0000-0000-000061730000}"/>
    <cellStyle name="Followed Hyperlink 4" xfId="22879" hidden="1" xr:uid="{00000000-0005-0000-0000-000062730000}"/>
    <cellStyle name="Followed Hyperlink 4" xfId="22882" hidden="1" xr:uid="{00000000-0005-0000-0000-000063730000}"/>
    <cellStyle name="Followed Hyperlink 4" xfId="22891" hidden="1" xr:uid="{00000000-0005-0000-0000-000064730000}"/>
    <cellStyle name="Followed Hyperlink 4" xfId="22883" hidden="1" xr:uid="{00000000-0005-0000-0000-000065730000}"/>
    <cellStyle name="Followed Hyperlink 4" xfId="22894" hidden="1" xr:uid="{00000000-0005-0000-0000-000066730000}"/>
    <cellStyle name="Followed Hyperlink 4" xfId="22897" hidden="1" xr:uid="{00000000-0005-0000-0000-000067730000}"/>
    <cellStyle name="Followed Hyperlink 4" xfId="22900" hidden="1" xr:uid="{00000000-0005-0000-0000-000068730000}"/>
    <cellStyle name="Followed Hyperlink 4" xfId="22902" hidden="1" xr:uid="{00000000-0005-0000-0000-000069730000}"/>
    <cellStyle name="Followed Hyperlink 4" xfId="22903" hidden="1" xr:uid="{00000000-0005-0000-0000-00006A730000}"/>
    <cellStyle name="Followed Hyperlink 4" xfId="22906" hidden="1" xr:uid="{00000000-0005-0000-0000-00006B730000}"/>
    <cellStyle name="Followed Hyperlink 4" xfId="22916" hidden="1" xr:uid="{00000000-0005-0000-0000-00006C730000}"/>
    <cellStyle name="Followed Hyperlink 4" xfId="22908" hidden="1" xr:uid="{00000000-0005-0000-0000-00006D730000}"/>
    <cellStyle name="Followed Hyperlink 4" xfId="22919" hidden="1" xr:uid="{00000000-0005-0000-0000-00006E730000}"/>
    <cellStyle name="Followed Hyperlink 4" xfId="22922" hidden="1" xr:uid="{00000000-0005-0000-0000-00006F730000}"/>
    <cellStyle name="Followed Hyperlink 4" xfId="22925" hidden="1" xr:uid="{00000000-0005-0000-0000-000070730000}"/>
    <cellStyle name="Followed Hyperlink 4" xfId="22927" hidden="1" xr:uid="{00000000-0005-0000-0000-000071730000}"/>
    <cellStyle name="Followed Hyperlink 4" xfId="22928" hidden="1" xr:uid="{00000000-0005-0000-0000-000072730000}"/>
    <cellStyle name="Followed Hyperlink 4" xfId="22931" hidden="1" xr:uid="{00000000-0005-0000-0000-000073730000}"/>
    <cellStyle name="Followed Hyperlink 4" xfId="22940" hidden="1" xr:uid="{00000000-0005-0000-0000-000074730000}"/>
    <cellStyle name="Followed Hyperlink 4" xfId="22932" hidden="1" xr:uid="{00000000-0005-0000-0000-000075730000}"/>
    <cellStyle name="Followed Hyperlink 4" xfId="22943" hidden="1" xr:uid="{00000000-0005-0000-0000-000076730000}"/>
    <cellStyle name="Followed Hyperlink 4" xfId="22946" hidden="1" xr:uid="{00000000-0005-0000-0000-000077730000}"/>
    <cellStyle name="Followed Hyperlink 4" xfId="22949" hidden="1" xr:uid="{00000000-0005-0000-0000-000078730000}"/>
    <cellStyle name="Followed Hyperlink 4" xfId="22951" hidden="1" xr:uid="{00000000-0005-0000-0000-000079730000}"/>
    <cellStyle name="Followed Hyperlink 4" xfId="22952" hidden="1" xr:uid="{00000000-0005-0000-0000-00007A730000}"/>
    <cellStyle name="Followed Hyperlink 4" xfId="22955" hidden="1" xr:uid="{00000000-0005-0000-0000-00007B730000}"/>
    <cellStyle name="Followed Hyperlink 4" xfId="22680" hidden="1" xr:uid="{00000000-0005-0000-0000-00007C730000}"/>
    <cellStyle name="Followed Hyperlink 4" xfId="22735" hidden="1" xr:uid="{00000000-0005-0000-0000-00007D730000}"/>
    <cellStyle name="Followed Hyperlink 4" xfId="22956" hidden="1" xr:uid="{00000000-0005-0000-0000-00007E730000}"/>
    <cellStyle name="Followed Hyperlink 4" xfId="22959" hidden="1" xr:uid="{00000000-0005-0000-0000-00007F730000}"/>
    <cellStyle name="Followed Hyperlink 4" xfId="22962" hidden="1" xr:uid="{00000000-0005-0000-0000-000080730000}"/>
    <cellStyle name="Followed Hyperlink 4" xfId="22964" hidden="1" xr:uid="{00000000-0005-0000-0000-000081730000}"/>
    <cellStyle name="Followed Hyperlink 4" xfId="22965" hidden="1" xr:uid="{00000000-0005-0000-0000-000082730000}"/>
    <cellStyle name="Followed Hyperlink 4" xfId="22968" hidden="1" xr:uid="{00000000-0005-0000-0000-000083730000}"/>
    <cellStyle name="Followed Hyperlink 4" xfId="22977" hidden="1" xr:uid="{00000000-0005-0000-0000-000084730000}"/>
    <cellStyle name="Followed Hyperlink 4" xfId="22969" hidden="1" xr:uid="{00000000-0005-0000-0000-000085730000}"/>
    <cellStyle name="Followed Hyperlink 4" xfId="22980" hidden="1" xr:uid="{00000000-0005-0000-0000-000086730000}"/>
    <cellStyle name="Followed Hyperlink 4" xfId="22983" hidden="1" xr:uid="{00000000-0005-0000-0000-000087730000}"/>
    <cellStyle name="Followed Hyperlink 4" xfId="22986" hidden="1" xr:uid="{00000000-0005-0000-0000-000088730000}"/>
    <cellStyle name="Followed Hyperlink 4" xfId="22988" hidden="1" xr:uid="{00000000-0005-0000-0000-000089730000}"/>
    <cellStyle name="Followed Hyperlink 4" xfId="22989" hidden="1" xr:uid="{00000000-0005-0000-0000-00008A730000}"/>
    <cellStyle name="Followed Hyperlink 4" xfId="22992" hidden="1" xr:uid="{00000000-0005-0000-0000-00008B730000}"/>
    <cellStyle name="Followed Hyperlink 4" xfId="23001" hidden="1" xr:uid="{00000000-0005-0000-0000-00008C730000}"/>
    <cellStyle name="Followed Hyperlink 4" xfId="22993" hidden="1" xr:uid="{00000000-0005-0000-0000-00008D730000}"/>
    <cellStyle name="Followed Hyperlink 4" xfId="23004" hidden="1" xr:uid="{00000000-0005-0000-0000-00008E730000}"/>
    <cellStyle name="Followed Hyperlink 4" xfId="23007" hidden="1" xr:uid="{00000000-0005-0000-0000-00008F730000}"/>
    <cellStyle name="Followed Hyperlink 4" xfId="23010" hidden="1" xr:uid="{00000000-0005-0000-0000-000090730000}"/>
    <cellStyle name="Followed Hyperlink 4" xfId="23012" hidden="1" xr:uid="{00000000-0005-0000-0000-000091730000}"/>
    <cellStyle name="Followed Hyperlink 4" xfId="23013" hidden="1" xr:uid="{00000000-0005-0000-0000-000092730000}"/>
    <cellStyle name="Followed Hyperlink 4" xfId="23016" hidden="1" xr:uid="{00000000-0005-0000-0000-000093730000}"/>
    <cellStyle name="Followed Hyperlink 4" xfId="23025" hidden="1" xr:uid="{00000000-0005-0000-0000-000094730000}"/>
    <cellStyle name="Followed Hyperlink 4" xfId="23017" hidden="1" xr:uid="{00000000-0005-0000-0000-000095730000}"/>
    <cellStyle name="Followed Hyperlink 4" xfId="23028" hidden="1" xr:uid="{00000000-0005-0000-0000-000096730000}"/>
    <cellStyle name="Followed Hyperlink 4" xfId="23031" hidden="1" xr:uid="{00000000-0005-0000-0000-000097730000}"/>
    <cellStyle name="Followed Hyperlink 4" xfId="23034" hidden="1" xr:uid="{00000000-0005-0000-0000-000098730000}"/>
    <cellStyle name="Followed Hyperlink 4" xfId="23036" hidden="1" xr:uid="{00000000-0005-0000-0000-000099730000}"/>
    <cellStyle name="Followed Hyperlink 4" xfId="23037" hidden="1" xr:uid="{00000000-0005-0000-0000-00009A730000}"/>
    <cellStyle name="Followed Hyperlink 4" xfId="23040" hidden="1" xr:uid="{00000000-0005-0000-0000-00009B730000}"/>
    <cellStyle name="Followed Hyperlink 4" xfId="17005" hidden="1" xr:uid="{00000000-0005-0000-0000-00009C730000}"/>
    <cellStyle name="Followed Hyperlink 4" xfId="17060" hidden="1" xr:uid="{00000000-0005-0000-0000-00009D730000}"/>
    <cellStyle name="Followed Hyperlink 4" xfId="23041" hidden="1" xr:uid="{00000000-0005-0000-0000-00009E730000}"/>
    <cellStyle name="Followed Hyperlink 4" xfId="23044" hidden="1" xr:uid="{00000000-0005-0000-0000-00009F730000}"/>
    <cellStyle name="Followed Hyperlink 4" xfId="23047" hidden="1" xr:uid="{00000000-0005-0000-0000-0000A0730000}"/>
    <cellStyle name="Followed Hyperlink 4" xfId="23049" hidden="1" xr:uid="{00000000-0005-0000-0000-0000A1730000}"/>
    <cellStyle name="Followed Hyperlink 4" xfId="23050" hidden="1" xr:uid="{00000000-0005-0000-0000-0000A2730000}"/>
    <cellStyle name="Followed Hyperlink 4" xfId="23053" hidden="1" xr:uid="{00000000-0005-0000-0000-0000A3730000}"/>
    <cellStyle name="Followed Hyperlink 4" xfId="23062" hidden="1" xr:uid="{00000000-0005-0000-0000-0000A4730000}"/>
    <cellStyle name="Followed Hyperlink 4" xfId="23054" hidden="1" xr:uid="{00000000-0005-0000-0000-0000A5730000}"/>
    <cellStyle name="Followed Hyperlink 4" xfId="23065" hidden="1" xr:uid="{00000000-0005-0000-0000-0000A6730000}"/>
    <cellStyle name="Followed Hyperlink 4" xfId="23068" hidden="1" xr:uid="{00000000-0005-0000-0000-0000A7730000}"/>
    <cellStyle name="Followed Hyperlink 4" xfId="23071" hidden="1" xr:uid="{00000000-0005-0000-0000-0000A8730000}"/>
    <cellStyle name="Followed Hyperlink 4" xfId="23073" hidden="1" xr:uid="{00000000-0005-0000-0000-0000A9730000}"/>
    <cellStyle name="Followed Hyperlink 4" xfId="23074" hidden="1" xr:uid="{00000000-0005-0000-0000-0000AA730000}"/>
    <cellStyle name="Followed Hyperlink 4" xfId="23077" hidden="1" xr:uid="{00000000-0005-0000-0000-0000AB730000}"/>
    <cellStyle name="Followed Hyperlink 4" xfId="23086" hidden="1" xr:uid="{00000000-0005-0000-0000-0000AC730000}"/>
    <cellStyle name="Followed Hyperlink 4" xfId="23078" hidden="1" xr:uid="{00000000-0005-0000-0000-0000AD730000}"/>
    <cellStyle name="Followed Hyperlink 4" xfId="23089" hidden="1" xr:uid="{00000000-0005-0000-0000-0000AE730000}"/>
    <cellStyle name="Followed Hyperlink 4" xfId="23092" hidden="1" xr:uid="{00000000-0005-0000-0000-0000AF730000}"/>
    <cellStyle name="Followed Hyperlink 4" xfId="23095" hidden="1" xr:uid="{00000000-0005-0000-0000-0000B0730000}"/>
    <cellStyle name="Followed Hyperlink 4" xfId="23097" hidden="1" xr:uid="{00000000-0005-0000-0000-0000B1730000}"/>
    <cellStyle name="Followed Hyperlink 4" xfId="23098" hidden="1" xr:uid="{00000000-0005-0000-0000-0000B2730000}"/>
    <cellStyle name="Followed Hyperlink 4" xfId="23101" hidden="1" xr:uid="{00000000-0005-0000-0000-0000B3730000}"/>
    <cellStyle name="Followed Hyperlink 4" xfId="23110" hidden="1" xr:uid="{00000000-0005-0000-0000-0000B4730000}"/>
    <cellStyle name="Followed Hyperlink 4" xfId="23102" hidden="1" xr:uid="{00000000-0005-0000-0000-0000B5730000}"/>
    <cellStyle name="Followed Hyperlink 4" xfId="23113" hidden="1" xr:uid="{00000000-0005-0000-0000-0000B6730000}"/>
    <cellStyle name="Followed Hyperlink 4" xfId="23116" hidden="1" xr:uid="{00000000-0005-0000-0000-0000B7730000}"/>
    <cellStyle name="Followed Hyperlink 4" xfId="23119" hidden="1" xr:uid="{00000000-0005-0000-0000-0000B8730000}"/>
    <cellStyle name="Followed Hyperlink 4" xfId="23121" hidden="1" xr:uid="{00000000-0005-0000-0000-0000B9730000}"/>
    <cellStyle name="Followed Hyperlink 4" xfId="23122" hidden="1" xr:uid="{00000000-0005-0000-0000-0000BA730000}"/>
    <cellStyle name="Followed Hyperlink 4" xfId="23125" hidden="1" xr:uid="{00000000-0005-0000-0000-0000BB730000}"/>
    <cellStyle name="Followed Hyperlink 4" xfId="23163" hidden="1" xr:uid="{00000000-0005-0000-0000-0000BC730000}"/>
    <cellStyle name="Followed Hyperlink 4" xfId="23155" hidden="1" xr:uid="{00000000-0005-0000-0000-0000BD730000}"/>
    <cellStyle name="Followed Hyperlink 4" xfId="23166" hidden="1" xr:uid="{00000000-0005-0000-0000-0000BE730000}"/>
    <cellStyle name="Followed Hyperlink 4" xfId="23169" hidden="1" xr:uid="{00000000-0005-0000-0000-0000BF730000}"/>
    <cellStyle name="Followed Hyperlink 4" xfId="23172" hidden="1" xr:uid="{00000000-0005-0000-0000-0000C0730000}"/>
    <cellStyle name="Followed Hyperlink 4" xfId="23174" hidden="1" xr:uid="{00000000-0005-0000-0000-0000C1730000}"/>
    <cellStyle name="Followed Hyperlink 4" xfId="23175" hidden="1" xr:uid="{00000000-0005-0000-0000-0000C2730000}"/>
    <cellStyle name="Followed Hyperlink 4" xfId="23178" hidden="1" xr:uid="{00000000-0005-0000-0000-0000C3730000}"/>
    <cellStyle name="Followed Hyperlink 4" xfId="23187" hidden="1" xr:uid="{00000000-0005-0000-0000-0000C4730000}"/>
    <cellStyle name="Followed Hyperlink 4" xfId="23179" hidden="1" xr:uid="{00000000-0005-0000-0000-0000C5730000}"/>
    <cellStyle name="Followed Hyperlink 4" xfId="23190" hidden="1" xr:uid="{00000000-0005-0000-0000-0000C6730000}"/>
    <cellStyle name="Followed Hyperlink 4" xfId="23193" hidden="1" xr:uid="{00000000-0005-0000-0000-0000C7730000}"/>
    <cellStyle name="Followed Hyperlink 4" xfId="23196" hidden="1" xr:uid="{00000000-0005-0000-0000-0000C8730000}"/>
    <cellStyle name="Followed Hyperlink 4" xfId="23198" hidden="1" xr:uid="{00000000-0005-0000-0000-0000C9730000}"/>
    <cellStyle name="Followed Hyperlink 4" xfId="23199" hidden="1" xr:uid="{00000000-0005-0000-0000-0000CA730000}"/>
    <cellStyle name="Followed Hyperlink 4" xfId="23202" hidden="1" xr:uid="{00000000-0005-0000-0000-0000CB730000}"/>
    <cellStyle name="Followed Hyperlink 4" xfId="23213" hidden="1" xr:uid="{00000000-0005-0000-0000-0000CC730000}"/>
    <cellStyle name="Followed Hyperlink 4" xfId="23205" hidden="1" xr:uid="{00000000-0005-0000-0000-0000CD730000}"/>
    <cellStyle name="Followed Hyperlink 4" xfId="23216" hidden="1" xr:uid="{00000000-0005-0000-0000-0000CE730000}"/>
    <cellStyle name="Followed Hyperlink 4" xfId="23219" hidden="1" xr:uid="{00000000-0005-0000-0000-0000CF730000}"/>
    <cellStyle name="Followed Hyperlink 4" xfId="23222" hidden="1" xr:uid="{00000000-0005-0000-0000-0000D0730000}"/>
    <cellStyle name="Followed Hyperlink 4" xfId="23224" hidden="1" xr:uid="{00000000-0005-0000-0000-0000D1730000}"/>
    <cellStyle name="Followed Hyperlink 4" xfId="23225" hidden="1" xr:uid="{00000000-0005-0000-0000-0000D2730000}"/>
    <cellStyle name="Followed Hyperlink 4" xfId="23228" hidden="1" xr:uid="{00000000-0005-0000-0000-0000D3730000}"/>
    <cellStyle name="Followed Hyperlink 4" xfId="23237" hidden="1" xr:uid="{00000000-0005-0000-0000-0000D4730000}"/>
    <cellStyle name="Followed Hyperlink 4" xfId="23229" hidden="1" xr:uid="{00000000-0005-0000-0000-0000D5730000}"/>
    <cellStyle name="Followed Hyperlink 4" xfId="23240" hidden="1" xr:uid="{00000000-0005-0000-0000-0000D6730000}"/>
    <cellStyle name="Followed Hyperlink 4" xfId="23243" hidden="1" xr:uid="{00000000-0005-0000-0000-0000D7730000}"/>
    <cellStyle name="Followed Hyperlink 4" xfId="23246" hidden="1" xr:uid="{00000000-0005-0000-0000-0000D8730000}"/>
    <cellStyle name="Followed Hyperlink 4" xfId="23248" hidden="1" xr:uid="{00000000-0005-0000-0000-0000D9730000}"/>
    <cellStyle name="Followed Hyperlink 4" xfId="23249" hidden="1" xr:uid="{00000000-0005-0000-0000-0000DA730000}"/>
    <cellStyle name="Followed Hyperlink 4" xfId="23252" hidden="1" xr:uid="{00000000-0005-0000-0000-0000DB730000}"/>
    <cellStyle name="Followed Hyperlink 4" xfId="23290" hidden="1" xr:uid="{00000000-0005-0000-0000-0000DC730000}"/>
    <cellStyle name="Followed Hyperlink 4" xfId="23282" hidden="1" xr:uid="{00000000-0005-0000-0000-0000DD730000}"/>
    <cellStyle name="Followed Hyperlink 4" xfId="23293" hidden="1" xr:uid="{00000000-0005-0000-0000-0000DE730000}"/>
    <cellStyle name="Followed Hyperlink 4" xfId="23296" hidden="1" xr:uid="{00000000-0005-0000-0000-0000DF730000}"/>
    <cellStyle name="Followed Hyperlink 4" xfId="23299" hidden="1" xr:uid="{00000000-0005-0000-0000-0000E0730000}"/>
    <cellStyle name="Followed Hyperlink 4" xfId="23301" hidden="1" xr:uid="{00000000-0005-0000-0000-0000E1730000}"/>
    <cellStyle name="Followed Hyperlink 4" xfId="23302" hidden="1" xr:uid="{00000000-0005-0000-0000-0000E2730000}"/>
    <cellStyle name="Followed Hyperlink 4" xfId="23305" hidden="1" xr:uid="{00000000-0005-0000-0000-0000E3730000}"/>
    <cellStyle name="Followed Hyperlink 4" xfId="23314" hidden="1" xr:uid="{00000000-0005-0000-0000-0000E4730000}"/>
    <cellStyle name="Followed Hyperlink 4" xfId="23306" hidden="1" xr:uid="{00000000-0005-0000-0000-0000E5730000}"/>
    <cellStyle name="Followed Hyperlink 4" xfId="23317" hidden="1" xr:uid="{00000000-0005-0000-0000-0000E6730000}"/>
    <cellStyle name="Followed Hyperlink 4" xfId="23320" hidden="1" xr:uid="{00000000-0005-0000-0000-0000E7730000}"/>
    <cellStyle name="Followed Hyperlink 4" xfId="23323" hidden="1" xr:uid="{00000000-0005-0000-0000-0000E8730000}"/>
    <cellStyle name="Followed Hyperlink 4" xfId="23325" hidden="1" xr:uid="{00000000-0005-0000-0000-0000E9730000}"/>
    <cellStyle name="Followed Hyperlink 4" xfId="23326" hidden="1" xr:uid="{00000000-0005-0000-0000-0000EA730000}"/>
    <cellStyle name="Followed Hyperlink 4" xfId="23329" hidden="1" xr:uid="{00000000-0005-0000-0000-0000EB730000}"/>
    <cellStyle name="Followed Hyperlink 4" xfId="23340" hidden="1" xr:uid="{00000000-0005-0000-0000-0000EC730000}"/>
    <cellStyle name="Followed Hyperlink 4" xfId="23332" hidden="1" xr:uid="{00000000-0005-0000-0000-0000ED730000}"/>
    <cellStyle name="Followed Hyperlink 4" xfId="23343" hidden="1" xr:uid="{00000000-0005-0000-0000-0000EE730000}"/>
    <cellStyle name="Followed Hyperlink 4" xfId="23346" hidden="1" xr:uid="{00000000-0005-0000-0000-0000EF730000}"/>
    <cellStyle name="Followed Hyperlink 4" xfId="23349" hidden="1" xr:uid="{00000000-0005-0000-0000-0000F0730000}"/>
    <cellStyle name="Followed Hyperlink 4" xfId="23351" hidden="1" xr:uid="{00000000-0005-0000-0000-0000F1730000}"/>
    <cellStyle name="Followed Hyperlink 4" xfId="23352" hidden="1" xr:uid="{00000000-0005-0000-0000-0000F2730000}"/>
    <cellStyle name="Followed Hyperlink 4" xfId="23355" hidden="1" xr:uid="{00000000-0005-0000-0000-0000F3730000}"/>
    <cellStyle name="Followed Hyperlink 4" xfId="23364" hidden="1" xr:uid="{00000000-0005-0000-0000-0000F4730000}"/>
    <cellStyle name="Followed Hyperlink 4" xfId="23356" hidden="1" xr:uid="{00000000-0005-0000-0000-0000F5730000}"/>
    <cellStyle name="Followed Hyperlink 4" xfId="23367" hidden="1" xr:uid="{00000000-0005-0000-0000-0000F6730000}"/>
    <cellStyle name="Followed Hyperlink 4" xfId="23370" hidden="1" xr:uid="{00000000-0005-0000-0000-0000F7730000}"/>
    <cellStyle name="Followed Hyperlink 4" xfId="23373" hidden="1" xr:uid="{00000000-0005-0000-0000-0000F8730000}"/>
    <cellStyle name="Followed Hyperlink 4" xfId="23375" hidden="1" xr:uid="{00000000-0005-0000-0000-0000F9730000}"/>
    <cellStyle name="Followed Hyperlink 4" xfId="23376" hidden="1" xr:uid="{00000000-0005-0000-0000-0000FA730000}"/>
    <cellStyle name="Followed Hyperlink 4" xfId="23379" hidden="1" xr:uid="{00000000-0005-0000-0000-0000FB730000}"/>
    <cellStyle name="Followed Hyperlink 4" xfId="23262" hidden="1" xr:uid="{00000000-0005-0000-0000-0000FC730000}"/>
    <cellStyle name="Followed Hyperlink 4" xfId="23256" hidden="1" xr:uid="{00000000-0005-0000-0000-0000FD730000}"/>
    <cellStyle name="Followed Hyperlink 4" xfId="23380" hidden="1" xr:uid="{00000000-0005-0000-0000-0000FE730000}"/>
    <cellStyle name="Followed Hyperlink 4" xfId="23383" hidden="1" xr:uid="{00000000-0005-0000-0000-0000FF730000}"/>
    <cellStyle name="Followed Hyperlink 4" xfId="23386" hidden="1" xr:uid="{00000000-0005-0000-0000-000000740000}"/>
    <cellStyle name="Followed Hyperlink 4" xfId="23388" hidden="1" xr:uid="{00000000-0005-0000-0000-000001740000}"/>
    <cellStyle name="Followed Hyperlink 4" xfId="23389" hidden="1" xr:uid="{00000000-0005-0000-0000-000002740000}"/>
    <cellStyle name="Followed Hyperlink 4" xfId="23392" hidden="1" xr:uid="{00000000-0005-0000-0000-000003740000}"/>
    <cellStyle name="Followed Hyperlink 4" xfId="23401" hidden="1" xr:uid="{00000000-0005-0000-0000-000004740000}"/>
    <cellStyle name="Followed Hyperlink 4" xfId="23393" hidden="1" xr:uid="{00000000-0005-0000-0000-000005740000}"/>
    <cellStyle name="Followed Hyperlink 4" xfId="23404" hidden="1" xr:uid="{00000000-0005-0000-0000-000006740000}"/>
    <cellStyle name="Followed Hyperlink 4" xfId="23407" hidden="1" xr:uid="{00000000-0005-0000-0000-000007740000}"/>
    <cellStyle name="Followed Hyperlink 4" xfId="23410" hidden="1" xr:uid="{00000000-0005-0000-0000-000008740000}"/>
    <cellStyle name="Followed Hyperlink 4" xfId="23412" hidden="1" xr:uid="{00000000-0005-0000-0000-000009740000}"/>
    <cellStyle name="Followed Hyperlink 4" xfId="23413" hidden="1" xr:uid="{00000000-0005-0000-0000-00000A740000}"/>
    <cellStyle name="Followed Hyperlink 4" xfId="23416" hidden="1" xr:uid="{00000000-0005-0000-0000-00000B740000}"/>
    <cellStyle name="Followed Hyperlink 4" xfId="23426" hidden="1" xr:uid="{00000000-0005-0000-0000-00000C740000}"/>
    <cellStyle name="Followed Hyperlink 4" xfId="23418" hidden="1" xr:uid="{00000000-0005-0000-0000-00000D740000}"/>
    <cellStyle name="Followed Hyperlink 4" xfId="23429" hidden="1" xr:uid="{00000000-0005-0000-0000-00000E740000}"/>
    <cellStyle name="Followed Hyperlink 4" xfId="23432" hidden="1" xr:uid="{00000000-0005-0000-0000-00000F740000}"/>
    <cellStyle name="Followed Hyperlink 4" xfId="23435" hidden="1" xr:uid="{00000000-0005-0000-0000-000010740000}"/>
    <cellStyle name="Followed Hyperlink 4" xfId="23437" hidden="1" xr:uid="{00000000-0005-0000-0000-000011740000}"/>
    <cellStyle name="Followed Hyperlink 4" xfId="23438" hidden="1" xr:uid="{00000000-0005-0000-0000-000012740000}"/>
    <cellStyle name="Followed Hyperlink 4" xfId="23441" hidden="1" xr:uid="{00000000-0005-0000-0000-000013740000}"/>
    <cellStyle name="Followed Hyperlink 4" xfId="23450" hidden="1" xr:uid="{00000000-0005-0000-0000-000014740000}"/>
    <cellStyle name="Followed Hyperlink 4" xfId="23442" hidden="1" xr:uid="{00000000-0005-0000-0000-000015740000}"/>
    <cellStyle name="Followed Hyperlink 4" xfId="23453" hidden="1" xr:uid="{00000000-0005-0000-0000-000016740000}"/>
    <cellStyle name="Followed Hyperlink 4" xfId="23456" hidden="1" xr:uid="{00000000-0005-0000-0000-000017740000}"/>
    <cellStyle name="Followed Hyperlink 4" xfId="23459" hidden="1" xr:uid="{00000000-0005-0000-0000-000018740000}"/>
    <cellStyle name="Followed Hyperlink 4" xfId="23461" hidden="1" xr:uid="{00000000-0005-0000-0000-000019740000}"/>
    <cellStyle name="Followed Hyperlink 4" xfId="23462" hidden="1" xr:uid="{00000000-0005-0000-0000-00001A740000}"/>
    <cellStyle name="Followed Hyperlink 4" xfId="23465" hidden="1" xr:uid="{00000000-0005-0000-0000-00001B740000}"/>
    <cellStyle name="Followed Hyperlink 4" xfId="23266" hidden="1" xr:uid="{00000000-0005-0000-0000-00001C740000}"/>
    <cellStyle name="Followed Hyperlink 4" xfId="23272" hidden="1" xr:uid="{00000000-0005-0000-0000-00001D740000}"/>
    <cellStyle name="Followed Hyperlink 4" xfId="23466" hidden="1" xr:uid="{00000000-0005-0000-0000-00001E740000}"/>
    <cellStyle name="Followed Hyperlink 4" xfId="23469" hidden="1" xr:uid="{00000000-0005-0000-0000-00001F740000}"/>
    <cellStyle name="Followed Hyperlink 4" xfId="23472" hidden="1" xr:uid="{00000000-0005-0000-0000-000020740000}"/>
    <cellStyle name="Followed Hyperlink 4" xfId="23474" hidden="1" xr:uid="{00000000-0005-0000-0000-000021740000}"/>
    <cellStyle name="Followed Hyperlink 4" xfId="23475" hidden="1" xr:uid="{00000000-0005-0000-0000-000022740000}"/>
    <cellStyle name="Followed Hyperlink 4" xfId="23478" hidden="1" xr:uid="{00000000-0005-0000-0000-000023740000}"/>
    <cellStyle name="Followed Hyperlink 4" xfId="23487" hidden="1" xr:uid="{00000000-0005-0000-0000-000024740000}"/>
    <cellStyle name="Followed Hyperlink 4" xfId="23479" hidden="1" xr:uid="{00000000-0005-0000-0000-000025740000}"/>
    <cellStyle name="Followed Hyperlink 4" xfId="23490" hidden="1" xr:uid="{00000000-0005-0000-0000-000026740000}"/>
    <cellStyle name="Followed Hyperlink 4" xfId="23493" hidden="1" xr:uid="{00000000-0005-0000-0000-000027740000}"/>
    <cellStyle name="Followed Hyperlink 4" xfId="23496" hidden="1" xr:uid="{00000000-0005-0000-0000-000028740000}"/>
    <cellStyle name="Followed Hyperlink 4" xfId="23498" hidden="1" xr:uid="{00000000-0005-0000-0000-000029740000}"/>
    <cellStyle name="Followed Hyperlink 4" xfId="23499" hidden="1" xr:uid="{00000000-0005-0000-0000-00002A740000}"/>
    <cellStyle name="Followed Hyperlink 4" xfId="23502" hidden="1" xr:uid="{00000000-0005-0000-0000-00002B740000}"/>
    <cellStyle name="Followed Hyperlink 4" xfId="23512" hidden="1" xr:uid="{00000000-0005-0000-0000-00002C740000}"/>
    <cellStyle name="Followed Hyperlink 4" xfId="23504" hidden="1" xr:uid="{00000000-0005-0000-0000-00002D740000}"/>
    <cellStyle name="Followed Hyperlink 4" xfId="23515" hidden="1" xr:uid="{00000000-0005-0000-0000-00002E740000}"/>
    <cellStyle name="Followed Hyperlink 4" xfId="23518" hidden="1" xr:uid="{00000000-0005-0000-0000-00002F740000}"/>
    <cellStyle name="Followed Hyperlink 4" xfId="23521" hidden="1" xr:uid="{00000000-0005-0000-0000-000030740000}"/>
    <cellStyle name="Followed Hyperlink 4" xfId="23523" hidden="1" xr:uid="{00000000-0005-0000-0000-000031740000}"/>
    <cellStyle name="Followed Hyperlink 4" xfId="23524" hidden="1" xr:uid="{00000000-0005-0000-0000-000032740000}"/>
    <cellStyle name="Followed Hyperlink 4" xfId="23527" hidden="1" xr:uid="{00000000-0005-0000-0000-000033740000}"/>
    <cellStyle name="Followed Hyperlink 4" xfId="23536" hidden="1" xr:uid="{00000000-0005-0000-0000-000034740000}"/>
    <cellStyle name="Followed Hyperlink 4" xfId="23528" hidden="1" xr:uid="{00000000-0005-0000-0000-000035740000}"/>
    <cellStyle name="Followed Hyperlink 4" xfId="23539" hidden="1" xr:uid="{00000000-0005-0000-0000-000036740000}"/>
    <cellStyle name="Followed Hyperlink 4" xfId="23542" hidden="1" xr:uid="{00000000-0005-0000-0000-000037740000}"/>
    <cellStyle name="Followed Hyperlink 4" xfId="23545" hidden="1" xr:uid="{00000000-0005-0000-0000-000038740000}"/>
    <cellStyle name="Followed Hyperlink 4" xfId="23547" hidden="1" xr:uid="{00000000-0005-0000-0000-000039740000}"/>
    <cellStyle name="Followed Hyperlink 4" xfId="23548" hidden="1" xr:uid="{00000000-0005-0000-0000-00003A740000}"/>
    <cellStyle name="Followed Hyperlink 4" xfId="23551" hidden="1" xr:uid="{00000000-0005-0000-0000-00003B740000}"/>
    <cellStyle name="Followed Hyperlink 4" xfId="23276" hidden="1" xr:uid="{00000000-0005-0000-0000-00003C740000}"/>
    <cellStyle name="Followed Hyperlink 4" xfId="23331" hidden="1" xr:uid="{00000000-0005-0000-0000-00003D740000}"/>
    <cellStyle name="Followed Hyperlink 4" xfId="23552" hidden="1" xr:uid="{00000000-0005-0000-0000-00003E740000}"/>
    <cellStyle name="Followed Hyperlink 4" xfId="23555" hidden="1" xr:uid="{00000000-0005-0000-0000-00003F740000}"/>
    <cellStyle name="Followed Hyperlink 4" xfId="23558" hidden="1" xr:uid="{00000000-0005-0000-0000-000040740000}"/>
    <cellStyle name="Followed Hyperlink 4" xfId="23560" hidden="1" xr:uid="{00000000-0005-0000-0000-000041740000}"/>
    <cellStyle name="Followed Hyperlink 4" xfId="23561" hidden="1" xr:uid="{00000000-0005-0000-0000-000042740000}"/>
    <cellStyle name="Followed Hyperlink 4" xfId="23564" hidden="1" xr:uid="{00000000-0005-0000-0000-000043740000}"/>
    <cellStyle name="Followed Hyperlink 4" xfId="23573" hidden="1" xr:uid="{00000000-0005-0000-0000-000044740000}"/>
    <cellStyle name="Followed Hyperlink 4" xfId="23565" hidden="1" xr:uid="{00000000-0005-0000-0000-000045740000}"/>
    <cellStyle name="Followed Hyperlink 4" xfId="23576" hidden="1" xr:uid="{00000000-0005-0000-0000-000046740000}"/>
    <cellStyle name="Followed Hyperlink 4" xfId="23579" hidden="1" xr:uid="{00000000-0005-0000-0000-000047740000}"/>
    <cellStyle name="Followed Hyperlink 4" xfId="23582" hidden="1" xr:uid="{00000000-0005-0000-0000-000048740000}"/>
    <cellStyle name="Followed Hyperlink 4" xfId="23584" hidden="1" xr:uid="{00000000-0005-0000-0000-000049740000}"/>
    <cellStyle name="Followed Hyperlink 4" xfId="23585" hidden="1" xr:uid="{00000000-0005-0000-0000-00004A740000}"/>
    <cellStyle name="Followed Hyperlink 4" xfId="23588" hidden="1" xr:uid="{00000000-0005-0000-0000-00004B740000}"/>
    <cellStyle name="Followed Hyperlink 4" xfId="23597" hidden="1" xr:uid="{00000000-0005-0000-0000-00004C740000}"/>
    <cellStyle name="Followed Hyperlink 4" xfId="23589" hidden="1" xr:uid="{00000000-0005-0000-0000-00004D740000}"/>
    <cellStyle name="Followed Hyperlink 4" xfId="23600" hidden="1" xr:uid="{00000000-0005-0000-0000-00004E740000}"/>
    <cellStyle name="Followed Hyperlink 4" xfId="23603" hidden="1" xr:uid="{00000000-0005-0000-0000-00004F740000}"/>
    <cellStyle name="Followed Hyperlink 4" xfId="23606" hidden="1" xr:uid="{00000000-0005-0000-0000-000050740000}"/>
    <cellStyle name="Followed Hyperlink 4" xfId="23608" hidden="1" xr:uid="{00000000-0005-0000-0000-000051740000}"/>
    <cellStyle name="Followed Hyperlink 4" xfId="23609" hidden="1" xr:uid="{00000000-0005-0000-0000-000052740000}"/>
    <cellStyle name="Followed Hyperlink 4" xfId="23612" hidden="1" xr:uid="{00000000-0005-0000-0000-000053740000}"/>
    <cellStyle name="Followed Hyperlink 4" xfId="23621" hidden="1" xr:uid="{00000000-0005-0000-0000-000054740000}"/>
    <cellStyle name="Followed Hyperlink 4" xfId="23613" hidden="1" xr:uid="{00000000-0005-0000-0000-000055740000}"/>
    <cellStyle name="Followed Hyperlink 4" xfId="23624" hidden="1" xr:uid="{00000000-0005-0000-0000-000056740000}"/>
    <cellStyle name="Followed Hyperlink 4" xfId="23627" hidden="1" xr:uid="{00000000-0005-0000-0000-000057740000}"/>
    <cellStyle name="Followed Hyperlink 4" xfId="23630" hidden="1" xr:uid="{00000000-0005-0000-0000-000058740000}"/>
    <cellStyle name="Followed Hyperlink 4" xfId="23632" hidden="1" xr:uid="{00000000-0005-0000-0000-000059740000}"/>
    <cellStyle name="Followed Hyperlink 4" xfId="23633" hidden="1" xr:uid="{00000000-0005-0000-0000-00005A740000}"/>
    <cellStyle name="Followed Hyperlink 4" xfId="23636" hidden="1" xr:uid="{00000000-0005-0000-0000-00005B740000}"/>
    <cellStyle name="Followed Hyperlink 4" xfId="23135" hidden="1" xr:uid="{00000000-0005-0000-0000-00005C740000}"/>
    <cellStyle name="Followed Hyperlink 4" xfId="23129" hidden="1" xr:uid="{00000000-0005-0000-0000-00005D740000}"/>
    <cellStyle name="Followed Hyperlink 4" xfId="23637" hidden="1" xr:uid="{00000000-0005-0000-0000-00005E740000}"/>
    <cellStyle name="Followed Hyperlink 4" xfId="23640" hidden="1" xr:uid="{00000000-0005-0000-0000-00005F740000}"/>
    <cellStyle name="Followed Hyperlink 4" xfId="23643" hidden="1" xr:uid="{00000000-0005-0000-0000-000060740000}"/>
    <cellStyle name="Followed Hyperlink 4" xfId="23645" hidden="1" xr:uid="{00000000-0005-0000-0000-000061740000}"/>
    <cellStyle name="Followed Hyperlink 4" xfId="23646" hidden="1" xr:uid="{00000000-0005-0000-0000-000062740000}"/>
    <cellStyle name="Followed Hyperlink 4" xfId="23649" hidden="1" xr:uid="{00000000-0005-0000-0000-000063740000}"/>
    <cellStyle name="Followed Hyperlink 4" xfId="23658" hidden="1" xr:uid="{00000000-0005-0000-0000-000064740000}"/>
    <cellStyle name="Followed Hyperlink 4" xfId="23650" hidden="1" xr:uid="{00000000-0005-0000-0000-000065740000}"/>
    <cellStyle name="Followed Hyperlink 4" xfId="23661" hidden="1" xr:uid="{00000000-0005-0000-0000-000066740000}"/>
    <cellStyle name="Followed Hyperlink 4" xfId="23664" hidden="1" xr:uid="{00000000-0005-0000-0000-000067740000}"/>
    <cellStyle name="Followed Hyperlink 4" xfId="23667" hidden="1" xr:uid="{00000000-0005-0000-0000-000068740000}"/>
    <cellStyle name="Followed Hyperlink 4" xfId="23669" hidden="1" xr:uid="{00000000-0005-0000-0000-000069740000}"/>
    <cellStyle name="Followed Hyperlink 4" xfId="23670" hidden="1" xr:uid="{00000000-0005-0000-0000-00006A740000}"/>
    <cellStyle name="Followed Hyperlink 4" xfId="23673" hidden="1" xr:uid="{00000000-0005-0000-0000-00006B740000}"/>
    <cellStyle name="Followed Hyperlink 4" xfId="23683" hidden="1" xr:uid="{00000000-0005-0000-0000-00006C740000}"/>
    <cellStyle name="Followed Hyperlink 4" xfId="23675" hidden="1" xr:uid="{00000000-0005-0000-0000-00006D740000}"/>
    <cellStyle name="Followed Hyperlink 4" xfId="23686" hidden="1" xr:uid="{00000000-0005-0000-0000-00006E740000}"/>
    <cellStyle name="Followed Hyperlink 4" xfId="23689" hidden="1" xr:uid="{00000000-0005-0000-0000-00006F740000}"/>
    <cellStyle name="Followed Hyperlink 4" xfId="23692" hidden="1" xr:uid="{00000000-0005-0000-0000-000070740000}"/>
    <cellStyle name="Followed Hyperlink 4" xfId="23694" hidden="1" xr:uid="{00000000-0005-0000-0000-000071740000}"/>
    <cellStyle name="Followed Hyperlink 4" xfId="23695" hidden="1" xr:uid="{00000000-0005-0000-0000-000072740000}"/>
    <cellStyle name="Followed Hyperlink 4" xfId="23698" hidden="1" xr:uid="{00000000-0005-0000-0000-000073740000}"/>
    <cellStyle name="Followed Hyperlink 4" xfId="23707" hidden="1" xr:uid="{00000000-0005-0000-0000-000074740000}"/>
    <cellStyle name="Followed Hyperlink 4" xfId="23699" hidden="1" xr:uid="{00000000-0005-0000-0000-000075740000}"/>
    <cellStyle name="Followed Hyperlink 4" xfId="23710" hidden="1" xr:uid="{00000000-0005-0000-0000-000076740000}"/>
    <cellStyle name="Followed Hyperlink 4" xfId="23713" hidden="1" xr:uid="{00000000-0005-0000-0000-000077740000}"/>
    <cellStyle name="Followed Hyperlink 4" xfId="23716" hidden="1" xr:uid="{00000000-0005-0000-0000-000078740000}"/>
    <cellStyle name="Followed Hyperlink 4" xfId="23718" hidden="1" xr:uid="{00000000-0005-0000-0000-000079740000}"/>
    <cellStyle name="Followed Hyperlink 4" xfId="23719" hidden="1" xr:uid="{00000000-0005-0000-0000-00007A740000}"/>
    <cellStyle name="Followed Hyperlink 4" xfId="23722" hidden="1" xr:uid="{00000000-0005-0000-0000-00007B740000}"/>
    <cellStyle name="Followed Hyperlink 4" xfId="23760" hidden="1" xr:uid="{00000000-0005-0000-0000-00007C740000}"/>
    <cellStyle name="Followed Hyperlink 4" xfId="23752" hidden="1" xr:uid="{00000000-0005-0000-0000-00007D740000}"/>
    <cellStyle name="Followed Hyperlink 4" xfId="23763" hidden="1" xr:uid="{00000000-0005-0000-0000-00007E740000}"/>
    <cellStyle name="Followed Hyperlink 4" xfId="23766" hidden="1" xr:uid="{00000000-0005-0000-0000-00007F740000}"/>
    <cellStyle name="Followed Hyperlink 4" xfId="23769" hidden="1" xr:uid="{00000000-0005-0000-0000-000080740000}"/>
    <cellStyle name="Followed Hyperlink 4" xfId="23771" hidden="1" xr:uid="{00000000-0005-0000-0000-000081740000}"/>
    <cellStyle name="Followed Hyperlink 4" xfId="23772" hidden="1" xr:uid="{00000000-0005-0000-0000-000082740000}"/>
    <cellStyle name="Followed Hyperlink 4" xfId="23775" hidden="1" xr:uid="{00000000-0005-0000-0000-000083740000}"/>
    <cellStyle name="Followed Hyperlink 4" xfId="23784" hidden="1" xr:uid="{00000000-0005-0000-0000-000084740000}"/>
    <cellStyle name="Followed Hyperlink 4" xfId="23776" hidden="1" xr:uid="{00000000-0005-0000-0000-000085740000}"/>
    <cellStyle name="Followed Hyperlink 4" xfId="23787" hidden="1" xr:uid="{00000000-0005-0000-0000-000086740000}"/>
    <cellStyle name="Followed Hyperlink 4" xfId="23790" hidden="1" xr:uid="{00000000-0005-0000-0000-000087740000}"/>
    <cellStyle name="Followed Hyperlink 4" xfId="23793" hidden="1" xr:uid="{00000000-0005-0000-0000-000088740000}"/>
    <cellStyle name="Followed Hyperlink 4" xfId="23795" hidden="1" xr:uid="{00000000-0005-0000-0000-000089740000}"/>
    <cellStyle name="Followed Hyperlink 4" xfId="23796" hidden="1" xr:uid="{00000000-0005-0000-0000-00008A740000}"/>
    <cellStyle name="Followed Hyperlink 4" xfId="23799" hidden="1" xr:uid="{00000000-0005-0000-0000-00008B740000}"/>
    <cellStyle name="Followed Hyperlink 4" xfId="23810" hidden="1" xr:uid="{00000000-0005-0000-0000-00008C740000}"/>
    <cellStyle name="Followed Hyperlink 4" xfId="23802" hidden="1" xr:uid="{00000000-0005-0000-0000-00008D740000}"/>
    <cellStyle name="Followed Hyperlink 4" xfId="23813" hidden="1" xr:uid="{00000000-0005-0000-0000-00008E740000}"/>
    <cellStyle name="Followed Hyperlink 4" xfId="23816" hidden="1" xr:uid="{00000000-0005-0000-0000-00008F740000}"/>
    <cellStyle name="Followed Hyperlink 4" xfId="23819" hidden="1" xr:uid="{00000000-0005-0000-0000-000090740000}"/>
    <cellStyle name="Followed Hyperlink 4" xfId="23821" hidden="1" xr:uid="{00000000-0005-0000-0000-000091740000}"/>
    <cellStyle name="Followed Hyperlink 4" xfId="23822" hidden="1" xr:uid="{00000000-0005-0000-0000-000092740000}"/>
    <cellStyle name="Followed Hyperlink 4" xfId="23825" hidden="1" xr:uid="{00000000-0005-0000-0000-000093740000}"/>
    <cellStyle name="Followed Hyperlink 4" xfId="23834" hidden="1" xr:uid="{00000000-0005-0000-0000-000094740000}"/>
    <cellStyle name="Followed Hyperlink 4" xfId="23826" hidden="1" xr:uid="{00000000-0005-0000-0000-000095740000}"/>
    <cellStyle name="Followed Hyperlink 4" xfId="23837" hidden="1" xr:uid="{00000000-0005-0000-0000-000096740000}"/>
    <cellStyle name="Followed Hyperlink 4" xfId="23840" hidden="1" xr:uid="{00000000-0005-0000-0000-000097740000}"/>
    <cellStyle name="Followed Hyperlink 4" xfId="23843" hidden="1" xr:uid="{00000000-0005-0000-0000-000098740000}"/>
    <cellStyle name="Followed Hyperlink 4" xfId="23845" hidden="1" xr:uid="{00000000-0005-0000-0000-000099740000}"/>
    <cellStyle name="Followed Hyperlink 4" xfId="23846" hidden="1" xr:uid="{00000000-0005-0000-0000-00009A740000}"/>
    <cellStyle name="Followed Hyperlink 4" xfId="23849" hidden="1" xr:uid="{00000000-0005-0000-0000-00009B740000}"/>
    <cellStyle name="Followed Hyperlink 4" xfId="23732" hidden="1" xr:uid="{00000000-0005-0000-0000-00009C740000}"/>
    <cellStyle name="Followed Hyperlink 4" xfId="23726" hidden="1" xr:uid="{00000000-0005-0000-0000-00009D740000}"/>
    <cellStyle name="Followed Hyperlink 4" xfId="23850" hidden="1" xr:uid="{00000000-0005-0000-0000-00009E740000}"/>
    <cellStyle name="Followed Hyperlink 4" xfId="23853" hidden="1" xr:uid="{00000000-0005-0000-0000-00009F740000}"/>
    <cellStyle name="Followed Hyperlink 4" xfId="23856" hidden="1" xr:uid="{00000000-0005-0000-0000-0000A0740000}"/>
    <cellStyle name="Followed Hyperlink 4" xfId="23858" hidden="1" xr:uid="{00000000-0005-0000-0000-0000A1740000}"/>
    <cellStyle name="Followed Hyperlink 4" xfId="23859" hidden="1" xr:uid="{00000000-0005-0000-0000-0000A2740000}"/>
    <cellStyle name="Followed Hyperlink 4" xfId="23862" hidden="1" xr:uid="{00000000-0005-0000-0000-0000A3740000}"/>
    <cellStyle name="Followed Hyperlink 4" xfId="23871" hidden="1" xr:uid="{00000000-0005-0000-0000-0000A4740000}"/>
    <cellStyle name="Followed Hyperlink 4" xfId="23863" hidden="1" xr:uid="{00000000-0005-0000-0000-0000A5740000}"/>
    <cellStyle name="Followed Hyperlink 4" xfId="23874" hidden="1" xr:uid="{00000000-0005-0000-0000-0000A6740000}"/>
    <cellStyle name="Followed Hyperlink 4" xfId="23877" hidden="1" xr:uid="{00000000-0005-0000-0000-0000A7740000}"/>
    <cellStyle name="Followed Hyperlink 4" xfId="23880" hidden="1" xr:uid="{00000000-0005-0000-0000-0000A8740000}"/>
    <cellStyle name="Followed Hyperlink 4" xfId="23882" hidden="1" xr:uid="{00000000-0005-0000-0000-0000A9740000}"/>
    <cellStyle name="Followed Hyperlink 4" xfId="23883" hidden="1" xr:uid="{00000000-0005-0000-0000-0000AA740000}"/>
    <cellStyle name="Followed Hyperlink 4" xfId="23886" hidden="1" xr:uid="{00000000-0005-0000-0000-0000AB740000}"/>
    <cellStyle name="Followed Hyperlink 4" xfId="23896" hidden="1" xr:uid="{00000000-0005-0000-0000-0000AC740000}"/>
    <cellStyle name="Followed Hyperlink 4" xfId="23888" hidden="1" xr:uid="{00000000-0005-0000-0000-0000AD740000}"/>
    <cellStyle name="Followed Hyperlink 4" xfId="23899" hidden="1" xr:uid="{00000000-0005-0000-0000-0000AE740000}"/>
    <cellStyle name="Followed Hyperlink 4" xfId="23902" hidden="1" xr:uid="{00000000-0005-0000-0000-0000AF740000}"/>
    <cellStyle name="Followed Hyperlink 4" xfId="23905" hidden="1" xr:uid="{00000000-0005-0000-0000-0000B0740000}"/>
    <cellStyle name="Followed Hyperlink 4" xfId="23907" hidden="1" xr:uid="{00000000-0005-0000-0000-0000B1740000}"/>
    <cellStyle name="Followed Hyperlink 4" xfId="23908" hidden="1" xr:uid="{00000000-0005-0000-0000-0000B2740000}"/>
    <cellStyle name="Followed Hyperlink 4" xfId="23911" hidden="1" xr:uid="{00000000-0005-0000-0000-0000B3740000}"/>
    <cellStyle name="Followed Hyperlink 4" xfId="23920" hidden="1" xr:uid="{00000000-0005-0000-0000-0000B4740000}"/>
    <cellStyle name="Followed Hyperlink 4" xfId="23912" hidden="1" xr:uid="{00000000-0005-0000-0000-0000B5740000}"/>
    <cellStyle name="Followed Hyperlink 4" xfId="23923" hidden="1" xr:uid="{00000000-0005-0000-0000-0000B6740000}"/>
    <cellStyle name="Followed Hyperlink 4" xfId="23926" hidden="1" xr:uid="{00000000-0005-0000-0000-0000B7740000}"/>
    <cellStyle name="Followed Hyperlink 4" xfId="23929" hidden="1" xr:uid="{00000000-0005-0000-0000-0000B8740000}"/>
    <cellStyle name="Followed Hyperlink 4" xfId="23931" hidden="1" xr:uid="{00000000-0005-0000-0000-0000B9740000}"/>
    <cellStyle name="Followed Hyperlink 4" xfId="23932" hidden="1" xr:uid="{00000000-0005-0000-0000-0000BA740000}"/>
    <cellStyle name="Followed Hyperlink 4" xfId="23935" hidden="1" xr:uid="{00000000-0005-0000-0000-0000BB740000}"/>
    <cellStyle name="Followed Hyperlink 4" xfId="23736" hidden="1" xr:uid="{00000000-0005-0000-0000-0000BC740000}"/>
    <cellStyle name="Followed Hyperlink 4" xfId="23742" hidden="1" xr:uid="{00000000-0005-0000-0000-0000BD740000}"/>
    <cellStyle name="Followed Hyperlink 4" xfId="23936" hidden="1" xr:uid="{00000000-0005-0000-0000-0000BE740000}"/>
    <cellStyle name="Followed Hyperlink 4" xfId="23939" hidden="1" xr:uid="{00000000-0005-0000-0000-0000BF740000}"/>
    <cellStyle name="Followed Hyperlink 4" xfId="23942" hidden="1" xr:uid="{00000000-0005-0000-0000-0000C0740000}"/>
    <cellStyle name="Followed Hyperlink 4" xfId="23944" hidden="1" xr:uid="{00000000-0005-0000-0000-0000C1740000}"/>
    <cellStyle name="Followed Hyperlink 4" xfId="23945" hidden="1" xr:uid="{00000000-0005-0000-0000-0000C2740000}"/>
    <cellStyle name="Followed Hyperlink 4" xfId="23948" hidden="1" xr:uid="{00000000-0005-0000-0000-0000C3740000}"/>
    <cellStyle name="Followed Hyperlink 4" xfId="23957" hidden="1" xr:uid="{00000000-0005-0000-0000-0000C4740000}"/>
    <cellStyle name="Followed Hyperlink 4" xfId="23949" hidden="1" xr:uid="{00000000-0005-0000-0000-0000C5740000}"/>
    <cellStyle name="Followed Hyperlink 4" xfId="23960" hidden="1" xr:uid="{00000000-0005-0000-0000-0000C6740000}"/>
    <cellStyle name="Followed Hyperlink 4" xfId="23963" hidden="1" xr:uid="{00000000-0005-0000-0000-0000C7740000}"/>
    <cellStyle name="Followed Hyperlink 4" xfId="23966" hidden="1" xr:uid="{00000000-0005-0000-0000-0000C8740000}"/>
    <cellStyle name="Followed Hyperlink 4" xfId="23968" hidden="1" xr:uid="{00000000-0005-0000-0000-0000C9740000}"/>
    <cellStyle name="Followed Hyperlink 4" xfId="23969" hidden="1" xr:uid="{00000000-0005-0000-0000-0000CA740000}"/>
    <cellStyle name="Followed Hyperlink 4" xfId="23972" hidden="1" xr:uid="{00000000-0005-0000-0000-0000CB740000}"/>
    <cellStyle name="Followed Hyperlink 4" xfId="23982" hidden="1" xr:uid="{00000000-0005-0000-0000-0000CC740000}"/>
    <cellStyle name="Followed Hyperlink 4" xfId="23974" hidden="1" xr:uid="{00000000-0005-0000-0000-0000CD740000}"/>
    <cellStyle name="Followed Hyperlink 4" xfId="23985" hidden="1" xr:uid="{00000000-0005-0000-0000-0000CE740000}"/>
    <cellStyle name="Followed Hyperlink 4" xfId="23988" hidden="1" xr:uid="{00000000-0005-0000-0000-0000CF740000}"/>
    <cellStyle name="Followed Hyperlink 4" xfId="23991" hidden="1" xr:uid="{00000000-0005-0000-0000-0000D0740000}"/>
    <cellStyle name="Followed Hyperlink 4" xfId="23993" hidden="1" xr:uid="{00000000-0005-0000-0000-0000D1740000}"/>
    <cellStyle name="Followed Hyperlink 4" xfId="23994" hidden="1" xr:uid="{00000000-0005-0000-0000-0000D2740000}"/>
    <cellStyle name="Followed Hyperlink 4" xfId="23997" hidden="1" xr:uid="{00000000-0005-0000-0000-0000D3740000}"/>
    <cellStyle name="Followed Hyperlink 4" xfId="24006" hidden="1" xr:uid="{00000000-0005-0000-0000-0000D4740000}"/>
    <cellStyle name="Followed Hyperlink 4" xfId="23998" hidden="1" xr:uid="{00000000-0005-0000-0000-0000D5740000}"/>
    <cellStyle name="Followed Hyperlink 4" xfId="24009" hidden="1" xr:uid="{00000000-0005-0000-0000-0000D6740000}"/>
    <cellStyle name="Followed Hyperlink 4" xfId="24012" hidden="1" xr:uid="{00000000-0005-0000-0000-0000D7740000}"/>
    <cellStyle name="Followed Hyperlink 4" xfId="24015" hidden="1" xr:uid="{00000000-0005-0000-0000-0000D8740000}"/>
    <cellStyle name="Followed Hyperlink 4" xfId="24017" hidden="1" xr:uid="{00000000-0005-0000-0000-0000D9740000}"/>
    <cellStyle name="Followed Hyperlink 4" xfId="24018" hidden="1" xr:uid="{00000000-0005-0000-0000-0000DA740000}"/>
    <cellStyle name="Followed Hyperlink 4" xfId="24021" hidden="1" xr:uid="{00000000-0005-0000-0000-0000DB740000}"/>
    <cellStyle name="Followed Hyperlink 4" xfId="23746" hidden="1" xr:uid="{00000000-0005-0000-0000-0000DC740000}"/>
    <cellStyle name="Followed Hyperlink 4" xfId="23801" hidden="1" xr:uid="{00000000-0005-0000-0000-0000DD740000}"/>
    <cellStyle name="Followed Hyperlink 4" xfId="24022" hidden="1" xr:uid="{00000000-0005-0000-0000-0000DE740000}"/>
    <cellStyle name="Followed Hyperlink 4" xfId="24025" hidden="1" xr:uid="{00000000-0005-0000-0000-0000DF740000}"/>
    <cellStyle name="Followed Hyperlink 4" xfId="24028" hidden="1" xr:uid="{00000000-0005-0000-0000-0000E0740000}"/>
    <cellStyle name="Followed Hyperlink 4" xfId="24030" hidden="1" xr:uid="{00000000-0005-0000-0000-0000E1740000}"/>
    <cellStyle name="Followed Hyperlink 4" xfId="24031" hidden="1" xr:uid="{00000000-0005-0000-0000-0000E2740000}"/>
    <cellStyle name="Followed Hyperlink 4" xfId="24034" hidden="1" xr:uid="{00000000-0005-0000-0000-0000E3740000}"/>
    <cellStyle name="Followed Hyperlink 4" xfId="24043" hidden="1" xr:uid="{00000000-0005-0000-0000-0000E4740000}"/>
    <cellStyle name="Followed Hyperlink 4" xfId="24035" hidden="1" xr:uid="{00000000-0005-0000-0000-0000E5740000}"/>
    <cellStyle name="Followed Hyperlink 4" xfId="24046" hidden="1" xr:uid="{00000000-0005-0000-0000-0000E6740000}"/>
    <cellStyle name="Followed Hyperlink 4" xfId="24049" hidden="1" xr:uid="{00000000-0005-0000-0000-0000E7740000}"/>
    <cellStyle name="Followed Hyperlink 4" xfId="24052" hidden="1" xr:uid="{00000000-0005-0000-0000-0000E8740000}"/>
    <cellStyle name="Followed Hyperlink 4" xfId="24054" hidden="1" xr:uid="{00000000-0005-0000-0000-0000E9740000}"/>
    <cellStyle name="Followed Hyperlink 4" xfId="24055" hidden="1" xr:uid="{00000000-0005-0000-0000-0000EA740000}"/>
    <cellStyle name="Followed Hyperlink 4" xfId="24058" hidden="1" xr:uid="{00000000-0005-0000-0000-0000EB740000}"/>
    <cellStyle name="Followed Hyperlink 4" xfId="24067" hidden="1" xr:uid="{00000000-0005-0000-0000-0000EC740000}"/>
    <cellStyle name="Followed Hyperlink 4" xfId="24059" hidden="1" xr:uid="{00000000-0005-0000-0000-0000ED740000}"/>
    <cellStyle name="Followed Hyperlink 4" xfId="24070" hidden="1" xr:uid="{00000000-0005-0000-0000-0000EE740000}"/>
    <cellStyle name="Followed Hyperlink 4" xfId="24073" hidden="1" xr:uid="{00000000-0005-0000-0000-0000EF740000}"/>
    <cellStyle name="Followed Hyperlink 4" xfId="24076" hidden="1" xr:uid="{00000000-0005-0000-0000-0000F0740000}"/>
    <cellStyle name="Followed Hyperlink 4" xfId="24078" hidden="1" xr:uid="{00000000-0005-0000-0000-0000F1740000}"/>
    <cellStyle name="Followed Hyperlink 4" xfId="24079" hidden="1" xr:uid="{00000000-0005-0000-0000-0000F2740000}"/>
    <cellStyle name="Followed Hyperlink 4" xfId="24082" hidden="1" xr:uid="{00000000-0005-0000-0000-0000F3740000}"/>
    <cellStyle name="Followed Hyperlink 4" xfId="24091" hidden="1" xr:uid="{00000000-0005-0000-0000-0000F4740000}"/>
    <cellStyle name="Followed Hyperlink 4" xfId="24083" hidden="1" xr:uid="{00000000-0005-0000-0000-0000F5740000}"/>
    <cellStyle name="Followed Hyperlink 4" xfId="24094" hidden="1" xr:uid="{00000000-0005-0000-0000-0000F6740000}"/>
    <cellStyle name="Followed Hyperlink 4" xfId="24097" hidden="1" xr:uid="{00000000-0005-0000-0000-0000F7740000}"/>
    <cellStyle name="Followed Hyperlink 4" xfId="24100" hidden="1" xr:uid="{00000000-0005-0000-0000-0000F8740000}"/>
    <cellStyle name="Followed Hyperlink 4" xfId="24102" hidden="1" xr:uid="{00000000-0005-0000-0000-0000F9740000}"/>
    <cellStyle name="Followed Hyperlink 4" xfId="24103" hidden="1" xr:uid="{00000000-0005-0000-0000-0000FA740000}"/>
    <cellStyle name="Followed Hyperlink 4" xfId="24106" hidden="1" xr:uid="{00000000-0005-0000-0000-0000FB740000}"/>
    <cellStyle name="Followed Hyperlink 4" xfId="23139" hidden="1" xr:uid="{00000000-0005-0000-0000-0000FC740000}"/>
    <cellStyle name="Followed Hyperlink 4" xfId="23145" hidden="1" xr:uid="{00000000-0005-0000-0000-0000FD740000}"/>
    <cellStyle name="Followed Hyperlink 4" xfId="24107" hidden="1" xr:uid="{00000000-0005-0000-0000-0000FE740000}"/>
    <cellStyle name="Followed Hyperlink 4" xfId="24110" hidden="1" xr:uid="{00000000-0005-0000-0000-0000FF740000}"/>
    <cellStyle name="Followed Hyperlink 4" xfId="24113" hidden="1" xr:uid="{00000000-0005-0000-0000-000000750000}"/>
    <cellStyle name="Followed Hyperlink 4" xfId="24115" hidden="1" xr:uid="{00000000-0005-0000-0000-000001750000}"/>
    <cellStyle name="Followed Hyperlink 4" xfId="24116" hidden="1" xr:uid="{00000000-0005-0000-0000-000002750000}"/>
    <cellStyle name="Followed Hyperlink 4" xfId="24119" hidden="1" xr:uid="{00000000-0005-0000-0000-000003750000}"/>
    <cellStyle name="Followed Hyperlink 4" xfId="24128" hidden="1" xr:uid="{00000000-0005-0000-0000-000004750000}"/>
    <cellStyle name="Followed Hyperlink 4" xfId="24120" hidden="1" xr:uid="{00000000-0005-0000-0000-000005750000}"/>
    <cellStyle name="Followed Hyperlink 4" xfId="24131" hidden="1" xr:uid="{00000000-0005-0000-0000-000006750000}"/>
    <cellStyle name="Followed Hyperlink 4" xfId="24134" hidden="1" xr:uid="{00000000-0005-0000-0000-000007750000}"/>
    <cellStyle name="Followed Hyperlink 4" xfId="24137" hidden="1" xr:uid="{00000000-0005-0000-0000-000008750000}"/>
    <cellStyle name="Followed Hyperlink 4" xfId="24139" hidden="1" xr:uid="{00000000-0005-0000-0000-000009750000}"/>
    <cellStyle name="Followed Hyperlink 4" xfId="24140" hidden="1" xr:uid="{00000000-0005-0000-0000-00000A750000}"/>
    <cellStyle name="Followed Hyperlink 4" xfId="24143" hidden="1" xr:uid="{00000000-0005-0000-0000-00000B750000}"/>
    <cellStyle name="Followed Hyperlink 4" xfId="24153" hidden="1" xr:uid="{00000000-0005-0000-0000-00000C750000}"/>
    <cellStyle name="Followed Hyperlink 4" xfId="24145" hidden="1" xr:uid="{00000000-0005-0000-0000-00000D750000}"/>
    <cellStyle name="Followed Hyperlink 4" xfId="24156" hidden="1" xr:uid="{00000000-0005-0000-0000-00000E750000}"/>
    <cellStyle name="Followed Hyperlink 4" xfId="24159" hidden="1" xr:uid="{00000000-0005-0000-0000-00000F750000}"/>
    <cellStyle name="Followed Hyperlink 4" xfId="24162" hidden="1" xr:uid="{00000000-0005-0000-0000-000010750000}"/>
    <cellStyle name="Followed Hyperlink 4" xfId="24164" hidden="1" xr:uid="{00000000-0005-0000-0000-000011750000}"/>
    <cellStyle name="Followed Hyperlink 4" xfId="24165" hidden="1" xr:uid="{00000000-0005-0000-0000-000012750000}"/>
    <cellStyle name="Followed Hyperlink 4" xfId="24168" hidden="1" xr:uid="{00000000-0005-0000-0000-000013750000}"/>
    <cellStyle name="Followed Hyperlink 4" xfId="24177" hidden="1" xr:uid="{00000000-0005-0000-0000-000014750000}"/>
    <cellStyle name="Followed Hyperlink 4" xfId="24169" hidden="1" xr:uid="{00000000-0005-0000-0000-000015750000}"/>
    <cellStyle name="Followed Hyperlink 4" xfId="24180" hidden="1" xr:uid="{00000000-0005-0000-0000-000016750000}"/>
    <cellStyle name="Followed Hyperlink 4" xfId="24183" hidden="1" xr:uid="{00000000-0005-0000-0000-000017750000}"/>
    <cellStyle name="Followed Hyperlink 4" xfId="24186" hidden="1" xr:uid="{00000000-0005-0000-0000-000018750000}"/>
    <cellStyle name="Followed Hyperlink 4" xfId="24188" hidden="1" xr:uid="{00000000-0005-0000-0000-000019750000}"/>
    <cellStyle name="Followed Hyperlink 4" xfId="24189" hidden="1" xr:uid="{00000000-0005-0000-0000-00001A750000}"/>
    <cellStyle name="Followed Hyperlink 4" xfId="24192" hidden="1" xr:uid="{00000000-0005-0000-0000-00001B750000}"/>
    <cellStyle name="Followed Hyperlink 4" xfId="24230" hidden="1" xr:uid="{00000000-0005-0000-0000-00001C750000}"/>
    <cellStyle name="Followed Hyperlink 4" xfId="24222" hidden="1" xr:uid="{00000000-0005-0000-0000-00001D750000}"/>
    <cellStyle name="Followed Hyperlink 4" xfId="24233" hidden="1" xr:uid="{00000000-0005-0000-0000-00001E750000}"/>
    <cellStyle name="Followed Hyperlink 4" xfId="24236" hidden="1" xr:uid="{00000000-0005-0000-0000-00001F750000}"/>
    <cellStyle name="Followed Hyperlink 4" xfId="24239" hidden="1" xr:uid="{00000000-0005-0000-0000-000020750000}"/>
    <cellStyle name="Followed Hyperlink 4" xfId="24241" hidden="1" xr:uid="{00000000-0005-0000-0000-000021750000}"/>
    <cellStyle name="Followed Hyperlink 4" xfId="24242" hidden="1" xr:uid="{00000000-0005-0000-0000-000022750000}"/>
    <cellStyle name="Followed Hyperlink 4" xfId="24245" hidden="1" xr:uid="{00000000-0005-0000-0000-000023750000}"/>
    <cellStyle name="Followed Hyperlink 4" xfId="24254" hidden="1" xr:uid="{00000000-0005-0000-0000-000024750000}"/>
    <cellStyle name="Followed Hyperlink 4" xfId="24246" hidden="1" xr:uid="{00000000-0005-0000-0000-000025750000}"/>
    <cellStyle name="Followed Hyperlink 4" xfId="24257" hidden="1" xr:uid="{00000000-0005-0000-0000-000026750000}"/>
    <cellStyle name="Followed Hyperlink 4" xfId="24260" hidden="1" xr:uid="{00000000-0005-0000-0000-000027750000}"/>
    <cellStyle name="Followed Hyperlink 4" xfId="24263" hidden="1" xr:uid="{00000000-0005-0000-0000-000028750000}"/>
    <cellStyle name="Followed Hyperlink 4" xfId="24265" hidden="1" xr:uid="{00000000-0005-0000-0000-000029750000}"/>
    <cellStyle name="Followed Hyperlink 4" xfId="24266" hidden="1" xr:uid="{00000000-0005-0000-0000-00002A750000}"/>
    <cellStyle name="Followed Hyperlink 4" xfId="24269" hidden="1" xr:uid="{00000000-0005-0000-0000-00002B750000}"/>
    <cellStyle name="Followed Hyperlink 4" xfId="24280" hidden="1" xr:uid="{00000000-0005-0000-0000-00002C750000}"/>
    <cellStyle name="Followed Hyperlink 4" xfId="24272" hidden="1" xr:uid="{00000000-0005-0000-0000-00002D750000}"/>
    <cellStyle name="Followed Hyperlink 4" xfId="24283" hidden="1" xr:uid="{00000000-0005-0000-0000-00002E750000}"/>
    <cellStyle name="Followed Hyperlink 4" xfId="24286" hidden="1" xr:uid="{00000000-0005-0000-0000-00002F750000}"/>
    <cellStyle name="Followed Hyperlink 4" xfId="24289" hidden="1" xr:uid="{00000000-0005-0000-0000-000030750000}"/>
    <cellStyle name="Followed Hyperlink 4" xfId="24291" hidden="1" xr:uid="{00000000-0005-0000-0000-000031750000}"/>
    <cellStyle name="Followed Hyperlink 4" xfId="24292" hidden="1" xr:uid="{00000000-0005-0000-0000-000032750000}"/>
    <cellStyle name="Followed Hyperlink 4" xfId="24295" hidden="1" xr:uid="{00000000-0005-0000-0000-000033750000}"/>
    <cellStyle name="Followed Hyperlink 4" xfId="24304" hidden="1" xr:uid="{00000000-0005-0000-0000-000034750000}"/>
    <cellStyle name="Followed Hyperlink 4" xfId="24296" hidden="1" xr:uid="{00000000-0005-0000-0000-000035750000}"/>
    <cellStyle name="Followed Hyperlink 4" xfId="24307" hidden="1" xr:uid="{00000000-0005-0000-0000-000036750000}"/>
    <cellStyle name="Followed Hyperlink 4" xfId="24310" hidden="1" xr:uid="{00000000-0005-0000-0000-000037750000}"/>
    <cellStyle name="Followed Hyperlink 4" xfId="24313" hidden="1" xr:uid="{00000000-0005-0000-0000-000038750000}"/>
    <cellStyle name="Followed Hyperlink 4" xfId="24315" hidden="1" xr:uid="{00000000-0005-0000-0000-000039750000}"/>
    <cellStyle name="Followed Hyperlink 4" xfId="24316" hidden="1" xr:uid="{00000000-0005-0000-0000-00003A750000}"/>
    <cellStyle name="Followed Hyperlink 4" xfId="24319" hidden="1" xr:uid="{00000000-0005-0000-0000-00003B750000}"/>
    <cellStyle name="Followed Hyperlink 4" xfId="24202" hidden="1" xr:uid="{00000000-0005-0000-0000-00003C750000}"/>
    <cellStyle name="Followed Hyperlink 4" xfId="24196" hidden="1" xr:uid="{00000000-0005-0000-0000-00003D750000}"/>
    <cellStyle name="Followed Hyperlink 4" xfId="24320" hidden="1" xr:uid="{00000000-0005-0000-0000-00003E750000}"/>
    <cellStyle name="Followed Hyperlink 4" xfId="24323" hidden="1" xr:uid="{00000000-0005-0000-0000-00003F750000}"/>
    <cellStyle name="Followed Hyperlink 4" xfId="24326" hidden="1" xr:uid="{00000000-0005-0000-0000-000040750000}"/>
    <cellStyle name="Followed Hyperlink 4" xfId="24328" hidden="1" xr:uid="{00000000-0005-0000-0000-000041750000}"/>
    <cellStyle name="Followed Hyperlink 4" xfId="24329" hidden="1" xr:uid="{00000000-0005-0000-0000-000042750000}"/>
    <cellStyle name="Followed Hyperlink 4" xfId="24332" hidden="1" xr:uid="{00000000-0005-0000-0000-000043750000}"/>
    <cellStyle name="Followed Hyperlink 4" xfId="24341" hidden="1" xr:uid="{00000000-0005-0000-0000-000044750000}"/>
    <cellStyle name="Followed Hyperlink 4" xfId="24333" hidden="1" xr:uid="{00000000-0005-0000-0000-000045750000}"/>
    <cellStyle name="Followed Hyperlink 4" xfId="24344" hidden="1" xr:uid="{00000000-0005-0000-0000-000046750000}"/>
    <cellStyle name="Followed Hyperlink 4" xfId="24347" hidden="1" xr:uid="{00000000-0005-0000-0000-000047750000}"/>
    <cellStyle name="Followed Hyperlink 4" xfId="24350" hidden="1" xr:uid="{00000000-0005-0000-0000-000048750000}"/>
    <cellStyle name="Followed Hyperlink 4" xfId="24352" hidden="1" xr:uid="{00000000-0005-0000-0000-000049750000}"/>
    <cellStyle name="Followed Hyperlink 4" xfId="24353" hidden="1" xr:uid="{00000000-0005-0000-0000-00004A750000}"/>
    <cellStyle name="Followed Hyperlink 4" xfId="24356" hidden="1" xr:uid="{00000000-0005-0000-0000-00004B750000}"/>
    <cellStyle name="Followed Hyperlink 4" xfId="24366" hidden="1" xr:uid="{00000000-0005-0000-0000-00004C750000}"/>
    <cellStyle name="Followed Hyperlink 4" xfId="24358" hidden="1" xr:uid="{00000000-0005-0000-0000-00004D750000}"/>
    <cellStyle name="Followed Hyperlink 4" xfId="24369" hidden="1" xr:uid="{00000000-0005-0000-0000-00004E750000}"/>
    <cellStyle name="Followed Hyperlink 4" xfId="24372" hidden="1" xr:uid="{00000000-0005-0000-0000-00004F750000}"/>
    <cellStyle name="Followed Hyperlink 4" xfId="24375" hidden="1" xr:uid="{00000000-0005-0000-0000-000050750000}"/>
    <cellStyle name="Followed Hyperlink 4" xfId="24377" hidden="1" xr:uid="{00000000-0005-0000-0000-000051750000}"/>
    <cellStyle name="Followed Hyperlink 4" xfId="24378" hidden="1" xr:uid="{00000000-0005-0000-0000-000052750000}"/>
    <cellStyle name="Followed Hyperlink 4" xfId="24381" hidden="1" xr:uid="{00000000-0005-0000-0000-000053750000}"/>
    <cellStyle name="Followed Hyperlink 4" xfId="24390" hidden="1" xr:uid="{00000000-0005-0000-0000-000054750000}"/>
    <cellStyle name="Followed Hyperlink 4" xfId="24382" hidden="1" xr:uid="{00000000-0005-0000-0000-000055750000}"/>
    <cellStyle name="Followed Hyperlink 4" xfId="24393" hidden="1" xr:uid="{00000000-0005-0000-0000-000056750000}"/>
    <cellStyle name="Followed Hyperlink 4" xfId="24396" hidden="1" xr:uid="{00000000-0005-0000-0000-000057750000}"/>
    <cellStyle name="Followed Hyperlink 4" xfId="24399" hidden="1" xr:uid="{00000000-0005-0000-0000-000058750000}"/>
    <cellStyle name="Followed Hyperlink 4" xfId="24401" hidden="1" xr:uid="{00000000-0005-0000-0000-000059750000}"/>
    <cellStyle name="Followed Hyperlink 4" xfId="24402" hidden="1" xr:uid="{00000000-0005-0000-0000-00005A750000}"/>
    <cellStyle name="Followed Hyperlink 4" xfId="24405" hidden="1" xr:uid="{00000000-0005-0000-0000-00005B750000}"/>
    <cellStyle name="Followed Hyperlink 4" xfId="24206" hidden="1" xr:uid="{00000000-0005-0000-0000-00005C750000}"/>
    <cellStyle name="Followed Hyperlink 4" xfId="24212" hidden="1" xr:uid="{00000000-0005-0000-0000-00005D750000}"/>
    <cellStyle name="Followed Hyperlink 4" xfId="24406" hidden="1" xr:uid="{00000000-0005-0000-0000-00005E750000}"/>
    <cellStyle name="Followed Hyperlink 4" xfId="24409" hidden="1" xr:uid="{00000000-0005-0000-0000-00005F750000}"/>
    <cellStyle name="Followed Hyperlink 4" xfId="24412" hidden="1" xr:uid="{00000000-0005-0000-0000-000060750000}"/>
    <cellStyle name="Followed Hyperlink 4" xfId="24414" hidden="1" xr:uid="{00000000-0005-0000-0000-000061750000}"/>
    <cellStyle name="Followed Hyperlink 4" xfId="24415" hidden="1" xr:uid="{00000000-0005-0000-0000-000062750000}"/>
    <cellStyle name="Followed Hyperlink 4" xfId="24418" hidden="1" xr:uid="{00000000-0005-0000-0000-000063750000}"/>
    <cellStyle name="Followed Hyperlink 4" xfId="24427" hidden="1" xr:uid="{00000000-0005-0000-0000-000064750000}"/>
    <cellStyle name="Followed Hyperlink 4" xfId="24419" hidden="1" xr:uid="{00000000-0005-0000-0000-000065750000}"/>
    <cellStyle name="Followed Hyperlink 4" xfId="24430" hidden="1" xr:uid="{00000000-0005-0000-0000-000066750000}"/>
    <cellStyle name="Followed Hyperlink 4" xfId="24433" hidden="1" xr:uid="{00000000-0005-0000-0000-000067750000}"/>
    <cellStyle name="Followed Hyperlink 4" xfId="24436" hidden="1" xr:uid="{00000000-0005-0000-0000-000068750000}"/>
    <cellStyle name="Followed Hyperlink 4" xfId="24438" hidden="1" xr:uid="{00000000-0005-0000-0000-000069750000}"/>
    <cellStyle name="Followed Hyperlink 4" xfId="24439" hidden="1" xr:uid="{00000000-0005-0000-0000-00006A750000}"/>
    <cellStyle name="Followed Hyperlink 4" xfId="24442" hidden="1" xr:uid="{00000000-0005-0000-0000-00006B750000}"/>
    <cellStyle name="Followed Hyperlink 4" xfId="24452" hidden="1" xr:uid="{00000000-0005-0000-0000-00006C750000}"/>
    <cellStyle name="Followed Hyperlink 4" xfId="24444" hidden="1" xr:uid="{00000000-0005-0000-0000-00006D750000}"/>
    <cellStyle name="Followed Hyperlink 4" xfId="24455" hidden="1" xr:uid="{00000000-0005-0000-0000-00006E750000}"/>
    <cellStyle name="Followed Hyperlink 4" xfId="24458" hidden="1" xr:uid="{00000000-0005-0000-0000-00006F750000}"/>
    <cellStyle name="Followed Hyperlink 4" xfId="24461" hidden="1" xr:uid="{00000000-0005-0000-0000-000070750000}"/>
    <cellStyle name="Followed Hyperlink 4" xfId="24463" hidden="1" xr:uid="{00000000-0005-0000-0000-000071750000}"/>
    <cellStyle name="Followed Hyperlink 4" xfId="24464" hidden="1" xr:uid="{00000000-0005-0000-0000-000072750000}"/>
    <cellStyle name="Followed Hyperlink 4" xfId="24467" hidden="1" xr:uid="{00000000-0005-0000-0000-000073750000}"/>
    <cellStyle name="Followed Hyperlink 4" xfId="24476" hidden="1" xr:uid="{00000000-0005-0000-0000-000074750000}"/>
    <cellStyle name="Followed Hyperlink 4" xfId="24468" hidden="1" xr:uid="{00000000-0005-0000-0000-000075750000}"/>
    <cellStyle name="Followed Hyperlink 4" xfId="24479" hidden="1" xr:uid="{00000000-0005-0000-0000-000076750000}"/>
    <cellStyle name="Followed Hyperlink 4" xfId="24482" hidden="1" xr:uid="{00000000-0005-0000-0000-000077750000}"/>
    <cellStyle name="Followed Hyperlink 4" xfId="24485" hidden="1" xr:uid="{00000000-0005-0000-0000-000078750000}"/>
    <cellStyle name="Followed Hyperlink 4" xfId="24487" hidden="1" xr:uid="{00000000-0005-0000-0000-000079750000}"/>
    <cellStyle name="Followed Hyperlink 4" xfId="24488" hidden="1" xr:uid="{00000000-0005-0000-0000-00007A750000}"/>
    <cellStyle name="Followed Hyperlink 4" xfId="24491" hidden="1" xr:uid="{00000000-0005-0000-0000-00007B750000}"/>
    <cellStyle name="Followed Hyperlink 4" xfId="24216" hidden="1" xr:uid="{00000000-0005-0000-0000-00007C750000}"/>
    <cellStyle name="Followed Hyperlink 4" xfId="24271" hidden="1" xr:uid="{00000000-0005-0000-0000-00007D750000}"/>
    <cellStyle name="Followed Hyperlink 4" xfId="24492" hidden="1" xr:uid="{00000000-0005-0000-0000-00007E750000}"/>
    <cellStyle name="Followed Hyperlink 4" xfId="24495" hidden="1" xr:uid="{00000000-0005-0000-0000-00007F750000}"/>
    <cellStyle name="Followed Hyperlink 4" xfId="24498" hidden="1" xr:uid="{00000000-0005-0000-0000-000080750000}"/>
    <cellStyle name="Followed Hyperlink 4" xfId="24500" hidden="1" xr:uid="{00000000-0005-0000-0000-000081750000}"/>
    <cellStyle name="Followed Hyperlink 4" xfId="24501" hidden="1" xr:uid="{00000000-0005-0000-0000-000082750000}"/>
    <cellStyle name="Followed Hyperlink 4" xfId="24504" hidden="1" xr:uid="{00000000-0005-0000-0000-000083750000}"/>
    <cellStyle name="Followed Hyperlink 4" xfId="24513" hidden="1" xr:uid="{00000000-0005-0000-0000-000084750000}"/>
    <cellStyle name="Followed Hyperlink 4" xfId="24505" hidden="1" xr:uid="{00000000-0005-0000-0000-000085750000}"/>
    <cellStyle name="Followed Hyperlink 4" xfId="24516" hidden="1" xr:uid="{00000000-0005-0000-0000-000086750000}"/>
    <cellStyle name="Followed Hyperlink 4" xfId="24519" hidden="1" xr:uid="{00000000-0005-0000-0000-000087750000}"/>
    <cellStyle name="Followed Hyperlink 4" xfId="24522" hidden="1" xr:uid="{00000000-0005-0000-0000-000088750000}"/>
    <cellStyle name="Followed Hyperlink 4" xfId="24524" hidden="1" xr:uid="{00000000-0005-0000-0000-000089750000}"/>
    <cellStyle name="Followed Hyperlink 4" xfId="24525" hidden="1" xr:uid="{00000000-0005-0000-0000-00008A750000}"/>
    <cellStyle name="Followed Hyperlink 4" xfId="24528" hidden="1" xr:uid="{00000000-0005-0000-0000-00008B750000}"/>
    <cellStyle name="Followed Hyperlink 4" xfId="24537" hidden="1" xr:uid="{00000000-0005-0000-0000-00008C750000}"/>
    <cellStyle name="Followed Hyperlink 4" xfId="24529" hidden="1" xr:uid="{00000000-0005-0000-0000-00008D750000}"/>
    <cellStyle name="Followed Hyperlink 4" xfId="24540" hidden="1" xr:uid="{00000000-0005-0000-0000-00008E750000}"/>
    <cellStyle name="Followed Hyperlink 4" xfId="24543" hidden="1" xr:uid="{00000000-0005-0000-0000-00008F750000}"/>
    <cellStyle name="Followed Hyperlink 4" xfId="24546" hidden="1" xr:uid="{00000000-0005-0000-0000-000090750000}"/>
    <cellStyle name="Followed Hyperlink 4" xfId="24548" hidden="1" xr:uid="{00000000-0005-0000-0000-000091750000}"/>
    <cellStyle name="Followed Hyperlink 4" xfId="24549" hidden="1" xr:uid="{00000000-0005-0000-0000-000092750000}"/>
    <cellStyle name="Followed Hyperlink 4" xfId="24552" hidden="1" xr:uid="{00000000-0005-0000-0000-000093750000}"/>
    <cellStyle name="Followed Hyperlink 4" xfId="24561" hidden="1" xr:uid="{00000000-0005-0000-0000-000094750000}"/>
    <cellStyle name="Followed Hyperlink 4" xfId="24553" hidden="1" xr:uid="{00000000-0005-0000-0000-000095750000}"/>
    <cellStyle name="Followed Hyperlink 4" xfId="24564" hidden="1" xr:uid="{00000000-0005-0000-0000-000096750000}"/>
    <cellStyle name="Followed Hyperlink 4" xfId="24567" hidden="1" xr:uid="{00000000-0005-0000-0000-000097750000}"/>
    <cellStyle name="Followed Hyperlink 4" xfId="24570" hidden="1" xr:uid="{00000000-0005-0000-0000-000098750000}"/>
    <cellStyle name="Followed Hyperlink 4" xfId="24572" hidden="1" xr:uid="{00000000-0005-0000-0000-000099750000}"/>
    <cellStyle name="Followed Hyperlink 4" xfId="24573" hidden="1" xr:uid="{00000000-0005-0000-0000-00009A750000}"/>
    <cellStyle name="Followed Hyperlink 4" xfId="24576" hidden="1" xr:uid="{00000000-0005-0000-0000-00009B750000}"/>
    <cellStyle name="Followed Hyperlink 4" xfId="23149" hidden="1" xr:uid="{00000000-0005-0000-0000-00009C750000}"/>
    <cellStyle name="Followed Hyperlink 4" xfId="23204" hidden="1" xr:uid="{00000000-0005-0000-0000-00009D750000}"/>
    <cellStyle name="Followed Hyperlink 4" xfId="24577" hidden="1" xr:uid="{00000000-0005-0000-0000-00009E750000}"/>
    <cellStyle name="Followed Hyperlink 4" xfId="24580" hidden="1" xr:uid="{00000000-0005-0000-0000-00009F750000}"/>
    <cellStyle name="Followed Hyperlink 4" xfId="24583" hidden="1" xr:uid="{00000000-0005-0000-0000-0000A0750000}"/>
    <cellStyle name="Followed Hyperlink 4" xfId="24585" hidden="1" xr:uid="{00000000-0005-0000-0000-0000A1750000}"/>
    <cellStyle name="Followed Hyperlink 4" xfId="24586" hidden="1" xr:uid="{00000000-0005-0000-0000-0000A2750000}"/>
    <cellStyle name="Followed Hyperlink 4" xfId="24589" hidden="1" xr:uid="{00000000-0005-0000-0000-0000A3750000}"/>
    <cellStyle name="Followed Hyperlink 4" xfId="24598" hidden="1" xr:uid="{00000000-0005-0000-0000-0000A4750000}"/>
    <cellStyle name="Followed Hyperlink 4" xfId="24590" hidden="1" xr:uid="{00000000-0005-0000-0000-0000A5750000}"/>
    <cellStyle name="Followed Hyperlink 4" xfId="24601" hidden="1" xr:uid="{00000000-0005-0000-0000-0000A6750000}"/>
    <cellStyle name="Followed Hyperlink 4" xfId="24604" hidden="1" xr:uid="{00000000-0005-0000-0000-0000A7750000}"/>
    <cellStyle name="Followed Hyperlink 4" xfId="24607" hidden="1" xr:uid="{00000000-0005-0000-0000-0000A8750000}"/>
    <cellStyle name="Followed Hyperlink 4" xfId="24609" hidden="1" xr:uid="{00000000-0005-0000-0000-0000A9750000}"/>
    <cellStyle name="Followed Hyperlink 4" xfId="24610" hidden="1" xr:uid="{00000000-0005-0000-0000-0000AA750000}"/>
    <cellStyle name="Followed Hyperlink 4" xfId="24613" hidden="1" xr:uid="{00000000-0005-0000-0000-0000AB750000}"/>
    <cellStyle name="Followed Hyperlink 4" xfId="24622" hidden="1" xr:uid="{00000000-0005-0000-0000-0000AC750000}"/>
    <cellStyle name="Followed Hyperlink 4" xfId="24614" hidden="1" xr:uid="{00000000-0005-0000-0000-0000AD750000}"/>
    <cellStyle name="Followed Hyperlink 4" xfId="24625" hidden="1" xr:uid="{00000000-0005-0000-0000-0000AE750000}"/>
    <cellStyle name="Followed Hyperlink 4" xfId="24628" hidden="1" xr:uid="{00000000-0005-0000-0000-0000AF750000}"/>
    <cellStyle name="Followed Hyperlink 4" xfId="24631" hidden="1" xr:uid="{00000000-0005-0000-0000-0000B0750000}"/>
    <cellStyle name="Followed Hyperlink 4" xfId="24633" hidden="1" xr:uid="{00000000-0005-0000-0000-0000B1750000}"/>
    <cellStyle name="Followed Hyperlink 4" xfId="24634" hidden="1" xr:uid="{00000000-0005-0000-0000-0000B2750000}"/>
    <cellStyle name="Followed Hyperlink 4" xfId="24637" hidden="1" xr:uid="{00000000-0005-0000-0000-0000B3750000}"/>
    <cellStyle name="Followed Hyperlink 4" xfId="24646" hidden="1" xr:uid="{00000000-0005-0000-0000-0000B4750000}"/>
    <cellStyle name="Followed Hyperlink 4" xfId="24638" hidden="1" xr:uid="{00000000-0005-0000-0000-0000B5750000}"/>
    <cellStyle name="Followed Hyperlink 4" xfId="24649" hidden="1" xr:uid="{00000000-0005-0000-0000-0000B6750000}"/>
    <cellStyle name="Followed Hyperlink 4" xfId="24652" hidden="1" xr:uid="{00000000-0005-0000-0000-0000B7750000}"/>
    <cellStyle name="Followed Hyperlink 4" xfId="24655" hidden="1" xr:uid="{00000000-0005-0000-0000-0000B8750000}"/>
    <cellStyle name="Followed Hyperlink 4" xfId="24657" hidden="1" xr:uid="{00000000-0005-0000-0000-0000B9750000}"/>
    <cellStyle name="Followed Hyperlink 4" xfId="24658" hidden="1" xr:uid="{00000000-0005-0000-0000-0000BA750000}"/>
    <cellStyle name="Followed Hyperlink 4" xfId="24661" hidden="1" xr:uid="{00000000-0005-0000-0000-0000BB750000}"/>
    <cellStyle name="Followed Hyperlink 4" xfId="24699" hidden="1" xr:uid="{00000000-0005-0000-0000-0000BC750000}"/>
    <cellStyle name="Followed Hyperlink 4" xfId="24691" hidden="1" xr:uid="{00000000-0005-0000-0000-0000BD750000}"/>
    <cellStyle name="Followed Hyperlink 4" xfId="24702" hidden="1" xr:uid="{00000000-0005-0000-0000-0000BE750000}"/>
    <cellStyle name="Followed Hyperlink 4" xfId="24705" hidden="1" xr:uid="{00000000-0005-0000-0000-0000BF750000}"/>
    <cellStyle name="Followed Hyperlink 4" xfId="24708" hidden="1" xr:uid="{00000000-0005-0000-0000-0000C0750000}"/>
    <cellStyle name="Followed Hyperlink 4" xfId="24710" hidden="1" xr:uid="{00000000-0005-0000-0000-0000C1750000}"/>
    <cellStyle name="Followed Hyperlink 4" xfId="24711" hidden="1" xr:uid="{00000000-0005-0000-0000-0000C2750000}"/>
    <cellStyle name="Followed Hyperlink 4" xfId="24714" hidden="1" xr:uid="{00000000-0005-0000-0000-0000C3750000}"/>
    <cellStyle name="Followed Hyperlink 4" xfId="24723" hidden="1" xr:uid="{00000000-0005-0000-0000-0000C4750000}"/>
    <cellStyle name="Followed Hyperlink 4" xfId="24715" hidden="1" xr:uid="{00000000-0005-0000-0000-0000C5750000}"/>
    <cellStyle name="Followed Hyperlink 4" xfId="24726" hidden="1" xr:uid="{00000000-0005-0000-0000-0000C6750000}"/>
    <cellStyle name="Followed Hyperlink 4" xfId="24729" hidden="1" xr:uid="{00000000-0005-0000-0000-0000C7750000}"/>
    <cellStyle name="Followed Hyperlink 4" xfId="24732" hidden="1" xr:uid="{00000000-0005-0000-0000-0000C8750000}"/>
    <cellStyle name="Followed Hyperlink 4" xfId="24734" hidden="1" xr:uid="{00000000-0005-0000-0000-0000C9750000}"/>
    <cellStyle name="Followed Hyperlink 4" xfId="24735" hidden="1" xr:uid="{00000000-0005-0000-0000-0000CA750000}"/>
    <cellStyle name="Followed Hyperlink 4" xfId="24738" hidden="1" xr:uid="{00000000-0005-0000-0000-0000CB750000}"/>
    <cellStyle name="Followed Hyperlink 4" xfId="24749" hidden="1" xr:uid="{00000000-0005-0000-0000-0000CC750000}"/>
    <cellStyle name="Followed Hyperlink 4" xfId="24741" hidden="1" xr:uid="{00000000-0005-0000-0000-0000CD750000}"/>
    <cellStyle name="Followed Hyperlink 4" xfId="24752" hidden="1" xr:uid="{00000000-0005-0000-0000-0000CE750000}"/>
    <cellStyle name="Followed Hyperlink 4" xfId="24755" hidden="1" xr:uid="{00000000-0005-0000-0000-0000CF750000}"/>
    <cellStyle name="Followed Hyperlink 4" xfId="24758" hidden="1" xr:uid="{00000000-0005-0000-0000-0000D0750000}"/>
    <cellStyle name="Followed Hyperlink 4" xfId="24760" hidden="1" xr:uid="{00000000-0005-0000-0000-0000D1750000}"/>
    <cellStyle name="Followed Hyperlink 4" xfId="24761" hidden="1" xr:uid="{00000000-0005-0000-0000-0000D2750000}"/>
    <cellStyle name="Followed Hyperlink 4" xfId="24764" hidden="1" xr:uid="{00000000-0005-0000-0000-0000D3750000}"/>
    <cellStyle name="Followed Hyperlink 4" xfId="24773" hidden="1" xr:uid="{00000000-0005-0000-0000-0000D4750000}"/>
    <cellStyle name="Followed Hyperlink 4" xfId="24765" hidden="1" xr:uid="{00000000-0005-0000-0000-0000D5750000}"/>
    <cellStyle name="Followed Hyperlink 4" xfId="24776" hidden="1" xr:uid="{00000000-0005-0000-0000-0000D6750000}"/>
    <cellStyle name="Followed Hyperlink 4" xfId="24779" hidden="1" xr:uid="{00000000-0005-0000-0000-0000D7750000}"/>
    <cellStyle name="Followed Hyperlink 4" xfId="24782" hidden="1" xr:uid="{00000000-0005-0000-0000-0000D8750000}"/>
    <cellStyle name="Followed Hyperlink 4" xfId="24784" hidden="1" xr:uid="{00000000-0005-0000-0000-0000D9750000}"/>
    <cellStyle name="Followed Hyperlink 4" xfId="24785" hidden="1" xr:uid="{00000000-0005-0000-0000-0000DA750000}"/>
    <cellStyle name="Followed Hyperlink 4" xfId="24788" hidden="1" xr:uid="{00000000-0005-0000-0000-0000DB750000}"/>
    <cellStyle name="Followed Hyperlink 4" xfId="24671" hidden="1" xr:uid="{00000000-0005-0000-0000-0000DC750000}"/>
    <cellStyle name="Followed Hyperlink 4" xfId="24665" hidden="1" xr:uid="{00000000-0005-0000-0000-0000DD750000}"/>
    <cellStyle name="Followed Hyperlink 4" xfId="24789" hidden="1" xr:uid="{00000000-0005-0000-0000-0000DE750000}"/>
    <cellStyle name="Followed Hyperlink 4" xfId="24792" hidden="1" xr:uid="{00000000-0005-0000-0000-0000DF750000}"/>
    <cellStyle name="Followed Hyperlink 4" xfId="24795" hidden="1" xr:uid="{00000000-0005-0000-0000-0000E0750000}"/>
    <cellStyle name="Followed Hyperlink 4" xfId="24797" hidden="1" xr:uid="{00000000-0005-0000-0000-0000E1750000}"/>
    <cellStyle name="Followed Hyperlink 4" xfId="24798" hidden="1" xr:uid="{00000000-0005-0000-0000-0000E2750000}"/>
    <cellStyle name="Followed Hyperlink 4" xfId="24801" hidden="1" xr:uid="{00000000-0005-0000-0000-0000E3750000}"/>
    <cellStyle name="Followed Hyperlink 4" xfId="24810" hidden="1" xr:uid="{00000000-0005-0000-0000-0000E4750000}"/>
    <cellStyle name="Followed Hyperlink 4" xfId="24802" hidden="1" xr:uid="{00000000-0005-0000-0000-0000E5750000}"/>
    <cellStyle name="Followed Hyperlink 4" xfId="24813" hidden="1" xr:uid="{00000000-0005-0000-0000-0000E6750000}"/>
    <cellStyle name="Followed Hyperlink 4" xfId="24816" hidden="1" xr:uid="{00000000-0005-0000-0000-0000E7750000}"/>
    <cellStyle name="Followed Hyperlink 4" xfId="24819" hidden="1" xr:uid="{00000000-0005-0000-0000-0000E8750000}"/>
    <cellStyle name="Followed Hyperlink 4" xfId="24821" hidden="1" xr:uid="{00000000-0005-0000-0000-0000E9750000}"/>
    <cellStyle name="Followed Hyperlink 4" xfId="24822" hidden="1" xr:uid="{00000000-0005-0000-0000-0000EA750000}"/>
    <cellStyle name="Followed Hyperlink 4" xfId="24825" hidden="1" xr:uid="{00000000-0005-0000-0000-0000EB750000}"/>
    <cellStyle name="Followed Hyperlink 4" xfId="24835" hidden="1" xr:uid="{00000000-0005-0000-0000-0000EC750000}"/>
    <cellStyle name="Followed Hyperlink 4" xfId="24827" hidden="1" xr:uid="{00000000-0005-0000-0000-0000ED750000}"/>
    <cellStyle name="Followed Hyperlink 4" xfId="24838" hidden="1" xr:uid="{00000000-0005-0000-0000-0000EE750000}"/>
    <cellStyle name="Followed Hyperlink 4" xfId="24841" hidden="1" xr:uid="{00000000-0005-0000-0000-0000EF750000}"/>
    <cellStyle name="Followed Hyperlink 4" xfId="24844" hidden="1" xr:uid="{00000000-0005-0000-0000-0000F0750000}"/>
    <cellStyle name="Followed Hyperlink 4" xfId="24846" hidden="1" xr:uid="{00000000-0005-0000-0000-0000F1750000}"/>
    <cellStyle name="Followed Hyperlink 4" xfId="24847" hidden="1" xr:uid="{00000000-0005-0000-0000-0000F2750000}"/>
    <cellStyle name="Followed Hyperlink 4" xfId="24850" hidden="1" xr:uid="{00000000-0005-0000-0000-0000F3750000}"/>
    <cellStyle name="Followed Hyperlink 4" xfId="24859" hidden="1" xr:uid="{00000000-0005-0000-0000-0000F4750000}"/>
    <cellStyle name="Followed Hyperlink 4" xfId="24851" hidden="1" xr:uid="{00000000-0005-0000-0000-0000F5750000}"/>
    <cellStyle name="Followed Hyperlink 4" xfId="24862" hidden="1" xr:uid="{00000000-0005-0000-0000-0000F6750000}"/>
    <cellStyle name="Followed Hyperlink 4" xfId="24865" hidden="1" xr:uid="{00000000-0005-0000-0000-0000F7750000}"/>
    <cellStyle name="Followed Hyperlink 4" xfId="24868" hidden="1" xr:uid="{00000000-0005-0000-0000-0000F8750000}"/>
    <cellStyle name="Followed Hyperlink 4" xfId="24870" hidden="1" xr:uid="{00000000-0005-0000-0000-0000F9750000}"/>
    <cellStyle name="Followed Hyperlink 4" xfId="24871" hidden="1" xr:uid="{00000000-0005-0000-0000-0000FA750000}"/>
    <cellStyle name="Followed Hyperlink 4" xfId="24874" hidden="1" xr:uid="{00000000-0005-0000-0000-0000FB750000}"/>
    <cellStyle name="Followed Hyperlink 4" xfId="24675" hidden="1" xr:uid="{00000000-0005-0000-0000-0000FC750000}"/>
    <cellStyle name="Followed Hyperlink 4" xfId="24681" hidden="1" xr:uid="{00000000-0005-0000-0000-0000FD750000}"/>
    <cellStyle name="Followed Hyperlink 4" xfId="24875" hidden="1" xr:uid="{00000000-0005-0000-0000-0000FE750000}"/>
    <cellStyle name="Followed Hyperlink 4" xfId="24878" hidden="1" xr:uid="{00000000-0005-0000-0000-0000FF750000}"/>
    <cellStyle name="Followed Hyperlink 4" xfId="24881" hidden="1" xr:uid="{00000000-0005-0000-0000-000000760000}"/>
    <cellStyle name="Followed Hyperlink 4" xfId="24883" hidden="1" xr:uid="{00000000-0005-0000-0000-000001760000}"/>
    <cellStyle name="Followed Hyperlink 4" xfId="24884" hidden="1" xr:uid="{00000000-0005-0000-0000-000002760000}"/>
    <cellStyle name="Followed Hyperlink 4" xfId="24887" hidden="1" xr:uid="{00000000-0005-0000-0000-000003760000}"/>
    <cellStyle name="Followed Hyperlink 4" xfId="24896" hidden="1" xr:uid="{00000000-0005-0000-0000-000004760000}"/>
    <cellStyle name="Followed Hyperlink 4" xfId="24888" hidden="1" xr:uid="{00000000-0005-0000-0000-000005760000}"/>
    <cellStyle name="Followed Hyperlink 4" xfId="24899" hidden="1" xr:uid="{00000000-0005-0000-0000-000006760000}"/>
    <cellStyle name="Followed Hyperlink 4" xfId="24902" hidden="1" xr:uid="{00000000-0005-0000-0000-000007760000}"/>
    <cellStyle name="Followed Hyperlink 4" xfId="24905" hidden="1" xr:uid="{00000000-0005-0000-0000-000008760000}"/>
    <cellStyle name="Followed Hyperlink 4" xfId="24907" hidden="1" xr:uid="{00000000-0005-0000-0000-000009760000}"/>
    <cellStyle name="Followed Hyperlink 4" xfId="24908" hidden="1" xr:uid="{00000000-0005-0000-0000-00000A760000}"/>
    <cellStyle name="Followed Hyperlink 4" xfId="24911" hidden="1" xr:uid="{00000000-0005-0000-0000-00000B760000}"/>
    <cellStyle name="Followed Hyperlink 4" xfId="24921" hidden="1" xr:uid="{00000000-0005-0000-0000-00000C760000}"/>
    <cellStyle name="Followed Hyperlink 4" xfId="24913" hidden="1" xr:uid="{00000000-0005-0000-0000-00000D760000}"/>
    <cellStyle name="Followed Hyperlink 4" xfId="24924" hidden="1" xr:uid="{00000000-0005-0000-0000-00000E760000}"/>
    <cellStyle name="Followed Hyperlink 4" xfId="24927" hidden="1" xr:uid="{00000000-0005-0000-0000-00000F760000}"/>
    <cellStyle name="Followed Hyperlink 4" xfId="24930" hidden="1" xr:uid="{00000000-0005-0000-0000-000010760000}"/>
    <cellStyle name="Followed Hyperlink 4" xfId="24932" hidden="1" xr:uid="{00000000-0005-0000-0000-000011760000}"/>
    <cellStyle name="Followed Hyperlink 4" xfId="24933" hidden="1" xr:uid="{00000000-0005-0000-0000-000012760000}"/>
    <cellStyle name="Followed Hyperlink 4" xfId="24936" hidden="1" xr:uid="{00000000-0005-0000-0000-000013760000}"/>
    <cellStyle name="Followed Hyperlink 4" xfId="24945" hidden="1" xr:uid="{00000000-0005-0000-0000-000014760000}"/>
    <cellStyle name="Followed Hyperlink 4" xfId="24937" hidden="1" xr:uid="{00000000-0005-0000-0000-000015760000}"/>
    <cellStyle name="Followed Hyperlink 4" xfId="24948" hidden="1" xr:uid="{00000000-0005-0000-0000-000016760000}"/>
    <cellStyle name="Followed Hyperlink 4" xfId="24951" hidden="1" xr:uid="{00000000-0005-0000-0000-000017760000}"/>
    <cellStyle name="Followed Hyperlink 4" xfId="24954" hidden="1" xr:uid="{00000000-0005-0000-0000-000018760000}"/>
    <cellStyle name="Followed Hyperlink 4" xfId="24956" hidden="1" xr:uid="{00000000-0005-0000-0000-000019760000}"/>
    <cellStyle name="Followed Hyperlink 4" xfId="24957" hidden="1" xr:uid="{00000000-0005-0000-0000-00001A760000}"/>
    <cellStyle name="Followed Hyperlink 4" xfId="24960" hidden="1" xr:uid="{00000000-0005-0000-0000-00001B760000}"/>
    <cellStyle name="Followed Hyperlink 4" xfId="24685" hidden="1" xr:uid="{00000000-0005-0000-0000-00001C760000}"/>
    <cellStyle name="Followed Hyperlink 4" xfId="24740" hidden="1" xr:uid="{00000000-0005-0000-0000-00001D760000}"/>
    <cellStyle name="Followed Hyperlink 4" xfId="24961" hidden="1" xr:uid="{00000000-0005-0000-0000-00001E760000}"/>
    <cellStyle name="Followed Hyperlink 4" xfId="24964" hidden="1" xr:uid="{00000000-0005-0000-0000-00001F760000}"/>
    <cellStyle name="Followed Hyperlink 4" xfId="24967" hidden="1" xr:uid="{00000000-0005-0000-0000-000020760000}"/>
    <cellStyle name="Followed Hyperlink 4" xfId="24969" hidden="1" xr:uid="{00000000-0005-0000-0000-000021760000}"/>
    <cellStyle name="Followed Hyperlink 4" xfId="24970" hidden="1" xr:uid="{00000000-0005-0000-0000-000022760000}"/>
    <cellStyle name="Followed Hyperlink 4" xfId="24973" hidden="1" xr:uid="{00000000-0005-0000-0000-000023760000}"/>
    <cellStyle name="Followed Hyperlink 4" xfId="24982" hidden="1" xr:uid="{00000000-0005-0000-0000-000024760000}"/>
    <cellStyle name="Followed Hyperlink 4" xfId="24974" hidden="1" xr:uid="{00000000-0005-0000-0000-000025760000}"/>
    <cellStyle name="Followed Hyperlink 4" xfId="24985" hidden="1" xr:uid="{00000000-0005-0000-0000-000026760000}"/>
    <cellStyle name="Followed Hyperlink 4" xfId="24988" hidden="1" xr:uid="{00000000-0005-0000-0000-000027760000}"/>
    <cellStyle name="Followed Hyperlink 4" xfId="24991" hidden="1" xr:uid="{00000000-0005-0000-0000-000028760000}"/>
    <cellStyle name="Followed Hyperlink 4" xfId="24993" hidden="1" xr:uid="{00000000-0005-0000-0000-000029760000}"/>
    <cellStyle name="Followed Hyperlink 4" xfId="24994" hidden="1" xr:uid="{00000000-0005-0000-0000-00002A760000}"/>
    <cellStyle name="Followed Hyperlink 4" xfId="24997" hidden="1" xr:uid="{00000000-0005-0000-0000-00002B760000}"/>
    <cellStyle name="Followed Hyperlink 4" xfId="25006" hidden="1" xr:uid="{00000000-0005-0000-0000-00002C760000}"/>
    <cellStyle name="Followed Hyperlink 4" xfId="24998" hidden="1" xr:uid="{00000000-0005-0000-0000-00002D760000}"/>
    <cellStyle name="Followed Hyperlink 4" xfId="25009" hidden="1" xr:uid="{00000000-0005-0000-0000-00002E760000}"/>
    <cellStyle name="Followed Hyperlink 4" xfId="25012" hidden="1" xr:uid="{00000000-0005-0000-0000-00002F760000}"/>
    <cellStyle name="Followed Hyperlink 4" xfId="25015" hidden="1" xr:uid="{00000000-0005-0000-0000-000030760000}"/>
    <cellStyle name="Followed Hyperlink 4" xfId="25017" hidden="1" xr:uid="{00000000-0005-0000-0000-000031760000}"/>
    <cellStyle name="Followed Hyperlink 4" xfId="25018" hidden="1" xr:uid="{00000000-0005-0000-0000-000032760000}"/>
    <cellStyle name="Followed Hyperlink 4" xfId="25021" hidden="1" xr:uid="{00000000-0005-0000-0000-000033760000}"/>
    <cellStyle name="Followed Hyperlink 4" xfId="25030" hidden="1" xr:uid="{00000000-0005-0000-0000-000034760000}"/>
    <cellStyle name="Followed Hyperlink 4" xfId="25022" hidden="1" xr:uid="{00000000-0005-0000-0000-000035760000}"/>
    <cellStyle name="Followed Hyperlink 4" xfId="25033" hidden="1" xr:uid="{00000000-0005-0000-0000-000036760000}"/>
    <cellStyle name="Followed Hyperlink 4" xfId="25036" hidden="1" xr:uid="{00000000-0005-0000-0000-000037760000}"/>
    <cellStyle name="Followed Hyperlink 4" xfId="25039" hidden="1" xr:uid="{00000000-0005-0000-0000-000038760000}"/>
    <cellStyle name="Followed Hyperlink 4" xfId="25041" hidden="1" xr:uid="{00000000-0005-0000-0000-000039760000}"/>
    <cellStyle name="Followed Hyperlink 4" xfId="25042" hidden="1" xr:uid="{00000000-0005-0000-0000-00003A760000}"/>
    <cellStyle name="Followed Hyperlink 4" xfId="25045" hidden="1" xr:uid="{00000000-0005-0000-0000-00003B760000}"/>
    <cellStyle name="Followed Hyperlink 4" xfId="8791" hidden="1" xr:uid="{00000000-0005-0000-0000-00003C760000}"/>
    <cellStyle name="Followed Hyperlink 4" xfId="569" hidden="1" xr:uid="{00000000-0005-0000-0000-00003D760000}"/>
    <cellStyle name="Followed Hyperlink 4" xfId="579" hidden="1" xr:uid="{00000000-0005-0000-0000-00003E760000}"/>
    <cellStyle name="Followed Hyperlink 4" xfId="577" hidden="1" xr:uid="{00000000-0005-0000-0000-00003F760000}"/>
    <cellStyle name="Followed Hyperlink 4" xfId="16933" hidden="1" xr:uid="{00000000-0005-0000-0000-000040760000}"/>
    <cellStyle name="Followed Hyperlink 4" xfId="25046" hidden="1" xr:uid="{00000000-0005-0000-0000-000041760000}"/>
    <cellStyle name="Followed Hyperlink 4" xfId="25047" hidden="1" xr:uid="{00000000-0005-0000-0000-000042760000}"/>
    <cellStyle name="Followed Hyperlink 4" xfId="25050" hidden="1" xr:uid="{00000000-0005-0000-0000-000043760000}"/>
    <cellStyle name="Followed Hyperlink 4" xfId="25059" hidden="1" xr:uid="{00000000-0005-0000-0000-000044760000}"/>
    <cellStyle name="Followed Hyperlink 4" xfId="25051" hidden="1" xr:uid="{00000000-0005-0000-0000-000045760000}"/>
    <cellStyle name="Followed Hyperlink 4" xfId="25062" hidden="1" xr:uid="{00000000-0005-0000-0000-000046760000}"/>
    <cellStyle name="Followed Hyperlink 4" xfId="25065" hidden="1" xr:uid="{00000000-0005-0000-0000-000047760000}"/>
    <cellStyle name="Followed Hyperlink 4" xfId="25068" hidden="1" xr:uid="{00000000-0005-0000-0000-000048760000}"/>
    <cellStyle name="Followed Hyperlink 4" xfId="25070" hidden="1" xr:uid="{00000000-0005-0000-0000-000049760000}"/>
    <cellStyle name="Followed Hyperlink 4" xfId="25071" hidden="1" xr:uid="{00000000-0005-0000-0000-00004A760000}"/>
    <cellStyle name="Followed Hyperlink 4" xfId="25074" hidden="1" xr:uid="{00000000-0005-0000-0000-00004B760000}"/>
    <cellStyle name="Followed Hyperlink 4" xfId="25083" hidden="1" xr:uid="{00000000-0005-0000-0000-00004C760000}"/>
    <cellStyle name="Followed Hyperlink 4" xfId="25075" hidden="1" xr:uid="{00000000-0005-0000-0000-00004D760000}"/>
    <cellStyle name="Followed Hyperlink 4" xfId="25086" hidden="1" xr:uid="{00000000-0005-0000-0000-00004E760000}"/>
    <cellStyle name="Followed Hyperlink 4" xfId="25089" hidden="1" xr:uid="{00000000-0005-0000-0000-00004F760000}"/>
    <cellStyle name="Followed Hyperlink 4" xfId="25092" hidden="1" xr:uid="{00000000-0005-0000-0000-000050760000}"/>
    <cellStyle name="Followed Hyperlink 4" xfId="25094" hidden="1" xr:uid="{00000000-0005-0000-0000-000051760000}"/>
    <cellStyle name="Followed Hyperlink 4" xfId="25095" hidden="1" xr:uid="{00000000-0005-0000-0000-000052760000}"/>
    <cellStyle name="Followed Hyperlink 4" xfId="25098" hidden="1" xr:uid="{00000000-0005-0000-0000-000053760000}"/>
    <cellStyle name="Followed Hyperlink 4" xfId="25107" hidden="1" xr:uid="{00000000-0005-0000-0000-000054760000}"/>
    <cellStyle name="Followed Hyperlink 4" xfId="25099" hidden="1" xr:uid="{00000000-0005-0000-0000-000055760000}"/>
    <cellStyle name="Followed Hyperlink 4" xfId="25110" hidden="1" xr:uid="{00000000-0005-0000-0000-000056760000}"/>
    <cellStyle name="Followed Hyperlink 4" xfId="25113" hidden="1" xr:uid="{00000000-0005-0000-0000-000057760000}"/>
    <cellStyle name="Followed Hyperlink 4" xfId="25116" hidden="1" xr:uid="{00000000-0005-0000-0000-000058760000}"/>
    <cellStyle name="Followed Hyperlink 4" xfId="25118" hidden="1" xr:uid="{00000000-0005-0000-0000-000059760000}"/>
    <cellStyle name="Followed Hyperlink 4" xfId="25119" hidden="1" xr:uid="{00000000-0005-0000-0000-00005A760000}"/>
    <cellStyle name="Followed Hyperlink 4" xfId="25122" hidden="1" xr:uid="{00000000-0005-0000-0000-00005B760000}"/>
    <cellStyle name="Followed Hyperlink 4" xfId="25160" hidden="1" xr:uid="{00000000-0005-0000-0000-00005C760000}"/>
    <cellStyle name="Followed Hyperlink 4" xfId="25152" hidden="1" xr:uid="{00000000-0005-0000-0000-00005D760000}"/>
    <cellStyle name="Followed Hyperlink 4" xfId="25163" hidden="1" xr:uid="{00000000-0005-0000-0000-00005E760000}"/>
    <cellStyle name="Followed Hyperlink 4" xfId="25166" hidden="1" xr:uid="{00000000-0005-0000-0000-00005F760000}"/>
    <cellStyle name="Followed Hyperlink 4" xfId="25169" hidden="1" xr:uid="{00000000-0005-0000-0000-000060760000}"/>
    <cellStyle name="Followed Hyperlink 4" xfId="25171" hidden="1" xr:uid="{00000000-0005-0000-0000-000061760000}"/>
    <cellStyle name="Followed Hyperlink 4" xfId="25172" hidden="1" xr:uid="{00000000-0005-0000-0000-000062760000}"/>
    <cellStyle name="Followed Hyperlink 4" xfId="25175" hidden="1" xr:uid="{00000000-0005-0000-0000-000063760000}"/>
    <cellStyle name="Followed Hyperlink 4" xfId="25184" hidden="1" xr:uid="{00000000-0005-0000-0000-000064760000}"/>
    <cellStyle name="Followed Hyperlink 4" xfId="25176" hidden="1" xr:uid="{00000000-0005-0000-0000-000065760000}"/>
    <cellStyle name="Followed Hyperlink 4" xfId="25187" hidden="1" xr:uid="{00000000-0005-0000-0000-000066760000}"/>
    <cellStyle name="Followed Hyperlink 4" xfId="25190" hidden="1" xr:uid="{00000000-0005-0000-0000-000067760000}"/>
    <cellStyle name="Followed Hyperlink 4" xfId="25193" hidden="1" xr:uid="{00000000-0005-0000-0000-000068760000}"/>
    <cellStyle name="Followed Hyperlink 4" xfId="25195" hidden="1" xr:uid="{00000000-0005-0000-0000-000069760000}"/>
    <cellStyle name="Followed Hyperlink 4" xfId="25196" hidden="1" xr:uid="{00000000-0005-0000-0000-00006A760000}"/>
    <cellStyle name="Followed Hyperlink 4" xfId="25199" hidden="1" xr:uid="{00000000-0005-0000-0000-00006B760000}"/>
    <cellStyle name="Followed Hyperlink 4" xfId="25210" hidden="1" xr:uid="{00000000-0005-0000-0000-00006C760000}"/>
    <cellStyle name="Followed Hyperlink 4" xfId="25202" hidden="1" xr:uid="{00000000-0005-0000-0000-00006D760000}"/>
    <cellStyle name="Followed Hyperlink 4" xfId="25213" hidden="1" xr:uid="{00000000-0005-0000-0000-00006E760000}"/>
    <cellStyle name="Followed Hyperlink 4" xfId="25216" hidden="1" xr:uid="{00000000-0005-0000-0000-00006F760000}"/>
    <cellStyle name="Followed Hyperlink 4" xfId="25219" hidden="1" xr:uid="{00000000-0005-0000-0000-000070760000}"/>
    <cellStyle name="Followed Hyperlink 4" xfId="25221" hidden="1" xr:uid="{00000000-0005-0000-0000-000071760000}"/>
    <cellStyle name="Followed Hyperlink 4" xfId="25222" hidden="1" xr:uid="{00000000-0005-0000-0000-000072760000}"/>
    <cellStyle name="Followed Hyperlink 4" xfId="25225" hidden="1" xr:uid="{00000000-0005-0000-0000-000073760000}"/>
    <cellStyle name="Followed Hyperlink 4" xfId="25234" hidden="1" xr:uid="{00000000-0005-0000-0000-000074760000}"/>
    <cellStyle name="Followed Hyperlink 4" xfId="25226" hidden="1" xr:uid="{00000000-0005-0000-0000-000075760000}"/>
    <cellStyle name="Followed Hyperlink 4" xfId="25237" hidden="1" xr:uid="{00000000-0005-0000-0000-000076760000}"/>
    <cellStyle name="Followed Hyperlink 4" xfId="25240" hidden="1" xr:uid="{00000000-0005-0000-0000-000077760000}"/>
    <cellStyle name="Followed Hyperlink 4" xfId="25243" hidden="1" xr:uid="{00000000-0005-0000-0000-000078760000}"/>
    <cellStyle name="Followed Hyperlink 4" xfId="25245" hidden="1" xr:uid="{00000000-0005-0000-0000-000079760000}"/>
    <cellStyle name="Followed Hyperlink 4" xfId="25246" hidden="1" xr:uid="{00000000-0005-0000-0000-00007A760000}"/>
    <cellStyle name="Followed Hyperlink 4" xfId="25249" hidden="1" xr:uid="{00000000-0005-0000-0000-00007B760000}"/>
    <cellStyle name="Followed Hyperlink 4" xfId="25287" hidden="1" xr:uid="{00000000-0005-0000-0000-00007C760000}"/>
    <cellStyle name="Followed Hyperlink 4" xfId="25279" hidden="1" xr:uid="{00000000-0005-0000-0000-00007D760000}"/>
    <cellStyle name="Followed Hyperlink 4" xfId="25290" hidden="1" xr:uid="{00000000-0005-0000-0000-00007E760000}"/>
    <cellStyle name="Followed Hyperlink 4" xfId="25293" hidden="1" xr:uid="{00000000-0005-0000-0000-00007F760000}"/>
    <cellStyle name="Followed Hyperlink 4" xfId="25296" hidden="1" xr:uid="{00000000-0005-0000-0000-000080760000}"/>
    <cellStyle name="Followed Hyperlink 4" xfId="25298" hidden="1" xr:uid="{00000000-0005-0000-0000-000081760000}"/>
    <cellStyle name="Followed Hyperlink 4" xfId="25299" hidden="1" xr:uid="{00000000-0005-0000-0000-000082760000}"/>
    <cellStyle name="Followed Hyperlink 4" xfId="25302" hidden="1" xr:uid="{00000000-0005-0000-0000-000083760000}"/>
    <cellStyle name="Followed Hyperlink 4" xfId="25311" hidden="1" xr:uid="{00000000-0005-0000-0000-000084760000}"/>
    <cellStyle name="Followed Hyperlink 4" xfId="25303" hidden="1" xr:uid="{00000000-0005-0000-0000-000085760000}"/>
    <cellStyle name="Followed Hyperlink 4" xfId="25314" hidden="1" xr:uid="{00000000-0005-0000-0000-000086760000}"/>
    <cellStyle name="Followed Hyperlink 4" xfId="25317" hidden="1" xr:uid="{00000000-0005-0000-0000-000087760000}"/>
    <cellStyle name="Followed Hyperlink 4" xfId="25320" hidden="1" xr:uid="{00000000-0005-0000-0000-000088760000}"/>
    <cellStyle name="Followed Hyperlink 4" xfId="25322" hidden="1" xr:uid="{00000000-0005-0000-0000-000089760000}"/>
    <cellStyle name="Followed Hyperlink 4" xfId="25323" hidden="1" xr:uid="{00000000-0005-0000-0000-00008A760000}"/>
    <cellStyle name="Followed Hyperlink 4" xfId="25326" hidden="1" xr:uid="{00000000-0005-0000-0000-00008B760000}"/>
    <cellStyle name="Followed Hyperlink 4" xfId="25337" hidden="1" xr:uid="{00000000-0005-0000-0000-00008C760000}"/>
    <cellStyle name="Followed Hyperlink 4" xfId="25329" hidden="1" xr:uid="{00000000-0005-0000-0000-00008D760000}"/>
    <cellStyle name="Followed Hyperlink 4" xfId="25340" hidden="1" xr:uid="{00000000-0005-0000-0000-00008E760000}"/>
    <cellStyle name="Followed Hyperlink 4" xfId="25343" hidden="1" xr:uid="{00000000-0005-0000-0000-00008F760000}"/>
    <cellStyle name="Followed Hyperlink 4" xfId="25346" hidden="1" xr:uid="{00000000-0005-0000-0000-000090760000}"/>
    <cellStyle name="Followed Hyperlink 4" xfId="25348" hidden="1" xr:uid="{00000000-0005-0000-0000-000091760000}"/>
    <cellStyle name="Followed Hyperlink 4" xfId="25349" hidden="1" xr:uid="{00000000-0005-0000-0000-000092760000}"/>
    <cellStyle name="Followed Hyperlink 4" xfId="25352" hidden="1" xr:uid="{00000000-0005-0000-0000-000093760000}"/>
    <cellStyle name="Followed Hyperlink 4" xfId="25361" hidden="1" xr:uid="{00000000-0005-0000-0000-000094760000}"/>
    <cellStyle name="Followed Hyperlink 4" xfId="25353" hidden="1" xr:uid="{00000000-0005-0000-0000-000095760000}"/>
    <cellStyle name="Followed Hyperlink 4" xfId="25364" hidden="1" xr:uid="{00000000-0005-0000-0000-000096760000}"/>
    <cellStyle name="Followed Hyperlink 4" xfId="25367" hidden="1" xr:uid="{00000000-0005-0000-0000-000097760000}"/>
    <cellStyle name="Followed Hyperlink 4" xfId="25370" hidden="1" xr:uid="{00000000-0005-0000-0000-000098760000}"/>
    <cellStyle name="Followed Hyperlink 4" xfId="25372" hidden="1" xr:uid="{00000000-0005-0000-0000-000099760000}"/>
    <cellStyle name="Followed Hyperlink 4" xfId="25373" hidden="1" xr:uid="{00000000-0005-0000-0000-00009A760000}"/>
    <cellStyle name="Followed Hyperlink 4" xfId="25376" hidden="1" xr:uid="{00000000-0005-0000-0000-00009B760000}"/>
    <cellStyle name="Followed Hyperlink 4" xfId="25414" hidden="1" xr:uid="{00000000-0005-0000-0000-00009C760000}"/>
    <cellStyle name="Followed Hyperlink 4" xfId="25406" hidden="1" xr:uid="{00000000-0005-0000-0000-00009D760000}"/>
    <cellStyle name="Followed Hyperlink 4" xfId="25417" hidden="1" xr:uid="{00000000-0005-0000-0000-00009E760000}"/>
    <cellStyle name="Followed Hyperlink 4" xfId="25420" hidden="1" xr:uid="{00000000-0005-0000-0000-00009F760000}"/>
    <cellStyle name="Followed Hyperlink 4" xfId="25423" hidden="1" xr:uid="{00000000-0005-0000-0000-0000A0760000}"/>
    <cellStyle name="Followed Hyperlink 4" xfId="25425" hidden="1" xr:uid="{00000000-0005-0000-0000-0000A1760000}"/>
    <cellStyle name="Followed Hyperlink 4" xfId="25426" hidden="1" xr:uid="{00000000-0005-0000-0000-0000A2760000}"/>
    <cellStyle name="Followed Hyperlink 4" xfId="25429" hidden="1" xr:uid="{00000000-0005-0000-0000-0000A3760000}"/>
    <cellStyle name="Followed Hyperlink 4" xfId="25438" hidden="1" xr:uid="{00000000-0005-0000-0000-0000A4760000}"/>
    <cellStyle name="Followed Hyperlink 4" xfId="25430" hidden="1" xr:uid="{00000000-0005-0000-0000-0000A5760000}"/>
    <cellStyle name="Followed Hyperlink 4" xfId="25441" hidden="1" xr:uid="{00000000-0005-0000-0000-0000A6760000}"/>
    <cellStyle name="Followed Hyperlink 4" xfId="25444" hidden="1" xr:uid="{00000000-0005-0000-0000-0000A7760000}"/>
    <cellStyle name="Followed Hyperlink 4" xfId="25447" hidden="1" xr:uid="{00000000-0005-0000-0000-0000A8760000}"/>
    <cellStyle name="Followed Hyperlink 4" xfId="25449" hidden="1" xr:uid="{00000000-0005-0000-0000-0000A9760000}"/>
    <cellStyle name="Followed Hyperlink 4" xfId="25450" hidden="1" xr:uid="{00000000-0005-0000-0000-0000AA760000}"/>
    <cellStyle name="Followed Hyperlink 4" xfId="25453" hidden="1" xr:uid="{00000000-0005-0000-0000-0000AB760000}"/>
    <cellStyle name="Followed Hyperlink 4" xfId="25464" hidden="1" xr:uid="{00000000-0005-0000-0000-0000AC760000}"/>
    <cellStyle name="Followed Hyperlink 4" xfId="25456" hidden="1" xr:uid="{00000000-0005-0000-0000-0000AD760000}"/>
    <cellStyle name="Followed Hyperlink 4" xfId="25467" hidden="1" xr:uid="{00000000-0005-0000-0000-0000AE760000}"/>
    <cellStyle name="Followed Hyperlink 4" xfId="25470" hidden="1" xr:uid="{00000000-0005-0000-0000-0000AF760000}"/>
    <cellStyle name="Followed Hyperlink 4" xfId="25473" hidden="1" xr:uid="{00000000-0005-0000-0000-0000B0760000}"/>
    <cellStyle name="Followed Hyperlink 4" xfId="25475" hidden="1" xr:uid="{00000000-0005-0000-0000-0000B1760000}"/>
    <cellStyle name="Followed Hyperlink 4" xfId="25476" hidden="1" xr:uid="{00000000-0005-0000-0000-0000B2760000}"/>
    <cellStyle name="Followed Hyperlink 4" xfId="25479" hidden="1" xr:uid="{00000000-0005-0000-0000-0000B3760000}"/>
    <cellStyle name="Followed Hyperlink 4" xfId="25488" hidden="1" xr:uid="{00000000-0005-0000-0000-0000B4760000}"/>
    <cellStyle name="Followed Hyperlink 4" xfId="25480" hidden="1" xr:uid="{00000000-0005-0000-0000-0000B5760000}"/>
    <cellStyle name="Followed Hyperlink 4" xfId="25491" hidden="1" xr:uid="{00000000-0005-0000-0000-0000B6760000}"/>
    <cellStyle name="Followed Hyperlink 4" xfId="25494" hidden="1" xr:uid="{00000000-0005-0000-0000-0000B7760000}"/>
    <cellStyle name="Followed Hyperlink 4" xfId="25497" hidden="1" xr:uid="{00000000-0005-0000-0000-0000B8760000}"/>
    <cellStyle name="Followed Hyperlink 4" xfId="25499" hidden="1" xr:uid="{00000000-0005-0000-0000-0000B9760000}"/>
    <cellStyle name="Followed Hyperlink 4" xfId="25500" hidden="1" xr:uid="{00000000-0005-0000-0000-0000BA760000}"/>
    <cellStyle name="Followed Hyperlink 4" xfId="25503" hidden="1" xr:uid="{00000000-0005-0000-0000-0000BB760000}"/>
    <cellStyle name="Followed Hyperlink 4" xfId="25386" hidden="1" xr:uid="{00000000-0005-0000-0000-0000BC760000}"/>
    <cellStyle name="Followed Hyperlink 4" xfId="25380" hidden="1" xr:uid="{00000000-0005-0000-0000-0000BD760000}"/>
    <cellStyle name="Followed Hyperlink 4" xfId="25504" hidden="1" xr:uid="{00000000-0005-0000-0000-0000BE760000}"/>
    <cellStyle name="Followed Hyperlink 4" xfId="25507" hidden="1" xr:uid="{00000000-0005-0000-0000-0000BF760000}"/>
    <cellStyle name="Followed Hyperlink 4" xfId="25510" hidden="1" xr:uid="{00000000-0005-0000-0000-0000C0760000}"/>
    <cellStyle name="Followed Hyperlink 4" xfId="25512" hidden="1" xr:uid="{00000000-0005-0000-0000-0000C1760000}"/>
    <cellStyle name="Followed Hyperlink 4" xfId="25513" hidden="1" xr:uid="{00000000-0005-0000-0000-0000C2760000}"/>
    <cellStyle name="Followed Hyperlink 4" xfId="25516" hidden="1" xr:uid="{00000000-0005-0000-0000-0000C3760000}"/>
    <cellStyle name="Followed Hyperlink 4" xfId="25525" hidden="1" xr:uid="{00000000-0005-0000-0000-0000C4760000}"/>
    <cellStyle name="Followed Hyperlink 4" xfId="25517" hidden="1" xr:uid="{00000000-0005-0000-0000-0000C5760000}"/>
    <cellStyle name="Followed Hyperlink 4" xfId="25528" hidden="1" xr:uid="{00000000-0005-0000-0000-0000C6760000}"/>
    <cellStyle name="Followed Hyperlink 4" xfId="25531" hidden="1" xr:uid="{00000000-0005-0000-0000-0000C7760000}"/>
    <cellStyle name="Followed Hyperlink 4" xfId="25534" hidden="1" xr:uid="{00000000-0005-0000-0000-0000C8760000}"/>
    <cellStyle name="Followed Hyperlink 4" xfId="25536" hidden="1" xr:uid="{00000000-0005-0000-0000-0000C9760000}"/>
    <cellStyle name="Followed Hyperlink 4" xfId="25537" hidden="1" xr:uid="{00000000-0005-0000-0000-0000CA760000}"/>
    <cellStyle name="Followed Hyperlink 4" xfId="25540" hidden="1" xr:uid="{00000000-0005-0000-0000-0000CB760000}"/>
    <cellStyle name="Followed Hyperlink 4" xfId="25550" hidden="1" xr:uid="{00000000-0005-0000-0000-0000CC760000}"/>
    <cellStyle name="Followed Hyperlink 4" xfId="25542" hidden="1" xr:uid="{00000000-0005-0000-0000-0000CD760000}"/>
    <cellStyle name="Followed Hyperlink 4" xfId="25553" hidden="1" xr:uid="{00000000-0005-0000-0000-0000CE760000}"/>
    <cellStyle name="Followed Hyperlink 4" xfId="25556" hidden="1" xr:uid="{00000000-0005-0000-0000-0000CF760000}"/>
    <cellStyle name="Followed Hyperlink 4" xfId="25559" hidden="1" xr:uid="{00000000-0005-0000-0000-0000D0760000}"/>
    <cellStyle name="Followed Hyperlink 4" xfId="25561" hidden="1" xr:uid="{00000000-0005-0000-0000-0000D1760000}"/>
    <cellStyle name="Followed Hyperlink 4" xfId="25562" hidden="1" xr:uid="{00000000-0005-0000-0000-0000D2760000}"/>
    <cellStyle name="Followed Hyperlink 4" xfId="25565" hidden="1" xr:uid="{00000000-0005-0000-0000-0000D3760000}"/>
    <cellStyle name="Followed Hyperlink 4" xfId="25574" hidden="1" xr:uid="{00000000-0005-0000-0000-0000D4760000}"/>
    <cellStyle name="Followed Hyperlink 4" xfId="25566" hidden="1" xr:uid="{00000000-0005-0000-0000-0000D5760000}"/>
    <cellStyle name="Followed Hyperlink 4" xfId="25577" hidden="1" xr:uid="{00000000-0005-0000-0000-0000D6760000}"/>
    <cellStyle name="Followed Hyperlink 4" xfId="25580" hidden="1" xr:uid="{00000000-0005-0000-0000-0000D7760000}"/>
    <cellStyle name="Followed Hyperlink 4" xfId="25583" hidden="1" xr:uid="{00000000-0005-0000-0000-0000D8760000}"/>
    <cellStyle name="Followed Hyperlink 4" xfId="25585" hidden="1" xr:uid="{00000000-0005-0000-0000-0000D9760000}"/>
    <cellStyle name="Followed Hyperlink 4" xfId="25586" hidden="1" xr:uid="{00000000-0005-0000-0000-0000DA760000}"/>
    <cellStyle name="Followed Hyperlink 4" xfId="25589" hidden="1" xr:uid="{00000000-0005-0000-0000-0000DB760000}"/>
    <cellStyle name="Followed Hyperlink 4" xfId="25390" hidden="1" xr:uid="{00000000-0005-0000-0000-0000DC760000}"/>
    <cellStyle name="Followed Hyperlink 4" xfId="25396" hidden="1" xr:uid="{00000000-0005-0000-0000-0000DD760000}"/>
    <cellStyle name="Followed Hyperlink 4" xfId="25590" hidden="1" xr:uid="{00000000-0005-0000-0000-0000DE760000}"/>
    <cellStyle name="Followed Hyperlink 4" xfId="25593" hidden="1" xr:uid="{00000000-0005-0000-0000-0000DF760000}"/>
    <cellStyle name="Followed Hyperlink 4" xfId="25596" hidden="1" xr:uid="{00000000-0005-0000-0000-0000E0760000}"/>
    <cellStyle name="Followed Hyperlink 4" xfId="25598" hidden="1" xr:uid="{00000000-0005-0000-0000-0000E1760000}"/>
    <cellStyle name="Followed Hyperlink 4" xfId="25599" hidden="1" xr:uid="{00000000-0005-0000-0000-0000E2760000}"/>
    <cellStyle name="Followed Hyperlink 4" xfId="25602" hidden="1" xr:uid="{00000000-0005-0000-0000-0000E3760000}"/>
    <cellStyle name="Followed Hyperlink 4" xfId="25611" hidden="1" xr:uid="{00000000-0005-0000-0000-0000E4760000}"/>
    <cellStyle name="Followed Hyperlink 4" xfId="25603" hidden="1" xr:uid="{00000000-0005-0000-0000-0000E5760000}"/>
    <cellStyle name="Followed Hyperlink 4" xfId="25614" hidden="1" xr:uid="{00000000-0005-0000-0000-0000E6760000}"/>
    <cellStyle name="Followed Hyperlink 4" xfId="25617" hidden="1" xr:uid="{00000000-0005-0000-0000-0000E7760000}"/>
    <cellStyle name="Followed Hyperlink 4" xfId="25620" hidden="1" xr:uid="{00000000-0005-0000-0000-0000E8760000}"/>
    <cellStyle name="Followed Hyperlink 4" xfId="25622" hidden="1" xr:uid="{00000000-0005-0000-0000-0000E9760000}"/>
    <cellStyle name="Followed Hyperlink 4" xfId="25623" hidden="1" xr:uid="{00000000-0005-0000-0000-0000EA760000}"/>
    <cellStyle name="Followed Hyperlink 4" xfId="25626" hidden="1" xr:uid="{00000000-0005-0000-0000-0000EB760000}"/>
    <cellStyle name="Followed Hyperlink 4" xfId="25636" hidden="1" xr:uid="{00000000-0005-0000-0000-0000EC760000}"/>
    <cellStyle name="Followed Hyperlink 4" xfId="25628" hidden="1" xr:uid="{00000000-0005-0000-0000-0000ED760000}"/>
    <cellStyle name="Followed Hyperlink 4" xfId="25639" hidden="1" xr:uid="{00000000-0005-0000-0000-0000EE760000}"/>
    <cellStyle name="Followed Hyperlink 4" xfId="25642" hidden="1" xr:uid="{00000000-0005-0000-0000-0000EF760000}"/>
    <cellStyle name="Followed Hyperlink 4" xfId="25645" hidden="1" xr:uid="{00000000-0005-0000-0000-0000F0760000}"/>
    <cellStyle name="Followed Hyperlink 4" xfId="25647" hidden="1" xr:uid="{00000000-0005-0000-0000-0000F1760000}"/>
    <cellStyle name="Followed Hyperlink 4" xfId="25648" hidden="1" xr:uid="{00000000-0005-0000-0000-0000F2760000}"/>
    <cellStyle name="Followed Hyperlink 4" xfId="25651" hidden="1" xr:uid="{00000000-0005-0000-0000-0000F3760000}"/>
    <cellStyle name="Followed Hyperlink 4" xfId="25660" hidden="1" xr:uid="{00000000-0005-0000-0000-0000F4760000}"/>
    <cellStyle name="Followed Hyperlink 4" xfId="25652" hidden="1" xr:uid="{00000000-0005-0000-0000-0000F5760000}"/>
    <cellStyle name="Followed Hyperlink 4" xfId="25663" hidden="1" xr:uid="{00000000-0005-0000-0000-0000F6760000}"/>
    <cellStyle name="Followed Hyperlink 4" xfId="25666" hidden="1" xr:uid="{00000000-0005-0000-0000-0000F7760000}"/>
    <cellStyle name="Followed Hyperlink 4" xfId="25669" hidden="1" xr:uid="{00000000-0005-0000-0000-0000F8760000}"/>
    <cellStyle name="Followed Hyperlink 4" xfId="25671" hidden="1" xr:uid="{00000000-0005-0000-0000-0000F9760000}"/>
    <cellStyle name="Followed Hyperlink 4" xfId="25672" hidden="1" xr:uid="{00000000-0005-0000-0000-0000FA760000}"/>
    <cellStyle name="Followed Hyperlink 4" xfId="25675" hidden="1" xr:uid="{00000000-0005-0000-0000-0000FB760000}"/>
    <cellStyle name="Followed Hyperlink 4" xfId="25400" hidden="1" xr:uid="{00000000-0005-0000-0000-0000FC760000}"/>
    <cellStyle name="Followed Hyperlink 4" xfId="25455" hidden="1" xr:uid="{00000000-0005-0000-0000-0000FD760000}"/>
    <cellStyle name="Followed Hyperlink 4" xfId="25676" hidden="1" xr:uid="{00000000-0005-0000-0000-0000FE760000}"/>
    <cellStyle name="Followed Hyperlink 4" xfId="25679" hidden="1" xr:uid="{00000000-0005-0000-0000-0000FF760000}"/>
    <cellStyle name="Followed Hyperlink 4" xfId="25682" hidden="1" xr:uid="{00000000-0005-0000-0000-000000770000}"/>
    <cellStyle name="Followed Hyperlink 4" xfId="25684" hidden="1" xr:uid="{00000000-0005-0000-0000-000001770000}"/>
    <cellStyle name="Followed Hyperlink 4" xfId="25685" hidden="1" xr:uid="{00000000-0005-0000-0000-000002770000}"/>
    <cellStyle name="Followed Hyperlink 4" xfId="25688" hidden="1" xr:uid="{00000000-0005-0000-0000-000003770000}"/>
    <cellStyle name="Followed Hyperlink 4" xfId="25697" hidden="1" xr:uid="{00000000-0005-0000-0000-000004770000}"/>
    <cellStyle name="Followed Hyperlink 4" xfId="25689" hidden="1" xr:uid="{00000000-0005-0000-0000-000005770000}"/>
    <cellStyle name="Followed Hyperlink 4" xfId="25700" hidden="1" xr:uid="{00000000-0005-0000-0000-000006770000}"/>
    <cellStyle name="Followed Hyperlink 4" xfId="25703" hidden="1" xr:uid="{00000000-0005-0000-0000-000007770000}"/>
    <cellStyle name="Followed Hyperlink 4" xfId="25706" hidden="1" xr:uid="{00000000-0005-0000-0000-000008770000}"/>
    <cellStyle name="Followed Hyperlink 4" xfId="25708" hidden="1" xr:uid="{00000000-0005-0000-0000-000009770000}"/>
    <cellStyle name="Followed Hyperlink 4" xfId="25709" hidden="1" xr:uid="{00000000-0005-0000-0000-00000A770000}"/>
    <cellStyle name="Followed Hyperlink 4" xfId="25712" hidden="1" xr:uid="{00000000-0005-0000-0000-00000B770000}"/>
    <cellStyle name="Followed Hyperlink 4" xfId="25721" hidden="1" xr:uid="{00000000-0005-0000-0000-00000C770000}"/>
    <cellStyle name="Followed Hyperlink 4" xfId="25713" hidden="1" xr:uid="{00000000-0005-0000-0000-00000D770000}"/>
    <cellStyle name="Followed Hyperlink 4" xfId="25724" hidden="1" xr:uid="{00000000-0005-0000-0000-00000E770000}"/>
    <cellStyle name="Followed Hyperlink 4" xfId="25727" hidden="1" xr:uid="{00000000-0005-0000-0000-00000F770000}"/>
    <cellStyle name="Followed Hyperlink 4" xfId="25730" hidden="1" xr:uid="{00000000-0005-0000-0000-000010770000}"/>
    <cellStyle name="Followed Hyperlink 4" xfId="25732" hidden="1" xr:uid="{00000000-0005-0000-0000-000011770000}"/>
    <cellStyle name="Followed Hyperlink 4" xfId="25733" hidden="1" xr:uid="{00000000-0005-0000-0000-000012770000}"/>
    <cellStyle name="Followed Hyperlink 4" xfId="25736" hidden="1" xr:uid="{00000000-0005-0000-0000-000013770000}"/>
    <cellStyle name="Followed Hyperlink 4" xfId="25745" hidden="1" xr:uid="{00000000-0005-0000-0000-000014770000}"/>
    <cellStyle name="Followed Hyperlink 4" xfId="25737" hidden="1" xr:uid="{00000000-0005-0000-0000-000015770000}"/>
    <cellStyle name="Followed Hyperlink 4" xfId="25748" hidden="1" xr:uid="{00000000-0005-0000-0000-000016770000}"/>
    <cellStyle name="Followed Hyperlink 4" xfId="25751" hidden="1" xr:uid="{00000000-0005-0000-0000-000017770000}"/>
    <cellStyle name="Followed Hyperlink 4" xfId="25754" hidden="1" xr:uid="{00000000-0005-0000-0000-000018770000}"/>
    <cellStyle name="Followed Hyperlink 4" xfId="25756" hidden="1" xr:uid="{00000000-0005-0000-0000-000019770000}"/>
    <cellStyle name="Followed Hyperlink 4" xfId="25757" hidden="1" xr:uid="{00000000-0005-0000-0000-00001A770000}"/>
    <cellStyle name="Followed Hyperlink 4" xfId="25760" hidden="1" xr:uid="{00000000-0005-0000-0000-00001B770000}"/>
    <cellStyle name="Followed Hyperlink 4" xfId="25259" hidden="1" xr:uid="{00000000-0005-0000-0000-00001C770000}"/>
    <cellStyle name="Followed Hyperlink 4" xfId="25253" hidden="1" xr:uid="{00000000-0005-0000-0000-00001D770000}"/>
    <cellStyle name="Followed Hyperlink 4" xfId="25761" hidden="1" xr:uid="{00000000-0005-0000-0000-00001E770000}"/>
    <cellStyle name="Followed Hyperlink 4" xfId="25764" hidden="1" xr:uid="{00000000-0005-0000-0000-00001F770000}"/>
    <cellStyle name="Followed Hyperlink 4" xfId="25767" hidden="1" xr:uid="{00000000-0005-0000-0000-000020770000}"/>
    <cellStyle name="Followed Hyperlink 4" xfId="25769" hidden="1" xr:uid="{00000000-0005-0000-0000-000021770000}"/>
    <cellStyle name="Followed Hyperlink 4" xfId="25770" hidden="1" xr:uid="{00000000-0005-0000-0000-000022770000}"/>
    <cellStyle name="Followed Hyperlink 4" xfId="25773" hidden="1" xr:uid="{00000000-0005-0000-0000-000023770000}"/>
    <cellStyle name="Followed Hyperlink 4" xfId="25782" hidden="1" xr:uid="{00000000-0005-0000-0000-000024770000}"/>
    <cellStyle name="Followed Hyperlink 4" xfId="25774" hidden="1" xr:uid="{00000000-0005-0000-0000-000025770000}"/>
    <cellStyle name="Followed Hyperlink 4" xfId="25785" hidden="1" xr:uid="{00000000-0005-0000-0000-000026770000}"/>
    <cellStyle name="Followed Hyperlink 4" xfId="25788" hidden="1" xr:uid="{00000000-0005-0000-0000-000027770000}"/>
    <cellStyle name="Followed Hyperlink 4" xfId="25791" hidden="1" xr:uid="{00000000-0005-0000-0000-000028770000}"/>
    <cellStyle name="Followed Hyperlink 4" xfId="25793" hidden="1" xr:uid="{00000000-0005-0000-0000-000029770000}"/>
    <cellStyle name="Followed Hyperlink 4" xfId="25794" hidden="1" xr:uid="{00000000-0005-0000-0000-00002A770000}"/>
    <cellStyle name="Followed Hyperlink 4" xfId="25797" hidden="1" xr:uid="{00000000-0005-0000-0000-00002B770000}"/>
    <cellStyle name="Followed Hyperlink 4" xfId="25807" hidden="1" xr:uid="{00000000-0005-0000-0000-00002C770000}"/>
    <cellStyle name="Followed Hyperlink 4" xfId="25799" hidden="1" xr:uid="{00000000-0005-0000-0000-00002D770000}"/>
    <cellStyle name="Followed Hyperlink 4" xfId="25810" hidden="1" xr:uid="{00000000-0005-0000-0000-00002E770000}"/>
    <cellStyle name="Followed Hyperlink 4" xfId="25813" hidden="1" xr:uid="{00000000-0005-0000-0000-00002F770000}"/>
    <cellStyle name="Followed Hyperlink 4" xfId="25816" hidden="1" xr:uid="{00000000-0005-0000-0000-000030770000}"/>
    <cellStyle name="Followed Hyperlink 4" xfId="25818" hidden="1" xr:uid="{00000000-0005-0000-0000-000031770000}"/>
    <cellStyle name="Followed Hyperlink 4" xfId="25819" hidden="1" xr:uid="{00000000-0005-0000-0000-000032770000}"/>
    <cellStyle name="Followed Hyperlink 4" xfId="25822" hidden="1" xr:uid="{00000000-0005-0000-0000-000033770000}"/>
    <cellStyle name="Followed Hyperlink 4" xfId="25831" hidden="1" xr:uid="{00000000-0005-0000-0000-000034770000}"/>
    <cellStyle name="Followed Hyperlink 4" xfId="25823" hidden="1" xr:uid="{00000000-0005-0000-0000-000035770000}"/>
    <cellStyle name="Followed Hyperlink 4" xfId="25834" hidden="1" xr:uid="{00000000-0005-0000-0000-000036770000}"/>
    <cellStyle name="Followed Hyperlink 4" xfId="25837" hidden="1" xr:uid="{00000000-0005-0000-0000-000037770000}"/>
    <cellStyle name="Followed Hyperlink 4" xfId="25840" hidden="1" xr:uid="{00000000-0005-0000-0000-000038770000}"/>
    <cellStyle name="Followed Hyperlink 4" xfId="25842" hidden="1" xr:uid="{00000000-0005-0000-0000-000039770000}"/>
    <cellStyle name="Followed Hyperlink 4" xfId="25843" hidden="1" xr:uid="{00000000-0005-0000-0000-00003A770000}"/>
    <cellStyle name="Followed Hyperlink 4" xfId="25846" hidden="1" xr:uid="{00000000-0005-0000-0000-00003B770000}"/>
    <cellStyle name="Followed Hyperlink 4" xfId="25884" hidden="1" xr:uid="{00000000-0005-0000-0000-00003C770000}"/>
    <cellStyle name="Followed Hyperlink 4" xfId="25876" hidden="1" xr:uid="{00000000-0005-0000-0000-00003D770000}"/>
    <cellStyle name="Followed Hyperlink 4" xfId="25887" hidden="1" xr:uid="{00000000-0005-0000-0000-00003E770000}"/>
    <cellStyle name="Followed Hyperlink 4" xfId="25890" hidden="1" xr:uid="{00000000-0005-0000-0000-00003F770000}"/>
    <cellStyle name="Followed Hyperlink 4" xfId="25893" hidden="1" xr:uid="{00000000-0005-0000-0000-000040770000}"/>
    <cellStyle name="Followed Hyperlink 4" xfId="25895" hidden="1" xr:uid="{00000000-0005-0000-0000-000041770000}"/>
    <cellStyle name="Followed Hyperlink 4" xfId="25896" hidden="1" xr:uid="{00000000-0005-0000-0000-000042770000}"/>
    <cellStyle name="Followed Hyperlink 4" xfId="25899" hidden="1" xr:uid="{00000000-0005-0000-0000-000043770000}"/>
    <cellStyle name="Followed Hyperlink 4" xfId="25908" hidden="1" xr:uid="{00000000-0005-0000-0000-000044770000}"/>
    <cellStyle name="Followed Hyperlink 4" xfId="25900" hidden="1" xr:uid="{00000000-0005-0000-0000-000045770000}"/>
    <cellStyle name="Followed Hyperlink 4" xfId="25911" hidden="1" xr:uid="{00000000-0005-0000-0000-000046770000}"/>
    <cellStyle name="Followed Hyperlink 4" xfId="25914" hidden="1" xr:uid="{00000000-0005-0000-0000-000047770000}"/>
    <cellStyle name="Followed Hyperlink 4" xfId="25917" hidden="1" xr:uid="{00000000-0005-0000-0000-000048770000}"/>
    <cellStyle name="Followed Hyperlink 4" xfId="25919" hidden="1" xr:uid="{00000000-0005-0000-0000-000049770000}"/>
    <cellStyle name="Followed Hyperlink 4" xfId="25920" hidden="1" xr:uid="{00000000-0005-0000-0000-00004A770000}"/>
    <cellStyle name="Followed Hyperlink 4" xfId="25923" hidden="1" xr:uid="{00000000-0005-0000-0000-00004B770000}"/>
    <cellStyle name="Followed Hyperlink 4" xfId="25934" hidden="1" xr:uid="{00000000-0005-0000-0000-00004C770000}"/>
    <cellStyle name="Followed Hyperlink 4" xfId="25926" hidden="1" xr:uid="{00000000-0005-0000-0000-00004D770000}"/>
    <cellStyle name="Followed Hyperlink 4" xfId="25937" hidden="1" xr:uid="{00000000-0005-0000-0000-00004E770000}"/>
    <cellStyle name="Followed Hyperlink 4" xfId="25940" hidden="1" xr:uid="{00000000-0005-0000-0000-00004F770000}"/>
    <cellStyle name="Followed Hyperlink 4" xfId="25943" hidden="1" xr:uid="{00000000-0005-0000-0000-000050770000}"/>
    <cellStyle name="Followed Hyperlink 4" xfId="25945" hidden="1" xr:uid="{00000000-0005-0000-0000-000051770000}"/>
    <cellStyle name="Followed Hyperlink 4" xfId="25946" hidden="1" xr:uid="{00000000-0005-0000-0000-000052770000}"/>
    <cellStyle name="Followed Hyperlink 4" xfId="25949" hidden="1" xr:uid="{00000000-0005-0000-0000-000053770000}"/>
    <cellStyle name="Followed Hyperlink 4" xfId="25958" hidden="1" xr:uid="{00000000-0005-0000-0000-000054770000}"/>
    <cellStyle name="Followed Hyperlink 4" xfId="25950" hidden="1" xr:uid="{00000000-0005-0000-0000-000055770000}"/>
    <cellStyle name="Followed Hyperlink 4" xfId="25961" hidden="1" xr:uid="{00000000-0005-0000-0000-000056770000}"/>
    <cellStyle name="Followed Hyperlink 4" xfId="25964" hidden="1" xr:uid="{00000000-0005-0000-0000-000057770000}"/>
    <cellStyle name="Followed Hyperlink 4" xfId="25967" hidden="1" xr:uid="{00000000-0005-0000-0000-000058770000}"/>
    <cellStyle name="Followed Hyperlink 4" xfId="25969" hidden="1" xr:uid="{00000000-0005-0000-0000-000059770000}"/>
    <cellStyle name="Followed Hyperlink 4" xfId="25970" hidden="1" xr:uid="{00000000-0005-0000-0000-00005A770000}"/>
    <cellStyle name="Followed Hyperlink 4" xfId="25973" hidden="1" xr:uid="{00000000-0005-0000-0000-00005B770000}"/>
    <cellStyle name="Followed Hyperlink 4" xfId="25856" hidden="1" xr:uid="{00000000-0005-0000-0000-00005C770000}"/>
    <cellStyle name="Followed Hyperlink 4" xfId="25850" hidden="1" xr:uid="{00000000-0005-0000-0000-00005D770000}"/>
    <cellStyle name="Followed Hyperlink 4" xfId="25974" hidden="1" xr:uid="{00000000-0005-0000-0000-00005E770000}"/>
    <cellStyle name="Followed Hyperlink 4" xfId="25977" hidden="1" xr:uid="{00000000-0005-0000-0000-00005F770000}"/>
    <cellStyle name="Followed Hyperlink 4" xfId="25980" hidden="1" xr:uid="{00000000-0005-0000-0000-000060770000}"/>
    <cellStyle name="Followed Hyperlink 4" xfId="25982" hidden="1" xr:uid="{00000000-0005-0000-0000-000061770000}"/>
    <cellStyle name="Followed Hyperlink 4" xfId="25983" hidden="1" xr:uid="{00000000-0005-0000-0000-000062770000}"/>
    <cellStyle name="Followed Hyperlink 4" xfId="25986" hidden="1" xr:uid="{00000000-0005-0000-0000-000063770000}"/>
    <cellStyle name="Followed Hyperlink 4" xfId="25995" hidden="1" xr:uid="{00000000-0005-0000-0000-000064770000}"/>
    <cellStyle name="Followed Hyperlink 4" xfId="25987" hidden="1" xr:uid="{00000000-0005-0000-0000-000065770000}"/>
    <cellStyle name="Followed Hyperlink 4" xfId="25998" hidden="1" xr:uid="{00000000-0005-0000-0000-000066770000}"/>
    <cellStyle name="Followed Hyperlink 4" xfId="26001" hidden="1" xr:uid="{00000000-0005-0000-0000-000067770000}"/>
    <cellStyle name="Followed Hyperlink 4" xfId="26004" hidden="1" xr:uid="{00000000-0005-0000-0000-000068770000}"/>
    <cellStyle name="Followed Hyperlink 4" xfId="26006" hidden="1" xr:uid="{00000000-0005-0000-0000-000069770000}"/>
    <cellStyle name="Followed Hyperlink 4" xfId="26007" hidden="1" xr:uid="{00000000-0005-0000-0000-00006A770000}"/>
    <cellStyle name="Followed Hyperlink 4" xfId="26010" hidden="1" xr:uid="{00000000-0005-0000-0000-00006B770000}"/>
    <cellStyle name="Followed Hyperlink 4" xfId="26020" hidden="1" xr:uid="{00000000-0005-0000-0000-00006C770000}"/>
    <cellStyle name="Followed Hyperlink 4" xfId="26012" hidden="1" xr:uid="{00000000-0005-0000-0000-00006D770000}"/>
    <cellStyle name="Followed Hyperlink 4" xfId="26023" hidden="1" xr:uid="{00000000-0005-0000-0000-00006E770000}"/>
    <cellStyle name="Followed Hyperlink 4" xfId="26026" hidden="1" xr:uid="{00000000-0005-0000-0000-00006F770000}"/>
    <cellStyle name="Followed Hyperlink 4" xfId="26029" hidden="1" xr:uid="{00000000-0005-0000-0000-000070770000}"/>
    <cellStyle name="Followed Hyperlink 4" xfId="26031" hidden="1" xr:uid="{00000000-0005-0000-0000-000071770000}"/>
    <cellStyle name="Followed Hyperlink 4" xfId="26032" hidden="1" xr:uid="{00000000-0005-0000-0000-000072770000}"/>
    <cellStyle name="Followed Hyperlink 4" xfId="26035" hidden="1" xr:uid="{00000000-0005-0000-0000-000073770000}"/>
    <cellStyle name="Followed Hyperlink 4" xfId="26044" hidden="1" xr:uid="{00000000-0005-0000-0000-000074770000}"/>
    <cellStyle name="Followed Hyperlink 4" xfId="26036" hidden="1" xr:uid="{00000000-0005-0000-0000-000075770000}"/>
    <cellStyle name="Followed Hyperlink 4" xfId="26047" hidden="1" xr:uid="{00000000-0005-0000-0000-000076770000}"/>
    <cellStyle name="Followed Hyperlink 4" xfId="26050" hidden="1" xr:uid="{00000000-0005-0000-0000-000077770000}"/>
    <cellStyle name="Followed Hyperlink 4" xfId="26053" hidden="1" xr:uid="{00000000-0005-0000-0000-000078770000}"/>
    <cellStyle name="Followed Hyperlink 4" xfId="26055" hidden="1" xr:uid="{00000000-0005-0000-0000-000079770000}"/>
    <cellStyle name="Followed Hyperlink 4" xfId="26056" hidden="1" xr:uid="{00000000-0005-0000-0000-00007A770000}"/>
    <cellStyle name="Followed Hyperlink 4" xfId="26059" hidden="1" xr:uid="{00000000-0005-0000-0000-00007B770000}"/>
    <cellStyle name="Followed Hyperlink 4" xfId="25860" hidden="1" xr:uid="{00000000-0005-0000-0000-00007C770000}"/>
    <cellStyle name="Followed Hyperlink 4" xfId="25866" hidden="1" xr:uid="{00000000-0005-0000-0000-00007D770000}"/>
    <cellStyle name="Followed Hyperlink 4" xfId="26060" hidden="1" xr:uid="{00000000-0005-0000-0000-00007E770000}"/>
    <cellStyle name="Followed Hyperlink 4" xfId="26063" hidden="1" xr:uid="{00000000-0005-0000-0000-00007F770000}"/>
    <cellStyle name="Followed Hyperlink 4" xfId="26066" hidden="1" xr:uid="{00000000-0005-0000-0000-000080770000}"/>
    <cellStyle name="Followed Hyperlink 4" xfId="26068" hidden="1" xr:uid="{00000000-0005-0000-0000-000081770000}"/>
    <cellStyle name="Followed Hyperlink 4" xfId="26069" hidden="1" xr:uid="{00000000-0005-0000-0000-000082770000}"/>
    <cellStyle name="Followed Hyperlink 4" xfId="26072" hidden="1" xr:uid="{00000000-0005-0000-0000-000083770000}"/>
    <cellStyle name="Followed Hyperlink 4" xfId="26081" hidden="1" xr:uid="{00000000-0005-0000-0000-000084770000}"/>
    <cellStyle name="Followed Hyperlink 4" xfId="26073" hidden="1" xr:uid="{00000000-0005-0000-0000-000085770000}"/>
    <cellStyle name="Followed Hyperlink 4" xfId="26084" hidden="1" xr:uid="{00000000-0005-0000-0000-000086770000}"/>
    <cellStyle name="Followed Hyperlink 4" xfId="26087" hidden="1" xr:uid="{00000000-0005-0000-0000-000087770000}"/>
    <cellStyle name="Followed Hyperlink 4" xfId="26090" hidden="1" xr:uid="{00000000-0005-0000-0000-000088770000}"/>
    <cellStyle name="Followed Hyperlink 4" xfId="26092" hidden="1" xr:uid="{00000000-0005-0000-0000-000089770000}"/>
    <cellStyle name="Followed Hyperlink 4" xfId="26093" hidden="1" xr:uid="{00000000-0005-0000-0000-00008A770000}"/>
    <cellStyle name="Followed Hyperlink 4" xfId="26096" hidden="1" xr:uid="{00000000-0005-0000-0000-00008B770000}"/>
    <cellStyle name="Followed Hyperlink 4" xfId="26106" hidden="1" xr:uid="{00000000-0005-0000-0000-00008C770000}"/>
    <cellStyle name="Followed Hyperlink 4" xfId="26098" hidden="1" xr:uid="{00000000-0005-0000-0000-00008D770000}"/>
    <cellStyle name="Followed Hyperlink 4" xfId="26109" hidden="1" xr:uid="{00000000-0005-0000-0000-00008E770000}"/>
    <cellStyle name="Followed Hyperlink 4" xfId="26112" hidden="1" xr:uid="{00000000-0005-0000-0000-00008F770000}"/>
    <cellStyle name="Followed Hyperlink 4" xfId="26115" hidden="1" xr:uid="{00000000-0005-0000-0000-000090770000}"/>
    <cellStyle name="Followed Hyperlink 4" xfId="26117" hidden="1" xr:uid="{00000000-0005-0000-0000-000091770000}"/>
    <cellStyle name="Followed Hyperlink 4" xfId="26118" hidden="1" xr:uid="{00000000-0005-0000-0000-000092770000}"/>
    <cellStyle name="Followed Hyperlink 4" xfId="26121" hidden="1" xr:uid="{00000000-0005-0000-0000-000093770000}"/>
    <cellStyle name="Followed Hyperlink 4" xfId="26130" hidden="1" xr:uid="{00000000-0005-0000-0000-000094770000}"/>
    <cellStyle name="Followed Hyperlink 4" xfId="26122" hidden="1" xr:uid="{00000000-0005-0000-0000-000095770000}"/>
    <cellStyle name="Followed Hyperlink 4" xfId="26133" hidden="1" xr:uid="{00000000-0005-0000-0000-000096770000}"/>
    <cellStyle name="Followed Hyperlink 4" xfId="26136" hidden="1" xr:uid="{00000000-0005-0000-0000-000097770000}"/>
    <cellStyle name="Followed Hyperlink 4" xfId="26139" hidden="1" xr:uid="{00000000-0005-0000-0000-000098770000}"/>
    <cellStyle name="Followed Hyperlink 4" xfId="26141" hidden="1" xr:uid="{00000000-0005-0000-0000-000099770000}"/>
    <cellStyle name="Followed Hyperlink 4" xfId="26142" hidden="1" xr:uid="{00000000-0005-0000-0000-00009A770000}"/>
    <cellStyle name="Followed Hyperlink 4" xfId="26145" hidden="1" xr:uid="{00000000-0005-0000-0000-00009B770000}"/>
    <cellStyle name="Followed Hyperlink 4" xfId="25870" hidden="1" xr:uid="{00000000-0005-0000-0000-00009C770000}"/>
    <cellStyle name="Followed Hyperlink 4" xfId="25925" hidden="1" xr:uid="{00000000-0005-0000-0000-00009D770000}"/>
    <cellStyle name="Followed Hyperlink 4" xfId="26146" hidden="1" xr:uid="{00000000-0005-0000-0000-00009E770000}"/>
    <cellStyle name="Followed Hyperlink 4" xfId="26149" hidden="1" xr:uid="{00000000-0005-0000-0000-00009F770000}"/>
    <cellStyle name="Followed Hyperlink 4" xfId="26152" hidden="1" xr:uid="{00000000-0005-0000-0000-0000A0770000}"/>
    <cellStyle name="Followed Hyperlink 4" xfId="26154" hidden="1" xr:uid="{00000000-0005-0000-0000-0000A1770000}"/>
    <cellStyle name="Followed Hyperlink 4" xfId="26155" hidden="1" xr:uid="{00000000-0005-0000-0000-0000A2770000}"/>
    <cellStyle name="Followed Hyperlink 4" xfId="26158" hidden="1" xr:uid="{00000000-0005-0000-0000-0000A3770000}"/>
    <cellStyle name="Followed Hyperlink 4" xfId="26167" hidden="1" xr:uid="{00000000-0005-0000-0000-0000A4770000}"/>
    <cellStyle name="Followed Hyperlink 4" xfId="26159" hidden="1" xr:uid="{00000000-0005-0000-0000-0000A5770000}"/>
    <cellStyle name="Followed Hyperlink 4" xfId="26170" hidden="1" xr:uid="{00000000-0005-0000-0000-0000A6770000}"/>
    <cellStyle name="Followed Hyperlink 4" xfId="26173" hidden="1" xr:uid="{00000000-0005-0000-0000-0000A7770000}"/>
    <cellStyle name="Followed Hyperlink 4" xfId="26176" hidden="1" xr:uid="{00000000-0005-0000-0000-0000A8770000}"/>
    <cellStyle name="Followed Hyperlink 4" xfId="26178" hidden="1" xr:uid="{00000000-0005-0000-0000-0000A9770000}"/>
    <cellStyle name="Followed Hyperlink 4" xfId="26179" hidden="1" xr:uid="{00000000-0005-0000-0000-0000AA770000}"/>
    <cellStyle name="Followed Hyperlink 4" xfId="26182" hidden="1" xr:uid="{00000000-0005-0000-0000-0000AB770000}"/>
    <cellStyle name="Followed Hyperlink 4" xfId="26191" hidden="1" xr:uid="{00000000-0005-0000-0000-0000AC770000}"/>
    <cellStyle name="Followed Hyperlink 4" xfId="26183" hidden="1" xr:uid="{00000000-0005-0000-0000-0000AD770000}"/>
    <cellStyle name="Followed Hyperlink 4" xfId="26194" hidden="1" xr:uid="{00000000-0005-0000-0000-0000AE770000}"/>
    <cellStyle name="Followed Hyperlink 4" xfId="26197" hidden="1" xr:uid="{00000000-0005-0000-0000-0000AF770000}"/>
    <cellStyle name="Followed Hyperlink 4" xfId="26200" hidden="1" xr:uid="{00000000-0005-0000-0000-0000B0770000}"/>
    <cellStyle name="Followed Hyperlink 4" xfId="26202" hidden="1" xr:uid="{00000000-0005-0000-0000-0000B1770000}"/>
    <cellStyle name="Followed Hyperlink 4" xfId="26203" hidden="1" xr:uid="{00000000-0005-0000-0000-0000B2770000}"/>
    <cellStyle name="Followed Hyperlink 4" xfId="26206" hidden="1" xr:uid="{00000000-0005-0000-0000-0000B3770000}"/>
    <cellStyle name="Followed Hyperlink 4" xfId="26215" hidden="1" xr:uid="{00000000-0005-0000-0000-0000B4770000}"/>
    <cellStyle name="Followed Hyperlink 4" xfId="26207" hidden="1" xr:uid="{00000000-0005-0000-0000-0000B5770000}"/>
    <cellStyle name="Followed Hyperlink 4" xfId="26218" hidden="1" xr:uid="{00000000-0005-0000-0000-0000B6770000}"/>
    <cellStyle name="Followed Hyperlink 4" xfId="26221" hidden="1" xr:uid="{00000000-0005-0000-0000-0000B7770000}"/>
    <cellStyle name="Followed Hyperlink 4" xfId="26224" hidden="1" xr:uid="{00000000-0005-0000-0000-0000B8770000}"/>
    <cellStyle name="Followed Hyperlink 4" xfId="26226" hidden="1" xr:uid="{00000000-0005-0000-0000-0000B9770000}"/>
    <cellStyle name="Followed Hyperlink 4" xfId="26227" hidden="1" xr:uid="{00000000-0005-0000-0000-0000BA770000}"/>
    <cellStyle name="Followed Hyperlink 4" xfId="26230" hidden="1" xr:uid="{00000000-0005-0000-0000-0000BB770000}"/>
    <cellStyle name="Followed Hyperlink 4" xfId="25263" hidden="1" xr:uid="{00000000-0005-0000-0000-0000BC770000}"/>
    <cellStyle name="Followed Hyperlink 4" xfId="25269" hidden="1" xr:uid="{00000000-0005-0000-0000-0000BD770000}"/>
    <cellStyle name="Followed Hyperlink 4" xfId="26231" hidden="1" xr:uid="{00000000-0005-0000-0000-0000BE770000}"/>
    <cellStyle name="Followed Hyperlink 4" xfId="26234" hidden="1" xr:uid="{00000000-0005-0000-0000-0000BF770000}"/>
    <cellStyle name="Followed Hyperlink 4" xfId="26237" hidden="1" xr:uid="{00000000-0005-0000-0000-0000C0770000}"/>
    <cellStyle name="Followed Hyperlink 4" xfId="26239" hidden="1" xr:uid="{00000000-0005-0000-0000-0000C1770000}"/>
    <cellStyle name="Followed Hyperlink 4" xfId="26240" hidden="1" xr:uid="{00000000-0005-0000-0000-0000C2770000}"/>
    <cellStyle name="Followed Hyperlink 4" xfId="26243" hidden="1" xr:uid="{00000000-0005-0000-0000-0000C3770000}"/>
    <cellStyle name="Followed Hyperlink 4" xfId="26252" hidden="1" xr:uid="{00000000-0005-0000-0000-0000C4770000}"/>
    <cellStyle name="Followed Hyperlink 4" xfId="26244" hidden="1" xr:uid="{00000000-0005-0000-0000-0000C5770000}"/>
    <cellStyle name="Followed Hyperlink 4" xfId="26255" hidden="1" xr:uid="{00000000-0005-0000-0000-0000C6770000}"/>
    <cellStyle name="Followed Hyperlink 4" xfId="26258" hidden="1" xr:uid="{00000000-0005-0000-0000-0000C7770000}"/>
    <cellStyle name="Followed Hyperlink 4" xfId="26261" hidden="1" xr:uid="{00000000-0005-0000-0000-0000C8770000}"/>
    <cellStyle name="Followed Hyperlink 4" xfId="26263" hidden="1" xr:uid="{00000000-0005-0000-0000-0000C9770000}"/>
    <cellStyle name="Followed Hyperlink 4" xfId="26264" hidden="1" xr:uid="{00000000-0005-0000-0000-0000CA770000}"/>
    <cellStyle name="Followed Hyperlink 4" xfId="26267" hidden="1" xr:uid="{00000000-0005-0000-0000-0000CB770000}"/>
    <cellStyle name="Followed Hyperlink 4" xfId="26277" hidden="1" xr:uid="{00000000-0005-0000-0000-0000CC770000}"/>
    <cellStyle name="Followed Hyperlink 4" xfId="26269" hidden="1" xr:uid="{00000000-0005-0000-0000-0000CD770000}"/>
    <cellStyle name="Followed Hyperlink 4" xfId="26280" hidden="1" xr:uid="{00000000-0005-0000-0000-0000CE770000}"/>
    <cellStyle name="Followed Hyperlink 4" xfId="26283" hidden="1" xr:uid="{00000000-0005-0000-0000-0000CF770000}"/>
    <cellStyle name="Followed Hyperlink 4" xfId="26286" hidden="1" xr:uid="{00000000-0005-0000-0000-0000D0770000}"/>
    <cellStyle name="Followed Hyperlink 4" xfId="26288" hidden="1" xr:uid="{00000000-0005-0000-0000-0000D1770000}"/>
    <cellStyle name="Followed Hyperlink 4" xfId="26289" hidden="1" xr:uid="{00000000-0005-0000-0000-0000D2770000}"/>
    <cellStyle name="Followed Hyperlink 4" xfId="26292" hidden="1" xr:uid="{00000000-0005-0000-0000-0000D3770000}"/>
    <cellStyle name="Followed Hyperlink 4" xfId="26301" hidden="1" xr:uid="{00000000-0005-0000-0000-0000D4770000}"/>
    <cellStyle name="Followed Hyperlink 4" xfId="26293" hidden="1" xr:uid="{00000000-0005-0000-0000-0000D5770000}"/>
    <cellStyle name="Followed Hyperlink 4" xfId="26304" hidden="1" xr:uid="{00000000-0005-0000-0000-0000D6770000}"/>
    <cellStyle name="Followed Hyperlink 4" xfId="26307" hidden="1" xr:uid="{00000000-0005-0000-0000-0000D7770000}"/>
    <cellStyle name="Followed Hyperlink 4" xfId="26310" hidden="1" xr:uid="{00000000-0005-0000-0000-0000D8770000}"/>
    <cellStyle name="Followed Hyperlink 4" xfId="26312" hidden="1" xr:uid="{00000000-0005-0000-0000-0000D9770000}"/>
    <cellStyle name="Followed Hyperlink 4" xfId="26313" hidden="1" xr:uid="{00000000-0005-0000-0000-0000DA770000}"/>
    <cellStyle name="Followed Hyperlink 4" xfId="26316" hidden="1" xr:uid="{00000000-0005-0000-0000-0000DB770000}"/>
    <cellStyle name="Followed Hyperlink 4" xfId="26354" hidden="1" xr:uid="{00000000-0005-0000-0000-0000DC770000}"/>
    <cellStyle name="Followed Hyperlink 4" xfId="26346" hidden="1" xr:uid="{00000000-0005-0000-0000-0000DD770000}"/>
    <cellStyle name="Followed Hyperlink 4" xfId="26357" hidden="1" xr:uid="{00000000-0005-0000-0000-0000DE770000}"/>
    <cellStyle name="Followed Hyperlink 4" xfId="26360" hidden="1" xr:uid="{00000000-0005-0000-0000-0000DF770000}"/>
    <cellStyle name="Followed Hyperlink 4" xfId="26363" hidden="1" xr:uid="{00000000-0005-0000-0000-0000E0770000}"/>
    <cellStyle name="Followed Hyperlink 4" xfId="26365" hidden="1" xr:uid="{00000000-0005-0000-0000-0000E1770000}"/>
    <cellStyle name="Followed Hyperlink 4" xfId="26366" hidden="1" xr:uid="{00000000-0005-0000-0000-0000E2770000}"/>
    <cellStyle name="Followed Hyperlink 4" xfId="26369" hidden="1" xr:uid="{00000000-0005-0000-0000-0000E3770000}"/>
    <cellStyle name="Followed Hyperlink 4" xfId="26378" hidden="1" xr:uid="{00000000-0005-0000-0000-0000E4770000}"/>
    <cellStyle name="Followed Hyperlink 4" xfId="26370" hidden="1" xr:uid="{00000000-0005-0000-0000-0000E5770000}"/>
    <cellStyle name="Followed Hyperlink 4" xfId="26381" hidden="1" xr:uid="{00000000-0005-0000-0000-0000E6770000}"/>
    <cellStyle name="Followed Hyperlink 4" xfId="26384" hidden="1" xr:uid="{00000000-0005-0000-0000-0000E7770000}"/>
    <cellStyle name="Followed Hyperlink 4" xfId="26387" hidden="1" xr:uid="{00000000-0005-0000-0000-0000E8770000}"/>
    <cellStyle name="Followed Hyperlink 4" xfId="26389" hidden="1" xr:uid="{00000000-0005-0000-0000-0000E9770000}"/>
    <cellStyle name="Followed Hyperlink 4" xfId="26390" hidden="1" xr:uid="{00000000-0005-0000-0000-0000EA770000}"/>
    <cellStyle name="Followed Hyperlink 4" xfId="26393" hidden="1" xr:uid="{00000000-0005-0000-0000-0000EB770000}"/>
    <cellStyle name="Followed Hyperlink 4" xfId="26404" hidden="1" xr:uid="{00000000-0005-0000-0000-0000EC770000}"/>
    <cellStyle name="Followed Hyperlink 4" xfId="26396" hidden="1" xr:uid="{00000000-0005-0000-0000-0000ED770000}"/>
    <cellStyle name="Followed Hyperlink 4" xfId="26407" hidden="1" xr:uid="{00000000-0005-0000-0000-0000EE770000}"/>
    <cellStyle name="Followed Hyperlink 4" xfId="26410" hidden="1" xr:uid="{00000000-0005-0000-0000-0000EF770000}"/>
    <cellStyle name="Followed Hyperlink 4" xfId="26413" hidden="1" xr:uid="{00000000-0005-0000-0000-0000F0770000}"/>
    <cellStyle name="Followed Hyperlink 4" xfId="26415" hidden="1" xr:uid="{00000000-0005-0000-0000-0000F1770000}"/>
    <cellStyle name="Followed Hyperlink 4" xfId="26416" hidden="1" xr:uid="{00000000-0005-0000-0000-0000F2770000}"/>
    <cellStyle name="Followed Hyperlink 4" xfId="26419" hidden="1" xr:uid="{00000000-0005-0000-0000-0000F3770000}"/>
    <cellStyle name="Followed Hyperlink 4" xfId="26428" hidden="1" xr:uid="{00000000-0005-0000-0000-0000F4770000}"/>
    <cellStyle name="Followed Hyperlink 4" xfId="26420" hidden="1" xr:uid="{00000000-0005-0000-0000-0000F5770000}"/>
    <cellStyle name="Followed Hyperlink 4" xfId="26431" hidden="1" xr:uid="{00000000-0005-0000-0000-0000F6770000}"/>
    <cellStyle name="Followed Hyperlink 4" xfId="26434" hidden="1" xr:uid="{00000000-0005-0000-0000-0000F7770000}"/>
    <cellStyle name="Followed Hyperlink 4" xfId="26437" hidden="1" xr:uid="{00000000-0005-0000-0000-0000F8770000}"/>
    <cellStyle name="Followed Hyperlink 4" xfId="26439" hidden="1" xr:uid="{00000000-0005-0000-0000-0000F9770000}"/>
    <cellStyle name="Followed Hyperlink 4" xfId="26440" hidden="1" xr:uid="{00000000-0005-0000-0000-0000FA770000}"/>
    <cellStyle name="Followed Hyperlink 4" xfId="26443" hidden="1" xr:uid="{00000000-0005-0000-0000-0000FB770000}"/>
    <cellStyle name="Followed Hyperlink 4" xfId="26326" hidden="1" xr:uid="{00000000-0005-0000-0000-0000FC770000}"/>
    <cellStyle name="Followed Hyperlink 4" xfId="26320" hidden="1" xr:uid="{00000000-0005-0000-0000-0000FD770000}"/>
    <cellStyle name="Followed Hyperlink 4" xfId="26444" hidden="1" xr:uid="{00000000-0005-0000-0000-0000FE770000}"/>
    <cellStyle name="Followed Hyperlink 4" xfId="26447" hidden="1" xr:uid="{00000000-0005-0000-0000-0000FF770000}"/>
    <cellStyle name="Followed Hyperlink 4" xfId="26450" hidden="1" xr:uid="{00000000-0005-0000-0000-000000780000}"/>
    <cellStyle name="Followed Hyperlink 4" xfId="26452" hidden="1" xr:uid="{00000000-0005-0000-0000-000001780000}"/>
    <cellStyle name="Followed Hyperlink 4" xfId="26453" hidden="1" xr:uid="{00000000-0005-0000-0000-000002780000}"/>
    <cellStyle name="Followed Hyperlink 4" xfId="26456" hidden="1" xr:uid="{00000000-0005-0000-0000-000003780000}"/>
    <cellStyle name="Followed Hyperlink 4" xfId="26465" hidden="1" xr:uid="{00000000-0005-0000-0000-000004780000}"/>
    <cellStyle name="Followed Hyperlink 4" xfId="26457" hidden="1" xr:uid="{00000000-0005-0000-0000-000005780000}"/>
    <cellStyle name="Followed Hyperlink 4" xfId="26468" hidden="1" xr:uid="{00000000-0005-0000-0000-000006780000}"/>
    <cellStyle name="Followed Hyperlink 4" xfId="26471" hidden="1" xr:uid="{00000000-0005-0000-0000-000007780000}"/>
    <cellStyle name="Followed Hyperlink 4" xfId="26474" hidden="1" xr:uid="{00000000-0005-0000-0000-000008780000}"/>
    <cellStyle name="Followed Hyperlink 4" xfId="26476" hidden="1" xr:uid="{00000000-0005-0000-0000-000009780000}"/>
    <cellStyle name="Followed Hyperlink 4" xfId="26477" hidden="1" xr:uid="{00000000-0005-0000-0000-00000A780000}"/>
    <cellStyle name="Followed Hyperlink 4" xfId="26480" hidden="1" xr:uid="{00000000-0005-0000-0000-00000B780000}"/>
    <cellStyle name="Followed Hyperlink 4" xfId="26490" hidden="1" xr:uid="{00000000-0005-0000-0000-00000C780000}"/>
    <cellStyle name="Followed Hyperlink 4" xfId="26482" hidden="1" xr:uid="{00000000-0005-0000-0000-00000D780000}"/>
    <cellStyle name="Followed Hyperlink 4" xfId="26493" hidden="1" xr:uid="{00000000-0005-0000-0000-00000E780000}"/>
    <cellStyle name="Followed Hyperlink 4" xfId="26496" hidden="1" xr:uid="{00000000-0005-0000-0000-00000F780000}"/>
    <cellStyle name="Followed Hyperlink 4" xfId="26499" hidden="1" xr:uid="{00000000-0005-0000-0000-000010780000}"/>
    <cellStyle name="Followed Hyperlink 4" xfId="26501" hidden="1" xr:uid="{00000000-0005-0000-0000-000011780000}"/>
    <cellStyle name="Followed Hyperlink 4" xfId="26502" hidden="1" xr:uid="{00000000-0005-0000-0000-000012780000}"/>
    <cellStyle name="Followed Hyperlink 4" xfId="26505" hidden="1" xr:uid="{00000000-0005-0000-0000-000013780000}"/>
    <cellStyle name="Followed Hyperlink 4" xfId="26514" hidden="1" xr:uid="{00000000-0005-0000-0000-000014780000}"/>
    <cellStyle name="Followed Hyperlink 4" xfId="26506" hidden="1" xr:uid="{00000000-0005-0000-0000-000015780000}"/>
    <cellStyle name="Followed Hyperlink 4" xfId="26517" hidden="1" xr:uid="{00000000-0005-0000-0000-000016780000}"/>
    <cellStyle name="Followed Hyperlink 4" xfId="26520" hidden="1" xr:uid="{00000000-0005-0000-0000-000017780000}"/>
    <cellStyle name="Followed Hyperlink 4" xfId="26523" hidden="1" xr:uid="{00000000-0005-0000-0000-000018780000}"/>
    <cellStyle name="Followed Hyperlink 4" xfId="26525" hidden="1" xr:uid="{00000000-0005-0000-0000-000019780000}"/>
    <cellStyle name="Followed Hyperlink 4" xfId="26526" hidden="1" xr:uid="{00000000-0005-0000-0000-00001A780000}"/>
    <cellStyle name="Followed Hyperlink 4" xfId="26529" hidden="1" xr:uid="{00000000-0005-0000-0000-00001B780000}"/>
    <cellStyle name="Followed Hyperlink 4" xfId="26330" hidden="1" xr:uid="{00000000-0005-0000-0000-00001C780000}"/>
    <cellStyle name="Followed Hyperlink 4" xfId="26336" hidden="1" xr:uid="{00000000-0005-0000-0000-00001D780000}"/>
    <cellStyle name="Followed Hyperlink 4" xfId="26530" hidden="1" xr:uid="{00000000-0005-0000-0000-00001E780000}"/>
    <cellStyle name="Followed Hyperlink 4" xfId="26533" hidden="1" xr:uid="{00000000-0005-0000-0000-00001F780000}"/>
    <cellStyle name="Followed Hyperlink 4" xfId="26536" hidden="1" xr:uid="{00000000-0005-0000-0000-000020780000}"/>
    <cellStyle name="Followed Hyperlink 4" xfId="26538" hidden="1" xr:uid="{00000000-0005-0000-0000-000021780000}"/>
    <cellStyle name="Followed Hyperlink 4" xfId="26539" hidden="1" xr:uid="{00000000-0005-0000-0000-000022780000}"/>
    <cellStyle name="Followed Hyperlink 4" xfId="26542" hidden="1" xr:uid="{00000000-0005-0000-0000-000023780000}"/>
    <cellStyle name="Followed Hyperlink 4" xfId="26551" hidden="1" xr:uid="{00000000-0005-0000-0000-000024780000}"/>
    <cellStyle name="Followed Hyperlink 4" xfId="26543" hidden="1" xr:uid="{00000000-0005-0000-0000-000025780000}"/>
    <cellStyle name="Followed Hyperlink 4" xfId="26554" hidden="1" xr:uid="{00000000-0005-0000-0000-000026780000}"/>
    <cellStyle name="Followed Hyperlink 4" xfId="26557" hidden="1" xr:uid="{00000000-0005-0000-0000-000027780000}"/>
    <cellStyle name="Followed Hyperlink 4" xfId="26560" hidden="1" xr:uid="{00000000-0005-0000-0000-000028780000}"/>
    <cellStyle name="Followed Hyperlink 4" xfId="26562" hidden="1" xr:uid="{00000000-0005-0000-0000-000029780000}"/>
    <cellStyle name="Followed Hyperlink 4" xfId="26563" hidden="1" xr:uid="{00000000-0005-0000-0000-00002A780000}"/>
    <cellStyle name="Followed Hyperlink 4" xfId="26566" hidden="1" xr:uid="{00000000-0005-0000-0000-00002B780000}"/>
    <cellStyle name="Followed Hyperlink 4" xfId="26576" hidden="1" xr:uid="{00000000-0005-0000-0000-00002C780000}"/>
    <cellStyle name="Followed Hyperlink 4" xfId="26568" hidden="1" xr:uid="{00000000-0005-0000-0000-00002D780000}"/>
    <cellStyle name="Followed Hyperlink 4" xfId="26579" hidden="1" xr:uid="{00000000-0005-0000-0000-00002E780000}"/>
    <cellStyle name="Followed Hyperlink 4" xfId="26582" hidden="1" xr:uid="{00000000-0005-0000-0000-00002F780000}"/>
    <cellStyle name="Followed Hyperlink 4" xfId="26585" hidden="1" xr:uid="{00000000-0005-0000-0000-000030780000}"/>
    <cellStyle name="Followed Hyperlink 4" xfId="26587" hidden="1" xr:uid="{00000000-0005-0000-0000-000031780000}"/>
    <cellStyle name="Followed Hyperlink 4" xfId="26588" hidden="1" xr:uid="{00000000-0005-0000-0000-000032780000}"/>
    <cellStyle name="Followed Hyperlink 4" xfId="26591" hidden="1" xr:uid="{00000000-0005-0000-0000-000033780000}"/>
    <cellStyle name="Followed Hyperlink 4" xfId="26600" hidden="1" xr:uid="{00000000-0005-0000-0000-000034780000}"/>
    <cellStyle name="Followed Hyperlink 4" xfId="26592" hidden="1" xr:uid="{00000000-0005-0000-0000-000035780000}"/>
    <cellStyle name="Followed Hyperlink 4" xfId="26603" hidden="1" xr:uid="{00000000-0005-0000-0000-000036780000}"/>
    <cellStyle name="Followed Hyperlink 4" xfId="26606" hidden="1" xr:uid="{00000000-0005-0000-0000-000037780000}"/>
    <cellStyle name="Followed Hyperlink 4" xfId="26609" hidden="1" xr:uid="{00000000-0005-0000-0000-000038780000}"/>
    <cellStyle name="Followed Hyperlink 4" xfId="26611" hidden="1" xr:uid="{00000000-0005-0000-0000-000039780000}"/>
    <cellStyle name="Followed Hyperlink 4" xfId="26612" hidden="1" xr:uid="{00000000-0005-0000-0000-00003A780000}"/>
    <cellStyle name="Followed Hyperlink 4" xfId="26615" hidden="1" xr:uid="{00000000-0005-0000-0000-00003B780000}"/>
    <cellStyle name="Followed Hyperlink 4" xfId="26340" hidden="1" xr:uid="{00000000-0005-0000-0000-00003C780000}"/>
    <cellStyle name="Followed Hyperlink 4" xfId="26395" hidden="1" xr:uid="{00000000-0005-0000-0000-00003D780000}"/>
    <cellStyle name="Followed Hyperlink 4" xfId="26616" hidden="1" xr:uid="{00000000-0005-0000-0000-00003E780000}"/>
    <cellStyle name="Followed Hyperlink 4" xfId="26619" hidden="1" xr:uid="{00000000-0005-0000-0000-00003F780000}"/>
    <cellStyle name="Followed Hyperlink 4" xfId="26622" hidden="1" xr:uid="{00000000-0005-0000-0000-000040780000}"/>
    <cellStyle name="Followed Hyperlink 4" xfId="26624" hidden="1" xr:uid="{00000000-0005-0000-0000-000041780000}"/>
    <cellStyle name="Followed Hyperlink 4" xfId="26625" hidden="1" xr:uid="{00000000-0005-0000-0000-000042780000}"/>
    <cellStyle name="Followed Hyperlink 4" xfId="26628" hidden="1" xr:uid="{00000000-0005-0000-0000-000043780000}"/>
    <cellStyle name="Followed Hyperlink 4" xfId="26637" hidden="1" xr:uid="{00000000-0005-0000-0000-000044780000}"/>
    <cellStyle name="Followed Hyperlink 4" xfId="26629" hidden="1" xr:uid="{00000000-0005-0000-0000-000045780000}"/>
    <cellStyle name="Followed Hyperlink 4" xfId="26640" hidden="1" xr:uid="{00000000-0005-0000-0000-000046780000}"/>
    <cellStyle name="Followed Hyperlink 4" xfId="26643" hidden="1" xr:uid="{00000000-0005-0000-0000-000047780000}"/>
    <cellStyle name="Followed Hyperlink 4" xfId="26646" hidden="1" xr:uid="{00000000-0005-0000-0000-000048780000}"/>
    <cellStyle name="Followed Hyperlink 4" xfId="26648" hidden="1" xr:uid="{00000000-0005-0000-0000-000049780000}"/>
    <cellStyle name="Followed Hyperlink 4" xfId="26649" hidden="1" xr:uid="{00000000-0005-0000-0000-00004A780000}"/>
    <cellStyle name="Followed Hyperlink 4" xfId="26652" hidden="1" xr:uid="{00000000-0005-0000-0000-00004B780000}"/>
    <cellStyle name="Followed Hyperlink 4" xfId="26661" hidden="1" xr:uid="{00000000-0005-0000-0000-00004C780000}"/>
    <cellStyle name="Followed Hyperlink 4" xfId="26653" hidden="1" xr:uid="{00000000-0005-0000-0000-00004D780000}"/>
    <cellStyle name="Followed Hyperlink 4" xfId="26664" hidden="1" xr:uid="{00000000-0005-0000-0000-00004E780000}"/>
    <cellStyle name="Followed Hyperlink 4" xfId="26667" hidden="1" xr:uid="{00000000-0005-0000-0000-00004F780000}"/>
    <cellStyle name="Followed Hyperlink 4" xfId="26670" hidden="1" xr:uid="{00000000-0005-0000-0000-000050780000}"/>
    <cellStyle name="Followed Hyperlink 4" xfId="26672" hidden="1" xr:uid="{00000000-0005-0000-0000-000051780000}"/>
    <cellStyle name="Followed Hyperlink 4" xfId="26673" hidden="1" xr:uid="{00000000-0005-0000-0000-000052780000}"/>
    <cellStyle name="Followed Hyperlink 4" xfId="26676" hidden="1" xr:uid="{00000000-0005-0000-0000-000053780000}"/>
    <cellStyle name="Followed Hyperlink 4" xfId="26685" hidden="1" xr:uid="{00000000-0005-0000-0000-000054780000}"/>
    <cellStyle name="Followed Hyperlink 4" xfId="26677" hidden="1" xr:uid="{00000000-0005-0000-0000-000055780000}"/>
    <cellStyle name="Followed Hyperlink 4" xfId="26688" hidden="1" xr:uid="{00000000-0005-0000-0000-000056780000}"/>
    <cellStyle name="Followed Hyperlink 4" xfId="26691" hidden="1" xr:uid="{00000000-0005-0000-0000-000057780000}"/>
    <cellStyle name="Followed Hyperlink 4" xfId="26694" hidden="1" xr:uid="{00000000-0005-0000-0000-000058780000}"/>
    <cellStyle name="Followed Hyperlink 4" xfId="26696" hidden="1" xr:uid="{00000000-0005-0000-0000-000059780000}"/>
    <cellStyle name="Followed Hyperlink 4" xfId="26697" hidden="1" xr:uid="{00000000-0005-0000-0000-00005A780000}"/>
    <cellStyle name="Followed Hyperlink 4" xfId="26700" hidden="1" xr:uid="{00000000-0005-0000-0000-00005B780000}"/>
    <cellStyle name="Followed Hyperlink 4" xfId="25273" hidden="1" xr:uid="{00000000-0005-0000-0000-00005C780000}"/>
    <cellStyle name="Followed Hyperlink 4" xfId="25328" hidden="1" xr:uid="{00000000-0005-0000-0000-00005D780000}"/>
    <cellStyle name="Followed Hyperlink 4" xfId="26701" hidden="1" xr:uid="{00000000-0005-0000-0000-00005E780000}"/>
    <cellStyle name="Followed Hyperlink 4" xfId="26704" hidden="1" xr:uid="{00000000-0005-0000-0000-00005F780000}"/>
    <cellStyle name="Followed Hyperlink 4" xfId="26707" hidden="1" xr:uid="{00000000-0005-0000-0000-000060780000}"/>
    <cellStyle name="Followed Hyperlink 4" xfId="26709" hidden="1" xr:uid="{00000000-0005-0000-0000-000061780000}"/>
    <cellStyle name="Followed Hyperlink 4" xfId="26710" hidden="1" xr:uid="{00000000-0005-0000-0000-000062780000}"/>
    <cellStyle name="Followed Hyperlink 4" xfId="26713" hidden="1" xr:uid="{00000000-0005-0000-0000-000063780000}"/>
    <cellStyle name="Followed Hyperlink 4" xfId="26722" hidden="1" xr:uid="{00000000-0005-0000-0000-000064780000}"/>
    <cellStyle name="Followed Hyperlink 4" xfId="26714" hidden="1" xr:uid="{00000000-0005-0000-0000-000065780000}"/>
    <cellStyle name="Followed Hyperlink 4" xfId="26725" hidden="1" xr:uid="{00000000-0005-0000-0000-000066780000}"/>
    <cellStyle name="Followed Hyperlink 4" xfId="26728" hidden="1" xr:uid="{00000000-0005-0000-0000-000067780000}"/>
    <cellStyle name="Followed Hyperlink 4" xfId="26731" hidden="1" xr:uid="{00000000-0005-0000-0000-000068780000}"/>
    <cellStyle name="Followed Hyperlink 4" xfId="26733" hidden="1" xr:uid="{00000000-0005-0000-0000-000069780000}"/>
    <cellStyle name="Followed Hyperlink 4" xfId="26734" hidden="1" xr:uid="{00000000-0005-0000-0000-00006A780000}"/>
    <cellStyle name="Followed Hyperlink 4" xfId="26737" hidden="1" xr:uid="{00000000-0005-0000-0000-00006B780000}"/>
    <cellStyle name="Followed Hyperlink 4" xfId="26746" hidden="1" xr:uid="{00000000-0005-0000-0000-00006C780000}"/>
    <cellStyle name="Followed Hyperlink 4" xfId="26738" hidden="1" xr:uid="{00000000-0005-0000-0000-00006D780000}"/>
    <cellStyle name="Followed Hyperlink 4" xfId="26749" hidden="1" xr:uid="{00000000-0005-0000-0000-00006E780000}"/>
    <cellStyle name="Followed Hyperlink 4" xfId="26752" hidden="1" xr:uid="{00000000-0005-0000-0000-00006F780000}"/>
    <cellStyle name="Followed Hyperlink 4" xfId="26755" hidden="1" xr:uid="{00000000-0005-0000-0000-000070780000}"/>
    <cellStyle name="Followed Hyperlink 4" xfId="26757" hidden="1" xr:uid="{00000000-0005-0000-0000-000071780000}"/>
    <cellStyle name="Followed Hyperlink 4" xfId="26758" hidden="1" xr:uid="{00000000-0005-0000-0000-000072780000}"/>
    <cellStyle name="Followed Hyperlink 4" xfId="26761" hidden="1" xr:uid="{00000000-0005-0000-0000-000073780000}"/>
    <cellStyle name="Followed Hyperlink 4" xfId="26770" hidden="1" xr:uid="{00000000-0005-0000-0000-000074780000}"/>
    <cellStyle name="Followed Hyperlink 4" xfId="26762" hidden="1" xr:uid="{00000000-0005-0000-0000-000075780000}"/>
    <cellStyle name="Followed Hyperlink 4" xfId="26773" hidden="1" xr:uid="{00000000-0005-0000-0000-000076780000}"/>
    <cellStyle name="Followed Hyperlink 4" xfId="26776" hidden="1" xr:uid="{00000000-0005-0000-0000-000077780000}"/>
    <cellStyle name="Followed Hyperlink 4" xfId="26779" hidden="1" xr:uid="{00000000-0005-0000-0000-000078780000}"/>
    <cellStyle name="Followed Hyperlink 4" xfId="26781" hidden="1" xr:uid="{00000000-0005-0000-0000-000079780000}"/>
    <cellStyle name="Followed Hyperlink 4" xfId="26782" hidden="1" xr:uid="{00000000-0005-0000-0000-00007A780000}"/>
    <cellStyle name="Followed Hyperlink 4" xfId="26785" hidden="1" xr:uid="{00000000-0005-0000-0000-00007B780000}"/>
    <cellStyle name="Followed Hyperlink 4" xfId="26823" hidden="1" xr:uid="{00000000-0005-0000-0000-00007C780000}"/>
    <cellStyle name="Followed Hyperlink 4" xfId="26815" hidden="1" xr:uid="{00000000-0005-0000-0000-00007D780000}"/>
    <cellStyle name="Followed Hyperlink 4" xfId="26826" hidden="1" xr:uid="{00000000-0005-0000-0000-00007E780000}"/>
    <cellStyle name="Followed Hyperlink 4" xfId="26829" hidden="1" xr:uid="{00000000-0005-0000-0000-00007F780000}"/>
    <cellStyle name="Followed Hyperlink 4" xfId="26832" hidden="1" xr:uid="{00000000-0005-0000-0000-000080780000}"/>
    <cellStyle name="Followed Hyperlink 4" xfId="26834" hidden="1" xr:uid="{00000000-0005-0000-0000-000081780000}"/>
    <cellStyle name="Followed Hyperlink 4" xfId="26835" hidden="1" xr:uid="{00000000-0005-0000-0000-000082780000}"/>
    <cellStyle name="Followed Hyperlink 4" xfId="26838" hidden="1" xr:uid="{00000000-0005-0000-0000-000083780000}"/>
    <cellStyle name="Followed Hyperlink 4" xfId="26847" hidden="1" xr:uid="{00000000-0005-0000-0000-000084780000}"/>
    <cellStyle name="Followed Hyperlink 4" xfId="26839" hidden="1" xr:uid="{00000000-0005-0000-0000-000085780000}"/>
    <cellStyle name="Followed Hyperlink 4" xfId="26850" hidden="1" xr:uid="{00000000-0005-0000-0000-000086780000}"/>
    <cellStyle name="Followed Hyperlink 4" xfId="26853" hidden="1" xr:uid="{00000000-0005-0000-0000-000087780000}"/>
    <cellStyle name="Followed Hyperlink 4" xfId="26856" hidden="1" xr:uid="{00000000-0005-0000-0000-000088780000}"/>
    <cellStyle name="Followed Hyperlink 4" xfId="26858" hidden="1" xr:uid="{00000000-0005-0000-0000-000089780000}"/>
    <cellStyle name="Followed Hyperlink 4" xfId="26859" hidden="1" xr:uid="{00000000-0005-0000-0000-00008A780000}"/>
    <cellStyle name="Followed Hyperlink 4" xfId="26862" hidden="1" xr:uid="{00000000-0005-0000-0000-00008B780000}"/>
    <cellStyle name="Followed Hyperlink 4" xfId="26873" hidden="1" xr:uid="{00000000-0005-0000-0000-00008C780000}"/>
    <cellStyle name="Followed Hyperlink 4" xfId="26865" hidden="1" xr:uid="{00000000-0005-0000-0000-00008D780000}"/>
    <cellStyle name="Followed Hyperlink 4" xfId="26876" hidden="1" xr:uid="{00000000-0005-0000-0000-00008E780000}"/>
    <cellStyle name="Followed Hyperlink 4" xfId="26879" hidden="1" xr:uid="{00000000-0005-0000-0000-00008F780000}"/>
    <cellStyle name="Followed Hyperlink 4" xfId="26882" hidden="1" xr:uid="{00000000-0005-0000-0000-000090780000}"/>
    <cellStyle name="Followed Hyperlink 4" xfId="26884" hidden="1" xr:uid="{00000000-0005-0000-0000-000091780000}"/>
    <cellStyle name="Followed Hyperlink 4" xfId="26885" hidden="1" xr:uid="{00000000-0005-0000-0000-000092780000}"/>
    <cellStyle name="Followed Hyperlink 4" xfId="26888" hidden="1" xr:uid="{00000000-0005-0000-0000-000093780000}"/>
    <cellStyle name="Followed Hyperlink 4" xfId="26897" hidden="1" xr:uid="{00000000-0005-0000-0000-000094780000}"/>
    <cellStyle name="Followed Hyperlink 4" xfId="26889" hidden="1" xr:uid="{00000000-0005-0000-0000-000095780000}"/>
    <cellStyle name="Followed Hyperlink 4" xfId="26900" hidden="1" xr:uid="{00000000-0005-0000-0000-000096780000}"/>
    <cellStyle name="Followed Hyperlink 4" xfId="26903" hidden="1" xr:uid="{00000000-0005-0000-0000-000097780000}"/>
    <cellStyle name="Followed Hyperlink 4" xfId="26906" hidden="1" xr:uid="{00000000-0005-0000-0000-000098780000}"/>
    <cellStyle name="Followed Hyperlink 4" xfId="26908" hidden="1" xr:uid="{00000000-0005-0000-0000-000099780000}"/>
    <cellStyle name="Followed Hyperlink 4" xfId="26909" hidden="1" xr:uid="{00000000-0005-0000-0000-00009A780000}"/>
    <cellStyle name="Followed Hyperlink 4" xfId="26912" hidden="1" xr:uid="{00000000-0005-0000-0000-00009B780000}"/>
    <cellStyle name="Followed Hyperlink 4" xfId="26795" hidden="1" xr:uid="{00000000-0005-0000-0000-00009C780000}"/>
    <cellStyle name="Followed Hyperlink 4" xfId="26789" hidden="1" xr:uid="{00000000-0005-0000-0000-00009D780000}"/>
    <cellStyle name="Followed Hyperlink 4" xfId="26913" hidden="1" xr:uid="{00000000-0005-0000-0000-00009E780000}"/>
    <cellStyle name="Followed Hyperlink 4" xfId="26916" hidden="1" xr:uid="{00000000-0005-0000-0000-00009F780000}"/>
    <cellStyle name="Followed Hyperlink 4" xfId="26919" hidden="1" xr:uid="{00000000-0005-0000-0000-0000A0780000}"/>
    <cellStyle name="Followed Hyperlink 4" xfId="26921" hidden="1" xr:uid="{00000000-0005-0000-0000-0000A1780000}"/>
    <cellStyle name="Followed Hyperlink 4" xfId="26922" hidden="1" xr:uid="{00000000-0005-0000-0000-0000A2780000}"/>
    <cellStyle name="Followed Hyperlink 4" xfId="26925" hidden="1" xr:uid="{00000000-0005-0000-0000-0000A3780000}"/>
    <cellStyle name="Followed Hyperlink 4" xfId="26934" hidden="1" xr:uid="{00000000-0005-0000-0000-0000A4780000}"/>
    <cellStyle name="Followed Hyperlink 4" xfId="26926" hidden="1" xr:uid="{00000000-0005-0000-0000-0000A5780000}"/>
    <cellStyle name="Followed Hyperlink 4" xfId="26937" hidden="1" xr:uid="{00000000-0005-0000-0000-0000A6780000}"/>
    <cellStyle name="Followed Hyperlink 4" xfId="26940" hidden="1" xr:uid="{00000000-0005-0000-0000-0000A7780000}"/>
    <cellStyle name="Followed Hyperlink 4" xfId="26943" hidden="1" xr:uid="{00000000-0005-0000-0000-0000A8780000}"/>
    <cellStyle name="Followed Hyperlink 4" xfId="26945" hidden="1" xr:uid="{00000000-0005-0000-0000-0000A9780000}"/>
    <cellStyle name="Followed Hyperlink 4" xfId="26946" hidden="1" xr:uid="{00000000-0005-0000-0000-0000AA780000}"/>
    <cellStyle name="Followed Hyperlink 4" xfId="26949" hidden="1" xr:uid="{00000000-0005-0000-0000-0000AB780000}"/>
    <cellStyle name="Followed Hyperlink 4" xfId="26959" hidden="1" xr:uid="{00000000-0005-0000-0000-0000AC780000}"/>
    <cellStyle name="Followed Hyperlink 4" xfId="26951" hidden="1" xr:uid="{00000000-0005-0000-0000-0000AD780000}"/>
    <cellStyle name="Followed Hyperlink 4" xfId="26962" hidden="1" xr:uid="{00000000-0005-0000-0000-0000AE780000}"/>
    <cellStyle name="Followed Hyperlink 4" xfId="26965" hidden="1" xr:uid="{00000000-0005-0000-0000-0000AF780000}"/>
    <cellStyle name="Followed Hyperlink 4" xfId="26968" hidden="1" xr:uid="{00000000-0005-0000-0000-0000B0780000}"/>
    <cellStyle name="Followed Hyperlink 4" xfId="26970" hidden="1" xr:uid="{00000000-0005-0000-0000-0000B1780000}"/>
    <cellStyle name="Followed Hyperlink 4" xfId="26971" hidden="1" xr:uid="{00000000-0005-0000-0000-0000B2780000}"/>
    <cellStyle name="Followed Hyperlink 4" xfId="26974" hidden="1" xr:uid="{00000000-0005-0000-0000-0000B3780000}"/>
    <cellStyle name="Followed Hyperlink 4" xfId="26983" hidden="1" xr:uid="{00000000-0005-0000-0000-0000B4780000}"/>
    <cellStyle name="Followed Hyperlink 4" xfId="26975" hidden="1" xr:uid="{00000000-0005-0000-0000-0000B5780000}"/>
    <cellStyle name="Followed Hyperlink 4" xfId="26986" hidden="1" xr:uid="{00000000-0005-0000-0000-0000B6780000}"/>
    <cellStyle name="Followed Hyperlink 4" xfId="26989" hidden="1" xr:uid="{00000000-0005-0000-0000-0000B7780000}"/>
    <cellStyle name="Followed Hyperlink 4" xfId="26992" hidden="1" xr:uid="{00000000-0005-0000-0000-0000B8780000}"/>
    <cellStyle name="Followed Hyperlink 4" xfId="26994" hidden="1" xr:uid="{00000000-0005-0000-0000-0000B9780000}"/>
    <cellStyle name="Followed Hyperlink 4" xfId="26995" hidden="1" xr:uid="{00000000-0005-0000-0000-0000BA780000}"/>
    <cellStyle name="Followed Hyperlink 4" xfId="26998" hidden="1" xr:uid="{00000000-0005-0000-0000-0000BB780000}"/>
    <cellStyle name="Followed Hyperlink 4" xfId="26799" hidden="1" xr:uid="{00000000-0005-0000-0000-0000BC780000}"/>
    <cellStyle name="Followed Hyperlink 4" xfId="26805" hidden="1" xr:uid="{00000000-0005-0000-0000-0000BD780000}"/>
    <cellStyle name="Followed Hyperlink 4" xfId="26999" hidden="1" xr:uid="{00000000-0005-0000-0000-0000BE780000}"/>
    <cellStyle name="Followed Hyperlink 4" xfId="27002" hidden="1" xr:uid="{00000000-0005-0000-0000-0000BF780000}"/>
    <cellStyle name="Followed Hyperlink 4" xfId="27005" hidden="1" xr:uid="{00000000-0005-0000-0000-0000C0780000}"/>
    <cellStyle name="Followed Hyperlink 4" xfId="27007" hidden="1" xr:uid="{00000000-0005-0000-0000-0000C1780000}"/>
    <cellStyle name="Followed Hyperlink 4" xfId="27008" hidden="1" xr:uid="{00000000-0005-0000-0000-0000C2780000}"/>
    <cellStyle name="Followed Hyperlink 4" xfId="27011" hidden="1" xr:uid="{00000000-0005-0000-0000-0000C3780000}"/>
    <cellStyle name="Followed Hyperlink 4" xfId="27020" hidden="1" xr:uid="{00000000-0005-0000-0000-0000C4780000}"/>
    <cellStyle name="Followed Hyperlink 4" xfId="27012" hidden="1" xr:uid="{00000000-0005-0000-0000-0000C5780000}"/>
    <cellStyle name="Followed Hyperlink 4" xfId="27023" hidden="1" xr:uid="{00000000-0005-0000-0000-0000C6780000}"/>
    <cellStyle name="Followed Hyperlink 4" xfId="27026" hidden="1" xr:uid="{00000000-0005-0000-0000-0000C7780000}"/>
    <cellStyle name="Followed Hyperlink 4" xfId="27029" hidden="1" xr:uid="{00000000-0005-0000-0000-0000C8780000}"/>
    <cellStyle name="Followed Hyperlink 4" xfId="27031" hidden="1" xr:uid="{00000000-0005-0000-0000-0000C9780000}"/>
    <cellStyle name="Followed Hyperlink 4" xfId="27032" hidden="1" xr:uid="{00000000-0005-0000-0000-0000CA780000}"/>
    <cellStyle name="Followed Hyperlink 4" xfId="27035" hidden="1" xr:uid="{00000000-0005-0000-0000-0000CB780000}"/>
    <cellStyle name="Followed Hyperlink 4" xfId="27045" hidden="1" xr:uid="{00000000-0005-0000-0000-0000CC780000}"/>
    <cellStyle name="Followed Hyperlink 4" xfId="27037" hidden="1" xr:uid="{00000000-0005-0000-0000-0000CD780000}"/>
    <cellStyle name="Followed Hyperlink 4" xfId="27048" hidden="1" xr:uid="{00000000-0005-0000-0000-0000CE780000}"/>
    <cellStyle name="Followed Hyperlink 4" xfId="27051" hidden="1" xr:uid="{00000000-0005-0000-0000-0000CF780000}"/>
    <cellStyle name="Followed Hyperlink 4" xfId="27054" hidden="1" xr:uid="{00000000-0005-0000-0000-0000D0780000}"/>
    <cellStyle name="Followed Hyperlink 4" xfId="27056" hidden="1" xr:uid="{00000000-0005-0000-0000-0000D1780000}"/>
    <cellStyle name="Followed Hyperlink 4" xfId="27057" hidden="1" xr:uid="{00000000-0005-0000-0000-0000D2780000}"/>
    <cellStyle name="Followed Hyperlink 4" xfId="27060" hidden="1" xr:uid="{00000000-0005-0000-0000-0000D3780000}"/>
    <cellStyle name="Followed Hyperlink 4" xfId="27069" hidden="1" xr:uid="{00000000-0005-0000-0000-0000D4780000}"/>
    <cellStyle name="Followed Hyperlink 4" xfId="27061" hidden="1" xr:uid="{00000000-0005-0000-0000-0000D5780000}"/>
    <cellStyle name="Followed Hyperlink 4" xfId="27072" hidden="1" xr:uid="{00000000-0005-0000-0000-0000D6780000}"/>
    <cellStyle name="Followed Hyperlink 4" xfId="27075" hidden="1" xr:uid="{00000000-0005-0000-0000-0000D7780000}"/>
    <cellStyle name="Followed Hyperlink 4" xfId="27078" hidden="1" xr:uid="{00000000-0005-0000-0000-0000D8780000}"/>
    <cellStyle name="Followed Hyperlink 4" xfId="27080" hidden="1" xr:uid="{00000000-0005-0000-0000-0000D9780000}"/>
    <cellStyle name="Followed Hyperlink 4" xfId="27081" hidden="1" xr:uid="{00000000-0005-0000-0000-0000DA780000}"/>
    <cellStyle name="Followed Hyperlink 4" xfId="27084" hidden="1" xr:uid="{00000000-0005-0000-0000-0000DB780000}"/>
    <cellStyle name="Followed Hyperlink 4" xfId="26809" hidden="1" xr:uid="{00000000-0005-0000-0000-0000DC780000}"/>
    <cellStyle name="Followed Hyperlink 4" xfId="26864" hidden="1" xr:uid="{00000000-0005-0000-0000-0000DD780000}"/>
    <cellStyle name="Followed Hyperlink 4" xfId="27085" hidden="1" xr:uid="{00000000-0005-0000-0000-0000DE780000}"/>
    <cellStyle name="Followed Hyperlink 4" xfId="27088" hidden="1" xr:uid="{00000000-0005-0000-0000-0000DF780000}"/>
    <cellStyle name="Followed Hyperlink 4" xfId="27091" hidden="1" xr:uid="{00000000-0005-0000-0000-0000E0780000}"/>
    <cellStyle name="Followed Hyperlink 4" xfId="27093" hidden="1" xr:uid="{00000000-0005-0000-0000-0000E1780000}"/>
    <cellStyle name="Followed Hyperlink 4" xfId="27094" hidden="1" xr:uid="{00000000-0005-0000-0000-0000E2780000}"/>
    <cellStyle name="Followed Hyperlink 4" xfId="27097" hidden="1" xr:uid="{00000000-0005-0000-0000-0000E3780000}"/>
    <cellStyle name="Followed Hyperlink 4" xfId="27106" hidden="1" xr:uid="{00000000-0005-0000-0000-0000E4780000}"/>
    <cellStyle name="Followed Hyperlink 4" xfId="27098" hidden="1" xr:uid="{00000000-0005-0000-0000-0000E5780000}"/>
    <cellStyle name="Followed Hyperlink 4" xfId="27109" hidden="1" xr:uid="{00000000-0005-0000-0000-0000E6780000}"/>
    <cellStyle name="Followed Hyperlink 4" xfId="27112" hidden="1" xr:uid="{00000000-0005-0000-0000-0000E7780000}"/>
    <cellStyle name="Followed Hyperlink 4" xfId="27115" hidden="1" xr:uid="{00000000-0005-0000-0000-0000E8780000}"/>
    <cellStyle name="Followed Hyperlink 4" xfId="27117" hidden="1" xr:uid="{00000000-0005-0000-0000-0000E9780000}"/>
    <cellStyle name="Followed Hyperlink 4" xfId="27118" hidden="1" xr:uid="{00000000-0005-0000-0000-0000EA780000}"/>
    <cellStyle name="Followed Hyperlink 4" xfId="27121" hidden="1" xr:uid="{00000000-0005-0000-0000-0000EB780000}"/>
    <cellStyle name="Followed Hyperlink 4" xfId="27130" hidden="1" xr:uid="{00000000-0005-0000-0000-0000EC780000}"/>
    <cellStyle name="Followed Hyperlink 4" xfId="27122" hidden="1" xr:uid="{00000000-0005-0000-0000-0000ED780000}"/>
    <cellStyle name="Followed Hyperlink 4" xfId="27133" hidden="1" xr:uid="{00000000-0005-0000-0000-0000EE780000}"/>
    <cellStyle name="Followed Hyperlink 4" xfId="27136" hidden="1" xr:uid="{00000000-0005-0000-0000-0000EF780000}"/>
    <cellStyle name="Followed Hyperlink 4" xfId="27139" hidden="1" xr:uid="{00000000-0005-0000-0000-0000F0780000}"/>
    <cellStyle name="Followed Hyperlink 4" xfId="27141" hidden="1" xr:uid="{00000000-0005-0000-0000-0000F1780000}"/>
    <cellStyle name="Followed Hyperlink 4" xfId="27142" hidden="1" xr:uid="{00000000-0005-0000-0000-0000F2780000}"/>
    <cellStyle name="Followed Hyperlink 4" xfId="27145" hidden="1" xr:uid="{00000000-0005-0000-0000-0000F3780000}"/>
    <cellStyle name="Followed Hyperlink 4" xfId="27154" hidden="1" xr:uid="{00000000-0005-0000-0000-0000F4780000}"/>
    <cellStyle name="Followed Hyperlink 4" xfId="27146" hidden="1" xr:uid="{00000000-0005-0000-0000-0000F5780000}"/>
    <cellStyle name="Followed Hyperlink 4" xfId="27157" hidden="1" xr:uid="{00000000-0005-0000-0000-0000F6780000}"/>
    <cellStyle name="Followed Hyperlink 4" xfId="27160" hidden="1" xr:uid="{00000000-0005-0000-0000-0000F7780000}"/>
    <cellStyle name="Followed Hyperlink 4" xfId="27163" hidden="1" xr:uid="{00000000-0005-0000-0000-0000F8780000}"/>
    <cellStyle name="Followed Hyperlink 4" xfId="27165" hidden="1" xr:uid="{00000000-0005-0000-0000-0000F9780000}"/>
    <cellStyle name="Followed Hyperlink 4" xfId="27166" hidden="1" xr:uid="{00000000-0005-0000-0000-0000FA780000}"/>
    <cellStyle name="Followed Hyperlink 4" xfId="27169" hidden="1" xr:uid="{00000000-0005-0000-0000-0000FB780000}"/>
    <cellStyle name="Followed Hyperlink 4" xfId="25132" hidden="1" xr:uid="{00000000-0005-0000-0000-0000FC780000}"/>
    <cellStyle name="Followed Hyperlink 4" xfId="25126" hidden="1" xr:uid="{00000000-0005-0000-0000-0000FD780000}"/>
    <cellStyle name="Followed Hyperlink 4" xfId="27170" hidden="1" xr:uid="{00000000-0005-0000-0000-0000FE780000}"/>
    <cellStyle name="Followed Hyperlink 4" xfId="27173" hidden="1" xr:uid="{00000000-0005-0000-0000-0000FF780000}"/>
    <cellStyle name="Followed Hyperlink 4" xfId="27176" hidden="1" xr:uid="{00000000-0005-0000-0000-000000790000}"/>
    <cellStyle name="Followed Hyperlink 4" xfId="27178" hidden="1" xr:uid="{00000000-0005-0000-0000-000001790000}"/>
    <cellStyle name="Followed Hyperlink 4" xfId="27179" hidden="1" xr:uid="{00000000-0005-0000-0000-000002790000}"/>
    <cellStyle name="Followed Hyperlink 4" xfId="27182" hidden="1" xr:uid="{00000000-0005-0000-0000-000003790000}"/>
    <cellStyle name="Followed Hyperlink 4" xfId="27191" hidden="1" xr:uid="{00000000-0005-0000-0000-000004790000}"/>
    <cellStyle name="Followed Hyperlink 4" xfId="27183" hidden="1" xr:uid="{00000000-0005-0000-0000-000005790000}"/>
    <cellStyle name="Followed Hyperlink 4" xfId="27194" hidden="1" xr:uid="{00000000-0005-0000-0000-000006790000}"/>
    <cellStyle name="Followed Hyperlink 4" xfId="27197" hidden="1" xr:uid="{00000000-0005-0000-0000-000007790000}"/>
    <cellStyle name="Followed Hyperlink 4" xfId="27200" hidden="1" xr:uid="{00000000-0005-0000-0000-000008790000}"/>
    <cellStyle name="Followed Hyperlink 4" xfId="27202" hidden="1" xr:uid="{00000000-0005-0000-0000-000009790000}"/>
    <cellStyle name="Followed Hyperlink 4" xfId="27203" hidden="1" xr:uid="{00000000-0005-0000-0000-00000A790000}"/>
    <cellStyle name="Followed Hyperlink 4" xfId="27206" hidden="1" xr:uid="{00000000-0005-0000-0000-00000B790000}"/>
    <cellStyle name="Followed Hyperlink 4" xfId="27216" hidden="1" xr:uid="{00000000-0005-0000-0000-00000C790000}"/>
    <cellStyle name="Followed Hyperlink 4" xfId="27208" hidden="1" xr:uid="{00000000-0005-0000-0000-00000D790000}"/>
    <cellStyle name="Followed Hyperlink 4" xfId="27219" hidden="1" xr:uid="{00000000-0005-0000-0000-00000E790000}"/>
    <cellStyle name="Followed Hyperlink 4" xfId="27222" hidden="1" xr:uid="{00000000-0005-0000-0000-00000F790000}"/>
    <cellStyle name="Followed Hyperlink 4" xfId="27225" hidden="1" xr:uid="{00000000-0005-0000-0000-000010790000}"/>
    <cellStyle name="Followed Hyperlink 4" xfId="27227" hidden="1" xr:uid="{00000000-0005-0000-0000-000011790000}"/>
    <cellStyle name="Followed Hyperlink 4" xfId="27228" hidden="1" xr:uid="{00000000-0005-0000-0000-000012790000}"/>
    <cellStyle name="Followed Hyperlink 4" xfId="27231" hidden="1" xr:uid="{00000000-0005-0000-0000-000013790000}"/>
    <cellStyle name="Followed Hyperlink 4" xfId="27240" hidden="1" xr:uid="{00000000-0005-0000-0000-000014790000}"/>
    <cellStyle name="Followed Hyperlink 4" xfId="27232" hidden="1" xr:uid="{00000000-0005-0000-0000-000015790000}"/>
    <cellStyle name="Followed Hyperlink 4" xfId="27243" hidden="1" xr:uid="{00000000-0005-0000-0000-000016790000}"/>
    <cellStyle name="Followed Hyperlink 4" xfId="27246" hidden="1" xr:uid="{00000000-0005-0000-0000-000017790000}"/>
    <cellStyle name="Followed Hyperlink 4" xfId="27249" hidden="1" xr:uid="{00000000-0005-0000-0000-000018790000}"/>
    <cellStyle name="Followed Hyperlink 4" xfId="27251" hidden="1" xr:uid="{00000000-0005-0000-0000-000019790000}"/>
    <cellStyle name="Followed Hyperlink 4" xfId="27252" hidden="1" xr:uid="{00000000-0005-0000-0000-00001A790000}"/>
    <cellStyle name="Followed Hyperlink 4" xfId="27255" hidden="1" xr:uid="{00000000-0005-0000-0000-00001B790000}"/>
    <cellStyle name="Followed Hyperlink 4" xfId="27293" hidden="1" xr:uid="{00000000-0005-0000-0000-00001C790000}"/>
    <cellStyle name="Followed Hyperlink 4" xfId="27285" hidden="1" xr:uid="{00000000-0005-0000-0000-00001D790000}"/>
    <cellStyle name="Followed Hyperlink 4" xfId="27296" hidden="1" xr:uid="{00000000-0005-0000-0000-00001E790000}"/>
    <cellStyle name="Followed Hyperlink 4" xfId="27299" hidden="1" xr:uid="{00000000-0005-0000-0000-00001F790000}"/>
    <cellStyle name="Followed Hyperlink 4" xfId="27302" hidden="1" xr:uid="{00000000-0005-0000-0000-000020790000}"/>
    <cellStyle name="Followed Hyperlink 4" xfId="27304" hidden="1" xr:uid="{00000000-0005-0000-0000-000021790000}"/>
    <cellStyle name="Followed Hyperlink 4" xfId="27305" hidden="1" xr:uid="{00000000-0005-0000-0000-000022790000}"/>
    <cellStyle name="Followed Hyperlink 4" xfId="27308" hidden="1" xr:uid="{00000000-0005-0000-0000-000023790000}"/>
    <cellStyle name="Followed Hyperlink 4" xfId="27317" hidden="1" xr:uid="{00000000-0005-0000-0000-000024790000}"/>
    <cellStyle name="Followed Hyperlink 4" xfId="27309" hidden="1" xr:uid="{00000000-0005-0000-0000-000025790000}"/>
    <cellStyle name="Followed Hyperlink 4" xfId="27320" hidden="1" xr:uid="{00000000-0005-0000-0000-000026790000}"/>
    <cellStyle name="Followed Hyperlink 4" xfId="27323" hidden="1" xr:uid="{00000000-0005-0000-0000-000027790000}"/>
    <cellStyle name="Followed Hyperlink 4" xfId="27326" hidden="1" xr:uid="{00000000-0005-0000-0000-000028790000}"/>
    <cellStyle name="Followed Hyperlink 4" xfId="27328" hidden="1" xr:uid="{00000000-0005-0000-0000-000029790000}"/>
    <cellStyle name="Followed Hyperlink 4" xfId="27329" hidden="1" xr:uid="{00000000-0005-0000-0000-00002A790000}"/>
    <cellStyle name="Followed Hyperlink 4" xfId="27332" hidden="1" xr:uid="{00000000-0005-0000-0000-00002B790000}"/>
    <cellStyle name="Followed Hyperlink 4" xfId="27343" hidden="1" xr:uid="{00000000-0005-0000-0000-00002C790000}"/>
    <cellStyle name="Followed Hyperlink 4" xfId="27335" hidden="1" xr:uid="{00000000-0005-0000-0000-00002D790000}"/>
    <cellStyle name="Followed Hyperlink 4" xfId="27346" hidden="1" xr:uid="{00000000-0005-0000-0000-00002E790000}"/>
    <cellStyle name="Followed Hyperlink 4" xfId="27349" hidden="1" xr:uid="{00000000-0005-0000-0000-00002F790000}"/>
    <cellStyle name="Followed Hyperlink 4" xfId="27352" hidden="1" xr:uid="{00000000-0005-0000-0000-000030790000}"/>
    <cellStyle name="Followed Hyperlink 4" xfId="27354" hidden="1" xr:uid="{00000000-0005-0000-0000-000031790000}"/>
    <cellStyle name="Followed Hyperlink 4" xfId="27355" hidden="1" xr:uid="{00000000-0005-0000-0000-000032790000}"/>
    <cellStyle name="Followed Hyperlink 4" xfId="27358" hidden="1" xr:uid="{00000000-0005-0000-0000-000033790000}"/>
    <cellStyle name="Followed Hyperlink 4" xfId="27367" hidden="1" xr:uid="{00000000-0005-0000-0000-000034790000}"/>
    <cellStyle name="Followed Hyperlink 4" xfId="27359" hidden="1" xr:uid="{00000000-0005-0000-0000-000035790000}"/>
    <cellStyle name="Followed Hyperlink 4" xfId="27370" hidden="1" xr:uid="{00000000-0005-0000-0000-000036790000}"/>
    <cellStyle name="Followed Hyperlink 4" xfId="27373" hidden="1" xr:uid="{00000000-0005-0000-0000-000037790000}"/>
    <cellStyle name="Followed Hyperlink 4" xfId="27376" hidden="1" xr:uid="{00000000-0005-0000-0000-000038790000}"/>
    <cellStyle name="Followed Hyperlink 4" xfId="27378" hidden="1" xr:uid="{00000000-0005-0000-0000-000039790000}"/>
    <cellStyle name="Followed Hyperlink 4" xfId="27379" hidden="1" xr:uid="{00000000-0005-0000-0000-00003A790000}"/>
    <cellStyle name="Followed Hyperlink 4" xfId="27382" hidden="1" xr:uid="{00000000-0005-0000-0000-00003B790000}"/>
    <cellStyle name="Followed Hyperlink 4" xfId="27420" hidden="1" xr:uid="{00000000-0005-0000-0000-00003C790000}"/>
    <cellStyle name="Followed Hyperlink 4" xfId="27412" hidden="1" xr:uid="{00000000-0005-0000-0000-00003D790000}"/>
    <cellStyle name="Followed Hyperlink 4" xfId="27423" hidden="1" xr:uid="{00000000-0005-0000-0000-00003E790000}"/>
    <cellStyle name="Followed Hyperlink 4" xfId="27426" hidden="1" xr:uid="{00000000-0005-0000-0000-00003F790000}"/>
    <cellStyle name="Followed Hyperlink 4" xfId="27429" hidden="1" xr:uid="{00000000-0005-0000-0000-000040790000}"/>
    <cellStyle name="Followed Hyperlink 4" xfId="27431" hidden="1" xr:uid="{00000000-0005-0000-0000-000041790000}"/>
    <cellStyle name="Followed Hyperlink 4" xfId="27432" hidden="1" xr:uid="{00000000-0005-0000-0000-000042790000}"/>
    <cellStyle name="Followed Hyperlink 4" xfId="27435" hidden="1" xr:uid="{00000000-0005-0000-0000-000043790000}"/>
    <cellStyle name="Followed Hyperlink 4" xfId="27444" hidden="1" xr:uid="{00000000-0005-0000-0000-000044790000}"/>
    <cellStyle name="Followed Hyperlink 4" xfId="27436" hidden="1" xr:uid="{00000000-0005-0000-0000-000045790000}"/>
    <cellStyle name="Followed Hyperlink 4" xfId="27447" hidden="1" xr:uid="{00000000-0005-0000-0000-000046790000}"/>
    <cellStyle name="Followed Hyperlink 4" xfId="27450" hidden="1" xr:uid="{00000000-0005-0000-0000-000047790000}"/>
    <cellStyle name="Followed Hyperlink 4" xfId="27453" hidden="1" xr:uid="{00000000-0005-0000-0000-000048790000}"/>
    <cellStyle name="Followed Hyperlink 4" xfId="27455" hidden="1" xr:uid="{00000000-0005-0000-0000-000049790000}"/>
    <cellStyle name="Followed Hyperlink 4" xfId="27456" hidden="1" xr:uid="{00000000-0005-0000-0000-00004A790000}"/>
    <cellStyle name="Followed Hyperlink 4" xfId="27459" hidden="1" xr:uid="{00000000-0005-0000-0000-00004B790000}"/>
    <cellStyle name="Followed Hyperlink 4" xfId="27470" hidden="1" xr:uid="{00000000-0005-0000-0000-00004C790000}"/>
    <cellStyle name="Followed Hyperlink 4" xfId="27462" hidden="1" xr:uid="{00000000-0005-0000-0000-00004D790000}"/>
    <cellStyle name="Followed Hyperlink 4" xfId="27473" hidden="1" xr:uid="{00000000-0005-0000-0000-00004E790000}"/>
    <cellStyle name="Followed Hyperlink 4" xfId="27476" hidden="1" xr:uid="{00000000-0005-0000-0000-00004F790000}"/>
    <cellStyle name="Followed Hyperlink 4" xfId="27479" hidden="1" xr:uid="{00000000-0005-0000-0000-000050790000}"/>
    <cellStyle name="Followed Hyperlink 4" xfId="27481" hidden="1" xr:uid="{00000000-0005-0000-0000-000051790000}"/>
    <cellStyle name="Followed Hyperlink 4" xfId="27482" hidden="1" xr:uid="{00000000-0005-0000-0000-000052790000}"/>
    <cellStyle name="Followed Hyperlink 4" xfId="27485" hidden="1" xr:uid="{00000000-0005-0000-0000-000053790000}"/>
    <cellStyle name="Followed Hyperlink 4" xfId="27494" hidden="1" xr:uid="{00000000-0005-0000-0000-000054790000}"/>
    <cellStyle name="Followed Hyperlink 4" xfId="27486" hidden="1" xr:uid="{00000000-0005-0000-0000-000055790000}"/>
    <cellStyle name="Followed Hyperlink 4" xfId="27497" hidden="1" xr:uid="{00000000-0005-0000-0000-000056790000}"/>
    <cellStyle name="Followed Hyperlink 4" xfId="27500" hidden="1" xr:uid="{00000000-0005-0000-0000-000057790000}"/>
    <cellStyle name="Followed Hyperlink 4" xfId="27503" hidden="1" xr:uid="{00000000-0005-0000-0000-000058790000}"/>
    <cellStyle name="Followed Hyperlink 4" xfId="27505" hidden="1" xr:uid="{00000000-0005-0000-0000-000059790000}"/>
    <cellStyle name="Followed Hyperlink 4" xfId="27506" hidden="1" xr:uid="{00000000-0005-0000-0000-00005A790000}"/>
    <cellStyle name="Followed Hyperlink 4" xfId="27509" hidden="1" xr:uid="{00000000-0005-0000-0000-00005B790000}"/>
    <cellStyle name="Followed Hyperlink 4" xfId="27392" hidden="1" xr:uid="{00000000-0005-0000-0000-00005C790000}"/>
    <cellStyle name="Followed Hyperlink 4" xfId="27386" hidden="1" xr:uid="{00000000-0005-0000-0000-00005D790000}"/>
    <cellStyle name="Followed Hyperlink 4" xfId="27510" hidden="1" xr:uid="{00000000-0005-0000-0000-00005E790000}"/>
    <cellStyle name="Followed Hyperlink 4" xfId="27513" hidden="1" xr:uid="{00000000-0005-0000-0000-00005F790000}"/>
    <cellStyle name="Followed Hyperlink 4" xfId="27516" hidden="1" xr:uid="{00000000-0005-0000-0000-000060790000}"/>
    <cellStyle name="Followed Hyperlink 4" xfId="27518" hidden="1" xr:uid="{00000000-0005-0000-0000-000061790000}"/>
    <cellStyle name="Followed Hyperlink 4" xfId="27519" hidden="1" xr:uid="{00000000-0005-0000-0000-000062790000}"/>
    <cellStyle name="Followed Hyperlink 4" xfId="27522" hidden="1" xr:uid="{00000000-0005-0000-0000-000063790000}"/>
    <cellStyle name="Followed Hyperlink 4" xfId="27531" hidden="1" xr:uid="{00000000-0005-0000-0000-000064790000}"/>
    <cellStyle name="Followed Hyperlink 4" xfId="27523" hidden="1" xr:uid="{00000000-0005-0000-0000-000065790000}"/>
    <cellStyle name="Followed Hyperlink 4" xfId="27534" hidden="1" xr:uid="{00000000-0005-0000-0000-000066790000}"/>
    <cellStyle name="Followed Hyperlink 4" xfId="27537" hidden="1" xr:uid="{00000000-0005-0000-0000-000067790000}"/>
    <cellStyle name="Followed Hyperlink 4" xfId="27540" hidden="1" xr:uid="{00000000-0005-0000-0000-000068790000}"/>
    <cellStyle name="Followed Hyperlink 4" xfId="27542" hidden="1" xr:uid="{00000000-0005-0000-0000-000069790000}"/>
    <cellStyle name="Followed Hyperlink 4" xfId="27543" hidden="1" xr:uid="{00000000-0005-0000-0000-00006A790000}"/>
    <cellStyle name="Followed Hyperlink 4" xfId="27546" hidden="1" xr:uid="{00000000-0005-0000-0000-00006B790000}"/>
    <cellStyle name="Followed Hyperlink 4" xfId="27556" hidden="1" xr:uid="{00000000-0005-0000-0000-00006C790000}"/>
    <cellStyle name="Followed Hyperlink 4" xfId="27548" hidden="1" xr:uid="{00000000-0005-0000-0000-00006D790000}"/>
    <cellStyle name="Followed Hyperlink 4" xfId="27559" hidden="1" xr:uid="{00000000-0005-0000-0000-00006E790000}"/>
    <cellStyle name="Followed Hyperlink 4" xfId="27562" hidden="1" xr:uid="{00000000-0005-0000-0000-00006F790000}"/>
    <cellStyle name="Followed Hyperlink 4" xfId="27565" hidden="1" xr:uid="{00000000-0005-0000-0000-000070790000}"/>
    <cellStyle name="Followed Hyperlink 4" xfId="27567" hidden="1" xr:uid="{00000000-0005-0000-0000-000071790000}"/>
    <cellStyle name="Followed Hyperlink 4" xfId="27568" hidden="1" xr:uid="{00000000-0005-0000-0000-000072790000}"/>
    <cellStyle name="Followed Hyperlink 4" xfId="27571" hidden="1" xr:uid="{00000000-0005-0000-0000-000073790000}"/>
    <cellStyle name="Followed Hyperlink 4" xfId="27580" hidden="1" xr:uid="{00000000-0005-0000-0000-000074790000}"/>
    <cellStyle name="Followed Hyperlink 4" xfId="27572" hidden="1" xr:uid="{00000000-0005-0000-0000-000075790000}"/>
    <cellStyle name="Followed Hyperlink 4" xfId="27583" hidden="1" xr:uid="{00000000-0005-0000-0000-000076790000}"/>
    <cellStyle name="Followed Hyperlink 4" xfId="27586" hidden="1" xr:uid="{00000000-0005-0000-0000-000077790000}"/>
    <cellStyle name="Followed Hyperlink 4" xfId="27589" hidden="1" xr:uid="{00000000-0005-0000-0000-000078790000}"/>
    <cellStyle name="Followed Hyperlink 4" xfId="27591" hidden="1" xr:uid="{00000000-0005-0000-0000-000079790000}"/>
    <cellStyle name="Followed Hyperlink 4" xfId="27592" hidden="1" xr:uid="{00000000-0005-0000-0000-00007A790000}"/>
    <cellStyle name="Followed Hyperlink 4" xfId="27595" hidden="1" xr:uid="{00000000-0005-0000-0000-00007B790000}"/>
    <cellStyle name="Followed Hyperlink 4" xfId="27396" hidden="1" xr:uid="{00000000-0005-0000-0000-00007C790000}"/>
    <cellStyle name="Followed Hyperlink 4" xfId="27402" hidden="1" xr:uid="{00000000-0005-0000-0000-00007D790000}"/>
    <cellStyle name="Followed Hyperlink 4" xfId="27596" hidden="1" xr:uid="{00000000-0005-0000-0000-00007E790000}"/>
    <cellStyle name="Followed Hyperlink 4" xfId="27599" hidden="1" xr:uid="{00000000-0005-0000-0000-00007F790000}"/>
    <cellStyle name="Followed Hyperlink 4" xfId="27602" hidden="1" xr:uid="{00000000-0005-0000-0000-000080790000}"/>
    <cellStyle name="Followed Hyperlink 4" xfId="27604" hidden="1" xr:uid="{00000000-0005-0000-0000-000081790000}"/>
    <cellStyle name="Followed Hyperlink 4" xfId="27605" hidden="1" xr:uid="{00000000-0005-0000-0000-000082790000}"/>
    <cellStyle name="Followed Hyperlink 4" xfId="27608" hidden="1" xr:uid="{00000000-0005-0000-0000-000083790000}"/>
    <cellStyle name="Followed Hyperlink 4" xfId="27617" hidden="1" xr:uid="{00000000-0005-0000-0000-000084790000}"/>
    <cellStyle name="Followed Hyperlink 4" xfId="27609" hidden="1" xr:uid="{00000000-0005-0000-0000-000085790000}"/>
    <cellStyle name="Followed Hyperlink 4" xfId="27620" hidden="1" xr:uid="{00000000-0005-0000-0000-000086790000}"/>
    <cellStyle name="Followed Hyperlink 4" xfId="27623" hidden="1" xr:uid="{00000000-0005-0000-0000-000087790000}"/>
    <cellStyle name="Followed Hyperlink 4" xfId="27626" hidden="1" xr:uid="{00000000-0005-0000-0000-000088790000}"/>
    <cellStyle name="Followed Hyperlink 4" xfId="27628" hidden="1" xr:uid="{00000000-0005-0000-0000-000089790000}"/>
    <cellStyle name="Followed Hyperlink 4" xfId="27629" hidden="1" xr:uid="{00000000-0005-0000-0000-00008A790000}"/>
    <cellStyle name="Followed Hyperlink 4" xfId="27632" hidden="1" xr:uid="{00000000-0005-0000-0000-00008B790000}"/>
    <cellStyle name="Followed Hyperlink 4" xfId="27642" hidden="1" xr:uid="{00000000-0005-0000-0000-00008C790000}"/>
    <cellStyle name="Followed Hyperlink 4" xfId="27634" hidden="1" xr:uid="{00000000-0005-0000-0000-00008D790000}"/>
    <cellStyle name="Followed Hyperlink 4" xfId="27645" hidden="1" xr:uid="{00000000-0005-0000-0000-00008E790000}"/>
    <cellStyle name="Followed Hyperlink 4" xfId="27648" hidden="1" xr:uid="{00000000-0005-0000-0000-00008F790000}"/>
    <cellStyle name="Followed Hyperlink 4" xfId="27651" hidden="1" xr:uid="{00000000-0005-0000-0000-000090790000}"/>
    <cellStyle name="Followed Hyperlink 4" xfId="27653" hidden="1" xr:uid="{00000000-0005-0000-0000-000091790000}"/>
    <cellStyle name="Followed Hyperlink 4" xfId="27654" hidden="1" xr:uid="{00000000-0005-0000-0000-000092790000}"/>
    <cellStyle name="Followed Hyperlink 4" xfId="27657" hidden="1" xr:uid="{00000000-0005-0000-0000-000093790000}"/>
    <cellStyle name="Followed Hyperlink 4" xfId="27666" hidden="1" xr:uid="{00000000-0005-0000-0000-000094790000}"/>
    <cellStyle name="Followed Hyperlink 4" xfId="27658" hidden="1" xr:uid="{00000000-0005-0000-0000-000095790000}"/>
    <cellStyle name="Followed Hyperlink 4" xfId="27669" hidden="1" xr:uid="{00000000-0005-0000-0000-000096790000}"/>
    <cellStyle name="Followed Hyperlink 4" xfId="27672" hidden="1" xr:uid="{00000000-0005-0000-0000-000097790000}"/>
    <cellStyle name="Followed Hyperlink 4" xfId="27675" hidden="1" xr:uid="{00000000-0005-0000-0000-000098790000}"/>
    <cellStyle name="Followed Hyperlink 4" xfId="27677" hidden="1" xr:uid="{00000000-0005-0000-0000-000099790000}"/>
    <cellStyle name="Followed Hyperlink 4" xfId="27678" hidden="1" xr:uid="{00000000-0005-0000-0000-00009A790000}"/>
    <cellStyle name="Followed Hyperlink 4" xfId="27681" hidden="1" xr:uid="{00000000-0005-0000-0000-00009B790000}"/>
    <cellStyle name="Followed Hyperlink 4" xfId="27406" hidden="1" xr:uid="{00000000-0005-0000-0000-00009C790000}"/>
    <cellStyle name="Followed Hyperlink 4" xfId="27461" hidden="1" xr:uid="{00000000-0005-0000-0000-00009D790000}"/>
    <cellStyle name="Followed Hyperlink 4" xfId="27682" hidden="1" xr:uid="{00000000-0005-0000-0000-00009E790000}"/>
    <cellStyle name="Followed Hyperlink 4" xfId="27685" hidden="1" xr:uid="{00000000-0005-0000-0000-00009F790000}"/>
    <cellStyle name="Followed Hyperlink 4" xfId="27688" hidden="1" xr:uid="{00000000-0005-0000-0000-0000A0790000}"/>
    <cellStyle name="Followed Hyperlink 4" xfId="27690" hidden="1" xr:uid="{00000000-0005-0000-0000-0000A1790000}"/>
    <cellStyle name="Followed Hyperlink 4" xfId="27691" hidden="1" xr:uid="{00000000-0005-0000-0000-0000A2790000}"/>
    <cellStyle name="Followed Hyperlink 4" xfId="27694" hidden="1" xr:uid="{00000000-0005-0000-0000-0000A3790000}"/>
    <cellStyle name="Followed Hyperlink 4" xfId="27703" hidden="1" xr:uid="{00000000-0005-0000-0000-0000A4790000}"/>
    <cellStyle name="Followed Hyperlink 4" xfId="27695" hidden="1" xr:uid="{00000000-0005-0000-0000-0000A5790000}"/>
    <cellStyle name="Followed Hyperlink 4" xfId="27706" hidden="1" xr:uid="{00000000-0005-0000-0000-0000A6790000}"/>
    <cellStyle name="Followed Hyperlink 4" xfId="27709" hidden="1" xr:uid="{00000000-0005-0000-0000-0000A7790000}"/>
    <cellStyle name="Followed Hyperlink 4" xfId="27712" hidden="1" xr:uid="{00000000-0005-0000-0000-0000A8790000}"/>
    <cellStyle name="Followed Hyperlink 4" xfId="27714" hidden="1" xr:uid="{00000000-0005-0000-0000-0000A9790000}"/>
    <cellStyle name="Followed Hyperlink 4" xfId="27715" hidden="1" xr:uid="{00000000-0005-0000-0000-0000AA790000}"/>
    <cellStyle name="Followed Hyperlink 4" xfId="27718" hidden="1" xr:uid="{00000000-0005-0000-0000-0000AB790000}"/>
    <cellStyle name="Followed Hyperlink 4" xfId="27727" hidden="1" xr:uid="{00000000-0005-0000-0000-0000AC790000}"/>
    <cellStyle name="Followed Hyperlink 4" xfId="27719" hidden="1" xr:uid="{00000000-0005-0000-0000-0000AD790000}"/>
    <cellStyle name="Followed Hyperlink 4" xfId="27730" hidden="1" xr:uid="{00000000-0005-0000-0000-0000AE790000}"/>
    <cellStyle name="Followed Hyperlink 4" xfId="27733" hidden="1" xr:uid="{00000000-0005-0000-0000-0000AF790000}"/>
    <cellStyle name="Followed Hyperlink 4" xfId="27736" hidden="1" xr:uid="{00000000-0005-0000-0000-0000B0790000}"/>
    <cellStyle name="Followed Hyperlink 4" xfId="27738" hidden="1" xr:uid="{00000000-0005-0000-0000-0000B1790000}"/>
    <cellStyle name="Followed Hyperlink 4" xfId="27739" hidden="1" xr:uid="{00000000-0005-0000-0000-0000B2790000}"/>
    <cellStyle name="Followed Hyperlink 4" xfId="27742" hidden="1" xr:uid="{00000000-0005-0000-0000-0000B3790000}"/>
    <cellStyle name="Followed Hyperlink 4" xfId="27751" hidden="1" xr:uid="{00000000-0005-0000-0000-0000B4790000}"/>
    <cellStyle name="Followed Hyperlink 4" xfId="27743" hidden="1" xr:uid="{00000000-0005-0000-0000-0000B5790000}"/>
    <cellStyle name="Followed Hyperlink 4" xfId="27754" hidden="1" xr:uid="{00000000-0005-0000-0000-0000B6790000}"/>
    <cellStyle name="Followed Hyperlink 4" xfId="27757" hidden="1" xr:uid="{00000000-0005-0000-0000-0000B7790000}"/>
    <cellStyle name="Followed Hyperlink 4" xfId="27760" hidden="1" xr:uid="{00000000-0005-0000-0000-0000B8790000}"/>
    <cellStyle name="Followed Hyperlink 4" xfId="27762" hidden="1" xr:uid="{00000000-0005-0000-0000-0000B9790000}"/>
    <cellStyle name="Followed Hyperlink 4" xfId="27763" hidden="1" xr:uid="{00000000-0005-0000-0000-0000BA790000}"/>
    <cellStyle name="Followed Hyperlink 4" xfId="27766" hidden="1" xr:uid="{00000000-0005-0000-0000-0000BB790000}"/>
    <cellStyle name="Followed Hyperlink 4" xfId="27265" hidden="1" xr:uid="{00000000-0005-0000-0000-0000BC790000}"/>
    <cellStyle name="Followed Hyperlink 4" xfId="27259" hidden="1" xr:uid="{00000000-0005-0000-0000-0000BD790000}"/>
    <cellStyle name="Followed Hyperlink 4" xfId="27767" hidden="1" xr:uid="{00000000-0005-0000-0000-0000BE790000}"/>
    <cellStyle name="Followed Hyperlink 4" xfId="27770" hidden="1" xr:uid="{00000000-0005-0000-0000-0000BF790000}"/>
    <cellStyle name="Followed Hyperlink 4" xfId="27773" hidden="1" xr:uid="{00000000-0005-0000-0000-0000C0790000}"/>
    <cellStyle name="Followed Hyperlink 4" xfId="27775" hidden="1" xr:uid="{00000000-0005-0000-0000-0000C1790000}"/>
    <cellStyle name="Followed Hyperlink 4" xfId="27776" hidden="1" xr:uid="{00000000-0005-0000-0000-0000C2790000}"/>
    <cellStyle name="Followed Hyperlink 4" xfId="27779" hidden="1" xr:uid="{00000000-0005-0000-0000-0000C3790000}"/>
    <cellStyle name="Followed Hyperlink 4" xfId="27788" hidden="1" xr:uid="{00000000-0005-0000-0000-0000C4790000}"/>
    <cellStyle name="Followed Hyperlink 4" xfId="27780" hidden="1" xr:uid="{00000000-0005-0000-0000-0000C5790000}"/>
    <cellStyle name="Followed Hyperlink 4" xfId="27791" hidden="1" xr:uid="{00000000-0005-0000-0000-0000C6790000}"/>
    <cellStyle name="Followed Hyperlink 4" xfId="27794" hidden="1" xr:uid="{00000000-0005-0000-0000-0000C7790000}"/>
    <cellStyle name="Followed Hyperlink 4" xfId="27797" hidden="1" xr:uid="{00000000-0005-0000-0000-0000C8790000}"/>
    <cellStyle name="Followed Hyperlink 4" xfId="27799" hidden="1" xr:uid="{00000000-0005-0000-0000-0000C9790000}"/>
    <cellStyle name="Followed Hyperlink 4" xfId="27800" hidden="1" xr:uid="{00000000-0005-0000-0000-0000CA790000}"/>
    <cellStyle name="Followed Hyperlink 4" xfId="27803" hidden="1" xr:uid="{00000000-0005-0000-0000-0000CB790000}"/>
    <cellStyle name="Followed Hyperlink 4" xfId="27813" hidden="1" xr:uid="{00000000-0005-0000-0000-0000CC790000}"/>
    <cellStyle name="Followed Hyperlink 4" xfId="27805" hidden="1" xr:uid="{00000000-0005-0000-0000-0000CD790000}"/>
    <cellStyle name="Followed Hyperlink 4" xfId="27816" hidden="1" xr:uid="{00000000-0005-0000-0000-0000CE790000}"/>
    <cellStyle name="Followed Hyperlink 4" xfId="27819" hidden="1" xr:uid="{00000000-0005-0000-0000-0000CF790000}"/>
    <cellStyle name="Followed Hyperlink 4" xfId="27822" hidden="1" xr:uid="{00000000-0005-0000-0000-0000D0790000}"/>
    <cellStyle name="Followed Hyperlink 4" xfId="27824" hidden="1" xr:uid="{00000000-0005-0000-0000-0000D1790000}"/>
    <cellStyle name="Followed Hyperlink 4" xfId="27825" hidden="1" xr:uid="{00000000-0005-0000-0000-0000D2790000}"/>
    <cellStyle name="Followed Hyperlink 4" xfId="27828" hidden="1" xr:uid="{00000000-0005-0000-0000-0000D3790000}"/>
    <cellStyle name="Followed Hyperlink 4" xfId="27837" hidden="1" xr:uid="{00000000-0005-0000-0000-0000D4790000}"/>
    <cellStyle name="Followed Hyperlink 4" xfId="27829" hidden="1" xr:uid="{00000000-0005-0000-0000-0000D5790000}"/>
    <cellStyle name="Followed Hyperlink 4" xfId="27840" hidden="1" xr:uid="{00000000-0005-0000-0000-0000D6790000}"/>
    <cellStyle name="Followed Hyperlink 4" xfId="27843" hidden="1" xr:uid="{00000000-0005-0000-0000-0000D7790000}"/>
    <cellStyle name="Followed Hyperlink 4" xfId="27846" hidden="1" xr:uid="{00000000-0005-0000-0000-0000D8790000}"/>
    <cellStyle name="Followed Hyperlink 4" xfId="27848" hidden="1" xr:uid="{00000000-0005-0000-0000-0000D9790000}"/>
    <cellStyle name="Followed Hyperlink 4" xfId="27849" hidden="1" xr:uid="{00000000-0005-0000-0000-0000DA790000}"/>
    <cellStyle name="Followed Hyperlink 4" xfId="27852" hidden="1" xr:uid="{00000000-0005-0000-0000-0000DB790000}"/>
    <cellStyle name="Followed Hyperlink 4" xfId="27890" hidden="1" xr:uid="{00000000-0005-0000-0000-0000DC790000}"/>
    <cellStyle name="Followed Hyperlink 4" xfId="27882" hidden="1" xr:uid="{00000000-0005-0000-0000-0000DD790000}"/>
    <cellStyle name="Followed Hyperlink 4" xfId="27893" hidden="1" xr:uid="{00000000-0005-0000-0000-0000DE790000}"/>
    <cellStyle name="Followed Hyperlink 4" xfId="27896" hidden="1" xr:uid="{00000000-0005-0000-0000-0000DF790000}"/>
    <cellStyle name="Followed Hyperlink 4" xfId="27899" hidden="1" xr:uid="{00000000-0005-0000-0000-0000E0790000}"/>
    <cellStyle name="Followed Hyperlink 4" xfId="27901" hidden="1" xr:uid="{00000000-0005-0000-0000-0000E1790000}"/>
    <cellStyle name="Followed Hyperlink 4" xfId="27902" hidden="1" xr:uid="{00000000-0005-0000-0000-0000E2790000}"/>
    <cellStyle name="Followed Hyperlink 4" xfId="27905" hidden="1" xr:uid="{00000000-0005-0000-0000-0000E3790000}"/>
    <cellStyle name="Followed Hyperlink 4" xfId="27914" hidden="1" xr:uid="{00000000-0005-0000-0000-0000E4790000}"/>
    <cellStyle name="Followed Hyperlink 4" xfId="27906" hidden="1" xr:uid="{00000000-0005-0000-0000-0000E5790000}"/>
    <cellStyle name="Followed Hyperlink 4" xfId="27917" hidden="1" xr:uid="{00000000-0005-0000-0000-0000E6790000}"/>
    <cellStyle name="Followed Hyperlink 4" xfId="27920" hidden="1" xr:uid="{00000000-0005-0000-0000-0000E7790000}"/>
    <cellStyle name="Followed Hyperlink 4" xfId="27923" hidden="1" xr:uid="{00000000-0005-0000-0000-0000E8790000}"/>
    <cellStyle name="Followed Hyperlink 4" xfId="27925" hidden="1" xr:uid="{00000000-0005-0000-0000-0000E9790000}"/>
    <cellStyle name="Followed Hyperlink 4" xfId="27926" hidden="1" xr:uid="{00000000-0005-0000-0000-0000EA790000}"/>
    <cellStyle name="Followed Hyperlink 4" xfId="27929" hidden="1" xr:uid="{00000000-0005-0000-0000-0000EB790000}"/>
    <cellStyle name="Followed Hyperlink 4" xfId="27940" hidden="1" xr:uid="{00000000-0005-0000-0000-0000EC790000}"/>
    <cellStyle name="Followed Hyperlink 4" xfId="27932" hidden="1" xr:uid="{00000000-0005-0000-0000-0000ED790000}"/>
    <cellStyle name="Followed Hyperlink 4" xfId="27943" hidden="1" xr:uid="{00000000-0005-0000-0000-0000EE790000}"/>
    <cellStyle name="Followed Hyperlink 4" xfId="27946" hidden="1" xr:uid="{00000000-0005-0000-0000-0000EF790000}"/>
    <cellStyle name="Followed Hyperlink 4" xfId="27949" hidden="1" xr:uid="{00000000-0005-0000-0000-0000F0790000}"/>
    <cellStyle name="Followed Hyperlink 4" xfId="27951" hidden="1" xr:uid="{00000000-0005-0000-0000-0000F1790000}"/>
    <cellStyle name="Followed Hyperlink 4" xfId="27952" hidden="1" xr:uid="{00000000-0005-0000-0000-0000F2790000}"/>
    <cellStyle name="Followed Hyperlink 4" xfId="27955" hidden="1" xr:uid="{00000000-0005-0000-0000-0000F3790000}"/>
    <cellStyle name="Followed Hyperlink 4" xfId="27964" hidden="1" xr:uid="{00000000-0005-0000-0000-0000F4790000}"/>
    <cellStyle name="Followed Hyperlink 4" xfId="27956" hidden="1" xr:uid="{00000000-0005-0000-0000-0000F5790000}"/>
    <cellStyle name="Followed Hyperlink 4" xfId="27967" hidden="1" xr:uid="{00000000-0005-0000-0000-0000F6790000}"/>
    <cellStyle name="Followed Hyperlink 4" xfId="27970" hidden="1" xr:uid="{00000000-0005-0000-0000-0000F7790000}"/>
    <cellStyle name="Followed Hyperlink 4" xfId="27973" hidden="1" xr:uid="{00000000-0005-0000-0000-0000F8790000}"/>
    <cellStyle name="Followed Hyperlink 4" xfId="27975" hidden="1" xr:uid="{00000000-0005-0000-0000-0000F9790000}"/>
    <cellStyle name="Followed Hyperlink 4" xfId="27976" hidden="1" xr:uid="{00000000-0005-0000-0000-0000FA790000}"/>
    <cellStyle name="Followed Hyperlink 4" xfId="27979" hidden="1" xr:uid="{00000000-0005-0000-0000-0000FB790000}"/>
    <cellStyle name="Followed Hyperlink 4" xfId="27862" hidden="1" xr:uid="{00000000-0005-0000-0000-0000FC790000}"/>
    <cellStyle name="Followed Hyperlink 4" xfId="27856" hidden="1" xr:uid="{00000000-0005-0000-0000-0000FD790000}"/>
    <cellStyle name="Followed Hyperlink 4" xfId="27980" hidden="1" xr:uid="{00000000-0005-0000-0000-0000FE790000}"/>
    <cellStyle name="Followed Hyperlink 4" xfId="27983" hidden="1" xr:uid="{00000000-0005-0000-0000-0000FF790000}"/>
    <cellStyle name="Followed Hyperlink 4" xfId="27986" hidden="1" xr:uid="{00000000-0005-0000-0000-0000007A0000}"/>
    <cellStyle name="Followed Hyperlink 4" xfId="27988" hidden="1" xr:uid="{00000000-0005-0000-0000-0000017A0000}"/>
    <cellStyle name="Followed Hyperlink 4" xfId="27989" hidden="1" xr:uid="{00000000-0005-0000-0000-0000027A0000}"/>
    <cellStyle name="Followed Hyperlink 4" xfId="27992" hidden="1" xr:uid="{00000000-0005-0000-0000-0000037A0000}"/>
    <cellStyle name="Followed Hyperlink 4" xfId="28001" hidden="1" xr:uid="{00000000-0005-0000-0000-0000047A0000}"/>
    <cellStyle name="Followed Hyperlink 4" xfId="27993" hidden="1" xr:uid="{00000000-0005-0000-0000-0000057A0000}"/>
    <cellStyle name="Followed Hyperlink 4" xfId="28004" hidden="1" xr:uid="{00000000-0005-0000-0000-0000067A0000}"/>
    <cellStyle name="Followed Hyperlink 4" xfId="28007" hidden="1" xr:uid="{00000000-0005-0000-0000-0000077A0000}"/>
    <cellStyle name="Followed Hyperlink 4" xfId="28010" hidden="1" xr:uid="{00000000-0005-0000-0000-0000087A0000}"/>
    <cellStyle name="Followed Hyperlink 4" xfId="28012" hidden="1" xr:uid="{00000000-0005-0000-0000-0000097A0000}"/>
    <cellStyle name="Followed Hyperlink 4" xfId="28013" hidden="1" xr:uid="{00000000-0005-0000-0000-00000A7A0000}"/>
    <cellStyle name="Followed Hyperlink 4" xfId="28016" hidden="1" xr:uid="{00000000-0005-0000-0000-00000B7A0000}"/>
    <cellStyle name="Followed Hyperlink 4" xfId="28026" hidden="1" xr:uid="{00000000-0005-0000-0000-00000C7A0000}"/>
    <cellStyle name="Followed Hyperlink 4" xfId="28018" hidden="1" xr:uid="{00000000-0005-0000-0000-00000D7A0000}"/>
    <cellStyle name="Followed Hyperlink 4" xfId="28029" hidden="1" xr:uid="{00000000-0005-0000-0000-00000E7A0000}"/>
    <cellStyle name="Followed Hyperlink 4" xfId="28032" hidden="1" xr:uid="{00000000-0005-0000-0000-00000F7A0000}"/>
    <cellStyle name="Followed Hyperlink 4" xfId="28035" hidden="1" xr:uid="{00000000-0005-0000-0000-0000107A0000}"/>
    <cellStyle name="Followed Hyperlink 4" xfId="28037" hidden="1" xr:uid="{00000000-0005-0000-0000-0000117A0000}"/>
    <cellStyle name="Followed Hyperlink 4" xfId="28038" hidden="1" xr:uid="{00000000-0005-0000-0000-0000127A0000}"/>
    <cellStyle name="Followed Hyperlink 4" xfId="28041" hidden="1" xr:uid="{00000000-0005-0000-0000-0000137A0000}"/>
    <cellStyle name="Followed Hyperlink 4" xfId="28050" hidden="1" xr:uid="{00000000-0005-0000-0000-0000147A0000}"/>
    <cellStyle name="Followed Hyperlink 4" xfId="28042" hidden="1" xr:uid="{00000000-0005-0000-0000-0000157A0000}"/>
    <cellStyle name="Followed Hyperlink 4" xfId="28053" hidden="1" xr:uid="{00000000-0005-0000-0000-0000167A0000}"/>
    <cellStyle name="Followed Hyperlink 4" xfId="28056" hidden="1" xr:uid="{00000000-0005-0000-0000-0000177A0000}"/>
    <cellStyle name="Followed Hyperlink 4" xfId="28059" hidden="1" xr:uid="{00000000-0005-0000-0000-0000187A0000}"/>
    <cellStyle name="Followed Hyperlink 4" xfId="28061" hidden="1" xr:uid="{00000000-0005-0000-0000-0000197A0000}"/>
    <cellStyle name="Followed Hyperlink 4" xfId="28062" hidden="1" xr:uid="{00000000-0005-0000-0000-00001A7A0000}"/>
    <cellStyle name="Followed Hyperlink 4" xfId="28065" hidden="1" xr:uid="{00000000-0005-0000-0000-00001B7A0000}"/>
    <cellStyle name="Followed Hyperlink 4" xfId="27866" hidden="1" xr:uid="{00000000-0005-0000-0000-00001C7A0000}"/>
    <cellStyle name="Followed Hyperlink 4" xfId="27872" hidden="1" xr:uid="{00000000-0005-0000-0000-00001D7A0000}"/>
    <cellStyle name="Followed Hyperlink 4" xfId="28066" hidden="1" xr:uid="{00000000-0005-0000-0000-00001E7A0000}"/>
    <cellStyle name="Followed Hyperlink 4" xfId="28069" hidden="1" xr:uid="{00000000-0005-0000-0000-00001F7A0000}"/>
    <cellStyle name="Followed Hyperlink 4" xfId="28072" hidden="1" xr:uid="{00000000-0005-0000-0000-0000207A0000}"/>
    <cellStyle name="Followed Hyperlink 4" xfId="28074" hidden="1" xr:uid="{00000000-0005-0000-0000-0000217A0000}"/>
    <cellStyle name="Followed Hyperlink 4" xfId="28075" hidden="1" xr:uid="{00000000-0005-0000-0000-0000227A0000}"/>
    <cellStyle name="Followed Hyperlink 4" xfId="28078" hidden="1" xr:uid="{00000000-0005-0000-0000-0000237A0000}"/>
    <cellStyle name="Followed Hyperlink 4" xfId="28087" hidden="1" xr:uid="{00000000-0005-0000-0000-0000247A0000}"/>
    <cellStyle name="Followed Hyperlink 4" xfId="28079" hidden="1" xr:uid="{00000000-0005-0000-0000-0000257A0000}"/>
    <cellStyle name="Followed Hyperlink 4" xfId="28090" hidden="1" xr:uid="{00000000-0005-0000-0000-0000267A0000}"/>
    <cellStyle name="Followed Hyperlink 4" xfId="28093" hidden="1" xr:uid="{00000000-0005-0000-0000-0000277A0000}"/>
    <cellStyle name="Followed Hyperlink 4" xfId="28096" hidden="1" xr:uid="{00000000-0005-0000-0000-0000287A0000}"/>
    <cellStyle name="Followed Hyperlink 4" xfId="28098" hidden="1" xr:uid="{00000000-0005-0000-0000-0000297A0000}"/>
    <cellStyle name="Followed Hyperlink 4" xfId="28099" hidden="1" xr:uid="{00000000-0005-0000-0000-00002A7A0000}"/>
    <cellStyle name="Followed Hyperlink 4" xfId="28102" hidden="1" xr:uid="{00000000-0005-0000-0000-00002B7A0000}"/>
    <cellStyle name="Followed Hyperlink 4" xfId="28112" hidden="1" xr:uid="{00000000-0005-0000-0000-00002C7A0000}"/>
    <cellStyle name="Followed Hyperlink 4" xfId="28104" hidden="1" xr:uid="{00000000-0005-0000-0000-00002D7A0000}"/>
    <cellStyle name="Followed Hyperlink 4" xfId="28115" hidden="1" xr:uid="{00000000-0005-0000-0000-00002E7A0000}"/>
    <cellStyle name="Followed Hyperlink 4" xfId="28118" hidden="1" xr:uid="{00000000-0005-0000-0000-00002F7A0000}"/>
    <cellStyle name="Followed Hyperlink 4" xfId="28121" hidden="1" xr:uid="{00000000-0005-0000-0000-0000307A0000}"/>
    <cellStyle name="Followed Hyperlink 4" xfId="28123" hidden="1" xr:uid="{00000000-0005-0000-0000-0000317A0000}"/>
    <cellStyle name="Followed Hyperlink 4" xfId="28124" hidden="1" xr:uid="{00000000-0005-0000-0000-0000327A0000}"/>
    <cellStyle name="Followed Hyperlink 4" xfId="28127" hidden="1" xr:uid="{00000000-0005-0000-0000-0000337A0000}"/>
    <cellStyle name="Followed Hyperlink 4" xfId="28136" hidden="1" xr:uid="{00000000-0005-0000-0000-0000347A0000}"/>
    <cellStyle name="Followed Hyperlink 4" xfId="28128" hidden="1" xr:uid="{00000000-0005-0000-0000-0000357A0000}"/>
    <cellStyle name="Followed Hyperlink 4" xfId="28139" hidden="1" xr:uid="{00000000-0005-0000-0000-0000367A0000}"/>
    <cellStyle name="Followed Hyperlink 4" xfId="28142" hidden="1" xr:uid="{00000000-0005-0000-0000-0000377A0000}"/>
    <cellStyle name="Followed Hyperlink 4" xfId="28145" hidden="1" xr:uid="{00000000-0005-0000-0000-0000387A0000}"/>
    <cellStyle name="Followed Hyperlink 4" xfId="28147" hidden="1" xr:uid="{00000000-0005-0000-0000-0000397A0000}"/>
    <cellStyle name="Followed Hyperlink 4" xfId="28148" hidden="1" xr:uid="{00000000-0005-0000-0000-00003A7A0000}"/>
    <cellStyle name="Followed Hyperlink 4" xfId="28151" hidden="1" xr:uid="{00000000-0005-0000-0000-00003B7A0000}"/>
    <cellStyle name="Followed Hyperlink 4" xfId="27876" hidden="1" xr:uid="{00000000-0005-0000-0000-00003C7A0000}"/>
    <cellStyle name="Followed Hyperlink 4" xfId="27931" hidden="1" xr:uid="{00000000-0005-0000-0000-00003D7A0000}"/>
    <cellStyle name="Followed Hyperlink 4" xfId="28152" hidden="1" xr:uid="{00000000-0005-0000-0000-00003E7A0000}"/>
    <cellStyle name="Followed Hyperlink 4" xfId="28155" hidden="1" xr:uid="{00000000-0005-0000-0000-00003F7A0000}"/>
    <cellStyle name="Followed Hyperlink 4" xfId="28158" hidden="1" xr:uid="{00000000-0005-0000-0000-0000407A0000}"/>
    <cellStyle name="Followed Hyperlink 4" xfId="28160" hidden="1" xr:uid="{00000000-0005-0000-0000-0000417A0000}"/>
    <cellStyle name="Followed Hyperlink 4" xfId="28161" hidden="1" xr:uid="{00000000-0005-0000-0000-0000427A0000}"/>
    <cellStyle name="Followed Hyperlink 4" xfId="28164" hidden="1" xr:uid="{00000000-0005-0000-0000-0000437A0000}"/>
    <cellStyle name="Followed Hyperlink 4" xfId="28173" hidden="1" xr:uid="{00000000-0005-0000-0000-0000447A0000}"/>
    <cellStyle name="Followed Hyperlink 4" xfId="28165" hidden="1" xr:uid="{00000000-0005-0000-0000-0000457A0000}"/>
    <cellStyle name="Followed Hyperlink 4" xfId="28176" hidden="1" xr:uid="{00000000-0005-0000-0000-0000467A0000}"/>
    <cellStyle name="Followed Hyperlink 4" xfId="28179" hidden="1" xr:uid="{00000000-0005-0000-0000-0000477A0000}"/>
    <cellStyle name="Followed Hyperlink 4" xfId="28182" hidden="1" xr:uid="{00000000-0005-0000-0000-0000487A0000}"/>
    <cellStyle name="Followed Hyperlink 4" xfId="28184" hidden="1" xr:uid="{00000000-0005-0000-0000-0000497A0000}"/>
    <cellStyle name="Followed Hyperlink 4" xfId="28185" hidden="1" xr:uid="{00000000-0005-0000-0000-00004A7A0000}"/>
    <cellStyle name="Followed Hyperlink 4" xfId="28188" hidden="1" xr:uid="{00000000-0005-0000-0000-00004B7A0000}"/>
    <cellStyle name="Followed Hyperlink 4" xfId="28197" hidden="1" xr:uid="{00000000-0005-0000-0000-00004C7A0000}"/>
    <cellStyle name="Followed Hyperlink 4" xfId="28189" hidden="1" xr:uid="{00000000-0005-0000-0000-00004D7A0000}"/>
    <cellStyle name="Followed Hyperlink 4" xfId="28200" hidden="1" xr:uid="{00000000-0005-0000-0000-00004E7A0000}"/>
    <cellStyle name="Followed Hyperlink 4" xfId="28203" hidden="1" xr:uid="{00000000-0005-0000-0000-00004F7A0000}"/>
    <cellStyle name="Followed Hyperlink 4" xfId="28206" hidden="1" xr:uid="{00000000-0005-0000-0000-0000507A0000}"/>
    <cellStyle name="Followed Hyperlink 4" xfId="28208" hidden="1" xr:uid="{00000000-0005-0000-0000-0000517A0000}"/>
    <cellStyle name="Followed Hyperlink 4" xfId="28209" hidden="1" xr:uid="{00000000-0005-0000-0000-0000527A0000}"/>
    <cellStyle name="Followed Hyperlink 4" xfId="28212" hidden="1" xr:uid="{00000000-0005-0000-0000-0000537A0000}"/>
    <cellStyle name="Followed Hyperlink 4" xfId="28221" hidden="1" xr:uid="{00000000-0005-0000-0000-0000547A0000}"/>
    <cellStyle name="Followed Hyperlink 4" xfId="28213" hidden="1" xr:uid="{00000000-0005-0000-0000-0000557A0000}"/>
    <cellStyle name="Followed Hyperlink 4" xfId="28224" hidden="1" xr:uid="{00000000-0005-0000-0000-0000567A0000}"/>
    <cellStyle name="Followed Hyperlink 4" xfId="28227" hidden="1" xr:uid="{00000000-0005-0000-0000-0000577A0000}"/>
    <cellStyle name="Followed Hyperlink 4" xfId="28230" hidden="1" xr:uid="{00000000-0005-0000-0000-0000587A0000}"/>
    <cellStyle name="Followed Hyperlink 4" xfId="28232" hidden="1" xr:uid="{00000000-0005-0000-0000-0000597A0000}"/>
    <cellStyle name="Followed Hyperlink 4" xfId="28233" hidden="1" xr:uid="{00000000-0005-0000-0000-00005A7A0000}"/>
    <cellStyle name="Followed Hyperlink 4" xfId="28236" hidden="1" xr:uid="{00000000-0005-0000-0000-00005B7A0000}"/>
    <cellStyle name="Followed Hyperlink 4" xfId="27269" hidden="1" xr:uid="{00000000-0005-0000-0000-00005C7A0000}"/>
    <cellStyle name="Followed Hyperlink 4" xfId="27275" hidden="1" xr:uid="{00000000-0005-0000-0000-00005D7A0000}"/>
    <cellStyle name="Followed Hyperlink 4" xfId="28237" hidden="1" xr:uid="{00000000-0005-0000-0000-00005E7A0000}"/>
    <cellStyle name="Followed Hyperlink 4" xfId="28240" hidden="1" xr:uid="{00000000-0005-0000-0000-00005F7A0000}"/>
    <cellStyle name="Followed Hyperlink 4" xfId="28243" hidden="1" xr:uid="{00000000-0005-0000-0000-0000607A0000}"/>
    <cellStyle name="Followed Hyperlink 4" xfId="28245" hidden="1" xr:uid="{00000000-0005-0000-0000-0000617A0000}"/>
    <cellStyle name="Followed Hyperlink 4" xfId="28246" hidden="1" xr:uid="{00000000-0005-0000-0000-0000627A0000}"/>
    <cellStyle name="Followed Hyperlink 4" xfId="28249" hidden="1" xr:uid="{00000000-0005-0000-0000-0000637A0000}"/>
    <cellStyle name="Followed Hyperlink 4" xfId="28258" hidden="1" xr:uid="{00000000-0005-0000-0000-0000647A0000}"/>
    <cellStyle name="Followed Hyperlink 4" xfId="28250" hidden="1" xr:uid="{00000000-0005-0000-0000-0000657A0000}"/>
    <cellStyle name="Followed Hyperlink 4" xfId="28261" hidden="1" xr:uid="{00000000-0005-0000-0000-0000667A0000}"/>
    <cellStyle name="Followed Hyperlink 4" xfId="28264" hidden="1" xr:uid="{00000000-0005-0000-0000-0000677A0000}"/>
    <cellStyle name="Followed Hyperlink 4" xfId="28267" hidden="1" xr:uid="{00000000-0005-0000-0000-0000687A0000}"/>
    <cellStyle name="Followed Hyperlink 4" xfId="28269" hidden="1" xr:uid="{00000000-0005-0000-0000-0000697A0000}"/>
    <cellStyle name="Followed Hyperlink 4" xfId="28270" hidden="1" xr:uid="{00000000-0005-0000-0000-00006A7A0000}"/>
    <cellStyle name="Followed Hyperlink 4" xfId="28273" hidden="1" xr:uid="{00000000-0005-0000-0000-00006B7A0000}"/>
    <cellStyle name="Followed Hyperlink 4" xfId="28283" hidden="1" xr:uid="{00000000-0005-0000-0000-00006C7A0000}"/>
    <cellStyle name="Followed Hyperlink 4" xfId="28275" hidden="1" xr:uid="{00000000-0005-0000-0000-00006D7A0000}"/>
    <cellStyle name="Followed Hyperlink 4" xfId="28286" hidden="1" xr:uid="{00000000-0005-0000-0000-00006E7A0000}"/>
    <cellStyle name="Followed Hyperlink 4" xfId="28289" hidden="1" xr:uid="{00000000-0005-0000-0000-00006F7A0000}"/>
    <cellStyle name="Followed Hyperlink 4" xfId="28292" hidden="1" xr:uid="{00000000-0005-0000-0000-0000707A0000}"/>
    <cellStyle name="Followed Hyperlink 4" xfId="28294" hidden="1" xr:uid="{00000000-0005-0000-0000-0000717A0000}"/>
    <cellStyle name="Followed Hyperlink 4" xfId="28295" hidden="1" xr:uid="{00000000-0005-0000-0000-0000727A0000}"/>
    <cellStyle name="Followed Hyperlink 4" xfId="28298" hidden="1" xr:uid="{00000000-0005-0000-0000-0000737A0000}"/>
    <cellStyle name="Followed Hyperlink 4" xfId="28307" hidden="1" xr:uid="{00000000-0005-0000-0000-0000747A0000}"/>
    <cellStyle name="Followed Hyperlink 4" xfId="28299" hidden="1" xr:uid="{00000000-0005-0000-0000-0000757A0000}"/>
    <cellStyle name="Followed Hyperlink 4" xfId="28310" hidden="1" xr:uid="{00000000-0005-0000-0000-0000767A0000}"/>
    <cellStyle name="Followed Hyperlink 4" xfId="28313" hidden="1" xr:uid="{00000000-0005-0000-0000-0000777A0000}"/>
    <cellStyle name="Followed Hyperlink 4" xfId="28316" hidden="1" xr:uid="{00000000-0005-0000-0000-0000787A0000}"/>
    <cellStyle name="Followed Hyperlink 4" xfId="28318" hidden="1" xr:uid="{00000000-0005-0000-0000-0000797A0000}"/>
    <cellStyle name="Followed Hyperlink 4" xfId="28319" hidden="1" xr:uid="{00000000-0005-0000-0000-00007A7A0000}"/>
    <cellStyle name="Followed Hyperlink 4" xfId="28322" hidden="1" xr:uid="{00000000-0005-0000-0000-00007B7A0000}"/>
    <cellStyle name="Followed Hyperlink 4" xfId="28360" hidden="1" xr:uid="{00000000-0005-0000-0000-00007C7A0000}"/>
    <cellStyle name="Followed Hyperlink 4" xfId="28352" hidden="1" xr:uid="{00000000-0005-0000-0000-00007D7A0000}"/>
    <cellStyle name="Followed Hyperlink 4" xfId="28363" hidden="1" xr:uid="{00000000-0005-0000-0000-00007E7A0000}"/>
    <cellStyle name="Followed Hyperlink 4" xfId="28366" hidden="1" xr:uid="{00000000-0005-0000-0000-00007F7A0000}"/>
    <cellStyle name="Followed Hyperlink 4" xfId="28369" hidden="1" xr:uid="{00000000-0005-0000-0000-0000807A0000}"/>
    <cellStyle name="Followed Hyperlink 4" xfId="28371" hidden="1" xr:uid="{00000000-0005-0000-0000-0000817A0000}"/>
    <cellStyle name="Followed Hyperlink 4" xfId="28372" hidden="1" xr:uid="{00000000-0005-0000-0000-0000827A0000}"/>
    <cellStyle name="Followed Hyperlink 4" xfId="28375" hidden="1" xr:uid="{00000000-0005-0000-0000-0000837A0000}"/>
    <cellStyle name="Followed Hyperlink 4" xfId="28384" hidden="1" xr:uid="{00000000-0005-0000-0000-0000847A0000}"/>
    <cellStyle name="Followed Hyperlink 4" xfId="28376" hidden="1" xr:uid="{00000000-0005-0000-0000-0000857A0000}"/>
    <cellStyle name="Followed Hyperlink 4" xfId="28387" hidden="1" xr:uid="{00000000-0005-0000-0000-0000867A0000}"/>
    <cellStyle name="Followed Hyperlink 4" xfId="28390" hidden="1" xr:uid="{00000000-0005-0000-0000-0000877A0000}"/>
    <cellStyle name="Followed Hyperlink 4" xfId="28393" hidden="1" xr:uid="{00000000-0005-0000-0000-0000887A0000}"/>
    <cellStyle name="Followed Hyperlink 4" xfId="28395" hidden="1" xr:uid="{00000000-0005-0000-0000-0000897A0000}"/>
    <cellStyle name="Followed Hyperlink 4" xfId="28396" hidden="1" xr:uid="{00000000-0005-0000-0000-00008A7A0000}"/>
    <cellStyle name="Followed Hyperlink 4" xfId="28399" hidden="1" xr:uid="{00000000-0005-0000-0000-00008B7A0000}"/>
    <cellStyle name="Followed Hyperlink 4" xfId="28410" hidden="1" xr:uid="{00000000-0005-0000-0000-00008C7A0000}"/>
    <cellStyle name="Followed Hyperlink 4" xfId="28402" hidden="1" xr:uid="{00000000-0005-0000-0000-00008D7A0000}"/>
    <cellStyle name="Followed Hyperlink 4" xfId="28413" hidden="1" xr:uid="{00000000-0005-0000-0000-00008E7A0000}"/>
    <cellStyle name="Followed Hyperlink 4" xfId="28416" hidden="1" xr:uid="{00000000-0005-0000-0000-00008F7A0000}"/>
    <cellStyle name="Followed Hyperlink 4" xfId="28419" hidden="1" xr:uid="{00000000-0005-0000-0000-0000907A0000}"/>
    <cellStyle name="Followed Hyperlink 4" xfId="28421" hidden="1" xr:uid="{00000000-0005-0000-0000-0000917A0000}"/>
    <cellStyle name="Followed Hyperlink 4" xfId="28422" hidden="1" xr:uid="{00000000-0005-0000-0000-0000927A0000}"/>
    <cellStyle name="Followed Hyperlink 4" xfId="28425" hidden="1" xr:uid="{00000000-0005-0000-0000-0000937A0000}"/>
    <cellStyle name="Followed Hyperlink 4" xfId="28434" hidden="1" xr:uid="{00000000-0005-0000-0000-0000947A0000}"/>
    <cellStyle name="Followed Hyperlink 4" xfId="28426" hidden="1" xr:uid="{00000000-0005-0000-0000-0000957A0000}"/>
    <cellStyle name="Followed Hyperlink 4" xfId="28437" hidden="1" xr:uid="{00000000-0005-0000-0000-0000967A0000}"/>
    <cellStyle name="Followed Hyperlink 4" xfId="28440" hidden="1" xr:uid="{00000000-0005-0000-0000-0000977A0000}"/>
    <cellStyle name="Followed Hyperlink 4" xfId="28443" hidden="1" xr:uid="{00000000-0005-0000-0000-0000987A0000}"/>
    <cellStyle name="Followed Hyperlink 4" xfId="28445" hidden="1" xr:uid="{00000000-0005-0000-0000-0000997A0000}"/>
    <cellStyle name="Followed Hyperlink 4" xfId="28446" hidden="1" xr:uid="{00000000-0005-0000-0000-00009A7A0000}"/>
    <cellStyle name="Followed Hyperlink 4" xfId="28449" hidden="1" xr:uid="{00000000-0005-0000-0000-00009B7A0000}"/>
    <cellStyle name="Followed Hyperlink 4" xfId="28332" hidden="1" xr:uid="{00000000-0005-0000-0000-00009C7A0000}"/>
    <cellStyle name="Followed Hyperlink 4" xfId="28326" hidden="1" xr:uid="{00000000-0005-0000-0000-00009D7A0000}"/>
    <cellStyle name="Followed Hyperlink 4" xfId="28450" hidden="1" xr:uid="{00000000-0005-0000-0000-00009E7A0000}"/>
    <cellStyle name="Followed Hyperlink 4" xfId="28453" hidden="1" xr:uid="{00000000-0005-0000-0000-00009F7A0000}"/>
    <cellStyle name="Followed Hyperlink 4" xfId="28456" hidden="1" xr:uid="{00000000-0005-0000-0000-0000A07A0000}"/>
    <cellStyle name="Followed Hyperlink 4" xfId="28458" hidden="1" xr:uid="{00000000-0005-0000-0000-0000A17A0000}"/>
    <cellStyle name="Followed Hyperlink 4" xfId="28459" hidden="1" xr:uid="{00000000-0005-0000-0000-0000A27A0000}"/>
    <cellStyle name="Followed Hyperlink 4" xfId="28462" hidden="1" xr:uid="{00000000-0005-0000-0000-0000A37A0000}"/>
    <cellStyle name="Followed Hyperlink 4" xfId="28471" hidden="1" xr:uid="{00000000-0005-0000-0000-0000A47A0000}"/>
    <cellStyle name="Followed Hyperlink 4" xfId="28463" hidden="1" xr:uid="{00000000-0005-0000-0000-0000A57A0000}"/>
    <cellStyle name="Followed Hyperlink 4" xfId="28474" hidden="1" xr:uid="{00000000-0005-0000-0000-0000A67A0000}"/>
    <cellStyle name="Followed Hyperlink 4" xfId="28477" hidden="1" xr:uid="{00000000-0005-0000-0000-0000A77A0000}"/>
    <cellStyle name="Followed Hyperlink 4" xfId="28480" hidden="1" xr:uid="{00000000-0005-0000-0000-0000A87A0000}"/>
    <cellStyle name="Followed Hyperlink 4" xfId="28482" hidden="1" xr:uid="{00000000-0005-0000-0000-0000A97A0000}"/>
    <cellStyle name="Followed Hyperlink 4" xfId="28483" hidden="1" xr:uid="{00000000-0005-0000-0000-0000AA7A0000}"/>
    <cellStyle name="Followed Hyperlink 4" xfId="28486" hidden="1" xr:uid="{00000000-0005-0000-0000-0000AB7A0000}"/>
    <cellStyle name="Followed Hyperlink 4" xfId="28496" hidden="1" xr:uid="{00000000-0005-0000-0000-0000AC7A0000}"/>
    <cellStyle name="Followed Hyperlink 4" xfId="28488" hidden="1" xr:uid="{00000000-0005-0000-0000-0000AD7A0000}"/>
    <cellStyle name="Followed Hyperlink 4" xfId="28499" hidden="1" xr:uid="{00000000-0005-0000-0000-0000AE7A0000}"/>
    <cellStyle name="Followed Hyperlink 4" xfId="28502" hidden="1" xr:uid="{00000000-0005-0000-0000-0000AF7A0000}"/>
    <cellStyle name="Followed Hyperlink 4" xfId="28505" hidden="1" xr:uid="{00000000-0005-0000-0000-0000B07A0000}"/>
    <cellStyle name="Followed Hyperlink 4" xfId="28507" hidden="1" xr:uid="{00000000-0005-0000-0000-0000B17A0000}"/>
    <cellStyle name="Followed Hyperlink 4" xfId="28508" hidden="1" xr:uid="{00000000-0005-0000-0000-0000B27A0000}"/>
    <cellStyle name="Followed Hyperlink 4" xfId="28511" hidden="1" xr:uid="{00000000-0005-0000-0000-0000B37A0000}"/>
    <cellStyle name="Followed Hyperlink 4" xfId="28520" hidden="1" xr:uid="{00000000-0005-0000-0000-0000B47A0000}"/>
    <cellStyle name="Followed Hyperlink 4" xfId="28512" hidden="1" xr:uid="{00000000-0005-0000-0000-0000B57A0000}"/>
    <cellStyle name="Followed Hyperlink 4" xfId="28523" hidden="1" xr:uid="{00000000-0005-0000-0000-0000B67A0000}"/>
    <cellStyle name="Followed Hyperlink 4" xfId="28526" hidden="1" xr:uid="{00000000-0005-0000-0000-0000B77A0000}"/>
    <cellStyle name="Followed Hyperlink 4" xfId="28529" hidden="1" xr:uid="{00000000-0005-0000-0000-0000B87A0000}"/>
    <cellStyle name="Followed Hyperlink 4" xfId="28531" hidden="1" xr:uid="{00000000-0005-0000-0000-0000B97A0000}"/>
    <cellStyle name="Followed Hyperlink 4" xfId="28532" hidden="1" xr:uid="{00000000-0005-0000-0000-0000BA7A0000}"/>
    <cellStyle name="Followed Hyperlink 4" xfId="28535" hidden="1" xr:uid="{00000000-0005-0000-0000-0000BB7A0000}"/>
    <cellStyle name="Followed Hyperlink 4" xfId="28336" hidden="1" xr:uid="{00000000-0005-0000-0000-0000BC7A0000}"/>
    <cellStyle name="Followed Hyperlink 4" xfId="28342" hidden="1" xr:uid="{00000000-0005-0000-0000-0000BD7A0000}"/>
    <cellStyle name="Followed Hyperlink 4" xfId="28536" hidden="1" xr:uid="{00000000-0005-0000-0000-0000BE7A0000}"/>
    <cellStyle name="Followed Hyperlink 4" xfId="28539" hidden="1" xr:uid="{00000000-0005-0000-0000-0000BF7A0000}"/>
    <cellStyle name="Followed Hyperlink 4" xfId="28542" hidden="1" xr:uid="{00000000-0005-0000-0000-0000C07A0000}"/>
    <cellStyle name="Followed Hyperlink 4" xfId="28544" hidden="1" xr:uid="{00000000-0005-0000-0000-0000C17A0000}"/>
    <cellStyle name="Followed Hyperlink 4" xfId="28545" hidden="1" xr:uid="{00000000-0005-0000-0000-0000C27A0000}"/>
    <cellStyle name="Followed Hyperlink 4" xfId="28548" hidden="1" xr:uid="{00000000-0005-0000-0000-0000C37A0000}"/>
    <cellStyle name="Followed Hyperlink 4" xfId="28557" hidden="1" xr:uid="{00000000-0005-0000-0000-0000C47A0000}"/>
    <cellStyle name="Followed Hyperlink 4" xfId="28549" hidden="1" xr:uid="{00000000-0005-0000-0000-0000C57A0000}"/>
    <cellStyle name="Followed Hyperlink 4" xfId="28560" hidden="1" xr:uid="{00000000-0005-0000-0000-0000C67A0000}"/>
    <cellStyle name="Followed Hyperlink 4" xfId="28563" hidden="1" xr:uid="{00000000-0005-0000-0000-0000C77A0000}"/>
    <cellStyle name="Followed Hyperlink 4" xfId="28566" hidden="1" xr:uid="{00000000-0005-0000-0000-0000C87A0000}"/>
    <cellStyle name="Followed Hyperlink 4" xfId="28568" hidden="1" xr:uid="{00000000-0005-0000-0000-0000C97A0000}"/>
    <cellStyle name="Followed Hyperlink 4" xfId="28569" hidden="1" xr:uid="{00000000-0005-0000-0000-0000CA7A0000}"/>
    <cellStyle name="Followed Hyperlink 4" xfId="28572" hidden="1" xr:uid="{00000000-0005-0000-0000-0000CB7A0000}"/>
    <cellStyle name="Followed Hyperlink 4" xfId="28582" hidden="1" xr:uid="{00000000-0005-0000-0000-0000CC7A0000}"/>
    <cellStyle name="Followed Hyperlink 4" xfId="28574" hidden="1" xr:uid="{00000000-0005-0000-0000-0000CD7A0000}"/>
    <cellStyle name="Followed Hyperlink 4" xfId="28585" hidden="1" xr:uid="{00000000-0005-0000-0000-0000CE7A0000}"/>
    <cellStyle name="Followed Hyperlink 4" xfId="28588" hidden="1" xr:uid="{00000000-0005-0000-0000-0000CF7A0000}"/>
    <cellStyle name="Followed Hyperlink 4" xfId="28591" hidden="1" xr:uid="{00000000-0005-0000-0000-0000D07A0000}"/>
    <cellStyle name="Followed Hyperlink 4" xfId="28593" hidden="1" xr:uid="{00000000-0005-0000-0000-0000D17A0000}"/>
    <cellStyle name="Followed Hyperlink 4" xfId="28594" hidden="1" xr:uid="{00000000-0005-0000-0000-0000D27A0000}"/>
    <cellStyle name="Followed Hyperlink 4" xfId="28597" hidden="1" xr:uid="{00000000-0005-0000-0000-0000D37A0000}"/>
    <cellStyle name="Followed Hyperlink 4" xfId="28606" hidden="1" xr:uid="{00000000-0005-0000-0000-0000D47A0000}"/>
    <cellStyle name="Followed Hyperlink 4" xfId="28598" hidden="1" xr:uid="{00000000-0005-0000-0000-0000D57A0000}"/>
    <cellStyle name="Followed Hyperlink 4" xfId="28609" hidden="1" xr:uid="{00000000-0005-0000-0000-0000D67A0000}"/>
    <cellStyle name="Followed Hyperlink 4" xfId="28612" hidden="1" xr:uid="{00000000-0005-0000-0000-0000D77A0000}"/>
    <cellStyle name="Followed Hyperlink 4" xfId="28615" hidden="1" xr:uid="{00000000-0005-0000-0000-0000D87A0000}"/>
    <cellStyle name="Followed Hyperlink 4" xfId="28617" hidden="1" xr:uid="{00000000-0005-0000-0000-0000D97A0000}"/>
    <cellStyle name="Followed Hyperlink 4" xfId="28618" hidden="1" xr:uid="{00000000-0005-0000-0000-0000DA7A0000}"/>
    <cellStyle name="Followed Hyperlink 4" xfId="28621" hidden="1" xr:uid="{00000000-0005-0000-0000-0000DB7A0000}"/>
    <cellStyle name="Followed Hyperlink 4" xfId="28346" hidden="1" xr:uid="{00000000-0005-0000-0000-0000DC7A0000}"/>
    <cellStyle name="Followed Hyperlink 4" xfId="28401" hidden="1" xr:uid="{00000000-0005-0000-0000-0000DD7A0000}"/>
    <cellStyle name="Followed Hyperlink 4" xfId="28622" hidden="1" xr:uid="{00000000-0005-0000-0000-0000DE7A0000}"/>
    <cellStyle name="Followed Hyperlink 4" xfId="28625" hidden="1" xr:uid="{00000000-0005-0000-0000-0000DF7A0000}"/>
    <cellStyle name="Followed Hyperlink 4" xfId="28628" hidden="1" xr:uid="{00000000-0005-0000-0000-0000E07A0000}"/>
    <cellStyle name="Followed Hyperlink 4" xfId="28630" hidden="1" xr:uid="{00000000-0005-0000-0000-0000E17A0000}"/>
    <cellStyle name="Followed Hyperlink 4" xfId="28631" hidden="1" xr:uid="{00000000-0005-0000-0000-0000E27A0000}"/>
    <cellStyle name="Followed Hyperlink 4" xfId="28634" hidden="1" xr:uid="{00000000-0005-0000-0000-0000E37A0000}"/>
    <cellStyle name="Followed Hyperlink 4" xfId="28643" hidden="1" xr:uid="{00000000-0005-0000-0000-0000E47A0000}"/>
    <cellStyle name="Followed Hyperlink 4" xfId="28635" hidden="1" xr:uid="{00000000-0005-0000-0000-0000E57A0000}"/>
    <cellStyle name="Followed Hyperlink 4" xfId="28646" hidden="1" xr:uid="{00000000-0005-0000-0000-0000E67A0000}"/>
    <cellStyle name="Followed Hyperlink 4" xfId="28649" hidden="1" xr:uid="{00000000-0005-0000-0000-0000E77A0000}"/>
    <cellStyle name="Followed Hyperlink 4" xfId="28652" hidden="1" xr:uid="{00000000-0005-0000-0000-0000E87A0000}"/>
    <cellStyle name="Followed Hyperlink 4" xfId="28654" hidden="1" xr:uid="{00000000-0005-0000-0000-0000E97A0000}"/>
    <cellStyle name="Followed Hyperlink 4" xfId="28655" hidden="1" xr:uid="{00000000-0005-0000-0000-0000EA7A0000}"/>
    <cellStyle name="Followed Hyperlink 4" xfId="28658" hidden="1" xr:uid="{00000000-0005-0000-0000-0000EB7A0000}"/>
    <cellStyle name="Followed Hyperlink 4" xfId="28667" hidden="1" xr:uid="{00000000-0005-0000-0000-0000EC7A0000}"/>
    <cellStyle name="Followed Hyperlink 4" xfId="28659" hidden="1" xr:uid="{00000000-0005-0000-0000-0000ED7A0000}"/>
    <cellStyle name="Followed Hyperlink 4" xfId="28670" hidden="1" xr:uid="{00000000-0005-0000-0000-0000EE7A0000}"/>
    <cellStyle name="Followed Hyperlink 4" xfId="28673" hidden="1" xr:uid="{00000000-0005-0000-0000-0000EF7A0000}"/>
    <cellStyle name="Followed Hyperlink 4" xfId="28676" hidden="1" xr:uid="{00000000-0005-0000-0000-0000F07A0000}"/>
    <cellStyle name="Followed Hyperlink 4" xfId="28678" hidden="1" xr:uid="{00000000-0005-0000-0000-0000F17A0000}"/>
    <cellStyle name="Followed Hyperlink 4" xfId="28679" hidden="1" xr:uid="{00000000-0005-0000-0000-0000F27A0000}"/>
    <cellStyle name="Followed Hyperlink 4" xfId="28682" hidden="1" xr:uid="{00000000-0005-0000-0000-0000F37A0000}"/>
    <cellStyle name="Followed Hyperlink 4" xfId="28691" hidden="1" xr:uid="{00000000-0005-0000-0000-0000F47A0000}"/>
    <cellStyle name="Followed Hyperlink 4" xfId="28683" hidden="1" xr:uid="{00000000-0005-0000-0000-0000F57A0000}"/>
    <cellStyle name="Followed Hyperlink 4" xfId="28694" hidden="1" xr:uid="{00000000-0005-0000-0000-0000F67A0000}"/>
    <cellStyle name="Followed Hyperlink 4" xfId="28697" hidden="1" xr:uid="{00000000-0005-0000-0000-0000F77A0000}"/>
    <cellStyle name="Followed Hyperlink 4" xfId="28700" hidden="1" xr:uid="{00000000-0005-0000-0000-0000F87A0000}"/>
    <cellStyle name="Followed Hyperlink 4" xfId="28702" hidden="1" xr:uid="{00000000-0005-0000-0000-0000F97A0000}"/>
    <cellStyle name="Followed Hyperlink 4" xfId="28703" hidden="1" xr:uid="{00000000-0005-0000-0000-0000FA7A0000}"/>
    <cellStyle name="Followed Hyperlink 4" xfId="28706" hidden="1" xr:uid="{00000000-0005-0000-0000-0000FB7A0000}"/>
    <cellStyle name="Followed Hyperlink 4" xfId="27279" hidden="1" xr:uid="{00000000-0005-0000-0000-0000FC7A0000}"/>
    <cellStyle name="Followed Hyperlink 4" xfId="27334" hidden="1" xr:uid="{00000000-0005-0000-0000-0000FD7A0000}"/>
    <cellStyle name="Followed Hyperlink 4" xfId="28707" hidden="1" xr:uid="{00000000-0005-0000-0000-0000FE7A0000}"/>
    <cellStyle name="Followed Hyperlink 4" xfId="28710" hidden="1" xr:uid="{00000000-0005-0000-0000-0000FF7A0000}"/>
    <cellStyle name="Followed Hyperlink 4" xfId="28713" hidden="1" xr:uid="{00000000-0005-0000-0000-0000007B0000}"/>
    <cellStyle name="Followed Hyperlink 4" xfId="28715" hidden="1" xr:uid="{00000000-0005-0000-0000-0000017B0000}"/>
    <cellStyle name="Followed Hyperlink 4" xfId="28716" hidden="1" xr:uid="{00000000-0005-0000-0000-0000027B0000}"/>
    <cellStyle name="Followed Hyperlink 4" xfId="28719" hidden="1" xr:uid="{00000000-0005-0000-0000-0000037B0000}"/>
    <cellStyle name="Followed Hyperlink 4" xfId="28728" hidden="1" xr:uid="{00000000-0005-0000-0000-0000047B0000}"/>
    <cellStyle name="Followed Hyperlink 4" xfId="28720" hidden="1" xr:uid="{00000000-0005-0000-0000-0000057B0000}"/>
    <cellStyle name="Followed Hyperlink 4" xfId="28731" hidden="1" xr:uid="{00000000-0005-0000-0000-0000067B0000}"/>
    <cellStyle name="Followed Hyperlink 4" xfId="28734" hidden="1" xr:uid="{00000000-0005-0000-0000-0000077B0000}"/>
    <cellStyle name="Followed Hyperlink 4" xfId="28737" hidden="1" xr:uid="{00000000-0005-0000-0000-0000087B0000}"/>
    <cellStyle name="Followed Hyperlink 4" xfId="28739" hidden="1" xr:uid="{00000000-0005-0000-0000-0000097B0000}"/>
    <cellStyle name="Followed Hyperlink 4" xfId="28740" hidden="1" xr:uid="{00000000-0005-0000-0000-00000A7B0000}"/>
    <cellStyle name="Followed Hyperlink 4" xfId="28743" hidden="1" xr:uid="{00000000-0005-0000-0000-00000B7B0000}"/>
    <cellStyle name="Followed Hyperlink 4" xfId="28752" hidden="1" xr:uid="{00000000-0005-0000-0000-00000C7B0000}"/>
    <cellStyle name="Followed Hyperlink 4" xfId="28744" hidden="1" xr:uid="{00000000-0005-0000-0000-00000D7B0000}"/>
    <cellStyle name="Followed Hyperlink 4" xfId="28755" hidden="1" xr:uid="{00000000-0005-0000-0000-00000E7B0000}"/>
    <cellStyle name="Followed Hyperlink 4" xfId="28758" hidden="1" xr:uid="{00000000-0005-0000-0000-00000F7B0000}"/>
    <cellStyle name="Followed Hyperlink 4" xfId="28761" hidden="1" xr:uid="{00000000-0005-0000-0000-0000107B0000}"/>
    <cellStyle name="Followed Hyperlink 4" xfId="28763" hidden="1" xr:uid="{00000000-0005-0000-0000-0000117B0000}"/>
    <cellStyle name="Followed Hyperlink 4" xfId="28764" hidden="1" xr:uid="{00000000-0005-0000-0000-0000127B0000}"/>
    <cellStyle name="Followed Hyperlink 4" xfId="28767" hidden="1" xr:uid="{00000000-0005-0000-0000-0000137B0000}"/>
    <cellStyle name="Followed Hyperlink 4" xfId="28776" hidden="1" xr:uid="{00000000-0005-0000-0000-0000147B0000}"/>
    <cellStyle name="Followed Hyperlink 4" xfId="28768" hidden="1" xr:uid="{00000000-0005-0000-0000-0000157B0000}"/>
    <cellStyle name="Followed Hyperlink 4" xfId="28779" hidden="1" xr:uid="{00000000-0005-0000-0000-0000167B0000}"/>
    <cellStyle name="Followed Hyperlink 4" xfId="28782" hidden="1" xr:uid="{00000000-0005-0000-0000-0000177B0000}"/>
    <cellStyle name="Followed Hyperlink 4" xfId="28785" hidden="1" xr:uid="{00000000-0005-0000-0000-0000187B0000}"/>
    <cellStyle name="Followed Hyperlink 4" xfId="28787" hidden="1" xr:uid="{00000000-0005-0000-0000-0000197B0000}"/>
    <cellStyle name="Followed Hyperlink 4" xfId="28788" hidden="1" xr:uid="{00000000-0005-0000-0000-00001A7B0000}"/>
    <cellStyle name="Followed Hyperlink 4" xfId="28791" hidden="1" xr:uid="{00000000-0005-0000-0000-00001B7B0000}"/>
    <cellStyle name="Followed Hyperlink 4" xfId="28829" hidden="1" xr:uid="{00000000-0005-0000-0000-00001C7B0000}"/>
    <cellStyle name="Followed Hyperlink 4" xfId="28821" hidden="1" xr:uid="{00000000-0005-0000-0000-00001D7B0000}"/>
    <cellStyle name="Followed Hyperlink 4" xfId="28832" hidden="1" xr:uid="{00000000-0005-0000-0000-00001E7B0000}"/>
    <cellStyle name="Followed Hyperlink 4" xfId="28835" hidden="1" xr:uid="{00000000-0005-0000-0000-00001F7B0000}"/>
    <cellStyle name="Followed Hyperlink 4" xfId="28838" hidden="1" xr:uid="{00000000-0005-0000-0000-0000207B0000}"/>
    <cellStyle name="Followed Hyperlink 4" xfId="28840" hidden="1" xr:uid="{00000000-0005-0000-0000-0000217B0000}"/>
    <cellStyle name="Followed Hyperlink 4" xfId="28841" hidden="1" xr:uid="{00000000-0005-0000-0000-0000227B0000}"/>
    <cellStyle name="Followed Hyperlink 4" xfId="28844" hidden="1" xr:uid="{00000000-0005-0000-0000-0000237B0000}"/>
    <cellStyle name="Followed Hyperlink 4" xfId="28853" hidden="1" xr:uid="{00000000-0005-0000-0000-0000247B0000}"/>
    <cellStyle name="Followed Hyperlink 4" xfId="28845" hidden="1" xr:uid="{00000000-0005-0000-0000-0000257B0000}"/>
    <cellStyle name="Followed Hyperlink 4" xfId="28856" hidden="1" xr:uid="{00000000-0005-0000-0000-0000267B0000}"/>
    <cellStyle name="Followed Hyperlink 4" xfId="28859" hidden="1" xr:uid="{00000000-0005-0000-0000-0000277B0000}"/>
    <cellStyle name="Followed Hyperlink 4" xfId="28862" hidden="1" xr:uid="{00000000-0005-0000-0000-0000287B0000}"/>
    <cellStyle name="Followed Hyperlink 4" xfId="28864" hidden="1" xr:uid="{00000000-0005-0000-0000-0000297B0000}"/>
    <cellStyle name="Followed Hyperlink 4" xfId="28865" hidden="1" xr:uid="{00000000-0005-0000-0000-00002A7B0000}"/>
    <cellStyle name="Followed Hyperlink 4" xfId="28868" hidden="1" xr:uid="{00000000-0005-0000-0000-00002B7B0000}"/>
    <cellStyle name="Followed Hyperlink 4" xfId="28879" hidden="1" xr:uid="{00000000-0005-0000-0000-00002C7B0000}"/>
    <cellStyle name="Followed Hyperlink 4" xfId="28871" hidden="1" xr:uid="{00000000-0005-0000-0000-00002D7B0000}"/>
    <cellStyle name="Followed Hyperlink 4" xfId="28882" hidden="1" xr:uid="{00000000-0005-0000-0000-00002E7B0000}"/>
    <cellStyle name="Followed Hyperlink 4" xfId="28885" hidden="1" xr:uid="{00000000-0005-0000-0000-00002F7B0000}"/>
    <cellStyle name="Followed Hyperlink 4" xfId="28888" hidden="1" xr:uid="{00000000-0005-0000-0000-0000307B0000}"/>
    <cellStyle name="Followed Hyperlink 4" xfId="28890" hidden="1" xr:uid="{00000000-0005-0000-0000-0000317B0000}"/>
    <cellStyle name="Followed Hyperlink 4" xfId="28891" hidden="1" xr:uid="{00000000-0005-0000-0000-0000327B0000}"/>
    <cellStyle name="Followed Hyperlink 4" xfId="28894" hidden="1" xr:uid="{00000000-0005-0000-0000-0000337B0000}"/>
    <cellStyle name="Followed Hyperlink 4" xfId="28903" hidden="1" xr:uid="{00000000-0005-0000-0000-0000347B0000}"/>
    <cellStyle name="Followed Hyperlink 4" xfId="28895" hidden="1" xr:uid="{00000000-0005-0000-0000-0000357B0000}"/>
    <cellStyle name="Followed Hyperlink 4" xfId="28906" hidden="1" xr:uid="{00000000-0005-0000-0000-0000367B0000}"/>
    <cellStyle name="Followed Hyperlink 4" xfId="28909" hidden="1" xr:uid="{00000000-0005-0000-0000-0000377B0000}"/>
    <cellStyle name="Followed Hyperlink 4" xfId="28912" hidden="1" xr:uid="{00000000-0005-0000-0000-0000387B0000}"/>
    <cellStyle name="Followed Hyperlink 4" xfId="28914" hidden="1" xr:uid="{00000000-0005-0000-0000-0000397B0000}"/>
    <cellStyle name="Followed Hyperlink 4" xfId="28915" hidden="1" xr:uid="{00000000-0005-0000-0000-00003A7B0000}"/>
    <cellStyle name="Followed Hyperlink 4" xfId="28918" hidden="1" xr:uid="{00000000-0005-0000-0000-00003B7B0000}"/>
    <cellStyle name="Followed Hyperlink 4" xfId="28801" hidden="1" xr:uid="{00000000-0005-0000-0000-00003C7B0000}"/>
    <cellStyle name="Followed Hyperlink 4" xfId="28795" hidden="1" xr:uid="{00000000-0005-0000-0000-00003D7B0000}"/>
    <cellStyle name="Followed Hyperlink 4" xfId="28919" hidden="1" xr:uid="{00000000-0005-0000-0000-00003E7B0000}"/>
    <cellStyle name="Followed Hyperlink 4" xfId="28922" hidden="1" xr:uid="{00000000-0005-0000-0000-00003F7B0000}"/>
    <cellStyle name="Followed Hyperlink 4" xfId="28925" hidden="1" xr:uid="{00000000-0005-0000-0000-0000407B0000}"/>
    <cellStyle name="Followed Hyperlink 4" xfId="28927" hidden="1" xr:uid="{00000000-0005-0000-0000-0000417B0000}"/>
    <cellStyle name="Followed Hyperlink 4" xfId="28928" hidden="1" xr:uid="{00000000-0005-0000-0000-0000427B0000}"/>
    <cellStyle name="Followed Hyperlink 4" xfId="28931" hidden="1" xr:uid="{00000000-0005-0000-0000-0000437B0000}"/>
    <cellStyle name="Followed Hyperlink 4" xfId="28940" hidden="1" xr:uid="{00000000-0005-0000-0000-0000447B0000}"/>
    <cellStyle name="Followed Hyperlink 4" xfId="28932" hidden="1" xr:uid="{00000000-0005-0000-0000-0000457B0000}"/>
    <cellStyle name="Followed Hyperlink 4" xfId="28943" hidden="1" xr:uid="{00000000-0005-0000-0000-0000467B0000}"/>
    <cellStyle name="Followed Hyperlink 4" xfId="28946" hidden="1" xr:uid="{00000000-0005-0000-0000-0000477B0000}"/>
    <cellStyle name="Followed Hyperlink 4" xfId="28949" hidden="1" xr:uid="{00000000-0005-0000-0000-0000487B0000}"/>
    <cellStyle name="Followed Hyperlink 4" xfId="28951" hidden="1" xr:uid="{00000000-0005-0000-0000-0000497B0000}"/>
    <cellStyle name="Followed Hyperlink 4" xfId="28952" hidden="1" xr:uid="{00000000-0005-0000-0000-00004A7B0000}"/>
    <cellStyle name="Followed Hyperlink 4" xfId="28955" hidden="1" xr:uid="{00000000-0005-0000-0000-00004B7B0000}"/>
    <cellStyle name="Followed Hyperlink 4" xfId="28965" hidden="1" xr:uid="{00000000-0005-0000-0000-00004C7B0000}"/>
    <cellStyle name="Followed Hyperlink 4" xfId="28957" hidden="1" xr:uid="{00000000-0005-0000-0000-00004D7B0000}"/>
    <cellStyle name="Followed Hyperlink 4" xfId="28968" hidden="1" xr:uid="{00000000-0005-0000-0000-00004E7B0000}"/>
    <cellStyle name="Followed Hyperlink 4" xfId="28971" hidden="1" xr:uid="{00000000-0005-0000-0000-00004F7B0000}"/>
    <cellStyle name="Followed Hyperlink 4" xfId="28974" hidden="1" xr:uid="{00000000-0005-0000-0000-0000507B0000}"/>
    <cellStyle name="Followed Hyperlink 4" xfId="28976" hidden="1" xr:uid="{00000000-0005-0000-0000-0000517B0000}"/>
    <cellStyle name="Followed Hyperlink 4" xfId="28977" hidden="1" xr:uid="{00000000-0005-0000-0000-0000527B0000}"/>
    <cellStyle name="Followed Hyperlink 4" xfId="28980" hidden="1" xr:uid="{00000000-0005-0000-0000-0000537B0000}"/>
    <cellStyle name="Followed Hyperlink 4" xfId="28989" hidden="1" xr:uid="{00000000-0005-0000-0000-0000547B0000}"/>
    <cellStyle name="Followed Hyperlink 4" xfId="28981" hidden="1" xr:uid="{00000000-0005-0000-0000-0000557B0000}"/>
    <cellStyle name="Followed Hyperlink 4" xfId="28992" hidden="1" xr:uid="{00000000-0005-0000-0000-0000567B0000}"/>
    <cellStyle name="Followed Hyperlink 4" xfId="28995" hidden="1" xr:uid="{00000000-0005-0000-0000-0000577B0000}"/>
    <cellStyle name="Followed Hyperlink 4" xfId="28998" hidden="1" xr:uid="{00000000-0005-0000-0000-0000587B0000}"/>
    <cellStyle name="Followed Hyperlink 4" xfId="29000" hidden="1" xr:uid="{00000000-0005-0000-0000-0000597B0000}"/>
    <cellStyle name="Followed Hyperlink 4" xfId="29001" hidden="1" xr:uid="{00000000-0005-0000-0000-00005A7B0000}"/>
    <cellStyle name="Followed Hyperlink 4" xfId="29004" hidden="1" xr:uid="{00000000-0005-0000-0000-00005B7B0000}"/>
    <cellStyle name="Followed Hyperlink 4" xfId="28805" hidden="1" xr:uid="{00000000-0005-0000-0000-00005C7B0000}"/>
    <cellStyle name="Followed Hyperlink 4" xfId="28811" hidden="1" xr:uid="{00000000-0005-0000-0000-00005D7B0000}"/>
    <cellStyle name="Followed Hyperlink 4" xfId="29005" hidden="1" xr:uid="{00000000-0005-0000-0000-00005E7B0000}"/>
    <cellStyle name="Followed Hyperlink 4" xfId="29008" hidden="1" xr:uid="{00000000-0005-0000-0000-00005F7B0000}"/>
    <cellStyle name="Followed Hyperlink 4" xfId="29011" hidden="1" xr:uid="{00000000-0005-0000-0000-0000607B0000}"/>
    <cellStyle name="Followed Hyperlink 4" xfId="29013" hidden="1" xr:uid="{00000000-0005-0000-0000-0000617B0000}"/>
    <cellStyle name="Followed Hyperlink 4" xfId="29014" hidden="1" xr:uid="{00000000-0005-0000-0000-0000627B0000}"/>
    <cellStyle name="Followed Hyperlink 4" xfId="29017" hidden="1" xr:uid="{00000000-0005-0000-0000-0000637B0000}"/>
    <cellStyle name="Followed Hyperlink 4" xfId="29026" hidden="1" xr:uid="{00000000-0005-0000-0000-0000647B0000}"/>
    <cellStyle name="Followed Hyperlink 4" xfId="29018" hidden="1" xr:uid="{00000000-0005-0000-0000-0000657B0000}"/>
    <cellStyle name="Followed Hyperlink 4" xfId="29029" hidden="1" xr:uid="{00000000-0005-0000-0000-0000667B0000}"/>
    <cellStyle name="Followed Hyperlink 4" xfId="29032" hidden="1" xr:uid="{00000000-0005-0000-0000-0000677B0000}"/>
    <cellStyle name="Followed Hyperlink 4" xfId="29035" hidden="1" xr:uid="{00000000-0005-0000-0000-0000687B0000}"/>
    <cellStyle name="Followed Hyperlink 4" xfId="29037" hidden="1" xr:uid="{00000000-0005-0000-0000-0000697B0000}"/>
    <cellStyle name="Followed Hyperlink 4" xfId="29038" hidden="1" xr:uid="{00000000-0005-0000-0000-00006A7B0000}"/>
    <cellStyle name="Followed Hyperlink 4" xfId="29041" hidden="1" xr:uid="{00000000-0005-0000-0000-00006B7B0000}"/>
    <cellStyle name="Followed Hyperlink 4" xfId="29051" hidden="1" xr:uid="{00000000-0005-0000-0000-00006C7B0000}"/>
    <cellStyle name="Followed Hyperlink 4" xfId="29043" hidden="1" xr:uid="{00000000-0005-0000-0000-00006D7B0000}"/>
    <cellStyle name="Followed Hyperlink 4" xfId="29054" hidden="1" xr:uid="{00000000-0005-0000-0000-00006E7B0000}"/>
    <cellStyle name="Followed Hyperlink 4" xfId="29057" hidden="1" xr:uid="{00000000-0005-0000-0000-00006F7B0000}"/>
    <cellStyle name="Followed Hyperlink 4" xfId="29060" hidden="1" xr:uid="{00000000-0005-0000-0000-0000707B0000}"/>
    <cellStyle name="Followed Hyperlink 4" xfId="29062" hidden="1" xr:uid="{00000000-0005-0000-0000-0000717B0000}"/>
    <cellStyle name="Followed Hyperlink 4" xfId="29063" hidden="1" xr:uid="{00000000-0005-0000-0000-0000727B0000}"/>
    <cellStyle name="Followed Hyperlink 4" xfId="29066" hidden="1" xr:uid="{00000000-0005-0000-0000-0000737B0000}"/>
    <cellStyle name="Followed Hyperlink 4" xfId="29075" hidden="1" xr:uid="{00000000-0005-0000-0000-0000747B0000}"/>
    <cellStyle name="Followed Hyperlink 4" xfId="29067" hidden="1" xr:uid="{00000000-0005-0000-0000-0000757B0000}"/>
    <cellStyle name="Followed Hyperlink 4" xfId="29078" hidden="1" xr:uid="{00000000-0005-0000-0000-0000767B0000}"/>
    <cellStyle name="Followed Hyperlink 4" xfId="29081" hidden="1" xr:uid="{00000000-0005-0000-0000-0000777B0000}"/>
    <cellStyle name="Followed Hyperlink 4" xfId="29084" hidden="1" xr:uid="{00000000-0005-0000-0000-0000787B0000}"/>
    <cellStyle name="Followed Hyperlink 4" xfId="29086" hidden="1" xr:uid="{00000000-0005-0000-0000-0000797B0000}"/>
    <cellStyle name="Followed Hyperlink 4" xfId="29087" hidden="1" xr:uid="{00000000-0005-0000-0000-00007A7B0000}"/>
    <cellStyle name="Followed Hyperlink 4" xfId="29090" hidden="1" xr:uid="{00000000-0005-0000-0000-00007B7B0000}"/>
    <cellStyle name="Followed Hyperlink 4" xfId="28815" hidden="1" xr:uid="{00000000-0005-0000-0000-00007C7B0000}"/>
    <cellStyle name="Followed Hyperlink 4" xfId="28870" hidden="1" xr:uid="{00000000-0005-0000-0000-00007D7B0000}"/>
    <cellStyle name="Followed Hyperlink 4" xfId="29091" hidden="1" xr:uid="{00000000-0005-0000-0000-00007E7B0000}"/>
    <cellStyle name="Followed Hyperlink 4" xfId="29094" hidden="1" xr:uid="{00000000-0005-0000-0000-00007F7B0000}"/>
    <cellStyle name="Followed Hyperlink 4" xfId="29097" hidden="1" xr:uid="{00000000-0005-0000-0000-0000807B0000}"/>
    <cellStyle name="Followed Hyperlink 4" xfId="29099" hidden="1" xr:uid="{00000000-0005-0000-0000-0000817B0000}"/>
    <cellStyle name="Followed Hyperlink 4" xfId="29100" hidden="1" xr:uid="{00000000-0005-0000-0000-0000827B0000}"/>
    <cellStyle name="Followed Hyperlink 4" xfId="29103" hidden="1" xr:uid="{00000000-0005-0000-0000-0000837B0000}"/>
    <cellStyle name="Followed Hyperlink 4" xfId="29112" hidden="1" xr:uid="{00000000-0005-0000-0000-0000847B0000}"/>
    <cellStyle name="Followed Hyperlink 4" xfId="29104" hidden="1" xr:uid="{00000000-0005-0000-0000-0000857B0000}"/>
    <cellStyle name="Followed Hyperlink 4" xfId="29115" hidden="1" xr:uid="{00000000-0005-0000-0000-0000867B0000}"/>
    <cellStyle name="Followed Hyperlink 4" xfId="29118" hidden="1" xr:uid="{00000000-0005-0000-0000-0000877B0000}"/>
    <cellStyle name="Followed Hyperlink 4" xfId="29121" hidden="1" xr:uid="{00000000-0005-0000-0000-0000887B0000}"/>
    <cellStyle name="Followed Hyperlink 4" xfId="29123" hidden="1" xr:uid="{00000000-0005-0000-0000-0000897B0000}"/>
    <cellStyle name="Followed Hyperlink 4" xfId="29124" hidden="1" xr:uid="{00000000-0005-0000-0000-00008A7B0000}"/>
    <cellStyle name="Followed Hyperlink 4" xfId="29127" hidden="1" xr:uid="{00000000-0005-0000-0000-00008B7B0000}"/>
    <cellStyle name="Followed Hyperlink 4" xfId="29136" hidden="1" xr:uid="{00000000-0005-0000-0000-00008C7B0000}"/>
    <cellStyle name="Followed Hyperlink 4" xfId="29128" hidden="1" xr:uid="{00000000-0005-0000-0000-00008D7B0000}"/>
    <cellStyle name="Followed Hyperlink 4" xfId="29139" hidden="1" xr:uid="{00000000-0005-0000-0000-00008E7B0000}"/>
    <cellStyle name="Followed Hyperlink 4" xfId="29142" hidden="1" xr:uid="{00000000-0005-0000-0000-00008F7B0000}"/>
    <cellStyle name="Followed Hyperlink 4" xfId="29145" hidden="1" xr:uid="{00000000-0005-0000-0000-0000907B0000}"/>
    <cellStyle name="Followed Hyperlink 4" xfId="29147" hidden="1" xr:uid="{00000000-0005-0000-0000-0000917B0000}"/>
    <cellStyle name="Followed Hyperlink 4" xfId="29148" hidden="1" xr:uid="{00000000-0005-0000-0000-0000927B0000}"/>
    <cellStyle name="Followed Hyperlink 4" xfId="29151" hidden="1" xr:uid="{00000000-0005-0000-0000-0000937B0000}"/>
    <cellStyle name="Followed Hyperlink 4" xfId="29160" hidden="1" xr:uid="{00000000-0005-0000-0000-0000947B0000}"/>
    <cellStyle name="Followed Hyperlink 4" xfId="29152" hidden="1" xr:uid="{00000000-0005-0000-0000-0000957B0000}"/>
    <cellStyle name="Followed Hyperlink 4" xfId="29163" hidden="1" xr:uid="{00000000-0005-0000-0000-0000967B0000}"/>
    <cellStyle name="Followed Hyperlink 4" xfId="29166" hidden="1" xr:uid="{00000000-0005-0000-0000-0000977B0000}"/>
    <cellStyle name="Followed Hyperlink 4" xfId="29169" hidden="1" xr:uid="{00000000-0005-0000-0000-0000987B0000}"/>
    <cellStyle name="Followed Hyperlink 4" xfId="29171" hidden="1" xr:uid="{00000000-0005-0000-0000-0000997B0000}"/>
    <cellStyle name="Followed Hyperlink 4" xfId="29172" hidden="1" xr:uid="{00000000-0005-0000-0000-00009A7B0000}"/>
    <cellStyle name="Followed Hyperlink 4" xfId="29175" hidden="1" xr:uid="{00000000-0005-0000-0000-00009B7B0000}"/>
    <cellStyle name="Followed Hyperlink 4" xfId="25136" hidden="1" xr:uid="{00000000-0005-0000-0000-00009C7B0000}"/>
    <cellStyle name="Followed Hyperlink 4" xfId="25142" hidden="1" xr:uid="{00000000-0005-0000-0000-00009D7B0000}"/>
    <cellStyle name="Followed Hyperlink 4" xfId="29176" hidden="1" xr:uid="{00000000-0005-0000-0000-00009E7B0000}"/>
    <cellStyle name="Followed Hyperlink 4" xfId="29179" hidden="1" xr:uid="{00000000-0005-0000-0000-00009F7B0000}"/>
    <cellStyle name="Followed Hyperlink 4" xfId="29182" hidden="1" xr:uid="{00000000-0005-0000-0000-0000A07B0000}"/>
    <cellStyle name="Followed Hyperlink 4" xfId="29184" hidden="1" xr:uid="{00000000-0005-0000-0000-0000A17B0000}"/>
    <cellStyle name="Followed Hyperlink 4" xfId="29185" hidden="1" xr:uid="{00000000-0005-0000-0000-0000A27B0000}"/>
    <cellStyle name="Followed Hyperlink 4" xfId="29188" hidden="1" xr:uid="{00000000-0005-0000-0000-0000A37B0000}"/>
    <cellStyle name="Followed Hyperlink 4" xfId="29197" hidden="1" xr:uid="{00000000-0005-0000-0000-0000A47B0000}"/>
    <cellStyle name="Followed Hyperlink 4" xfId="29189" hidden="1" xr:uid="{00000000-0005-0000-0000-0000A57B0000}"/>
    <cellStyle name="Followed Hyperlink 4" xfId="29200" hidden="1" xr:uid="{00000000-0005-0000-0000-0000A67B0000}"/>
    <cellStyle name="Followed Hyperlink 4" xfId="29203" hidden="1" xr:uid="{00000000-0005-0000-0000-0000A77B0000}"/>
    <cellStyle name="Followed Hyperlink 4" xfId="29206" hidden="1" xr:uid="{00000000-0005-0000-0000-0000A87B0000}"/>
    <cellStyle name="Followed Hyperlink 4" xfId="29208" hidden="1" xr:uid="{00000000-0005-0000-0000-0000A97B0000}"/>
    <cellStyle name="Followed Hyperlink 4" xfId="29209" hidden="1" xr:uid="{00000000-0005-0000-0000-0000AA7B0000}"/>
    <cellStyle name="Followed Hyperlink 4" xfId="29212" hidden="1" xr:uid="{00000000-0005-0000-0000-0000AB7B0000}"/>
    <cellStyle name="Followed Hyperlink 4" xfId="29222" hidden="1" xr:uid="{00000000-0005-0000-0000-0000AC7B0000}"/>
    <cellStyle name="Followed Hyperlink 4" xfId="29214" hidden="1" xr:uid="{00000000-0005-0000-0000-0000AD7B0000}"/>
    <cellStyle name="Followed Hyperlink 4" xfId="29225" hidden="1" xr:uid="{00000000-0005-0000-0000-0000AE7B0000}"/>
    <cellStyle name="Followed Hyperlink 4" xfId="29228" hidden="1" xr:uid="{00000000-0005-0000-0000-0000AF7B0000}"/>
    <cellStyle name="Followed Hyperlink 4" xfId="29231" hidden="1" xr:uid="{00000000-0005-0000-0000-0000B07B0000}"/>
    <cellStyle name="Followed Hyperlink 4" xfId="29233" hidden="1" xr:uid="{00000000-0005-0000-0000-0000B17B0000}"/>
    <cellStyle name="Followed Hyperlink 4" xfId="29234" hidden="1" xr:uid="{00000000-0005-0000-0000-0000B27B0000}"/>
    <cellStyle name="Followed Hyperlink 4" xfId="29237" hidden="1" xr:uid="{00000000-0005-0000-0000-0000B37B0000}"/>
    <cellStyle name="Followed Hyperlink 4" xfId="29246" hidden="1" xr:uid="{00000000-0005-0000-0000-0000B47B0000}"/>
    <cellStyle name="Followed Hyperlink 4" xfId="29238" hidden="1" xr:uid="{00000000-0005-0000-0000-0000B57B0000}"/>
    <cellStyle name="Followed Hyperlink 4" xfId="29249" hidden="1" xr:uid="{00000000-0005-0000-0000-0000B67B0000}"/>
    <cellStyle name="Followed Hyperlink 4" xfId="29252" hidden="1" xr:uid="{00000000-0005-0000-0000-0000B77B0000}"/>
    <cellStyle name="Followed Hyperlink 4" xfId="29255" hidden="1" xr:uid="{00000000-0005-0000-0000-0000B87B0000}"/>
    <cellStyle name="Followed Hyperlink 4" xfId="29257" hidden="1" xr:uid="{00000000-0005-0000-0000-0000B97B0000}"/>
    <cellStyle name="Followed Hyperlink 4" xfId="29258" hidden="1" xr:uid="{00000000-0005-0000-0000-0000BA7B0000}"/>
    <cellStyle name="Followed Hyperlink 4" xfId="29261" hidden="1" xr:uid="{00000000-0005-0000-0000-0000BB7B0000}"/>
    <cellStyle name="Followed Hyperlink 4" xfId="29299" hidden="1" xr:uid="{00000000-0005-0000-0000-0000BC7B0000}"/>
    <cellStyle name="Followed Hyperlink 4" xfId="29291" hidden="1" xr:uid="{00000000-0005-0000-0000-0000BD7B0000}"/>
    <cellStyle name="Followed Hyperlink 4" xfId="29302" hidden="1" xr:uid="{00000000-0005-0000-0000-0000BE7B0000}"/>
    <cellStyle name="Followed Hyperlink 4" xfId="29305" hidden="1" xr:uid="{00000000-0005-0000-0000-0000BF7B0000}"/>
    <cellStyle name="Followed Hyperlink 4" xfId="29308" hidden="1" xr:uid="{00000000-0005-0000-0000-0000C07B0000}"/>
    <cellStyle name="Followed Hyperlink 4" xfId="29310" hidden="1" xr:uid="{00000000-0005-0000-0000-0000C17B0000}"/>
    <cellStyle name="Followed Hyperlink 4" xfId="29311" hidden="1" xr:uid="{00000000-0005-0000-0000-0000C27B0000}"/>
    <cellStyle name="Followed Hyperlink 4" xfId="29314" hidden="1" xr:uid="{00000000-0005-0000-0000-0000C37B0000}"/>
    <cellStyle name="Followed Hyperlink 4" xfId="29323" hidden="1" xr:uid="{00000000-0005-0000-0000-0000C47B0000}"/>
    <cellStyle name="Followed Hyperlink 4" xfId="29315" hidden="1" xr:uid="{00000000-0005-0000-0000-0000C57B0000}"/>
    <cellStyle name="Followed Hyperlink 4" xfId="29326" hidden="1" xr:uid="{00000000-0005-0000-0000-0000C67B0000}"/>
    <cellStyle name="Followed Hyperlink 4" xfId="29329" hidden="1" xr:uid="{00000000-0005-0000-0000-0000C77B0000}"/>
    <cellStyle name="Followed Hyperlink 4" xfId="29332" hidden="1" xr:uid="{00000000-0005-0000-0000-0000C87B0000}"/>
    <cellStyle name="Followed Hyperlink 4" xfId="29334" hidden="1" xr:uid="{00000000-0005-0000-0000-0000C97B0000}"/>
    <cellStyle name="Followed Hyperlink 4" xfId="29335" hidden="1" xr:uid="{00000000-0005-0000-0000-0000CA7B0000}"/>
    <cellStyle name="Followed Hyperlink 4" xfId="29338" hidden="1" xr:uid="{00000000-0005-0000-0000-0000CB7B0000}"/>
    <cellStyle name="Followed Hyperlink 4" xfId="29349" hidden="1" xr:uid="{00000000-0005-0000-0000-0000CC7B0000}"/>
    <cellStyle name="Followed Hyperlink 4" xfId="29341" hidden="1" xr:uid="{00000000-0005-0000-0000-0000CD7B0000}"/>
    <cellStyle name="Followed Hyperlink 4" xfId="29352" hidden="1" xr:uid="{00000000-0005-0000-0000-0000CE7B0000}"/>
    <cellStyle name="Followed Hyperlink 4" xfId="29355" hidden="1" xr:uid="{00000000-0005-0000-0000-0000CF7B0000}"/>
    <cellStyle name="Followed Hyperlink 4" xfId="29358" hidden="1" xr:uid="{00000000-0005-0000-0000-0000D07B0000}"/>
    <cellStyle name="Followed Hyperlink 4" xfId="29360" hidden="1" xr:uid="{00000000-0005-0000-0000-0000D17B0000}"/>
    <cellStyle name="Followed Hyperlink 4" xfId="29361" hidden="1" xr:uid="{00000000-0005-0000-0000-0000D27B0000}"/>
    <cellStyle name="Followed Hyperlink 4" xfId="29364" hidden="1" xr:uid="{00000000-0005-0000-0000-0000D37B0000}"/>
    <cellStyle name="Followed Hyperlink 4" xfId="29373" hidden="1" xr:uid="{00000000-0005-0000-0000-0000D47B0000}"/>
    <cellStyle name="Followed Hyperlink 4" xfId="29365" hidden="1" xr:uid="{00000000-0005-0000-0000-0000D57B0000}"/>
    <cellStyle name="Followed Hyperlink 4" xfId="29376" hidden="1" xr:uid="{00000000-0005-0000-0000-0000D67B0000}"/>
    <cellStyle name="Followed Hyperlink 4" xfId="29379" hidden="1" xr:uid="{00000000-0005-0000-0000-0000D77B0000}"/>
    <cellStyle name="Followed Hyperlink 4" xfId="29382" hidden="1" xr:uid="{00000000-0005-0000-0000-0000D87B0000}"/>
    <cellStyle name="Followed Hyperlink 4" xfId="29384" hidden="1" xr:uid="{00000000-0005-0000-0000-0000D97B0000}"/>
    <cellStyle name="Followed Hyperlink 4" xfId="29385" hidden="1" xr:uid="{00000000-0005-0000-0000-0000DA7B0000}"/>
    <cellStyle name="Followed Hyperlink 4" xfId="29388" hidden="1" xr:uid="{00000000-0005-0000-0000-0000DB7B0000}"/>
    <cellStyle name="Followed Hyperlink 4" xfId="29426" hidden="1" xr:uid="{00000000-0005-0000-0000-0000DC7B0000}"/>
    <cellStyle name="Followed Hyperlink 4" xfId="29418" hidden="1" xr:uid="{00000000-0005-0000-0000-0000DD7B0000}"/>
    <cellStyle name="Followed Hyperlink 4" xfId="29429" hidden="1" xr:uid="{00000000-0005-0000-0000-0000DE7B0000}"/>
    <cellStyle name="Followed Hyperlink 4" xfId="29432" hidden="1" xr:uid="{00000000-0005-0000-0000-0000DF7B0000}"/>
    <cellStyle name="Followed Hyperlink 4" xfId="29435" hidden="1" xr:uid="{00000000-0005-0000-0000-0000E07B0000}"/>
    <cellStyle name="Followed Hyperlink 4" xfId="29437" hidden="1" xr:uid="{00000000-0005-0000-0000-0000E17B0000}"/>
    <cellStyle name="Followed Hyperlink 4" xfId="29438" hidden="1" xr:uid="{00000000-0005-0000-0000-0000E27B0000}"/>
    <cellStyle name="Followed Hyperlink 4" xfId="29441" hidden="1" xr:uid="{00000000-0005-0000-0000-0000E37B0000}"/>
    <cellStyle name="Followed Hyperlink 4" xfId="29450" hidden="1" xr:uid="{00000000-0005-0000-0000-0000E47B0000}"/>
    <cellStyle name="Followed Hyperlink 4" xfId="29442" hidden="1" xr:uid="{00000000-0005-0000-0000-0000E57B0000}"/>
    <cellStyle name="Followed Hyperlink 4" xfId="29453" hidden="1" xr:uid="{00000000-0005-0000-0000-0000E67B0000}"/>
    <cellStyle name="Followed Hyperlink 4" xfId="29456" hidden="1" xr:uid="{00000000-0005-0000-0000-0000E77B0000}"/>
    <cellStyle name="Followed Hyperlink 4" xfId="29459" hidden="1" xr:uid="{00000000-0005-0000-0000-0000E87B0000}"/>
    <cellStyle name="Followed Hyperlink 4" xfId="29461" hidden="1" xr:uid="{00000000-0005-0000-0000-0000E97B0000}"/>
    <cellStyle name="Followed Hyperlink 4" xfId="29462" hidden="1" xr:uid="{00000000-0005-0000-0000-0000EA7B0000}"/>
    <cellStyle name="Followed Hyperlink 4" xfId="29465" hidden="1" xr:uid="{00000000-0005-0000-0000-0000EB7B0000}"/>
    <cellStyle name="Followed Hyperlink 4" xfId="29476" hidden="1" xr:uid="{00000000-0005-0000-0000-0000EC7B0000}"/>
    <cellStyle name="Followed Hyperlink 4" xfId="29468" hidden="1" xr:uid="{00000000-0005-0000-0000-0000ED7B0000}"/>
    <cellStyle name="Followed Hyperlink 4" xfId="29479" hidden="1" xr:uid="{00000000-0005-0000-0000-0000EE7B0000}"/>
    <cellStyle name="Followed Hyperlink 4" xfId="29482" hidden="1" xr:uid="{00000000-0005-0000-0000-0000EF7B0000}"/>
    <cellStyle name="Followed Hyperlink 4" xfId="29485" hidden="1" xr:uid="{00000000-0005-0000-0000-0000F07B0000}"/>
    <cellStyle name="Followed Hyperlink 4" xfId="29487" hidden="1" xr:uid="{00000000-0005-0000-0000-0000F17B0000}"/>
    <cellStyle name="Followed Hyperlink 4" xfId="29488" hidden="1" xr:uid="{00000000-0005-0000-0000-0000F27B0000}"/>
    <cellStyle name="Followed Hyperlink 4" xfId="29491" hidden="1" xr:uid="{00000000-0005-0000-0000-0000F37B0000}"/>
    <cellStyle name="Followed Hyperlink 4" xfId="29500" hidden="1" xr:uid="{00000000-0005-0000-0000-0000F47B0000}"/>
    <cellStyle name="Followed Hyperlink 4" xfId="29492" hidden="1" xr:uid="{00000000-0005-0000-0000-0000F57B0000}"/>
    <cellStyle name="Followed Hyperlink 4" xfId="29503" hidden="1" xr:uid="{00000000-0005-0000-0000-0000F67B0000}"/>
    <cellStyle name="Followed Hyperlink 4" xfId="29506" hidden="1" xr:uid="{00000000-0005-0000-0000-0000F77B0000}"/>
    <cellStyle name="Followed Hyperlink 4" xfId="29509" hidden="1" xr:uid="{00000000-0005-0000-0000-0000F87B0000}"/>
    <cellStyle name="Followed Hyperlink 4" xfId="29511" hidden="1" xr:uid="{00000000-0005-0000-0000-0000F97B0000}"/>
    <cellStyle name="Followed Hyperlink 4" xfId="29512" hidden="1" xr:uid="{00000000-0005-0000-0000-0000FA7B0000}"/>
    <cellStyle name="Followed Hyperlink 4" xfId="29515" hidden="1" xr:uid="{00000000-0005-0000-0000-0000FB7B0000}"/>
    <cellStyle name="Followed Hyperlink 4" xfId="29398" hidden="1" xr:uid="{00000000-0005-0000-0000-0000FC7B0000}"/>
    <cellStyle name="Followed Hyperlink 4" xfId="29392" hidden="1" xr:uid="{00000000-0005-0000-0000-0000FD7B0000}"/>
    <cellStyle name="Followed Hyperlink 4" xfId="29516" hidden="1" xr:uid="{00000000-0005-0000-0000-0000FE7B0000}"/>
    <cellStyle name="Followed Hyperlink 4" xfId="29519" hidden="1" xr:uid="{00000000-0005-0000-0000-0000FF7B0000}"/>
    <cellStyle name="Followed Hyperlink 4" xfId="29522" hidden="1" xr:uid="{00000000-0005-0000-0000-0000007C0000}"/>
    <cellStyle name="Followed Hyperlink 4" xfId="29524" hidden="1" xr:uid="{00000000-0005-0000-0000-0000017C0000}"/>
    <cellStyle name="Followed Hyperlink 4" xfId="29525" hidden="1" xr:uid="{00000000-0005-0000-0000-0000027C0000}"/>
    <cellStyle name="Followed Hyperlink 4" xfId="29528" hidden="1" xr:uid="{00000000-0005-0000-0000-0000037C0000}"/>
    <cellStyle name="Followed Hyperlink 4" xfId="29537" hidden="1" xr:uid="{00000000-0005-0000-0000-0000047C0000}"/>
    <cellStyle name="Followed Hyperlink 4" xfId="29529" hidden="1" xr:uid="{00000000-0005-0000-0000-0000057C0000}"/>
    <cellStyle name="Followed Hyperlink 4" xfId="29540" hidden="1" xr:uid="{00000000-0005-0000-0000-0000067C0000}"/>
    <cellStyle name="Followed Hyperlink 4" xfId="29543" hidden="1" xr:uid="{00000000-0005-0000-0000-0000077C0000}"/>
    <cellStyle name="Followed Hyperlink 4" xfId="29546" hidden="1" xr:uid="{00000000-0005-0000-0000-0000087C0000}"/>
    <cellStyle name="Followed Hyperlink 4" xfId="29548" hidden="1" xr:uid="{00000000-0005-0000-0000-0000097C0000}"/>
    <cellStyle name="Followed Hyperlink 4" xfId="29549" hidden="1" xr:uid="{00000000-0005-0000-0000-00000A7C0000}"/>
    <cellStyle name="Followed Hyperlink 4" xfId="29552" hidden="1" xr:uid="{00000000-0005-0000-0000-00000B7C0000}"/>
    <cellStyle name="Followed Hyperlink 4" xfId="29562" hidden="1" xr:uid="{00000000-0005-0000-0000-00000C7C0000}"/>
    <cellStyle name="Followed Hyperlink 4" xfId="29554" hidden="1" xr:uid="{00000000-0005-0000-0000-00000D7C0000}"/>
    <cellStyle name="Followed Hyperlink 4" xfId="29565" hidden="1" xr:uid="{00000000-0005-0000-0000-00000E7C0000}"/>
    <cellStyle name="Followed Hyperlink 4" xfId="29568" hidden="1" xr:uid="{00000000-0005-0000-0000-00000F7C0000}"/>
    <cellStyle name="Followed Hyperlink 4" xfId="29571" hidden="1" xr:uid="{00000000-0005-0000-0000-0000107C0000}"/>
    <cellStyle name="Followed Hyperlink 4" xfId="29573" hidden="1" xr:uid="{00000000-0005-0000-0000-0000117C0000}"/>
    <cellStyle name="Followed Hyperlink 4" xfId="29574" hidden="1" xr:uid="{00000000-0005-0000-0000-0000127C0000}"/>
    <cellStyle name="Followed Hyperlink 4" xfId="29577" hidden="1" xr:uid="{00000000-0005-0000-0000-0000137C0000}"/>
    <cellStyle name="Followed Hyperlink 4" xfId="29586" hidden="1" xr:uid="{00000000-0005-0000-0000-0000147C0000}"/>
    <cellStyle name="Followed Hyperlink 4" xfId="29578" hidden="1" xr:uid="{00000000-0005-0000-0000-0000157C0000}"/>
    <cellStyle name="Followed Hyperlink 4" xfId="29589" hidden="1" xr:uid="{00000000-0005-0000-0000-0000167C0000}"/>
    <cellStyle name="Followed Hyperlink 4" xfId="29592" hidden="1" xr:uid="{00000000-0005-0000-0000-0000177C0000}"/>
    <cellStyle name="Followed Hyperlink 4" xfId="29595" hidden="1" xr:uid="{00000000-0005-0000-0000-0000187C0000}"/>
    <cellStyle name="Followed Hyperlink 4" xfId="29597" hidden="1" xr:uid="{00000000-0005-0000-0000-0000197C0000}"/>
    <cellStyle name="Followed Hyperlink 4" xfId="29598" hidden="1" xr:uid="{00000000-0005-0000-0000-00001A7C0000}"/>
    <cellStyle name="Followed Hyperlink 4" xfId="29601" hidden="1" xr:uid="{00000000-0005-0000-0000-00001B7C0000}"/>
    <cellStyle name="Followed Hyperlink 4" xfId="29402" hidden="1" xr:uid="{00000000-0005-0000-0000-00001C7C0000}"/>
    <cellStyle name="Followed Hyperlink 4" xfId="29408" hidden="1" xr:uid="{00000000-0005-0000-0000-00001D7C0000}"/>
    <cellStyle name="Followed Hyperlink 4" xfId="29602" hidden="1" xr:uid="{00000000-0005-0000-0000-00001E7C0000}"/>
    <cellStyle name="Followed Hyperlink 4" xfId="29605" hidden="1" xr:uid="{00000000-0005-0000-0000-00001F7C0000}"/>
    <cellStyle name="Followed Hyperlink 4" xfId="29608" hidden="1" xr:uid="{00000000-0005-0000-0000-0000207C0000}"/>
    <cellStyle name="Followed Hyperlink 4" xfId="29610" hidden="1" xr:uid="{00000000-0005-0000-0000-0000217C0000}"/>
    <cellStyle name="Followed Hyperlink 4" xfId="29611" hidden="1" xr:uid="{00000000-0005-0000-0000-0000227C0000}"/>
    <cellStyle name="Followed Hyperlink 4" xfId="29614" hidden="1" xr:uid="{00000000-0005-0000-0000-0000237C0000}"/>
    <cellStyle name="Followed Hyperlink 4" xfId="29623" hidden="1" xr:uid="{00000000-0005-0000-0000-0000247C0000}"/>
    <cellStyle name="Followed Hyperlink 4" xfId="29615" hidden="1" xr:uid="{00000000-0005-0000-0000-0000257C0000}"/>
    <cellStyle name="Followed Hyperlink 4" xfId="29626" hidden="1" xr:uid="{00000000-0005-0000-0000-0000267C0000}"/>
    <cellStyle name="Followed Hyperlink 4" xfId="29629" hidden="1" xr:uid="{00000000-0005-0000-0000-0000277C0000}"/>
    <cellStyle name="Followed Hyperlink 4" xfId="29632" hidden="1" xr:uid="{00000000-0005-0000-0000-0000287C0000}"/>
    <cellStyle name="Followed Hyperlink 4" xfId="29634" hidden="1" xr:uid="{00000000-0005-0000-0000-0000297C0000}"/>
    <cellStyle name="Followed Hyperlink 4" xfId="29635" hidden="1" xr:uid="{00000000-0005-0000-0000-00002A7C0000}"/>
    <cellStyle name="Followed Hyperlink 4" xfId="29638" hidden="1" xr:uid="{00000000-0005-0000-0000-00002B7C0000}"/>
    <cellStyle name="Followed Hyperlink 4" xfId="29648" hidden="1" xr:uid="{00000000-0005-0000-0000-00002C7C0000}"/>
    <cellStyle name="Followed Hyperlink 4" xfId="29640" hidden="1" xr:uid="{00000000-0005-0000-0000-00002D7C0000}"/>
    <cellStyle name="Followed Hyperlink 4" xfId="29651" hidden="1" xr:uid="{00000000-0005-0000-0000-00002E7C0000}"/>
    <cellStyle name="Followed Hyperlink 4" xfId="29654" hidden="1" xr:uid="{00000000-0005-0000-0000-00002F7C0000}"/>
    <cellStyle name="Followed Hyperlink 4" xfId="29657" hidden="1" xr:uid="{00000000-0005-0000-0000-0000307C0000}"/>
    <cellStyle name="Followed Hyperlink 4" xfId="29659" hidden="1" xr:uid="{00000000-0005-0000-0000-0000317C0000}"/>
    <cellStyle name="Followed Hyperlink 4" xfId="29660" hidden="1" xr:uid="{00000000-0005-0000-0000-0000327C0000}"/>
    <cellStyle name="Followed Hyperlink 4" xfId="29663" hidden="1" xr:uid="{00000000-0005-0000-0000-0000337C0000}"/>
    <cellStyle name="Followed Hyperlink 4" xfId="29672" hidden="1" xr:uid="{00000000-0005-0000-0000-0000347C0000}"/>
    <cellStyle name="Followed Hyperlink 4" xfId="29664" hidden="1" xr:uid="{00000000-0005-0000-0000-0000357C0000}"/>
    <cellStyle name="Followed Hyperlink 4" xfId="29675" hidden="1" xr:uid="{00000000-0005-0000-0000-0000367C0000}"/>
    <cellStyle name="Followed Hyperlink 4" xfId="29678" hidden="1" xr:uid="{00000000-0005-0000-0000-0000377C0000}"/>
    <cellStyle name="Followed Hyperlink 4" xfId="29681" hidden="1" xr:uid="{00000000-0005-0000-0000-0000387C0000}"/>
    <cellStyle name="Followed Hyperlink 4" xfId="29683" hidden="1" xr:uid="{00000000-0005-0000-0000-0000397C0000}"/>
    <cellStyle name="Followed Hyperlink 4" xfId="29684" hidden="1" xr:uid="{00000000-0005-0000-0000-00003A7C0000}"/>
    <cellStyle name="Followed Hyperlink 4" xfId="29687" hidden="1" xr:uid="{00000000-0005-0000-0000-00003B7C0000}"/>
    <cellStyle name="Followed Hyperlink 4" xfId="29412" hidden="1" xr:uid="{00000000-0005-0000-0000-00003C7C0000}"/>
    <cellStyle name="Followed Hyperlink 4" xfId="29467" hidden="1" xr:uid="{00000000-0005-0000-0000-00003D7C0000}"/>
    <cellStyle name="Followed Hyperlink 4" xfId="29688" hidden="1" xr:uid="{00000000-0005-0000-0000-00003E7C0000}"/>
    <cellStyle name="Followed Hyperlink 4" xfId="29691" hidden="1" xr:uid="{00000000-0005-0000-0000-00003F7C0000}"/>
    <cellStyle name="Followed Hyperlink 4" xfId="29694" hidden="1" xr:uid="{00000000-0005-0000-0000-0000407C0000}"/>
    <cellStyle name="Followed Hyperlink 4" xfId="29696" hidden="1" xr:uid="{00000000-0005-0000-0000-0000417C0000}"/>
    <cellStyle name="Followed Hyperlink 4" xfId="29697" hidden="1" xr:uid="{00000000-0005-0000-0000-0000427C0000}"/>
    <cellStyle name="Followed Hyperlink 4" xfId="29700" hidden="1" xr:uid="{00000000-0005-0000-0000-0000437C0000}"/>
    <cellStyle name="Followed Hyperlink 4" xfId="29709" hidden="1" xr:uid="{00000000-0005-0000-0000-0000447C0000}"/>
    <cellStyle name="Followed Hyperlink 4" xfId="29701" hidden="1" xr:uid="{00000000-0005-0000-0000-0000457C0000}"/>
    <cellStyle name="Followed Hyperlink 4" xfId="29712" hidden="1" xr:uid="{00000000-0005-0000-0000-0000467C0000}"/>
    <cellStyle name="Followed Hyperlink 4" xfId="29715" hidden="1" xr:uid="{00000000-0005-0000-0000-0000477C0000}"/>
    <cellStyle name="Followed Hyperlink 4" xfId="29718" hidden="1" xr:uid="{00000000-0005-0000-0000-0000487C0000}"/>
    <cellStyle name="Followed Hyperlink 4" xfId="29720" hidden="1" xr:uid="{00000000-0005-0000-0000-0000497C0000}"/>
    <cellStyle name="Followed Hyperlink 4" xfId="29721" hidden="1" xr:uid="{00000000-0005-0000-0000-00004A7C0000}"/>
    <cellStyle name="Followed Hyperlink 4" xfId="29724" hidden="1" xr:uid="{00000000-0005-0000-0000-00004B7C0000}"/>
    <cellStyle name="Followed Hyperlink 4" xfId="29733" hidden="1" xr:uid="{00000000-0005-0000-0000-00004C7C0000}"/>
    <cellStyle name="Followed Hyperlink 4" xfId="29725" hidden="1" xr:uid="{00000000-0005-0000-0000-00004D7C0000}"/>
    <cellStyle name="Followed Hyperlink 4" xfId="29736" hidden="1" xr:uid="{00000000-0005-0000-0000-00004E7C0000}"/>
    <cellStyle name="Followed Hyperlink 4" xfId="29739" hidden="1" xr:uid="{00000000-0005-0000-0000-00004F7C0000}"/>
    <cellStyle name="Followed Hyperlink 4" xfId="29742" hidden="1" xr:uid="{00000000-0005-0000-0000-0000507C0000}"/>
    <cellStyle name="Followed Hyperlink 4" xfId="29744" hidden="1" xr:uid="{00000000-0005-0000-0000-0000517C0000}"/>
    <cellStyle name="Followed Hyperlink 4" xfId="29745" hidden="1" xr:uid="{00000000-0005-0000-0000-0000527C0000}"/>
    <cellStyle name="Followed Hyperlink 4" xfId="29748" hidden="1" xr:uid="{00000000-0005-0000-0000-0000537C0000}"/>
    <cellStyle name="Followed Hyperlink 4" xfId="29757" hidden="1" xr:uid="{00000000-0005-0000-0000-0000547C0000}"/>
    <cellStyle name="Followed Hyperlink 4" xfId="29749" hidden="1" xr:uid="{00000000-0005-0000-0000-0000557C0000}"/>
    <cellStyle name="Followed Hyperlink 4" xfId="29760" hidden="1" xr:uid="{00000000-0005-0000-0000-0000567C0000}"/>
    <cellStyle name="Followed Hyperlink 4" xfId="29763" hidden="1" xr:uid="{00000000-0005-0000-0000-0000577C0000}"/>
    <cellStyle name="Followed Hyperlink 4" xfId="29766" hidden="1" xr:uid="{00000000-0005-0000-0000-0000587C0000}"/>
    <cellStyle name="Followed Hyperlink 4" xfId="29768" hidden="1" xr:uid="{00000000-0005-0000-0000-0000597C0000}"/>
    <cellStyle name="Followed Hyperlink 4" xfId="29769" hidden="1" xr:uid="{00000000-0005-0000-0000-00005A7C0000}"/>
    <cellStyle name="Followed Hyperlink 4" xfId="29772" hidden="1" xr:uid="{00000000-0005-0000-0000-00005B7C0000}"/>
    <cellStyle name="Followed Hyperlink 4" xfId="29271" hidden="1" xr:uid="{00000000-0005-0000-0000-00005C7C0000}"/>
    <cellStyle name="Followed Hyperlink 4" xfId="29265" hidden="1" xr:uid="{00000000-0005-0000-0000-00005D7C0000}"/>
    <cellStyle name="Followed Hyperlink 4" xfId="29773" hidden="1" xr:uid="{00000000-0005-0000-0000-00005E7C0000}"/>
    <cellStyle name="Followed Hyperlink 4" xfId="29776" hidden="1" xr:uid="{00000000-0005-0000-0000-00005F7C0000}"/>
    <cellStyle name="Followed Hyperlink 4" xfId="29779" hidden="1" xr:uid="{00000000-0005-0000-0000-0000607C0000}"/>
    <cellStyle name="Followed Hyperlink 4" xfId="29781" hidden="1" xr:uid="{00000000-0005-0000-0000-0000617C0000}"/>
    <cellStyle name="Followed Hyperlink 4" xfId="29782" hidden="1" xr:uid="{00000000-0005-0000-0000-0000627C0000}"/>
    <cellStyle name="Followed Hyperlink 4" xfId="29785" hidden="1" xr:uid="{00000000-0005-0000-0000-0000637C0000}"/>
    <cellStyle name="Followed Hyperlink 4" xfId="29794" hidden="1" xr:uid="{00000000-0005-0000-0000-0000647C0000}"/>
    <cellStyle name="Followed Hyperlink 4" xfId="29786" hidden="1" xr:uid="{00000000-0005-0000-0000-0000657C0000}"/>
    <cellStyle name="Followed Hyperlink 4" xfId="29797" hidden="1" xr:uid="{00000000-0005-0000-0000-0000667C0000}"/>
    <cellStyle name="Followed Hyperlink 4" xfId="29800" hidden="1" xr:uid="{00000000-0005-0000-0000-0000677C0000}"/>
    <cellStyle name="Followed Hyperlink 4" xfId="29803" hidden="1" xr:uid="{00000000-0005-0000-0000-0000687C0000}"/>
    <cellStyle name="Followed Hyperlink 4" xfId="29805" hidden="1" xr:uid="{00000000-0005-0000-0000-0000697C0000}"/>
    <cellStyle name="Followed Hyperlink 4" xfId="29806" hidden="1" xr:uid="{00000000-0005-0000-0000-00006A7C0000}"/>
    <cellStyle name="Followed Hyperlink 4" xfId="29809" hidden="1" xr:uid="{00000000-0005-0000-0000-00006B7C0000}"/>
    <cellStyle name="Followed Hyperlink 4" xfId="29819" hidden="1" xr:uid="{00000000-0005-0000-0000-00006C7C0000}"/>
    <cellStyle name="Followed Hyperlink 4" xfId="29811" hidden="1" xr:uid="{00000000-0005-0000-0000-00006D7C0000}"/>
    <cellStyle name="Followed Hyperlink 4" xfId="29822" hidden="1" xr:uid="{00000000-0005-0000-0000-00006E7C0000}"/>
    <cellStyle name="Followed Hyperlink 4" xfId="29825" hidden="1" xr:uid="{00000000-0005-0000-0000-00006F7C0000}"/>
    <cellStyle name="Followed Hyperlink 4" xfId="29828" hidden="1" xr:uid="{00000000-0005-0000-0000-0000707C0000}"/>
    <cellStyle name="Followed Hyperlink 4" xfId="29830" hidden="1" xr:uid="{00000000-0005-0000-0000-0000717C0000}"/>
    <cellStyle name="Followed Hyperlink 4" xfId="29831" hidden="1" xr:uid="{00000000-0005-0000-0000-0000727C0000}"/>
    <cellStyle name="Followed Hyperlink 4" xfId="29834" hidden="1" xr:uid="{00000000-0005-0000-0000-0000737C0000}"/>
    <cellStyle name="Followed Hyperlink 4" xfId="29843" hidden="1" xr:uid="{00000000-0005-0000-0000-0000747C0000}"/>
    <cellStyle name="Followed Hyperlink 4" xfId="29835" hidden="1" xr:uid="{00000000-0005-0000-0000-0000757C0000}"/>
    <cellStyle name="Followed Hyperlink 4" xfId="29846" hidden="1" xr:uid="{00000000-0005-0000-0000-0000767C0000}"/>
    <cellStyle name="Followed Hyperlink 4" xfId="29849" hidden="1" xr:uid="{00000000-0005-0000-0000-0000777C0000}"/>
    <cellStyle name="Followed Hyperlink 4" xfId="29852" hidden="1" xr:uid="{00000000-0005-0000-0000-0000787C0000}"/>
    <cellStyle name="Followed Hyperlink 4" xfId="29854" hidden="1" xr:uid="{00000000-0005-0000-0000-0000797C0000}"/>
    <cellStyle name="Followed Hyperlink 4" xfId="29855" hidden="1" xr:uid="{00000000-0005-0000-0000-00007A7C0000}"/>
    <cellStyle name="Followed Hyperlink 4" xfId="29858" hidden="1" xr:uid="{00000000-0005-0000-0000-00007B7C0000}"/>
    <cellStyle name="Followed Hyperlink 4" xfId="29896" hidden="1" xr:uid="{00000000-0005-0000-0000-00007C7C0000}"/>
    <cellStyle name="Followed Hyperlink 4" xfId="29888" hidden="1" xr:uid="{00000000-0005-0000-0000-00007D7C0000}"/>
    <cellStyle name="Followed Hyperlink 4" xfId="29899" hidden="1" xr:uid="{00000000-0005-0000-0000-00007E7C0000}"/>
    <cellStyle name="Followed Hyperlink 4" xfId="29902" hidden="1" xr:uid="{00000000-0005-0000-0000-00007F7C0000}"/>
    <cellStyle name="Followed Hyperlink 4" xfId="29905" hidden="1" xr:uid="{00000000-0005-0000-0000-0000807C0000}"/>
    <cellStyle name="Followed Hyperlink 4" xfId="29907" hidden="1" xr:uid="{00000000-0005-0000-0000-0000817C0000}"/>
    <cellStyle name="Followed Hyperlink 4" xfId="29908" hidden="1" xr:uid="{00000000-0005-0000-0000-0000827C0000}"/>
    <cellStyle name="Followed Hyperlink 4" xfId="29911" hidden="1" xr:uid="{00000000-0005-0000-0000-0000837C0000}"/>
    <cellStyle name="Followed Hyperlink 4" xfId="29920" hidden="1" xr:uid="{00000000-0005-0000-0000-0000847C0000}"/>
    <cellStyle name="Followed Hyperlink 4" xfId="29912" hidden="1" xr:uid="{00000000-0005-0000-0000-0000857C0000}"/>
    <cellStyle name="Followed Hyperlink 4" xfId="29923" hidden="1" xr:uid="{00000000-0005-0000-0000-0000867C0000}"/>
    <cellStyle name="Followed Hyperlink 4" xfId="29926" hidden="1" xr:uid="{00000000-0005-0000-0000-0000877C0000}"/>
    <cellStyle name="Followed Hyperlink 4" xfId="29929" hidden="1" xr:uid="{00000000-0005-0000-0000-0000887C0000}"/>
    <cellStyle name="Followed Hyperlink 4" xfId="29931" hidden="1" xr:uid="{00000000-0005-0000-0000-0000897C0000}"/>
    <cellStyle name="Followed Hyperlink 4" xfId="29932" hidden="1" xr:uid="{00000000-0005-0000-0000-00008A7C0000}"/>
    <cellStyle name="Followed Hyperlink 4" xfId="29935" hidden="1" xr:uid="{00000000-0005-0000-0000-00008B7C0000}"/>
    <cellStyle name="Followed Hyperlink 4" xfId="29946" hidden="1" xr:uid="{00000000-0005-0000-0000-00008C7C0000}"/>
    <cellStyle name="Followed Hyperlink 4" xfId="29938" hidden="1" xr:uid="{00000000-0005-0000-0000-00008D7C0000}"/>
    <cellStyle name="Followed Hyperlink 4" xfId="29949" hidden="1" xr:uid="{00000000-0005-0000-0000-00008E7C0000}"/>
    <cellStyle name="Followed Hyperlink 4" xfId="29952" hidden="1" xr:uid="{00000000-0005-0000-0000-00008F7C0000}"/>
    <cellStyle name="Followed Hyperlink 4" xfId="29955" hidden="1" xr:uid="{00000000-0005-0000-0000-0000907C0000}"/>
    <cellStyle name="Followed Hyperlink 4" xfId="29957" hidden="1" xr:uid="{00000000-0005-0000-0000-0000917C0000}"/>
    <cellStyle name="Followed Hyperlink 4" xfId="29958" hidden="1" xr:uid="{00000000-0005-0000-0000-0000927C0000}"/>
    <cellStyle name="Followed Hyperlink 4" xfId="29961" hidden="1" xr:uid="{00000000-0005-0000-0000-0000937C0000}"/>
    <cellStyle name="Followed Hyperlink 4" xfId="29970" hidden="1" xr:uid="{00000000-0005-0000-0000-0000947C0000}"/>
    <cellStyle name="Followed Hyperlink 4" xfId="29962" hidden="1" xr:uid="{00000000-0005-0000-0000-0000957C0000}"/>
    <cellStyle name="Followed Hyperlink 4" xfId="29973" hidden="1" xr:uid="{00000000-0005-0000-0000-0000967C0000}"/>
    <cellStyle name="Followed Hyperlink 4" xfId="29976" hidden="1" xr:uid="{00000000-0005-0000-0000-0000977C0000}"/>
    <cellStyle name="Followed Hyperlink 4" xfId="29979" hidden="1" xr:uid="{00000000-0005-0000-0000-0000987C0000}"/>
    <cellStyle name="Followed Hyperlink 4" xfId="29981" hidden="1" xr:uid="{00000000-0005-0000-0000-0000997C0000}"/>
    <cellStyle name="Followed Hyperlink 4" xfId="29982" hidden="1" xr:uid="{00000000-0005-0000-0000-00009A7C0000}"/>
    <cellStyle name="Followed Hyperlink 4" xfId="29985" hidden="1" xr:uid="{00000000-0005-0000-0000-00009B7C0000}"/>
    <cellStyle name="Followed Hyperlink 4" xfId="29868" hidden="1" xr:uid="{00000000-0005-0000-0000-00009C7C0000}"/>
    <cellStyle name="Followed Hyperlink 4" xfId="29862" hidden="1" xr:uid="{00000000-0005-0000-0000-00009D7C0000}"/>
    <cellStyle name="Followed Hyperlink 4" xfId="29986" hidden="1" xr:uid="{00000000-0005-0000-0000-00009E7C0000}"/>
    <cellStyle name="Followed Hyperlink 4" xfId="29989" hidden="1" xr:uid="{00000000-0005-0000-0000-00009F7C0000}"/>
    <cellStyle name="Followed Hyperlink 4" xfId="29992" hidden="1" xr:uid="{00000000-0005-0000-0000-0000A07C0000}"/>
    <cellStyle name="Followed Hyperlink 4" xfId="29994" hidden="1" xr:uid="{00000000-0005-0000-0000-0000A17C0000}"/>
    <cellStyle name="Followed Hyperlink 4" xfId="29995" hidden="1" xr:uid="{00000000-0005-0000-0000-0000A27C0000}"/>
    <cellStyle name="Followed Hyperlink 4" xfId="29998" hidden="1" xr:uid="{00000000-0005-0000-0000-0000A37C0000}"/>
    <cellStyle name="Followed Hyperlink 4" xfId="30007" hidden="1" xr:uid="{00000000-0005-0000-0000-0000A47C0000}"/>
    <cellStyle name="Followed Hyperlink 4" xfId="29999" hidden="1" xr:uid="{00000000-0005-0000-0000-0000A57C0000}"/>
    <cellStyle name="Followed Hyperlink 4" xfId="30010" hidden="1" xr:uid="{00000000-0005-0000-0000-0000A67C0000}"/>
    <cellStyle name="Followed Hyperlink 4" xfId="30013" hidden="1" xr:uid="{00000000-0005-0000-0000-0000A77C0000}"/>
    <cellStyle name="Followed Hyperlink 4" xfId="30016" hidden="1" xr:uid="{00000000-0005-0000-0000-0000A87C0000}"/>
    <cellStyle name="Followed Hyperlink 4" xfId="30018" hidden="1" xr:uid="{00000000-0005-0000-0000-0000A97C0000}"/>
    <cellStyle name="Followed Hyperlink 4" xfId="30019" hidden="1" xr:uid="{00000000-0005-0000-0000-0000AA7C0000}"/>
    <cellStyle name="Followed Hyperlink 4" xfId="30022" hidden="1" xr:uid="{00000000-0005-0000-0000-0000AB7C0000}"/>
    <cellStyle name="Followed Hyperlink 4" xfId="30032" hidden="1" xr:uid="{00000000-0005-0000-0000-0000AC7C0000}"/>
    <cellStyle name="Followed Hyperlink 4" xfId="30024" hidden="1" xr:uid="{00000000-0005-0000-0000-0000AD7C0000}"/>
    <cellStyle name="Followed Hyperlink 4" xfId="30035" hidden="1" xr:uid="{00000000-0005-0000-0000-0000AE7C0000}"/>
    <cellStyle name="Followed Hyperlink 4" xfId="30038" hidden="1" xr:uid="{00000000-0005-0000-0000-0000AF7C0000}"/>
    <cellStyle name="Followed Hyperlink 4" xfId="30041" hidden="1" xr:uid="{00000000-0005-0000-0000-0000B07C0000}"/>
    <cellStyle name="Followed Hyperlink 4" xfId="30043" hidden="1" xr:uid="{00000000-0005-0000-0000-0000B17C0000}"/>
    <cellStyle name="Followed Hyperlink 4" xfId="30044" hidden="1" xr:uid="{00000000-0005-0000-0000-0000B27C0000}"/>
    <cellStyle name="Followed Hyperlink 4" xfId="30047" hidden="1" xr:uid="{00000000-0005-0000-0000-0000B37C0000}"/>
    <cellStyle name="Followed Hyperlink 4" xfId="30056" hidden="1" xr:uid="{00000000-0005-0000-0000-0000B47C0000}"/>
    <cellStyle name="Followed Hyperlink 4" xfId="30048" hidden="1" xr:uid="{00000000-0005-0000-0000-0000B57C0000}"/>
    <cellStyle name="Followed Hyperlink 4" xfId="30059" hidden="1" xr:uid="{00000000-0005-0000-0000-0000B67C0000}"/>
    <cellStyle name="Followed Hyperlink 4" xfId="30062" hidden="1" xr:uid="{00000000-0005-0000-0000-0000B77C0000}"/>
    <cellStyle name="Followed Hyperlink 4" xfId="30065" hidden="1" xr:uid="{00000000-0005-0000-0000-0000B87C0000}"/>
    <cellStyle name="Followed Hyperlink 4" xfId="30067" hidden="1" xr:uid="{00000000-0005-0000-0000-0000B97C0000}"/>
    <cellStyle name="Followed Hyperlink 4" xfId="30068" hidden="1" xr:uid="{00000000-0005-0000-0000-0000BA7C0000}"/>
    <cellStyle name="Followed Hyperlink 4" xfId="30071" hidden="1" xr:uid="{00000000-0005-0000-0000-0000BB7C0000}"/>
    <cellStyle name="Followed Hyperlink 4" xfId="29872" hidden="1" xr:uid="{00000000-0005-0000-0000-0000BC7C0000}"/>
    <cellStyle name="Followed Hyperlink 4" xfId="29878" hidden="1" xr:uid="{00000000-0005-0000-0000-0000BD7C0000}"/>
    <cellStyle name="Followed Hyperlink 4" xfId="30072" hidden="1" xr:uid="{00000000-0005-0000-0000-0000BE7C0000}"/>
    <cellStyle name="Followed Hyperlink 4" xfId="30075" hidden="1" xr:uid="{00000000-0005-0000-0000-0000BF7C0000}"/>
    <cellStyle name="Followed Hyperlink 4" xfId="30078" hidden="1" xr:uid="{00000000-0005-0000-0000-0000C07C0000}"/>
    <cellStyle name="Followed Hyperlink 4" xfId="30080" hidden="1" xr:uid="{00000000-0005-0000-0000-0000C17C0000}"/>
    <cellStyle name="Followed Hyperlink 4" xfId="30081" hidden="1" xr:uid="{00000000-0005-0000-0000-0000C27C0000}"/>
    <cellStyle name="Followed Hyperlink 4" xfId="30084" hidden="1" xr:uid="{00000000-0005-0000-0000-0000C37C0000}"/>
    <cellStyle name="Followed Hyperlink 4" xfId="30093" hidden="1" xr:uid="{00000000-0005-0000-0000-0000C47C0000}"/>
    <cellStyle name="Followed Hyperlink 4" xfId="30085" hidden="1" xr:uid="{00000000-0005-0000-0000-0000C57C0000}"/>
    <cellStyle name="Followed Hyperlink 4" xfId="30096" hidden="1" xr:uid="{00000000-0005-0000-0000-0000C67C0000}"/>
    <cellStyle name="Followed Hyperlink 4" xfId="30099" hidden="1" xr:uid="{00000000-0005-0000-0000-0000C77C0000}"/>
    <cellStyle name="Followed Hyperlink 4" xfId="30102" hidden="1" xr:uid="{00000000-0005-0000-0000-0000C87C0000}"/>
    <cellStyle name="Followed Hyperlink 4" xfId="30104" hidden="1" xr:uid="{00000000-0005-0000-0000-0000C97C0000}"/>
    <cellStyle name="Followed Hyperlink 4" xfId="30105" hidden="1" xr:uid="{00000000-0005-0000-0000-0000CA7C0000}"/>
    <cellStyle name="Followed Hyperlink 4" xfId="30108" hidden="1" xr:uid="{00000000-0005-0000-0000-0000CB7C0000}"/>
    <cellStyle name="Followed Hyperlink 4" xfId="30118" hidden="1" xr:uid="{00000000-0005-0000-0000-0000CC7C0000}"/>
    <cellStyle name="Followed Hyperlink 4" xfId="30110" hidden="1" xr:uid="{00000000-0005-0000-0000-0000CD7C0000}"/>
    <cellStyle name="Followed Hyperlink 4" xfId="30121" hidden="1" xr:uid="{00000000-0005-0000-0000-0000CE7C0000}"/>
    <cellStyle name="Followed Hyperlink 4" xfId="30124" hidden="1" xr:uid="{00000000-0005-0000-0000-0000CF7C0000}"/>
    <cellStyle name="Followed Hyperlink 4" xfId="30127" hidden="1" xr:uid="{00000000-0005-0000-0000-0000D07C0000}"/>
    <cellStyle name="Followed Hyperlink 4" xfId="30129" hidden="1" xr:uid="{00000000-0005-0000-0000-0000D17C0000}"/>
    <cellStyle name="Followed Hyperlink 4" xfId="30130" hidden="1" xr:uid="{00000000-0005-0000-0000-0000D27C0000}"/>
    <cellStyle name="Followed Hyperlink 4" xfId="30133" hidden="1" xr:uid="{00000000-0005-0000-0000-0000D37C0000}"/>
    <cellStyle name="Followed Hyperlink 4" xfId="30142" hidden="1" xr:uid="{00000000-0005-0000-0000-0000D47C0000}"/>
    <cellStyle name="Followed Hyperlink 4" xfId="30134" hidden="1" xr:uid="{00000000-0005-0000-0000-0000D57C0000}"/>
    <cellStyle name="Followed Hyperlink 4" xfId="30145" hidden="1" xr:uid="{00000000-0005-0000-0000-0000D67C0000}"/>
    <cellStyle name="Followed Hyperlink 4" xfId="30148" hidden="1" xr:uid="{00000000-0005-0000-0000-0000D77C0000}"/>
    <cellStyle name="Followed Hyperlink 4" xfId="30151" hidden="1" xr:uid="{00000000-0005-0000-0000-0000D87C0000}"/>
    <cellStyle name="Followed Hyperlink 4" xfId="30153" hidden="1" xr:uid="{00000000-0005-0000-0000-0000D97C0000}"/>
    <cellStyle name="Followed Hyperlink 4" xfId="30154" hidden="1" xr:uid="{00000000-0005-0000-0000-0000DA7C0000}"/>
    <cellStyle name="Followed Hyperlink 4" xfId="30157" hidden="1" xr:uid="{00000000-0005-0000-0000-0000DB7C0000}"/>
    <cellStyle name="Followed Hyperlink 4" xfId="29882" hidden="1" xr:uid="{00000000-0005-0000-0000-0000DC7C0000}"/>
    <cellStyle name="Followed Hyperlink 4" xfId="29937" hidden="1" xr:uid="{00000000-0005-0000-0000-0000DD7C0000}"/>
    <cellStyle name="Followed Hyperlink 4" xfId="30158" hidden="1" xr:uid="{00000000-0005-0000-0000-0000DE7C0000}"/>
    <cellStyle name="Followed Hyperlink 4" xfId="30161" hidden="1" xr:uid="{00000000-0005-0000-0000-0000DF7C0000}"/>
    <cellStyle name="Followed Hyperlink 4" xfId="30164" hidden="1" xr:uid="{00000000-0005-0000-0000-0000E07C0000}"/>
    <cellStyle name="Followed Hyperlink 4" xfId="30166" hidden="1" xr:uid="{00000000-0005-0000-0000-0000E17C0000}"/>
    <cellStyle name="Followed Hyperlink 4" xfId="30167" hidden="1" xr:uid="{00000000-0005-0000-0000-0000E27C0000}"/>
    <cellStyle name="Followed Hyperlink 4" xfId="30170" hidden="1" xr:uid="{00000000-0005-0000-0000-0000E37C0000}"/>
    <cellStyle name="Followed Hyperlink 4" xfId="30179" hidden="1" xr:uid="{00000000-0005-0000-0000-0000E47C0000}"/>
    <cellStyle name="Followed Hyperlink 4" xfId="30171" hidden="1" xr:uid="{00000000-0005-0000-0000-0000E57C0000}"/>
    <cellStyle name="Followed Hyperlink 4" xfId="30182" hidden="1" xr:uid="{00000000-0005-0000-0000-0000E67C0000}"/>
    <cellStyle name="Followed Hyperlink 4" xfId="30185" hidden="1" xr:uid="{00000000-0005-0000-0000-0000E77C0000}"/>
    <cellStyle name="Followed Hyperlink 4" xfId="30188" hidden="1" xr:uid="{00000000-0005-0000-0000-0000E87C0000}"/>
    <cellStyle name="Followed Hyperlink 4" xfId="30190" hidden="1" xr:uid="{00000000-0005-0000-0000-0000E97C0000}"/>
    <cellStyle name="Followed Hyperlink 4" xfId="30191" hidden="1" xr:uid="{00000000-0005-0000-0000-0000EA7C0000}"/>
    <cellStyle name="Followed Hyperlink 4" xfId="30194" hidden="1" xr:uid="{00000000-0005-0000-0000-0000EB7C0000}"/>
    <cellStyle name="Followed Hyperlink 4" xfId="30203" hidden="1" xr:uid="{00000000-0005-0000-0000-0000EC7C0000}"/>
    <cellStyle name="Followed Hyperlink 4" xfId="30195" hidden="1" xr:uid="{00000000-0005-0000-0000-0000ED7C0000}"/>
    <cellStyle name="Followed Hyperlink 4" xfId="30206" hidden="1" xr:uid="{00000000-0005-0000-0000-0000EE7C0000}"/>
    <cellStyle name="Followed Hyperlink 4" xfId="30209" hidden="1" xr:uid="{00000000-0005-0000-0000-0000EF7C0000}"/>
    <cellStyle name="Followed Hyperlink 4" xfId="30212" hidden="1" xr:uid="{00000000-0005-0000-0000-0000F07C0000}"/>
    <cellStyle name="Followed Hyperlink 4" xfId="30214" hidden="1" xr:uid="{00000000-0005-0000-0000-0000F17C0000}"/>
    <cellStyle name="Followed Hyperlink 4" xfId="30215" hidden="1" xr:uid="{00000000-0005-0000-0000-0000F27C0000}"/>
    <cellStyle name="Followed Hyperlink 4" xfId="30218" hidden="1" xr:uid="{00000000-0005-0000-0000-0000F37C0000}"/>
    <cellStyle name="Followed Hyperlink 4" xfId="30227" hidden="1" xr:uid="{00000000-0005-0000-0000-0000F47C0000}"/>
    <cellStyle name="Followed Hyperlink 4" xfId="30219" hidden="1" xr:uid="{00000000-0005-0000-0000-0000F57C0000}"/>
    <cellStyle name="Followed Hyperlink 4" xfId="30230" hidden="1" xr:uid="{00000000-0005-0000-0000-0000F67C0000}"/>
    <cellStyle name="Followed Hyperlink 4" xfId="30233" hidden="1" xr:uid="{00000000-0005-0000-0000-0000F77C0000}"/>
    <cellStyle name="Followed Hyperlink 4" xfId="30236" hidden="1" xr:uid="{00000000-0005-0000-0000-0000F87C0000}"/>
    <cellStyle name="Followed Hyperlink 4" xfId="30238" hidden="1" xr:uid="{00000000-0005-0000-0000-0000F97C0000}"/>
    <cellStyle name="Followed Hyperlink 4" xfId="30239" hidden="1" xr:uid="{00000000-0005-0000-0000-0000FA7C0000}"/>
    <cellStyle name="Followed Hyperlink 4" xfId="30242" hidden="1" xr:uid="{00000000-0005-0000-0000-0000FB7C0000}"/>
    <cellStyle name="Followed Hyperlink 4" xfId="29275" hidden="1" xr:uid="{00000000-0005-0000-0000-0000FC7C0000}"/>
    <cellStyle name="Followed Hyperlink 4" xfId="29281" hidden="1" xr:uid="{00000000-0005-0000-0000-0000FD7C0000}"/>
    <cellStyle name="Followed Hyperlink 4" xfId="30243" hidden="1" xr:uid="{00000000-0005-0000-0000-0000FE7C0000}"/>
    <cellStyle name="Followed Hyperlink 4" xfId="30246" hidden="1" xr:uid="{00000000-0005-0000-0000-0000FF7C0000}"/>
    <cellStyle name="Followed Hyperlink 4" xfId="30249" hidden="1" xr:uid="{00000000-0005-0000-0000-0000007D0000}"/>
    <cellStyle name="Followed Hyperlink 4" xfId="30251" hidden="1" xr:uid="{00000000-0005-0000-0000-0000017D0000}"/>
    <cellStyle name="Followed Hyperlink 4" xfId="30252" hidden="1" xr:uid="{00000000-0005-0000-0000-0000027D0000}"/>
    <cellStyle name="Followed Hyperlink 4" xfId="30255" hidden="1" xr:uid="{00000000-0005-0000-0000-0000037D0000}"/>
    <cellStyle name="Followed Hyperlink 4" xfId="30264" hidden="1" xr:uid="{00000000-0005-0000-0000-0000047D0000}"/>
    <cellStyle name="Followed Hyperlink 4" xfId="30256" hidden="1" xr:uid="{00000000-0005-0000-0000-0000057D0000}"/>
    <cellStyle name="Followed Hyperlink 4" xfId="30267" hidden="1" xr:uid="{00000000-0005-0000-0000-0000067D0000}"/>
    <cellStyle name="Followed Hyperlink 4" xfId="30270" hidden="1" xr:uid="{00000000-0005-0000-0000-0000077D0000}"/>
    <cellStyle name="Followed Hyperlink 4" xfId="30273" hidden="1" xr:uid="{00000000-0005-0000-0000-0000087D0000}"/>
    <cellStyle name="Followed Hyperlink 4" xfId="30275" hidden="1" xr:uid="{00000000-0005-0000-0000-0000097D0000}"/>
    <cellStyle name="Followed Hyperlink 4" xfId="30276" hidden="1" xr:uid="{00000000-0005-0000-0000-00000A7D0000}"/>
    <cellStyle name="Followed Hyperlink 4" xfId="30279" hidden="1" xr:uid="{00000000-0005-0000-0000-00000B7D0000}"/>
    <cellStyle name="Followed Hyperlink 4" xfId="30289" hidden="1" xr:uid="{00000000-0005-0000-0000-00000C7D0000}"/>
    <cellStyle name="Followed Hyperlink 4" xfId="30281" hidden="1" xr:uid="{00000000-0005-0000-0000-00000D7D0000}"/>
    <cellStyle name="Followed Hyperlink 4" xfId="30292" hidden="1" xr:uid="{00000000-0005-0000-0000-00000E7D0000}"/>
    <cellStyle name="Followed Hyperlink 4" xfId="30295" hidden="1" xr:uid="{00000000-0005-0000-0000-00000F7D0000}"/>
    <cellStyle name="Followed Hyperlink 4" xfId="30298" hidden="1" xr:uid="{00000000-0005-0000-0000-0000107D0000}"/>
    <cellStyle name="Followed Hyperlink 4" xfId="30300" hidden="1" xr:uid="{00000000-0005-0000-0000-0000117D0000}"/>
    <cellStyle name="Followed Hyperlink 4" xfId="30301" hidden="1" xr:uid="{00000000-0005-0000-0000-0000127D0000}"/>
    <cellStyle name="Followed Hyperlink 4" xfId="30304" hidden="1" xr:uid="{00000000-0005-0000-0000-0000137D0000}"/>
    <cellStyle name="Followed Hyperlink 4" xfId="30313" hidden="1" xr:uid="{00000000-0005-0000-0000-0000147D0000}"/>
    <cellStyle name="Followed Hyperlink 4" xfId="30305" hidden="1" xr:uid="{00000000-0005-0000-0000-0000157D0000}"/>
    <cellStyle name="Followed Hyperlink 4" xfId="30316" hidden="1" xr:uid="{00000000-0005-0000-0000-0000167D0000}"/>
    <cellStyle name="Followed Hyperlink 4" xfId="30319" hidden="1" xr:uid="{00000000-0005-0000-0000-0000177D0000}"/>
    <cellStyle name="Followed Hyperlink 4" xfId="30322" hidden="1" xr:uid="{00000000-0005-0000-0000-0000187D0000}"/>
    <cellStyle name="Followed Hyperlink 4" xfId="30324" hidden="1" xr:uid="{00000000-0005-0000-0000-0000197D0000}"/>
    <cellStyle name="Followed Hyperlink 4" xfId="30325" hidden="1" xr:uid="{00000000-0005-0000-0000-00001A7D0000}"/>
    <cellStyle name="Followed Hyperlink 4" xfId="30328" hidden="1" xr:uid="{00000000-0005-0000-0000-00001B7D0000}"/>
    <cellStyle name="Followed Hyperlink 4" xfId="30366" hidden="1" xr:uid="{00000000-0005-0000-0000-00001C7D0000}"/>
    <cellStyle name="Followed Hyperlink 4" xfId="30358" hidden="1" xr:uid="{00000000-0005-0000-0000-00001D7D0000}"/>
    <cellStyle name="Followed Hyperlink 4" xfId="30369" hidden="1" xr:uid="{00000000-0005-0000-0000-00001E7D0000}"/>
    <cellStyle name="Followed Hyperlink 4" xfId="30372" hidden="1" xr:uid="{00000000-0005-0000-0000-00001F7D0000}"/>
    <cellStyle name="Followed Hyperlink 4" xfId="30375" hidden="1" xr:uid="{00000000-0005-0000-0000-0000207D0000}"/>
    <cellStyle name="Followed Hyperlink 4" xfId="30377" hidden="1" xr:uid="{00000000-0005-0000-0000-0000217D0000}"/>
    <cellStyle name="Followed Hyperlink 4" xfId="30378" hidden="1" xr:uid="{00000000-0005-0000-0000-0000227D0000}"/>
    <cellStyle name="Followed Hyperlink 4" xfId="30381" hidden="1" xr:uid="{00000000-0005-0000-0000-0000237D0000}"/>
    <cellStyle name="Followed Hyperlink 4" xfId="30390" hidden="1" xr:uid="{00000000-0005-0000-0000-0000247D0000}"/>
    <cellStyle name="Followed Hyperlink 4" xfId="30382" hidden="1" xr:uid="{00000000-0005-0000-0000-0000257D0000}"/>
    <cellStyle name="Followed Hyperlink 4" xfId="30393" hidden="1" xr:uid="{00000000-0005-0000-0000-0000267D0000}"/>
    <cellStyle name="Followed Hyperlink 4" xfId="30396" hidden="1" xr:uid="{00000000-0005-0000-0000-0000277D0000}"/>
    <cellStyle name="Followed Hyperlink 4" xfId="30399" hidden="1" xr:uid="{00000000-0005-0000-0000-0000287D0000}"/>
    <cellStyle name="Followed Hyperlink 4" xfId="30401" hidden="1" xr:uid="{00000000-0005-0000-0000-0000297D0000}"/>
    <cellStyle name="Followed Hyperlink 4" xfId="30402" hidden="1" xr:uid="{00000000-0005-0000-0000-00002A7D0000}"/>
    <cellStyle name="Followed Hyperlink 4" xfId="30405" hidden="1" xr:uid="{00000000-0005-0000-0000-00002B7D0000}"/>
    <cellStyle name="Followed Hyperlink 4" xfId="30416" hidden="1" xr:uid="{00000000-0005-0000-0000-00002C7D0000}"/>
    <cellStyle name="Followed Hyperlink 4" xfId="30408" hidden="1" xr:uid="{00000000-0005-0000-0000-00002D7D0000}"/>
    <cellStyle name="Followed Hyperlink 4" xfId="30419" hidden="1" xr:uid="{00000000-0005-0000-0000-00002E7D0000}"/>
    <cellStyle name="Followed Hyperlink 4" xfId="30422" hidden="1" xr:uid="{00000000-0005-0000-0000-00002F7D0000}"/>
    <cellStyle name="Followed Hyperlink 4" xfId="30425" hidden="1" xr:uid="{00000000-0005-0000-0000-0000307D0000}"/>
    <cellStyle name="Followed Hyperlink 4" xfId="30427" hidden="1" xr:uid="{00000000-0005-0000-0000-0000317D0000}"/>
    <cellStyle name="Followed Hyperlink 4" xfId="30428" hidden="1" xr:uid="{00000000-0005-0000-0000-0000327D0000}"/>
    <cellStyle name="Followed Hyperlink 4" xfId="30431" hidden="1" xr:uid="{00000000-0005-0000-0000-0000337D0000}"/>
    <cellStyle name="Followed Hyperlink 4" xfId="30440" hidden="1" xr:uid="{00000000-0005-0000-0000-0000347D0000}"/>
    <cellStyle name="Followed Hyperlink 4" xfId="30432" hidden="1" xr:uid="{00000000-0005-0000-0000-0000357D0000}"/>
    <cellStyle name="Followed Hyperlink 4" xfId="30443" hidden="1" xr:uid="{00000000-0005-0000-0000-0000367D0000}"/>
    <cellStyle name="Followed Hyperlink 4" xfId="30446" hidden="1" xr:uid="{00000000-0005-0000-0000-0000377D0000}"/>
    <cellStyle name="Followed Hyperlink 4" xfId="30449" hidden="1" xr:uid="{00000000-0005-0000-0000-0000387D0000}"/>
    <cellStyle name="Followed Hyperlink 4" xfId="30451" hidden="1" xr:uid="{00000000-0005-0000-0000-0000397D0000}"/>
    <cellStyle name="Followed Hyperlink 4" xfId="30452" hidden="1" xr:uid="{00000000-0005-0000-0000-00003A7D0000}"/>
    <cellStyle name="Followed Hyperlink 4" xfId="30455" hidden="1" xr:uid="{00000000-0005-0000-0000-00003B7D0000}"/>
    <cellStyle name="Followed Hyperlink 4" xfId="30338" hidden="1" xr:uid="{00000000-0005-0000-0000-00003C7D0000}"/>
    <cellStyle name="Followed Hyperlink 4" xfId="30332" hidden="1" xr:uid="{00000000-0005-0000-0000-00003D7D0000}"/>
    <cellStyle name="Followed Hyperlink 4" xfId="30456" hidden="1" xr:uid="{00000000-0005-0000-0000-00003E7D0000}"/>
    <cellStyle name="Followed Hyperlink 4" xfId="30459" hidden="1" xr:uid="{00000000-0005-0000-0000-00003F7D0000}"/>
    <cellStyle name="Followed Hyperlink 4" xfId="30462" hidden="1" xr:uid="{00000000-0005-0000-0000-0000407D0000}"/>
    <cellStyle name="Followed Hyperlink 4" xfId="30464" hidden="1" xr:uid="{00000000-0005-0000-0000-0000417D0000}"/>
    <cellStyle name="Followed Hyperlink 4" xfId="30465" hidden="1" xr:uid="{00000000-0005-0000-0000-0000427D0000}"/>
    <cellStyle name="Followed Hyperlink 4" xfId="30468" hidden="1" xr:uid="{00000000-0005-0000-0000-0000437D0000}"/>
    <cellStyle name="Followed Hyperlink 4" xfId="30477" hidden="1" xr:uid="{00000000-0005-0000-0000-0000447D0000}"/>
    <cellStyle name="Followed Hyperlink 4" xfId="30469" hidden="1" xr:uid="{00000000-0005-0000-0000-0000457D0000}"/>
    <cellStyle name="Followed Hyperlink 4" xfId="30480" hidden="1" xr:uid="{00000000-0005-0000-0000-0000467D0000}"/>
    <cellStyle name="Followed Hyperlink 4" xfId="30483" hidden="1" xr:uid="{00000000-0005-0000-0000-0000477D0000}"/>
    <cellStyle name="Followed Hyperlink 4" xfId="30486" hidden="1" xr:uid="{00000000-0005-0000-0000-0000487D0000}"/>
    <cellStyle name="Followed Hyperlink 4" xfId="30488" hidden="1" xr:uid="{00000000-0005-0000-0000-0000497D0000}"/>
    <cellStyle name="Followed Hyperlink 4" xfId="30489" hidden="1" xr:uid="{00000000-0005-0000-0000-00004A7D0000}"/>
    <cellStyle name="Followed Hyperlink 4" xfId="30492" hidden="1" xr:uid="{00000000-0005-0000-0000-00004B7D0000}"/>
    <cellStyle name="Followed Hyperlink 4" xfId="30502" hidden="1" xr:uid="{00000000-0005-0000-0000-00004C7D0000}"/>
    <cellStyle name="Followed Hyperlink 4" xfId="30494" hidden="1" xr:uid="{00000000-0005-0000-0000-00004D7D0000}"/>
    <cellStyle name="Followed Hyperlink 4" xfId="30505" hidden="1" xr:uid="{00000000-0005-0000-0000-00004E7D0000}"/>
    <cellStyle name="Followed Hyperlink 4" xfId="30508" hidden="1" xr:uid="{00000000-0005-0000-0000-00004F7D0000}"/>
    <cellStyle name="Followed Hyperlink 4" xfId="30511" hidden="1" xr:uid="{00000000-0005-0000-0000-0000507D0000}"/>
    <cellStyle name="Followed Hyperlink 4" xfId="30513" hidden="1" xr:uid="{00000000-0005-0000-0000-0000517D0000}"/>
    <cellStyle name="Followed Hyperlink 4" xfId="30514" hidden="1" xr:uid="{00000000-0005-0000-0000-0000527D0000}"/>
    <cellStyle name="Followed Hyperlink 4" xfId="30517" hidden="1" xr:uid="{00000000-0005-0000-0000-0000537D0000}"/>
    <cellStyle name="Followed Hyperlink 4" xfId="30526" hidden="1" xr:uid="{00000000-0005-0000-0000-0000547D0000}"/>
    <cellStyle name="Followed Hyperlink 4" xfId="30518" hidden="1" xr:uid="{00000000-0005-0000-0000-0000557D0000}"/>
    <cellStyle name="Followed Hyperlink 4" xfId="30529" hidden="1" xr:uid="{00000000-0005-0000-0000-0000567D0000}"/>
    <cellStyle name="Followed Hyperlink 4" xfId="30532" hidden="1" xr:uid="{00000000-0005-0000-0000-0000577D0000}"/>
    <cellStyle name="Followed Hyperlink 4" xfId="30535" hidden="1" xr:uid="{00000000-0005-0000-0000-0000587D0000}"/>
    <cellStyle name="Followed Hyperlink 4" xfId="30537" hidden="1" xr:uid="{00000000-0005-0000-0000-0000597D0000}"/>
    <cellStyle name="Followed Hyperlink 4" xfId="30538" hidden="1" xr:uid="{00000000-0005-0000-0000-00005A7D0000}"/>
    <cellStyle name="Followed Hyperlink 4" xfId="30541" hidden="1" xr:uid="{00000000-0005-0000-0000-00005B7D0000}"/>
    <cellStyle name="Followed Hyperlink 4" xfId="30342" hidden="1" xr:uid="{00000000-0005-0000-0000-00005C7D0000}"/>
    <cellStyle name="Followed Hyperlink 4" xfId="30348" hidden="1" xr:uid="{00000000-0005-0000-0000-00005D7D0000}"/>
    <cellStyle name="Followed Hyperlink 4" xfId="30542" hidden="1" xr:uid="{00000000-0005-0000-0000-00005E7D0000}"/>
    <cellStyle name="Followed Hyperlink 4" xfId="30545" hidden="1" xr:uid="{00000000-0005-0000-0000-00005F7D0000}"/>
    <cellStyle name="Followed Hyperlink 4" xfId="30548" hidden="1" xr:uid="{00000000-0005-0000-0000-0000607D0000}"/>
    <cellStyle name="Followed Hyperlink 4" xfId="30550" hidden="1" xr:uid="{00000000-0005-0000-0000-0000617D0000}"/>
    <cellStyle name="Followed Hyperlink 4" xfId="30551" hidden="1" xr:uid="{00000000-0005-0000-0000-0000627D0000}"/>
    <cellStyle name="Followed Hyperlink 4" xfId="30554" hidden="1" xr:uid="{00000000-0005-0000-0000-0000637D0000}"/>
    <cellStyle name="Followed Hyperlink 4" xfId="30563" hidden="1" xr:uid="{00000000-0005-0000-0000-0000647D0000}"/>
    <cellStyle name="Followed Hyperlink 4" xfId="30555" hidden="1" xr:uid="{00000000-0005-0000-0000-0000657D0000}"/>
    <cellStyle name="Followed Hyperlink 4" xfId="30566" hidden="1" xr:uid="{00000000-0005-0000-0000-0000667D0000}"/>
    <cellStyle name="Followed Hyperlink 4" xfId="30569" hidden="1" xr:uid="{00000000-0005-0000-0000-0000677D0000}"/>
    <cellStyle name="Followed Hyperlink 4" xfId="30572" hidden="1" xr:uid="{00000000-0005-0000-0000-0000687D0000}"/>
    <cellStyle name="Followed Hyperlink 4" xfId="30574" hidden="1" xr:uid="{00000000-0005-0000-0000-0000697D0000}"/>
    <cellStyle name="Followed Hyperlink 4" xfId="30575" hidden="1" xr:uid="{00000000-0005-0000-0000-00006A7D0000}"/>
    <cellStyle name="Followed Hyperlink 4" xfId="30578" hidden="1" xr:uid="{00000000-0005-0000-0000-00006B7D0000}"/>
    <cellStyle name="Followed Hyperlink 4" xfId="30588" hidden="1" xr:uid="{00000000-0005-0000-0000-00006C7D0000}"/>
    <cellStyle name="Followed Hyperlink 4" xfId="30580" hidden="1" xr:uid="{00000000-0005-0000-0000-00006D7D0000}"/>
    <cellStyle name="Followed Hyperlink 4" xfId="30591" hidden="1" xr:uid="{00000000-0005-0000-0000-00006E7D0000}"/>
    <cellStyle name="Followed Hyperlink 4" xfId="30594" hidden="1" xr:uid="{00000000-0005-0000-0000-00006F7D0000}"/>
    <cellStyle name="Followed Hyperlink 4" xfId="30597" hidden="1" xr:uid="{00000000-0005-0000-0000-0000707D0000}"/>
    <cellStyle name="Followed Hyperlink 4" xfId="30599" hidden="1" xr:uid="{00000000-0005-0000-0000-0000717D0000}"/>
    <cellStyle name="Followed Hyperlink 4" xfId="30600" hidden="1" xr:uid="{00000000-0005-0000-0000-0000727D0000}"/>
    <cellStyle name="Followed Hyperlink 4" xfId="30603" hidden="1" xr:uid="{00000000-0005-0000-0000-0000737D0000}"/>
    <cellStyle name="Followed Hyperlink 4" xfId="30612" hidden="1" xr:uid="{00000000-0005-0000-0000-0000747D0000}"/>
    <cellStyle name="Followed Hyperlink 4" xfId="30604" hidden="1" xr:uid="{00000000-0005-0000-0000-0000757D0000}"/>
    <cellStyle name="Followed Hyperlink 4" xfId="30615" hidden="1" xr:uid="{00000000-0005-0000-0000-0000767D0000}"/>
    <cellStyle name="Followed Hyperlink 4" xfId="30618" hidden="1" xr:uid="{00000000-0005-0000-0000-0000777D0000}"/>
    <cellStyle name="Followed Hyperlink 4" xfId="30621" hidden="1" xr:uid="{00000000-0005-0000-0000-0000787D0000}"/>
    <cellStyle name="Followed Hyperlink 4" xfId="30623" hidden="1" xr:uid="{00000000-0005-0000-0000-0000797D0000}"/>
    <cellStyle name="Followed Hyperlink 4" xfId="30624" hidden="1" xr:uid="{00000000-0005-0000-0000-00007A7D0000}"/>
    <cellStyle name="Followed Hyperlink 4" xfId="30627" hidden="1" xr:uid="{00000000-0005-0000-0000-00007B7D0000}"/>
    <cellStyle name="Followed Hyperlink 4" xfId="30352" hidden="1" xr:uid="{00000000-0005-0000-0000-00007C7D0000}"/>
    <cellStyle name="Followed Hyperlink 4" xfId="30407" hidden="1" xr:uid="{00000000-0005-0000-0000-00007D7D0000}"/>
    <cellStyle name="Followed Hyperlink 4" xfId="30628" hidden="1" xr:uid="{00000000-0005-0000-0000-00007E7D0000}"/>
    <cellStyle name="Followed Hyperlink 4" xfId="30631" hidden="1" xr:uid="{00000000-0005-0000-0000-00007F7D0000}"/>
    <cellStyle name="Followed Hyperlink 4" xfId="30634" hidden="1" xr:uid="{00000000-0005-0000-0000-0000807D0000}"/>
    <cellStyle name="Followed Hyperlink 4" xfId="30636" hidden="1" xr:uid="{00000000-0005-0000-0000-0000817D0000}"/>
    <cellStyle name="Followed Hyperlink 4" xfId="30637" hidden="1" xr:uid="{00000000-0005-0000-0000-0000827D0000}"/>
    <cellStyle name="Followed Hyperlink 4" xfId="30640" hidden="1" xr:uid="{00000000-0005-0000-0000-0000837D0000}"/>
    <cellStyle name="Followed Hyperlink 4" xfId="30649" hidden="1" xr:uid="{00000000-0005-0000-0000-0000847D0000}"/>
    <cellStyle name="Followed Hyperlink 4" xfId="30641" hidden="1" xr:uid="{00000000-0005-0000-0000-0000857D0000}"/>
    <cellStyle name="Followed Hyperlink 4" xfId="30652" hidden="1" xr:uid="{00000000-0005-0000-0000-0000867D0000}"/>
    <cellStyle name="Followed Hyperlink 4" xfId="30655" hidden="1" xr:uid="{00000000-0005-0000-0000-0000877D0000}"/>
    <cellStyle name="Followed Hyperlink 4" xfId="30658" hidden="1" xr:uid="{00000000-0005-0000-0000-0000887D0000}"/>
    <cellStyle name="Followed Hyperlink 4" xfId="30660" hidden="1" xr:uid="{00000000-0005-0000-0000-0000897D0000}"/>
    <cellStyle name="Followed Hyperlink 4" xfId="30661" hidden="1" xr:uid="{00000000-0005-0000-0000-00008A7D0000}"/>
    <cellStyle name="Followed Hyperlink 4" xfId="30664" hidden="1" xr:uid="{00000000-0005-0000-0000-00008B7D0000}"/>
    <cellStyle name="Followed Hyperlink 4" xfId="30673" hidden="1" xr:uid="{00000000-0005-0000-0000-00008C7D0000}"/>
    <cellStyle name="Followed Hyperlink 4" xfId="30665" hidden="1" xr:uid="{00000000-0005-0000-0000-00008D7D0000}"/>
    <cellStyle name="Followed Hyperlink 4" xfId="30676" hidden="1" xr:uid="{00000000-0005-0000-0000-00008E7D0000}"/>
    <cellStyle name="Followed Hyperlink 4" xfId="30679" hidden="1" xr:uid="{00000000-0005-0000-0000-00008F7D0000}"/>
    <cellStyle name="Followed Hyperlink 4" xfId="30682" hidden="1" xr:uid="{00000000-0005-0000-0000-0000907D0000}"/>
    <cellStyle name="Followed Hyperlink 4" xfId="30684" hidden="1" xr:uid="{00000000-0005-0000-0000-0000917D0000}"/>
    <cellStyle name="Followed Hyperlink 4" xfId="30685" hidden="1" xr:uid="{00000000-0005-0000-0000-0000927D0000}"/>
    <cellStyle name="Followed Hyperlink 4" xfId="30688" hidden="1" xr:uid="{00000000-0005-0000-0000-0000937D0000}"/>
    <cellStyle name="Followed Hyperlink 4" xfId="30697" hidden="1" xr:uid="{00000000-0005-0000-0000-0000947D0000}"/>
    <cellStyle name="Followed Hyperlink 4" xfId="30689" hidden="1" xr:uid="{00000000-0005-0000-0000-0000957D0000}"/>
    <cellStyle name="Followed Hyperlink 4" xfId="30700" hidden="1" xr:uid="{00000000-0005-0000-0000-0000967D0000}"/>
    <cellStyle name="Followed Hyperlink 4" xfId="30703" hidden="1" xr:uid="{00000000-0005-0000-0000-0000977D0000}"/>
    <cellStyle name="Followed Hyperlink 4" xfId="30706" hidden="1" xr:uid="{00000000-0005-0000-0000-0000987D0000}"/>
    <cellStyle name="Followed Hyperlink 4" xfId="30708" hidden="1" xr:uid="{00000000-0005-0000-0000-0000997D0000}"/>
    <cellStyle name="Followed Hyperlink 4" xfId="30709" hidden="1" xr:uid="{00000000-0005-0000-0000-00009A7D0000}"/>
    <cellStyle name="Followed Hyperlink 4" xfId="30712" hidden="1" xr:uid="{00000000-0005-0000-0000-00009B7D0000}"/>
    <cellStyle name="Followed Hyperlink 4" xfId="29285" hidden="1" xr:uid="{00000000-0005-0000-0000-00009C7D0000}"/>
    <cellStyle name="Followed Hyperlink 4" xfId="29340" hidden="1" xr:uid="{00000000-0005-0000-0000-00009D7D0000}"/>
    <cellStyle name="Followed Hyperlink 4" xfId="30713" hidden="1" xr:uid="{00000000-0005-0000-0000-00009E7D0000}"/>
    <cellStyle name="Followed Hyperlink 4" xfId="30716" hidden="1" xr:uid="{00000000-0005-0000-0000-00009F7D0000}"/>
    <cellStyle name="Followed Hyperlink 4" xfId="30719" hidden="1" xr:uid="{00000000-0005-0000-0000-0000A07D0000}"/>
    <cellStyle name="Followed Hyperlink 4" xfId="30721" hidden="1" xr:uid="{00000000-0005-0000-0000-0000A17D0000}"/>
    <cellStyle name="Followed Hyperlink 4" xfId="30722" hidden="1" xr:uid="{00000000-0005-0000-0000-0000A27D0000}"/>
    <cellStyle name="Followed Hyperlink 4" xfId="30725" hidden="1" xr:uid="{00000000-0005-0000-0000-0000A37D0000}"/>
    <cellStyle name="Followed Hyperlink 4" xfId="30734" hidden="1" xr:uid="{00000000-0005-0000-0000-0000A47D0000}"/>
    <cellStyle name="Followed Hyperlink 4" xfId="30726" hidden="1" xr:uid="{00000000-0005-0000-0000-0000A57D0000}"/>
    <cellStyle name="Followed Hyperlink 4" xfId="30737" hidden="1" xr:uid="{00000000-0005-0000-0000-0000A67D0000}"/>
    <cellStyle name="Followed Hyperlink 4" xfId="30740" hidden="1" xr:uid="{00000000-0005-0000-0000-0000A77D0000}"/>
    <cellStyle name="Followed Hyperlink 4" xfId="30743" hidden="1" xr:uid="{00000000-0005-0000-0000-0000A87D0000}"/>
    <cellStyle name="Followed Hyperlink 4" xfId="30745" hidden="1" xr:uid="{00000000-0005-0000-0000-0000A97D0000}"/>
    <cellStyle name="Followed Hyperlink 4" xfId="30746" hidden="1" xr:uid="{00000000-0005-0000-0000-0000AA7D0000}"/>
    <cellStyle name="Followed Hyperlink 4" xfId="30749" hidden="1" xr:uid="{00000000-0005-0000-0000-0000AB7D0000}"/>
    <cellStyle name="Followed Hyperlink 4" xfId="30758" hidden="1" xr:uid="{00000000-0005-0000-0000-0000AC7D0000}"/>
    <cellStyle name="Followed Hyperlink 4" xfId="30750" hidden="1" xr:uid="{00000000-0005-0000-0000-0000AD7D0000}"/>
    <cellStyle name="Followed Hyperlink 4" xfId="30761" hidden="1" xr:uid="{00000000-0005-0000-0000-0000AE7D0000}"/>
    <cellStyle name="Followed Hyperlink 4" xfId="30764" hidden="1" xr:uid="{00000000-0005-0000-0000-0000AF7D0000}"/>
    <cellStyle name="Followed Hyperlink 4" xfId="30767" hidden="1" xr:uid="{00000000-0005-0000-0000-0000B07D0000}"/>
    <cellStyle name="Followed Hyperlink 4" xfId="30769" hidden="1" xr:uid="{00000000-0005-0000-0000-0000B17D0000}"/>
    <cellStyle name="Followed Hyperlink 4" xfId="30770" hidden="1" xr:uid="{00000000-0005-0000-0000-0000B27D0000}"/>
    <cellStyle name="Followed Hyperlink 4" xfId="30773" hidden="1" xr:uid="{00000000-0005-0000-0000-0000B37D0000}"/>
    <cellStyle name="Followed Hyperlink 4" xfId="30782" hidden="1" xr:uid="{00000000-0005-0000-0000-0000B47D0000}"/>
    <cellStyle name="Followed Hyperlink 4" xfId="30774" hidden="1" xr:uid="{00000000-0005-0000-0000-0000B57D0000}"/>
    <cellStyle name="Followed Hyperlink 4" xfId="30785" hidden="1" xr:uid="{00000000-0005-0000-0000-0000B67D0000}"/>
    <cellStyle name="Followed Hyperlink 4" xfId="30788" hidden="1" xr:uid="{00000000-0005-0000-0000-0000B77D0000}"/>
    <cellStyle name="Followed Hyperlink 4" xfId="30791" hidden="1" xr:uid="{00000000-0005-0000-0000-0000B87D0000}"/>
    <cellStyle name="Followed Hyperlink 4" xfId="30793" hidden="1" xr:uid="{00000000-0005-0000-0000-0000B97D0000}"/>
    <cellStyle name="Followed Hyperlink 4" xfId="30794" hidden="1" xr:uid="{00000000-0005-0000-0000-0000BA7D0000}"/>
    <cellStyle name="Followed Hyperlink 4" xfId="30797" hidden="1" xr:uid="{00000000-0005-0000-0000-0000BB7D0000}"/>
    <cellStyle name="Followed Hyperlink 4" xfId="30835" hidden="1" xr:uid="{00000000-0005-0000-0000-0000BC7D0000}"/>
    <cellStyle name="Followed Hyperlink 4" xfId="30827" hidden="1" xr:uid="{00000000-0005-0000-0000-0000BD7D0000}"/>
    <cellStyle name="Followed Hyperlink 4" xfId="30838" hidden="1" xr:uid="{00000000-0005-0000-0000-0000BE7D0000}"/>
    <cellStyle name="Followed Hyperlink 4" xfId="30841" hidden="1" xr:uid="{00000000-0005-0000-0000-0000BF7D0000}"/>
    <cellStyle name="Followed Hyperlink 4" xfId="30844" hidden="1" xr:uid="{00000000-0005-0000-0000-0000C07D0000}"/>
    <cellStyle name="Followed Hyperlink 4" xfId="30846" hidden="1" xr:uid="{00000000-0005-0000-0000-0000C17D0000}"/>
    <cellStyle name="Followed Hyperlink 4" xfId="30847" hidden="1" xr:uid="{00000000-0005-0000-0000-0000C27D0000}"/>
    <cellStyle name="Followed Hyperlink 4" xfId="30850" hidden="1" xr:uid="{00000000-0005-0000-0000-0000C37D0000}"/>
    <cellStyle name="Followed Hyperlink 4" xfId="30859" hidden="1" xr:uid="{00000000-0005-0000-0000-0000C47D0000}"/>
    <cellStyle name="Followed Hyperlink 4" xfId="30851" hidden="1" xr:uid="{00000000-0005-0000-0000-0000C57D0000}"/>
    <cellStyle name="Followed Hyperlink 4" xfId="30862" hidden="1" xr:uid="{00000000-0005-0000-0000-0000C67D0000}"/>
    <cellStyle name="Followed Hyperlink 4" xfId="30865" hidden="1" xr:uid="{00000000-0005-0000-0000-0000C77D0000}"/>
    <cellStyle name="Followed Hyperlink 4" xfId="30868" hidden="1" xr:uid="{00000000-0005-0000-0000-0000C87D0000}"/>
    <cellStyle name="Followed Hyperlink 4" xfId="30870" hidden="1" xr:uid="{00000000-0005-0000-0000-0000C97D0000}"/>
    <cellStyle name="Followed Hyperlink 4" xfId="30871" hidden="1" xr:uid="{00000000-0005-0000-0000-0000CA7D0000}"/>
    <cellStyle name="Followed Hyperlink 4" xfId="30874" hidden="1" xr:uid="{00000000-0005-0000-0000-0000CB7D0000}"/>
    <cellStyle name="Followed Hyperlink 4" xfId="30885" hidden="1" xr:uid="{00000000-0005-0000-0000-0000CC7D0000}"/>
    <cellStyle name="Followed Hyperlink 4" xfId="30877" hidden="1" xr:uid="{00000000-0005-0000-0000-0000CD7D0000}"/>
    <cellStyle name="Followed Hyperlink 4" xfId="30888" hidden="1" xr:uid="{00000000-0005-0000-0000-0000CE7D0000}"/>
    <cellStyle name="Followed Hyperlink 4" xfId="30891" hidden="1" xr:uid="{00000000-0005-0000-0000-0000CF7D0000}"/>
    <cellStyle name="Followed Hyperlink 4" xfId="30894" hidden="1" xr:uid="{00000000-0005-0000-0000-0000D07D0000}"/>
    <cellStyle name="Followed Hyperlink 4" xfId="30896" hidden="1" xr:uid="{00000000-0005-0000-0000-0000D17D0000}"/>
    <cellStyle name="Followed Hyperlink 4" xfId="30897" hidden="1" xr:uid="{00000000-0005-0000-0000-0000D27D0000}"/>
    <cellStyle name="Followed Hyperlink 4" xfId="30900" hidden="1" xr:uid="{00000000-0005-0000-0000-0000D37D0000}"/>
    <cellStyle name="Followed Hyperlink 4" xfId="30909" hidden="1" xr:uid="{00000000-0005-0000-0000-0000D47D0000}"/>
    <cellStyle name="Followed Hyperlink 4" xfId="30901" hidden="1" xr:uid="{00000000-0005-0000-0000-0000D57D0000}"/>
    <cellStyle name="Followed Hyperlink 4" xfId="30912" hidden="1" xr:uid="{00000000-0005-0000-0000-0000D67D0000}"/>
    <cellStyle name="Followed Hyperlink 4" xfId="30915" hidden="1" xr:uid="{00000000-0005-0000-0000-0000D77D0000}"/>
    <cellStyle name="Followed Hyperlink 4" xfId="30918" hidden="1" xr:uid="{00000000-0005-0000-0000-0000D87D0000}"/>
    <cellStyle name="Followed Hyperlink 4" xfId="30920" hidden="1" xr:uid="{00000000-0005-0000-0000-0000D97D0000}"/>
    <cellStyle name="Followed Hyperlink 4" xfId="30921" hidden="1" xr:uid="{00000000-0005-0000-0000-0000DA7D0000}"/>
    <cellStyle name="Followed Hyperlink 4" xfId="30924" hidden="1" xr:uid="{00000000-0005-0000-0000-0000DB7D0000}"/>
    <cellStyle name="Followed Hyperlink 4" xfId="30807" hidden="1" xr:uid="{00000000-0005-0000-0000-0000DC7D0000}"/>
    <cellStyle name="Followed Hyperlink 4" xfId="30801" hidden="1" xr:uid="{00000000-0005-0000-0000-0000DD7D0000}"/>
    <cellStyle name="Followed Hyperlink 4" xfId="30925" hidden="1" xr:uid="{00000000-0005-0000-0000-0000DE7D0000}"/>
    <cellStyle name="Followed Hyperlink 4" xfId="30928" hidden="1" xr:uid="{00000000-0005-0000-0000-0000DF7D0000}"/>
    <cellStyle name="Followed Hyperlink 4" xfId="30931" hidden="1" xr:uid="{00000000-0005-0000-0000-0000E07D0000}"/>
    <cellStyle name="Followed Hyperlink 4" xfId="30933" hidden="1" xr:uid="{00000000-0005-0000-0000-0000E17D0000}"/>
    <cellStyle name="Followed Hyperlink 4" xfId="30934" hidden="1" xr:uid="{00000000-0005-0000-0000-0000E27D0000}"/>
    <cellStyle name="Followed Hyperlink 4" xfId="30937" hidden="1" xr:uid="{00000000-0005-0000-0000-0000E37D0000}"/>
    <cellStyle name="Followed Hyperlink 4" xfId="30946" hidden="1" xr:uid="{00000000-0005-0000-0000-0000E47D0000}"/>
    <cellStyle name="Followed Hyperlink 4" xfId="30938" hidden="1" xr:uid="{00000000-0005-0000-0000-0000E57D0000}"/>
    <cellStyle name="Followed Hyperlink 4" xfId="30949" hidden="1" xr:uid="{00000000-0005-0000-0000-0000E67D0000}"/>
    <cellStyle name="Followed Hyperlink 4" xfId="30952" hidden="1" xr:uid="{00000000-0005-0000-0000-0000E77D0000}"/>
    <cellStyle name="Followed Hyperlink 4" xfId="30955" hidden="1" xr:uid="{00000000-0005-0000-0000-0000E87D0000}"/>
    <cellStyle name="Followed Hyperlink 4" xfId="30957" hidden="1" xr:uid="{00000000-0005-0000-0000-0000E97D0000}"/>
    <cellStyle name="Followed Hyperlink 4" xfId="30958" hidden="1" xr:uid="{00000000-0005-0000-0000-0000EA7D0000}"/>
    <cellStyle name="Followed Hyperlink 4" xfId="30961" hidden="1" xr:uid="{00000000-0005-0000-0000-0000EB7D0000}"/>
    <cellStyle name="Followed Hyperlink 4" xfId="30971" hidden="1" xr:uid="{00000000-0005-0000-0000-0000EC7D0000}"/>
    <cellStyle name="Followed Hyperlink 4" xfId="30963" hidden="1" xr:uid="{00000000-0005-0000-0000-0000ED7D0000}"/>
    <cellStyle name="Followed Hyperlink 4" xfId="30974" hidden="1" xr:uid="{00000000-0005-0000-0000-0000EE7D0000}"/>
    <cellStyle name="Followed Hyperlink 4" xfId="30977" hidden="1" xr:uid="{00000000-0005-0000-0000-0000EF7D0000}"/>
    <cellStyle name="Followed Hyperlink 4" xfId="30980" hidden="1" xr:uid="{00000000-0005-0000-0000-0000F07D0000}"/>
    <cellStyle name="Followed Hyperlink 4" xfId="30982" hidden="1" xr:uid="{00000000-0005-0000-0000-0000F17D0000}"/>
    <cellStyle name="Followed Hyperlink 4" xfId="30983" hidden="1" xr:uid="{00000000-0005-0000-0000-0000F27D0000}"/>
    <cellStyle name="Followed Hyperlink 4" xfId="30986" hidden="1" xr:uid="{00000000-0005-0000-0000-0000F37D0000}"/>
    <cellStyle name="Followed Hyperlink 4" xfId="30995" hidden="1" xr:uid="{00000000-0005-0000-0000-0000F47D0000}"/>
    <cellStyle name="Followed Hyperlink 4" xfId="30987" hidden="1" xr:uid="{00000000-0005-0000-0000-0000F57D0000}"/>
    <cellStyle name="Followed Hyperlink 4" xfId="30998" hidden="1" xr:uid="{00000000-0005-0000-0000-0000F67D0000}"/>
    <cellStyle name="Followed Hyperlink 4" xfId="31001" hidden="1" xr:uid="{00000000-0005-0000-0000-0000F77D0000}"/>
    <cellStyle name="Followed Hyperlink 4" xfId="31004" hidden="1" xr:uid="{00000000-0005-0000-0000-0000F87D0000}"/>
    <cellStyle name="Followed Hyperlink 4" xfId="31006" hidden="1" xr:uid="{00000000-0005-0000-0000-0000F97D0000}"/>
    <cellStyle name="Followed Hyperlink 4" xfId="31007" hidden="1" xr:uid="{00000000-0005-0000-0000-0000FA7D0000}"/>
    <cellStyle name="Followed Hyperlink 4" xfId="31010" hidden="1" xr:uid="{00000000-0005-0000-0000-0000FB7D0000}"/>
    <cellStyle name="Followed Hyperlink 4" xfId="30811" hidden="1" xr:uid="{00000000-0005-0000-0000-0000FC7D0000}"/>
    <cellStyle name="Followed Hyperlink 4" xfId="30817" hidden="1" xr:uid="{00000000-0005-0000-0000-0000FD7D0000}"/>
    <cellStyle name="Followed Hyperlink 4" xfId="31011" hidden="1" xr:uid="{00000000-0005-0000-0000-0000FE7D0000}"/>
    <cellStyle name="Followed Hyperlink 4" xfId="31014" hidden="1" xr:uid="{00000000-0005-0000-0000-0000FF7D0000}"/>
    <cellStyle name="Followed Hyperlink 4" xfId="31017" hidden="1" xr:uid="{00000000-0005-0000-0000-0000007E0000}"/>
    <cellStyle name="Followed Hyperlink 4" xfId="31019" hidden="1" xr:uid="{00000000-0005-0000-0000-0000017E0000}"/>
    <cellStyle name="Followed Hyperlink 4" xfId="31020" hidden="1" xr:uid="{00000000-0005-0000-0000-0000027E0000}"/>
    <cellStyle name="Followed Hyperlink 4" xfId="31023" hidden="1" xr:uid="{00000000-0005-0000-0000-0000037E0000}"/>
    <cellStyle name="Followed Hyperlink 4" xfId="31032" hidden="1" xr:uid="{00000000-0005-0000-0000-0000047E0000}"/>
    <cellStyle name="Followed Hyperlink 4" xfId="31024" hidden="1" xr:uid="{00000000-0005-0000-0000-0000057E0000}"/>
    <cellStyle name="Followed Hyperlink 4" xfId="31035" hidden="1" xr:uid="{00000000-0005-0000-0000-0000067E0000}"/>
    <cellStyle name="Followed Hyperlink 4" xfId="31038" hidden="1" xr:uid="{00000000-0005-0000-0000-0000077E0000}"/>
    <cellStyle name="Followed Hyperlink 4" xfId="31041" hidden="1" xr:uid="{00000000-0005-0000-0000-0000087E0000}"/>
    <cellStyle name="Followed Hyperlink 4" xfId="31043" hidden="1" xr:uid="{00000000-0005-0000-0000-0000097E0000}"/>
    <cellStyle name="Followed Hyperlink 4" xfId="31044" hidden="1" xr:uid="{00000000-0005-0000-0000-00000A7E0000}"/>
    <cellStyle name="Followed Hyperlink 4" xfId="31047" hidden="1" xr:uid="{00000000-0005-0000-0000-00000B7E0000}"/>
    <cellStyle name="Followed Hyperlink 4" xfId="31057" hidden="1" xr:uid="{00000000-0005-0000-0000-00000C7E0000}"/>
    <cellStyle name="Followed Hyperlink 4" xfId="31049" hidden="1" xr:uid="{00000000-0005-0000-0000-00000D7E0000}"/>
    <cellStyle name="Followed Hyperlink 4" xfId="31060" hidden="1" xr:uid="{00000000-0005-0000-0000-00000E7E0000}"/>
    <cellStyle name="Followed Hyperlink 4" xfId="31063" hidden="1" xr:uid="{00000000-0005-0000-0000-00000F7E0000}"/>
    <cellStyle name="Followed Hyperlink 4" xfId="31066" hidden="1" xr:uid="{00000000-0005-0000-0000-0000107E0000}"/>
    <cellStyle name="Followed Hyperlink 4" xfId="31068" hidden="1" xr:uid="{00000000-0005-0000-0000-0000117E0000}"/>
    <cellStyle name="Followed Hyperlink 4" xfId="31069" hidden="1" xr:uid="{00000000-0005-0000-0000-0000127E0000}"/>
    <cellStyle name="Followed Hyperlink 4" xfId="31072" hidden="1" xr:uid="{00000000-0005-0000-0000-0000137E0000}"/>
    <cellStyle name="Followed Hyperlink 4" xfId="31081" hidden="1" xr:uid="{00000000-0005-0000-0000-0000147E0000}"/>
    <cellStyle name="Followed Hyperlink 4" xfId="31073" hidden="1" xr:uid="{00000000-0005-0000-0000-0000157E0000}"/>
    <cellStyle name="Followed Hyperlink 4" xfId="31084" hidden="1" xr:uid="{00000000-0005-0000-0000-0000167E0000}"/>
    <cellStyle name="Followed Hyperlink 4" xfId="31087" hidden="1" xr:uid="{00000000-0005-0000-0000-0000177E0000}"/>
    <cellStyle name="Followed Hyperlink 4" xfId="31090" hidden="1" xr:uid="{00000000-0005-0000-0000-0000187E0000}"/>
    <cellStyle name="Followed Hyperlink 4" xfId="31092" hidden="1" xr:uid="{00000000-0005-0000-0000-0000197E0000}"/>
    <cellStyle name="Followed Hyperlink 4" xfId="31093" hidden="1" xr:uid="{00000000-0005-0000-0000-00001A7E0000}"/>
    <cellStyle name="Followed Hyperlink 4" xfId="31096" hidden="1" xr:uid="{00000000-0005-0000-0000-00001B7E0000}"/>
    <cellStyle name="Followed Hyperlink 4" xfId="30821" hidden="1" xr:uid="{00000000-0005-0000-0000-00001C7E0000}"/>
    <cellStyle name="Followed Hyperlink 4" xfId="30876" hidden="1" xr:uid="{00000000-0005-0000-0000-00001D7E0000}"/>
    <cellStyle name="Followed Hyperlink 4" xfId="31097" hidden="1" xr:uid="{00000000-0005-0000-0000-00001E7E0000}"/>
    <cellStyle name="Followed Hyperlink 4" xfId="31100" hidden="1" xr:uid="{00000000-0005-0000-0000-00001F7E0000}"/>
    <cellStyle name="Followed Hyperlink 4" xfId="31103" hidden="1" xr:uid="{00000000-0005-0000-0000-0000207E0000}"/>
    <cellStyle name="Followed Hyperlink 4" xfId="31105" hidden="1" xr:uid="{00000000-0005-0000-0000-0000217E0000}"/>
    <cellStyle name="Followed Hyperlink 4" xfId="31106" hidden="1" xr:uid="{00000000-0005-0000-0000-0000227E0000}"/>
    <cellStyle name="Followed Hyperlink 4" xfId="31109" hidden="1" xr:uid="{00000000-0005-0000-0000-0000237E0000}"/>
    <cellStyle name="Followed Hyperlink 4" xfId="31118" hidden="1" xr:uid="{00000000-0005-0000-0000-0000247E0000}"/>
    <cellStyle name="Followed Hyperlink 4" xfId="31110" hidden="1" xr:uid="{00000000-0005-0000-0000-0000257E0000}"/>
    <cellStyle name="Followed Hyperlink 4" xfId="31121" hidden="1" xr:uid="{00000000-0005-0000-0000-0000267E0000}"/>
    <cellStyle name="Followed Hyperlink 4" xfId="31124" hidden="1" xr:uid="{00000000-0005-0000-0000-0000277E0000}"/>
    <cellStyle name="Followed Hyperlink 4" xfId="31127" hidden="1" xr:uid="{00000000-0005-0000-0000-0000287E0000}"/>
    <cellStyle name="Followed Hyperlink 4" xfId="31129" hidden="1" xr:uid="{00000000-0005-0000-0000-0000297E0000}"/>
    <cellStyle name="Followed Hyperlink 4" xfId="31130" hidden="1" xr:uid="{00000000-0005-0000-0000-00002A7E0000}"/>
    <cellStyle name="Followed Hyperlink 4" xfId="31133" hidden="1" xr:uid="{00000000-0005-0000-0000-00002B7E0000}"/>
    <cellStyle name="Followed Hyperlink 4" xfId="31142" hidden="1" xr:uid="{00000000-0005-0000-0000-00002C7E0000}"/>
    <cellStyle name="Followed Hyperlink 4" xfId="31134" hidden="1" xr:uid="{00000000-0005-0000-0000-00002D7E0000}"/>
    <cellStyle name="Followed Hyperlink 4" xfId="31145" hidden="1" xr:uid="{00000000-0005-0000-0000-00002E7E0000}"/>
    <cellStyle name="Followed Hyperlink 4" xfId="31148" hidden="1" xr:uid="{00000000-0005-0000-0000-00002F7E0000}"/>
    <cellStyle name="Followed Hyperlink 4" xfId="31151" hidden="1" xr:uid="{00000000-0005-0000-0000-0000307E0000}"/>
    <cellStyle name="Followed Hyperlink 4" xfId="31153" hidden="1" xr:uid="{00000000-0005-0000-0000-0000317E0000}"/>
    <cellStyle name="Followed Hyperlink 4" xfId="31154" hidden="1" xr:uid="{00000000-0005-0000-0000-0000327E0000}"/>
    <cellStyle name="Followed Hyperlink 4" xfId="31157" hidden="1" xr:uid="{00000000-0005-0000-0000-0000337E0000}"/>
    <cellStyle name="Followed Hyperlink 4" xfId="31166" hidden="1" xr:uid="{00000000-0005-0000-0000-0000347E0000}"/>
    <cellStyle name="Followed Hyperlink 4" xfId="31158" hidden="1" xr:uid="{00000000-0005-0000-0000-0000357E0000}"/>
    <cellStyle name="Followed Hyperlink 4" xfId="31169" hidden="1" xr:uid="{00000000-0005-0000-0000-0000367E0000}"/>
    <cellStyle name="Followed Hyperlink 4" xfId="31172" hidden="1" xr:uid="{00000000-0005-0000-0000-0000377E0000}"/>
    <cellStyle name="Followed Hyperlink 4" xfId="31175" hidden="1" xr:uid="{00000000-0005-0000-0000-0000387E0000}"/>
    <cellStyle name="Followed Hyperlink 4" xfId="31177" hidden="1" xr:uid="{00000000-0005-0000-0000-0000397E0000}"/>
    <cellStyle name="Followed Hyperlink 4" xfId="31178" hidden="1" xr:uid="{00000000-0005-0000-0000-00003A7E0000}"/>
    <cellStyle name="Followed Hyperlink 4" xfId="31181" hidden="1" xr:uid="{00000000-0005-0000-0000-00003B7E0000}"/>
    <cellStyle name="Followed Hyperlink 4" xfId="25146" hidden="1" xr:uid="{00000000-0005-0000-0000-00003C7E0000}"/>
    <cellStyle name="Followed Hyperlink 4" xfId="25201" hidden="1" xr:uid="{00000000-0005-0000-0000-00003D7E0000}"/>
    <cellStyle name="Followed Hyperlink 4" xfId="31182" hidden="1" xr:uid="{00000000-0005-0000-0000-00003E7E0000}"/>
    <cellStyle name="Followed Hyperlink 4" xfId="31185" hidden="1" xr:uid="{00000000-0005-0000-0000-00003F7E0000}"/>
    <cellStyle name="Followed Hyperlink 4" xfId="31188" hidden="1" xr:uid="{00000000-0005-0000-0000-0000407E0000}"/>
    <cellStyle name="Followed Hyperlink 4" xfId="31190" hidden="1" xr:uid="{00000000-0005-0000-0000-0000417E0000}"/>
    <cellStyle name="Followed Hyperlink 4" xfId="31191" hidden="1" xr:uid="{00000000-0005-0000-0000-0000427E0000}"/>
    <cellStyle name="Followed Hyperlink 4" xfId="31194" hidden="1" xr:uid="{00000000-0005-0000-0000-0000437E0000}"/>
    <cellStyle name="Followed Hyperlink 4" xfId="31203" hidden="1" xr:uid="{00000000-0005-0000-0000-0000447E0000}"/>
    <cellStyle name="Followed Hyperlink 4" xfId="31195" hidden="1" xr:uid="{00000000-0005-0000-0000-0000457E0000}"/>
    <cellStyle name="Followed Hyperlink 4" xfId="31206" hidden="1" xr:uid="{00000000-0005-0000-0000-0000467E0000}"/>
    <cellStyle name="Followed Hyperlink 4" xfId="31209" hidden="1" xr:uid="{00000000-0005-0000-0000-0000477E0000}"/>
    <cellStyle name="Followed Hyperlink 4" xfId="31212" hidden="1" xr:uid="{00000000-0005-0000-0000-0000487E0000}"/>
    <cellStyle name="Followed Hyperlink 4" xfId="31214" hidden="1" xr:uid="{00000000-0005-0000-0000-0000497E0000}"/>
    <cellStyle name="Followed Hyperlink 4" xfId="31215" hidden="1" xr:uid="{00000000-0005-0000-0000-00004A7E0000}"/>
    <cellStyle name="Followed Hyperlink 4" xfId="31218" hidden="1" xr:uid="{00000000-0005-0000-0000-00004B7E0000}"/>
    <cellStyle name="Followed Hyperlink 4" xfId="31227" hidden="1" xr:uid="{00000000-0005-0000-0000-00004C7E0000}"/>
    <cellStyle name="Followed Hyperlink 4" xfId="31219" hidden="1" xr:uid="{00000000-0005-0000-0000-00004D7E0000}"/>
    <cellStyle name="Followed Hyperlink 4" xfId="31230" hidden="1" xr:uid="{00000000-0005-0000-0000-00004E7E0000}"/>
    <cellStyle name="Followed Hyperlink 4" xfId="31233" hidden="1" xr:uid="{00000000-0005-0000-0000-00004F7E0000}"/>
    <cellStyle name="Followed Hyperlink 4" xfId="31236" hidden="1" xr:uid="{00000000-0005-0000-0000-0000507E0000}"/>
    <cellStyle name="Followed Hyperlink 4" xfId="31238" hidden="1" xr:uid="{00000000-0005-0000-0000-0000517E0000}"/>
    <cellStyle name="Followed Hyperlink 4" xfId="31239" hidden="1" xr:uid="{00000000-0005-0000-0000-0000527E0000}"/>
    <cellStyle name="Followed Hyperlink 4" xfId="31242" hidden="1" xr:uid="{00000000-0005-0000-0000-0000537E0000}"/>
    <cellStyle name="Followed Hyperlink 4" xfId="31251" hidden="1" xr:uid="{00000000-0005-0000-0000-0000547E0000}"/>
    <cellStyle name="Followed Hyperlink 4" xfId="31243" hidden="1" xr:uid="{00000000-0005-0000-0000-0000557E0000}"/>
    <cellStyle name="Followed Hyperlink 4" xfId="31254" hidden="1" xr:uid="{00000000-0005-0000-0000-0000567E0000}"/>
    <cellStyle name="Followed Hyperlink 4" xfId="31257" hidden="1" xr:uid="{00000000-0005-0000-0000-0000577E0000}"/>
    <cellStyle name="Followed Hyperlink 4" xfId="31260" hidden="1" xr:uid="{00000000-0005-0000-0000-0000587E0000}"/>
    <cellStyle name="Followed Hyperlink 4" xfId="31262" hidden="1" xr:uid="{00000000-0005-0000-0000-0000597E0000}"/>
    <cellStyle name="Followed Hyperlink 4" xfId="31263" hidden="1" xr:uid="{00000000-0005-0000-0000-00005A7E0000}"/>
    <cellStyle name="Followed Hyperlink 4" xfId="31266" hidden="1" xr:uid="{00000000-0005-0000-0000-00005B7E0000}"/>
    <cellStyle name="Followed Hyperlink 4" xfId="31304" hidden="1" xr:uid="{00000000-0005-0000-0000-00005C7E0000}"/>
    <cellStyle name="Followed Hyperlink 4" xfId="31296" hidden="1" xr:uid="{00000000-0005-0000-0000-00005D7E0000}"/>
    <cellStyle name="Followed Hyperlink 4" xfId="31307" hidden="1" xr:uid="{00000000-0005-0000-0000-00005E7E0000}"/>
    <cellStyle name="Followed Hyperlink 4" xfId="31310" hidden="1" xr:uid="{00000000-0005-0000-0000-00005F7E0000}"/>
    <cellStyle name="Followed Hyperlink 4" xfId="31313" hidden="1" xr:uid="{00000000-0005-0000-0000-0000607E0000}"/>
    <cellStyle name="Followed Hyperlink 4" xfId="31315" hidden="1" xr:uid="{00000000-0005-0000-0000-0000617E0000}"/>
    <cellStyle name="Followed Hyperlink 4" xfId="31316" hidden="1" xr:uid="{00000000-0005-0000-0000-0000627E0000}"/>
    <cellStyle name="Followed Hyperlink 4" xfId="31319" hidden="1" xr:uid="{00000000-0005-0000-0000-0000637E0000}"/>
    <cellStyle name="Followed Hyperlink 4" xfId="31328" hidden="1" xr:uid="{00000000-0005-0000-0000-0000647E0000}"/>
    <cellStyle name="Followed Hyperlink 4" xfId="31320" hidden="1" xr:uid="{00000000-0005-0000-0000-0000657E0000}"/>
    <cellStyle name="Followed Hyperlink 4" xfId="31331" hidden="1" xr:uid="{00000000-0005-0000-0000-0000667E0000}"/>
    <cellStyle name="Followed Hyperlink 4" xfId="31334" hidden="1" xr:uid="{00000000-0005-0000-0000-0000677E0000}"/>
    <cellStyle name="Followed Hyperlink 4" xfId="31337" hidden="1" xr:uid="{00000000-0005-0000-0000-0000687E0000}"/>
    <cellStyle name="Followed Hyperlink 4" xfId="31339" hidden="1" xr:uid="{00000000-0005-0000-0000-0000697E0000}"/>
    <cellStyle name="Followed Hyperlink 4" xfId="31340" hidden="1" xr:uid="{00000000-0005-0000-0000-00006A7E0000}"/>
    <cellStyle name="Followed Hyperlink 4" xfId="31343" hidden="1" xr:uid="{00000000-0005-0000-0000-00006B7E0000}"/>
    <cellStyle name="Followed Hyperlink 4" xfId="31354" hidden="1" xr:uid="{00000000-0005-0000-0000-00006C7E0000}"/>
    <cellStyle name="Followed Hyperlink 4" xfId="31346" hidden="1" xr:uid="{00000000-0005-0000-0000-00006D7E0000}"/>
    <cellStyle name="Followed Hyperlink 4" xfId="31357" hidden="1" xr:uid="{00000000-0005-0000-0000-00006E7E0000}"/>
    <cellStyle name="Followed Hyperlink 4" xfId="31360" hidden="1" xr:uid="{00000000-0005-0000-0000-00006F7E0000}"/>
    <cellStyle name="Followed Hyperlink 4" xfId="31363" hidden="1" xr:uid="{00000000-0005-0000-0000-0000707E0000}"/>
    <cellStyle name="Followed Hyperlink 4" xfId="31365" hidden="1" xr:uid="{00000000-0005-0000-0000-0000717E0000}"/>
    <cellStyle name="Followed Hyperlink 4" xfId="31366" hidden="1" xr:uid="{00000000-0005-0000-0000-0000727E0000}"/>
    <cellStyle name="Followed Hyperlink 4" xfId="31369" hidden="1" xr:uid="{00000000-0005-0000-0000-0000737E0000}"/>
    <cellStyle name="Followed Hyperlink 4" xfId="31378" hidden="1" xr:uid="{00000000-0005-0000-0000-0000747E0000}"/>
    <cellStyle name="Followed Hyperlink 4" xfId="31370" hidden="1" xr:uid="{00000000-0005-0000-0000-0000757E0000}"/>
    <cellStyle name="Followed Hyperlink 4" xfId="31381" hidden="1" xr:uid="{00000000-0005-0000-0000-0000767E0000}"/>
    <cellStyle name="Followed Hyperlink 4" xfId="31384" hidden="1" xr:uid="{00000000-0005-0000-0000-0000777E0000}"/>
    <cellStyle name="Followed Hyperlink 4" xfId="31387" hidden="1" xr:uid="{00000000-0005-0000-0000-0000787E0000}"/>
    <cellStyle name="Followed Hyperlink 4" xfId="31389" hidden="1" xr:uid="{00000000-0005-0000-0000-0000797E0000}"/>
    <cellStyle name="Followed Hyperlink 4" xfId="31390" hidden="1" xr:uid="{00000000-0005-0000-0000-00007A7E0000}"/>
    <cellStyle name="Followed Hyperlink 4" xfId="31393" hidden="1" xr:uid="{00000000-0005-0000-0000-00007B7E0000}"/>
    <cellStyle name="Followed Hyperlink 4" xfId="31431" hidden="1" xr:uid="{00000000-0005-0000-0000-00007C7E0000}"/>
    <cellStyle name="Followed Hyperlink 4" xfId="31423" hidden="1" xr:uid="{00000000-0005-0000-0000-00007D7E0000}"/>
    <cellStyle name="Followed Hyperlink 4" xfId="31434" hidden="1" xr:uid="{00000000-0005-0000-0000-00007E7E0000}"/>
    <cellStyle name="Followed Hyperlink 4" xfId="31437" hidden="1" xr:uid="{00000000-0005-0000-0000-00007F7E0000}"/>
    <cellStyle name="Followed Hyperlink 4" xfId="31440" hidden="1" xr:uid="{00000000-0005-0000-0000-0000807E0000}"/>
    <cellStyle name="Followed Hyperlink 4" xfId="31442" hidden="1" xr:uid="{00000000-0005-0000-0000-0000817E0000}"/>
    <cellStyle name="Followed Hyperlink 4" xfId="31443" hidden="1" xr:uid="{00000000-0005-0000-0000-0000827E0000}"/>
    <cellStyle name="Followed Hyperlink 4" xfId="31446" hidden="1" xr:uid="{00000000-0005-0000-0000-0000837E0000}"/>
    <cellStyle name="Followed Hyperlink 4" xfId="31455" hidden="1" xr:uid="{00000000-0005-0000-0000-0000847E0000}"/>
    <cellStyle name="Followed Hyperlink 4" xfId="31447" hidden="1" xr:uid="{00000000-0005-0000-0000-0000857E0000}"/>
    <cellStyle name="Followed Hyperlink 4" xfId="31458" hidden="1" xr:uid="{00000000-0005-0000-0000-0000867E0000}"/>
    <cellStyle name="Followed Hyperlink 4" xfId="31461" hidden="1" xr:uid="{00000000-0005-0000-0000-0000877E0000}"/>
    <cellStyle name="Followed Hyperlink 4" xfId="31464" hidden="1" xr:uid="{00000000-0005-0000-0000-0000887E0000}"/>
    <cellStyle name="Followed Hyperlink 4" xfId="31466" hidden="1" xr:uid="{00000000-0005-0000-0000-0000897E0000}"/>
    <cellStyle name="Followed Hyperlink 4" xfId="31467" hidden="1" xr:uid="{00000000-0005-0000-0000-00008A7E0000}"/>
    <cellStyle name="Followed Hyperlink 4" xfId="31470" hidden="1" xr:uid="{00000000-0005-0000-0000-00008B7E0000}"/>
    <cellStyle name="Followed Hyperlink 4" xfId="31481" hidden="1" xr:uid="{00000000-0005-0000-0000-00008C7E0000}"/>
    <cellStyle name="Followed Hyperlink 4" xfId="31473" hidden="1" xr:uid="{00000000-0005-0000-0000-00008D7E0000}"/>
    <cellStyle name="Followed Hyperlink 4" xfId="31484" hidden="1" xr:uid="{00000000-0005-0000-0000-00008E7E0000}"/>
    <cellStyle name="Followed Hyperlink 4" xfId="31487" hidden="1" xr:uid="{00000000-0005-0000-0000-00008F7E0000}"/>
    <cellStyle name="Followed Hyperlink 4" xfId="31490" hidden="1" xr:uid="{00000000-0005-0000-0000-0000907E0000}"/>
    <cellStyle name="Followed Hyperlink 4" xfId="31492" hidden="1" xr:uid="{00000000-0005-0000-0000-0000917E0000}"/>
    <cellStyle name="Followed Hyperlink 4" xfId="31493" hidden="1" xr:uid="{00000000-0005-0000-0000-0000927E0000}"/>
    <cellStyle name="Followed Hyperlink 4" xfId="31496" hidden="1" xr:uid="{00000000-0005-0000-0000-0000937E0000}"/>
    <cellStyle name="Followed Hyperlink 4" xfId="31505" hidden="1" xr:uid="{00000000-0005-0000-0000-0000947E0000}"/>
    <cellStyle name="Followed Hyperlink 4" xfId="31497" hidden="1" xr:uid="{00000000-0005-0000-0000-0000957E0000}"/>
    <cellStyle name="Followed Hyperlink 4" xfId="31508" hidden="1" xr:uid="{00000000-0005-0000-0000-0000967E0000}"/>
    <cellStyle name="Followed Hyperlink 4" xfId="31511" hidden="1" xr:uid="{00000000-0005-0000-0000-0000977E0000}"/>
    <cellStyle name="Followed Hyperlink 4" xfId="31514" hidden="1" xr:uid="{00000000-0005-0000-0000-0000987E0000}"/>
    <cellStyle name="Followed Hyperlink 4" xfId="31516" hidden="1" xr:uid="{00000000-0005-0000-0000-0000997E0000}"/>
    <cellStyle name="Followed Hyperlink 4" xfId="31517" hidden="1" xr:uid="{00000000-0005-0000-0000-00009A7E0000}"/>
    <cellStyle name="Followed Hyperlink 4" xfId="31520" hidden="1" xr:uid="{00000000-0005-0000-0000-00009B7E0000}"/>
    <cellStyle name="Followed Hyperlink 4" xfId="31403" hidden="1" xr:uid="{00000000-0005-0000-0000-00009C7E0000}"/>
    <cellStyle name="Followed Hyperlink 4" xfId="31397" hidden="1" xr:uid="{00000000-0005-0000-0000-00009D7E0000}"/>
    <cellStyle name="Followed Hyperlink 4" xfId="31521" hidden="1" xr:uid="{00000000-0005-0000-0000-00009E7E0000}"/>
    <cellStyle name="Followed Hyperlink 4" xfId="31524" hidden="1" xr:uid="{00000000-0005-0000-0000-00009F7E0000}"/>
    <cellStyle name="Followed Hyperlink 4" xfId="31527" hidden="1" xr:uid="{00000000-0005-0000-0000-0000A07E0000}"/>
    <cellStyle name="Followed Hyperlink 4" xfId="31529" hidden="1" xr:uid="{00000000-0005-0000-0000-0000A17E0000}"/>
    <cellStyle name="Followed Hyperlink 4" xfId="31530" hidden="1" xr:uid="{00000000-0005-0000-0000-0000A27E0000}"/>
    <cellStyle name="Followed Hyperlink 4" xfId="31533" hidden="1" xr:uid="{00000000-0005-0000-0000-0000A37E0000}"/>
    <cellStyle name="Followed Hyperlink 4" xfId="31542" hidden="1" xr:uid="{00000000-0005-0000-0000-0000A47E0000}"/>
    <cellStyle name="Followed Hyperlink 4" xfId="31534" hidden="1" xr:uid="{00000000-0005-0000-0000-0000A57E0000}"/>
    <cellStyle name="Followed Hyperlink 4" xfId="31545" hidden="1" xr:uid="{00000000-0005-0000-0000-0000A67E0000}"/>
    <cellStyle name="Followed Hyperlink 4" xfId="31548" hidden="1" xr:uid="{00000000-0005-0000-0000-0000A77E0000}"/>
    <cellStyle name="Followed Hyperlink 4" xfId="31551" hidden="1" xr:uid="{00000000-0005-0000-0000-0000A87E0000}"/>
    <cellStyle name="Followed Hyperlink 4" xfId="31553" hidden="1" xr:uid="{00000000-0005-0000-0000-0000A97E0000}"/>
    <cellStyle name="Followed Hyperlink 4" xfId="31554" hidden="1" xr:uid="{00000000-0005-0000-0000-0000AA7E0000}"/>
    <cellStyle name="Followed Hyperlink 4" xfId="31557" hidden="1" xr:uid="{00000000-0005-0000-0000-0000AB7E0000}"/>
    <cellStyle name="Followed Hyperlink 4" xfId="31567" hidden="1" xr:uid="{00000000-0005-0000-0000-0000AC7E0000}"/>
    <cellStyle name="Followed Hyperlink 4" xfId="31559" hidden="1" xr:uid="{00000000-0005-0000-0000-0000AD7E0000}"/>
    <cellStyle name="Followed Hyperlink 4" xfId="31570" hidden="1" xr:uid="{00000000-0005-0000-0000-0000AE7E0000}"/>
    <cellStyle name="Followed Hyperlink 4" xfId="31573" hidden="1" xr:uid="{00000000-0005-0000-0000-0000AF7E0000}"/>
    <cellStyle name="Followed Hyperlink 4" xfId="31576" hidden="1" xr:uid="{00000000-0005-0000-0000-0000B07E0000}"/>
    <cellStyle name="Followed Hyperlink 4" xfId="31578" hidden="1" xr:uid="{00000000-0005-0000-0000-0000B17E0000}"/>
    <cellStyle name="Followed Hyperlink 4" xfId="31579" hidden="1" xr:uid="{00000000-0005-0000-0000-0000B27E0000}"/>
    <cellStyle name="Followed Hyperlink 4" xfId="31582" hidden="1" xr:uid="{00000000-0005-0000-0000-0000B37E0000}"/>
    <cellStyle name="Followed Hyperlink 4" xfId="31591" hidden="1" xr:uid="{00000000-0005-0000-0000-0000B47E0000}"/>
    <cellStyle name="Followed Hyperlink 4" xfId="31583" hidden="1" xr:uid="{00000000-0005-0000-0000-0000B57E0000}"/>
    <cellStyle name="Followed Hyperlink 4" xfId="31594" hidden="1" xr:uid="{00000000-0005-0000-0000-0000B67E0000}"/>
    <cellStyle name="Followed Hyperlink 4" xfId="31597" hidden="1" xr:uid="{00000000-0005-0000-0000-0000B77E0000}"/>
    <cellStyle name="Followed Hyperlink 4" xfId="31600" hidden="1" xr:uid="{00000000-0005-0000-0000-0000B87E0000}"/>
    <cellStyle name="Followed Hyperlink 4" xfId="31602" hidden="1" xr:uid="{00000000-0005-0000-0000-0000B97E0000}"/>
    <cellStyle name="Followed Hyperlink 4" xfId="31603" hidden="1" xr:uid="{00000000-0005-0000-0000-0000BA7E0000}"/>
    <cellStyle name="Followed Hyperlink 4" xfId="31606" hidden="1" xr:uid="{00000000-0005-0000-0000-0000BB7E0000}"/>
    <cellStyle name="Followed Hyperlink 4" xfId="31407" hidden="1" xr:uid="{00000000-0005-0000-0000-0000BC7E0000}"/>
    <cellStyle name="Followed Hyperlink 4" xfId="31413" hidden="1" xr:uid="{00000000-0005-0000-0000-0000BD7E0000}"/>
    <cellStyle name="Followed Hyperlink 4" xfId="31607" hidden="1" xr:uid="{00000000-0005-0000-0000-0000BE7E0000}"/>
    <cellStyle name="Followed Hyperlink 4" xfId="31610" hidden="1" xr:uid="{00000000-0005-0000-0000-0000BF7E0000}"/>
    <cellStyle name="Followed Hyperlink 4" xfId="31613" hidden="1" xr:uid="{00000000-0005-0000-0000-0000C07E0000}"/>
    <cellStyle name="Followed Hyperlink 4" xfId="31615" hidden="1" xr:uid="{00000000-0005-0000-0000-0000C17E0000}"/>
    <cellStyle name="Followed Hyperlink 4" xfId="31616" hidden="1" xr:uid="{00000000-0005-0000-0000-0000C27E0000}"/>
    <cellStyle name="Followed Hyperlink 4" xfId="31619" hidden="1" xr:uid="{00000000-0005-0000-0000-0000C37E0000}"/>
    <cellStyle name="Followed Hyperlink 4" xfId="31628" hidden="1" xr:uid="{00000000-0005-0000-0000-0000C47E0000}"/>
    <cellStyle name="Followed Hyperlink 4" xfId="31620" hidden="1" xr:uid="{00000000-0005-0000-0000-0000C57E0000}"/>
    <cellStyle name="Followed Hyperlink 4" xfId="31631" hidden="1" xr:uid="{00000000-0005-0000-0000-0000C67E0000}"/>
    <cellStyle name="Followed Hyperlink 4" xfId="31634" hidden="1" xr:uid="{00000000-0005-0000-0000-0000C77E0000}"/>
    <cellStyle name="Followed Hyperlink 4" xfId="31637" hidden="1" xr:uid="{00000000-0005-0000-0000-0000C87E0000}"/>
    <cellStyle name="Followed Hyperlink 4" xfId="31639" hidden="1" xr:uid="{00000000-0005-0000-0000-0000C97E0000}"/>
    <cellStyle name="Followed Hyperlink 4" xfId="31640" hidden="1" xr:uid="{00000000-0005-0000-0000-0000CA7E0000}"/>
    <cellStyle name="Followed Hyperlink 4" xfId="31643" hidden="1" xr:uid="{00000000-0005-0000-0000-0000CB7E0000}"/>
    <cellStyle name="Followed Hyperlink 4" xfId="31653" hidden="1" xr:uid="{00000000-0005-0000-0000-0000CC7E0000}"/>
    <cellStyle name="Followed Hyperlink 4" xfId="31645" hidden="1" xr:uid="{00000000-0005-0000-0000-0000CD7E0000}"/>
    <cellStyle name="Followed Hyperlink 4" xfId="31656" hidden="1" xr:uid="{00000000-0005-0000-0000-0000CE7E0000}"/>
    <cellStyle name="Followed Hyperlink 4" xfId="31659" hidden="1" xr:uid="{00000000-0005-0000-0000-0000CF7E0000}"/>
    <cellStyle name="Followed Hyperlink 4" xfId="31662" hidden="1" xr:uid="{00000000-0005-0000-0000-0000D07E0000}"/>
    <cellStyle name="Followed Hyperlink 4" xfId="31664" hidden="1" xr:uid="{00000000-0005-0000-0000-0000D17E0000}"/>
    <cellStyle name="Followed Hyperlink 4" xfId="31665" hidden="1" xr:uid="{00000000-0005-0000-0000-0000D27E0000}"/>
    <cellStyle name="Followed Hyperlink 4" xfId="31668" hidden="1" xr:uid="{00000000-0005-0000-0000-0000D37E0000}"/>
    <cellStyle name="Followed Hyperlink 4" xfId="31677" hidden="1" xr:uid="{00000000-0005-0000-0000-0000D47E0000}"/>
    <cellStyle name="Followed Hyperlink 4" xfId="31669" hidden="1" xr:uid="{00000000-0005-0000-0000-0000D57E0000}"/>
    <cellStyle name="Followed Hyperlink 4" xfId="31680" hidden="1" xr:uid="{00000000-0005-0000-0000-0000D67E0000}"/>
    <cellStyle name="Followed Hyperlink 4" xfId="31683" hidden="1" xr:uid="{00000000-0005-0000-0000-0000D77E0000}"/>
    <cellStyle name="Followed Hyperlink 4" xfId="31686" hidden="1" xr:uid="{00000000-0005-0000-0000-0000D87E0000}"/>
    <cellStyle name="Followed Hyperlink 4" xfId="31688" hidden="1" xr:uid="{00000000-0005-0000-0000-0000D97E0000}"/>
    <cellStyle name="Followed Hyperlink 4" xfId="31689" hidden="1" xr:uid="{00000000-0005-0000-0000-0000DA7E0000}"/>
    <cellStyle name="Followed Hyperlink 4" xfId="31692" hidden="1" xr:uid="{00000000-0005-0000-0000-0000DB7E0000}"/>
    <cellStyle name="Followed Hyperlink 4" xfId="31417" hidden="1" xr:uid="{00000000-0005-0000-0000-0000DC7E0000}"/>
    <cellStyle name="Followed Hyperlink 4" xfId="31472" hidden="1" xr:uid="{00000000-0005-0000-0000-0000DD7E0000}"/>
    <cellStyle name="Followed Hyperlink 4" xfId="31693" hidden="1" xr:uid="{00000000-0005-0000-0000-0000DE7E0000}"/>
    <cellStyle name="Followed Hyperlink 4" xfId="31696" hidden="1" xr:uid="{00000000-0005-0000-0000-0000DF7E0000}"/>
    <cellStyle name="Followed Hyperlink 4" xfId="31699" hidden="1" xr:uid="{00000000-0005-0000-0000-0000E07E0000}"/>
    <cellStyle name="Followed Hyperlink 4" xfId="31701" hidden="1" xr:uid="{00000000-0005-0000-0000-0000E17E0000}"/>
    <cellStyle name="Followed Hyperlink 4" xfId="31702" hidden="1" xr:uid="{00000000-0005-0000-0000-0000E27E0000}"/>
    <cellStyle name="Followed Hyperlink 4" xfId="31705" hidden="1" xr:uid="{00000000-0005-0000-0000-0000E37E0000}"/>
    <cellStyle name="Followed Hyperlink 4" xfId="31714" hidden="1" xr:uid="{00000000-0005-0000-0000-0000E47E0000}"/>
    <cellStyle name="Followed Hyperlink 4" xfId="31706" hidden="1" xr:uid="{00000000-0005-0000-0000-0000E57E0000}"/>
    <cellStyle name="Followed Hyperlink 4" xfId="31717" hidden="1" xr:uid="{00000000-0005-0000-0000-0000E67E0000}"/>
    <cellStyle name="Followed Hyperlink 4" xfId="31720" hidden="1" xr:uid="{00000000-0005-0000-0000-0000E77E0000}"/>
    <cellStyle name="Followed Hyperlink 4" xfId="31723" hidden="1" xr:uid="{00000000-0005-0000-0000-0000E87E0000}"/>
    <cellStyle name="Followed Hyperlink 4" xfId="31725" hidden="1" xr:uid="{00000000-0005-0000-0000-0000E97E0000}"/>
    <cellStyle name="Followed Hyperlink 4" xfId="31726" hidden="1" xr:uid="{00000000-0005-0000-0000-0000EA7E0000}"/>
    <cellStyle name="Followed Hyperlink 4" xfId="31729" hidden="1" xr:uid="{00000000-0005-0000-0000-0000EB7E0000}"/>
    <cellStyle name="Followed Hyperlink 4" xfId="31738" hidden="1" xr:uid="{00000000-0005-0000-0000-0000EC7E0000}"/>
    <cellStyle name="Followed Hyperlink 4" xfId="31730" hidden="1" xr:uid="{00000000-0005-0000-0000-0000ED7E0000}"/>
    <cellStyle name="Followed Hyperlink 4" xfId="31741" hidden="1" xr:uid="{00000000-0005-0000-0000-0000EE7E0000}"/>
    <cellStyle name="Followed Hyperlink 4" xfId="31744" hidden="1" xr:uid="{00000000-0005-0000-0000-0000EF7E0000}"/>
    <cellStyle name="Followed Hyperlink 4" xfId="31747" hidden="1" xr:uid="{00000000-0005-0000-0000-0000F07E0000}"/>
    <cellStyle name="Followed Hyperlink 4" xfId="31749" hidden="1" xr:uid="{00000000-0005-0000-0000-0000F17E0000}"/>
    <cellStyle name="Followed Hyperlink 4" xfId="31750" hidden="1" xr:uid="{00000000-0005-0000-0000-0000F27E0000}"/>
    <cellStyle name="Followed Hyperlink 4" xfId="31753" hidden="1" xr:uid="{00000000-0005-0000-0000-0000F37E0000}"/>
    <cellStyle name="Followed Hyperlink 4" xfId="31762" hidden="1" xr:uid="{00000000-0005-0000-0000-0000F47E0000}"/>
    <cellStyle name="Followed Hyperlink 4" xfId="31754" hidden="1" xr:uid="{00000000-0005-0000-0000-0000F57E0000}"/>
    <cellStyle name="Followed Hyperlink 4" xfId="31765" hidden="1" xr:uid="{00000000-0005-0000-0000-0000F67E0000}"/>
    <cellStyle name="Followed Hyperlink 4" xfId="31768" hidden="1" xr:uid="{00000000-0005-0000-0000-0000F77E0000}"/>
    <cellStyle name="Followed Hyperlink 4" xfId="31771" hidden="1" xr:uid="{00000000-0005-0000-0000-0000F87E0000}"/>
    <cellStyle name="Followed Hyperlink 4" xfId="31773" hidden="1" xr:uid="{00000000-0005-0000-0000-0000F97E0000}"/>
    <cellStyle name="Followed Hyperlink 4" xfId="31774" hidden="1" xr:uid="{00000000-0005-0000-0000-0000FA7E0000}"/>
    <cellStyle name="Followed Hyperlink 4" xfId="31777" hidden="1" xr:uid="{00000000-0005-0000-0000-0000FB7E0000}"/>
    <cellStyle name="Followed Hyperlink 4" xfId="31276" hidden="1" xr:uid="{00000000-0005-0000-0000-0000FC7E0000}"/>
    <cellStyle name="Followed Hyperlink 4" xfId="31270" hidden="1" xr:uid="{00000000-0005-0000-0000-0000FD7E0000}"/>
    <cellStyle name="Followed Hyperlink 4" xfId="31778" hidden="1" xr:uid="{00000000-0005-0000-0000-0000FE7E0000}"/>
    <cellStyle name="Followed Hyperlink 4" xfId="31781" hidden="1" xr:uid="{00000000-0005-0000-0000-0000FF7E0000}"/>
    <cellStyle name="Followed Hyperlink 4" xfId="31784" hidden="1" xr:uid="{00000000-0005-0000-0000-0000007F0000}"/>
    <cellStyle name="Followed Hyperlink 4" xfId="31786" hidden="1" xr:uid="{00000000-0005-0000-0000-0000017F0000}"/>
    <cellStyle name="Followed Hyperlink 4" xfId="31787" hidden="1" xr:uid="{00000000-0005-0000-0000-0000027F0000}"/>
    <cellStyle name="Followed Hyperlink 4" xfId="31790" hidden="1" xr:uid="{00000000-0005-0000-0000-0000037F0000}"/>
    <cellStyle name="Followed Hyperlink 4" xfId="31799" hidden="1" xr:uid="{00000000-0005-0000-0000-0000047F0000}"/>
    <cellStyle name="Followed Hyperlink 4" xfId="31791" hidden="1" xr:uid="{00000000-0005-0000-0000-0000057F0000}"/>
    <cellStyle name="Followed Hyperlink 4" xfId="31802" hidden="1" xr:uid="{00000000-0005-0000-0000-0000067F0000}"/>
    <cellStyle name="Followed Hyperlink 4" xfId="31805" hidden="1" xr:uid="{00000000-0005-0000-0000-0000077F0000}"/>
    <cellStyle name="Followed Hyperlink 4" xfId="31808" hidden="1" xr:uid="{00000000-0005-0000-0000-0000087F0000}"/>
    <cellStyle name="Followed Hyperlink 4" xfId="31810" hidden="1" xr:uid="{00000000-0005-0000-0000-0000097F0000}"/>
    <cellStyle name="Followed Hyperlink 4" xfId="31811" hidden="1" xr:uid="{00000000-0005-0000-0000-00000A7F0000}"/>
    <cellStyle name="Followed Hyperlink 4" xfId="31814" hidden="1" xr:uid="{00000000-0005-0000-0000-00000B7F0000}"/>
    <cellStyle name="Followed Hyperlink 4" xfId="31824" hidden="1" xr:uid="{00000000-0005-0000-0000-00000C7F0000}"/>
    <cellStyle name="Followed Hyperlink 4" xfId="31816" hidden="1" xr:uid="{00000000-0005-0000-0000-00000D7F0000}"/>
    <cellStyle name="Followed Hyperlink 4" xfId="31827" hidden="1" xr:uid="{00000000-0005-0000-0000-00000E7F0000}"/>
    <cellStyle name="Followed Hyperlink 4" xfId="31830" hidden="1" xr:uid="{00000000-0005-0000-0000-00000F7F0000}"/>
    <cellStyle name="Followed Hyperlink 4" xfId="31833" hidden="1" xr:uid="{00000000-0005-0000-0000-0000107F0000}"/>
    <cellStyle name="Followed Hyperlink 4" xfId="31835" hidden="1" xr:uid="{00000000-0005-0000-0000-0000117F0000}"/>
    <cellStyle name="Followed Hyperlink 4" xfId="31836" hidden="1" xr:uid="{00000000-0005-0000-0000-0000127F0000}"/>
    <cellStyle name="Followed Hyperlink 4" xfId="31839" hidden="1" xr:uid="{00000000-0005-0000-0000-0000137F0000}"/>
    <cellStyle name="Followed Hyperlink 4" xfId="31848" hidden="1" xr:uid="{00000000-0005-0000-0000-0000147F0000}"/>
    <cellStyle name="Followed Hyperlink 4" xfId="31840" hidden="1" xr:uid="{00000000-0005-0000-0000-0000157F0000}"/>
    <cellStyle name="Followed Hyperlink 4" xfId="31851" hidden="1" xr:uid="{00000000-0005-0000-0000-0000167F0000}"/>
    <cellStyle name="Followed Hyperlink 4" xfId="31854" hidden="1" xr:uid="{00000000-0005-0000-0000-0000177F0000}"/>
    <cellStyle name="Followed Hyperlink 4" xfId="31857" hidden="1" xr:uid="{00000000-0005-0000-0000-0000187F0000}"/>
    <cellStyle name="Followed Hyperlink 4" xfId="31859" hidden="1" xr:uid="{00000000-0005-0000-0000-0000197F0000}"/>
    <cellStyle name="Followed Hyperlink 4" xfId="31860" hidden="1" xr:uid="{00000000-0005-0000-0000-00001A7F0000}"/>
    <cellStyle name="Followed Hyperlink 4" xfId="31863" hidden="1" xr:uid="{00000000-0005-0000-0000-00001B7F0000}"/>
    <cellStyle name="Followed Hyperlink 4" xfId="31901" hidden="1" xr:uid="{00000000-0005-0000-0000-00001C7F0000}"/>
    <cellStyle name="Followed Hyperlink 4" xfId="31893" hidden="1" xr:uid="{00000000-0005-0000-0000-00001D7F0000}"/>
    <cellStyle name="Followed Hyperlink 4" xfId="31904" hidden="1" xr:uid="{00000000-0005-0000-0000-00001E7F0000}"/>
    <cellStyle name="Followed Hyperlink 4" xfId="31907" hidden="1" xr:uid="{00000000-0005-0000-0000-00001F7F0000}"/>
    <cellStyle name="Followed Hyperlink 4" xfId="31910" hidden="1" xr:uid="{00000000-0005-0000-0000-0000207F0000}"/>
    <cellStyle name="Followed Hyperlink 4" xfId="31912" hidden="1" xr:uid="{00000000-0005-0000-0000-0000217F0000}"/>
    <cellStyle name="Followed Hyperlink 4" xfId="31913" hidden="1" xr:uid="{00000000-0005-0000-0000-0000227F0000}"/>
    <cellStyle name="Followed Hyperlink 4" xfId="31916" hidden="1" xr:uid="{00000000-0005-0000-0000-0000237F0000}"/>
    <cellStyle name="Followed Hyperlink 4" xfId="31925" hidden="1" xr:uid="{00000000-0005-0000-0000-0000247F0000}"/>
    <cellStyle name="Followed Hyperlink 4" xfId="31917" hidden="1" xr:uid="{00000000-0005-0000-0000-0000257F0000}"/>
    <cellStyle name="Followed Hyperlink 4" xfId="31928" hidden="1" xr:uid="{00000000-0005-0000-0000-0000267F0000}"/>
    <cellStyle name="Followed Hyperlink 4" xfId="31931" hidden="1" xr:uid="{00000000-0005-0000-0000-0000277F0000}"/>
    <cellStyle name="Followed Hyperlink 4" xfId="31934" hidden="1" xr:uid="{00000000-0005-0000-0000-0000287F0000}"/>
    <cellStyle name="Followed Hyperlink 4" xfId="31936" hidden="1" xr:uid="{00000000-0005-0000-0000-0000297F0000}"/>
    <cellStyle name="Followed Hyperlink 4" xfId="31937" hidden="1" xr:uid="{00000000-0005-0000-0000-00002A7F0000}"/>
    <cellStyle name="Followed Hyperlink 4" xfId="31940" hidden="1" xr:uid="{00000000-0005-0000-0000-00002B7F0000}"/>
    <cellStyle name="Followed Hyperlink 4" xfId="31951" hidden="1" xr:uid="{00000000-0005-0000-0000-00002C7F0000}"/>
    <cellStyle name="Followed Hyperlink 4" xfId="31943" hidden="1" xr:uid="{00000000-0005-0000-0000-00002D7F0000}"/>
    <cellStyle name="Followed Hyperlink 4" xfId="31954" hidden="1" xr:uid="{00000000-0005-0000-0000-00002E7F0000}"/>
    <cellStyle name="Followed Hyperlink 4" xfId="31957" hidden="1" xr:uid="{00000000-0005-0000-0000-00002F7F0000}"/>
    <cellStyle name="Followed Hyperlink 4" xfId="31960" hidden="1" xr:uid="{00000000-0005-0000-0000-0000307F0000}"/>
    <cellStyle name="Followed Hyperlink 4" xfId="31962" hidden="1" xr:uid="{00000000-0005-0000-0000-0000317F0000}"/>
    <cellStyle name="Followed Hyperlink 4" xfId="31963" hidden="1" xr:uid="{00000000-0005-0000-0000-0000327F0000}"/>
    <cellStyle name="Followed Hyperlink 4" xfId="31966" hidden="1" xr:uid="{00000000-0005-0000-0000-0000337F0000}"/>
    <cellStyle name="Followed Hyperlink 4" xfId="31975" hidden="1" xr:uid="{00000000-0005-0000-0000-0000347F0000}"/>
    <cellStyle name="Followed Hyperlink 4" xfId="31967" hidden="1" xr:uid="{00000000-0005-0000-0000-0000357F0000}"/>
    <cellStyle name="Followed Hyperlink 4" xfId="31978" hidden="1" xr:uid="{00000000-0005-0000-0000-0000367F0000}"/>
    <cellStyle name="Followed Hyperlink 4" xfId="31981" hidden="1" xr:uid="{00000000-0005-0000-0000-0000377F0000}"/>
    <cellStyle name="Followed Hyperlink 4" xfId="31984" hidden="1" xr:uid="{00000000-0005-0000-0000-0000387F0000}"/>
    <cellStyle name="Followed Hyperlink 4" xfId="31986" hidden="1" xr:uid="{00000000-0005-0000-0000-0000397F0000}"/>
    <cellStyle name="Followed Hyperlink 4" xfId="31987" hidden="1" xr:uid="{00000000-0005-0000-0000-00003A7F0000}"/>
    <cellStyle name="Followed Hyperlink 4" xfId="31990" hidden="1" xr:uid="{00000000-0005-0000-0000-00003B7F0000}"/>
    <cellStyle name="Followed Hyperlink 4" xfId="31873" hidden="1" xr:uid="{00000000-0005-0000-0000-00003C7F0000}"/>
    <cellStyle name="Followed Hyperlink 4" xfId="31867" hidden="1" xr:uid="{00000000-0005-0000-0000-00003D7F0000}"/>
    <cellStyle name="Followed Hyperlink 4" xfId="31991" hidden="1" xr:uid="{00000000-0005-0000-0000-00003E7F0000}"/>
    <cellStyle name="Followed Hyperlink 4" xfId="31994" hidden="1" xr:uid="{00000000-0005-0000-0000-00003F7F0000}"/>
    <cellStyle name="Followed Hyperlink 4" xfId="31997" hidden="1" xr:uid="{00000000-0005-0000-0000-0000407F0000}"/>
    <cellStyle name="Followed Hyperlink 4" xfId="31999" hidden="1" xr:uid="{00000000-0005-0000-0000-0000417F0000}"/>
    <cellStyle name="Followed Hyperlink 4" xfId="32000" hidden="1" xr:uid="{00000000-0005-0000-0000-0000427F0000}"/>
    <cellStyle name="Followed Hyperlink 4" xfId="32003" hidden="1" xr:uid="{00000000-0005-0000-0000-0000437F0000}"/>
    <cellStyle name="Followed Hyperlink 4" xfId="32012" hidden="1" xr:uid="{00000000-0005-0000-0000-0000447F0000}"/>
    <cellStyle name="Followed Hyperlink 4" xfId="32004" hidden="1" xr:uid="{00000000-0005-0000-0000-0000457F0000}"/>
    <cellStyle name="Followed Hyperlink 4" xfId="32015" hidden="1" xr:uid="{00000000-0005-0000-0000-0000467F0000}"/>
    <cellStyle name="Followed Hyperlink 4" xfId="32018" hidden="1" xr:uid="{00000000-0005-0000-0000-0000477F0000}"/>
    <cellStyle name="Followed Hyperlink 4" xfId="32021" hidden="1" xr:uid="{00000000-0005-0000-0000-0000487F0000}"/>
    <cellStyle name="Followed Hyperlink 4" xfId="32023" hidden="1" xr:uid="{00000000-0005-0000-0000-0000497F0000}"/>
    <cellStyle name="Followed Hyperlink 4" xfId="32024" hidden="1" xr:uid="{00000000-0005-0000-0000-00004A7F0000}"/>
    <cellStyle name="Followed Hyperlink 4" xfId="32027" hidden="1" xr:uid="{00000000-0005-0000-0000-00004B7F0000}"/>
    <cellStyle name="Followed Hyperlink 4" xfId="32037" hidden="1" xr:uid="{00000000-0005-0000-0000-00004C7F0000}"/>
    <cellStyle name="Followed Hyperlink 4" xfId="32029" hidden="1" xr:uid="{00000000-0005-0000-0000-00004D7F0000}"/>
    <cellStyle name="Followed Hyperlink 4" xfId="32040" hidden="1" xr:uid="{00000000-0005-0000-0000-00004E7F0000}"/>
    <cellStyle name="Followed Hyperlink 4" xfId="32043" hidden="1" xr:uid="{00000000-0005-0000-0000-00004F7F0000}"/>
    <cellStyle name="Followed Hyperlink 4" xfId="32046" hidden="1" xr:uid="{00000000-0005-0000-0000-0000507F0000}"/>
    <cellStyle name="Followed Hyperlink 4" xfId="32048" hidden="1" xr:uid="{00000000-0005-0000-0000-0000517F0000}"/>
    <cellStyle name="Followed Hyperlink 4" xfId="32049" hidden="1" xr:uid="{00000000-0005-0000-0000-0000527F0000}"/>
    <cellStyle name="Followed Hyperlink 4" xfId="32052" hidden="1" xr:uid="{00000000-0005-0000-0000-0000537F0000}"/>
    <cellStyle name="Followed Hyperlink 4" xfId="32061" hidden="1" xr:uid="{00000000-0005-0000-0000-0000547F0000}"/>
    <cellStyle name="Followed Hyperlink 4" xfId="32053" hidden="1" xr:uid="{00000000-0005-0000-0000-0000557F0000}"/>
    <cellStyle name="Followed Hyperlink 4" xfId="32064" hidden="1" xr:uid="{00000000-0005-0000-0000-0000567F0000}"/>
    <cellStyle name="Followed Hyperlink 4" xfId="32067" hidden="1" xr:uid="{00000000-0005-0000-0000-0000577F0000}"/>
    <cellStyle name="Followed Hyperlink 4" xfId="32070" hidden="1" xr:uid="{00000000-0005-0000-0000-0000587F0000}"/>
    <cellStyle name="Followed Hyperlink 4" xfId="32072" hidden="1" xr:uid="{00000000-0005-0000-0000-0000597F0000}"/>
    <cellStyle name="Followed Hyperlink 4" xfId="32073" hidden="1" xr:uid="{00000000-0005-0000-0000-00005A7F0000}"/>
    <cellStyle name="Followed Hyperlink 4" xfId="32076" hidden="1" xr:uid="{00000000-0005-0000-0000-00005B7F0000}"/>
    <cellStyle name="Followed Hyperlink 4" xfId="31877" hidden="1" xr:uid="{00000000-0005-0000-0000-00005C7F0000}"/>
    <cellStyle name="Followed Hyperlink 4" xfId="31883" hidden="1" xr:uid="{00000000-0005-0000-0000-00005D7F0000}"/>
    <cellStyle name="Followed Hyperlink 4" xfId="32077" hidden="1" xr:uid="{00000000-0005-0000-0000-00005E7F0000}"/>
    <cellStyle name="Followed Hyperlink 4" xfId="32080" hidden="1" xr:uid="{00000000-0005-0000-0000-00005F7F0000}"/>
    <cellStyle name="Followed Hyperlink 4" xfId="32083" hidden="1" xr:uid="{00000000-0005-0000-0000-0000607F0000}"/>
    <cellStyle name="Followed Hyperlink 4" xfId="32085" hidden="1" xr:uid="{00000000-0005-0000-0000-0000617F0000}"/>
    <cellStyle name="Followed Hyperlink 4" xfId="32086" hidden="1" xr:uid="{00000000-0005-0000-0000-0000627F0000}"/>
    <cellStyle name="Followed Hyperlink 4" xfId="32089" hidden="1" xr:uid="{00000000-0005-0000-0000-0000637F0000}"/>
    <cellStyle name="Followed Hyperlink 4" xfId="32098" hidden="1" xr:uid="{00000000-0005-0000-0000-0000647F0000}"/>
    <cellStyle name="Followed Hyperlink 4" xfId="32090" hidden="1" xr:uid="{00000000-0005-0000-0000-0000657F0000}"/>
    <cellStyle name="Followed Hyperlink 4" xfId="32101" hidden="1" xr:uid="{00000000-0005-0000-0000-0000667F0000}"/>
    <cellStyle name="Followed Hyperlink 4" xfId="32104" hidden="1" xr:uid="{00000000-0005-0000-0000-0000677F0000}"/>
    <cellStyle name="Followed Hyperlink 4" xfId="32107" hidden="1" xr:uid="{00000000-0005-0000-0000-0000687F0000}"/>
    <cellStyle name="Followed Hyperlink 4" xfId="32109" hidden="1" xr:uid="{00000000-0005-0000-0000-0000697F0000}"/>
    <cellStyle name="Followed Hyperlink 4" xfId="32110" hidden="1" xr:uid="{00000000-0005-0000-0000-00006A7F0000}"/>
    <cellStyle name="Followed Hyperlink 4" xfId="32113" hidden="1" xr:uid="{00000000-0005-0000-0000-00006B7F0000}"/>
    <cellStyle name="Followed Hyperlink 4" xfId="32123" hidden="1" xr:uid="{00000000-0005-0000-0000-00006C7F0000}"/>
    <cellStyle name="Followed Hyperlink 4" xfId="32115" hidden="1" xr:uid="{00000000-0005-0000-0000-00006D7F0000}"/>
    <cellStyle name="Followed Hyperlink 4" xfId="32126" hidden="1" xr:uid="{00000000-0005-0000-0000-00006E7F0000}"/>
    <cellStyle name="Followed Hyperlink 4" xfId="32129" hidden="1" xr:uid="{00000000-0005-0000-0000-00006F7F0000}"/>
    <cellStyle name="Followed Hyperlink 4" xfId="32132" hidden="1" xr:uid="{00000000-0005-0000-0000-0000707F0000}"/>
    <cellStyle name="Followed Hyperlink 4" xfId="32134" hidden="1" xr:uid="{00000000-0005-0000-0000-0000717F0000}"/>
    <cellStyle name="Followed Hyperlink 4" xfId="32135" hidden="1" xr:uid="{00000000-0005-0000-0000-0000727F0000}"/>
    <cellStyle name="Followed Hyperlink 4" xfId="32138" hidden="1" xr:uid="{00000000-0005-0000-0000-0000737F0000}"/>
    <cellStyle name="Followed Hyperlink 4" xfId="32147" hidden="1" xr:uid="{00000000-0005-0000-0000-0000747F0000}"/>
    <cellStyle name="Followed Hyperlink 4" xfId="32139" hidden="1" xr:uid="{00000000-0005-0000-0000-0000757F0000}"/>
    <cellStyle name="Followed Hyperlink 4" xfId="32150" hidden="1" xr:uid="{00000000-0005-0000-0000-0000767F0000}"/>
    <cellStyle name="Followed Hyperlink 4" xfId="32153" hidden="1" xr:uid="{00000000-0005-0000-0000-0000777F0000}"/>
    <cellStyle name="Followed Hyperlink 4" xfId="32156" hidden="1" xr:uid="{00000000-0005-0000-0000-0000787F0000}"/>
    <cellStyle name="Followed Hyperlink 4" xfId="32158" hidden="1" xr:uid="{00000000-0005-0000-0000-0000797F0000}"/>
    <cellStyle name="Followed Hyperlink 4" xfId="32159" hidden="1" xr:uid="{00000000-0005-0000-0000-00007A7F0000}"/>
    <cellStyle name="Followed Hyperlink 4" xfId="32162" hidden="1" xr:uid="{00000000-0005-0000-0000-00007B7F0000}"/>
    <cellStyle name="Followed Hyperlink 4" xfId="31887" hidden="1" xr:uid="{00000000-0005-0000-0000-00007C7F0000}"/>
    <cellStyle name="Followed Hyperlink 4" xfId="31942" hidden="1" xr:uid="{00000000-0005-0000-0000-00007D7F0000}"/>
    <cellStyle name="Followed Hyperlink 4" xfId="32163" hidden="1" xr:uid="{00000000-0005-0000-0000-00007E7F0000}"/>
    <cellStyle name="Followed Hyperlink 4" xfId="32166" hidden="1" xr:uid="{00000000-0005-0000-0000-00007F7F0000}"/>
    <cellStyle name="Followed Hyperlink 4" xfId="32169" hidden="1" xr:uid="{00000000-0005-0000-0000-0000807F0000}"/>
    <cellStyle name="Followed Hyperlink 4" xfId="32171" hidden="1" xr:uid="{00000000-0005-0000-0000-0000817F0000}"/>
    <cellStyle name="Followed Hyperlink 4" xfId="32172" hidden="1" xr:uid="{00000000-0005-0000-0000-0000827F0000}"/>
    <cellStyle name="Followed Hyperlink 4" xfId="32175" hidden="1" xr:uid="{00000000-0005-0000-0000-0000837F0000}"/>
    <cellStyle name="Followed Hyperlink 4" xfId="32184" hidden="1" xr:uid="{00000000-0005-0000-0000-0000847F0000}"/>
    <cellStyle name="Followed Hyperlink 4" xfId="32176" hidden="1" xr:uid="{00000000-0005-0000-0000-0000857F0000}"/>
    <cellStyle name="Followed Hyperlink 4" xfId="32187" hidden="1" xr:uid="{00000000-0005-0000-0000-0000867F0000}"/>
    <cellStyle name="Followed Hyperlink 4" xfId="32190" hidden="1" xr:uid="{00000000-0005-0000-0000-0000877F0000}"/>
    <cellStyle name="Followed Hyperlink 4" xfId="32193" hidden="1" xr:uid="{00000000-0005-0000-0000-0000887F0000}"/>
    <cellStyle name="Followed Hyperlink 4" xfId="32195" hidden="1" xr:uid="{00000000-0005-0000-0000-0000897F0000}"/>
    <cellStyle name="Followed Hyperlink 4" xfId="32196" hidden="1" xr:uid="{00000000-0005-0000-0000-00008A7F0000}"/>
    <cellStyle name="Followed Hyperlink 4" xfId="32199" hidden="1" xr:uid="{00000000-0005-0000-0000-00008B7F0000}"/>
    <cellStyle name="Followed Hyperlink 4" xfId="32208" hidden="1" xr:uid="{00000000-0005-0000-0000-00008C7F0000}"/>
    <cellStyle name="Followed Hyperlink 4" xfId="32200" hidden="1" xr:uid="{00000000-0005-0000-0000-00008D7F0000}"/>
    <cellStyle name="Followed Hyperlink 4" xfId="32211" hidden="1" xr:uid="{00000000-0005-0000-0000-00008E7F0000}"/>
    <cellStyle name="Followed Hyperlink 4" xfId="32214" hidden="1" xr:uid="{00000000-0005-0000-0000-00008F7F0000}"/>
    <cellStyle name="Followed Hyperlink 4" xfId="32217" hidden="1" xr:uid="{00000000-0005-0000-0000-0000907F0000}"/>
    <cellStyle name="Followed Hyperlink 4" xfId="32219" hidden="1" xr:uid="{00000000-0005-0000-0000-0000917F0000}"/>
    <cellStyle name="Followed Hyperlink 4" xfId="32220" hidden="1" xr:uid="{00000000-0005-0000-0000-0000927F0000}"/>
    <cellStyle name="Followed Hyperlink 4" xfId="32223" hidden="1" xr:uid="{00000000-0005-0000-0000-0000937F0000}"/>
    <cellStyle name="Followed Hyperlink 4" xfId="32232" hidden="1" xr:uid="{00000000-0005-0000-0000-0000947F0000}"/>
    <cellStyle name="Followed Hyperlink 4" xfId="32224" hidden="1" xr:uid="{00000000-0005-0000-0000-0000957F0000}"/>
    <cellStyle name="Followed Hyperlink 4" xfId="32235" hidden="1" xr:uid="{00000000-0005-0000-0000-0000967F0000}"/>
    <cellStyle name="Followed Hyperlink 4" xfId="32238" hidden="1" xr:uid="{00000000-0005-0000-0000-0000977F0000}"/>
    <cellStyle name="Followed Hyperlink 4" xfId="32241" hidden="1" xr:uid="{00000000-0005-0000-0000-0000987F0000}"/>
    <cellStyle name="Followed Hyperlink 4" xfId="32243" hidden="1" xr:uid="{00000000-0005-0000-0000-0000997F0000}"/>
    <cellStyle name="Followed Hyperlink 4" xfId="32244" hidden="1" xr:uid="{00000000-0005-0000-0000-00009A7F0000}"/>
    <cellStyle name="Followed Hyperlink 4" xfId="32247" hidden="1" xr:uid="{00000000-0005-0000-0000-00009B7F0000}"/>
    <cellStyle name="Followed Hyperlink 4" xfId="31280" hidden="1" xr:uid="{00000000-0005-0000-0000-00009C7F0000}"/>
    <cellStyle name="Followed Hyperlink 4" xfId="31286" hidden="1" xr:uid="{00000000-0005-0000-0000-00009D7F0000}"/>
    <cellStyle name="Followed Hyperlink 4" xfId="32248" hidden="1" xr:uid="{00000000-0005-0000-0000-00009E7F0000}"/>
    <cellStyle name="Followed Hyperlink 4" xfId="32251" hidden="1" xr:uid="{00000000-0005-0000-0000-00009F7F0000}"/>
    <cellStyle name="Followed Hyperlink 4" xfId="32254" hidden="1" xr:uid="{00000000-0005-0000-0000-0000A07F0000}"/>
    <cellStyle name="Followed Hyperlink 4" xfId="32256" hidden="1" xr:uid="{00000000-0005-0000-0000-0000A17F0000}"/>
    <cellStyle name="Followed Hyperlink 4" xfId="32257" hidden="1" xr:uid="{00000000-0005-0000-0000-0000A27F0000}"/>
    <cellStyle name="Followed Hyperlink 4" xfId="32260" hidden="1" xr:uid="{00000000-0005-0000-0000-0000A37F0000}"/>
    <cellStyle name="Followed Hyperlink 4" xfId="32269" hidden="1" xr:uid="{00000000-0005-0000-0000-0000A47F0000}"/>
    <cellStyle name="Followed Hyperlink 4" xfId="32261" hidden="1" xr:uid="{00000000-0005-0000-0000-0000A57F0000}"/>
    <cellStyle name="Followed Hyperlink 4" xfId="32272" hidden="1" xr:uid="{00000000-0005-0000-0000-0000A67F0000}"/>
    <cellStyle name="Followed Hyperlink 4" xfId="32275" hidden="1" xr:uid="{00000000-0005-0000-0000-0000A77F0000}"/>
    <cellStyle name="Followed Hyperlink 4" xfId="32278" hidden="1" xr:uid="{00000000-0005-0000-0000-0000A87F0000}"/>
    <cellStyle name="Followed Hyperlink 4" xfId="32280" hidden="1" xr:uid="{00000000-0005-0000-0000-0000A97F0000}"/>
    <cellStyle name="Followed Hyperlink 4" xfId="32281" hidden="1" xr:uid="{00000000-0005-0000-0000-0000AA7F0000}"/>
    <cellStyle name="Followed Hyperlink 4" xfId="32284" hidden="1" xr:uid="{00000000-0005-0000-0000-0000AB7F0000}"/>
    <cellStyle name="Followed Hyperlink 4" xfId="32294" hidden="1" xr:uid="{00000000-0005-0000-0000-0000AC7F0000}"/>
    <cellStyle name="Followed Hyperlink 4" xfId="32286" hidden="1" xr:uid="{00000000-0005-0000-0000-0000AD7F0000}"/>
    <cellStyle name="Followed Hyperlink 4" xfId="32297" hidden="1" xr:uid="{00000000-0005-0000-0000-0000AE7F0000}"/>
    <cellStyle name="Followed Hyperlink 4" xfId="32300" hidden="1" xr:uid="{00000000-0005-0000-0000-0000AF7F0000}"/>
    <cellStyle name="Followed Hyperlink 4" xfId="32303" hidden="1" xr:uid="{00000000-0005-0000-0000-0000B07F0000}"/>
    <cellStyle name="Followed Hyperlink 4" xfId="32305" hidden="1" xr:uid="{00000000-0005-0000-0000-0000B17F0000}"/>
    <cellStyle name="Followed Hyperlink 4" xfId="32306" hidden="1" xr:uid="{00000000-0005-0000-0000-0000B27F0000}"/>
    <cellStyle name="Followed Hyperlink 4" xfId="32309" hidden="1" xr:uid="{00000000-0005-0000-0000-0000B37F0000}"/>
    <cellStyle name="Followed Hyperlink 4" xfId="32318" hidden="1" xr:uid="{00000000-0005-0000-0000-0000B47F0000}"/>
    <cellStyle name="Followed Hyperlink 4" xfId="32310" hidden="1" xr:uid="{00000000-0005-0000-0000-0000B57F0000}"/>
    <cellStyle name="Followed Hyperlink 4" xfId="32321" hidden="1" xr:uid="{00000000-0005-0000-0000-0000B67F0000}"/>
    <cellStyle name="Followed Hyperlink 4" xfId="32324" hidden="1" xr:uid="{00000000-0005-0000-0000-0000B77F0000}"/>
    <cellStyle name="Followed Hyperlink 4" xfId="32327" hidden="1" xr:uid="{00000000-0005-0000-0000-0000B87F0000}"/>
    <cellStyle name="Followed Hyperlink 4" xfId="32329" hidden="1" xr:uid="{00000000-0005-0000-0000-0000B97F0000}"/>
    <cellStyle name="Followed Hyperlink 4" xfId="32330" hidden="1" xr:uid="{00000000-0005-0000-0000-0000BA7F0000}"/>
    <cellStyle name="Followed Hyperlink 4" xfId="32333" hidden="1" xr:uid="{00000000-0005-0000-0000-0000BB7F0000}"/>
    <cellStyle name="Followed Hyperlink 4" xfId="32371" hidden="1" xr:uid="{00000000-0005-0000-0000-0000BC7F0000}"/>
    <cellStyle name="Followed Hyperlink 4" xfId="32363" hidden="1" xr:uid="{00000000-0005-0000-0000-0000BD7F0000}"/>
    <cellStyle name="Followed Hyperlink 4" xfId="32374" hidden="1" xr:uid="{00000000-0005-0000-0000-0000BE7F0000}"/>
    <cellStyle name="Followed Hyperlink 4" xfId="32377" hidden="1" xr:uid="{00000000-0005-0000-0000-0000BF7F0000}"/>
    <cellStyle name="Followed Hyperlink 4" xfId="32380" hidden="1" xr:uid="{00000000-0005-0000-0000-0000C07F0000}"/>
    <cellStyle name="Followed Hyperlink 4" xfId="32382" hidden="1" xr:uid="{00000000-0005-0000-0000-0000C17F0000}"/>
    <cellStyle name="Followed Hyperlink 4" xfId="32383" hidden="1" xr:uid="{00000000-0005-0000-0000-0000C27F0000}"/>
    <cellStyle name="Followed Hyperlink 4" xfId="32386" hidden="1" xr:uid="{00000000-0005-0000-0000-0000C37F0000}"/>
    <cellStyle name="Followed Hyperlink 4" xfId="32395" hidden="1" xr:uid="{00000000-0005-0000-0000-0000C47F0000}"/>
    <cellStyle name="Followed Hyperlink 4" xfId="32387" hidden="1" xr:uid="{00000000-0005-0000-0000-0000C57F0000}"/>
    <cellStyle name="Followed Hyperlink 4" xfId="32398" hidden="1" xr:uid="{00000000-0005-0000-0000-0000C67F0000}"/>
    <cellStyle name="Followed Hyperlink 4" xfId="32401" hidden="1" xr:uid="{00000000-0005-0000-0000-0000C77F0000}"/>
    <cellStyle name="Followed Hyperlink 4" xfId="32404" hidden="1" xr:uid="{00000000-0005-0000-0000-0000C87F0000}"/>
    <cellStyle name="Followed Hyperlink 4" xfId="32406" hidden="1" xr:uid="{00000000-0005-0000-0000-0000C97F0000}"/>
    <cellStyle name="Followed Hyperlink 4" xfId="32407" hidden="1" xr:uid="{00000000-0005-0000-0000-0000CA7F0000}"/>
    <cellStyle name="Followed Hyperlink 4" xfId="32410" hidden="1" xr:uid="{00000000-0005-0000-0000-0000CB7F0000}"/>
    <cellStyle name="Followed Hyperlink 4" xfId="32421" hidden="1" xr:uid="{00000000-0005-0000-0000-0000CC7F0000}"/>
    <cellStyle name="Followed Hyperlink 4" xfId="32413" hidden="1" xr:uid="{00000000-0005-0000-0000-0000CD7F0000}"/>
    <cellStyle name="Followed Hyperlink 4" xfId="32424" hidden="1" xr:uid="{00000000-0005-0000-0000-0000CE7F0000}"/>
    <cellStyle name="Followed Hyperlink 4" xfId="32427" hidden="1" xr:uid="{00000000-0005-0000-0000-0000CF7F0000}"/>
    <cellStyle name="Followed Hyperlink 4" xfId="32430" hidden="1" xr:uid="{00000000-0005-0000-0000-0000D07F0000}"/>
    <cellStyle name="Followed Hyperlink 4" xfId="32432" hidden="1" xr:uid="{00000000-0005-0000-0000-0000D17F0000}"/>
    <cellStyle name="Followed Hyperlink 4" xfId="32433" hidden="1" xr:uid="{00000000-0005-0000-0000-0000D27F0000}"/>
    <cellStyle name="Followed Hyperlink 4" xfId="32436" hidden="1" xr:uid="{00000000-0005-0000-0000-0000D37F0000}"/>
    <cellStyle name="Followed Hyperlink 4" xfId="32445" hidden="1" xr:uid="{00000000-0005-0000-0000-0000D47F0000}"/>
    <cellStyle name="Followed Hyperlink 4" xfId="32437" hidden="1" xr:uid="{00000000-0005-0000-0000-0000D57F0000}"/>
    <cellStyle name="Followed Hyperlink 4" xfId="32448" hidden="1" xr:uid="{00000000-0005-0000-0000-0000D67F0000}"/>
    <cellStyle name="Followed Hyperlink 4" xfId="32451" hidden="1" xr:uid="{00000000-0005-0000-0000-0000D77F0000}"/>
    <cellStyle name="Followed Hyperlink 4" xfId="32454" hidden="1" xr:uid="{00000000-0005-0000-0000-0000D87F0000}"/>
    <cellStyle name="Followed Hyperlink 4" xfId="32456" hidden="1" xr:uid="{00000000-0005-0000-0000-0000D97F0000}"/>
    <cellStyle name="Followed Hyperlink 4" xfId="32457" hidden="1" xr:uid="{00000000-0005-0000-0000-0000DA7F0000}"/>
    <cellStyle name="Followed Hyperlink 4" xfId="32460" hidden="1" xr:uid="{00000000-0005-0000-0000-0000DB7F0000}"/>
    <cellStyle name="Followed Hyperlink 4" xfId="32343" hidden="1" xr:uid="{00000000-0005-0000-0000-0000DC7F0000}"/>
    <cellStyle name="Followed Hyperlink 4" xfId="32337" hidden="1" xr:uid="{00000000-0005-0000-0000-0000DD7F0000}"/>
    <cellStyle name="Followed Hyperlink 4" xfId="32461" hidden="1" xr:uid="{00000000-0005-0000-0000-0000DE7F0000}"/>
    <cellStyle name="Followed Hyperlink 4" xfId="32464" hidden="1" xr:uid="{00000000-0005-0000-0000-0000DF7F0000}"/>
    <cellStyle name="Followed Hyperlink 4" xfId="32467" hidden="1" xr:uid="{00000000-0005-0000-0000-0000E07F0000}"/>
    <cellStyle name="Followed Hyperlink 4" xfId="32469" hidden="1" xr:uid="{00000000-0005-0000-0000-0000E17F0000}"/>
    <cellStyle name="Followed Hyperlink 4" xfId="32470" hidden="1" xr:uid="{00000000-0005-0000-0000-0000E27F0000}"/>
    <cellStyle name="Followed Hyperlink 4" xfId="32473" hidden="1" xr:uid="{00000000-0005-0000-0000-0000E37F0000}"/>
    <cellStyle name="Followed Hyperlink 4" xfId="32482" hidden="1" xr:uid="{00000000-0005-0000-0000-0000E47F0000}"/>
    <cellStyle name="Followed Hyperlink 4" xfId="32474" hidden="1" xr:uid="{00000000-0005-0000-0000-0000E57F0000}"/>
    <cellStyle name="Followed Hyperlink 4" xfId="32485" hidden="1" xr:uid="{00000000-0005-0000-0000-0000E67F0000}"/>
    <cellStyle name="Followed Hyperlink 4" xfId="32488" hidden="1" xr:uid="{00000000-0005-0000-0000-0000E77F0000}"/>
    <cellStyle name="Followed Hyperlink 4" xfId="32491" hidden="1" xr:uid="{00000000-0005-0000-0000-0000E87F0000}"/>
    <cellStyle name="Followed Hyperlink 4" xfId="32493" hidden="1" xr:uid="{00000000-0005-0000-0000-0000E97F0000}"/>
    <cellStyle name="Followed Hyperlink 4" xfId="32494" hidden="1" xr:uid="{00000000-0005-0000-0000-0000EA7F0000}"/>
    <cellStyle name="Followed Hyperlink 4" xfId="32497" hidden="1" xr:uid="{00000000-0005-0000-0000-0000EB7F0000}"/>
    <cellStyle name="Followed Hyperlink 4" xfId="32507" hidden="1" xr:uid="{00000000-0005-0000-0000-0000EC7F0000}"/>
    <cellStyle name="Followed Hyperlink 4" xfId="32499" hidden="1" xr:uid="{00000000-0005-0000-0000-0000ED7F0000}"/>
    <cellStyle name="Followed Hyperlink 4" xfId="32510" hidden="1" xr:uid="{00000000-0005-0000-0000-0000EE7F0000}"/>
    <cellStyle name="Followed Hyperlink 4" xfId="32513" hidden="1" xr:uid="{00000000-0005-0000-0000-0000EF7F0000}"/>
    <cellStyle name="Followed Hyperlink 4" xfId="32516" hidden="1" xr:uid="{00000000-0005-0000-0000-0000F07F0000}"/>
    <cellStyle name="Followed Hyperlink 4" xfId="32518" hidden="1" xr:uid="{00000000-0005-0000-0000-0000F17F0000}"/>
    <cellStyle name="Followed Hyperlink 4" xfId="32519" hidden="1" xr:uid="{00000000-0005-0000-0000-0000F27F0000}"/>
    <cellStyle name="Followed Hyperlink 4" xfId="32522" hidden="1" xr:uid="{00000000-0005-0000-0000-0000F37F0000}"/>
    <cellStyle name="Followed Hyperlink 4" xfId="32531" hidden="1" xr:uid="{00000000-0005-0000-0000-0000F47F0000}"/>
    <cellStyle name="Followed Hyperlink 4" xfId="32523" hidden="1" xr:uid="{00000000-0005-0000-0000-0000F57F0000}"/>
    <cellStyle name="Followed Hyperlink 4" xfId="32534" hidden="1" xr:uid="{00000000-0005-0000-0000-0000F67F0000}"/>
    <cellStyle name="Followed Hyperlink 4" xfId="32537" hidden="1" xr:uid="{00000000-0005-0000-0000-0000F77F0000}"/>
    <cellStyle name="Followed Hyperlink 4" xfId="32540" hidden="1" xr:uid="{00000000-0005-0000-0000-0000F87F0000}"/>
    <cellStyle name="Followed Hyperlink 4" xfId="32542" hidden="1" xr:uid="{00000000-0005-0000-0000-0000F97F0000}"/>
    <cellStyle name="Followed Hyperlink 4" xfId="32543" hidden="1" xr:uid="{00000000-0005-0000-0000-0000FA7F0000}"/>
    <cellStyle name="Followed Hyperlink 4" xfId="32546" hidden="1" xr:uid="{00000000-0005-0000-0000-0000FB7F0000}"/>
    <cellStyle name="Followed Hyperlink 4" xfId="32347" hidden="1" xr:uid="{00000000-0005-0000-0000-0000FC7F0000}"/>
    <cellStyle name="Followed Hyperlink 4" xfId="32353" hidden="1" xr:uid="{00000000-0005-0000-0000-0000FD7F0000}"/>
    <cellStyle name="Followed Hyperlink 4" xfId="32547" hidden="1" xr:uid="{00000000-0005-0000-0000-0000FE7F0000}"/>
    <cellStyle name="Followed Hyperlink 4" xfId="32550" hidden="1" xr:uid="{00000000-0005-0000-0000-0000FF7F0000}"/>
    <cellStyle name="Followed Hyperlink 4" xfId="32553" hidden="1" xr:uid="{00000000-0005-0000-0000-000000800000}"/>
    <cellStyle name="Followed Hyperlink 4" xfId="32555" hidden="1" xr:uid="{00000000-0005-0000-0000-000001800000}"/>
    <cellStyle name="Followed Hyperlink 4" xfId="32556" hidden="1" xr:uid="{00000000-0005-0000-0000-000002800000}"/>
    <cellStyle name="Followed Hyperlink 4" xfId="32559" hidden="1" xr:uid="{00000000-0005-0000-0000-000003800000}"/>
    <cellStyle name="Followed Hyperlink 4" xfId="32568" hidden="1" xr:uid="{00000000-0005-0000-0000-000004800000}"/>
    <cellStyle name="Followed Hyperlink 4" xfId="32560" hidden="1" xr:uid="{00000000-0005-0000-0000-000005800000}"/>
    <cellStyle name="Followed Hyperlink 4" xfId="32571" hidden="1" xr:uid="{00000000-0005-0000-0000-000006800000}"/>
    <cellStyle name="Followed Hyperlink 4" xfId="32574" hidden="1" xr:uid="{00000000-0005-0000-0000-000007800000}"/>
    <cellStyle name="Followed Hyperlink 4" xfId="32577" hidden="1" xr:uid="{00000000-0005-0000-0000-000008800000}"/>
    <cellStyle name="Followed Hyperlink 4" xfId="32579" hidden="1" xr:uid="{00000000-0005-0000-0000-000009800000}"/>
    <cellStyle name="Followed Hyperlink 4" xfId="32580" hidden="1" xr:uid="{00000000-0005-0000-0000-00000A800000}"/>
    <cellStyle name="Followed Hyperlink 4" xfId="32583" hidden="1" xr:uid="{00000000-0005-0000-0000-00000B800000}"/>
    <cellStyle name="Followed Hyperlink 4" xfId="32593" hidden="1" xr:uid="{00000000-0005-0000-0000-00000C800000}"/>
    <cellStyle name="Followed Hyperlink 4" xfId="32585" hidden="1" xr:uid="{00000000-0005-0000-0000-00000D800000}"/>
    <cellStyle name="Followed Hyperlink 4" xfId="32596" hidden="1" xr:uid="{00000000-0005-0000-0000-00000E800000}"/>
    <cellStyle name="Followed Hyperlink 4" xfId="32599" hidden="1" xr:uid="{00000000-0005-0000-0000-00000F800000}"/>
    <cellStyle name="Followed Hyperlink 4" xfId="32602" hidden="1" xr:uid="{00000000-0005-0000-0000-000010800000}"/>
    <cellStyle name="Followed Hyperlink 4" xfId="32604" hidden="1" xr:uid="{00000000-0005-0000-0000-000011800000}"/>
    <cellStyle name="Followed Hyperlink 4" xfId="32605" hidden="1" xr:uid="{00000000-0005-0000-0000-000012800000}"/>
    <cellStyle name="Followed Hyperlink 4" xfId="32608" hidden="1" xr:uid="{00000000-0005-0000-0000-000013800000}"/>
    <cellStyle name="Followed Hyperlink 4" xfId="32617" hidden="1" xr:uid="{00000000-0005-0000-0000-000014800000}"/>
    <cellStyle name="Followed Hyperlink 4" xfId="32609" hidden="1" xr:uid="{00000000-0005-0000-0000-000015800000}"/>
    <cellStyle name="Followed Hyperlink 4" xfId="32620" hidden="1" xr:uid="{00000000-0005-0000-0000-000016800000}"/>
    <cellStyle name="Followed Hyperlink 4" xfId="32623" hidden="1" xr:uid="{00000000-0005-0000-0000-000017800000}"/>
    <cellStyle name="Followed Hyperlink 4" xfId="32626" hidden="1" xr:uid="{00000000-0005-0000-0000-000018800000}"/>
    <cellStyle name="Followed Hyperlink 4" xfId="32628" hidden="1" xr:uid="{00000000-0005-0000-0000-000019800000}"/>
    <cellStyle name="Followed Hyperlink 4" xfId="32629" hidden="1" xr:uid="{00000000-0005-0000-0000-00001A800000}"/>
    <cellStyle name="Followed Hyperlink 4" xfId="32632" hidden="1" xr:uid="{00000000-0005-0000-0000-00001B800000}"/>
    <cellStyle name="Followed Hyperlink 4" xfId="32357" hidden="1" xr:uid="{00000000-0005-0000-0000-00001C800000}"/>
    <cellStyle name="Followed Hyperlink 4" xfId="32412" hidden="1" xr:uid="{00000000-0005-0000-0000-00001D800000}"/>
    <cellStyle name="Followed Hyperlink 4" xfId="32633" hidden="1" xr:uid="{00000000-0005-0000-0000-00001E800000}"/>
    <cellStyle name="Followed Hyperlink 4" xfId="32636" hidden="1" xr:uid="{00000000-0005-0000-0000-00001F800000}"/>
    <cellStyle name="Followed Hyperlink 4" xfId="32639" hidden="1" xr:uid="{00000000-0005-0000-0000-000020800000}"/>
    <cellStyle name="Followed Hyperlink 4" xfId="32641" hidden="1" xr:uid="{00000000-0005-0000-0000-000021800000}"/>
    <cellStyle name="Followed Hyperlink 4" xfId="32642" hidden="1" xr:uid="{00000000-0005-0000-0000-000022800000}"/>
    <cellStyle name="Followed Hyperlink 4" xfId="32645" hidden="1" xr:uid="{00000000-0005-0000-0000-000023800000}"/>
    <cellStyle name="Followed Hyperlink 4" xfId="32654" hidden="1" xr:uid="{00000000-0005-0000-0000-000024800000}"/>
    <cellStyle name="Followed Hyperlink 4" xfId="32646" hidden="1" xr:uid="{00000000-0005-0000-0000-000025800000}"/>
    <cellStyle name="Followed Hyperlink 4" xfId="32657" hidden="1" xr:uid="{00000000-0005-0000-0000-000026800000}"/>
    <cellStyle name="Followed Hyperlink 4" xfId="32660" hidden="1" xr:uid="{00000000-0005-0000-0000-000027800000}"/>
    <cellStyle name="Followed Hyperlink 4" xfId="32663" hidden="1" xr:uid="{00000000-0005-0000-0000-000028800000}"/>
    <cellStyle name="Followed Hyperlink 4" xfId="32665" hidden="1" xr:uid="{00000000-0005-0000-0000-000029800000}"/>
    <cellStyle name="Followed Hyperlink 4" xfId="32666" hidden="1" xr:uid="{00000000-0005-0000-0000-00002A800000}"/>
    <cellStyle name="Followed Hyperlink 4" xfId="32669" hidden="1" xr:uid="{00000000-0005-0000-0000-00002B800000}"/>
    <cellStyle name="Followed Hyperlink 4" xfId="32678" hidden="1" xr:uid="{00000000-0005-0000-0000-00002C800000}"/>
    <cellStyle name="Followed Hyperlink 4" xfId="32670" hidden="1" xr:uid="{00000000-0005-0000-0000-00002D800000}"/>
    <cellStyle name="Followed Hyperlink 4" xfId="32681" hidden="1" xr:uid="{00000000-0005-0000-0000-00002E800000}"/>
    <cellStyle name="Followed Hyperlink 4" xfId="32684" hidden="1" xr:uid="{00000000-0005-0000-0000-00002F800000}"/>
    <cellStyle name="Followed Hyperlink 4" xfId="32687" hidden="1" xr:uid="{00000000-0005-0000-0000-000030800000}"/>
    <cellStyle name="Followed Hyperlink 4" xfId="32689" hidden="1" xr:uid="{00000000-0005-0000-0000-000031800000}"/>
    <cellStyle name="Followed Hyperlink 4" xfId="32690" hidden="1" xr:uid="{00000000-0005-0000-0000-000032800000}"/>
    <cellStyle name="Followed Hyperlink 4" xfId="32693" hidden="1" xr:uid="{00000000-0005-0000-0000-000033800000}"/>
    <cellStyle name="Followed Hyperlink 4" xfId="32702" hidden="1" xr:uid="{00000000-0005-0000-0000-000034800000}"/>
    <cellStyle name="Followed Hyperlink 4" xfId="32694" hidden="1" xr:uid="{00000000-0005-0000-0000-000035800000}"/>
    <cellStyle name="Followed Hyperlink 4" xfId="32705" hidden="1" xr:uid="{00000000-0005-0000-0000-000036800000}"/>
    <cellStyle name="Followed Hyperlink 4" xfId="32708" hidden="1" xr:uid="{00000000-0005-0000-0000-000037800000}"/>
    <cellStyle name="Followed Hyperlink 4" xfId="32711" hidden="1" xr:uid="{00000000-0005-0000-0000-000038800000}"/>
    <cellStyle name="Followed Hyperlink 4" xfId="32713" hidden="1" xr:uid="{00000000-0005-0000-0000-000039800000}"/>
    <cellStyle name="Followed Hyperlink 4" xfId="32714" hidden="1" xr:uid="{00000000-0005-0000-0000-00003A800000}"/>
    <cellStyle name="Followed Hyperlink 4" xfId="32717" hidden="1" xr:uid="{00000000-0005-0000-0000-00003B800000}"/>
    <cellStyle name="Followed Hyperlink 4" xfId="31290" hidden="1" xr:uid="{00000000-0005-0000-0000-00003C800000}"/>
    <cellStyle name="Followed Hyperlink 4" xfId="31345" hidden="1" xr:uid="{00000000-0005-0000-0000-00003D800000}"/>
    <cellStyle name="Followed Hyperlink 4" xfId="32718" hidden="1" xr:uid="{00000000-0005-0000-0000-00003E800000}"/>
    <cellStyle name="Followed Hyperlink 4" xfId="32721" hidden="1" xr:uid="{00000000-0005-0000-0000-00003F800000}"/>
    <cellStyle name="Followed Hyperlink 4" xfId="32724" hidden="1" xr:uid="{00000000-0005-0000-0000-000040800000}"/>
    <cellStyle name="Followed Hyperlink 4" xfId="32726" hidden="1" xr:uid="{00000000-0005-0000-0000-000041800000}"/>
    <cellStyle name="Followed Hyperlink 4" xfId="32727" hidden="1" xr:uid="{00000000-0005-0000-0000-000042800000}"/>
    <cellStyle name="Followed Hyperlink 4" xfId="32730" hidden="1" xr:uid="{00000000-0005-0000-0000-000043800000}"/>
    <cellStyle name="Followed Hyperlink 4" xfId="32739" hidden="1" xr:uid="{00000000-0005-0000-0000-000044800000}"/>
    <cellStyle name="Followed Hyperlink 4" xfId="32731" hidden="1" xr:uid="{00000000-0005-0000-0000-000045800000}"/>
    <cellStyle name="Followed Hyperlink 4" xfId="32742" hidden="1" xr:uid="{00000000-0005-0000-0000-000046800000}"/>
    <cellStyle name="Followed Hyperlink 4" xfId="32745" hidden="1" xr:uid="{00000000-0005-0000-0000-000047800000}"/>
    <cellStyle name="Followed Hyperlink 4" xfId="32748" hidden="1" xr:uid="{00000000-0005-0000-0000-000048800000}"/>
    <cellStyle name="Followed Hyperlink 4" xfId="32750" hidden="1" xr:uid="{00000000-0005-0000-0000-000049800000}"/>
    <cellStyle name="Followed Hyperlink 4" xfId="32751" hidden="1" xr:uid="{00000000-0005-0000-0000-00004A800000}"/>
    <cellStyle name="Followed Hyperlink 4" xfId="32754" hidden="1" xr:uid="{00000000-0005-0000-0000-00004B800000}"/>
    <cellStyle name="Followed Hyperlink 4" xfId="32763" hidden="1" xr:uid="{00000000-0005-0000-0000-00004C800000}"/>
    <cellStyle name="Followed Hyperlink 4" xfId="32755" hidden="1" xr:uid="{00000000-0005-0000-0000-00004D800000}"/>
    <cellStyle name="Followed Hyperlink 4" xfId="32766" hidden="1" xr:uid="{00000000-0005-0000-0000-00004E800000}"/>
    <cellStyle name="Followed Hyperlink 4" xfId="32769" hidden="1" xr:uid="{00000000-0005-0000-0000-00004F800000}"/>
    <cellStyle name="Followed Hyperlink 4" xfId="32772" hidden="1" xr:uid="{00000000-0005-0000-0000-000050800000}"/>
    <cellStyle name="Followed Hyperlink 4" xfId="32774" hidden="1" xr:uid="{00000000-0005-0000-0000-000051800000}"/>
    <cellStyle name="Followed Hyperlink 4" xfId="32775" hidden="1" xr:uid="{00000000-0005-0000-0000-000052800000}"/>
    <cellStyle name="Followed Hyperlink 4" xfId="32778" hidden="1" xr:uid="{00000000-0005-0000-0000-000053800000}"/>
    <cellStyle name="Followed Hyperlink 4" xfId="32787" hidden="1" xr:uid="{00000000-0005-0000-0000-000054800000}"/>
    <cellStyle name="Followed Hyperlink 4" xfId="32779" hidden="1" xr:uid="{00000000-0005-0000-0000-000055800000}"/>
    <cellStyle name="Followed Hyperlink 4" xfId="32790" hidden="1" xr:uid="{00000000-0005-0000-0000-000056800000}"/>
    <cellStyle name="Followed Hyperlink 4" xfId="32793" hidden="1" xr:uid="{00000000-0005-0000-0000-000057800000}"/>
    <cellStyle name="Followed Hyperlink 4" xfId="32796" hidden="1" xr:uid="{00000000-0005-0000-0000-000058800000}"/>
    <cellStyle name="Followed Hyperlink 4" xfId="32798" hidden="1" xr:uid="{00000000-0005-0000-0000-000059800000}"/>
    <cellStyle name="Followed Hyperlink 4" xfId="32799" hidden="1" xr:uid="{00000000-0005-0000-0000-00005A800000}"/>
    <cellStyle name="Followed Hyperlink 4" xfId="32802" hidden="1" xr:uid="{00000000-0005-0000-0000-00005B800000}"/>
    <cellStyle name="Followed Hyperlink 4" xfId="32840" hidden="1" xr:uid="{00000000-0005-0000-0000-00005C800000}"/>
    <cellStyle name="Followed Hyperlink 4" xfId="32832" hidden="1" xr:uid="{00000000-0005-0000-0000-00005D800000}"/>
    <cellStyle name="Followed Hyperlink 4" xfId="32843" hidden="1" xr:uid="{00000000-0005-0000-0000-00005E800000}"/>
    <cellStyle name="Followed Hyperlink 4" xfId="32846" hidden="1" xr:uid="{00000000-0005-0000-0000-00005F800000}"/>
    <cellStyle name="Followed Hyperlink 4" xfId="32849" hidden="1" xr:uid="{00000000-0005-0000-0000-000060800000}"/>
    <cellStyle name="Followed Hyperlink 4" xfId="32851" hidden="1" xr:uid="{00000000-0005-0000-0000-000061800000}"/>
    <cellStyle name="Followed Hyperlink 4" xfId="32852" hidden="1" xr:uid="{00000000-0005-0000-0000-000062800000}"/>
    <cellStyle name="Followed Hyperlink 4" xfId="32855" hidden="1" xr:uid="{00000000-0005-0000-0000-000063800000}"/>
    <cellStyle name="Followed Hyperlink 4" xfId="32864" hidden="1" xr:uid="{00000000-0005-0000-0000-000064800000}"/>
    <cellStyle name="Followed Hyperlink 4" xfId="32856" hidden="1" xr:uid="{00000000-0005-0000-0000-000065800000}"/>
    <cellStyle name="Followed Hyperlink 4" xfId="32867" hidden="1" xr:uid="{00000000-0005-0000-0000-000066800000}"/>
    <cellStyle name="Followed Hyperlink 4" xfId="32870" hidden="1" xr:uid="{00000000-0005-0000-0000-000067800000}"/>
    <cellStyle name="Followed Hyperlink 4" xfId="32873" hidden="1" xr:uid="{00000000-0005-0000-0000-000068800000}"/>
    <cellStyle name="Followed Hyperlink 4" xfId="32875" hidden="1" xr:uid="{00000000-0005-0000-0000-000069800000}"/>
    <cellStyle name="Followed Hyperlink 4" xfId="32876" hidden="1" xr:uid="{00000000-0005-0000-0000-00006A800000}"/>
    <cellStyle name="Followed Hyperlink 4" xfId="32879" hidden="1" xr:uid="{00000000-0005-0000-0000-00006B800000}"/>
    <cellStyle name="Followed Hyperlink 4" xfId="32890" hidden="1" xr:uid="{00000000-0005-0000-0000-00006C800000}"/>
    <cellStyle name="Followed Hyperlink 4" xfId="32882" hidden="1" xr:uid="{00000000-0005-0000-0000-00006D800000}"/>
    <cellStyle name="Followed Hyperlink 4" xfId="32893" hidden="1" xr:uid="{00000000-0005-0000-0000-00006E800000}"/>
    <cellStyle name="Followed Hyperlink 4" xfId="32896" hidden="1" xr:uid="{00000000-0005-0000-0000-00006F800000}"/>
    <cellStyle name="Followed Hyperlink 4" xfId="32899" hidden="1" xr:uid="{00000000-0005-0000-0000-000070800000}"/>
    <cellStyle name="Followed Hyperlink 4" xfId="32901" hidden="1" xr:uid="{00000000-0005-0000-0000-000071800000}"/>
    <cellStyle name="Followed Hyperlink 4" xfId="32902" hidden="1" xr:uid="{00000000-0005-0000-0000-000072800000}"/>
    <cellStyle name="Followed Hyperlink 4" xfId="32905" hidden="1" xr:uid="{00000000-0005-0000-0000-000073800000}"/>
    <cellStyle name="Followed Hyperlink 4" xfId="32914" hidden="1" xr:uid="{00000000-0005-0000-0000-000074800000}"/>
    <cellStyle name="Followed Hyperlink 4" xfId="32906" hidden="1" xr:uid="{00000000-0005-0000-0000-000075800000}"/>
    <cellStyle name="Followed Hyperlink 4" xfId="32917" hidden="1" xr:uid="{00000000-0005-0000-0000-000076800000}"/>
    <cellStyle name="Followed Hyperlink 4" xfId="32920" hidden="1" xr:uid="{00000000-0005-0000-0000-000077800000}"/>
    <cellStyle name="Followed Hyperlink 4" xfId="32923" hidden="1" xr:uid="{00000000-0005-0000-0000-000078800000}"/>
    <cellStyle name="Followed Hyperlink 4" xfId="32925" hidden="1" xr:uid="{00000000-0005-0000-0000-000079800000}"/>
    <cellStyle name="Followed Hyperlink 4" xfId="32926" hidden="1" xr:uid="{00000000-0005-0000-0000-00007A800000}"/>
    <cellStyle name="Followed Hyperlink 4" xfId="32929" hidden="1" xr:uid="{00000000-0005-0000-0000-00007B800000}"/>
    <cellStyle name="Followed Hyperlink 4" xfId="32812" hidden="1" xr:uid="{00000000-0005-0000-0000-00007C800000}"/>
    <cellStyle name="Followed Hyperlink 4" xfId="32806" hidden="1" xr:uid="{00000000-0005-0000-0000-00007D800000}"/>
    <cellStyle name="Followed Hyperlink 4" xfId="32930" hidden="1" xr:uid="{00000000-0005-0000-0000-00007E800000}"/>
    <cellStyle name="Followed Hyperlink 4" xfId="32933" hidden="1" xr:uid="{00000000-0005-0000-0000-00007F800000}"/>
    <cellStyle name="Followed Hyperlink 4" xfId="32936" hidden="1" xr:uid="{00000000-0005-0000-0000-000080800000}"/>
    <cellStyle name="Followed Hyperlink 4" xfId="32938" hidden="1" xr:uid="{00000000-0005-0000-0000-000081800000}"/>
    <cellStyle name="Followed Hyperlink 4" xfId="32939" hidden="1" xr:uid="{00000000-0005-0000-0000-000082800000}"/>
    <cellStyle name="Followed Hyperlink 4" xfId="32942" hidden="1" xr:uid="{00000000-0005-0000-0000-000083800000}"/>
    <cellStyle name="Followed Hyperlink 4" xfId="32951" hidden="1" xr:uid="{00000000-0005-0000-0000-000084800000}"/>
    <cellStyle name="Followed Hyperlink 4" xfId="32943" hidden="1" xr:uid="{00000000-0005-0000-0000-000085800000}"/>
    <cellStyle name="Followed Hyperlink 4" xfId="32954" hidden="1" xr:uid="{00000000-0005-0000-0000-000086800000}"/>
    <cellStyle name="Followed Hyperlink 4" xfId="32957" hidden="1" xr:uid="{00000000-0005-0000-0000-000087800000}"/>
    <cellStyle name="Followed Hyperlink 4" xfId="32960" hidden="1" xr:uid="{00000000-0005-0000-0000-000088800000}"/>
    <cellStyle name="Followed Hyperlink 4" xfId="32962" hidden="1" xr:uid="{00000000-0005-0000-0000-000089800000}"/>
    <cellStyle name="Followed Hyperlink 4" xfId="32963" hidden="1" xr:uid="{00000000-0005-0000-0000-00008A800000}"/>
    <cellStyle name="Followed Hyperlink 4" xfId="32966" hidden="1" xr:uid="{00000000-0005-0000-0000-00008B800000}"/>
    <cellStyle name="Followed Hyperlink 4" xfId="32976" hidden="1" xr:uid="{00000000-0005-0000-0000-00008C800000}"/>
    <cellStyle name="Followed Hyperlink 4" xfId="32968" hidden="1" xr:uid="{00000000-0005-0000-0000-00008D800000}"/>
    <cellStyle name="Followed Hyperlink 4" xfId="32979" hidden="1" xr:uid="{00000000-0005-0000-0000-00008E800000}"/>
    <cellStyle name="Followed Hyperlink 4" xfId="32982" hidden="1" xr:uid="{00000000-0005-0000-0000-00008F800000}"/>
    <cellStyle name="Followed Hyperlink 4" xfId="32985" hidden="1" xr:uid="{00000000-0005-0000-0000-000090800000}"/>
    <cellStyle name="Followed Hyperlink 4" xfId="32987" hidden="1" xr:uid="{00000000-0005-0000-0000-000091800000}"/>
    <cellStyle name="Followed Hyperlink 4" xfId="32988" hidden="1" xr:uid="{00000000-0005-0000-0000-000092800000}"/>
    <cellStyle name="Followed Hyperlink 4" xfId="32991" hidden="1" xr:uid="{00000000-0005-0000-0000-000093800000}"/>
    <cellStyle name="Followed Hyperlink 4" xfId="33000" hidden="1" xr:uid="{00000000-0005-0000-0000-000094800000}"/>
    <cellStyle name="Followed Hyperlink 4" xfId="32992" hidden="1" xr:uid="{00000000-0005-0000-0000-000095800000}"/>
    <cellStyle name="Followed Hyperlink 4" xfId="33003" hidden="1" xr:uid="{00000000-0005-0000-0000-000096800000}"/>
    <cellStyle name="Followed Hyperlink 4" xfId="33006" hidden="1" xr:uid="{00000000-0005-0000-0000-000097800000}"/>
    <cellStyle name="Followed Hyperlink 4" xfId="33009" hidden="1" xr:uid="{00000000-0005-0000-0000-000098800000}"/>
    <cellStyle name="Followed Hyperlink 4" xfId="33011" hidden="1" xr:uid="{00000000-0005-0000-0000-000099800000}"/>
    <cellStyle name="Followed Hyperlink 4" xfId="33012" hidden="1" xr:uid="{00000000-0005-0000-0000-00009A800000}"/>
    <cellStyle name="Followed Hyperlink 4" xfId="33015" hidden="1" xr:uid="{00000000-0005-0000-0000-00009B800000}"/>
    <cellStyle name="Followed Hyperlink 4" xfId="32816" hidden="1" xr:uid="{00000000-0005-0000-0000-00009C800000}"/>
    <cellStyle name="Followed Hyperlink 4" xfId="32822" hidden="1" xr:uid="{00000000-0005-0000-0000-00009D800000}"/>
    <cellStyle name="Followed Hyperlink 4" xfId="33016" hidden="1" xr:uid="{00000000-0005-0000-0000-00009E800000}"/>
    <cellStyle name="Followed Hyperlink 4" xfId="33019" hidden="1" xr:uid="{00000000-0005-0000-0000-00009F800000}"/>
    <cellStyle name="Followed Hyperlink 4" xfId="33022" hidden="1" xr:uid="{00000000-0005-0000-0000-0000A0800000}"/>
    <cellStyle name="Followed Hyperlink 4" xfId="33024" hidden="1" xr:uid="{00000000-0005-0000-0000-0000A1800000}"/>
    <cellStyle name="Followed Hyperlink 4" xfId="33025" hidden="1" xr:uid="{00000000-0005-0000-0000-0000A2800000}"/>
    <cellStyle name="Followed Hyperlink 4" xfId="33028" hidden="1" xr:uid="{00000000-0005-0000-0000-0000A3800000}"/>
    <cellStyle name="Followed Hyperlink 4" xfId="33037" hidden="1" xr:uid="{00000000-0005-0000-0000-0000A4800000}"/>
    <cellStyle name="Followed Hyperlink 4" xfId="33029" hidden="1" xr:uid="{00000000-0005-0000-0000-0000A5800000}"/>
    <cellStyle name="Followed Hyperlink 4" xfId="33040" hidden="1" xr:uid="{00000000-0005-0000-0000-0000A6800000}"/>
    <cellStyle name="Followed Hyperlink 4" xfId="33043" hidden="1" xr:uid="{00000000-0005-0000-0000-0000A7800000}"/>
    <cellStyle name="Followed Hyperlink 4" xfId="33046" hidden="1" xr:uid="{00000000-0005-0000-0000-0000A8800000}"/>
    <cellStyle name="Followed Hyperlink 4" xfId="33048" hidden="1" xr:uid="{00000000-0005-0000-0000-0000A9800000}"/>
    <cellStyle name="Followed Hyperlink 4" xfId="33049" hidden="1" xr:uid="{00000000-0005-0000-0000-0000AA800000}"/>
    <cellStyle name="Followed Hyperlink 4" xfId="33052" hidden="1" xr:uid="{00000000-0005-0000-0000-0000AB800000}"/>
    <cellStyle name="Followed Hyperlink 4" xfId="33062" hidden="1" xr:uid="{00000000-0005-0000-0000-0000AC800000}"/>
    <cellStyle name="Followed Hyperlink 4" xfId="33054" hidden="1" xr:uid="{00000000-0005-0000-0000-0000AD800000}"/>
    <cellStyle name="Followed Hyperlink 4" xfId="33065" hidden="1" xr:uid="{00000000-0005-0000-0000-0000AE800000}"/>
    <cellStyle name="Followed Hyperlink 4" xfId="33068" hidden="1" xr:uid="{00000000-0005-0000-0000-0000AF800000}"/>
    <cellStyle name="Followed Hyperlink 4" xfId="33071" hidden="1" xr:uid="{00000000-0005-0000-0000-0000B0800000}"/>
    <cellStyle name="Followed Hyperlink 4" xfId="33073" hidden="1" xr:uid="{00000000-0005-0000-0000-0000B1800000}"/>
    <cellStyle name="Followed Hyperlink 4" xfId="33074" hidden="1" xr:uid="{00000000-0005-0000-0000-0000B2800000}"/>
    <cellStyle name="Followed Hyperlink 4" xfId="33077" hidden="1" xr:uid="{00000000-0005-0000-0000-0000B3800000}"/>
    <cellStyle name="Followed Hyperlink 4" xfId="33086" hidden="1" xr:uid="{00000000-0005-0000-0000-0000B4800000}"/>
    <cellStyle name="Followed Hyperlink 4" xfId="33078" hidden="1" xr:uid="{00000000-0005-0000-0000-0000B5800000}"/>
    <cellStyle name="Followed Hyperlink 4" xfId="33089" hidden="1" xr:uid="{00000000-0005-0000-0000-0000B6800000}"/>
    <cellStyle name="Followed Hyperlink 4" xfId="33092" hidden="1" xr:uid="{00000000-0005-0000-0000-0000B7800000}"/>
    <cellStyle name="Followed Hyperlink 4" xfId="33095" hidden="1" xr:uid="{00000000-0005-0000-0000-0000B8800000}"/>
    <cellStyle name="Followed Hyperlink 4" xfId="33097" hidden="1" xr:uid="{00000000-0005-0000-0000-0000B9800000}"/>
    <cellStyle name="Followed Hyperlink 4" xfId="33098" hidden="1" xr:uid="{00000000-0005-0000-0000-0000BA800000}"/>
    <cellStyle name="Followed Hyperlink 4" xfId="33101" hidden="1" xr:uid="{00000000-0005-0000-0000-0000BB800000}"/>
    <cellStyle name="Followed Hyperlink 4" xfId="32826" hidden="1" xr:uid="{00000000-0005-0000-0000-0000BC800000}"/>
    <cellStyle name="Followed Hyperlink 4" xfId="32881" hidden="1" xr:uid="{00000000-0005-0000-0000-0000BD800000}"/>
    <cellStyle name="Followed Hyperlink 4" xfId="33102" hidden="1" xr:uid="{00000000-0005-0000-0000-0000BE800000}"/>
    <cellStyle name="Followed Hyperlink 4" xfId="33105" hidden="1" xr:uid="{00000000-0005-0000-0000-0000BF800000}"/>
    <cellStyle name="Followed Hyperlink 4" xfId="33108" hidden="1" xr:uid="{00000000-0005-0000-0000-0000C0800000}"/>
    <cellStyle name="Followed Hyperlink 4" xfId="33110" hidden="1" xr:uid="{00000000-0005-0000-0000-0000C1800000}"/>
    <cellStyle name="Followed Hyperlink 4" xfId="33111" hidden="1" xr:uid="{00000000-0005-0000-0000-0000C2800000}"/>
    <cellStyle name="Followed Hyperlink 4" xfId="33114" hidden="1" xr:uid="{00000000-0005-0000-0000-0000C3800000}"/>
    <cellStyle name="Followed Hyperlink 4" xfId="33123" hidden="1" xr:uid="{00000000-0005-0000-0000-0000C4800000}"/>
    <cellStyle name="Followed Hyperlink 4" xfId="33115" hidden="1" xr:uid="{00000000-0005-0000-0000-0000C5800000}"/>
    <cellStyle name="Followed Hyperlink 4" xfId="33126" hidden="1" xr:uid="{00000000-0005-0000-0000-0000C6800000}"/>
    <cellStyle name="Followed Hyperlink 4" xfId="33129" hidden="1" xr:uid="{00000000-0005-0000-0000-0000C7800000}"/>
    <cellStyle name="Followed Hyperlink 4" xfId="33132" hidden="1" xr:uid="{00000000-0005-0000-0000-0000C8800000}"/>
    <cellStyle name="Followed Hyperlink 4" xfId="33134" hidden="1" xr:uid="{00000000-0005-0000-0000-0000C9800000}"/>
    <cellStyle name="Followed Hyperlink 4" xfId="33135" hidden="1" xr:uid="{00000000-0005-0000-0000-0000CA800000}"/>
    <cellStyle name="Followed Hyperlink 4" xfId="33138" hidden="1" xr:uid="{00000000-0005-0000-0000-0000CB800000}"/>
    <cellStyle name="Followed Hyperlink 4" xfId="33147" hidden="1" xr:uid="{00000000-0005-0000-0000-0000CC800000}"/>
    <cellStyle name="Followed Hyperlink 4" xfId="33139" hidden="1" xr:uid="{00000000-0005-0000-0000-0000CD800000}"/>
    <cellStyle name="Followed Hyperlink 4" xfId="33150" hidden="1" xr:uid="{00000000-0005-0000-0000-0000CE800000}"/>
    <cellStyle name="Followed Hyperlink 4" xfId="33153" hidden="1" xr:uid="{00000000-0005-0000-0000-0000CF800000}"/>
    <cellStyle name="Followed Hyperlink 4" xfId="33156" hidden="1" xr:uid="{00000000-0005-0000-0000-0000D0800000}"/>
    <cellStyle name="Followed Hyperlink 4" xfId="33158" hidden="1" xr:uid="{00000000-0005-0000-0000-0000D1800000}"/>
    <cellStyle name="Followed Hyperlink 4" xfId="33159" hidden="1" xr:uid="{00000000-0005-0000-0000-0000D2800000}"/>
    <cellStyle name="Followed Hyperlink 4" xfId="33162" hidden="1" xr:uid="{00000000-0005-0000-0000-0000D3800000}"/>
    <cellStyle name="Followed Hyperlink 4" xfId="33171" hidden="1" xr:uid="{00000000-0005-0000-0000-0000D4800000}"/>
    <cellStyle name="Followed Hyperlink 4" xfId="33163" hidden="1" xr:uid="{00000000-0005-0000-0000-0000D5800000}"/>
    <cellStyle name="Followed Hyperlink 4" xfId="33174" hidden="1" xr:uid="{00000000-0005-0000-0000-0000D6800000}"/>
    <cellStyle name="Followed Hyperlink 4" xfId="33177" hidden="1" xr:uid="{00000000-0005-0000-0000-0000D7800000}"/>
    <cellStyle name="Followed Hyperlink 4" xfId="33180" hidden="1" xr:uid="{00000000-0005-0000-0000-0000D8800000}"/>
    <cellStyle name="Followed Hyperlink 4" xfId="33182" hidden="1" xr:uid="{00000000-0005-0000-0000-0000D9800000}"/>
    <cellStyle name="Followed Hyperlink 4" xfId="33183" hidden="1" xr:uid="{00000000-0005-0000-0000-0000DA800000}"/>
    <cellStyle name="Followed Hyperlink 4" xfId="33186" hidden="1" xr:uid="{00000000-0005-0000-0000-0000DB800000}"/>
    <cellStyle name="Good" xfId="9" builtinId="26" customBuiltin="1"/>
    <cellStyle name="Good 2" xfId="33315" xr:uid="{7B67C0DD-F289-4519-9D81-368384B2A93A}"/>
    <cellStyle name="Good 3" xfId="33466" xr:uid="{77FB4DEC-3785-4024-9BAD-A426811A7BA4}"/>
    <cellStyle name="header-top" xfId="290" xr:uid="{00000000-0005-0000-0000-0000DD800000}"/>
    <cellStyle name="Heading 1" xfId="5" builtinId="16" customBuiltin="1"/>
    <cellStyle name="Heading 1 2" xfId="33316" xr:uid="{0597CEC3-6889-4C07-BD35-A86F3550FBEC}"/>
    <cellStyle name="Heading 2" xfId="6" builtinId="17" customBuiltin="1"/>
    <cellStyle name="Heading 2 2" xfId="33317" xr:uid="{5F89B28B-CD34-48FC-8783-18B357B3455B}"/>
    <cellStyle name="Heading 3" xfId="7" builtinId="18" customBuiltin="1"/>
    <cellStyle name="Heading 3 2" xfId="33318" xr:uid="{4C18C6CD-B0E9-4D09-A641-2FE81F0F22E0}"/>
    <cellStyle name="Heading 4" xfId="8" builtinId="19" customBuiltin="1"/>
    <cellStyle name="Heading 4 2" xfId="33319" xr:uid="{4F7C22E0-9954-438B-A913-0D8E933E4F17}"/>
    <cellStyle name="Hyperlink 10" xfId="33320" xr:uid="{45C63E56-3978-43E6-8135-BE59863119B1}"/>
    <cellStyle name="Hyperlink 11" xfId="33321" xr:uid="{C1B90695-EE50-41A8-9A81-352B8C695C1D}"/>
    <cellStyle name="Hyperlink 12" xfId="33322" xr:uid="{82384E2D-4A69-4CF6-B393-B47A03E6BCA9}"/>
    <cellStyle name="Hyperlink 13" xfId="33323" xr:uid="{816BC4D2-C050-4C38-8D8A-B59F01ADCA20}"/>
    <cellStyle name="Hyperlink 14" xfId="33324" xr:uid="{25092942-1B2A-4D0A-B9FC-DFEE7420B754}"/>
    <cellStyle name="Hyperlink 15" xfId="33325" xr:uid="{B259DDD8-5D94-414C-854D-ADFBF835BB54}"/>
    <cellStyle name="Hyperlink 16" xfId="33445" xr:uid="{C23C4C42-7340-484F-85F1-56265F7F530B}"/>
    <cellStyle name="Hyperlink 17" xfId="33467" xr:uid="{0188C256-90AE-48DE-A2F8-EF73385F69B7}"/>
    <cellStyle name="Hyperlink 2" xfId="65" xr:uid="{00000000-0005-0000-0000-0000E2800000}"/>
    <cellStyle name="Hyperlink 2 2" xfId="295" xr:uid="{00000000-0005-0000-0000-0000E3800000}"/>
    <cellStyle name="Hyperlink 2 2 2" xfId="33434" xr:uid="{1D5ED2F5-0348-4B8A-8441-AE3543742243}"/>
    <cellStyle name="Hyperlink 2 3" xfId="33209" xr:uid="{00000000-0005-0000-0000-0000E4800000}"/>
    <cellStyle name="Hyperlink 2 4" xfId="33326" xr:uid="{48BF8C4E-6C62-4F0C-9905-32651BE5B3BF}"/>
    <cellStyle name="Hyperlink 3" xfId="239" xr:uid="{00000000-0005-0000-0000-0000E5800000}"/>
    <cellStyle name="Hyperlink 3 2" xfId="33327" xr:uid="{8D7CAA9B-2294-4F5D-B566-142B3E5D0494}"/>
    <cellStyle name="Hyperlink 4" xfId="293" xr:uid="{00000000-0005-0000-0000-0000E6800000}"/>
    <cellStyle name="Hyperlink 4 2" xfId="33328" xr:uid="{7FBBCC62-42F0-4601-AD77-A4C1CE779A14}"/>
    <cellStyle name="Hyperlink 5" xfId="53" xr:uid="{00000000-0005-0000-0000-0000E7800000}"/>
    <cellStyle name="Hyperlink 5 2" xfId="33329" xr:uid="{A30CDECC-8862-4175-B9A4-43797500DC13}"/>
    <cellStyle name="Hyperlink 6" xfId="33330" xr:uid="{65793BB9-23EA-4AD8-B338-AB7F00FA0BFB}"/>
    <cellStyle name="Hyperlink 7" xfId="33331" xr:uid="{5CDEABC8-E095-49BB-BAE2-42FCAFEFC051}"/>
    <cellStyle name="Hyperlink 8" xfId="33332" xr:uid="{99611178-B273-4964-B713-62D9F5685BE6}"/>
    <cellStyle name="Hyperlink 9" xfId="33333" xr:uid="{8D28B7A9-73F0-43F7-907F-12CA49DFC7A8}"/>
    <cellStyle name="Hyperlink Style" xfId="33204" xr:uid="{00000000-0005-0000-0000-0000E8800000}"/>
    <cellStyle name="Index Hyperlink" xfId="33205" xr:uid="{00000000-0005-0000-0000-0000E9800000}"/>
    <cellStyle name="Input" xfId="12" builtinId="20" customBuiltin="1"/>
    <cellStyle name="Input 2" xfId="33334" xr:uid="{9F2D0139-C644-4AE3-9B2C-EA567126ACD9}"/>
    <cellStyle name="Last Header Row" xfId="8745" xr:uid="{00000000-0005-0000-0000-0000EB800000}"/>
    <cellStyle name="Linked Cell" xfId="15" builtinId="24" customBuiltin="1"/>
    <cellStyle name="Linked Cell 2" xfId="33335" xr:uid="{7821402B-B662-4B3E-BF73-AE4512C9D2B0}"/>
    <cellStyle name="Neutral" xfId="11" builtinId="28" customBuiltin="1"/>
    <cellStyle name="Neutral 2" xfId="33336" xr:uid="{7D72A2AE-AB99-4BBC-9607-CEC6CA00CCA7}"/>
    <cellStyle name="Neutral 3" xfId="33420" xr:uid="{E96BB77D-3393-4A85-9FE5-8F2142648A0B}"/>
    <cellStyle name="Normal" xfId="0" builtinId="0"/>
    <cellStyle name="Normal 10" xfId="72" xr:uid="{00000000-0005-0000-0000-0000EF800000}"/>
    <cellStyle name="Normal 10 2" xfId="33188" xr:uid="{00000000-0005-0000-0000-0000F0800000}"/>
    <cellStyle name="Normal 10 2 2" xfId="33402" xr:uid="{325D8113-6D5B-4F73-A4F7-F4792255A6F4}"/>
    <cellStyle name="Normal 10 3" xfId="33442" xr:uid="{B8C80800-7ECB-4188-8523-FE0B0D6AD1E7}"/>
    <cellStyle name="Normal 10 4" xfId="33337" xr:uid="{95C81575-F5FF-4A57-A69F-F62FAC53FE7E}"/>
    <cellStyle name="Normal 11" xfId="54" xr:uid="{00000000-0005-0000-0000-0000F1800000}"/>
    <cellStyle name="Normal 11 2" xfId="33338" xr:uid="{7E3D54A2-74D6-44F5-BF2C-DFC7614FDCA3}"/>
    <cellStyle name="Normal 12" xfId="55" xr:uid="{00000000-0005-0000-0000-0000F2800000}"/>
    <cellStyle name="Normal 12 10" xfId="33187" xr:uid="{00000000-0005-0000-0000-0000F3800000}"/>
    <cellStyle name="Normal 12 2" xfId="33403" xr:uid="{D8B932C1-8F6A-471D-A77E-CCA299824EEA}"/>
    <cellStyle name="Normal 12 3" xfId="33443" xr:uid="{C56C2EBF-A316-49C1-B9E2-F8A82192B304}"/>
    <cellStyle name="Normal 12 4" xfId="33339" xr:uid="{4AD6CE51-8980-4DCD-888F-6FAF4E60BB95}"/>
    <cellStyle name="Normal 13" xfId="56" xr:uid="{00000000-0005-0000-0000-0000F4800000}"/>
    <cellStyle name="Normal 13 2" xfId="33340" xr:uid="{D8BAB747-8E37-4095-8A4F-BCE636D47E02}"/>
    <cellStyle name="Normal 14" xfId="57" xr:uid="{00000000-0005-0000-0000-0000F5800000}"/>
    <cellStyle name="Normal 14 2" xfId="33404" xr:uid="{F1061C7B-641C-4813-BA65-A3184425A629}"/>
    <cellStyle name="Normal 14 3" xfId="33444" xr:uid="{F7BCEA99-14E4-4704-B1F6-DDCBFC4E5809}"/>
    <cellStyle name="Normal 14 4" xfId="33341" xr:uid="{F4482DC8-5A13-429F-B858-647CF4A5C957}"/>
    <cellStyle name="Normal 15" xfId="73" xr:uid="{00000000-0005-0000-0000-0000F6800000}"/>
    <cellStyle name="Normal 15 2" xfId="33342" xr:uid="{53C28BAD-5E2F-4DD7-845F-393843DDBE5E}"/>
    <cellStyle name="Normal 15 5" xfId="61" xr:uid="{00000000-0005-0000-0000-0000F7800000}"/>
    <cellStyle name="Normal 15 6" xfId="62" xr:uid="{00000000-0005-0000-0000-0000F8800000}"/>
    <cellStyle name="Normal 15 7" xfId="63" xr:uid="{00000000-0005-0000-0000-0000F9800000}"/>
    <cellStyle name="Normal 16" xfId="58" xr:uid="{00000000-0005-0000-0000-0000FA800000}"/>
    <cellStyle name="Normal 16 2" xfId="33343" xr:uid="{DE15BF04-BEE3-43C1-A521-1286BE11AFC9}"/>
    <cellStyle name="Normal 17" xfId="59" xr:uid="{00000000-0005-0000-0000-0000FB800000}"/>
    <cellStyle name="Normal 17 2" xfId="33405" xr:uid="{B5D02498-AF2E-4EA4-946B-0CBC871E9298}"/>
    <cellStyle name="Normal 17 3" xfId="33446" xr:uid="{622C34A5-6A52-4DCC-9C03-B8F65D8E86A7}"/>
    <cellStyle name="Normal 17 4" xfId="33344" xr:uid="{D47124EE-912C-4F8A-B534-BE4CAC72934F}"/>
    <cellStyle name="Normal 18" xfId="60" xr:uid="{00000000-0005-0000-0000-0000FC800000}"/>
    <cellStyle name="Normal 18 2" xfId="33345" xr:uid="{ACCD173C-ECCF-483D-A1FC-ECD73C3B8F60}"/>
    <cellStyle name="Normal 19" xfId="74" xr:uid="{00000000-0005-0000-0000-0000FD800000}"/>
    <cellStyle name="Normal 19 2" xfId="33406" xr:uid="{517E1DCD-E849-4247-A89B-945FAA0984D9}"/>
    <cellStyle name="Normal 19 3" xfId="33447" xr:uid="{615D0DBC-D4D1-4D45-B530-161A41625DF9}"/>
    <cellStyle name="Normal 19 4" xfId="33346" xr:uid="{9C72E10A-A7B1-426A-BC99-A35BE752F3EB}"/>
    <cellStyle name="Normal 2" xfId="2" xr:uid="{00000000-0005-0000-0000-0000FE800000}"/>
    <cellStyle name="Normal 2 10" xfId="185" xr:uid="{00000000-0005-0000-0000-0000FF800000}"/>
    <cellStyle name="Normal 2 11" xfId="188" xr:uid="{00000000-0005-0000-0000-000000810000}"/>
    <cellStyle name="Normal 2 12" xfId="191" xr:uid="{00000000-0005-0000-0000-000001810000}"/>
    <cellStyle name="Normal 2 13" xfId="194" xr:uid="{00000000-0005-0000-0000-000002810000}"/>
    <cellStyle name="Normal 2 14" xfId="197" xr:uid="{00000000-0005-0000-0000-000003810000}"/>
    <cellStyle name="Normal 2 15" xfId="200" xr:uid="{00000000-0005-0000-0000-000004810000}"/>
    <cellStyle name="Normal 2 16" xfId="203" xr:uid="{00000000-0005-0000-0000-000005810000}"/>
    <cellStyle name="Normal 2 17" xfId="206" xr:uid="{00000000-0005-0000-0000-000006810000}"/>
    <cellStyle name="Normal 2 18" xfId="209" xr:uid="{00000000-0005-0000-0000-000007810000}"/>
    <cellStyle name="Normal 2 19" xfId="212" xr:uid="{00000000-0005-0000-0000-000008810000}"/>
    <cellStyle name="Normal 2 2" xfId="161" xr:uid="{00000000-0005-0000-0000-000009810000}"/>
    <cellStyle name="Normal 2 2 2" xfId="33347" xr:uid="{A2655C97-7055-4EEA-A078-D2CA5ED30A75}"/>
    <cellStyle name="Normal 2 20" xfId="215" xr:uid="{00000000-0005-0000-0000-00000A810000}"/>
    <cellStyle name="Normal 2 21" xfId="218" xr:uid="{00000000-0005-0000-0000-00000B810000}"/>
    <cellStyle name="Normal 2 22" xfId="221" xr:uid="{00000000-0005-0000-0000-00000C810000}"/>
    <cellStyle name="Normal 2 23" xfId="224" xr:uid="{00000000-0005-0000-0000-00000D810000}"/>
    <cellStyle name="Normal 2 24" xfId="227" xr:uid="{00000000-0005-0000-0000-00000E810000}"/>
    <cellStyle name="Normal 2 25" xfId="230" xr:uid="{00000000-0005-0000-0000-00000F810000}"/>
    <cellStyle name="Normal 2 26" xfId="233" xr:uid="{00000000-0005-0000-0000-000010810000}"/>
    <cellStyle name="Normal 2 27" xfId="236" xr:uid="{00000000-0005-0000-0000-000011810000}"/>
    <cellStyle name="Normal 2 28" xfId="294" xr:uid="{00000000-0005-0000-0000-000012810000}"/>
    <cellStyle name="Normal 2 29" xfId="45" xr:uid="{00000000-0005-0000-0000-000013810000}"/>
    <cellStyle name="Normal 2 3" xfId="164" xr:uid="{00000000-0005-0000-0000-000014810000}"/>
    <cellStyle name="Normal 2 3 2" xfId="33461" xr:uid="{32478CB9-616B-484E-968A-2DEA18B5FBEC}"/>
    <cellStyle name="Normal 2 30" xfId="8746" xr:uid="{00000000-0005-0000-0000-000015810000}"/>
    <cellStyle name="Normal 2 31" xfId="33190" xr:uid="{00000000-0005-0000-0000-000016810000}"/>
    <cellStyle name="Normal 2 4" xfId="167" xr:uid="{00000000-0005-0000-0000-000017810000}"/>
    <cellStyle name="Normal 2 4 2" xfId="33470" xr:uid="{47C4A382-A43C-4CAC-B0FC-673C926A5B3D}"/>
    <cellStyle name="Normal 2 5" xfId="170" xr:uid="{00000000-0005-0000-0000-000018810000}"/>
    <cellStyle name="Normal 2 6" xfId="173" xr:uid="{00000000-0005-0000-0000-000019810000}"/>
    <cellStyle name="Normal 2 7" xfId="176" xr:uid="{00000000-0005-0000-0000-00001A810000}"/>
    <cellStyle name="Normal 2 8" xfId="179" xr:uid="{00000000-0005-0000-0000-00001B810000}"/>
    <cellStyle name="Normal 2 9" xfId="182" xr:uid="{00000000-0005-0000-0000-00001C810000}"/>
    <cellStyle name="Normal 2_Correlations" xfId="33227" xr:uid="{00000000-0005-0000-0000-00001D810000}"/>
    <cellStyle name="Normal 20" xfId="75" xr:uid="{00000000-0005-0000-0000-000022810000}"/>
    <cellStyle name="Normal 20 2" xfId="33348" xr:uid="{FB371EE3-1BBD-4DD2-A6B5-679A38655C07}"/>
    <cellStyle name="Normal 21" xfId="119" xr:uid="{00000000-0005-0000-0000-000023810000}"/>
    <cellStyle name="Normal 21 2" xfId="33349" xr:uid="{7E4ED39C-FE5F-49FB-A23A-BFDB2FCBFEE2}"/>
    <cellStyle name="Normal 22" xfId="76" xr:uid="{00000000-0005-0000-0000-000024810000}"/>
    <cellStyle name="Normal 22 2" xfId="33407" xr:uid="{117B4D50-2737-45C8-8039-85B81A41769A}"/>
    <cellStyle name="Normal 22 3" xfId="33448" xr:uid="{062DD299-806A-4DA4-9E07-0C29BB5A6F39}"/>
    <cellStyle name="Normal 22 4" xfId="33350" xr:uid="{629AB2F2-530D-4A0B-B620-A584F9564FBD}"/>
    <cellStyle name="Normal 23" xfId="94" xr:uid="{00000000-0005-0000-0000-000025810000}"/>
    <cellStyle name="Normal 23 2" xfId="33408" xr:uid="{F801551C-A9CF-493D-8C3B-AFD3A19CAADB}"/>
    <cellStyle name="Normal 23 3" xfId="33449" xr:uid="{25BD3887-AE9A-47CD-BAB3-7EBA20EF9882}"/>
    <cellStyle name="Normal 23 4" xfId="33351" xr:uid="{86BA12BF-6EE9-4C63-8251-1D9D468DA801}"/>
    <cellStyle name="Normal 24" xfId="120" xr:uid="{00000000-0005-0000-0000-000026810000}"/>
    <cellStyle name="Normal 24 2" xfId="33409" xr:uid="{5AF363AC-FE96-4827-80F5-B22F6B438F03}"/>
    <cellStyle name="Normal 24 3" xfId="33450" xr:uid="{DDF5555A-8C2E-465B-A076-3ED310DE4FF7}"/>
    <cellStyle name="Normal 24 4" xfId="33352" xr:uid="{6661203C-8515-4BDC-B0B1-77C2782BC19E}"/>
    <cellStyle name="Normal 25" xfId="98" xr:uid="{00000000-0005-0000-0000-000027810000}"/>
    <cellStyle name="Normal 25 2" xfId="33410" xr:uid="{EF782823-0CC6-4FED-B866-E79FE929C238}"/>
    <cellStyle name="Normal 25 3" xfId="33451" xr:uid="{0F469C97-6493-4CC5-BA5F-F9BF4235A99D}"/>
    <cellStyle name="Normal 25 4" xfId="33353" xr:uid="{298C95CD-55F3-478F-9396-1A717BDF3A5C}"/>
    <cellStyle name="Normal 26" xfId="102" xr:uid="{00000000-0005-0000-0000-000028810000}"/>
    <cellStyle name="Normal 26 2" xfId="33411" xr:uid="{F632A1A0-7FCB-4EEA-B8A6-018C7E80EBB1}"/>
    <cellStyle name="Normal 26 3" xfId="33452" xr:uid="{AC1AB712-A586-4185-A056-E6D92DD8BFE7}"/>
    <cellStyle name="Normal 26 4" xfId="33354" xr:uid="{99CB225D-CC7E-4E2D-A9A1-E757D92B7B6D}"/>
    <cellStyle name="Normal 27" xfId="104" xr:uid="{00000000-0005-0000-0000-000029810000}"/>
    <cellStyle name="Normal 27 2" xfId="33256" xr:uid="{062CE9C1-0F1B-4F09-A56A-EA971B1B86E7}"/>
    <cellStyle name="Normal 28" xfId="106" xr:uid="{00000000-0005-0000-0000-00002A810000}"/>
    <cellStyle name="Normal 28 2" xfId="33398" xr:uid="{59ECEE40-A5AF-43DD-86B6-1D0C89E50E5F}"/>
    <cellStyle name="Normal 29" xfId="108" xr:uid="{00000000-0005-0000-0000-00002B810000}"/>
    <cellStyle name="Normal 29 2" xfId="33428" xr:uid="{4102108D-5D8F-43B9-8A5E-2C70C449D0DC}"/>
    <cellStyle name="Normal 3" xfId="46" xr:uid="{00000000-0005-0000-0000-00002C810000}"/>
    <cellStyle name="Normal 3 10" xfId="186" xr:uid="{00000000-0005-0000-0000-00002D810000}"/>
    <cellStyle name="Normal 3 11" xfId="189" xr:uid="{00000000-0005-0000-0000-00002E810000}"/>
    <cellStyle name="Normal 3 12" xfId="192" xr:uid="{00000000-0005-0000-0000-00002F810000}"/>
    <cellStyle name="Normal 3 13" xfId="195" xr:uid="{00000000-0005-0000-0000-000030810000}"/>
    <cellStyle name="Normal 3 14" xfId="198" xr:uid="{00000000-0005-0000-0000-000031810000}"/>
    <cellStyle name="Normal 3 15" xfId="201" xr:uid="{00000000-0005-0000-0000-000032810000}"/>
    <cellStyle name="Normal 3 16" xfId="204" xr:uid="{00000000-0005-0000-0000-000033810000}"/>
    <cellStyle name="Normal 3 17" xfId="207" xr:uid="{00000000-0005-0000-0000-000034810000}"/>
    <cellStyle name="Normal 3 18" xfId="210" xr:uid="{00000000-0005-0000-0000-000035810000}"/>
    <cellStyle name="Normal 3 19" xfId="213" xr:uid="{00000000-0005-0000-0000-000036810000}"/>
    <cellStyle name="Normal 3 2" xfId="162" xr:uid="{00000000-0005-0000-0000-000037810000}"/>
    <cellStyle name="Normal 3 2 2" xfId="297" xr:uid="{00000000-0005-0000-0000-000038810000}"/>
    <cellStyle name="Normal 3 2 2 2" xfId="33212" xr:uid="{00000000-0005-0000-0000-000039810000}"/>
    <cellStyle name="Normal 3 2 3" xfId="33210" xr:uid="{00000000-0005-0000-0000-00003A810000}"/>
    <cellStyle name="Normal 3 2 4" xfId="33355" xr:uid="{9D1B8B10-9074-4E03-8D0F-79F3846DA1ED}"/>
    <cellStyle name="Normal 3 20" xfId="216" xr:uid="{00000000-0005-0000-0000-00003B810000}"/>
    <cellStyle name="Normal 3 21" xfId="219" xr:uid="{00000000-0005-0000-0000-00003C810000}"/>
    <cellStyle name="Normal 3 22" xfId="222" xr:uid="{00000000-0005-0000-0000-00003D810000}"/>
    <cellStyle name="Normal 3 23" xfId="225" xr:uid="{00000000-0005-0000-0000-00003E810000}"/>
    <cellStyle name="Normal 3 24" xfId="228" xr:uid="{00000000-0005-0000-0000-00003F810000}"/>
    <cellStyle name="Normal 3 25" xfId="231" xr:uid="{00000000-0005-0000-0000-000040810000}"/>
    <cellStyle name="Normal 3 26" xfId="234" xr:uid="{00000000-0005-0000-0000-000041810000}"/>
    <cellStyle name="Normal 3 27" xfId="237" xr:uid="{00000000-0005-0000-0000-000042810000}"/>
    <cellStyle name="Normal 3 28" xfId="296" xr:uid="{00000000-0005-0000-0000-000043810000}"/>
    <cellStyle name="Normal 3 29" xfId="33208" xr:uid="{00000000-0005-0000-0000-000044810000}"/>
    <cellStyle name="Normal 3 3" xfId="165" xr:uid="{00000000-0005-0000-0000-000045810000}"/>
    <cellStyle name="Normal 3 3 2" xfId="33211" xr:uid="{00000000-0005-0000-0000-000046810000}"/>
    <cellStyle name="Normal 3 3 3" xfId="33453" xr:uid="{F675F4C6-B04D-4D42-BF4F-A48E09A1F1AE}"/>
    <cellStyle name="Normal 3 4" xfId="168" xr:uid="{00000000-0005-0000-0000-000047810000}"/>
    <cellStyle name="Normal 3 5" xfId="171" xr:uid="{00000000-0005-0000-0000-000048810000}"/>
    <cellStyle name="Normal 3 6" xfId="174" xr:uid="{00000000-0005-0000-0000-000049810000}"/>
    <cellStyle name="Normal 3 7" xfId="177" xr:uid="{00000000-0005-0000-0000-00004A810000}"/>
    <cellStyle name="Normal 3 8" xfId="180" xr:uid="{00000000-0005-0000-0000-00004B810000}"/>
    <cellStyle name="Normal 3 9" xfId="183" xr:uid="{00000000-0005-0000-0000-00004C810000}"/>
    <cellStyle name="Normal 30" xfId="113" xr:uid="{00000000-0005-0000-0000-00004D810000}"/>
    <cellStyle name="Normal 30 2" xfId="33462" xr:uid="{65122AA0-FA5C-41EC-9E00-775BC6AD8316}"/>
    <cellStyle name="Normal 31" xfId="110" xr:uid="{00000000-0005-0000-0000-00004E810000}"/>
    <cellStyle name="Normal 32" xfId="112" xr:uid="{00000000-0005-0000-0000-00004F810000}"/>
    <cellStyle name="Normal 33" xfId="100" xr:uid="{00000000-0005-0000-0000-000050810000}"/>
    <cellStyle name="Normal 34" xfId="92" xr:uid="{00000000-0005-0000-0000-000051810000}"/>
    <cellStyle name="Normal 35" xfId="90" xr:uid="{00000000-0005-0000-0000-000052810000}"/>
    <cellStyle name="Normal 36" xfId="88" xr:uid="{00000000-0005-0000-0000-000053810000}"/>
    <cellStyle name="Normal 37" xfId="86" xr:uid="{00000000-0005-0000-0000-000054810000}"/>
    <cellStyle name="Normal 38" xfId="122" xr:uid="{00000000-0005-0000-0000-000055810000}"/>
    <cellStyle name="Normal 39" xfId="84" xr:uid="{00000000-0005-0000-0000-000056810000}"/>
    <cellStyle name="Normal 4" xfId="47" xr:uid="{00000000-0005-0000-0000-000057810000}"/>
    <cellStyle name="Normal 4 10" xfId="187" xr:uid="{00000000-0005-0000-0000-000058810000}"/>
    <cellStyle name="Normal 4 11" xfId="190" xr:uid="{00000000-0005-0000-0000-000059810000}"/>
    <cellStyle name="Normal 4 12" xfId="193" xr:uid="{00000000-0005-0000-0000-00005A810000}"/>
    <cellStyle name="Normal 4 13" xfId="196" xr:uid="{00000000-0005-0000-0000-00005B810000}"/>
    <cellStyle name="Normal 4 14" xfId="199" xr:uid="{00000000-0005-0000-0000-00005C810000}"/>
    <cellStyle name="Normal 4 15" xfId="202" xr:uid="{00000000-0005-0000-0000-00005D810000}"/>
    <cellStyle name="Normal 4 16" xfId="205" xr:uid="{00000000-0005-0000-0000-00005E810000}"/>
    <cellStyle name="Normal 4 17" xfId="208" xr:uid="{00000000-0005-0000-0000-00005F810000}"/>
    <cellStyle name="Normal 4 18" xfId="211" xr:uid="{00000000-0005-0000-0000-000060810000}"/>
    <cellStyle name="Normal 4 19" xfId="214" xr:uid="{00000000-0005-0000-0000-000061810000}"/>
    <cellStyle name="Normal 4 2" xfId="163" xr:uid="{00000000-0005-0000-0000-000062810000}"/>
    <cellStyle name="Normal 4 2 2" xfId="8747" xr:uid="{00000000-0005-0000-0000-000063810000}"/>
    <cellStyle name="Normal 4 2 2 2" xfId="33413" xr:uid="{92E1EEF9-0CD2-4753-947A-1B4E5A2983E4}"/>
    <cellStyle name="Normal 4 2 3" xfId="33455" xr:uid="{A85D5D0C-75D1-439D-8965-9D6FAC6FAAD1}"/>
    <cellStyle name="Normal 4 2 4" xfId="33357" xr:uid="{E983907D-C161-4FE7-898F-83A88B93B2E5}"/>
    <cellStyle name="Normal 4 20" xfId="217" xr:uid="{00000000-0005-0000-0000-000064810000}"/>
    <cellStyle name="Normal 4 21" xfId="220" xr:uid="{00000000-0005-0000-0000-000065810000}"/>
    <cellStyle name="Normal 4 22" xfId="223" xr:uid="{00000000-0005-0000-0000-000066810000}"/>
    <cellStyle name="Normal 4 23" xfId="226" xr:uid="{00000000-0005-0000-0000-000067810000}"/>
    <cellStyle name="Normal 4 24" xfId="229" xr:uid="{00000000-0005-0000-0000-000068810000}"/>
    <cellStyle name="Normal 4 25" xfId="232" xr:uid="{00000000-0005-0000-0000-000069810000}"/>
    <cellStyle name="Normal 4 26" xfId="235" xr:uid="{00000000-0005-0000-0000-00006A810000}"/>
    <cellStyle name="Normal 4 27" xfId="238" xr:uid="{00000000-0005-0000-0000-00006B810000}"/>
    <cellStyle name="Normal 4 28" xfId="33206" xr:uid="{00000000-0005-0000-0000-00006C810000}"/>
    <cellStyle name="Normal 4 29" xfId="33356" xr:uid="{29B9CBBC-310F-4110-A4B4-A64B218B3315}"/>
    <cellStyle name="Normal 4 3" xfId="166" xr:uid="{00000000-0005-0000-0000-00006D810000}"/>
    <cellStyle name="Normal 4 3 2" xfId="33412" xr:uid="{90D15844-6372-4B2D-855E-29BA563D13FB}"/>
    <cellStyle name="Normal 4 4" xfId="169" xr:uid="{00000000-0005-0000-0000-00006E810000}"/>
    <cellStyle name="Normal 4 4 2" xfId="33454" xr:uid="{86401295-CB7B-468C-ACF2-F9E66F83CAD8}"/>
    <cellStyle name="Normal 4 5" xfId="172" xr:uid="{00000000-0005-0000-0000-00006F810000}"/>
    <cellStyle name="Normal 4 5 2" xfId="33436" xr:uid="{2868B880-EB4D-4C0F-96A7-7A73582F5840}"/>
    <cellStyle name="Normal 4 6" xfId="175" xr:uid="{00000000-0005-0000-0000-000070810000}"/>
    <cellStyle name="Normal 4 7" xfId="178" xr:uid="{00000000-0005-0000-0000-000071810000}"/>
    <cellStyle name="Normal 4 8" xfId="181" xr:uid="{00000000-0005-0000-0000-000072810000}"/>
    <cellStyle name="Normal 4 9" xfId="184" xr:uid="{00000000-0005-0000-0000-000073810000}"/>
    <cellStyle name="Normal 40" xfId="123" xr:uid="{00000000-0005-0000-0000-000074810000}"/>
    <cellStyle name="Normal 41" xfId="82" xr:uid="{00000000-0005-0000-0000-000075810000}"/>
    <cellStyle name="Normal 42" xfId="124" xr:uid="{00000000-0005-0000-0000-000076810000}"/>
    <cellStyle name="Normal 43" xfId="80" xr:uid="{00000000-0005-0000-0000-000077810000}"/>
    <cellStyle name="Normal 44" xfId="78" xr:uid="{00000000-0005-0000-0000-000078810000}"/>
    <cellStyle name="Normal 45" xfId="96" xr:uid="{00000000-0005-0000-0000-000079810000}"/>
    <cellStyle name="Normal 46" xfId="115" xr:uid="{00000000-0005-0000-0000-00007A810000}"/>
    <cellStyle name="Normal 47" xfId="128" xr:uid="{00000000-0005-0000-0000-00007B810000}"/>
    <cellStyle name="Normal 48" xfId="125" xr:uid="{00000000-0005-0000-0000-00007C810000}"/>
    <cellStyle name="Normal 49" xfId="126" xr:uid="{00000000-0005-0000-0000-00007D810000}"/>
    <cellStyle name="Normal 5" xfId="64" xr:uid="{00000000-0005-0000-0000-00007E810000}"/>
    <cellStyle name="Normal 5 2" xfId="298" xr:uid="{00000000-0005-0000-0000-00007F810000}"/>
    <cellStyle name="Normal 5 2 2" xfId="8748" xr:uid="{00000000-0005-0000-0000-000080810000}"/>
    <cellStyle name="Normal 5 2 2 2" xfId="33414" xr:uid="{A28EA618-D18F-4845-B708-A5351594075F}"/>
    <cellStyle name="Normal 5 2 3" xfId="33456" xr:uid="{05F01210-B4C0-4102-85B1-8EAED840E0A4}"/>
    <cellStyle name="Normal 5 2 4" xfId="33432" xr:uid="{44EB08EA-A2CE-4AE7-B723-B30CB88E5BE7}"/>
    <cellStyle name="Normal 5 2 5" xfId="33359" xr:uid="{62D9EAA9-E891-467A-96F3-6BC52E29016C}"/>
    <cellStyle name="Normal 5 3" xfId="33360" xr:uid="{F242715E-EFA5-45DB-9865-F7E172F33A44}"/>
    <cellStyle name="Normal 5 3 2" xfId="33415" xr:uid="{4971A431-9B3C-40B7-8E8C-701E1F9EA1FA}"/>
    <cellStyle name="Normal 5 3 3" xfId="33457" xr:uid="{D6E4DD03-B057-4B63-B37E-1CC7781B3C45}"/>
    <cellStyle name="Normal 5 4" xfId="33433" xr:uid="{1BEF3AEA-F3BD-43EB-A6CC-7C886CBCB0BB}"/>
    <cellStyle name="Normal 5 5" xfId="33358" xr:uid="{E6F99898-1DB5-408C-967C-8B013ECE9F4B}"/>
    <cellStyle name="Normal 50" xfId="127" xr:uid="{00000000-0005-0000-0000-000081810000}"/>
    <cellStyle name="Normal 51" xfId="130" xr:uid="{00000000-0005-0000-0000-000082810000}"/>
    <cellStyle name="Normal 52" xfId="129" xr:uid="{00000000-0005-0000-0000-000083810000}"/>
    <cellStyle name="Normal 53" xfId="157" xr:uid="{00000000-0005-0000-0000-000084810000}"/>
    <cellStyle name="Normal 54" xfId="132" xr:uid="{00000000-0005-0000-0000-000085810000}"/>
    <cellStyle name="Normal 55" xfId="133" xr:uid="{00000000-0005-0000-0000-000086810000}"/>
    <cellStyle name="Normal 56" xfId="134" xr:uid="{00000000-0005-0000-0000-000087810000}"/>
    <cellStyle name="Normal 57" xfId="155" xr:uid="{00000000-0005-0000-0000-000088810000}"/>
    <cellStyle name="Normal 58" xfId="135" xr:uid="{00000000-0005-0000-0000-000089810000}"/>
    <cellStyle name="Normal 59" xfId="136" xr:uid="{00000000-0005-0000-0000-00008A810000}"/>
    <cellStyle name="Normal 6" xfId="66" xr:uid="{00000000-0005-0000-0000-00008B810000}"/>
    <cellStyle name="Normal 6 2" xfId="8749" xr:uid="{00000000-0005-0000-0000-00008C810000}"/>
    <cellStyle name="Normal 6 3" xfId="33361" xr:uid="{9FD73C35-725E-427A-BAEC-A5961360D251}"/>
    <cellStyle name="Normal 60" xfId="137" xr:uid="{00000000-0005-0000-0000-00008D810000}"/>
    <cellStyle name="Normal 61" xfId="156" xr:uid="{00000000-0005-0000-0000-00008E810000}"/>
    <cellStyle name="Normal 62" xfId="138" xr:uid="{00000000-0005-0000-0000-00008F810000}"/>
    <cellStyle name="Normal 63" xfId="139" xr:uid="{00000000-0005-0000-0000-000090810000}"/>
    <cellStyle name="Normal 64" xfId="140" xr:uid="{00000000-0005-0000-0000-000091810000}"/>
    <cellStyle name="Normal 65" xfId="159" xr:uid="{00000000-0005-0000-0000-000092810000}"/>
    <cellStyle name="Normal 66" xfId="141" xr:uid="{00000000-0005-0000-0000-000093810000}"/>
    <cellStyle name="Normal 67" xfId="142" xr:uid="{00000000-0005-0000-0000-000094810000}"/>
    <cellStyle name="Normal 68" xfId="143" xr:uid="{00000000-0005-0000-0000-000095810000}"/>
    <cellStyle name="Normal 69" xfId="291" xr:uid="{00000000-0005-0000-0000-000096810000}"/>
    <cellStyle name="Normal 7" xfId="67" xr:uid="{00000000-0005-0000-0000-000097810000}"/>
    <cellStyle name="Normal 7 2" xfId="8750" xr:uid="{00000000-0005-0000-0000-000098810000}"/>
    <cellStyle name="Normal 7 2 2" xfId="33416" xr:uid="{AC93E975-8F2F-471D-B86A-BDB77392A041}"/>
    <cellStyle name="Normal 7 3" xfId="33458" xr:uid="{132ACDE6-846F-454F-9D1D-1A346657DAC4}"/>
    <cellStyle name="Normal 7 4" xfId="33362" xr:uid="{2B4A42D0-9D9F-4C59-8752-FC9F1CDA9BE2}"/>
    <cellStyle name="Normal 70" xfId="144" xr:uid="{00000000-0005-0000-0000-000099810000}"/>
    <cellStyle name="Normal 71" xfId="145" xr:uid="{00000000-0005-0000-0000-00009A810000}"/>
    <cellStyle name="Normal 72" xfId="146" xr:uid="{00000000-0005-0000-0000-00009B810000}"/>
    <cellStyle name="Normal 73" xfId="33189" xr:uid="{00000000-0005-0000-0000-00009C810000}"/>
    <cellStyle name="Normal 74" xfId="147" xr:uid="{00000000-0005-0000-0000-00009D810000}"/>
    <cellStyle name="Normal 75" xfId="148" xr:uid="{00000000-0005-0000-0000-00009E810000}"/>
    <cellStyle name="Normal 76" xfId="149" xr:uid="{00000000-0005-0000-0000-00009F810000}"/>
    <cellStyle name="Normal 77" xfId="33214" xr:uid="{00000000-0005-0000-0000-0000A0810000}"/>
    <cellStyle name="Normal 78" xfId="150" xr:uid="{00000000-0005-0000-0000-0000A1810000}"/>
    <cellStyle name="Normal 79" xfId="151" xr:uid="{00000000-0005-0000-0000-0000A2810000}"/>
    <cellStyle name="Normal 8" xfId="68" xr:uid="{00000000-0005-0000-0000-0000A3810000}"/>
    <cellStyle name="Normal 8 2" xfId="8751" xr:uid="{00000000-0005-0000-0000-0000A4810000}"/>
    <cellStyle name="Normal 8 2 2" xfId="33417" xr:uid="{1CA976F3-9DBC-4272-870E-B9969604A05E}"/>
    <cellStyle name="Normal 8 3" xfId="33459" xr:uid="{3E78696D-3D8B-4747-9BDB-8CF32F02EB95}"/>
    <cellStyle name="Normal 8 4" xfId="33363" xr:uid="{1BED4D41-28F4-47C6-87C3-7507053617D9}"/>
    <cellStyle name="Normal 80" xfId="152" xr:uid="{00000000-0005-0000-0000-0000A5810000}"/>
    <cellStyle name="Normal 82" xfId="153" xr:uid="{00000000-0005-0000-0000-0000A6810000}"/>
    <cellStyle name="Normal 83" xfId="154" xr:uid="{00000000-0005-0000-0000-0000A7810000}"/>
    <cellStyle name="Normal 9" xfId="121" xr:uid="{00000000-0005-0000-0000-0000A8810000}"/>
    <cellStyle name="Normal 9 2" xfId="8752" xr:uid="{00000000-0005-0000-0000-0000A9810000}"/>
    <cellStyle name="Normal 9 2 2" xfId="33418" xr:uid="{F66CAFD6-5D57-4CCD-AD0A-204665DA70D3}"/>
    <cellStyle name="Normal 9 3" xfId="33460" xr:uid="{54DA6DB8-316F-40D1-9AD8-4CDE9D76D5E9}"/>
    <cellStyle name="Normal 9 4" xfId="33364" xr:uid="{D43ED332-0A6D-4394-A62D-4EB113DA3AC5}"/>
    <cellStyle name="normal cell" xfId="289" xr:uid="{00000000-0005-0000-0000-0000AA810000}"/>
    <cellStyle name="Normal_4PAGE_4R 2 2" xfId="3" xr:uid="{00000000-0005-0000-0000-0000AB810000}"/>
    <cellStyle name="Normal_ExportArbNAPP" xfId="33236" xr:uid="{00000000-0005-0000-0000-0000AE810000}"/>
    <cellStyle name="Note" xfId="18" builtinId="10" customBuiltin="1"/>
    <cellStyle name="Note 2" xfId="33365" xr:uid="{20849DA2-F116-48FB-A504-1205D60AE0A4}"/>
    <cellStyle name="Note 2 2" xfId="33366" xr:uid="{3943939E-2A02-4CCB-97A9-3EBB9A56C35C}"/>
    <cellStyle name="Note 2 3" xfId="33367" xr:uid="{3512CA67-4032-4B27-883F-29B7D7D0A8E5}"/>
    <cellStyle name="Output" xfId="13" builtinId="21" customBuiltin="1"/>
    <cellStyle name="Output 2" xfId="33368" xr:uid="{8CBD2E6C-DDC2-4A61-8FD1-D2918BB4375E}"/>
    <cellStyle name="Percent" xfId="1" builtinId="5"/>
    <cellStyle name="Percent 2" xfId="50" xr:uid="{00000000-0005-0000-0000-0000B4810000}"/>
    <cellStyle name="Percent 2 2" xfId="33207" xr:uid="{00000000-0005-0000-0000-0000B5810000}"/>
    <cellStyle name="Percent 2 2 2" xfId="33370" xr:uid="{7927ECD6-244B-4751-A4AA-ED63CF32A4E6}"/>
    <cellStyle name="Percent 2 3" xfId="33435" xr:uid="{966E0D04-08E8-4E32-8676-DC3057858806}"/>
    <cellStyle name="Percent 2 4" xfId="33369" xr:uid="{98F0BB00-ADEB-4BB5-8712-77E4FDA92E00}"/>
    <cellStyle name="Percent 3" xfId="33468" xr:uid="{90C9881D-564A-4EBF-AF39-8801B8AF0304}"/>
    <cellStyle name="phx-col-head" xfId="33201" xr:uid="{00000000-0005-0000-0000-0000B6810000}"/>
    <cellStyle name="phx-col-head 2" xfId="33216" xr:uid="{00000000-0005-0000-0000-0000B7810000}"/>
    <cellStyle name="phx-col-head-last" xfId="33200" xr:uid="{00000000-0005-0000-0000-0000B8810000}"/>
    <cellStyle name="phx-col-head-last 2" xfId="33217" xr:uid="{00000000-0005-0000-0000-0000B9810000}"/>
    <cellStyle name="phx-col-head-last_Correlations" xfId="33228" xr:uid="{00000000-0005-0000-0000-0000BA810000}"/>
    <cellStyle name="phx-header" xfId="33203" xr:uid="{00000000-0005-0000-0000-0000BB810000}"/>
    <cellStyle name="phx-header 2" xfId="33213" xr:uid="{00000000-0005-0000-0000-0000BC810000}"/>
    <cellStyle name="phx-header_Correlations" xfId="33229" xr:uid="{00000000-0005-0000-0000-0000BD810000}"/>
    <cellStyle name="phx-HL-cell" xfId="33194" xr:uid="{00000000-0005-0000-0000-0000BE810000}"/>
    <cellStyle name="phx-HL-cell 2" xfId="33223" xr:uid="{00000000-0005-0000-0000-0000BF810000}"/>
    <cellStyle name="phx-HL-cell_Correlations" xfId="33230" xr:uid="{00000000-0005-0000-0000-0000C0810000}"/>
    <cellStyle name="phx-HL-row" xfId="33199" xr:uid="{00000000-0005-0000-0000-0000C1810000}"/>
    <cellStyle name="phx-HL-row 2" xfId="33218" xr:uid="{00000000-0005-0000-0000-0000C2810000}"/>
    <cellStyle name="phx-HL-row_Correlations" xfId="33231" xr:uid="{00000000-0005-0000-0000-0000C3810000}"/>
    <cellStyle name="phx-level1" xfId="33198" xr:uid="{00000000-0005-0000-0000-0000C4810000}"/>
    <cellStyle name="phx-level1 2" xfId="33219" xr:uid="{00000000-0005-0000-0000-0000C5810000}"/>
    <cellStyle name="phx-level2" xfId="33197" xr:uid="{00000000-0005-0000-0000-0000C6810000}"/>
    <cellStyle name="phx-level2 2" xfId="33220" xr:uid="{00000000-0005-0000-0000-0000C7810000}"/>
    <cellStyle name="phx-level3" xfId="33196" xr:uid="{00000000-0005-0000-0000-0000C8810000}"/>
    <cellStyle name="phx-level3 2" xfId="33221" xr:uid="{00000000-0005-0000-0000-0000C9810000}"/>
    <cellStyle name="phx-level4" xfId="33195" xr:uid="{00000000-0005-0000-0000-0000CA810000}"/>
    <cellStyle name="phx-level4 2" xfId="33222" xr:uid="{00000000-0005-0000-0000-0000CB810000}"/>
    <cellStyle name="phx-note" xfId="33192" xr:uid="{00000000-0005-0000-0000-0000CC810000}"/>
    <cellStyle name="phx-note 2" xfId="33225" xr:uid="{00000000-0005-0000-0000-0000CD810000}"/>
    <cellStyle name="phx-note_Correlations" xfId="33232" xr:uid="{00000000-0005-0000-0000-0000CE810000}"/>
    <cellStyle name="phx-source" xfId="33191" xr:uid="{00000000-0005-0000-0000-0000CF810000}"/>
    <cellStyle name="phx-source 2" xfId="33226" xr:uid="{00000000-0005-0000-0000-0000D0810000}"/>
    <cellStyle name="phx-source_Correlations" xfId="33233" xr:uid="{00000000-0005-0000-0000-0000D1810000}"/>
    <cellStyle name="phx-subhead" xfId="33202" xr:uid="{00000000-0005-0000-0000-0000D2810000}"/>
    <cellStyle name="phx-subhead 2" xfId="33215" xr:uid="{00000000-0005-0000-0000-0000D3810000}"/>
    <cellStyle name="phx-subhead_Correlations" xfId="33234" xr:uid="{00000000-0005-0000-0000-0000D4810000}"/>
    <cellStyle name="phx-total-row" xfId="33193" xr:uid="{00000000-0005-0000-0000-0000D5810000}"/>
    <cellStyle name="phx-total-row 2" xfId="33224" xr:uid="{00000000-0005-0000-0000-0000D6810000}"/>
    <cellStyle name="phx-total-row_Correlations" xfId="33235" xr:uid="{00000000-0005-0000-0000-0000D7810000}"/>
    <cellStyle name="Standard_BAFA-Forwards_1" xfId="33371" xr:uid="{42D5D302-FB69-4FC2-B13E-98326C40E3EF}"/>
    <cellStyle name="Style 21" xfId="69" xr:uid="{00000000-0005-0000-0000-0000D8810000}"/>
    <cellStyle name="Style 22" xfId="70" xr:uid="{00000000-0005-0000-0000-0000D9810000}"/>
    <cellStyle name="Style 22 2" xfId="33237" xr:uid="{EC128898-9924-4DB9-AEA1-192EDD8C3C0E}"/>
    <cellStyle name="Style 23" xfId="33238" xr:uid="{C55465E7-7BED-4404-B545-66D5D2C1B495}"/>
    <cellStyle name="Style 24" xfId="33239" xr:uid="{0C7BDC58-2116-4191-AD64-4FD3F9F4E550}"/>
    <cellStyle name="Style 25" xfId="33240" xr:uid="{12410819-356F-4213-AA0B-C683676C3147}"/>
    <cellStyle name="Style 26" xfId="33241" xr:uid="{0ED4DE1A-BDD0-48C1-89AB-8EAECBA3427E}"/>
    <cellStyle name="Style 26 2" xfId="33441" xr:uid="{95ED814E-2FFA-4D7C-BBFF-8C0E76D9A985}"/>
    <cellStyle name="Style 26 3" xfId="33476" xr:uid="{C3966AE9-D4FE-401C-AE36-DB4F9530D6FC}"/>
    <cellStyle name="Style 27" xfId="33242" xr:uid="{5D7F8D73-35C4-4A49-95F5-0708629A2171}"/>
    <cellStyle name="Style 27 2" xfId="33440" xr:uid="{8BF7C4FE-B62E-4471-9080-CED0678E1A9D}"/>
    <cellStyle name="Style 27 3" xfId="33475" xr:uid="{7EF28112-7F92-4AD0-9D8D-A5B8E5AEEEB6}"/>
    <cellStyle name="Style 28" xfId="33243" xr:uid="{4FA7F4B2-283D-4ECA-81DD-C36869FEBCC4}"/>
    <cellStyle name="Style 28 2" xfId="33439" xr:uid="{34EAA9A1-C5A2-4767-A269-51776698E953}"/>
    <cellStyle name="Style 28 3" xfId="33474" xr:uid="{ABC08F8C-6475-4C94-AFE6-5C63233B084D}"/>
    <cellStyle name="Style 29" xfId="33244" xr:uid="{E448A6D5-CF21-4822-BE1F-5CF7AAC0A48A}"/>
    <cellStyle name="Style 30" xfId="33245" xr:uid="{E4CED126-87AF-4385-96E5-001C7AE4F41A}"/>
    <cellStyle name="Style 31" xfId="33246" xr:uid="{0965024A-2F56-4879-9228-D568DF73826C}"/>
    <cellStyle name="Style 32" xfId="33247" xr:uid="{FF3F8937-6BF7-4558-82F6-67D32F4BE553}"/>
    <cellStyle name="Style 32 2" xfId="33438" xr:uid="{F1893ED1-2202-4DCB-840B-27474098F057}"/>
    <cellStyle name="Style 32 3" xfId="33473" xr:uid="{210F6F73-226A-40EA-B3F0-6ECFF8814102}"/>
    <cellStyle name="Style 33" xfId="33248" xr:uid="{326F4C42-8577-4A06-A61E-CD40DD61632C}"/>
    <cellStyle name="Style 33 2" xfId="33437" xr:uid="{2D3B8F95-EEB6-4903-A81F-35D615C91FE3}"/>
    <cellStyle name="Style 33 3" xfId="33472" xr:uid="{EE4B1686-BF1C-40D4-AA28-F6C1FB542D65}"/>
    <cellStyle name="Style 34" xfId="33249" xr:uid="{4BA3361C-716E-4AFF-AA11-6C9152B02E35}"/>
    <cellStyle name="Style 34 2" xfId="33469" xr:uid="{7CA2B51C-E4E3-4D25-8FC1-DCE234573429}"/>
    <cellStyle name="Style 34 3" xfId="33471" xr:uid="{9020BD3D-E7D1-4732-BF3C-6FD591859AB8}"/>
    <cellStyle name="Style 35" xfId="33250" xr:uid="{93FE3C5F-B54A-4D23-958F-7FDDE1DE56F5}"/>
    <cellStyle name="Style 36" xfId="33251" xr:uid="{22C33854-9D58-40DC-B402-447F14EC37ED}"/>
    <cellStyle name="Style 37" xfId="33252" xr:uid="{24432652-3DE0-460B-8117-63F69E169D59}"/>
    <cellStyle name="Style 38" xfId="33253" xr:uid="{F44AA1F2-81F9-4F41-8B0D-1157C3B51C82}"/>
    <cellStyle name="Title" xfId="4" builtinId="15" customBuiltin="1"/>
    <cellStyle name="Title 2" xfId="33372" xr:uid="{641EA892-1A4A-4C53-B470-6587B991B09D}"/>
    <cellStyle name="Total" xfId="20" builtinId="25" customBuiltin="1"/>
    <cellStyle name="Total 2" xfId="33373" xr:uid="{23E81A7F-431F-4A0A-940C-CF0DF551EAF5}"/>
    <cellStyle name="Warning Text" xfId="17" builtinId="11" customBuiltin="1"/>
    <cellStyle name="Warning Text 2" xfId="33374" xr:uid="{11BF42B7-DC64-45A1-BE60-F3119D904525}"/>
    <cellStyle name="好" xfId="33375" xr:uid="{03A6A9A6-E64B-4E42-BE66-9DD0BE9338A8}"/>
    <cellStyle name="差" xfId="33376" xr:uid="{A5B0D03F-4649-4F59-80D6-1D3106365682}"/>
    <cellStyle name="强调文字颜色 1" xfId="33377" xr:uid="{51DEF185-E243-4050-8CEC-D28AA8D62996}"/>
    <cellStyle name="强调文字颜色 2" xfId="33378" xr:uid="{7A237963-E66E-44CE-AFF8-0DCEFDE61DA7}"/>
    <cellStyle name="强调文字颜色 3" xfId="33379" xr:uid="{6D255B61-DE5B-425E-BE7D-D7E73906EE93}"/>
    <cellStyle name="强调文字颜色 4" xfId="33380" xr:uid="{2DB7D5C9-6D4A-494A-B34C-8E58D86D47C2}"/>
    <cellStyle name="强调文字颜色 5" xfId="33381" xr:uid="{65187CD3-9687-4032-B951-9E5568796ACA}"/>
    <cellStyle name="强调文字颜色 6" xfId="33382" xr:uid="{FE424A30-6511-486E-80EF-76E3F431A874}"/>
    <cellStyle name="标题" xfId="33383" xr:uid="{78405B7B-88E6-4C99-B6BC-2DB023547786}"/>
    <cellStyle name="标题 1" xfId="33384" xr:uid="{BC6C0296-562C-4B0A-B3D4-124A8CA0BBDD}"/>
    <cellStyle name="标题 2" xfId="33385" xr:uid="{A778E5C6-D0F4-4E06-A150-2E543AE98067}"/>
    <cellStyle name="标题 3" xfId="33386" xr:uid="{ADEC004A-A2A6-47C0-ABE2-97C6D17985D1}"/>
    <cellStyle name="标题 4" xfId="33387" xr:uid="{D7E3C592-36CC-462F-8BA2-774D83E2442C}"/>
    <cellStyle name="检查单元格" xfId="33388" xr:uid="{24B42D65-CAF4-44ED-853E-9215614B6737}"/>
    <cellStyle name="汇总" xfId="33389" xr:uid="{81B4154B-BB79-4551-B397-A11EDCE5C105}"/>
    <cellStyle name="注释" xfId="33390" xr:uid="{E8A72314-997B-4214-BC3F-6A1837FEF9A7}"/>
    <cellStyle name="解释性文本" xfId="33391" xr:uid="{B8241027-663F-4369-8500-E5751A5A7D95}"/>
    <cellStyle name="警告文本" xfId="33392" xr:uid="{DDB609FE-92AB-4AEA-B4D9-116418E4EA09}"/>
    <cellStyle name="计算" xfId="33393" xr:uid="{1FA75D92-D9BA-4530-8E03-9F7C29C82B61}"/>
    <cellStyle name="输入" xfId="33394" xr:uid="{9122749F-5053-4812-B422-8D9BBCC95972}"/>
    <cellStyle name="输出" xfId="33395" xr:uid="{FD9F7C6E-25A9-4BC8-87C4-5FE008EA752B}"/>
    <cellStyle name="适中" xfId="33396" xr:uid="{8BDFE56A-852D-47DF-B7E7-B2DB9CA618AB}"/>
    <cellStyle name="链接单元格" xfId="33397" xr:uid="{08BF9BFB-9540-40DE-8B72-3E4E20F864F3}"/>
  </cellStyles>
  <dxfs count="5">
    <dxf>
      <fill>
        <patternFill>
          <bgColor rgb="FFFFFF00"/>
        </patternFill>
      </fill>
    </dxf>
    <dxf>
      <fill>
        <patternFill>
          <bgColor rgb="FFFFFF00"/>
        </patternFill>
      </fill>
    </dxf>
    <dxf>
      <font>
        <color theme="0"/>
      </font>
      <fill>
        <patternFill>
          <bgColor theme="1"/>
        </patternFill>
      </fill>
      <border>
        <left style="thin">
          <color theme="0"/>
        </left>
        <right style="thin">
          <color theme="0"/>
        </right>
        <top style="thin">
          <color theme="0"/>
        </top>
        <bottom style="thin">
          <color theme="0"/>
        </bottom>
      </border>
    </dxf>
    <dxf>
      <font>
        <b/>
        <i val="0"/>
      </font>
      <fill>
        <patternFill>
          <bgColor rgb="FFFFFF00"/>
        </patternFill>
      </fill>
    </dxf>
    <dxf>
      <font>
        <color auto="1"/>
      </font>
      <fill>
        <patternFill patternType="none">
          <bgColor auto="1"/>
        </patternFill>
      </fill>
      <border>
        <left style="thin">
          <color auto="1"/>
        </left>
        <right style="thin">
          <color auto="1"/>
        </right>
        <top style="thin">
          <color auto="1"/>
        </top>
        <bottom style="thin">
          <color auto="1"/>
        </bottom>
        <vertical/>
        <horizontal/>
      </border>
    </dxf>
  </dxfs>
  <tableStyles count="2" defaultTableStyle="TableStyleMedium2" defaultPivotStyle="PivotStyleLight16">
    <tableStyle name="PivotTable Style 1" table="0" count="2" xr9:uid="{6D76ADBB-3EAC-40E2-A7C3-976AE0D50522}">
      <tableStyleElement type="wholeTable" dxfId="4"/>
      <tableStyleElement type="firstSubtotalRow" dxfId="3"/>
    </tableStyle>
    <tableStyle name="Slicer Style 1" pivot="0" table="0" count="1" xr9:uid="{9EBCA9E1-1091-4465-9C7D-6D3454F4C3DE}">
      <tableStyleElement type="wholeTable" dxfId="2"/>
    </tableStyle>
  </tableStyles>
  <colors>
    <mruColors>
      <color rgb="FF133D8D"/>
      <color rgb="FF3490FF"/>
      <color rgb="FF0373D9"/>
      <color rgb="FF606A70"/>
      <color rgb="FFF9AA6F"/>
      <color rgb="FF009DDC"/>
      <color rgb="FF8A9298"/>
      <color rgb="FF666666"/>
      <color rgb="FFD27C26"/>
      <color rgb="FF1C1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01608033053332"/>
          <c:y val="0.14303761125466552"/>
          <c:w val="0.7763921766261348"/>
          <c:h val="0.56387673763001844"/>
        </c:manualLayout>
      </c:layout>
      <c:lineChart>
        <c:grouping val="standard"/>
        <c:varyColors val="0"/>
        <c:ser>
          <c:idx val="0"/>
          <c:order val="0"/>
          <c:tx>
            <c:strRef>
              <c:f>'Natural Gas'!$K$4</c:f>
              <c:strCache>
                <c:ptCount val="1"/>
                <c:pt idx="0">
                  <c:v>MO</c:v>
                </c:pt>
              </c:strCache>
            </c:strRef>
          </c:tx>
          <c:spPr>
            <a:ln w="19050">
              <a:solidFill>
                <a:srgbClr val="02A3D5"/>
              </a:solidFill>
            </a:ln>
          </c:spPr>
          <c:marker>
            <c:symbol val="none"/>
          </c:marker>
          <c:cat>
            <c:numRef>
              <c:f>'Natural Gas'!$J$5:$J$27</c:f>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f>'Natural Gas'!$K$5:$K$27</c:f>
              <c:numCache>
                <c:formatCode>"$"#,##0.00</c:formatCode>
                <c:ptCount val="23"/>
                <c:pt idx="0">
                  <c:v>8.73</c:v>
                </c:pt>
                <c:pt idx="1">
                  <c:v>9.33</c:v>
                </c:pt>
                <c:pt idx="2">
                  <c:v>9.24</c:v>
                </c:pt>
                <c:pt idx="3">
                  <c:v>9.19</c:v>
                </c:pt>
                <c:pt idx="4">
                  <c:v>9.34</c:v>
                </c:pt>
                <c:pt idx="5">
                  <c:v>9.68</c:v>
                </c:pt>
                <c:pt idx="6">
                  <c:v>9.19</c:v>
                </c:pt>
                <c:pt idx="7">
                  <c:v>9.33</c:v>
                </c:pt>
                <c:pt idx="8">
                  <c:v>9.3800000000000008</c:v>
                </c:pt>
                <c:pt idx="9">
                  <c:v>9.3000000000000007</c:v>
                </c:pt>
                <c:pt idx="10">
                  <c:v>9.34</c:v>
                </c:pt>
                <c:pt idx="11">
                  <c:v>9.0399999999999991</c:v>
                </c:pt>
                <c:pt idx="12">
                  <c:v>9.1300000000000008</c:v>
                </c:pt>
                <c:pt idx="13">
                  <c:v>9.26</c:v>
                </c:pt>
                <c:pt idx="14">
                  <c:v>8.7899999999999991</c:v>
                </c:pt>
                <c:pt idx="15">
                  <c:v>8.15</c:v>
                </c:pt>
                <c:pt idx="16">
                  <c:v>7.84</c:v>
                </c:pt>
                <c:pt idx="17">
                  <c:v>7.92</c:v>
                </c:pt>
                <c:pt idx="18">
                  <c:v>8</c:v>
                </c:pt>
                <c:pt idx="19">
                  <c:v>8.25</c:v>
                </c:pt>
                <c:pt idx="20">
                  <c:v>8.2799999999999994</c:v>
                </c:pt>
                <c:pt idx="21">
                  <c:v>9.11</c:v>
                </c:pt>
                <c:pt idx="22">
                  <c:v>8.32</c:v>
                </c:pt>
              </c:numCache>
            </c:numRef>
          </c:val>
          <c:smooth val="0"/>
          <c:extLst>
            <c:ext xmlns:c16="http://schemas.microsoft.com/office/drawing/2014/chart" uri="{C3380CC4-5D6E-409C-BE32-E72D297353CC}">
              <c16:uniqueId val="{00000000-E404-4F7D-B6CF-747A0C246259}"/>
            </c:ext>
          </c:extLst>
        </c:ser>
        <c:ser>
          <c:idx val="2"/>
          <c:order val="2"/>
          <c:tx>
            <c:strRef>
              <c:f>'Natural Gas'!$M$4</c:f>
              <c:strCache>
                <c:ptCount val="1"/>
                <c:pt idx="0">
                  <c:v>QT</c:v>
                </c:pt>
              </c:strCache>
            </c:strRef>
          </c:tx>
          <c:spPr>
            <a:ln w="19050">
              <a:solidFill>
                <a:srgbClr val="00162B"/>
              </a:solidFill>
            </a:ln>
          </c:spPr>
          <c:marker>
            <c:symbol val="none"/>
          </c:marker>
          <c:cat>
            <c:numRef>
              <c:f>'Natural Gas'!$J$5:$J$27</c:f>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f>'Natural Gas'!$M$5:$M$27</c:f>
              <c:numCache>
                <c:formatCode>"$"#,##0.00</c:formatCode>
                <c:ptCount val="23"/>
                <c:pt idx="0">
                  <c:v>8.8000000000000007</c:v>
                </c:pt>
                <c:pt idx="1">
                  <c:v>9.3800000000000008</c:v>
                </c:pt>
                <c:pt idx="2">
                  <c:v>9.31</c:v>
                </c:pt>
                <c:pt idx="3">
                  <c:v>9.25</c:v>
                </c:pt>
                <c:pt idx="4">
                  <c:v>9.4</c:v>
                </c:pt>
                <c:pt idx="5">
                  <c:v>9.7200000000000006</c:v>
                </c:pt>
                <c:pt idx="6">
                  <c:v>9.24</c:v>
                </c:pt>
                <c:pt idx="7">
                  <c:v>9.39</c:v>
                </c:pt>
                <c:pt idx="8">
                  <c:v>9.44</c:v>
                </c:pt>
                <c:pt idx="9">
                  <c:v>9.36</c:v>
                </c:pt>
                <c:pt idx="10">
                  <c:v>8.8179999999999996</c:v>
                </c:pt>
                <c:pt idx="11">
                  <c:v>8.6</c:v>
                </c:pt>
                <c:pt idx="12">
                  <c:v>8.69</c:v>
                </c:pt>
                <c:pt idx="13">
                  <c:v>9.36</c:v>
                </c:pt>
                <c:pt idx="14">
                  <c:v>8.8800000000000008</c:v>
                </c:pt>
                <c:pt idx="15">
                  <c:v>8.24</c:v>
                </c:pt>
                <c:pt idx="16">
                  <c:v>7.93</c:v>
                </c:pt>
                <c:pt idx="17">
                  <c:v>8</c:v>
                </c:pt>
                <c:pt idx="18">
                  <c:v>8.07</c:v>
                </c:pt>
                <c:pt idx="19">
                  <c:v>8.32</c:v>
                </c:pt>
                <c:pt idx="20">
                  <c:v>8.3699999999999992</c:v>
                </c:pt>
                <c:pt idx="21">
                  <c:v>9.1999999999999993</c:v>
                </c:pt>
                <c:pt idx="22">
                  <c:v>8.41</c:v>
                </c:pt>
              </c:numCache>
            </c:numRef>
          </c:val>
          <c:smooth val="0"/>
          <c:extLst>
            <c:ext xmlns:c16="http://schemas.microsoft.com/office/drawing/2014/chart" uri="{C3380CC4-5D6E-409C-BE32-E72D297353CC}">
              <c16:uniqueId val="{00000002-06C6-4388-B78B-51EC526ED491}"/>
            </c:ext>
          </c:extLst>
        </c:ser>
        <c:ser>
          <c:idx val="5"/>
          <c:order val="5"/>
          <c:tx>
            <c:strRef>
              <c:f>'Natural Gas'!$P$4</c:f>
              <c:strCache>
                <c:ptCount val="1"/>
                <c:pt idx="0">
                  <c:v>YR</c:v>
                </c:pt>
              </c:strCache>
            </c:strRef>
          </c:tx>
          <c:spPr>
            <a:ln w="19050">
              <a:solidFill>
                <a:srgbClr val="CED1D0"/>
              </a:solidFill>
            </a:ln>
          </c:spPr>
          <c:marker>
            <c:symbol val="none"/>
          </c:marker>
          <c:cat>
            <c:numRef>
              <c:f>'Natural Gas'!$J$5:$J$27</c:f>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f>'Natural Gas'!$P$5:$P$27</c:f>
              <c:numCache>
                <c:formatCode>"$"#,##0.00</c:formatCode>
                <c:ptCount val="23"/>
                <c:pt idx="0">
                  <c:v>6.09</c:v>
                </c:pt>
                <c:pt idx="1">
                  <c:v>6.37</c:v>
                </c:pt>
                <c:pt idx="2">
                  <c:v>6.34</c:v>
                </c:pt>
                <c:pt idx="3">
                  <c:v>6.38</c:v>
                </c:pt>
                <c:pt idx="4">
                  <c:v>6.39</c:v>
                </c:pt>
                <c:pt idx="5">
                  <c:v>6.53</c:v>
                </c:pt>
                <c:pt idx="6">
                  <c:v>6.41</c:v>
                </c:pt>
                <c:pt idx="7">
                  <c:v>6.47</c:v>
                </c:pt>
                <c:pt idx="8">
                  <c:v>6.55</c:v>
                </c:pt>
                <c:pt idx="9">
                  <c:v>6.56</c:v>
                </c:pt>
                <c:pt idx="10">
                  <c:v>6.66</c:v>
                </c:pt>
                <c:pt idx="11">
                  <c:v>6.58</c:v>
                </c:pt>
                <c:pt idx="12">
                  <c:v>6.61</c:v>
                </c:pt>
                <c:pt idx="13">
                  <c:v>6.69</c:v>
                </c:pt>
                <c:pt idx="14">
                  <c:v>6.54</c:v>
                </c:pt>
                <c:pt idx="15">
                  <c:v>6.27</c:v>
                </c:pt>
                <c:pt idx="16">
                  <c:v>5.95</c:v>
                </c:pt>
                <c:pt idx="17">
                  <c:v>5.99</c:v>
                </c:pt>
                <c:pt idx="18">
                  <c:v>6.06</c:v>
                </c:pt>
                <c:pt idx="19">
                  <c:v>6.16</c:v>
                </c:pt>
                <c:pt idx="20">
                  <c:v>6.21</c:v>
                </c:pt>
                <c:pt idx="21">
                  <c:v>6.65</c:v>
                </c:pt>
                <c:pt idx="22">
                  <c:v>6.39</c:v>
                </c:pt>
              </c:numCache>
            </c:numRef>
          </c:val>
          <c:smooth val="0"/>
          <c:extLst>
            <c:ext xmlns:c16="http://schemas.microsoft.com/office/drawing/2014/chart" uri="{C3380CC4-5D6E-409C-BE32-E72D297353CC}">
              <c16:uniqueId val="{00000005-06C6-4388-B78B-51EC526ED491}"/>
            </c:ext>
          </c:extLst>
        </c:ser>
        <c:ser>
          <c:idx val="6"/>
          <c:order val="6"/>
          <c:tx>
            <c:strRef>
              <c:f>'Natural Gas'!$Q$4</c:f>
              <c:strCache>
                <c:ptCount val="1"/>
                <c:pt idx="0">
                  <c:v>YR+1</c:v>
                </c:pt>
              </c:strCache>
            </c:strRef>
          </c:tx>
          <c:spPr>
            <a:ln w="19050">
              <a:solidFill>
                <a:srgbClr val="1B6EBF"/>
              </a:solidFill>
            </a:ln>
          </c:spPr>
          <c:marker>
            <c:symbol val="none"/>
          </c:marker>
          <c:cat>
            <c:numRef>
              <c:f>'Natural Gas'!$J$5:$J$27</c:f>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f>'Natural Gas'!$Q$5:$Q$27</c:f>
              <c:numCache>
                <c:formatCode>"$"#,##0.00</c:formatCode>
                <c:ptCount val="23"/>
                <c:pt idx="0">
                  <c:v>4.97</c:v>
                </c:pt>
                <c:pt idx="1">
                  <c:v>5.08</c:v>
                </c:pt>
                <c:pt idx="2">
                  <c:v>5.07</c:v>
                </c:pt>
                <c:pt idx="3">
                  <c:v>5.08</c:v>
                </c:pt>
                <c:pt idx="4">
                  <c:v>5.07</c:v>
                </c:pt>
                <c:pt idx="5">
                  <c:v>5.14</c:v>
                </c:pt>
                <c:pt idx="6">
                  <c:v>5.13</c:v>
                </c:pt>
                <c:pt idx="7">
                  <c:v>5.13</c:v>
                </c:pt>
                <c:pt idx="8">
                  <c:v>5.22</c:v>
                </c:pt>
                <c:pt idx="9">
                  <c:v>5.24</c:v>
                </c:pt>
                <c:pt idx="10">
                  <c:v>5.31</c:v>
                </c:pt>
                <c:pt idx="11">
                  <c:v>5.29</c:v>
                </c:pt>
                <c:pt idx="12">
                  <c:v>5.29</c:v>
                </c:pt>
                <c:pt idx="13">
                  <c:v>5.36</c:v>
                </c:pt>
                <c:pt idx="14">
                  <c:v>5.32</c:v>
                </c:pt>
                <c:pt idx="15">
                  <c:v>5.22</c:v>
                </c:pt>
                <c:pt idx="16">
                  <c:v>5.0199999999999996</c:v>
                </c:pt>
                <c:pt idx="17">
                  <c:v>4.9800000000000004</c:v>
                </c:pt>
                <c:pt idx="18">
                  <c:v>5.05</c:v>
                </c:pt>
                <c:pt idx="19">
                  <c:v>5.08</c:v>
                </c:pt>
                <c:pt idx="20">
                  <c:v>5.12</c:v>
                </c:pt>
                <c:pt idx="21">
                  <c:v>5.29</c:v>
                </c:pt>
                <c:pt idx="22">
                  <c:v>5.23</c:v>
                </c:pt>
              </c:numCache>
            </c:numRef>
          </c:val>
          <c:smooth val="0"/>
          <c:extLst>
            <c:ext xmlns:c16="http://schemas.microsoft.com/office/drawing/2014/chart" uri="{C3380CC4-5D6E-409C-BE32-E72D297353CC}">
              <c16:uniqueId val="{00000006-06C6-4388-B78B-51EC526ED491}"/>
            </c:ext>
          </c:extLst>
        </c:ser>
        <c:dLbls>
          <c:showLegendKey val="0"/>
          <c:showVal val="0"/>
          <c:showCatName val="0"/>
          <c:showSerName val="0"/>
          <c:showPercent val="0"/>
          <c:showBubbleSize val="0"/>
        </c:dLbls>
        <c:smooth val="0"/>
        <c:axId val="935302152"/>
        <c:axId val="935299016"/>
        <c:extLst>
          <c:ext xmlns:c15="http://schemas.microsoft.com/office/drawing/2012/chart" uri="{02D57815-91ED-43cb-92C2-25804820EDAC}">
            <c15:filteredLineSeries>
              <c15:ser>
                <c:idx val="1"/>
                <c:order val="1"/>
                <c:tx>
                  <c:strRef>
                    <c:extLst>
                      <c:ext uri="{02D57815-91ED-43cb-92C2-25804820EDAC}">
                        <c15:formulaRef>
                          <c15:sqref>'Natural Gas'!$L$4</c15:sqref>
                        </c15:formulaRef>
                      </c:ext>
                    </c:extLst>
                    <c:strCache>
                      <c:ptCount val="1"/>
                      <c:pt idx="0">
                        <c:v>MO+1</c:v>
                      </c:pt>
                    </c:strCache>
                  </c:strRef>
                </c:tx>
                <c:marker>
                  <c:symbol val="none"/>
                </c:marker>
                <c:cat>
                  <c:numRef>
                    <c:extLst>
                      <c:ex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c:ext uri="{02D57815-91ED-43cb-92C2-25804820EDAC}">
                        <c15:formulaRef>
                          <c15:sqref>'Natural Gas'!$L$5:$L$27</c15:sqref>
                        </c15:formulaRef>
                      </c:ext>
                    </c:extLst>
                    <c:numCache>
                      <c:formatCode>"$"#,##0.00</c:formatCode>
                      <c:ptCount val="23"/>
                      <c:pt idx="0">
                        <c:v>8.7100000000000009</c:v>
                      </c:pt>
                      <c:pt idx="1">
                        <c:v>9.31</c:v>
                      </c:pt>
                      <c:pt idx="2">
                        <c:v>9.23</c:v>
                      </c:pt>
                      <c:pt idx="3">
                        <c:v>9.17</c:v>
                      </c:pt>
                      <c:pt idx="4">
                        <c:v>9.32</c:v>
                      </c:pt>
                      <c:pt idx="5">
                        <c:v>9.65</c:v>
                      </c:pt>
                      <c:pt idx="6">
                        <c:v>9.16</c:v>
                      </c:pt>
                      <c:pt idx="7">
                        <c:v>9.3000000000000007</c:v>
                      </c:pt>
                      <c:pt idx="8">
                        <c:v>9.34</c:v>
                      </c:pt>
                      <c:pt idx="9">
                        <c:v>9.27</c:v>
                      </c:pt>
                      <c:pt idx="10">
                        <c:v>9.4</c:v>
                      </c:pt>
                      <c:pt idx="11">
                        <c:v>9.1</c:v>
                      </c:pt>
                      <c:pt idx="12">
                        <c:v>9.19</c:v>
                      </c:pt>
                      <c:pt idx="13">
                        <c:v>9.33</c:v>
                      </c:pt>
                      <c:pt idx="14">
                        <c:v>8.85</c:v>
                      </c:pt>
                      <c:pt idx="15">
                        <c:v>8.2100000000000009</c:v>
                      </c:pt>
                      <c:pt idx="16">
                        <c:v>7.9</c:v>
                      </c:pt>
                      <c:pt idx="17">
                        <c:v>7.97</c:v>
                      </c:pt>
                      <c:pt idx="18">
                        <c:v>8.0399999999999991</c:v>
                      </c:pt>
                      <c:pt idx="19">
                        <c:v>8.2899999999999991</c:v>
                      </c:pt>
                      <c:pt idx="20">
                        <c:v>8.33</c:v>
                      </c:pt>
                      <c:pt idx="21">
                        <c:v>9.17</c:v>
                      </c:pt>
                      <c:pt idx="22">
                        <c:v>8.3699999999999992</c:v>
                      </c:pt>
                    </c:numCache>
                  </c:numRef>
                </c:val>
                <c:smooth val="0"/>
                <c:extLst>
                  <c:ext xmlns:c16="http://schemas.microsoft.com/office/drawing/2014/chart" uri="{C3380CC4-5D6E-409C-BE32-E72D297353CC}">
                    <c16:uniqueId val="{00000001-06C6-4388-B78B-51EC526ED491}"/>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'Natural Gas'!$N$4</c15:sqref>
                        </c15:formulaRef>
                      </c:ext>
                    </c:extLst>
                    <c:strCache>
                      <c:ptCount val="1"/>
                      <c:pt idx="0">
                        <c:v>QT+1</c:v>
                      </c:pt>
                    </c:strCache>
                  </c:strRef>
                </c:tx>
                <c:marker>
                  <c:symbol val="none"/>
                </c:marker>
                <c:cat>
                  <c:numRef>
                    <c:extLst xmlns:c15="http://schemas.microsoft.com/office/drawing/2012/chart">
                      <c:ext xmlns:c15="http://schemas.microsoft.com/office/drawing/2012/char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xmlns:c15="http://schemas.microsoft.com/office/drawing/2012/chart">
                      <c:ext xmlns:c15="http://schemas.microsoft.com/office/drawing/2012/chart" uri="{02D57815-91ED-43cb-92C2-25804820EDAC}">
                        <c15:formulaRef>
                          <c15:sqref>'Natural Gas'!$N$5:$N$27</c15:sqref>
                        </c15:formulaRef>
                      </c:ext>
                    </c:extLst>
                    <c:numCache>
                      <c:formatCode>"$"#,##0.00</c:formatCode>
                      <c:ptCount val="23"/>
                      <c:pt idx="0">
                        <c:v>8.19</c:v>
                      </c:pt>
                      <c:pt idx="1">
                        <c:v>8.68</c:v>
                      </c:pt>
                      <c:pt idx="2">
                        <c:v>8.6199999999999992</c:v>
                      </c:pt>
                      <c:pt idx="3">
                        <c:v>8.59</c:v>
                      </c:pt>
                      <c:pt idx="4">
                        <c:v>8.69</c:v>
                      </c:pt>
                      <c:pt idx="5">
                        <c:v>8.9499999999999993</c:v>
                      </c:pt>
                      <c:pt idx="6">
                        <c:v>8.61</c:v>
                      </c:pt>
                      <c:pt idx="7">
                        <c:v>8.74</c:v>
                      </c:pt>
                      <c:pt idx="8">
                        <c:v>8.82</c:v>
                      </c:pt>
                      <c:pt idx="9">
                        <c:v>8.75</c:v>
                      </c:pt>
                      <c:pt idx="10">
                        <c:v>5.843</c:v>
                      </c:pt>
                      <c:pt idx="11">
                        <c:v>5.81</c:v>
                      </c:pt>
                      <c:pt idx="12">
                        <c:v>5.83</c:v>
                      </c:pt>
                      <c:pt idx="13">
                        <c:v>8.83</c:v>
                      </c:pt>
                      <c:pt idx="14">
                        <c:v>8.42</c:v>
                      </c:pt>
                      <c:pt idx="15">
                        <c:v>7.88</c:v>
                      </c:pt>
                      <c:pt idx="16">
                        <c:v>7.55</c:v>
                      </c:pt>
                      <c:pt idx="17">
                        <c:v>7.66</c:v>
                      </c:pt>
                      <c:pt idx="18">
                        <c:v>7.74</c:v>
                      </c:pt>
                      <c:pt idx="19">
                        <c:v>7.93</c:v>
                      </c:pt>
                      <c:pt idx="20">
                        <c:v>8</c:v>
                      </c:pt>
                      <c:pt idx="21">
                        <c:v>8.7799999999999994</c:v>
                      </c:pt>
                      <c:pt idx="22">
                        <c:v>8.07</c:v>
                      </c:pt>
                    </c:numCache>
                  </c:numRef>
                </c:val>
                <c:smooth val="0"/>
                <c:extLst xmlns:c15="http://schemas.microsoft.com/office/drawing/2012/chart">
                  <c:ext xmlns:c16="http://schemas.microsoft.com/office/drawing/2014/chart" uri="{C3380CC4-5D6E-409C-BE32-E72D297353CC}">
                    <c16:uniqueId val="{00000003-06C6-4388-B78B-51EC526ED491}"/>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'Natural Gas'!$O$4</c15:sqref>
                        </c15:formulaRef>
                      </c:ext>
                    </c:extLst>
                    <c:strCache>
                      <c:ptCount val="1"/>
                      <c:pt idx="0">
                        <c:v>QT+2</c:v>
                      </c:pt>
                    </c:strCache>
                  </c:strRef>
                </c:tx>
                <c:marker>
                  <c:symbol val="none"/>
                </c:marker>
                <c:cat>
                  <c:numRef>
                    <c:extLst xmlns:c15="http://schemas.microsoft.com/office/drawing/2012/chart">
                      <c:ext xmlns:c15="http://schemas.microsoft.com/office/drawing/2012/char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xmlns:c15="http://schemas.microsoft.com/office/drawing/2012/chart">
                      <c:ext xmlns:c15="http://schemas.microsoft.com/office/drawing/2012/chart" uri="{02D57815-91ED-43cb-92C2-25804820EDAC}">
                        <c15:formulaRef>
                          <c15:sqref>'Natural Gas'!$O$5:$O$27</c15:sqref>
                        </c15:formulaRef>
                      </c:ext>
                    </c:extLst>
                    <c:numCache>
                      <c:formatCode>"$"#,##0.00</c:formatCode>
                      <c:ptCount val="23"/>
                      <c:pt idx="0">
                        <c:v>5.29</c:v>
                      </c:pt>
                      <c:pt idx="1">
                        <c:v>5.53</c:v>
                      </c:pt>
                      <c:pt idx="2">
                        <c:v>5.49</c:v>
                      </c:pt>
                      <c:pt idx="3">
                        <c:v>5.56</c:v>
                      </c:pt>
                      <c:pt idx="4">
                        <c:v>5.54</c:v>
                      </c:pt>
                      <c:pt idx="5">
                        <c:v>5.64</c:v>
                      </c:pt>
                      <c:pt idx="6">
                        <c:v>5.59</c:v>
                      </c:pt>
                      <c:pt idx="7">
                        <c:v>5.63</c:v>
                      </c:pt>
                      <c:pt idx="8">
                        <c:v>5.7</c:v>
                      </c:pt>
                      <c:pt idx="9">
                        <c:v>5.75</c:v>
                      </c:pt>
                      <c:pt idx="10">
                        <c:v>5.8680000000000003</c:v>
                      </c:pt>
                      <c:pt idx="11">
                        <c:v>5.83</c:v>
                      </c:pt>
                      <c:pt idx="12">
                        <c:v>5.85</c:v>
                      </c:pt>
                      <c:pt idx="13">
                        <c:v>5.89</c:v>
                      </c:pt>
                      <c:pt idx="14">
                        <c:v>5.8</c:v>
                      </c:pt>
                      <c:pt idx="15">
                        <c:v>5.61</c:v>
                      </c:pt>
                      <c:pt idx="16">
                        <c:v>5.28</c:v>
                      </c:pt>
                      <c:pt idx="17">
                        <c:v>5.31</c:v>
                      </c:pt>
                      <c:pt idx="18">
                        <c:v>5.38</c:v>
                      </c:pt>
                      <c:pt idx="19">
                        <c:v>5.46</c:v>
                      </c:pt>
                      <c:pt idx="20">
                        <c:v>5.51</c:v>
                      </c:pt>
                      <c:pt idx="21">
                        <c:v>5.85</c:v>
                      </c:pt>
                      <c:pt idx="22">
                        <c:v>5.71</c:v>
                      </c:pt>
                    </c:numCache>
                  </c:numRef>
                </c:val>
                <c:smooth val="0"/>
                <c:extLst xmlns:c15="http://schemas.microsoft.com/office/drawing/2012/chart">
                  <c:ext xmlns:c16="http://schemas.microsoft.com/office/drawing/2014/chart" uri="{C3380CC4-5D6E-409C-BE32-E72D297353CC}">
                    <c16:uniqueId val="{00000004-06C6-4388-B78B-51EC526ED49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'Natural Gas'!$R$4</c15:sqref>
                        </c15:formulaRef>
                      </c:ext>
                    </c:extLst>
                    <c:strCache>
                      <c:ptCount val="1"/>
                      <c:pt idx="0">
                        <c:v>YR+2</c:v>
                      </c:pt>
                    </c:strCache>
                  </c:strRef>
                </c:tx>
                <c:marker>
                  <c:symbol val="none"/>
                </c:marker>
                <c:cat>
                  <c:numRef>
                    <c:extLst xmlns:c15="http://schemas.microsoft.com/office/drawing/2012/chart">
                      <c:ext xmlns:c15="http://schemas.microsoft.com/office/drawing/2012/char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xmlns:c15="http://schemas.microsoft.com/office/drawing/2012/chart">
                      <c:ext xmlns:c15="http://schemas.microsoft.com/office/drawing/2012/chart" uri="{02D57815-91ED-43cb-92C2-25804820EDAC}">
                        <c15:formulaRef>
                          <c15:sqref>'Natural Gas'!$R$5:$R$27</c15:sqref>
                        </c15:formulaRef>
                      </c:ext>
                    </c:extLst>
                    <c:numCache>
                      <c:formatCode>"$"#,##0.00</c:formatCode>
                      <c:ptCount val="23"/>
                      <c:pt idx="0">
                        <c:v>4.72</c:v>
                      </c:pt>
                      <c:pt idx="1">
                        <c:v>4.7699999999999996</c:v>
                      </c:pt>
                      <c:pt idx="2">
                        <c:v>4.74</c:v>
                      </c:pt>
                      <c:pt idx="3">
                        <c:v>4.75</c:v>
                      </c:pt>
                      <c:pt idx="4">
                        <c:v>4.76</c:v>
                      </c:pt>
                      <c:pt idx="5">
                        <c:v>4.82</c:v>
                      </c:pt>
                      <c:pt idx="6">
                        <c:v>4.8099999999999996</c:v>
                      </c:pt>
                      <c:pt idx="7">
                        <c:v>4.8099999999999996</c:v>
                      </c:pt>
                      <c:pt idx="8">
                        <c:v>4.88</c:v>
                      </c:pt>
                      <c:pt idx="9">
                        <c:v>4.9000000000000004</c:v>
                      </c:pt>
                      <c:pt idx="10">
                        <c:v>4.92</c:v>
                      </c:pt>
                      <c:pt idx="11">
                        <c:v>4.92</c:v>
                      </c:pt>
                      <c:pt idx="12">
                        <c:v>4.96</c:v>
                      </c:pt>
                      <c:pt idx="13">
                        <c:v>5.03</c:v>
                      </c:pt>
                      <c:pt idx="14">
                        <c:v>5.05</c:v>
                      </c:pt>
                      <c:pt idx="15">
                        <c:v>5</c:v>
                      </c:pt>
                      <c:pt idx="16">
                        <c:v>4.88</c:v>
                      </c:pt>
                      <c:pt idx="17">
                        <c:v>4.82</c:v>
                      </c:pt>
                      <c:pt idx="18">
                        <c:v>4.87</c:v>
                      </c:pt>
                      <c:pt idx="19">
                        <c:v>4.9000000000000004</c:v>
                      </c:pt>
                      <c:pt idx="20">
                        <c:v>4.93</c:v>
                      </c:pt>
                      <c:pt idx="21">
                        <c:v>5.0199999999999996</c:v>
                      </c:pt>
                      <c:pt idx="22">
                        <c:v>4.97</c:v>
                      </c:pt>
                    </c:numCache>
                  </c:numRef>
                </c:val>
                <c:smooth val="0"/>
                <c:extLst xmlns:c15="http://schemas.microsoft.com/office/drawing/2012/chart">
                  <c:ext xmlns:c16="http://schemas.microsoft.com/office/drawing/2014/chart" uri="{C3380CC4-5D6E-409C-BE32-E72D297353CC}">
                    <c16:uniqueId val="{00000007-06C6-4388-B78B-51EC526ED491}"/>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'Natural Gas'!$S$4</c15:sqref>
                        </c15:formulaRef>
                      </c:ext>
                    </c:extLst>
                    <c:strCache>
                      <c:ptCount val="1"/>
                      <c:pt idx="0">
                        <c:v>YR+3</c:v>
                      </c:pt>
                    </c:strCache>
                  </c:strRef>
                </c:tx>
                <c:marker>
                  <c:symbol val="none"/>
                </c:marker>
                <c:cat>
                  <c:numRef>
                    <c:extLst xmlns:c15="http://schemas.microsoft.com/office/drawing/2012/chart">
                      <c:ext xmlns:c15="http://schemas.microsoft.com/office/drawing/2012/char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xmlns:c15="http://schemas.microsoft.com/office/drawing/2012/chart">
                      <c:ext xmlns:c15="http://schemas.microsoft.com/office/drawing/2012/chart" uri="{02D57815-91ED-43cb-92C2-25804820EDAC}">
                        <c15:formulaRef>
                          <c15:sqref>'Natural Gas'!$S$5:$S$27</c15:sqref>
                        </c15:formulaRef>
                      </c:ext>
                    </c:extLst>
                    <c:numCache>
                      <c:formatCode>"$"#,##0.00</c:formatCode>
                      <c:ptCount val="23"/>
                      <c:pt idx="0">
                        <c:v>4.6100000000000003</c:v>
                      </c:pt>
                      <c:pt idx="1">
                        <c:v>4.6500000000000004</c:v>
                      </c:pt>
                      <c:pt idx="2">
                        <c:v>4.62</c:v>
                      </c:pt>
                      <c:pt idx="3">
                        <c:v>4.62</c:v>
                      </c:pt>
                      <c:pt idx="4">
                        <c:v>4.6399999999999997</c:v>
                      </c:pt>
                      <c:pt idx="5">
                        <c:v>4.7</c:v>
                      </c:pt>
                      <c:pt idx="6">
                        <c:v>4.7</c:v>
                      </c:pt>
                      <c:pt idx="7">
                        <c:v>4.71</c:v>
                      </c:pt>
                      <c:pt idx="8">
                        <c:v>4.7699999999999996</c:v>
                      </c:pt>
                      <c:pt idx="9">
                        <c:v>4.8</c:v>
                      </c:pt>
                      <c:pt idx="10">
                        <c:v>4.8099999999999996</c:v>
                      </c:pt>
                      <c:pt idx="11">
                        <c:v>4.82</c:v>
                      </c:pt>
                      <c:pt idx="12">
                        <c:v>4.87</c:v>
                      </c:pt>
                      <c:pt idx="13">
                        <c:v>4.9400000000000004</c:v>
                      </c:pt>
                      <c:pt idx="14">
                        <c:v>4.99</c:v>
                      </c:pt>
                      <c:pt idx="15">
                        <c:v>4.97</c:v>
                      </c:pt>
                      <c:pt idx="16">
                        <c:v>4.88</c:v>
                      </c:pt>
                      <c:pt idx="17">
                        <c:v>4.8</c:v>
                      </c:pt>
                      <c:pt idx="18">
                        <c:v>4.8499999999999996</c:v>
                      </c:pt>
                      <c:pt idx="19">
                        <c:v>4.87</c:v>
                      </c:pt>
                      <c:pt idx="20">
                        <c:v>4.9000000000000004</c:v>
                      </c:pt>
                      <c:pt idx="21">
                        <c:v>4.9400000000000004</c:v>
                      </c:pt>
                      <c:pt idx="22">
                        <c:v>4.8899999999999997</c:v>
                      </c:pt>
                    </c:numCache>
                  </c:numRef>
                </c:val>
                <c:smooth val="0"/>
                <c:extLst xmlns:c15="http://schemas.microsoft.com/office/drawing/2012/chart">
                  <c:ext xmlns:c16="http://schemas.microsoft.com/office/drawing/2014/chart" uri="{C3380CC4-5D6E-409C-BE32-E72D297353CC}">
                    <c16:uniqueId val="{00000008-06C6-4388-B78B-51EC526ED491}"/>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'Natural Gas'!$T$4</c15:sqref>
                        </c15:formulaRef>
                      </c:ext>
                    </c:extLst>
                    <c:strCache>
                      <c:ptCount val="1"/>
                      <c:pt idx="0">
                        <c:v>YR+4</c:v>
                      </c:pt>
                    </c:strCache>
                  </c:strRef>
                </c:tx>
                <c:marker>
                  <c:symbol val="none"/>
                </c:marker>
                <c:cat>
                  <c:numRef>
                    <c:extLst xmlns:c15="http://schemas.microsoft.com/office/drawing/2012/chart">
                      <c:ext xmlns:c15="http://schemas.microsoft.com/office/drawing/2012/chart" uri="{02D57815-91ED-43cb-92C2-25804820EDAC}">
                        <c15:formulaRef>
                          <c15:sqref>'Natural Gas'!$J$5:$J$27</c15:sqref>
                        </c15:formulaRef>
                      </c:ext>
                    </c:extLst>
                    <c:numCache>
                      <c:formatCode>[$-409]dd\-mmm\-yy;@</c:formatCode>
                      <c:ptCount val="2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pt idx="21">
                        <c:v>44818</c:v>
                      </c:pt>
                      <c:pt idx="22">
                        <c:v>44819</c:v>
                      </c:pt>
                    </c:numCache>
                  </c:numRef>
                </c:cat>
                <c:val>
                  <c:numRef>
                    <c:extLst xmlns:c15="http://schemas.microsoft.com/office/drawing/2012/chart">
                      <c:ext xmlns:c15="http://schemas.microsoft.com/office/drawing/2012/chart" uri="{02D57815-91ED-43cb-92C2-25804820EDAC}">
                        <c15:formulaRef>
                          <c15:sqref>'Natural Gas'!$T$5:$T$27</c15:sqref>
                        </c15:formulaRef>
                      </c:ext>
                    </c:extLst>
                    <c:numCache>
                      <c:formatCode>"$"#,##0.00</c:formatCode>
                      <c:ptCount val="23"/>
                      <c:pt idx="0">
                        <c:v>4.55</c:v>
                      </c:pt>
                      <c:pt idx="1">
                        <c:v>4.59</c:v>
                      </c:pt>
                      <c:pt idx="2">
                        <c:v>4.57</c:v>
                      </c:pt>
                      <c:pt idx="3">
                        <c:v>4.58</c:v>
                      </c:pt>
                      <c:pt idx="4">
                        <c:v>4.59</c:v>
                      </c:pt>
                      <c:pt idx="5">
                        <c:v>4.6500000000000004</c:v>
                      </c:pt>
                      <c:pt idx="6">
                        <c:v>4.66</c:v>
                      </c:pt>
                      <c:pt idx="7">
                        <c:v>4.68</c:v>
                      </c:pt>
                      <c:pt idx="8">
                        <c:v>4.75</c:v>
                      </c:pt>
                      <c:pt idx="9">
                        <c:v>4.78</c:v>
                      </c:pt>
                      <c:pt idx="10">
                        <c:v>4.8</c:v>
                      </c:pt>
                      <c:pt idx="11">
                        <c:v>4.8099999999999996</c:v>
                      </c:pt>
                      <c:pt idx="12">
                        <c:v>4.8499999999999996</c:v>
                      </c:pt>
                      <c:pt idx="13">
                        <c:v>4.91</c:v>
                      </c:pt>
                      <c:pt idx="14">
                        <c:v>5</c:v>
                      </c:pt>
                      <c:pt idx="15">
                        <c:v>4.99</c:v>
                      </c:pt>
                      <c:pt idx="16">
                        <c:v>4.93</c:v>
                      </c:pt>
                      <c:pt idx="17">
                        <c:v>4.87</c:v>
                      </c:pt>
                      <c:pt idx="18">
                        <c:v>4.93</c:v>
                      </c:pt>
                      <c:pt idx="19">
                        <c:v>4.88</c:v>
                      </c:pt>
                      <c:pt idx="20">
                        <c:v>4.91</c:v>
                      </c:pt>
                      <c:pt idx="21">
                        <c:v>4.97</c:v>
                      </c:pt>
                      <c:pt idx="22">
                        <c:v>4.92</c:v>
                      </c:pt>
                    </c:numCache>
                  </c:numRef>
                </c:val>
                <c:smooth val="0"/>
                <c:extLst xmlns:c15="http://schemas.microsoft.com/office/drawing/2012/chart">
                  <c:ext xmlns:c16="http://schemas.microsoft.com/office/drawing/2014/chart" uri="{C3380CC4-5D6E-409C-BE32-E72D297353CC}">
                    <c16:uniqueId val="{00000009-06C6-4388-B78B-51EC526ED491}"/>
                  </c:ext>
                </c:extLst>
              </c15:ser>
            </c15:filteredLineSeries>
          </c:ext>
        </c:extLst>
      </c:lineChart>
      <c:dateAx>
        <c:axId val="935302152"/>
        <c:scaling>
          <c:orientation val="minMax"/>
        </c:scaling>
        <c:delete val="0"/>
        <c:axPos val="b"/>
        <c:numFmt formatCode="m/d;@"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2700000" vert="horz"/>
          <a:lstStyle/>
          <a:p>
            <a:pPr>
              <a:defRPr sz="700" b="0">
                <a:solidFill>
                  <a:srgbClr val="000000"/>
                </a:solidFill>
                <a:latin typeface="Arial"/>
                <a:ea typeface="Arial"/>
                <a:cs typeface="Arial"/>
              </a:defRPr>
            </a:pPr>
            <a:endParaRPr lang="en-US"/>
          </a:p>
        </c:txPr>
        <c:crossAx val="935299016"/>
        <c:crosses val="autoZero"/>
        <c:auto val="1"/>
        <c:lblOffset val="100"/>
        <c:baseTimeUnit val="days"/>
      </c:dateAx>
      <c:valAx>
        <c:axId val="935299016"/>
        <c:scaling>
          <c:orientation val="minMax"/>
          <c:min val="3.5"/>
        </c:scaling>
        <c:delete val="0"/>
        <c:axPos val="l"/>
        <c:majorGridlines>
          <c:spPr>
            <a:ln w="3175">
              <a:solidFill>
                <a:srgbClr val="DEE1E0"/>
              </a:solidFill>
              <a:prstDash val="solid"/>
            </a:ln>
          </c:spPr>
        </c:majorGridlines>
        <c:numFmt formatCode="&quot;$&quot;#,##0.0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935302152"/>
        <c:crosses val="autoZero"/>
        <c:crossBetween val="between"/>
        <c:majorUnit val="0.5"/>
      </c:valAx>
      <c:spPr>
        <a:noFill/>
        <a:ln>
          <a:noFill/>
        </a:ln>
      </c:spPr>
    </c:plotArea>
    <c:legend>
      <c:legendPos val="b"/>
      <c:layout>
        <c:manualLayout>
          <c:xMode val="edge"/>
          <c:yMode val="edge"/>
          <c:x val="0"/>
          <c:y val="0.83261556129773184"/>
          <c:w val="1"/>
          <c:h val="8.0390467987367209E-2"/>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40237060416502"/>
          <c:y val="0.1545219638242894"/>
          <c:w val="0.63544803045379672"/>
          <c:h val="0.4967443669024576"/>
        </c:manualLayout>
      </c:layout>
      <c:lineChart>
        <c:grouping val="standard"/>
        <c:varyColors val="0"/>
        <c:ser>
          <c:idx val="2"/>
          <c:order val="2"/>
          <c:tx>
            <c:strRef>
              <c:f>PRB_ILB_NAPP!$M$4</c:f>
              <c:strCache>
                <c:ptCount val="1"/>
                <c:pt idx="0">
                  <c:v>NAPP</c:v>
                </c:pt>
              </c:strCache>
            </c:strRef>
          </c:tx>
          <c:spPr>
            <a:ln>
              <a:solidFill>
                <a:srgbClr val="CED1D0"/>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PRB_ILB_NAPP!$M$5:$M$15</c:f>
              <c:numCache>
                <c:formatCode>0.00</c:formatCode>
                <c:ptCount val="11"/>
                <c:pt idx="0">
                  <c:v>193</c:v>
                </c:pt>
                <c:pt idx="1">
                  <c:v>193</c:v>
                </c:pt>
                <c:pt idx="2">
                  <c:v>193</c:v>
                </c:pt>
                <c:pt idx="3">
                  <c:v>175</c:v>
                </c:pt>
                <c:pt idx="4">
                  <c:v>148</c:v>
                </c:pt>
                <c:pt idx="5">
                  <c:v>142</c:v>
                </c:pt>
                <c:pt idx="6">
                  <c:v>135</c:v>
                </c:pt>
                <c:pt idx="7">
                  <c:v>130</c:v>
                </c:pt>
                <c:pt idx="8">
                  <c:v>122</c:v>
                </c:pt>
                <c:pt idx="9">
                  <c:v>150</c:v>
                </c:pt>
                <c:pt idx="10">
                  <c:v>122</c:v>
                </c:pt>
              </c:numCache>
            </c:numRef>
          </c:val>
          <c:smooth val="0"/>
          <c:extLst>
            <c:ext xmlns:c16="http://schemas.microsoft.com/office/drawing/2014/chart" uri="{C3380CC4-5D6E-409C-BE32-E72D297353CC}">
              <c16:uniqueId val="{00000003-065B-4E24-AD0B-9FBF2DADCCE6}"/>
            </c:ext>
          </c:extLst>
        </c:ser>
        <c:ser>
          <c:idx val="3"/>
          <c:order val="3"/>
          <c:tx>
            <c:strRef>
              <c:f>PRB_ILB_NAPP!$N$4</c:f>
              <c:strCache>
                <c:ptCount val="1"/>
                <c:pt idx="0">
                  <c:v>NAPP (pw)</c:v>
                </c:pt>
              </c:strCache>
            </c:strRef>
          </c:tx>
          <c:spPr>
            <a:ln w="19050">
              <a:solidFill>
                <a:srgbClr val="1B6EBF"/>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PRB_ILB_NAPP!$N$5:$N$15</c:f>
              <c:numCache>
                <c:formatCode>0.00</c:formatCode>
                <c:ptCount val="11"/>
                <c:pt idx="0">
                  <c:v>192</c:v>
                </c:pt>
                <c:pt idx="1">
                  <c:v>192</c:v>
                </c:pt>
                <c:pt idx="2">
                  <c:v>192</c:v>
                </c:pt>
                <c:pt idx="3">
                  <c:v>182</c:v>
                </c:pt>
                <c:pt idx="4">
                  <c:v>163</c:v>
                </c:pt>
                <c:pt idx="5">
                  <c:v>155</c:v>
                </c:pt>
                <c:pt idx="6">
                  <c:v>148</c:v>
                </c:pt>
                <c:pt idx="7">
                  <c:v>140</c:v>
                </c:pt>
                <c:pt idx="8">
                  <c:v>137</c:v>
                </c:pt>
                <c:pt idx="9">
                  <c:v>162</c:v>
                </c:pt>
                <c:pt idx="10">
                  <c:v>137</c:v>
                </c:pt>
              </c:numCache>
            </c:numRef>
          </c:val>
          <c:smooth val="0"/>
          <c:extLst>
            <c:ext xmlns:c16="http://schemas.microsoft.com/office/drawing/2014/chart" uri="{C3380CC4-5D6E-409C-BE32-E72D297353CC}">
              <c16:uniqueId val="{00000004-065B-4E24-AD0B-9FBF2DADCCE6}"/>
            </c:ext>
          </c:extLst>
        </c:ser>
        <c:ser>
          <c:idx val="4"/>
          <c:order val="4"/>
          <c:tx>
            <c:strRef>
              <c:f>PRB_ILB_NAPP!$O$4</c:f>
              <c:strCache>
                <c:ptCount val="1"/>
                <c:pt idx="0">
                  <c:v>ILB</c:v>
                </c:pt>
              </c:strCache>
            </c:strRef>
          </c:tx>
          <c:spPr>
            <a:ln>
              <a:solidFill>
                <a:srgbClr val="00A177"/>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PRB_ILB_NAPP!$O$5:$O$15</c:f>
              <c:numCache>
                <c:formatCode>0.00</c:formatCode>
                <c:ptCount val="11"/>
                <c:pt idx="0">
                  <c:v>196</c:v>
                </c:pt>
                <c:pt idx="1">
                  <c:v>196</c:v>
                </c:pt>
                <c:pt idx="2">
                  <c:v>196</c:v>
                </c:pt>
                <c:pt idx="3">
                  <c:v>169</c:v>
                </c:pt>
                <c:pt idx="4">
                  <c:v>142</c:v>
                </c:pt>
                <c:pt idx="5">
                  <c:v>136</c:v>
                </c:pt>
                <c:pt idx="6">
                  <c:v>129</c:v>
                </c:pt>
                <c:pt idx="7">
                  <c:v>122</c:v>
                </c:pt>
                <c:pt idx="8">
                  <c:v>114</c:v>
                </c:pt>
                <c:pt idx="9">
                  <c:v>144</c:v>
                </c:pt>
                <c:pt idx="10">
                  <c:v>114</c:v>
                </c:pt>
              </c:numCache>
            </c:numRef>
          </c:val>
          <c:smooth val="0"/>
          <c:extLst>
            <c:ext xmlns:c16="http://schemas.microsoft.com/office/drawing/2014/chart" uri="{C3380CC4-5D6E-409C-BE32-E72D297353CC}">
              <c16:uniqueId val="{00000005-065B-4E24-AD0B-9FBF2DADCCE6}"/>
            </c:ext>
          </c:extLst>
        </c:ser>
        <c:ser>
          <c:idx val="5"/>
          <c:order val="5"/>
          <c:tx>
            <c:strRef>
              <c:f>PRB_ILB_NAPP!$P$4</c:f>
              <c:strCache>
                <c:ptCount val="1"/>
                <c:pt idx="0">
                  <c:v>ILB (pw)</c:v>
                </c:pt>
              </c:strCache>
            </c:strRef>
          </c:tx>
          <c:spPr>
            <a:ln w="19050">
              <a:solidFill>
                <a:srgbClr val="EBDD69"/>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PRB_ILB_NAPP!$P$5:$P$15</c:f>
              <c:numCache>
                <c:formatCode>0.00</c:formatCode>
                <c:ptCount val="11"/>
                <c:pt idx="0">
                  <c:v>196</c:v>
                </c:pt>
                <c:pt idx="1">
                  <c:v>196</c:v>
                </c:pt>
                <c:pt idx="2">
                  <c:v>196</c:v>
                </c:pt>
                <c:pt idx="3">
                  <c:v>170</c:v>
                </c:pt>
                <c:pt idx="4">
                  <c:v>147</c:v>
                </c:pt>
                <c:pt idx="5">
                  <c:v>139</c:v>
                </c:pt>
                <c:pt idx="6">
                  <c:v>132</c:v>
                </c:pt>
                <c:pt idx="7">
                  <c:v>124</c:v>
                </c:pt>
                <c:pt idx="8">
                  <c:v>121</c:v>
                </c:pt>
                <c:pt idx="9">
                  <c:v>147</c:v>
                </c:pt>
                <c:pt idx="10">
                  <c:v>121</c:v>
                </c:pt>
              </c:numCache>
            </c:numRef>
          </c:val>
          <c:smooth val="0"/>
          <c:extLst>
            <c:ext xmlns:c16="http://schemas.microsoft.com/office/drawing/2014/chart" uri="{C3380CC4-5D6E-409C-BE32-E72D297353CC}">
              <c16:uniqueId val="{00000006-065B-4E24-AD0B-9FBF2DADCCE6}"/>
            </c:ext>
          </c:extLst>
        </c:ser>
        <c:dLbls>
          <c:showLegendKey val="0"/>
          <c:showVal val="0"/>
          <c:showCatName val="0"/>
          <c:showSerName val="0"/>
          <c:showPercent val="0"/>
          <c:showBubbleSize val="0"/>
        </c:dLbls>
        <c:marker val="1"/>
        <c:smooth val="0"/>
        <c:axId val="935304112"/>
        <c:axId val="935302544"/>
      </c:lineChart>
      <c:lineChart>
        <c:grouping val="standard"/>
        <c:varyColors val="0"/>
        <c:ser>
          <c:idx val="0"/>
          <c:order val="0"/>
          <c:tx>
            <c:strRef>
              <c:f>PRB_ILB_NAPP!$K$4</c:f>
              <c:strCache>
                <c:ptCount val="1"/>
                <c:pt idx="0">
                  <c:v>PRB</c:v>
                </c:pt>
              </c:strCache>
            </c:strRef>
          </c:tx>
          <c:spPr>
            <a:ln>
              <a:solidFill>
                <a:srgbClr val="02A3D5"/>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PRB_ILB_NAPP!$K$5:$K$15</c:f>
              <c:numCache>
                <c:formatCode>0.00</c:formatCode>
                <c:ptCount val="11"/>
                <c:pt idx="0">
                  <c:v>17.399999999999999</c:v>
                </c:pt>
                <c:pt idx="1">
                  <c:v>17.399999999999999</c:v>
                </c:pt>
                <c:pt idx="2">
                  <c:v>17.399999999999999</c:v>
                </c:pt>
                <c:pt idx="3">
                  <c:v>17.25</c:v>
                </c:pt>
                <c:pt idx="4">
                  <c:v>16.649999999999999</c:v>
                </c:pt>
                <c:pt idx="5">
                  <c:v>16.649999999999999</c:v>
                </c:pt>
                <c:pt idx="6">
                  <c:v>16.649999999999999</c:v>
                </c:pt>
                <c:pt idx="7">
                  <c:v>16.649999999999999</c:v>
                </c:pt>
                <c:pt idx="8">
                  <c:v>16.55</c:v>
                </c:pt>
                <c:pt idx="9">
                  <c:v>16.799999999999997</c:v>
                </c:pt>
                <c:pt idx="10">
                  <c:v>16.5</c:v>
                </c:pt>
              </c:numCache>
            </c:numRef>
          </c:val>
          <c:smooth val="0"/>
          <c:extLst>
            <c:ext xmlns:c16="http://schemas.microsoft.com/office/drawing/2014/chart" uri="{C3380CC4-5D6E-409C-BE32-E72D297353CC}">
              <c16:uniqueId val="{00000001-065B-4E24-AD0B-9FBF2DADCCE6}"/>
            </c:ext>
          </c:extLst>
        </c:ser>
        <c:ser>
          <c:idx val="1"/>
          <c:order val="1"/>
          <c:tx>
            <c:strRef>
              <c:f>PRB_ILB_NAPP!$L$4</c:f>
              <c:strCache>
                <c:ptCount val="1"/>
                <c:pt idx="0">
                  <c:v>PRB (pw)</c:v>
                </c:pt>
              </c:strCache>
            </c:strRef>
          </c:tx>
          <c:spPr>
            <a:ln w="19050">
              <a:solidFill>
                <a:srgbClr val="00162B"/>
              </a:solidFill>
              <a:prstDash val="solid"/>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PRB_ILB_NAPP!$L$5:$L$15</c:f>
              <c:numCache>
                <c:formatCode>0.00</c:formatCode>
                <c:ptCount val="11"/>
                <c:pt idx="0">
                  <c:v>17.399999999999999</c:v>
                </c:pt>
                <c:pt idx="1">
                  <c:v>17.399999999999999</c:v>
                </c:pt>
                <c:pt idx="2">
                  <c:v>17.399999999999999</c:v>
                </c:pt>
                <c:pt idx="3">
                  <c:v>17.25</c:v>
                </c:pt>
                <c:pt idx="4">
                  <c:v>16.649999999999999</c:v>
                </c:pt>
                <c:pt idx="5">
                  <c:v>16.649999999999999</c:v>
                </c:pt>
                <c:pt idx="6">
                  <c:v>16.649999999999999</c:v>
                </c:pt>
                <c:pt idx="7">
                  <c:v>16.649999999999999</c:v>
                </c:pt>
                <c:pt idx="8">
                  <c:v>16.55</c:v>
                </c:pt>
                <c:pt idx="9">
                  <c:v>16.799999999999997</c:v>
                </c:pt>
                <c:pt idx="10">
                  <c:v>16.5</c:v>
                </c:pt>
              </c:numCache>
            </c:numRef>
          </c:val>
          <c:smooth val="0"/>
          <c:extLst>
            <c:ext xmlns:c16="http://schemas.microsoft.com/office/drawing/2014/chart" uri="{C3380CC4-5D6E-409C-BE32-E72D297353CC}">
              <c16:uniqueId val="{00000002-065B-4E24-AD0B-9FBF2DADCCE6}"/>
            </c:ext>
          </c:extLst>
        </c:ser>
        <c:dLbls>
          <c:showLegendKey val="0"/>
          <c:showVal val="0"/>
          <c:showCatName val="0"/>
          <c:showSerName val="0"/>
          <c:showPercent val="0"/>
          <c:showBubbleSize val="0"/>
        </c:dLbls>
        <c:marker val="1"/>
        <c:smooth val="0"/>
        <c:axId val="1518000880"/>
        <c:axId val="1862711584"/>
      </c:lineChart>
      <c:catAx>
        <c:axId val="935304112"/>
        <c:scaling>
          <c:orientation val="minMax"/>
        </c:scaling>
        <c:delete val="0"/>
        <c:axPos val="b"/>
        <c:numFmt formatCode="[$-409]mmm\-yy;@"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2700000" vert="horz"/>
          <a:lstStyle/>
          <a:p>
            <a:pPr>
              <a:defRPr sz="700" b="0">
                <a:solidFill>
                  <a:srgbClr val="000000"/>
                </a:solidFill>
                <a:latin typeface="Arial"/>
                <a:ea typeface="Arial"/>
                <a:cs typeface="Arial"/>
              </a:defRPr>
            </a:pPr>
            <a:endParaRPr lang="en-US"/>
          </a:p>
        </c:txPr>
        <c:crossAx val="935302544"/>
        <c:crosses val="autoZero"/>
        <c:auto val="1"/>
        <c:lblAlgn val="ctr"/>
        <c:lblOffset val="100"/>
        <c:noMultiLvlLbl val="0"/>
      </c:catAx>
      <c:valAx>
        <c:axId val="935302544"/>
        <c:scaling>
          <c:orientation val="minMax"/>
          <c:min val="60"/>
        </c:scaling>
        <c:delete val="0"/>
        <c:axPos val="l"/>
        <c:majorGridlines>
          <c:spPr>
            <a:ln w="3175">
              <a:solidFill>
                <a:srgbClr val="DEE1E0"/>
              </a:solidFill>
              <a:prstDash val="solid"/>
            </a:ln>
          </c:spPr>
        </c:majorGridlines>
        <c:numFmt formatCode="&quot;$&quot;#,##0.0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935304112"/>
        <c:crosses val="autoZero"/>
        <c:crossBetween val="between"/>
        <c:majorUnit val="20"/>
      </c:valAx>
      <c:valAx>
        <c:axId val="1862711584"/>
        <c:scaling>
          <c:orientation val="minMax"/>
          <c:max val="19"/>
          <c:min val="15"/>
        </c:scaling>
        <c:delete val="0"/>
        <c:axPos val="r"/>
        <c:title>
          <c:tx>
            <c:rich>
              <a:bodyPr/>
              <a:lstStyle/>
              <a:p>
                <a:pPr>
                  <a:defRPr>
                    <a:solidFill>
                      <a:schemeClr val="tx2"/>
                    </a:solidFill>
                  </a:defRPr>
                </a:pPr>
                <a:r>
                  <a:rPr lang="en-US">
                    <a:solidFill>
                      <a:schemeClr val="tx2"/>
                    </a:solidFill>
                  </a:rPr>
                  <a:t>PRB</a:t>
                </a:r>
                <a:r>
                  <a:rPr lang="en-US" baseline="0">
                    <a:solidFill>
                      <a:schemeClr val="tx2"/>
                    </a:solidFill>
                  </a:rPr>
                  <a:t> 8800</a:t>
                </a:r>
                <a:endParaRPr lang="en-US">
                  <a:solidFill>
                    <a:schemeClr val="tx2"/>
                  </a:solidFill>
                </a:endParaRPr>
              </a:p>
            </c:rich>
          </c:tx>
          <c:overlay val="0"/>
        </c:title>
        <c:numFmt formatCode="&quot;$&quot;#,##0.0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1518000880"/>
        <c:crosses val="max"/>
        <c:crossBetween val="between"/>
        <c:majorUnit val="0.4"/>
      </c:valAx>
      <c:catAx>
        <c:axId val="1518000880"/>
        <c:scaling>
          <c:orientation val="minMax"/>
        </c:scaling>
        <c:delete val="1"/>
        <c:axPos val="b"/>
        <c:numFmt formatCode="General" sourceLinked="1"/>
        <c:majorTickMark val="out"/>
        <c:minorTickMark val="none"/>
        <c:tickLblPos val="nextTo"/>
        <c:crossAx val="1862711584"/>
        <c:crosses val="autoZero"/>
        <c:auto val="1"/>
        <c:lblAlgn val="ctr"/>
        <c:lblOffset val="100"/>
        <c:noMultiLvlLbl val="0"/>
      </c:catAx>
      <c:spPr>
        <a:noFill/>
        <a:ln>
          <a:noFill/>
        </a:ln>
      </c:spPr>
    </c:plotArea>
    <c:legend>
      <c:legendPos val="b"/>
      <c:layout>
        <c:manualLayout>
          <c:xMode val="edge"/>
          <c:yMode val="edge"/>
          <c:x val="0"/>
          <c:y val="0.78093597473442433"/>
          <c:w val="1"/>
          <c:h val="0.13207005455067469"/>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122605363984"/>
          <c:y val="0.10600344552292112"/>
          <c:w val="0.66165581098339854"/>
          <c:h val="0.63213443238171885"/>
        </c:manualLayout>
      </c:layout>
      <c:barChart>
        <c:barDir val="col"/>
        <c:grouping val="clustered"/>
        <c:varyColors val="0"/>
        <c:ser>
          <c:idx val="1"/>
          <c:order val="1"/>
          <c:tx>
            <c:strRef>
              <c:f>PRB_ILB_NAPP!$M$4</c:f>
              <c:strCache>
                <c:ptCount val="1"/>
                <c:pt idx="0">
                  <c:v>NAPP</c:v>
                </c:pt>
              </c:strCache>
            </c:strRef>
          </c:tx>
          <c:spPr>
            <a:ln>
              <a:solidFill>
                <a:srgbClr val="133D8D"/>
              </a:solidFill>
            </a:ln>
          </c:spPr>
          <c:invertIfNegative val="0"/>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PRB_ILB_NAPP!$M$5:$M$15</c:f>
              <c:numCache>
                <c:formatCode>0.00</c:formatCode>
                <c:ptCount val="11"/>
                <c:pt idx="0">
                  <c:v>193</c:v>
                </c:pt>
                <c:pt idx="1">
                  <c:v>193</c:v>
                </c:pt>
                <c:pt idx="2">
                  <c:v>193</c:v>
                </c:pt>
                <c:pt idx="3">
                  <c:v>175</c:v>
                </c:pt>
                <c:pt idx="4">
                  <c:v>148</c:v>
                </c:pt>
                <c:pt idx="5">
                  <c:v>142</c:v>
                </c:pt>
                <c:pt idx="6">
                  <c:v>135</c:v>
                </c:pt>
                <c:pt idx="7">
                  <c:v>130</c:v>
                </c:pt>
                <c:pt idx="8">
                  <c:v>122</c:v>
                </c:pt>
                <c:pt idx="9">
                  <c:v>150</c:v>
                </c:pt>
                <c:pt idx="10">
                  <c:v>122</c:v>
                </c:pt>
              </c:numCache>
            </c:numRef>
          </c:val>
          <c:extLst>
            <c:ext xmlns:c16="http://schemas.microsoft.com/office/drawing/2014/chart" uri="{C3380CC4-5D6E-409C-BE32-E72D297353CC}">
              <c16:uniqueId val="{00000000-56DE-45E3-BB5A-1F79F0E8E1F6}"/>
            </c:ext>
          </c:extLst>
        </c:ser>
        <c:dLbls>
          <c:showLegendKey val="0"/>
          <c:showVal val="0"/>
          <c:showCatName val="0"/>
          <c:showSerName val="0"/>
          <c:showPercent val="0"/>
          <c:showBubbleSize val="0"/>
        </c:dLbls>
        <c:gapWidth val="150"/>
        <c:axId val="935303328"/>
        <c:axId val="935304504"/>
      </c:barChart>
      <c:lineChart>
        <c:grouping val="standard"/>
        <c:varyColors val="0"/>
        <c:ser>
          <c:idx val="0"/>
          <c:order val="0"/>
          <c:tx>
            <c:strRef>
              <c:f>PRB_ILB_NAPP!#REF!</c:f>
              <c:strCache>
                <c:ptCount val="1"/>
                <c:pt idx="0">
                  <c:v>#REF!</c:v>
                </c:pt>
              </c:strCache>
            </c:strRef>
          </c:tx>
          <c:spPr>
            <a:ln>
              <a:solidFill>
                <a:srgbClr val="0097D1"/>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PRB_ILB_NAPP!#REF!</c:f>
              <c:numCache>
                <c:formatCode>General</c:formatCode>
                <c:ptCount val="1"/>
                <c:pt idx="0">
                  <c:v>1</c:v>
                </c:pt>
              </c:numCache>
            </c:numRef>
          </c:val>
          <c:smooth val="0"/>
          <c:extLst>
            <c:ext xmlns:c16="http://schemas.microsoft.com/office/drawing/2014/chart" uri="{C3380CC4-5D6E-409C-BE32-E72D297353CC}">
              <c16:uniqueId val="{00000001-56DE-45E3-BB5A-1F79F0E8E1F6}"/>
            </c:ext>
          </c:extLst>
        </c:ser>
        <c:dLbls>
          <c:showLegendKey val="0"/>
          <c:showVal val="0"/>
          <c:showCatName val="0"/>
          <c:showSerName val="0"/>
          <c:showPercent val="0"/>
          <c:showBubbleSize val="0"/>
        </c:dLbls>
        <c:marker val="1"/>
        <c:smooth val="0"/>
        <c:axId val="935301760"/>
        <c:axId val="935302936"/>
      </c:lineChart>
      <c:catAx>
        <c:axId val="935301760"/>
        <c:scaling>
          <c:orientation val="minMax"/>
        </c:scaling>
        <c:delete val="0"/>
        <c:axPos val="b"/>
        <c:numFmt formatCode="[$-409]mmm\-yy;@" sourceLinked="0"/>
        <c:majorTickMark val="in"/>
        <c:minorTickMark val="none"/>
        <c:tickLblPos val="nextTo"/>
        <c:spPr>
          <a:ln>
            <a:solidFill>
              <a:srgbClr val="707C8A"/>
            </a:solidFill>
            <a:prstDash val="solid"/>
          </a:ln>
        </c:spPr>
        <c:txPr>
          <a:bodyPr rot="0" vert="horz"/>
          <a:lstStyle/>
          <a:p>
            <a:pPr>
              <a:defRPr sz="700" b="0">
                <a:latin typeface="Arial"/>
                <a:ea typeface="Arial"/>
                <a:cs typeface="Arial"/>
              </a:defRPr>
            </a:pPr>
            <a:endParaRPr lang="en-US"/>
          </a:p>
        </c:txPr>
        <c:crossAx val="935302936"/>
        <c:crosses val="autoZero"/>
        <c:auto val="1"/>
        <c:lblAlgn val="ctr"/>
        <c:lblOffset val="100"/>
        <c:tickMarkSkip val="1"/>
        <c:noMultiLvlLbl val="0"/>
      </c:catAx>
      <c:valAx>
        <c:axId val="935302936"/>
        <c:scaling>
          <c:orientation val="minMax"/>
          <c:max val="50"/>
        </c:scaling>
        <c:delete val="0"/>
        <c:axPos val="l"/>
        <c:majorGridlines>
          <c:spPr>
            <a:ln w="3175">
              <a:solidFill>
                <a:srgbClr val="707C8A"/>
              </a:solidFill>
              <a:prstDash val="solid"/>
            </a:ln>
          </c:spPr>
        </c:majorGridlines>
        <c:numFmt formatCode="General" sourceLinked="0"/>
        <c:majorTickMark val="none"/>
        <c:minorTickMark val="none"/>
        <c:tickLblPos val="nextTo"/>
        <c:spPr>
          <a:ln>
            <a:solidFill>
              <a:srgbClr val="707C8A"/>
            </a:solidFill>
            <a:prstDash val="solid"/>
          </a:ln>
        </c:spPr>
        <c:txPr>
          <a:bodyPr/>
          <a:lstStyle/>
          <a:p>
            <a:pPr>
              <a:defRPr sz="700" b="0">
                <a:latin typeface="Arial"/>
                <a:ea typeface="Arial"/>
                <a:cs typeface="Arial"/>
              </a:defRPr>
            </a:pPr>
            <a:endParaRPr lang="en-US"/>
          </a:p>
        </c:txPr>
        <c:crossAx val="935301760"/>
        <c:crosses val="autoZero"/>
        <c:crossBetween val="between"/>
        <c:majorUnit val="2"/>
      </c:valAx>
      <c:valAx>
        <c:axId val="935304504"/>
        <c:scaling>
          <c:orientation val="minMax"/>
          <c:max val="0.25"/>
        </c:scaling>
        <c:delete val="0"/>
        <c:axPos val="r"/>
        <c:title>
          <c:tx>
            <c:rich>
              <a:bodyPr/>
              <a:lstStyle/>
              <a:p>
                <a:pPr>
                  <a:defRPr/>
                </a:pPr>
                <a:r>
                  <a:rPr lang="en-US"/>
                  <a:t>Week on week change</a:t>
                </a:r>
              </a:p>
            </c:rich>
          </c:tx>
          <c:overlay val="0"/>
        </c:title>
        <c:numFmt formatCode="0.00" sourceLinked="1"/>
        <c:majorTickMark val="out"/>
        <c:minorTickMark val="none"/>
        <c:tickLblPos val="nextTo"/>
        <c:crossAx val="935303328"/>
        <c:crosses val="max"/>
        <c:crossBetween val="between"/>
        <c:majorUnit val="0.1"/>
      </c:valAx>
      <c:catAx>
        <c:axId val="935303328"/>
        <c:scaling>
          <c:orientation val="minMax"/>
        </c:scaling>
        <c:delete val="1"/>
        <c:axPos val="b"/>
        <c:numFmt formatCode="General" sourceLinked="1"/>
        <c:majorTickMark val="out"/>
        <c:minorTickMark val="none"/>
        <c:tickLblPos val="nextTo"/>
        <c:crossAx val="935304504"/>
        <c:crosses val="autoZero"/>
        <c:auto val="1"/>
        <c:lblAlgn val="ctr"/>
        <c:lblOffset val="100"/>
        <c:noMultiLvlLbl val="0"/>
      </c:catAx>
      <c:spPr>
        <a:noFill/>
        <a:ln>
          <a:noFill/>
        </a:ln>
      </c:spPr>
    </c:plotArea>
    <c:legend>
      <c:legendPos val="b"/>
      <c:layout>
        <c:manualLayout>
          <c:xMode val="edge"/>
          <c:yMode val="edge"/>
          <c:x val="0"/>
          <c:y val="0.83703569553805901"/>
          <c:w val="0.9"/>
          <c:h val="6.4253018372703405E-2"/>
        </c:manualLayout>
      </c:layout>
      <c:overlay val="0"/>
      <c:txPr>
        <a:bodyPr/>
        <a:lstStyle/>
        <a:p>
          <a:pPr>
            <a:defRPr sz="700" b="0">
              <a:solidFill>
                <a:srgbClr val="000000"/>
              </a:solidFill>
              <a:latin typeface="Arial"/>
            </a:defRPr>
          </a:pPr>
          <a:endParaRPr lang="en-US"/>
        </a:p>
      </c:txPr>
    </c:legend>
    <c:plotVisOnly val="1"/>
    <c:dispBlanksAs val="gap"/>
    <c:showDLblsOverMax val="0"/>
  </c:chart>
  <c:spPr>
    <a:noFill/>
    <a:ln w="6350" cmpd="sng">
      <a:solidFill>
        <a:srgbClr val="707C8A"/>
      </a:solidFill>
      <a:prstDash val="solid"/>
    </a:ln>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122605363984"/>
          <c:y val="0.10600344552292112"/>
          <c:w val="0.66165581098339854"/>
          <c:h val="0.63213443238171885"/>
        </c:manualLayout>
      </c:layout>
      <c:barChart>
        <c:barDir val="col"/>
        <c:grouping val="clustered"/>
        <c:varyColors val="0"/>
        <c:ser>
          <c:idx val="3"/>
          <c:order val="1"/>
          <c:tx>
            <c:strRef>
              <c:f>PRB_ILB_NAPP!$N$4</c:f>
              <c:strCache>
                <c:ptCount val="1"/>
                <c:pt idx="0">
                  <c:v>NAPP (pw)</c:v>
                </c:pt>
              </c:strCache>
            </c:strRef>
          </c:tx>
          <c:spPr>
            <a:ln>
              <a:solidFill>
                <a:schemeClr val="tx1"/>
              </a:solidFill>
            </a:ln>
          </c:spPr>
          <c:invertIfNegative val="0"/>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PRB_ILB_NAPP!$N$5:$N$15</c:f>
              <c:numCache>
                <c:formatCode>0.00</c:formatCode>
                <c:ptCount val="11"/>
                <c:pt idx="0">
                  <c:v>192</c:v>
                </c:pt>
                <c:pt idx="1">
                  <c:v>192</c:v>
                </c:pt>
                <c:pt idx="2">
                  <c:v>192</c:v>
                </c:pt>
                <c:pt idx="3">
                  <c:v>182</c:v>
                </c:pt>
                <c:pt idx="4">
                  <c:v>163</c:v>
                </c:pt>
                <c:pt idx="5">
                  <c:v>155</c:v>
                </c:pt>
                <c:pt idx="6">
                  <c:v>148</c:v>
                </c:pt>
                <c:pt idx="7">
                  <c:v>140</c:v>
                </c:pt>
                <c:pt idx="8">
                  <c:v>137</c:v>
                </c:pt>
                <c:pt idx="9">
                  <c:v>162</c:v>
                </c:pt>
                <c:pt idx="10">
                  <c:v>137</c:v>
                </c:pt>
              </c:numCache>
            </c:numRef>
          </c:val>
          <c:extLst>
            <c:ext xmlns:c16="http://schemas.microsoft.com/office/drawing/2014/chart" uri="{C3380CC4-5D6E-409C-BE32-E72D297353CC}">
              <c16:uniqueId val="{00000000-C611-4F4E-B28F-914EF25A7CB3}"/>
            </c:ext>
          </c:extLst>
        </c:ser>
        <c:dLbls>
          <c:showLegendKey val="0"/>
          <c:showVal val="0"/>
          <c:showCatName val="0"/>
          <c:showSerName val="0"/>
          <c:showPercent val="0"/>
          <c:showBubbleSize val="0"/>
        </c:dLbls>
        <c:gapWidth val="150"/>
        <c:axId val="938270176"/>
        <c:axId val="938268608"/>
      </c:barChart>
      <c:lineChart>
        <c:grouping val="standard"/>
        <c:varyColors val="0"/>
        <c:ser>
          <c:idx val="2"/>
          <c:order val="0"/>
          <c:tx>
            <c:strRef>
              <c:f>PRB_ILB_NAPP!$K$4</c:f>
              <c:strCache>
                <c:ptCount val="1"/>
                <c:pt idx="0">
                  <c:v>PRB</c:v>
                </c:pt>
              </c:strCache>
            </c:strRef>
          </c:tx>
          <c:spPr>
            <a:ln>
              <a:solidFill>
                <a:srgbClr val="49A942"/>
              </a:solidFill>
            </a:ln>
          </c:spPr>
          <c:marker>
            <c:symbol val="none"/>
          </c:marker>
          <c:cat>
            <c:strRef>
              <c:f>PRB_ILB_NAPP!$J$5:$J$15</c:f>
              <c:strCache>
                <c:ptCount val="11"/>
                <c:pt idx="0">
                  <c:v>Oct</c:v>
                </c:pt>
                <c:pt idx="1">
                  <c:v>Nov</c:v>
                </c:pt>
                <c:pt idx="2">
                  <c:v>Q4'22</c:v>
                </c:pt>
                <c:pt idx="3">
                  <c:v>Q1'23</c:v>
                </c:pt>
                <c:pt idx="4">
                  <c:v>Q2'23</c:v>
                </c:pt>
                <c:pt idx="5">
                  <c:v>Q3'23</c:v>
                </c:pt>
                <c:pt idx="6">
                  <c:v>Q4'23</c:v>
                </c:pt>
                <c:pt idx="7">
                  <c:v>Q1'24</c:v>
                </c:pt>
                <c:pt idx="8">
                  <c:v>Q2'24</c:v>
                </c:pt>
                <c:pt idx="9">
                  <c:v>CY'23</c:v>
                </c:pt>
                <c:pt idx="10">
                  <c:v>CY'24</c:v>
                </c:pt>
              </c:strCache>
            </c:strRef>
          </c:cat>
          <c:val>
            <c:numRef>
              <c:f>PRB_ILB_NAPP!$K$5:$K$15</c:f>
              <c:numCache>
                <c:formatCode>0.00</c:formatCode>
                <c:ptCount val="11"/>
                <c:pt idx="0">
                  <c:v>17.399999999999999</c:v>
                </c:pt>
                <c:pt idx="1">
                  <c:v>17.399999999999999</c:v>
                </c:pt>
                <c:pt idx="2">
                  <c:v>17.399999999999999</c:v>
                </c:pt>
                <c:pt idx="3">
                  <c:v>17.25</c:v>
                </c:pt>
                <c:pt idx="4">
                  <c:v>16.649999999999999</c:v>
                </c:pt>
                <c:pt idx="5">
                  <c:v>16.649999999999999</c:v>
                </c:pt>
                <c:pt idx="6">
                  <c:v>16.649999999999999</c:v>
                </c:pt>
                <c:pt idx="7">
                  <c:v>16.649999999999999</c:v>
                </c:pt>
                <c:pt idx="8">
                  <c:v>16.55</c:v>
                </c:pt>
                <c:pt idx="9">
                  <c:v>16.799999999999997</c:v>
                </c:pt>
                <c:pt idx="10">
                  <c:v>16.5</c:v>
                </c:pt>
              </c:numCache>
            </c:numRef>
          </c:val>
          <c:smooth val="0"/>
          <c:extLst>
            <c:ext xmlns:c16="http://schemas.microsoft.com/office/drawing/2014/chart" uri="{C3380CC4-5D6E-409C-BE32-E72D297353CC}">
              <c16:uniqueId val="{00000001-C611-4F4E-B28F-914EF25A7CB3}"/>
            </c:ext>
          </c:extLst>
        </c:ser>
        <c:dLbls>
          <c:showLegendKey val="0"/>
          <c:showVal val="0"/>
          <c:showCatName val="0"/>
          <c:showSerName val="0"/>
          <c:showPercent val="0"/>
          <c:showBubbleSize val="0"/>
        </c:dLbls>
        <c:marker val="1"/>
        <c:smooth val="0"/>
        <c:axId val="938266648"/>
        <c:axId val="938269000"/>
      </c:lineChart>
      <c:catAx>
        <c:axId val="938266648"/>
        <c:scaling>
          <c:orientation val="minMax"/>
        </c:scaling>
        <c:delete val="0"/>
        <c:axPos val="b"/>
        <c:numFmt formatCode="[$-409]mmm\-yy;@" sourceLinked="0"/>
        <c:majorTickMark val="in"/>
        <c:minorTickMark val="none"/>
        <c:tickLblPos val="nextTo"/>
        <c:spPr>
          <a:ln>
            <a:solidFill>
              <a:srgbClr val="707C8A"/>
            </a:solidFill>
            <a:prstDash val="solid"/>
          </a:ln>
        </c:spPr>
        <c:txPr>
          <a:bodyPr rot="0" vert="horz"/>
          <a:lstStyle/>
          <a:p>
            <a:pPr>
              <a:defRPr sz="700" b="0">
                <a:latin typeface="Arial"/>
                <a:ea typeface="Arial"/>
                <a:cs typeface="Arial"/>
              </a:defRPr>
            </a:pPr>
            <a:endParaRPr lang="en-US"/>
          </a:p>
        </c:txPr>
        <c:crossAx val="938269000"/>
        <c:crosses val="autoZero"/>
        <c:auto val="1"/>
        <c:lblAlgn val="ctr"/>
        <c:lblOffset val="100"/>
        <c:tickMarkSkip val="1"/>
        <c:noMultiLvlLbl val="0"/>
      </c:catAx>
      <c:valAx>
        <c:axId val="938269000"/>
        <c:scaling>
          <c:orientation val="minMax"/>
          <c:min val="8"/>
        </c:scaling>
        <c:delete val="0"/>
        <c:axPos val="l"/>
        <c:majorGridlines>
          <c:spPr>
            <a:ln w="3175">
              <a:solidFill>
                <a:srgbClr val="707C8A"/>
              </a:solidFill>
              <a:prstDash val="solid"/>
            </a:ln>
          </c:spPr>
        </c:majorGridlines>
        <c:numFmt formatCode="General" sourceLinked="0"/>
        <c:majorTickMark val="none"/>
        <c:minorTickMark val="none"/>
        <c:tickLblPos val="nextTo"/>
        <c:spPr>
          <a:ln>
            <a:solidFill>
              <a:srgbClr val="707C8A"/>
            </a:solidFill>
            <a:prstDash val="solid"/>
          </a:ln>
        </c:spPr>
        <c:txPr>
          <a:bodyPr/>
          <a:lstStyle/>
          <a:p>
            <a:pPr>
              <a:defRPr sz="700" b="0">
                <a:latin typeface="Arial"/>
                <a:ea typeface="Arial"/>
                <a:cs typeface="Arial"/>
              </a:defRPr>
            </a:pPr>
            <a:endParaRPr lang="en-US"/>
          </a:p>
        </c:txPr>
        <c:crossAx val="938266648"/>
        <c:crosses val="autoZero"/>
        <c:crossBetween val="between"/>
        <c:majorUnit val="2"/>
      </c:valAx>
      <c:valAx>
        <c:axId val="938268608"/>
        <c:scaling>
          <c:orientation val="minMax"/>
          <c:min val="-0.4"/>
        </c:scaling>
        <c:delete val="0"/>
        <c:axPos val="r"/>
        <c:title>
          <c:tx>
            <c:rich>
              <a:bodyPr/>
              <a:lstStyle/>
              <a:p>
                <a:pPr>
                  <a:defRPr/>
                </a:pPr>
                <a:r>
                  <a:rPr lang="en-US"/>
                  <a:t>Week</a:t>
                </a:r>
                <a:r>
                  <a:rPr lang="en-US" baseline="0"/>
                  <a:t> on week change</a:t>
                </a:r>
                <a:endParaRPr lang="en-US"/>
              </a:p>
            </c:rich>
          </c:tx>
          <c:overlay val="0"/>
        </c:title>
        <c:numFmt formatCode="0.00" sourceLinked="1"/>
        <c:majorTickMark val="out"/>
        <c:minorTickMark val="none"/>
        <c:tickLblPos val="nextTo"/>
        <c:crossAx val="938270176"/>
        <c:crosses val="max"/>
        <c:crossBetween val="between"/>
      </c:valAx>
      <c:catAx>
        <c:axId val="938270176"/>
        <c:scaling>
          <c:orientation val="minMax"/>
        </c:scaling>
        <c:delete val="1"/>
        <c:axPos val="b"/>
        <c:numFmt formatCode="General" sourceLinked="1"/>
        <c:majorTickMark val="out"/>
        <c:minorTickMark val="none"/>
        <c:tickLblPos val="nextTo"/>
        <c:crossAx val="938268608"/>
        <c:crosses val="autoZero"/>
        <c:auto val="1"/>
        <c:lblAlgn val="ctr"/>
        <c:lblOffset val="100"/>
        <c:noMultiLvlLbl val="0"/>
      </c:catAx>
      <c:spPr>
        <a:noFill/>
        <a:ln>
          <a:noFill/>
        </a:ln>
      </c:spPr>
    </c:plotArea>
    <c:legend>
      <c:legendPos val="b"/>
      <c:layout>
        <c:manualLayout>
          <c:xMode val="edge"/>
          <c:yMode val="edge"/>
          <c:x val="0"/>
          <c:y val="0.83703569553805901"/>
          <c:w val="0.9"/>
          <c:h val="6.4253018372703405E-2"/>
        </c:manualLayout>
      </c:layout>
      <c:overlay val="0"/>
      <c:txPr>
        <a:bodyPr/>
        <a:lstStyle/>
        <a:p>
          <a:pPr>
            <a:defRPr sz="700" b="0">
              <a:solidFill>
                <a:srgbClr val="000000"/>
              </a:solidFill>
              <a:latin typeface="Arial"/>
            </a:defRPr>
          </a:pPr>
          <a:endParaRPr lang="en-US"/>
        </a:p>
      </c:txPr>
    </c:legend>
    <c:plotVisOnly val="1"/>
    <c:dispBlanksAs val="gap"/>
    <c:showDLblsOverMax val="0"/>
  </c:chart>
  <c:spPr>
    <a:noFill/>
    <a:ln w="6350" cmpd="sng">
      <a:solidFill>
        <a:srgbClr val="707C8A"/>
      </a:solidFill>
      <a:prstDash val="solid"/>
    </a:ln>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11808632540416"/>
          <c:y val="0.14303761125466552"/>
          <c:w val="0.77773179543867454"/>
          <c:h val="0.60606726484770801"/>
        </c:manualLayout>
      </c:layout>
      <c:lineChart>
        <c:grouping val="standard"/>
        <c:varyColors val="0"/>
        <c:ser>
          <c:idx val="2"/>
          <c:order val="0"/>
          <c:tx>
            <c:strRef>
              <c:f>Correlations!$K$5</c:f>
              <c:strCache>
                <c:ptCount val="1"/>
                <c:pt idx="0">
                  <c:v>Europe—CSX Coal Correlation</c:v>
                </c:pt>
              </c:strCache>
            </c:strRef>
          </c:tx>
          <c:spPr>
            <a:ln w="19050">
              <a:solidFill>
                <a:srgbClr val="02A3D5"/>
              </a:solidFill>
            </a:ln>
          </c:spPr>
          <c:marker>
            <c:symbol val="none"/>
          </c:marker>
          <c:cat>
            <c:numRef>
              <c:f>Correlations!$J$6:$J$400</c:f>
              <c:numCache>
                <c:formatCode>m/d/yyyy</c:formatCode>
                <c:ptCount val="395"/>
                <c:pt idx="0">
                  <c:v>44819</c:v>
                </c:pt>
                <c:pt idx="1">
                  <c:v>44818</c:v>
                </c:pt>
                <c:pt idx="2">
                  <c:v>44817</c:v>
                </c:pt>
                <c:pt idx="3">
                  <c:v>44816</c:v>
                </c:pt>
                <c:pt idx="4">
                  <c:v>44813</c:v>
                </c:pt>
                <c:pt idx="5">
                  <c:v>44812</c:v>
                </c:pt>
                <c:pt idx="6">
                  <c:v>44811</c:v>
                </c:pt>
                <c:pt idx="7">
                  <c:v>44810</c:v>
                </c:pt>
                <c:pt idx="8">
                  <c:v>44809</c:v>
                </c:pt>
                <c:pt idx="9">
                  <c:v>44806</c:v>
                </c:pt>
                <c:pt idx="10">
                  <c:v>44805</c:v>
                </c:pt>
                <c:pt idx="11">
                  <c:v>44804</c:v>
                </c:pt>
                <c:pt idx="12">
                  <c:v>44803</c:v>
                </c:pt>
                <c:pt idx="13">
                  <c:v>44802</c:v>
                </c:pt>
                <c:pt idx="14">
                  <c:v>44799</c:v>
                </c:pt>
                <c:pt idx="15">
                  <c:v>44798</c:v>
                </c:pt>
                <c:pt idx="16">
                  <c:v>44797</c:v>
                </c:pt>
                <c:pt idx="17">
                  <c:v>44796</c:v>
                </c:pt>
                <c:pt idx="18">
                  <c:v>44795</c:v>
                </c:pt>
                <c:pt idx="19">
                  <c:v>44792</c:v>
                </c:pt>
                <c:pt idx="20">
                  <c:v>44791</c:v>
                </c:pt>
                <c:pt idx="21">
                  <c:v>44790</c:v>
                </c:pt>
                <c:pt idx="22">
                  <c:v>44789</c:v>
                </c:pt>
                <c:pt idx="23">
                  <c:v>44788</c:v>
                </c:pt>
                <c:pt idx="24">
                  <c:v>44785</c:v>
                </c:pt>
                <c:pt idx="25">
                  <c:v>44784</c:v>
                </c:pt>
                <c:pt idx="26">
                  <c:v>44783</c:v>
                </c:pt>
                <c:pt idx="27">
                  <c:v>44782</c:v>
                </c:pt>
                <c:pt idx="28">
                  <c:v>44781</c:v>
                </c:pt>
                <c:pt idx="29">
                  <c:v>44778</c:v>
                </c:pt>
                <c:pt idx="30">
                  <c:v>44777</c:v>
                </c:pt>
                <c:pt idx="31">
                  <c:v>44776</c:v>
                </c:pt>
                <c:pt idx="32">
                  <c:v>44775</c:v>
                </c:pt>
                <c:pt idx="33">
                  <c:v>44774</c:v>
                </c:pt>
                <c:pt idx="34">
                  <c:v>44771</c:v>
                </c:pt>
                <c:pt idx="35">
                  <c:v>44770</c:v>
                </c:pt>
                <c:pt idx="36">
                  <c:v>44769</c:v>
                </c:pt>
                <c:pt idx="37">
                  <c:v>44768</c:v>
                </c:pt>
                <c:pt idx="38">
                  <c:v>44767</c:v>
                </c:pt>
                <c:pt idx="39">
                  <c:v>44764</c:v>
                </c:pt>
                <c:pt idx="40">
                  <c:v>44763</c:v>
                </c:pt>
                <c:pt idx="41">
                  <c:v>44762</c:v>
                </c:pt>
                <c:pt idx="42">
                  <c:v>44761</c:v>
                </c:pt>
                <c:pt idx="43">
                  <c:v>44760</c:v>
                </c:pt>
                <c:pt idx="44">
                  <c:v>44757</c:v>
                </c:pt>
                <c:pt idx="45">
                  <c:v>44756</c:v>
                </c:pt>
                <c:pt idx="46">
                  <c:v>44755</c:v>
                </c:pt>
                <c:pt idx="47">
                  <c:v>44754</c:v>
                </c:pt>
                <c:pt idx="48">
                  <c:v>44753</c:v>
                </c:pt>
                <c:pt idx="49">
                  <c:v>44750</c:v>
                </c:pt>
                <c:pt idx="50">
                  <c:v>44749</c:v>
                </c:pt>
                <c:pt idx="51">
                  <c:v>44748</c:v>
                </c:pt>
                <c:pt idx="52">
                  <c:v>44747</c:v>
                </c:pt>
                <c:pt idx="53">
                  <c:v>44746</c:v>
                </c:pt>
                <c:pt idx="54">
                  <c:v>44743</c:v>
                </c:pt>
                <c:pt idx="55">
                  <c:v>44742</c:v>
                </c:pt>
                <c:pt idx="56">
                  <c:v>44741</c:v>
                </c:pt>
                <c:pt idx="57">
                  <c:v>44740</c:v>
                </c:pt>
                <c:pt idx="58">
                  <c:v>44739</c:v>
                </c:pt>
                <c:pt idx="59">
                  <c:v>44736</c:v>
                </c:pt>
                <c:pt idx="60">
                  <c:v>44735</c:v>
                </c:pt>
                <c:pt idx="61">
                  <c:v>44734</c:v>
                </c:pt>
                <c:pt idx="62">
                  <c:v>44733</c:v>
                </c:pt>
                <c:pt idx="63">
                  <c:v>44732</c:v>
                </c:pt>
                <c:pt idx="64">
                  <c:v>44729</c:v>
                </c:pt>
                <c:pt idx="65">
                  <c:v>44728</c:v>
                </c:pt>
                <c:pt idx="66">
                  <c:v>44727</c:v>
                </c:pt>
                <c:pt idx="67">
                  <c:v>44726</c:v>
                </c:pt>
                <c:pt idx="68">
                  <c:v>44725</c:v>
                </c:pt>
                <c:pt idx="69">
                  <c:v>44722</c:v>
                </c:pt>
                <c:pt idx="70">
                  <c:v>44721</c:v>
                </c:pt>
                <c:pt idx="71">
                  <c:v>44720</c:v>
                </c:pt>
                <c:pt idx="72">
                  <c:v>44719</c:v>
                </c:pt>
                <c:pt idx="73">
                  <c:v>44718</c:v>
                </c:pt>
                <c:pt idx="74">
                  <c:v>44715</c:v>
                </c:pt>
                <c:pt idx="75">
                  <c:v>44714</c:v>
                </c:pt>
                <c:pt idx="76">
                  <c:v>44713</c:v>
                </c:pt>
                <c:pt idx="77">
                  <c:v>44712</c:v>
                </c:pt>
                <c:pt idx="78">
                  <c:v>44711</c:v>
                </c:pt>
                <c:pt idx="79">
                  <c:v>44708</c:v>
                </c:pt>
                <c:pt idx="80">
                  <c:v>44707</c:v>
                </c:pt>
                <c:pt idx="81">
                  <c:v>44706</c:v>
                </c:pt>
                <c:pt idx="82">
                  <c:v>44705</c:v>
                </c:pt>
                <c:pt idx="83">
                  <c:v>44704</c:v>
                </c:pt>
                <c:pt idx="84">
                  <c:v>44701</c:v>
                </c:pt>
                <c:pt idx="85">
                  <c:v>44700</c:v>
                </c:pt>
                <c:pt idx="86">
                  <c:v>44699</c:v>
                </c:pt>
                <c:pt idx="87">
                  <c:v>44698</c:v>
                </c:pt>
                <c:pt idx="88">
                  <c:v>44697</c:v>
                </c:pt>
                <c:pt idx="89">
                  <c:v>44694</c:v>
                </c:pt>
                <c:pt idx="90">
                  <c:v>44693</c:v>
                </c:pt>
                <c:pt idx="91">
                  <c:v>44692</c:v>
                </c:pt>
                <c:pt idx="92">
                  <c:v>44691</c:v>
                </c:pt>
                <c:pt idx="93">
                  <c:v>44690</c:v>
                </c:pt>
                <c:pt idx="94">
                  <c:v>44687</c:v>
                </c:pt>
                <c:pt idx="95">
                  <c:v>44686</c:v>
                </c:pt>
                <c:pt idx="96">
                  <c:v>44685</c:v>
                </c:pt>
                <c:pt idx="97">
                  <c:v>44684</c:v>
                </c:pt>
                <c:pt idx="98">
                  <c:v>44683</c:v>
                </c:pt>
                <c:pt idx="99">
                  <c:v>44680</c:v>
                </c:pt>
                <c:pt idx="100">
                  <c:v>44679</c:v>
                </c:pt>
                <c:pt idx="101">
                  <c:v>44678</c:v>
                </c:pt>
                <c:pt idx="102">
                  <c:v>44677</c:v>
                </c:pt>
                <c:pt idx="103">
                  <c:v>44676</c:v>
                </c:pt>
                <c:pt idx="104">
                  <c:v>44673</c:v>
                </c:pt>
                <c:pt idx="105">
                  <c:v>44672</c:v>
                </c:pt>
                <c:pt idx="106">
                  <c:v>44671</c:v>
                </c:pt>
                <c:pt idx="107">
                  <c:v>44670</c:v>
                </c:pt>
                <c:pt idx="108">
                  <c:v>44669</c:v>
                </c:pt>
                <c:pt idx="109">
                  <c:v>44666</c:v>
                </c:pt>
                <c:pt idx="110">
                  <c:v>44665</c:v>
                </c:pt>
                <c:pt idx="111">
                  <c:v>44664</c:v>
                </c:pt>
                <c:pt idx="112">
                  <c:v>44663</c:v>
                </c:pt>
                <c:pt idx="113">
                  <c:v>44662</c:v>
                </c:pt>
                <c:pt idx="114">
                  <c:v>44659</c:v>
                </c:pt>
                <c:pt idx="115">
                  <c:v>44658</c:v>
                </c:pt>
                <c:pt idx="116">
                  <c:v>44657</c:v>
                </c:pt>
                <c:pt idx="117">
                  <c:v>44656</c:v>
                </c:pt>
                <c:pt idx="118">
                  <c:v>44655</c:v>
                </c:pt>
                <c:pt idx="119">
                  <c:v>44652</c:v>
                </c:pt>
                <c:pt idx="120">
                  <c:v>44651</c:v>
                </c:pt>
                <c:pt idx="121">
                  <c:v>44650</c:v>
                </c:pt>
                <c:pt idx="122">
                  <c:v>44649</c:v>
                </c:pt>
                <c:pt idx="123">
                  <c:v>44648</c:v>
                </c:pt>
                <c:pt idx="124">
                  <c:v>44645</c:v>
                </c:pt>
                <c:pt idx="125">
                  <c:v>44644</c:v>
                </c:pt>
                <c:pt idx="126">
                  <c:v>44643</c:v>
                </c:pt>
                <c:pt idx="127">
                  <c:v>44642</c:v>
                </c:pt>
                <c:pt idx="128">
                  <c:v>44641</c:v>
                </c:pt>
                <c:pt idx="129">
                  <c:v>44638</c:v>
                </c:pt>
                <c:pt idx="130">
                  <c:v>44637</c:v>
                </c:pt>
                <c:pt idx="131">
                  <c:v>44636</c:v>
                </c:pt>
                <c:pt idx="132">
                  <c:v>44635</c:v>
                </c:pt>
                <c:pt idx="133">
                  <c:v>44634</c:v>
                </c:pt>
                <c:pt idx="134">
                  <c:v>44631</c:v>
                </c:pt>
                <c:pt idx="135">
                  <c:v>44630</c:v>
                </c:pt>
                <c:pt idx="136">
                  <c:v>44629</c:v>
                </c:pt>
                <c:pt idx="137">
                  <c:v>44628</c:v>
                </c:pt>
                <c:pt idx="138">
                  <c:v>44627</c:v>
                </c:pt>
                <c:pt idx="139">
                  <c:v>44624</c:v>
                </c:pt>
                <c:pt idx="140">
                  <c:v>44623</c:v>
                </c:pt>
                <c:pt idx="141">
                  <c:v>44622</c:v>
                </c:pt>
                <c:pt idx="142">
                  <c:v>44621</c:v>
                </c:pt>
                <c:pt idx="143">
                  <c:v>44620</c:v>
                </c:pt>
                <c:pt idx="144">
                  <c:v>44617</c:v>
                </c:pt>
                <c:pt idx="145">
                  <c:v>44616</c:v>
                </c:pt>
                <c:pt idx="146">
                  <c:v>44615</c:v>
                </c:pt>
                <c:pt idx="147">
                  <c:v>44614</c:v>
                </c:pt>
                <c:pt idx="148">
                  <c:v>44613</c:v>
                </c:pt>
                <c:pt idx="149">
                  <c:v>44610</c:v>
                </c:pt>
                <c:pt idx="150">
                  <c:v>44609</c:v>
                </c:pt>
                <c:pt idx="151">
                  <c:v>44608</c:v>
                </c:pt>
                <c:pt idx="152">
                  <c:v>44607</c:v>
                </c:pt>
                <c:pt idx="153">
                  <c:v>44606</c:v>
                </c:pt>
                <c:pt idx="154">
                  <c:v>44603</c:v>
                </c:pt>
                <c:pt idx="155">
                  <c:v>44602</c:v>
                </c:pt>
                <c:pt idx="156">
                  <c:v>44601</c:v>
                </c:pt>
                <c:pt idx="157">
                  <c:v>44600</c:v>
                </c:pt>
                <c:pt idx="158">
                  <c:v>44599</c:v>
                </c:pt>
                <c:pt idx="159">
                  <c:v>44596</c:v>
                </c:pt>
                <c:pt idx="160">
                  <c:v>44595</c:v>
                </c:pt>
                <c:pt idx="161">
                  <c:v>44594</c:v>
                </c:pt>
                <c:pt idx="162">
                  <c:v>44593</c:v>
                </c:pt>
                <c:pt idx="163">
                  <c:v>44592</c:v>
                </c:pt>
                <c:pt idx="164">
                  <c:v>44589</c:v>
                </c:pt>
                <c:pt idx="165">
                  <c:v>44588</c:v>
                </c:pt>
                <c:pt idx="166">
                  <c:v>44587</c:v>
                </c:pt>
                <c:pt idx="167">
                  <c:v>44586</c:v>
                </c:pt>
                <c:pt idx="168">
                  <c:v>44585</c:v>
                </c:pt>
                <c:pt idx="169">
                  <c:v>44582</c:v>
                </c:pt>
                <c:pt idx="170">
                  <c:v>44581</c:v>
                </c:pt>
                <c:pt idx="171">
                  <c:v>44580</c:v>
                </c:pt>
                <c:pt idx="172">
                  <c:v>44579</c:v>
                </c:pt>
                <c:pt idx="173">
                  <c:v>44578</c:v>
                </c:pt>
                <c:pt idx="174">
                  <c:v>44575</c:v>
                </c:pt>
                <c:pt idx="175">
                  <c:v>44574</c:v>
                </c:pt>
                <c:pt idx="176">
                  <c:v>44573</c:v>
                </c:pt>
                <c:pt idx="177">
                  <c:v>44572</c:v>
                </c:pt>
                <c:pt idx="178">
                  <c:v>44571</c:v>
                </c:pt>
                <c:pt idx="179">
                  <c:v>44568</c:v>
                </c:pt>
                <c:pt idx="180">
                  <c:v>44567</c:v>
                </c:pt>
                <c:pt idx="181">
                  <c:v>44566</c:v>
                </c:pt>
                <c:pt idx="182">
                  <c:v>44565</c:v>
                </c:pt>
                <c:pt idx="183">
                  <c:v>44564</c:v>
                </c:pt>
                <c:pt idx="184">
                  <c:v>44561</c:v>
                </c:pt>
                <c:pt idx="185">
                  <c:v>44560</c:v>
                </c:pt>
                <c:pt idx="186">
                  <c:v>44559</c:v>
                </c:pt>
                <c:pt idx="187">
                  <c:v>44558</c:v>
                </c:pt>
                <c:pt idx="188">
                  <c:v>44557</c:v>
                </c:pt>
                <c:pt idx="189">
                  <c:v>44554</c:v>
                </c:pt>
                <c:pt idx="190">
                  <c:v>44553</c:v>
                </c:pt>
                <c:pt idx="191">
                  <c:v>44552</c:v>
                </c:pt>
                <c:pt idx="192">
                  <c:v>44551</c:v>
                </c:pt>
                <c:pt idx="193">
                  <c:v>44550</c:v>
                </c:pt>
                <c:pt idx="194">
                  <c:v>44547</c:v>
                </c:pt>
                <c:pt idx="195">
                  <c:v>44546</c:v>
                </c:pt>
                <c:pt idx="196">
                  <c:v>44545</c:v>
                </c:pt>
                <c:pt idx="197">
                  <c:v>44544</c:v>
                </c:pt>
                <c:pt idx="198">
                  <c:v>44543</c:v>
                </c:pt>
                <c:pt idx="199">
                  <c:v>44540</c:v>
                </c:pt>
                <c:pt idx="200">
                  <c:v>44539</c:v>
                </c:pt>
                <c:pt idx="201">
                  <c:v>44538</c:v>
                </c:pt>
                <c:pt idx="202">
                  <c:v>44537</c:v>
                </c:pt>
                <c:pt idx="203">
                  <c:v>44536</c:v>
                </c:pt>
                <c:pt idx="204">
                  <c:v>44533</c:v>
                </c:pt>
                <c:pt idx="205">
                  <c:v>44532</c:v>
                </c:pt>
                <c:pt idx="206">
                  <c:v>44531</c:v>
                </c:pt>
                <c:pt idx="207">
                  <c:v>44530</c:v>
                </c:pt>
                <c:pt idx="208">
                  <c:v>44529</c:v>
                </c:pt>
                <c:pt idx="209">
                  <c:v>44526</c:v>
                </c:pt>
                <c:pt idx="210">
                  <c:v>44525</c:v>
                </c:pt>
                <c:pt idx="211">
                  <c:v>44524</c:v>
                </c:pt>
                <c:pt idx="212">
                  <c:v>44523</c:v>
                </c:pt>
                <c:pt idx="213">
                  <c:v>44522</c:v>
                </c:pt>
                <c:pt idx="214">
                  <c:v>44519</c:v>
                </c:pt>
                <c:pt idx="215">
                  <c:v>44518</c:v>
                </c:pt>
                <c:pt idx="216">
                  <c:v>44517</c:v>
                </c:pt>
                <c:pt idx="217">
                  <c:v>44516</c:v>
                </c:pt>
                <c:pt idx="218">
                  <c:v>44515</c:v>
                </c:pt>
                <c:pt idx="219">
                  <c:v>44512</c:v>
                </c:pt>
                <c:pt idx="220">
                  <c:v>44511</c:v>
                </c:pt>
                <c:pt idx="221">
                  <c:v>44510</c:v>
                </c:pt>
                <c:pt idx="222">
                  <c:v>44509</c:v>
                </c:pt>
                <c:pt idx="223">
                  <c:v>44508</c:v>
                </c:pt>
                <c:pt idx="224">
                  <c:v>44505</c:v>
                </c:pt>
                <c:pt idx="225">
                  <c:v>44504</c:v>
                </c:pt>
                <c:pt idx="226">
                  <c:v>44503</c:v>
                </c:pt>
                <c:pt idx="227">
                  <c:v>44502</c:v>
                </c:pt>
                <c:pt idx="228">
                  <c:v>44501</c:v>
                </c:pt>
                <c:pt idx="229">
                  <c:v>44498</c:v>
                </c:pt>
                <c:pt idx="230">
                  <c:v>44497</c:v>
                </c:pt>
                <c:pt idx="231">
                  <c:v>44496</c:v>
                </c:pt>
                <c:pt idx="232">
                  <c:v>44495</c:v>
                </c:pt>
                <c:pt idx="233">
                  <c:v>44494</c:v>
                </c:pt>
                <c:pt idx="234">
                  <c:v>44491</c:v>
                </c:pt>
                <c:pt idx="235">
                  <c:v>44490</c:v>
                </c:pt>
                <c:pt idx="236">
                  <c:v>44489</c:v>
                </c:pt>
                <c:pt idx="237">
                  <c:v>44488</c:v>
                </c:pt>
                <c:pt idx="238">
                  <c:v>44487</c:v>
                </c:pt>
                <c:pt idx="239">
                  <c:v>44484</c:v>
                </c:pt>
                <c:pt idx="240">
                  <c:v>44483</c:v>
                </c:pt>
                <c:pt idx="241">
                  <c:v>44482</c:v>
                </c:pt>
                <c:pt idx="242">
                  <c:v>44481</c:v>
                </c:pt>
                <c:pt idx="243">
                  <c:v>44480</c:v>
                </c:pt>
                <c:pt idx="244">
                  <c:v>44477</c:v>
                </c:pt>
                <c:pt idx="245">
                  <c:v>44476</c:v>
                </c:pt>
                <c:pt idx="246">
                  <c:v>44475</c:v>
                </c:pt>
                <c:pt idx="247">
                  <c:v>44474</c:v>
                </c:pt>
                <c:pt idx="248">
                  <c:v>44473</c:v>
                </c:pt>
                <c:pt idx="249">
                  <c:v>44470</c:v>
                </c:pt>
                <c:pt idx="250">
                  <c:v>44469</c:v>
                </c:pt>
                <c:pt idx="251">
                  <c:v>44468</c:v>
                </c:pt>
                <c:pt idx="252">
                  <c:v>44467</c:v>
                </c:pt>
                <c:pt idx="253">
                  <c:v>44466</c:v>
                </c:pt>
                <c:pt idx="254">
                  <c:v>44463</c:v>
                </c:pt>
                <c:pt idx="255">
                  <c:v>44462</c:v>
                </c:pt>
                <c:pt idx="256">
                  <c:v>44461</c:v>
                </c:pt>
                <c:pt idx="257">
                  <c:v>44460</c:v>
                </c:pt>
                <c:pt idx="258">
                  <c:v>44459</c:v>
                </c:pt>
                <c:pt idx="259">
                  <c:v>44456</c:v>
                </c:pt>
                <c:pt idx="260">
                  <c:v>44455</c:v>
                </c:pt>
                <c:pt idx="261">
                  <c:v>44454</c:v>
                </c:pt>
                <c:pt idx="262">
                  <c:v>44453</c:v>
                </c:pt>
                <c:pt idx="263">
                  <c:v>44452</c:v>
                </c:pt>
                <c:pt idx="264">
                  <c:v>44449</c:v>
                </c:pt>
                <c:pt idx="265">
                  <c:v>44448</c:v>
                </c:pt>
                <c:pt idx="266">
                  <c:v>44447</c:v>
                </c:pt>
                <c:pt idx="267">
                  <c:v>44446</c:v>
                </c:pt>
                <c:pt idx="268">
                  <c:v>44445</c:v>
                </c:pt>
                <c:pt idx="269">
                  <c:v>44442</c:v>
                </c:pt>
                <c:pt idx="270">
                  <c:v>44441</c:v>
                </c:pt>
                <c:pt idx="271">
                  <c:v>44440</c:v>
                </c:pt>
                <c:pt idx="272">
                  <c:v>44439</c:v>
                </c:pt>
                <c:pt idx="273">
                  <c:v>44438</c:v>
                </c:pt>
                <c:pt idx="274">
                  <c:v>44435</c:v>
                </c:pt>
                <c:pt idx="275">
                  <c:v>44434</c:v>
                </c:pt>
                <c:pt idx="276">
                  <c:v>44433</c:v>
                </c:pt>
                <c:pt idx="277">
                  <c:v>44432</c:v>
                </c:pt>
                <c:pt idx="278">
                  <c:v>44431</c:v>
                </c:pt>
                <c:pt idx="279">
                  <c:v>44428</c:v>
                </c:pt>
                <c:pt idx="280">
                  <c:v>44427</c:v>
                </c:pt>
                <c:pt idx="281">
                  <c:v>44426</c:v>
                </c:pt>
                <c:pt idx="282">
                  <c:v>44425</c:v>
                </c:pt>
                <c:pt idx="283">
                  <c:v>44424</c:v>
                </c:pt>
                <c:pt idx="284">
                  <c:v>44421</c:v>
                </c:pt>
                <c:pt idx="285">
                  <c:v>44420</c:v>
                </c:pt>
                <c:pt idx="286">
                  <c:v>44419</c:v>
                </c:pt>
                <c:pt idx="287">
                  <c:v>44418</c:v>
                </c:pt>
                <c:pt idx="288">
                  <c:v>44417</c:v>
                </c:pt>
                <c:pt idx="289">
                  <c:v>44414</c:v>
                </c:pt>
                <c:pt idx="290">
                  <c:v>44413</c:v>
                </c:pt>
                <c:pt idx="291">
                  <c:v>44412</c:v>
                </c:pt>
                <c:pt idx="292">
                  <c:v>44411</c:v>
                </c:pt>
                <c:pt idx="293">
                  <c:v>44410</c:v>
                </c:pt>
                <c:pt idx="294">
                  <c:v>44407</c:v>
                </c:pt>
                <c:pt idx="295">
                  <c:v>44406</c:v>
                </c:pt>
                <c:pt idx="296">
                  <c:v>44405</c:v>
                </c:pt>
                <c:pt idx="297">
                  <c:v>44404</c:v>
                </c:pt>
                <c:pt idx="298">
                  <c:v>44403</c:v>
                </c:pt>
                <c:pt idx="299">
                  <c:v>44400</c:v>
                </c:pt>
                <c:pt idx="300">
                  <c:v>44399</c:v>
                </c:pt>
                <c:pt idx="301">
                  <c:v>44398</c:v>
                </c:pt>
                <c:pt idx="302">
                  <c:v>44397</c:v>
                </c:pt>
                <c:pt idx="303">
                  <c:v>44396</c:v>
                </c:pt>
                <c:pt idx="304">
                  <c:v>44393</c:v>
                </c:pt>
                <c:pt idx="305">
                  <c:v>44392</c:v>
                </c:pt>
                <c:pt idx="306">
                  <c:v>44391</c:v>
                </c:pt>
                <c:pt idx="307">
                  <c:v>44390</c:v>
                </c:pt>
                <c:pt idx="308">
                  <c:v>44389</c:v>
                </c:pt>
                <c:pt idx="309">
                  <c:v>44386</c:v>
                </c:pt>
                <c:pt idx="310">
                  <c:v>44385</c:v>
                </c:pt>
                <c:pt idx="311">
                  <c:v>44384</c:v>
                </c:pt>
                <c:pt idx="312">
                  <c:v>44383</c:v>
                </c:pt>
                <c:pt idx="313">
                  <c:v>44382</c:v>
                </c:pt>
                <c:pt idx="314">
                  <c:v>44379</c:v>
                </c:pt>
                <c:pt idx="315">
                  <c:v>44378</c:v>
                </c:pt>
                <c:pt idx="316">
                  <c:v>44377</c:v>
                </c:pt>
                <c:pt idx="317">
                  <c:v>44376</c:v>
                </c:pt>
                <c:pt idx="318">
                  <c:v>44375</c:v>
                </c:pt>
                <c:pt idx="319">
                  <c:v>44372</c:v>
                </c:pt>
                <c:pt idx="320">
                  <c:v>44371</c:v>
                </c:pt>
                <c:pt idx="321">
                  <c:v>44370</c:v>
                </c:pt>
                <c:pt idx="322">
                  <c:v>44369</c:v>
                </c:pt>
                <c:pt idx="323">
                  <c:v>44368</c:v>
                </c:pt>
                <c:pt idx="324">
                  <c:v>44365</c:v>
                </c:pt>
                <c:pt idx="325">
                  <c:v>44364</c:v>
                </c:pt>
                <c:pt idx="326">
                  <c:v>44363</c:v>
                </c:pt>
                <c:pt idx="327">
                  <c:v>44362</c:v>
                </c:pt>
                <c:pt idx="328">
                  <c:v>44361</c:v>
                </c:pt>
                <c:pt idx="329">
                  <c:v>44358</c:v>
                </c:pt>
                <c:pt idx="330">
                  <c:v>44357</c:v>
                </c:pt>
                <c:pt idx="331">
                  <c:v>44356</c:v>
                </c:pt>
                <c:pt idx="332">
                  <c:v>44355</c:v>
                </c:pt>
                <c:pt idx="333">
                  <c:v>44354</c:v>
                </c:pt>
                <c:pt idx="334">
                  <c:v>44351</c:v>
                </c:pt>
                <c:pt idx="335">
                  <c:v>44350</c:v>
                </c:pt>
                <c:pt idx="336">
                  <c:v>44349</c:v>
                </c:pt>
                <c:pt idx="337">
                  <c:v>44348</c:v>
                </c:pt>
                <c:pt idx="338">
                  <c:v>44347</c:v>
                </c:pt>
                <c:pt idx="339">
                  <c:v>44344</c:v>
                </c:pt>
                <c:pt idx="340">
                  <c:v>44343</c:v>
                </c:pt>
                <c:pt idx="341">
                  <c:v>44342</c:v>
                </c:pt>
                <c:pt idx="342">
                  <c:v>44341</c:v>
                </c:pt>
                <c:pt idx="343">
                  <c:v>44340</c:v>
                </c:pt>
                <c:pt idx="344">
                  <c:v>44337</c:v>
                </c:pt>
                <c:pt idx="345">
                  <c:v>44336</c:v>
                </c:pt>
                <c:pt idx="346">
                  <c:v>44335</c:v>
                </c:pt>
                <c:pt idx="347">
                  <c:v>44334</c:v>
                </c:pt>
                <c:pt idx="348">
                  <c:v>44333</c:v>
                </c:pt>
                <c:pt idx="349">
                  <c:v>44330</c:v>
                </c:pt>
                <c:pt idx="350">
                  <c:v>44329</c:v>
                </c:pt>
                <c:pt idx="351">
                  <c:v>44328</c:v>
                </c:pt>
                <c:pt idx="352">
                  <c:v>44327</c:v>
                </c:pt>
                <c:pt idx="353">
                  <c:v>44326</c:v>
                </c:pt>
                <c:pt idx="354">
                  <c:v>44323</c:v>
                </c:pt>
                <c:pt idx="355">
                  <c:v>44322</c:v>
                </c:pt>
                <c:pt idx="356">
                  <c:v>44321</c:v>
                </c:pt>
                <c:pt idx="357">
                  <c:v>44320</c:v>
                </c:pt>
                <c:pt idx="358">
                  <c:v>44319</c:v>
                </c:pt>
                <c:pt idx="359">
                  <c:v>44316</c:v>
                </c:pt>
                <c:pt idx="360">
                  <c:v>44315</c:v>
                </c:pt>
                <c:pt idx="361">
                  <c:v>44314</c:v>
                </c:pt>
                <c:pt idx="362">
                  <c:v>44313</c:v>
                </c:pt>
                <c:pt idx="363">
                  <c:v>44312</c:v>
                </c:pt>
                <c:pt idx="364">
                  <c:v>44309</c:v>
                </c:pt>
                <c:pt idx="365">
                  <c:v>44308</c:v>
                </c:pt>
                <c:pt idx="366">
                  <c:v>44307</c:v>
                </c:pt>
                <c:pt idx="367">
                  <c:v>44306</c:v>
                </c:pt>
                <c:pt idx="368">
                  <c:v>44305</c:v>
                </c:pt>
                <c:pt idx="369">
                  <c:v>44302</c:v>
                </c:pt>
                <c:pt idx="370">
                  <c:v>44301</c:v>
                </c:pt>
                <c:pt idx="371">
                  <c:v>44300</c:v>
                </c:pt>
                <c:pt idx="372">
                  <c:v>44299</c:v>
                </c:pt>
                <c:pt idx="373">
                  <c:v>44298</c:v>
                </c:pt>
                <c:pt idx="374">
                  <c:v>44295</c:v>
                </c:pt>
                <c:pt idx="375">
                  <c:v>44294</c:v>
                </c:pt>
                <c:pt idx="376">
                  <c:v>44293</c:v>
                </c:pt>
                <c:pt idx="377">
                  <c:v>44292</c:v>
                </c:pt>
                <c:pt idx="378">
                  <c:v>44291</c:v>
                </c:pt>
                <c:pt idx="379">
                  <c:v>44288</c:v>
                </c:pt>
                <c:pt idx="380">
                  <c:v>44287</c:v>
                </c:pt>
                <c:pt idx="381">
                  <c:v>44286</c:v>
                </c:pt>
                <c:pt idx="382">
                  <c:v>44285</c:v>
                </c:pt>
                <c:pt idx="383">
                  <c:v>44284</c:v>
                </c:pt>
                <c:pt idx="384">
                  <c:v>44281</c:v>
                </c:pt>
                <c:pt idx="385">
                  <c:v>44280</c:v>
                </c:pt>
                <c:pt idx="386">
                  <c:v>44279</c:v>
                </c:pt>
                <c:pt idx="387">
                  <c:v>44278</c:v>
                </c:pt>
                <c:pt idx="388">
                  <c:v>44277</c:v>
                </c:pt>
                <c:pt idx="389">
                  <c:v>44274</c:v>
                </c:pt>
                <c:pt idx="390">
                  <c:v>44273</c:v>
                </c:pt>
                <c:pt idx="391">
                  <c:v>44272</c:v>
                </c:pt>
                <c:pt idx="392">
                  <c:v>44271</c:v>
                </c:pt>
                <c:pt idx="393">
                  <c:v>44270</c:v>
                </c:pt>
                <c:pt idx="394">
                  <c:v>44267</c:v>
                </c:pt>
              </c:numCache>
            </c:numRef>
          </c:cat>
          <c:val>
            <c:numRef>
              <c:f>Correlations!$K$6:$K$400</c:f>
              <c:numCache>
                <c:formatCode>#,##0.00</c:formatCode>
                <c:ptCount val="395"/>
                <c:pt idx="0">
                  <c:v>0.28030103345767432</c:v>
                </c:pt>
                <c:pt idx="1">
                  <c:v>0.31976284682114114</c:v>
                </c:pt>
                <c:pt idx="2">
                  <c:v>0.36372746716767512</c:v>
                </c:pt>
                <c:pt idx="3">
                  <c:v>0.41912773649924578</c:v>
                </c:pt>
                <c:pt idx="4">
                  <c:v>0.4766854968568085</c:v>
                </c:pt>
                <c:pt idx="5">
                  <c:v>0.51401094566872629</c:v>
                </c:pt>
                <c:pt idx="6">
                  <c:v>0.54158653542387614</c:v>
                </c:pt>
                <c:pt idx="7">
                  <c:v>0.55511480666819069</c:v>
                </c:pt>
                <c:pt idx="8">
                  <c:v>0.56760899610970328</c:v>
                </c:pt>
                <c:pt idx="9">
                  <c:v>0.57918907339501424</c:v>
                </c:pt>
                <c:pt idx="10">
                  <c:v>0.59779509687303267</c:v>
                </c:pt>
                <c:pt idx="11">
                  <c:v>0.61579758174021193</c:v>
                </c:pt>
                <c:pt idx="12">
                  <c:v>0.62805668545673621</c:v>
                </c:pt>
                <c:pt idx="13">
                  <c:v>0.64054357895114555</c:v>
                </c:pt>
                <c:pt idx="14">
                  <c:v>0.64212125302565703</c:v>
                </c:pt>
                <c:pt idx="15">
                  <c:v>0.64043689285932848</c:v>
                </c:pt>
                <c:pt idx="16">
                  <c:v>0.63309323590625954</c:v>
                </c:pt>
                <c:pt idx="17">
                  <c:v>0.62441844700383375</c:v>
                </c:pt>
                <c:pt idx="18">
                  <c:v>0.6111188830940868</c:v>
                </c:pt>
                <c:pt idx="19">
                  <c:v>0.59020071406524865</c:v>
                </c:pt>
                <c:pt idx="20">
                  <c:v>0.57224425186000305</c:v>
                </c:pt>
                <c:pt idx="21">
                  <c:v>0.5608319899244455</c:v>
                </c:pt>
                <c:pt idx="22">
                  <c:v>0.54502542710688895</c:v>
                </c:pt>
                <c:pt idx="23">
                  <c:v>0.53125822185640259</c:v>
                </c:pt>
                <c:pt idx="24">
                  <c:v>0.53896587297233656</c:v>
                </c:pt>
                <c:pt idx="25">
                  <c:v>0.55560088563527499</c:v>
                </c:pt>
                <c:pt idx="26">
                  <c:v>0.57283973699253354</c:v>
                </c:pt>
                <c:pt idx="27">
                  <c:v>0.59116631619555371</c:v>
                </c:pt>
                <c:pt idx="28">
                  <c:v>0.63223190564632537</c:v>
                </c:pt>
                <c:pt idx="29">
                  <c:v>0.68404924896677444</c:v>
                </c:pt>
                <c:pt idx="30">
                  <c:v>0.73298830961855499</c:v>
                </c:pt>
                <c:pt idx="31">
                  <c:v>0.76208969071134736</c:v>
                </c:pt>
                <c:pt idx="32">
                  <c:v>0.77562158267312276</c:v>
                </c:pt>
                <c:pt idx="33">
                  <c:v>0.78406968842023506</c:v>
                </c:pt>
                <c:pt idx="34">
                  <c:v>0.78522478388314643</c:v>
                </c:pt>
                <c:pt idx="35">
                  <c:v>0.78366969835922839</c:v>
                </c:pt>
                <c:pt idx="36">
                  <c:v>0.78046636732490016</c:v>
                </c:pt>
                <c:pt idx="37">
                  <c:v>0.77262169142359083</c:v>
                </c:pt>
                <c:pt idx="38">
                  <c:v>0.76966096403092965</c:v>
                </c:pt>
                <c:pt idx="39">
                  <c:v>0.76219738833818174</c:v>
                </c:pt>
                <c:pt idx="40">
                  <c:v>0.76163555621798684</c:v>
                </c:pt>
                <c:pt idx="41">
                  <c:v>0.76357314659165121</c:v>
                </c:pt>
                <c:pt idx="42">
                  <c:v>0.77028379767950972</c:v>
                </c:pt>
                <c:pt idx="43">
                  <c:v>0.77243046483521183</c:v>
                </c:pt>
                <c:pt idx="44">
                  <c:v>0.76480863638728891</c:v>
                </c:pt>
                <c:pt idx="45">
                  <c:v>0.73869750767944031</c:v>
                </c:pt>
                <c:pt idx="46">
                  <c:v>0.71027999517015905</c:v>
                </c:pt>
                <c:pt idx="47">
                  <c:v>0.64195125611845716</c:v>
                </c:pt>
                <c:pt idx="48">
                  <c:v>0.57744087676939226</c:v>
                </c:pt>
                <c:pt idx="49">
                  <c:v>0.515697139218522</c:v>
                </c:pt>
                <c:pt idx="50">
                  <c:v>0.46146240429890945</c:v>
                </c:pt>
                <c:pt idx="51">
                  <c:v>0.43274917497598142</c:v>
                </c:pt>
                <c:pt idx="52">
                  <c:v>0.37668741562069474</c:v>
                </c:pt>
                <c:pt idx="53">
                  <c:v>0.38443315093434272</c:v>
                </c:pt>
                <c:pt idx="54">
                  <c:v>0.40727456411618762</c:v>
                </c:pt>
                <c:pt idx="55">
                  <c:v>0.42525030892149063</c:v>
                </c:pt>
                <c:pt idx="56">
                  <c:v>0.44102191237282751</c:v>
                </c:pt>
                <c:pt idx="57">
                  <c:v>0.47070302600204245</c:v>
                </c:pt>
                <c:pt idx="58">
                  <c:v>0.49722246819970178</c:v>
                </c:pt>
                <c:pt idx="59">
                  <c:v>0.50910985882297388</c:v>
                </c:pt>
                <c:pt idx="60">
                  <c:v>0.51815321067689402</c:v>
                </c:pt>
                <c:pt idx="61">
                  <c:v>0.52419964600481572</c:v>
                </c:pt>
                <c:pt idx="62">
                  <c:v>0.53037036427165862</c:v>
                </c:pt>
                <c:pt idx="63">
                  <c:v>0.5389157692126022</c:v>
                </c:pt>
                <c:pt idx="64">
                  <c:v>0.55066249421651237</c:v>
                </c:pt>
                <c:pt idx="65">
                  <c:v>0.56753877682564524</c:v>
                </c:pt>
                <c:pt idx="66">
                  <c:v>0.57882425878046118</c:v>
                </c:pt>
                <c:pt idx="67">
                  <c:v>0.59410473319865265</c:v>
                </c:pt>
                <c:pt idx="68">
                  <c:v>0.60917908686414912</c:v>
                </c:pt>
                <c:pt idx="69">
                  <c:v>0.63101044851043209</c:v>
                </c:pt>
                <c:pt idx="70">
                  <c:v>0.65134058295921915</c:v>
                </c:pt>
                <c:pt idx="71">
                  <c:v>0.66895144436954312</c:v>
                </c:pt>
                <c:pt idx="72">
                  <c:v>0.68531930097795635</c:v>
                </c:pt>
                <c:pt idx="73">
                  <c:v>0.69666153764542671</c:v>
                </c:pt>
                <c:pt idx="74">
                  <c:v>0.70600272878220283</c:v>
                </c:pt>
                <c:pt idx="75">
                  <c:v>0.71333253384488771</c:v>
                </c:pt>
                <c:pt idx="76">
                  <c:v>0.71865555710788365</c:v>
                </c:pt>
                <c:pt idx="77">
                  <c:v>0.72364606804933251</c:v>
                </c:pt>
                <c:pt idx="78">
                  <c:v>0.72690552940895736</c:v>
                </c:pt>
                <c:pt idx="79">
                  <c:v>0.73624896574464915</c:v>
                </c:pt>
                <c:pt idx="80">
                  <c:v>0.74948091372531378</c:v>
                </c:pt>
                <c:pt idx="81">
                  <c:v>0.75929973239477089</c:v>
                </c:pt>
                <c:pt idx="82">
                  <c:v>0.7712271978794879</c:v>
                </c:pt>
                <c:pt idx="83">
                  <c:v>0.77867879076116298</c:v>
                </c:pt>
                <c:pt idx="84">
                  <c:v>0.78238400318471624</c:v>
                </c:pt>
                <c:pt idx="85">
                  <c:v>0.78458646098267926</c:v>
                </c:pt>
                <c:pt idx="86">
                  <c:v>0.78749891640231362</c:v>
                </c:pt>
                <c:pt idx="87">
                  <c:v>0.79007481875697627</c:v>
                </c:pt>
                <c:pt idx="88">
                  <c:v>0.79225833869934881</c:v>
                </c:pt>
                <c:pt idx="89">
                  <c:v>0.79538730566363647</c:v>
                </c:pt>
                <c:pt idx="90">
                  <c:v>0.79900666257274777</c:v>
                </c:pt>
                <c:pt idx="91">
                  <c:v>0.80091000728565598</c:v>
                </c:pt>
                <c:pt idx="92">
                  <c:v>0.80297709818899476</c:v>
                </c:pt>
                <c:pt idx="93">
                  <c:v>0.80611607733232882</c:v>
                </c:pt>
                <c:pt idx="94">
                  <c:v>0.80843587190310839</c:v>
                </c:pt>
                <c:pt idx="95">
                  <c:v>0.80543721560957882</c:v>
                </c:pt>
                <c:pt idx="96">
                  <c:v>0.80181786091245055</c:v>
                </c:pt>
                <c:pt idx="97">
                  <c:v>0.79947049815142079</c:v>
                </c:pt>
                <c:pt idx="98">
                  <c:v>0.80006896679190798</c:v>
                </c:pt>
                <c:pt idx="99">
                  <c:v>0.80304205572170295</c:v>
                </c:pt>
                <c:pt idx="100">
                  <c:v>0.80607326501250787</c:v>
                </c:pt>
                <c:pt idx="101">
                  <c:v>0.80895582894045903</c:v>
                </c:pt>
                <c:pt idx="102">
                  <c:v>0.80906185992799173</c:v>
                </c:pt>
                <c:pt idx="103">
                  <c:v>0.80919488178434407</c:v>
                </c:pt>
                <c:pt idx="104">
                  <c:v>0.80702570280970576</c:v>
                </c:pt>
                <c:pt idx="105">
                  <c:v>0.80382589285434358</c:v>
                </c:pt>
                <c:pt idx="106">
                  <c:v>0.79948940894044085</c:v>
                </c:pt>
                <c:pt idx="107">
                  <c:v>0.79454264399235497</c:v>
                </c:pt>
                <c:pt idx="108">
                  <c:v>0.7888244260136934</c:v>
                </c:pt>
                <c:pt idx="109">
                  <c:v>0.78214668752362027</c:v>
                </c:pt>
                <c:pt idx="110">
                  <c:v>0.77450626350980045</c:v>
                </c:pt>
                <c:pt idx="111">
                  <c:v>0.76596287867273871</c:v>
                </c:pt>
                <c:pt idx="112">
                  <c:v>0.7562097216643997</c:v>
                </c:pt>
                <c:pt idx="113">
                  <c:v>0.74526965637021914</c:v>
                </c:pt>
                <c:pt idx="114">
                  <c:v>0.73593043456209417</c:v>
                </c:pt>
                <c:pt idx="115">
                  <c:v>0.72863115843801496</c:v>
                </c:pt>
                <c:pt idx="116">
                  <c:v>0.72215271437429485</c:v>
                </c:pt>
                <c:pt idx="117">
                  <c:v>0.71422764267971639</c:v>
                </c:pt>
                <c:pt idx="118">
                  <c:v>0.70698628138824526</c:v>
                </c:pt>
                <c:pt idx="119">
                  <c:v>0.70407396557193491</c:v>
                </c:pt>
                <c:pt idx="120">
                  <c:v>0.7017447386608392</c:v>
                </c:pt>
                <c:pt idx="121">
                  <c:v>0.70368410688908212</c:v>
                </c:pt>
                <c:pt idx="122">
                  <c:v>0.703063592333103</c:v>
                </c:pt>
                <c:pt idx="123">
                  <c:v>0.70050849448643437</c:v>
                </c:pt>
                <c:pt idx="124">
                  <c:v>0.69717309733860433</c:v>
                </c:pt>
                <c:pt idx="125">
                  <c:v>0.69182072899239921</c:v>
                </c:pt>
                <c:pt idx="126">
                  <c:v>0.68510654115372449</c:v>
                </c:pt>
                <c:pt idx="127">
                  <c:v>0.67221856074117337</c:v>
                </c:pt>
                <c:pt idx="128">
                  <c:v>0.66738571180933359</c:v>
                </c:pt>
                <c:pt idx="129">
                  <c:v>0.68237409800800763</c:v>
                </c:pt>
                <c:pt idx="130">
                  <c:v>0.695334470061438</c:v>
                </c:pt>
                <c:pt idx="131">
                  <c:v>0.70989668119720384</c:v>
                </c:pt>
                <c:pt idx="132">
                  <c:v>0.71442037778755696</c:v>
                </c:pt>
                <c:pt idx="133">
                  <c:v>0.7060107114332399</c:v>
                </c:pt>
                <c:pt idx="134">
                  <c:v>0.6873474219821194</c:v>
                </c:pt>
                <c:pt idx="135">
                  <c:v>0.65240677726790419</c:v>
                </c:pt>
                <c:pt idx="136">
                  <c:v>0.61117252274660738</c:v>
                </c:pt>
                <c:pt idx="137">
                  <c:v>0.51855902511129681</c:v>
                </c:pt>
                <c:pt idx="138">
                  <c:v>0.36691261286434546</c:v>
                </c:pt>
                <c:pt idx="139">
                  <c:v>0.24290692666697211</c:v>
                </c:pt>
                <c:pt idx="140">
                  <c:v>0.12166783995906554</c:v>
                </c:pt>
                <c:pt idx="141">
                  <c:v>4.8670798463499719E-2</c:v>
                </c:pt>
                <c:pt idx="142">
                  <c:v>-7.2418992609409788E-2</c:v>
                </c:pt>
                <c:pt idx="143">
                  <c:v>-0.14294231684513858</c:v>
                </c:pt>
                <c:pt idx="144">
                  <c:v>-0.17061961390015504</c:v>
                </c:pt>
                <c:pt idx="145">
                  <c:v>-0.21289632679175555</c:v>
                </c:pt>
                <c:pt idx="146">
                  <c:v>-0.19983649682938359</c:v>
                </c:pt>
                <c:pt idx="147">
                  <c:v>-0.17587825680101504</c:v>
                </c:pt>
                <c:pt idx="148">
                  <c:v>-0.14863721898503432</c:v>
                </c:pt>
                <c:pt idx="149">
                  <c:v>-0.12162070101788736</c:v>
                </c:pt>
                <c:pt idx="150">
                  <c:v>-9.2149023032134583E-2</c:v>
                </c:pt>
                <c:pt idx="151">
                  <c:v>-9.6672543445489437E-2</c:v>
                </c:pt>
                <c:pt idx="152">
                  <c:v>-0.10026056898597081</c:v>
                </c:pt>
                <c:pt idx="153">
                  <c:v>-0.12072697362943734</c:v>
                </c:pt>
                <c:pt idx="154">
                  <c:v>-0.13706661210511376</c:v>
                </c:pt>
                <c:pt idx="155">
                  <c:v>-0.1689358129149193</c:v>
                </c:pt>
                <c:pt idx="156">
                  <c:v>-0.19290313186255117</c:v>
                </c:pt>
                <c:pt idx="157">
                  <c:v>-0.2899616641811722</c:v>
                </c:pt>
                <c:pt idx="158">
                  <c:v>-0.37755501641656375</c:v>
                </c:pt>
                <c:pt idx="159">
                  <c:v>-0.42252927790793271</c:v>
                </c:pt>
                <c:pt idx="160">
                  <c:v>-0.44405584779794494</c:v>
                </c:pt>
                <c:pt idx="161">
                  <c:v>-0.45174145083327161</c:v>
                </c:pt>
                <c:pt idx="162">
                  <c:v>-0.45807392781384526</c:v>
                </c:pt>
                <c:pt idx="163">
                  <c:v>-0.46549339978980697</c:v>
                </c:pt>
                <c:pt idx="164">
                  <c:v>-0.46970595642071356</c:v>
                </c:pt>
                <c:pt idx="165">
                  <c:v>-0.47140014274231407</c:v>
                </c:pt>
                <c:pt idx="166">
                  <c:v>-0.46601108498825228</c:v>
                </c:pt>
                <c:pt idx="167">
                  <c:v>-0.44866500121599889</c:v>
                </c:pt>
                <c:pt idx="168">
                  <c:v>-0.43547767906117968</c:v>
                </c:pt>
                <c:pt idx="169">
                  <c:v>-0.42693656156979265</c:v>
                </c:pt>
                <c:pt idx="170">
                  <c:v>-0.41766253562053818</c:v>
                </c:pt>
                <c:pt idx="171">
                  <c:v>-0.41055431151638289</c:v>
                </c:pt>
                <c:pt idx="172">
                  <c:v>-0.40319298650616747</c:v>
                </c:pt>
                <c:pt idx="173">
                  <c:v>-0.39743692745695103</c:v>
                </c:pt>
                <c:pt idx="174">
                  <c:v>-0.39414396767224219</c:v>
                </c:pt>
                <c:pt idx="175">
                  <c:v>-0.38721485601850603</c:v>
                </c:pt>
                <c:pt idx="176">
                  <c:v>-0.38521106770987934</c:v>
                </c:pt>
                <c:pt idx="177">
                  <c:v>-0.38723032570202065</c:v>
                </c:pt>
                <c:pt idx="178">
                  <c:v>-0.38366442313626009</c:v>
                </c:pt>
                <c:pt idx="179">
                  <c:v>-0.37905076389216252</c:v>
                </c:pt>
                <c:pt idx="180">
                  <c:v>-0.3711210924924726</c:v>
                </c:pt>
                <c:pt idx="181">
                  <c:v>-0.3646267621985369</c:v>
                </c:pt>
                <c:pt idx="182">
                  <c:v>-0.35589369534113896</c:v>
                </c:pt>
                <c:pt idx="183">
                  <c:v>-0.34376763859409076</c:v>
                </c:pt>
                <c:pt idx="184">
                  <c:v>-0.33200633946253311</c:v>
                </c:pt>
                <c:pt idx="185">
                  <c:v>-0.31099242024076107</c:v>
                </c:pt>
                <c:pt idx="186">
                  <c:v>-0.28287595633977047</c:v>
                </c:pt>
                <c:pt idx="187">
                  <c:v>-0.25563425721142446</c:v>
                </c:pt>
                <c:pt idx="188">
                  <c:v>-0.23230340316022988</c:v>
                </c:pt>
                <c:pt idx="189">
                  <c:v>-0.20713224969742797</c:v>
                </c:pt>
                <c:pt idx="190">
                  <c:v>-0.18247716658102184</c:v>
                </c:pt>
                <c:pt idx="191">
                  <c:v>-0.16405801738195736</c:v>
                </c:pt>
                <c:pt idx="192">
                  <c:v>-0.14841042174517763</c:v>
                </c:pt>
                <c:pt idx="193">
                  <c:v>-0.13472611010536467</c:v>
                </c:pt>
                <c:pt idx="194">
                  <c:v>-0.12140392507838814</c:v>
                </c:pt>
                <c:pt idx="195">
                  <c:v>-0.10578071873417175</c:v>
                </c:pt>
                <c:pt idx="196">
                  <c:v>-9.0541340593475142E-2</c:v>
                </c:pt>
                <c:pt idx="197">
                  <c:v>-7.2187621223118836E-2</c:v>
                </c:pt>
                <c:pt idx="198">
                  <c:v>-5.3216988573677529E-2</c:v>
                </c:pt>
                <c:pt idx="199">
                  <c:v>-3.3807431351086659E-2</c:v>
                </c:pt>
                <c:pt idx="200">
                  <c:v>-1.1130340154838686E-2</c:v>
                </c:pt>
                <c:pt idx="201">
                  <c:v>1.4020681947295745E-2</c:v>
                </c:pt>
                <c:pt idx="202">
                  <c:v>3.8467960383460495E-2</c:v>
                </c:pt>
                <c:pt idx="203">
                  <c:v>6.5663812982481709E-2</c:v>
                </c:pt>
                <c:pt idx="204">
                  <c:v>9.5510021087281058E-2</c:v>
                </c:pt>
                <c:pt idx="205">
                  <c:v>0.12754634392630365</c:v>
                </c:pt>
                <c:pt idx="206">
                  <c:v>0.1595338767621462</c:v>
                </c:pt>
                <c:pt idx="207">
                  <c:v>0.19507752958596092</c:v>
                </c:pt>
                <c:pt idx="208">
                  <c:v>0.23333482428545846</c:v>
                </c:pt>
                <c:pt idx="209">
                  <c:v>0.26883311408499688</c:v>
                </c:pt>
                <c:pt idx="210">
                  <c:v>0.29129589253229987</c:v>
                </c:pt>
                <c:pt idx="211">
                  <c:v>0.30894709932596037</c:v>
                </c:pt>
                <c:pt idx="212">
                  <c:v>0.32589532842399271</c:v>
                </c:pt>
                <c:pt idx="213">
                  <c:v>0.34591019936275796</c:v>
                </c:pt>
                <c:pt idx="214">
                  <c:v>0.37103206655604787</c:v>
                </c:pt>
                <c:pt idx="215">
                  <c:v>0.39737001520357845</c:v>
                </c:pt>
                <c:pt idx="216">
                  <c:v>0.42472822573691082</c:v>
                </c:pt>
                <c:pt idx="217">
                  <c:v>0.45265189726098493</c:v>
                </c:pt>
                <c:pt idx="218">
                  <c:v>0.48276573998697897</c:v>
                </c:pt>
                <c:pt idx="219">
                  <c:v>0.51910546055446016</c:v>
                </c:pt>
                <c:pt idx="220">
                  <c:v>0.55384911840915185</c:v>
                </c:pt>
                <c:pt idx="221">
                  <c:v>0.58716953368526703</c:v>
                </c:pt>
                <c:pt idx="222">
                  <c:v>0.62086424695027209</c:v>
                </c:pt>
                <c:pt idx="223">
                  <c:v>0.64590786281107915</c:v>
                </c:pt>
                <c:pt idx="224">
                  <c:v>0.66823696392793475</c:v>
                </c:pt>
                <c:pt idx="225">
                  <c:v>0.69917994557733831</c:v>
                </c:pt>
                <c:pt idx="226">
                  <c:v>0.72906610557997531</c:v>
                </c:pt>
                <c:pt idx="227">
                  <c:v>0.75944605681665833</c:v>
                </c:pt>
                <c:pt idx="228">
                  <c:v>0.78751819103751908</c:v>
                </c:pt>
                <c:pt idx="229">
                  <c:v>0.81363244616836783</c:v>
                </c:pt>
                <c:pt idx="230">
                  <c:v>0.83285724056677402</c:v>
                </c:pt>
                <c:pt idx="231">
                  <c:v>0.84083821053589802</c:v>
                </c:pt>
                <c:pt idx="232">
                  <c:v>0.84467122951731233</c:v>
                </c:pt>
                <c:pt idx="233">
                  <c:v>0.84576930328414535</c:v>
                </c:pt>
                <c:pt idx="234">
                  <c:v>0.84912479211405345</c:v>
                </c:pt>
                <c:pt idx="235">
                  <c:v>0.85524522439971096</c:v>
                </c:pt>
                <c:pt idx="236">
                  <c:v>0.86135897436650755</c:v>
                </c:pt>
                <c:pt idx="237">
                  <c:v>0.86388313402072969</c:v>
                </c:pt>
                <c:pt idx="238">
                  <c:v>0.86322344514418514</c:v>
                </c:pt>
                <c:pt idx="239">
                  <c:v>0.85995700723702684</c:v>
                </c:pt>
                <c:pt idx="240">
                  <c:v>0.8526895182035561</c:v>
                </c:pt>
                <c:pt idx="241">
                  <c:v>0.8451355000329569</c:v>
                </c:pt>
                <c:pt idx="242">
                  <c:v>0.83703723670386554</c:v>
                </c:pt>
                <c:pt idx="243">
                  <c:v>0.83016113475354503</c:v>
                </c:pt>
                <c:pt idx="244">
                  <c:v>0.82295486036964027</c:v>
                </c:pt>
                <c:pt idx="245">
                  <c:v>0.81809952235790961</c:v>
                </c:pt>
                <c:pt idx="246">
                  <c:v>0.81347633590398349</c:v>
                </c:pt>
                <c:pt idx="247">
                  <c:v>0.84127983007537532</c:v>
                </c:pt>
                <c:pt idx="248">
                  <c:v>0.89837001406393757</c:v>
                </c:pt>
                <c:pt idx="249">
                  <c:v>0.93383326734158612</c:v>
                </c:pt>
                <c:pt idx="250">
                  <c:v>0.95324372284482073</c:v>
                </c:pt>
                <c:pt idx="251">
                  <c:v>0.95164095984665542</c:v>
                </c:pt>
                <c:pt idx="252">
                  <c:v>0.94972121015342781</c:v>
                </c:pt>
                <c:pt idx="253">
                  <c:v>0.94960374813674342</c:v>
                </c:pt>
                <c:pt idx="254">
                  <c:v>0.94772992182825277</c:v>
                </c:pt>
                <c:pt idx="255">
                  <c:v>0.95049243035288167</c:v>
                </c:pt>
                <c:pt idx="256">
                  <c:v>0.94914202196814679</c:v>
                </c:pt>
                <c:pt idx="257">
                  <c:v>0.94743076864551357</c:v>
                </c:pt>
                <c:pt idx="258">
                  <c:v>0.94597299615500852</c:v>
                </c:pt>
                <c:pt idx="259">
                  <c:v>0.94462202348574287</c:v>
                </c:pt>
                <c:pt idx="260">
                  <c:v>0.94351565570769924</c:v>
                </c:pt>
                <c:pt idx="261">
                  <c:v>0.94223936212218695</c:v>
                </c:pt>
                <c:pt idx="262">
                  <c:v>0.94083613616411321</c:v>
                </c:pt>
                <c:pt idx="263">
                  <c:v>0.93897518260640633</c:v>
                </c:pt>
                <c:pt idx="264">
                  <c:v>0.9369237536394518</c:v>
                </c:pt>
                <c:pt idx="265">
                  <c:v>0.93594842106229104</c:v>
                </c:pt>
                <c:pt idx="266">
                  <c:v>0.93475013343088897</c:v>
                </c:pt>
                <c:pt idx="267">
                  <c:v>0.93315283785814584</c:v>
                </c:pt>
                <c:pt idx="268">
                  <c:v>0.93131837280007757</c:v>
                </c:pt>
                <c:pt idx="269">
                  <c:v>0.92922596063590845</c:v>
                </c:pt>
                <c:pt idx="270">
                  <c:v>0.92740280116066309</c:v>
                </c:pt>
                <c:pt idx="271">
                  <c:v>0.92508674229921761</c:v>
                </c:pt>
                <c:pt idx="272">
                  <c:v>0.92317762445788565</c:v>
                </c:pt>
                <c:pt idx="273">
                  <c:v>0.92396961387732035</c:v>
                </c:pt>
                <c:pt idx="274">
                  <c:v>0.92618558531718687</c:v>
                </c:pt>
                <c:pt idx="275">
                  <c:v>0.92897178632110267</c:v>
                </c:pt>
                <c:pt idx="276">
                  <c:v>0.9292312797262835</c:v>
                </c:pt>
                <c:pt idx="277">
                  <c:v>0.92935483194242063</c:v>
                </c:pt>
                <c:pt idx="278">
                  <c:v>0.92968371133186156</c:v>
                </c:pt>
                <c:pt idx="279">
                  <c:v>0.93237776743404488</c:v>
                </c:pt>
                <c:pt idx="280">
                  <c:v>0.93582338443159774</c:v>
                </c:pt>
                <c:pt idx="281">
                  <c:v>0.93640502087011268</c:v>
                </c:pt>
                <c:pt idx="282">
                  <c:v>0.93646373141677763</c:v>
                </c:pt>
                <c:pt idx="283">
                  <c:v>0.93648190699127054</c:v>
                </c:pt>
                <c:pt idx="284">
                  <c:v>0.93624619994419911</c:v>
                </c:pt>
                <c:pt idx="285">
                  <c:v>0.93437024802548307</c:v>
                </c:pt>
                <c:pt idx="286">
                  <c:v>0.93221614250067975</c:v>
                </c:pt>
                <c:pt idx="287">
                  <c:v>0.93201030454546951</c:v>
                </c:pt>
                <c:pt idx="288">
                  <c:v>0.93271454096747863</c:v>
                </c:pt>
                <c:pt idx="289">
                  <c:v>0.93378487411990885</c:v>
                </c:pt>
                <c:pt idx="290">
                  <c:v>0.93750632773819509</c:v>
                </c:pt>
                <c:pt idx="291">
                  <c:v>0.94075121376415793</c:v>
                </c:pt>
                <c:pt idx="292">
                  <c:v>0.94534739040655891</c:v>
                </c:pt>
                <c:pt idx="293">
                  <c:v>0.95195986312077929</c:v>
                </c:pt>
                <c:pt idx="294">
                  <c:v>0.96169901081485454</c:v>
                </c:pt>
                <c:pt idx="295">
                  <c:v>0.96700192240247207</c:v>
                </c:pt>
                <c:pt idx="296">
                  <c:v>0.97389825775491801</c:v>
                </c:pt>
                <c:pt idx="297">
                  <c:v>0.97596544916792383</c:v>
                </c:pt>
                <c:pt idx="298">
                  <c:v>0.97854683508173745</c:v>
                </c:pt>
                <c:pt idx="299">
                  <c:v>0.97934722911218919</c:v>
                </c:pt>
                <c:pt idx="300">
                  <c:v>0.98078577520541432</c:v>
                </c:pt>
                <c:pt idx="301">
                  <c:v>0.98079959230892988</c:v>
                </c:pt>
                <c:pt idx="302">
                  <c:v>0.98077347336736131</c:v>
                </c:pt>
                <c:pt idx="303">
                  <c:v>0.98058345169383432</c:v>
                </c:pt>
                <c:pt idx="304">
                  <c:v>0.98029092366193216</c:v>
                </c:pt>
                <c:pt idx="305">
                  <c:v>0.98122204350668818</c:v>
                </c:pt>
                <c:pt idx="306">
                  <c:v>0.98019487266695227</c:v>
                </c:pt>
                <c:pt idx="307">
                  <c:v>0.97912603976204526</c:v>
                </c:pt>
                <c:pt idx="308">
                  <c:v>0.97771284966131189</c:v>
                </c:pt>
                <c:pt idx="309">
                  <c:v>0.97636282808233021</c:v>
                </c:pt>
                <c:pt idx="310">
                  <c:v>0.97504922977657582</c:v>
                </c:pt>
                <c:pt idx="311">
                  <c:v>0.97392132960548106</c:v>
                </c:pt>
                <c:pt idx="312">
                  <c:v>0.97264229731448226</c:v>
                </c:pt>
                <c:pt idx="313">
                  <c:v>0.97120475769093695</c:v>
                </c:pt>
                <c:pt idx="314">
                  <c:v>0.96975318670118893</c:v>
                </c:pt>
                <c:pt idx="315">
                  <c:v>0.96788695312439665</c:v>
                </c:pt>
                <c:pt idx="316">
                  <c:v>0.96577173842920505</c:v>
                </c:pt>
                <c:pt idx="317">
                  <c:v>0.9671822896435418</c:v>
                </c:pt>
                <c:pt idx="318">
                  <c:v>0.96654950764532277</c:v>
                </c:pt>
                <c:pt idx="319">
                  <c:v>0.96667070617887896</c:v>
                </c:pt>
                <c:pt idx="320">
                  <c:v>0.96668541670609365</c:v>
                </c:pt>
                <c:pt idx="321">
                  <c:v>0.96537034787102527</c:v>
                </c:pt>
                <c:pt idx="322">
                  <c:v>0.96380654217119011</c:v>
                </c:pt>
                <c:pt idx="323">
                  <c:v>0.96237951794543464</c:v>
                </c:pt>
                <c:pt idx="324">
                  <c:v>0.96127537173386601</c:v>
                </c:pt>
                <c:pt idx="325">
                  <c:v>0.96070319768332435</c:v>
                </c:pt>
                <c:pt idx="326">
                  <c:v>0.96049946292383148</c:v>
                </c:pt>
                <c:pt idx="327">
                  <c:v>0.95988578464155494</c:v>
                </c:pt>
                <c:pt idx="328">
                  <c:v>0.95693129661364829</c:v>
                </c:pt>
                <c:pt idx="329">
                  <c:v>0.95386394636659277</c:v>
                </c:pt>
                <c:pt idx="330">
                  <c:v>0.95076261510231441</c:v>
                </c:pt>
                <c:pt idx="331">
                  <c:v>0.94640557854880325</c:v>
                </c:pt>
                <c:pt idx="332">
                  <c:v>0.93938114510831672</c:v>
                </c:pt>
                <c:pt idx="333">
                  <c:v>0.93229481921107693</c:v>
                </c:pt>
                <c:pt idx="334">
                  <c:v>0.92302249455434859</c:v>
                </c:pt>
                <c:pt idx="335">
                  <c:v>0.92972394994311847</c:v>
                </c:pt>
                <c:pt idx="336">
                  <c:v>0.9206589632064347</c:v>
                </c:pt>
                <c:pt idx="337">
                  <c:v>0.91300122414997542</c:v>
                </c:pt>
                <c:pt idx="338">
                  <c:v>0.90345234832230858</c:v>
                </c:pt>
                <c:pt idx="339">
                  <c:v>0.89787747870929202</c:v>
                </c:pt>
                <c:pt idx="340">
                  <c:v>0.89254071924356937</c:v>
                </c:pt>
                <c:pt idx="341">
                  <c:v>0.8986568362386923</c:v>
                </c:pt>
                <c:pt idx="342">
                  <c:v>0.88950581867682477</c:v>
                </c:pt>
                <c:pt idx="343">
                  <c:v>0.88121870076291819</c:v>
                </c:pt>
                <c:pt idx="344">
                  <c:v>0.87202249590225966</c:v>
                </c:pt>
                <c:pt idx="345">
                  <c:v>0.86109921139821499</c:v>
                </c:pt>
                <c:pt idx="346">
                  <c:v>0.85674877235984304</c:v>
                </c:pt>
                <c:pt idx="347">
                  <c:v>0.85427368953097327</c:v>
                </c:pt>
                <c:pt idx="348">
                  <c:v>0.84725051296295417</c:v>
                </c:pt>
                <c:pt idx="349">
                  <c:v>0.83382583943825983</c:v>
                </c:pt>
                <c:pt idx="350">
                  <c:v>0.81153528158074473</c:v>
                </c:pt>
                <c:pt idx="351">
                  <c:v>0.78262520195436358</c:v>
                </c:pt>
                <c:pt idx="352">
                  <c:v>0.73601846943944871</c:v>
                </c:pt>
                <c:pt idx="353">
                  <c:v>0.69757041233686956</c:v>
                </c:pt>
                <c:pt idx="354">
                  <c:v>0.77716837260451321</c:v>
                </c:pt>
                <c:pt idx="355">
                  <c:v>0.75786911196245288</c:v>
                </c:pt>
                <c:pt idx="356">
                  <c:v>0.73311047463178702</c:v>
                </c:pt>
                <c:pt idx="357">
                  <c:v>0.70310740291375706</c:v>
                </c:pt>
                <c:pt idx="358">
                  <c:v>0.66695240626011942</c:v>
                </c:pt>
                <c:pt idx="359">
                  <c:v>0.6216235311733217</c:v>
                </c:pt>
                <c:pt idx="360">
                  <c:v>0.5586926291623362</c:v>
                </c:pt>
                <c:pt idx="361">
                  <c:v>0.49535852379502898</c:v>
                </c:pt>
                <c:pt idx="362">
                  <c:v>0.43128986046043721</c:v>
                </c:pt>
                <c:pt idx="363">
                  <c:v>0.35189660285875601</c:v>
                </c:pt>
                <c:pt idx="364">
                  <c:v>0.25950024742821615</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numCache>
            </c:numRef>
          </c:val>
          <c:smooth val="0"/>
          <c:extLst>
            <c:ext xmlns:c16="http://schemas.microsoft.com/office/drawing/2014/chart" uri="{C3380CC4-5D6E-409C-BE32-E72D297353CC}">
              <c16:uniqueId val="{00000000-4268-46E0-931B-8FA533D79033}"/>
            </c:ext>
          </c:extLst>
        </c:ser>
        <c:ser>
          <c:idx val="0"/>
          <c:order val="1"/>
          <c:tx>
            <c:strRef>
              <c:f>Correlations!$L$5</c:f>
              <c:strCache>
                <c:ptCount val="1"/>
                <c:pt idx="0">
                  <c:v>Henry Hub—CSX Coal Correlation</c:v>
                </c:pt>
              </c:strCache>
            </c:strRef>
          </c:tx>
          <c:spPr>
            <a:ln w="19050">
              <a:solidFill>
                <a:srgbClr val="00162B"/>
              </a:solidFill>
            </a:ln>
          </c:spPr>
          <c:marker>
            <c:symbol val="none"/>
          </c:marker>
          <c:cat>
            <c:numRef>
              <c:f>Correlations!$J$6:$J$400</c:f>
              <c:numCache>
                <c:formatCode>m/d/yyyy</c:formatCode>
                <c:ptCount val="395"/>
                <c:pt idx="0">
                  <c:v>44819</c:v>
                </c:pt>
                <c:pt idx="1">
                  <c:v>44818</c:v>
                </c:pt>
                <c:pt idx="2">
                  <c:v>44817</c:v>
                </c:pt>
                <c:pt idx="3">
                  <c:v>44816</c:v>
                </c:pt>
                <c:pt idx="4">
                  <c:v>44813</c:v>
                </c:pt>
                <c:pt idx="5">
                  <c:v>44812</c:v>
                </c:pt>
                <c:pt idx="6">
                  <c:v>44811</c:v>
                </c:pt>
                <c:pt idx="7">
                  <c:v>44810</c:v>
                </c:pt>
                <c:pt idx="8">
                  <c:v>44809</c:v>
                </c:pt>
                <c:pt idx="9">
                  <c:v>44806</c:v>
                </c:pt>
                <c:pt idx="10">
                  <c:v>44805</c:v>
                </c:pt>
                <c:pt idx="11">
                  <c:v>44804</c:v>
                </c:pt>
                <c:pt idx="12">
                  <c:v>44803</c:v>
                </c:pt>
                <c:pt idx="13">
                  <c:v>44802</c:v>
                </c:pt>
                <c:pt idx="14">
                  <c:v>44799</c:v>
                </c:pt>
                <c:pt idx="15">
                  <c:v>44798</c:v>
                </c:pt>
                <c:pt idx="16">
                  <c:v>44797</c:v>
                </c:pt>
                <c:pt idx="17">
                  <c:v>44796</c:v>
                </c:pt>
                <c:pt idx="18">
                  <c:v>44795</c:v>
                </c:pt>
                <c:pt idx="19">
                  <c:v>44792</c:v>
                </c:pt>
                <c:pt idx="20">
                  <c:v>44791</c:v>
                </c:pt>
                <c:pt idx="21">
                  <c:v>44790</c:v>
                </c:pt>
                <c:pt idx="22">
                  <c:v>44789</c:v>
                </c:pt>
                <c:pt idx="23">
                  <c:v>44788</c:v>
                </c:pt>
                <c:pt idx="24">
                  <c:v>44785</c:v>
                </c:pt>
                <c:pt idx="25">
                  <c:v>44784</c:v>
                </c:pt>
                <c:pt idx="26">
                  <c:v>44783</c:v>
                </c:pt>
                <c:pt idx="27">
                  <c:v>44782</c:v>
                </c:pt>
                <c:pt idx="28">
                  <c:v>44781</c:v>
                </c:pt>
                <c:pt idx="29">
                  <c:v>44778</c:v>
                </c:pt>
                <c:pt idx="30">
                  <c:v>44777</c:v>
                </c:pt>
                <c:pt idx="31">
                  <c:v>44776</c:v>
                </c:pt>
                <c:pt idx="32">
                  <c:v>44775</c:v>
                </c:pt>
                <c:pt idx="33">
                  <c:v>44774</c:v>
                </c:pt>
                <c:pt idx="34">
                  <c:v>44771</c:v>
                </c:pt>
                <c:pt idx="35">
                  <c:v>44770</c:v>
                </c:pt>
                <c:pt idx="36">
                  <c:v>44769</c:v>
                </c:pt>
                <c:pt idx="37">
                  <c:v>44768</c:v>
                </c:pt>
                <c:pt idx="38">
                  <c:v>44767</c:v>
                </c:pt>
                <c:pt idx="39">
                  <c:v>44764</c:v>
                </c:pt>
                <c:pt idx="40">
                  <c:v>44763</c:v>
                </c:pt>
                <c:pt idx="41">
                  <c:v>44762</c:v>
                </c:pt>
                <c:pt idx="42">
                  <c:v>44761</c:v>
                </c:pt>
                <c:pt idx="43">
                  <c:v>44760</c:v>
                </c:pt>
                <c:pt idx="44">
                  <c:v>44757</c:v>
                </c:pt>
                <c:pt idx="45">
                  <c:v>44756</c:v>
                </c:pt>
                <c:pt idx="46">
                  <c:v>44755</c:v>
                </c:pt>
                <c:pt idx="47">
                  <c:v>44754</c:v>
                </c:pt>
                <c:pt idx="48">
                  <c:v>44753</c:v>
                </c:pt>
                <c:pt idx="49">
                  <c:v>44750</c:v>
                </c:pt>
                <c:pt idx="50">
                  <c:v>44749</c:v>
                </c:pt>
                <c:pt idx="51">
                  <c:v>44748</c:v>
                </c:pt>
                <c:pt idx="52">
                  <c:v>44747</c:v>
                </c:pt>
                <c:pt idx="53">
                  <c:v>44746</c:v>
                </c:pt>
                <c:pt idx="54">
                  <c:v>44743</c:v>
                </c:pt>
                <c:pt idx="55">
                  <c:v>44742</c:v>
                </c:pt>
                <c:pt idx="56">
                  <c:v>44741</c:v>
                </c:pt>
                <c:pt idx="57">
                  <c:v>44740</c:v>
                </c:pt>
                <c:pt idx="58">
                  <c:v>44739</c:v>
                </c:pt>
                <c:pt idx="59">
                  <c:v>44736</c:v>
                </c:pt>
                <c:pt idx="60">
                  <c:v>44735</c:v>
                </c:pt>
                <c:pt idx="61">
                  <c:v>44734</c:v>
                </c:pt>
                <c:pt idx="62">
                  <c:v>44733</c:v>
                </c:pt>
                <c:pt idx="63">
                  <c:v>44732</c:v>
                </c:pt>
                <c:pt idx="64">
                  <c:v>44729</c:v>
                </c:pt>
                <c:pt idx="65">
                  <c:v>44728</c:v>
                </c:pt>
                <c:pt idx="66">
                  <c:v>44727</c:v>
                </c:pt>
                <c:pt idx="67">
                  <c:v>44726</c:v>
                </c:pt>
                <c:pt idx="68">
                  <c:v>44725</c:v>
                </c:pt>
                <c:pt idx="69">
                  <c:v>44722</c:v>
                </c:pt>
                <c:pt idx="70">
                  <c:v>44721</c:v>
                </c:pt>
                <c:pt idx="71">
                  <c:v>44720</c:v>
                </c:pt>
                <c:pt idx="72">
                  <c:v>44719</c:v>
                </c:pt>
                <c:pt idx="73">
                  <c:v>44718</c:v>
                </c:pt>
                <c:pt idx="74">
                  <c:v>44715</c:v>
                </c:pt>
                <c:pt idx="75">
                  <c:v>44714</c:v>
                </c:pt>
                <c:pt idx="76">
                  <c:v>44713</c:v>
                </c:pt>
                <c:pt idx="77">
                  <c:v>44712</c:v>
                </c:pt>
                <c:pt idx="78">
                  <c:v>44711</c:v>
                </c:pt>
                <c:pt idx="79">
                  <c:v>44708</c:v>
                </c:pt>
                <c:pt idx="80">
                  <c:v>44707</c:v>
                </c:pt>
                <c:pt idx="81">
                  <c:v>44706</c:v>
                </c:pt>
                <c:pt idx="82">
                  <c:v>44705</c:v>
                </c:pt>
                <c:pt idx="83">
                  <c:v>44704</c:v>
                </c:pt>
                <c:pt idx="84">
                  <c:v>44701</c:v>
                </c:pt>
                <c:pt idx="85">
                  <c:v>44700</c:v>
                </c:pt>
                <c:pt idx="86">
                  <c:v>44699</c:v>
                </c:pt>
                <c:pt idx="87">
                  <c:v>44698</c:v>
                </c:pt>
                <c:pt idx="88">
                  <c:v>44697</c:v>
                </c:pt>
                <c:pt idx="89">
                  <c:v>44694</c:v>
                </c:pt>
                <c:pt idx="90">
                  <c:v>44693</c:v>
                </c:pt>
                <c:pt idx="91">
                  <c:v>44692</c:v>
                </c:pt>
                <c:pt idx="92">
                  <c:v>44691</c:v>
                </c:pt>
                <c:pt idx="93">
                  <c:v>44690</c:v>
                </c:pt>
                <c:pt idx="94">
                  <c:v>44687</c:v>
                </c:pt>
                <c:pt idx="95">
                  <c:v>44686</c:v>
                </c:pt>
                <c:pt idx="96">
                  <c:v>44685</c:v>
                </c:pt>
                <c:pt idx="97">
                  <c:v>44684</c:v>
                </c:pt>
                <c:pt idx="98">
                  <c:v>44683</c:v>
                </c:pt>
                <c:pt idx="99">
                  <c:v>44680</c:v>
                </c:pt>
                <c:pt idx="100">
                  <c:v>44679</c:v>
                </c:pt>
                <c:pt idx="101">
                  <c:v>44678</c:v>
                </c:pt>
                <c:pt idx="102">
                  <c:v>44677</c:v>
                </c:pt>
                <c:pt idx="103">
                  <c:v>44676</c:v>
                </c:pt>
                <c:pt idx="104">
                  <c:v>44673</c:v>
                </c:pt>
                <c:pt idx="105">
                  <c:v>44672</c:v>
                </c:pt>
                <c:pt idx="106">
                  <c:v>44671</c:v>
                </c:pt>
                <c:pt idx="107">
                  <c:v>44670</c:v>
                </c:pt>
                <c:pt idx="108">
                  <c:v>44669</c:v>
                </c:pt>
                <c:pt idx="109">
                  <c:v>44666</c:v>
                </c:pt>
                <c:pt idx="110">
                  <c:v>44665</c:v>
                </c:pt>
                <c:pt idx="111">
                  <c:v>44664</c:v>
                </c:pt>
                <c:pt idx="112">
                  <c:v>44663</c:v>
                </c:pt>
                <c:pt idx="113">
                  <c:v>44662</c:v>
                </c:pt>
                <c:pt idx="114">
                  <c:v>44659</c:v>
                </c:pt>
                <c:pt idx="115">
                  <c:v>44658</c:v>
                </c:pt>
                <c:pt idx="116">
                  <c:v>44657</c:v>
                </c:pt>
                <c:pt idx="117">
                  <c:v>44656</c:v>
                </c:pt>
                <c:pt idx="118">
                  <c:v>44655</c:v>
                </c:pt>
                <c:pt idx="119">
                  <c:v>44652</c:v>
                </c:pt>
                <c:pt idx="120">
                  <c:v>44651</c:v>
                </c:pt>
                <c:pt idx="121">
                  <c:v>44650</c:v>
                </c:pt>
                <c:pt idx="122">
                  <c:v>44649</c:v>
                </c:pt>
                <c:pt idx="123">
                  <c:v>44648</c:v>
                </c:pt>
                <c:pt idx="124">
                  <c:v>44645</c:v>
                </c:pt>
                <c:pt idx="125">
                  <c:v>44644</c:v>
                </c:pt>
                <c:pt idx="126">
                  <c:v>44643</c:v>
                </c:pt>
                <c:pt idx="127">
                  <c:v>44642</c:v>
                </c:pt>
                <c:pt idx="128">
                  <c:v>44641</c:v>
                </c:pt>
                <c:pt idx="129">
                  <c:v>44638</c:v>
                </c:pt>
                <c:pt idx="130">
                  <c:v>44637</c:v>
                </c:pt>
                <c:pt idx="131">
                  <c:v>44636</c:v>
                </c:pt>
                <c:pt idx="132">
                  <c:v>44635</c:v>
                </c:pt>
                <c:pt idx="133">
                  <c:v>44634</c:v>
                </c:pt>
                <c:pt idx="134">
                  <c:v>44631</c:v>
                </c:pt>
                <c:pt idx="135">
                  <c:v>44630</c:v>
                </c:pt>
                <c:pt idx="136">
                  <c:v>44629</c:v>
                </c:pt>
                <c:pt idx="137">
                  <c:v>44628</c:v>
                </c:pt>
                <c:pt idx="138">
                  <c:v>44627</c:v>
                </c:pt>
                <c:pt idx="139">
                  <c:v>44624</c:v>
                </c:pt>
                <c:pt idx="140">
                  <c:v>44623</c:v>
                </c:pt>
                <c:pt idx="141">
                  <c:v>44622</c:v>
                </c:pt>
                <c:pt idx="142">
                  <c:v>44621</c:v>
                </c:pt>
                <c:pt idx="143">
                  <c:v>44620</c:v>
                </c:pt>
                <c:pt idx="144">
                  <c:v>44617</c:v>
                </c:pt>
                <c:pt idx="145">
                  <c:v>44616</c:v>
                </c:pt>
                <c:pt idx="146">
                  <c:v>44615</c:v>
                </c:pt>
                <c:pt idx="147">
                  <c:v>44614</c:v>
                </c:pt>
                <c:pt idx="148">
                  <c:v>44613</c:v>
                </c:pt>
                <c:pt idx="149">
                  <c:v>44610</c:v>
                </c:pt>
                <c:pt idx="150">
                  <c:v>44609</c:v>
                </c:pt>
                <c:pt idx="151">
                  <c:v>44608</c:v>
                </c:pt>
                <c:pt idx="152">
                  <c:v>44607</c:v>
                </c:pt>
                <c:pt idx="153">
                  <c:v>44606</c:v>
                </c:pt>
                <c:pt idx="154">
                  <c:v>44603</c:v>
                </c:pt>
                <c:pt idx="155">
                  <c:v>44602</c:v>
                </c:pt>
                <c:pt idx="156">
                  <c:v>44601</c:v>
                </c:pt>
                <c:pt idx="157">
                  <c:v>44600</c:v>
                </c:pt>
                <c:pt idx="158">
                  <c:v>44599</c:v>
                </c:pt>
                <c:pt idx="159">
                  <c:v>44596</c:v>
                </c:pt>
                <c:pt idx="160">
                  <c:v>44595</c:v>
                </c:pt>
                <c:pt idx="161">
                  <c:v>44594</c:v>
                </c:pt>
                <c:pt idx="162">
                  <c:v>44593</c:v>
                </c:pt>
                <c:pt idx="163">
                  <c:v>44592</c:v>
                </c:pt>
                <c:pt idx="164">
                  <c:v>44589</c:v>
                </c:pt>
                <c:pt idx="165">
                  <c:v>44588</c:v>
                </c:pt>
                <c:pt idx="166">
                  <c:v>44587</c:v>
                </c:pt>
                <c:pt idx="167">
                  <c:v>44586</c:v>
                </c:pt>
                <c:pt idx="168">
                  <c:v>44585</c:v>
                </c:pt>
                <c:pt idx="169">
                  <c:v>44582</c:v>
                </c:pt>
                <c:pt idx="170">
                  <c:v>44581</c:v>
                </c:pt>
                <c:pt idx="171">
                  <c:v>44580</c:v>
                </c:pt>
                <c:pt idx="172">
                  <c:v>44579</c:v>
                </c:pt>
                <c:pt idx="173">
                  <c:v>44578</c:v>
                </c:pt>
                <c:pt idx="174">
                  <c:v>44575</c:v>
                </c:pt>
                <c:pt idx="175">
                  <c:v>44574</c:v>
                </c:pt>
                <c:pt idx="176">
                  <c:v>44573</c:v>
                </c:pt>
                <c:pt idx="177">
                  <c:v>44572</c:v>
                </c:pt>
                <c:pt idx="178">
                  <c:v>44571</c:v>
                </c:pt>
                <c:pt idx="179">
                  <c:v>44568</c:v>
                </c:pt>
                <c:pt idx="180">
                  <c:v>44567</c:v>
                </c:pt>
                <c:pt idx="181">
                  <c:v>44566</c:v>
                </c:pt>
                <c:pt idx="182">
                  <c:v>44565</c:v>
                </c:pt>
                <c:pt idx="183">
                  <c:v>44564</c:v>
                </c:pt>
                <c:pt idx="184">
                  <c:v>44561</c:v>
                </c:pt>
                <c:pt idx="185">
                  <c:v>44560</c:v>
                </c:pt>
                <c:pt idx="186">
                  <c:v>44559</c:v>
                </c:pt>
                <c:pt idx="187">
                  <c:v>44558</c:v>
                </c:pt>
                <c:pt idx="188">
                  <c:v>44557</c:v>
                </c:pt>
                <c:pt idx="189">
                  <c:v>44554</c:v>
                </c:pt>
                <c:pt idx="190">
                  <c:v>44553</c:v>
                </c:pt>
                <c:pt idx="191">
                  <c:v>44552</c:v>
                </c:pt>
                <c:pt idx="192">
                  <c:v>44551</c:v>
                </c:pt>
                <c:pt idx="193">
                  <c:v>44550</c:v>
                </c:pt>
                <c:pt idx="194">
                  <c:v>44547</c:v>
                </c:pt>
                <c:pt idx="195">
                  <c:v>44546</c:v>
                </c:pt>
                <c:pt idx="196">
                  <c:v>44545</c:v>
                </c:pt>
                <c:pt idx="197">
                  <c:v>44544</c:v>
                </c:pt>
                <c:pt idx="198">
                  <c:v>44543</c:v>
                </c:pt>
                <c:pt idx="199">
                  <c:v>44540</c:v>
                </c:pt>
                <c:pt idx="200">
                  <c:v>44539</c:v>
                </c:pt>
                <c:pt idx="201">
                  <c:v>44538</c:v>
                </c:pt>
                <c:pt idx="202">
                  <c:v>44537</c:v>
                </c:pt>
                <c:pt idx="203">
                  <c:v>44536</c:v>
                </c:pt>
                <c:pt idx="204">
                  <c:v>44533</c:v>
                </c:pt>
                <c:pt idx="205">
                  <c:v>44532</c:v>
                </c:pt>
                <c:pt idx="206">
                  <c:v>44531</c:v>
                </c:pt>
                <c:pt idx="207">
                  <c:v>44530</c:v>
                </c:pt>
                <c:pt idx="208">
                  <c:v>44529</c:v>
                </c:pt>
                <c:pt idx="209">
                  <c:v>44526</c:v>
                </c:pt>
                <c:pt idx="210">
                  <c:v>44525</c:v>
                </c:pt>
                <c:pt idx="211">
                  <c:v>44524</c:v>
                </c:pt>
                <c:pt idx="212">
                  <c:v>44523</c:v>
                </c:pt>
                <c:pt idx="213">
                  <c:v>44522</c:v>
                </c:pt>
                <c:pt idx="214">
                  <c:v>44519</c:v>
                </c:pt>
                <c:pt idx="215">
                  <c:v>44518</c:v>
                </c:pt>
                <c:pt idx="216">
                  <c:v>44517</c:v>
                </c:pt>
                <c:pt idx="217">
                  <c:v>44516</c:v>
                </c:pt>
                <c:pt idx="218">
                  <c:v>44515</c:v>
                </c:pt>
                <c:pt idx="219">
                  <c:v>44512</c:v>
                </c:pt>
                <c:pt idx="220">
                  <c:v>44511</c:v>
                </c:pt>
                <c:pt idx="221">
                  <c:v>44510</c:v>
                </c:pt>
                <c:pt idx="222">
                  <c:v>44509</c:v>
                </c:pt>
                <c:pt idx="223">
                  <c:v>44508</c:v>
                </c:pt>
                <c:pt idx="224">
                  <c:v>44505</c:v>
                </c:pt>
                <c:pt idx="225">
                  <c:v>44504</c:v>
                </c:pt>
                <c:pt idx="226">
                  <c:v>44503</c:v>
                </c:pt>
                <c:pt idx="227">
                  <c:v>44502</c:v>
                </c:pt>
                <c:pt idx="228">
                  <c:v>44501</c:v>
                </c:pt>
                <c:pt idx="229">
                  <c:v>44498</c:v>
                </c:pt>
                <c:pt idx="230">
                  <c:v>44497</c:v>
                </c:pt>
                <c:pt idx="231">
                  <c:v>44496</c:v>
                </c:pt>
                <c:pt idx="232">
                  <c:v>44495</c:v>
                </c:pt>
                <c:pt idx="233">
                  <c:v>44494</c:v>
                </c:pt>
                <c:pt idx="234">
                  <c:v>44491</c:v>
                </c:pt>
                <c:pt idx="235">
                  <c:v>44490</c:v>
                </c:pt>
                <c:pt idx="236">
                  <c:v>44489</c:v>
                </c:pt>
                <c:pt idx="237">
                  <c:v>44488</c:v>
                </c:pt>
                <c:pt idx="238">
                  <c:v>44487</c:v>
                </c:pt>
                <c:pt idx="239">
                  <c:v>44484</c:v>
                </c:pt>
                <c:pt idx="240">
                  <c:v>44483</c:v>
                </c:pt>
                <c:pt idx="241">
                  <c:v>44482</c:v>
                </c:pt>
                <c:pt idx="242">
                  <c:v>44481</c:v>
                </c:pt>
                <c:pt idx="243">
                  <c:v>44480</c:v>
                </c:pt>
                <c:pt idx="244">
                  <c:v>44477</c:v>
                </c:pt>
                <c:pt idx="245">
                  <c:v>44476</c:v>
                </c:pt>
                <c:pt idx="246">
                  <c:v>44475</c:v>
                </c:pt>
                <c:pt idx="247">
                  <c:v>44474</c:v>
                </c:pt>
                <c:pt idx="248">
                  <c:v>44473</c:v>
                </c:pt>
                <c:pt idx="249">
                  <c:v>44470</c:v>
                </c:pt>
                <c:pt idx="250">
                  <c:v>44469</c:v>
                </c:pt>
                <c:pt idx="251">
                  <c:v>44468</c:v>
                </c:pt>
                <c:pt idx="252">
                  <c:v>44467</c:v>
                </c:pt>
                <c:pt idx="253">
                  <c:v>44466</c:v>
                </c:pt>
                <c:pt idx="254">
                  <c:v>44463</c:v>
                </c:pt>
                <c:pt idx="255">
                  <c:v>44462</c:v>
                </c:pt>
                <c:pt idx="256">
                  <c:v>44461</c:v>
                </c:pt>
                <c:pt idx="257">
                  <c:v>44460</c:v>
                </c:pt>
                <c:pt idx="258">
                  <c:v>44459</c:v>
                </c:pt>
                <c:pt idx="259">
                  <c:v>44456</c:v>
                </c:pt>
                <c:pt idx="260">
                  <c:v>44455</c:v>
                </c:pt>
                <c:pt idx="261">
                  <c:v>44454</c:v>
                </c:pt>
                <c:pt idx="262">
                  <c:v>44453</c:v>
                </c:pt>
                <c:pt idx="263">
                  <c:v>44452</c:v>
                </c:pt>
                <c:pt idx="264">
                  <c:v>44449</c:v>
                </c:pt>
                <c:pt idx="265">
                  <c:v>44448</c:v>
                </c:pt>
                <c:pt idx="266">
                  <c:v>44447</c:v>
                </c:pt>
                <c:pt idx="267">
                  <c:v>44446</c:v>
                </c:pt>
                <c:pt idx="268">
                  <c:v>44445</c:v>
                </c:pt>
                <c:pt idx="269">
                  <c:v>44442</c:v>
                </c:pt>
                <c:pt idx="270">
                  <c:v>44441</c:v>
                </c:pt>
                <c:pt idx="271">
                  <c:v>44440</c:v>
                </c:pt>
                <c:pt idx="272">
                  <c:v>44439</c:v>
                </c:pt>
                <c:pt idx="273">
                  <c:v>44438</c:v>
                </c:pt>
                <c:pt idx="274">
                  <c:v>44435</c:v>
                </c:pt>
                <c:pt idx="275">
                  <c:v>44434</c:v>
                </c:pt>
                <c:pt idx="276">
                  <c:v>44433</c:v>
                </c:pt>
                <c:pt idx="277">
                  <c:v>44432</c:v>
                </c:pt>
                <c:pt idx="278">
                  <c:v>44431</c:v>
                </c:pt>
                <c:pt idx="279">
                  <c:v>44428</c:v>
                </c:pt>
                <c:pt idx="280">
                  <c:v>44427</c:v>
                </c:pt>
                <c:pt idx="281">
                  <c:v>44426</c:v>
                </c:pt>
                <c:pt idx="282">
                  <c:v>44425</c:v>
                </c:pt>
                <c:pt idx="283">
                  <c:v>44424</c:v>
                </c:pt>
                <c:pt idx="284">
                  <c:v>44421</c:v>
                </c:pt>
                <c:pt idx="285">
                  <c:v>44420</c:v>
                </c:pt>
                <c:pt idx="286">
                  <c:v>44419</c:v>
                </c:pt>
                <c:pt idx="287">
                  <c:v>44418</c:v>
                </c:pt>
                <c:pt idx="288">
                  <c:v>44417</c:v>
                </c:pt>
                <c:pt idx="289">
                  <c:v>44414</c:v>
                </c:pt>
                <c:pt idx="290">
                  <c:v>44413</c:v>
                </c:pt>
                <c:pt idx="291">
                  <c:v>44412</c:v>
                </c:pt>
                <c:pt idx="292">
                  <c:v>44411</c:v>
                </c:pt>
                <c:pt idx="293">
                  <c:v>44410</c:v>
                </c:pt>
                <c:pt idx="294">
                  <c:v>44407</c:v>
                </c:pt>
                <c:pt idx="295">
                  <c:v>44406</c:v>
                </c:pt>
                <c:pt idx="296">
                  <c:v>44405</c:v>
                </c:pt>
                <c:pt idx="297">
                  <c:v>44404</c:v>
                </c:pt>
                <c:pt idx="298">
                  <c:v>44403</c:v>
                </c:pt>
                <c:pt idx="299">
                  <c:v>44400</c:v>
                </c:pt>
                <c:pt idx="300">
                  <c:v>44399</c:v>
                </c:pt>
                <c:pt idx="301">
                  <c:v>44398</c:v>
                </c:pt>
                <c:pt idx="302">
                  <c:v>44397</c:v>
                </c:pt>
                <c:pt idx="303">
                  <c:v>44396</c:v>
                </c:pt>
                <c:pt idx="304">
                  <c:v>44393</c:v>
                </c:pt>
                <c:pt idx="305">
                  <c:v>44392</c:v>
                </c:pt>
                <c:pt idx="306">
                  <c:v>44391</c:v>
                </c:pt>
                <c:pt idx="307">
                  <c:v>44390</c:v>
                </c:pt>
                <c:pt idx="308">
                  <c:v>44389</c:v>
                </c:pt>
                <c:pt idx="309">
                  <c:v>44386</c:v>
                </c:pt>
                <c:pt idx="310">
                  <c:v>44385</c:v>
                </c:pt>
                <c:pt idx="311">
                  <c:v>44384</c:v>
                </c:pt>
                <c:pt idx="312">
                  <c:v>44383</c:v>
                </c:pt>
                <c:pt idx="313">
                  <c:v>44382</c:v>
                </c:pt>
                <c:pt idx="314">
                  <c:v>44379</c:v>
                </c:pt>
                <c:pt idx="315">
                  <c:v>44378</c:v>
                </c:pt>
                <c:pt idx="316">
                  <c:v>44377</c:v>
                </c:pt>
                <c:pt idx="317">
                  <c:v>44376</c:v>
                </c:pt>
                <c:pt idx="318">
                  <c:v>44375</c:v>
                </c:pt>
                <c:pt idx="319">
                  <c:v>44372</c:v>
                </c:pt>
                <c:pt idx="320">
                  <c:v>44371</c:v>
                </c:pt>
                <c:pt idx="321">
                  <c:v>44370</c:v>
                </c:pt>
                <c:pt idx="322">
                  <c:v>44369</c:v>
                </c:pt>
                <c:pt idx="323">
                  <c:v>44368</c:v>
                </c:pt>
                <c:pt idx="324">
                  <c:v>44365</c:v>
                </c:pt>
                <c:pt idx="325">
                  <c:v>44364</c:v>
                </c:pt>
                <c:pt idx="326">
                  <c:v>44363</c:v>
                </c:pt>
                <c:pt idx="327">
                  <c:v>44362</c:v>
                </c:pt>
                <c:pt idx="328">
                  <c:v>44361</c:v>
                </c:pt>
                <c:pt idx="329">
                  <c:v>44358</c:v>
                </c:pt>
                <c:pt idx="330">
                  <c:v>44357</c:v>
                </c:pt>
                <c:pt idx="331">
                  <c:v>44356</c:v>
                </c:pt>
                <c:pt idx="332">
                  <c:v>44355</c:v>
                </c:pt>
                <c:pt idx="333">
                  <c:v>44354</c:v>
                </c:pt>
                <c:pt idx="334">
                  <c:v>44351</c:v>
                </c:pt>
                <c:pt idx="335">
                  <c:v>44350</c:v>
                </c:pt>
                <c:pt idx="336">
                  <c:v>44349</c:v>
                </c:pt>
                <c:pt idx="337">
                  <c:v>44348</c:v>
                </c:pt>
                <c:pt idx="338">
                  <c:v>44347</c:v>
                </c:pt>
                <c:pt idx="339">
                  <c:v>44344</c:v>
                </c:pt>
                <c:pt idx="340">
                  <c:v>44343</c:v>
                </c:pt>
                <c:pt idx="341">
                  <c:v>44342</c:v>
                </c:pt>
                <c:pt idx="342">
                  <c:v>44341</c:v>
                </c:pt>
                <c:pt idx="343">
                  <c:v>44340</c:v>
                </c:pt>
                <c:pt idx="344">
                  <c:v>44337</c:v>
                </c:pt>
                <c:pt idx="345">
                  <c:v>44336</c:v>
                </c:pt>
                <c:pt idx="346">
                  <c:v>44335</c:v>
                </c:pt>
                <c:pt idx="347">
                  <c:v>44334</c:v>
                </c:pt>
                <c:pt idx="348">
                  <c:v>44333</c:v>
                </c:pt>
                <c:pt idx="349">
                  <c:v>44330</c:v>
                </c:pt>
                <c:pt idx="350">
                  <c:v>44329</c:v>
                </c:pt>
                <c:pt idx="351">
                  <c:v>44328</c:v>
                </c:pt>
                <c:pt idx="352">
                  <c:v>44327</c:v>
                </c:pt>
                <c:pt idx="353">
                  <c:v>44326</c:v>
                </c:pt>
                <c:pt idx="354">
                  <c:v>44323</c:v>
                </c:pt>
                <c:pt idx="355">
                  <c:v>44322</c:v>
                </c:pt>
                <c:pt idx="356">
                  <c:v>44321</c:v>
                </c:pt>
                <c:pt idx="357">
                  <c:v>44320</c:v>
                </c:pt>
                <c:pt idx="358">
                  <c:v>44319</c:v>
                </c:pt>
                <c:pt idx="359">
                  <c:v>44316</c:v>
                </c:pt>
                <c:pt idx="360">
                  <c:v>44315</c:v>
                </c:pt>
                <c:pt idx="361">
                  <c:v>44314</c:v>
                </c:pt>
                <c:pt idx="362">
                  <c:v>44313</c:v>
                </c:pt>
                <c:pt idx="363">
                  <c:v>44312</c:v>
                </c:pt>
                <c:pt idx="364">
                  <c:v>44309</c:v>
                </c:pt>
                <c:pt idx="365">
                  <c:v>44308</c:v>
                </c:pt>
                <c:pt idx="366">
                  <c:v>44307</c:v>
                </c:pt>
                <c:pt idx="367">
                  <c:v>44306</c:v>
                </c:pt>
                <c:pt idx="368">
                  <c:v>44305</c:v>
                </c:pt>
                <c:pt idx="369">
                  <c:v>44302</c:v>
                </c:pt>
                <c:pt idx="370">
                  <c:v>44301</c:v>
                </c:pt>
                <c:pt idx="371">
                  <c:v>44300</c:v>
                </c:pt>
                <c:pt idx="372">
                  <c:v>44299</c:v>
                </c:pt>
                <c:pt idx="373">
                  <c:v>44298</c:v>
                </c:pt>
                <c:pt idx="374">
                  <c:v>44295</c:v>
                </c:pt>
                <c:pt idx="375">
                  <c:v>44294</c:v>
                </c:pt>
                <c:pt idx="376">
                  <c:v>44293</c:v>
                </c:pt>
                <c:pt idx="377">
                  <c:v>44292</c:v>
                </c:pt>
                <c:pt idx="378">
                  <c:v>44291</c:v>
                </c:pt>
                <c:pt idx="379">
                  <c:v>44288</c:v>
                </c:pt>
                <c:pt idx="380">
                  <c:v>44287</c:v>
                </c:pt>
                <c:pt idx="381">
                  <c:v>44286</c:v>
                </c:pt>
                <c:pt idx="382">
                  <c:v>44285</c:v>
                </c:pt>
                <c:pt idx="383">
                  <c:v>44284</c:v>
                </c:pt>
                <c:pt idx="384">
                  <c:v>44281</c:v>
                </c:pt>
                <c:pt idx="385">
                  <c:v>44280</c:v>
                </c:pt>
                <c:pt idx="386">
                  <c:v>44279</c:v>
                </c:pt>
                <c:pt idx="387">
                  <c:v>44278</c:v>
                </c:pt>
                <c:pt idx="388">
                  <c:v>44277</c:v>
                </c:pt>
                <c:pt idx="389">
                  <c:v>44274</c:v>
                </c:pt>
                <c:pt idx="390">
                  <c:v>44273</c:v>
                </c:pt>
                <c:pt idx="391">
                  <c:v>44272</c:v>
                </c:pt>
                <c:pt idx="392">
                  <c:v>44271</c:v>
                </c:pt>
                <c:pt idx="393">
                  <c:v>44270</c:v>
                </c:pt>
                <c:pt idx="394">
                  <c:v>44267</c:v>
                </c:pt>
              </c:numCache>
            </c:numRef>
          </c:cat>
          <c:val>
            <c:numRef>
              <c:f>Correlations!$L$6:$L$400</c:f>
              <c:numCache>
                <c:formatCode>#,##0.00</c:formatCode>
                <c:ptCount val="395"/>
                <c:pt idx="0">
                  <c:v>0.1758714503800933</c:v>
                </c:pt>
                <c:pt idx="1">
                  <c:v>0.16321815107685575</c:v>
                </c:pt>
                <c:pt idx="2">
                  <c:v>0.15162568349331518</c:v>
                </c:pt>
                <c:pt idx="3">
                  <c:v>0.15668236188481843</c:v>
                </c:pt>
                <c:pt idx="4">
                  <c:v>0.16773953120189819</c:v>
                </c:pt>
                <c:pt idx="5">
                  <c:v>0.1654521606213197</c:v>
                </c:pt>
                <c:pt idx="6">
                  <c:v>0.15180911104454892</c:v>
                </c:pt>
                <c:pt idx="7">
                  <c:v>0.14683445316582283</c:v>
                </c:pt>
                <c:pt idx="8">
                  <c:v>0.1434747916007916</c:v>
                </c:pt>
                <c:pt idx="9">
                  <c:v>0.14052749235813766</c:v>
                </c:pt>
                <c:pt idx="10">
                  <c:v>0.14099464447685828</c:v>
                </c:pt>
                <c:pt idx="11">
                  <c:v>0.14042254999727316</c:v>
                </c:pt>
                <c:pt idx="12">
                  <c:v>0.13403100375622787</c:v>
                </c:pt>
                <c:pt idx="13">
                  <c:v>0.13430269262174363</c:v>
                </c:pt>
                <c:pt idx="14">
                  <c:v>0.13200280429146874</c:v>
                </c:pt>
                <c:pt idx="15">
                  <c:v>0.13065358040319563</c:v>
                </c:pt>
                <c:pt idx="16">
                  <c:v>0.12030428258916918</c:v>
                </c:pt>
                <c:pt idx="17">
                  <c:v>0.10929352840375232</c:v>
                </c:pt>
                <c:pt idx="18">
                  <c:v>9.5162356338702458E-2</c:v>
                </c:pt>
                <c:pt idx="19">
                  <c:v>6.1802798676336521E-2</c:v>
                </c:pt>
                <c:pt idx="20">
                  <c:v>3.9466544794737844E-2</c:v>
                </c:pt>
                <c:pt idx="21">
                  <c:v>2.1826855079501339E-2</c:v>
                </c:pt>
                <c:pt idx="22">
                  <c:v>6.0706027038356257E-3</c:v>
                </c:pt>
                <c:pt idx="23">
                  <c:v>-8.5216282298587551E-3</c:v>
                </c:pt>
                <c:pt idx="24">
                  <c:v>-1.4083423189511984E-2</c:v>
                </c:pt>
                <c:pt idx="25">
                  <c:v>-9.162811643621217E-3</c:v>
                </c:pt>
                <c:pt idx="26">
                  <c:v>-9.7913880965903467E-3</c:v>
                </c:pt>
                <c:pt idx="27">
                  <c:v>6.2381570534224438E-3</c:v>
                </c:pt>
                <c:pt idx="28">
                  <c:v>2.7065156140791233E-2</c:v>
                </c:pt>
                <c:pt idx="29">
                  <c:v>5.5888978430309363E-2</c:v>
                </c:pt>
                <c:pt idx="30">
                  <c:v>7.3559958029538824E-2</c:v>
                </c:pt>
                <c:pt idx="31">
                  <c:v>8.3203644912170666E-2</c:v>
                </c:pt>
                <c:pt idx="32">
                  <c:v>8.8701945931107376E-2</c:v>
                </c:pt>
                <c:pt idx="33">
                  <c:v>0.11286907107973501</c:v>
                </c:pt>
                <c:pt idx="34">
                  <c:v>0.12373455525076359</c:v>
                </c:pt>
                <c:pt idx="35">
                  <c:v>0.13282137175076128</c:v>
                </c:pt>
                <c:pt idx="36">
                  <c:v>0.14390464219069671</c:v>
                </c:pt>
                <c:pt idx="37">
                  <c:v>0.14590551852380637</c:v>
                </c:pt>
                <c:pt idx="38">
                  <c:v>0.14134849722671142</c:v>
                </c:pt>
                <c:pt idx="39">
                  <c:v>0.13430121532284547</c:v>
                </c:pt>
                <c:pt idx="40">
                  <c:v>0.13216609672352159</c:v>
                </c:pt>
                <c:pt idx="41">
                  <c:v>0.13365081330422932</c:v>
                </c:pt>
                <c:pt idx="42">
                  <c:v>0.14847517908108346</c:v>
                </c:pt>
                <c:pt idx="43">
                  <c:v>0.17510962290856874</c:v>
                </c:pt>
                <c:pt idx="44">
                  <c:v>0.19523447692094614</c:v>
                </c:pt>
                <c:pt idx="45">
                  <c:v>0.22070969012317754</c:v>
                </c:pt>
                <c:pt idx="46">
                  <c:v>0.25311023166071994</c:v>
                </c:pt>
                <c:pt idx="47">
                  <c:v>0.28364799497327081</c:v>
                </c:pt>
                <c:pt idx="48">
                  <c:v>0.32328108742716949</c:v>
                </c:pt>
                <c:pt idx="49">
                  <c:v>0.35364754437446538</c:v>
                </c:pt>
                <c:pt idx="50">
                  <c:v>0.38583675521270927</c:v>
                </c:pt>
                <c:pt idx="51">
                  <c:v>0.41834947477641127</c:v>
                </c:pt>
                <c:pt idx="52">
                  <c:v>0.45826777669379476</c:v>
                </c:pt>
                <c:pt idx="53">
                  <c:v>0.49846172795157506</c:v>
                </c:pt>
                <c:pt idx="54">
                  <c:v>0.53620098146746575</c:v>
                </c:pt>
                <c:pt idx="55">
                  <c:v>0.57128062884045938</c:v>
                </c:pt>
                <c:pt idx="56">
                  <c:v>0.62700925855965783</c:v>
                </c:pt>
                <c:pt idx="57">
                  <c:v>0.660782622697489</c:v>
                </c:pt>
                <c:pt idx="58">
                  <c:v>0.69387762106437101</c:v>
                </c:pt>
                <c:pt idx="59">
                  <c:v>0.72866990176528257</c:v>
                </c:pt>
                <c:pt idx="60">
                  <c:v>0.76281883730086686</c:v>
                </c:pt>
                <c:pt idx="61">
                  <c:v>0.79620635969620224</c:v>
                </c:pt>
                <c:pt idx="62">
                  <c:v>0.81817637111127195</c:v>
                </c:pt>
                <c:pt idx="63">
                  <c:v>0.83737567921284306</c:v>
                </c:pt>
                <c:pt idx="64">
                  <c:v>0.85536187208990366</c:v>
                </c:pt>
                <c:pt idx="65">
                  <c:v>0.87435577579630974</c:v>
                </c:pt>
                <c:pt idx="66">
                  <c:v>0.88121021991608439</c:v>
                </c:pt>
                <c:pt idx="67">
                  <c:v>0.88793133932695201</c:v>
                </c:pt>
                <c:pt idx="68">
                  <c:v>0.89536977758185021</c:v>
                </c:pt>
                <c:pt idx="69">
                  <c:v>0.89514795892119947</c:v>
                </c:pt>
                <c:pt idx="70">
                  <c:v>0.89272734818126398</c:v>
                </c:pt>
                <c:pt idx="71">
                  <c:v>0.88823604530453282</c:v>
                </c:pt>
                <c:pt idx="72">
                  <c:v>0.87992615684592401</c:v>
                </c:pt>
                <c:pt idx="73">
                  <c:v>0.87625403160568804</c:v>
                </c:pt>
                <c:pt idx="74">
                  <c:v>0.87176595312698413</c:v>
                </c:pt>
                <c:pt idx="75">
                  <c:v>0.8689057247420654</c:v>
                </c:pt>
                <c:pt idx="76">
                  <c:v>0.85341406618922167</c:v>
                </c:pt>
                <c:pt idx="77">
                  <c:v>0.85175028328294822</c:v>
                </c:pt>
                <c:pt idx="78">
                  <c:v>0.85141983298464718</c:v>
                </c:pt>
                <c:pt idx="79">
                  <c:v>0.850281471658067</c:v>
                </c:pt>
                <c:pt idx="80">
                  <c:v>0.84895907660935543</c:v>
                </c:pt>
                <c:pt idx="81">
                  <c:v>0.84803893656877494</c:v>
                </c:pt>
                <c:pt idx="82">
                  <c:v>0.84623303365756297</c:v>
                </c:pt>
                <c:pt idx="83">
                  <c:v>0.84250145034937918</c:v>
                </c:pt>
                <c:pt idx="84">
                  <c:v>0.84099705842796313</c:v>
                </c:pt>
                <c:pt idx="85">
                  <c:v>0.83839087393946099</c:v>
                </c:pt>
                <c:pt idx="86">
                  <c:v>0.83561545594148634</c:v>
                </c:pt>
                <c:pt idx="87">
                  <c:v>0.82863334550891987</c:v>
                </c:pt>
                <c:pt idx="88">
                  <c:v>0.82837172895723443</c:v>
                </c:pt>
                <c:pt idx="89">
                  <c:v>0.82760758252776445</c:v>
                </c:pt>
                <c:pt idx="90">
                  <c:v>0.82660616455230285</c:v>
                </c:pt>
                <c:pt idx="91">
                  <c:v>0.82556173381319631</c:v>
                </c:pt>
                <c:pt idx="92">
                  <c:v>0.82388161436415863</c:v>
                </c:pt>
                <c:pt idx="93">
                  <c:v>0.82204408398649853</c:v>
                </c:pt>
                <c:pt idx="94">
                  <c:v>0.82051481370793522</c:v>
                </c:pt>
                <c:pt idx="95">
                  <c:v>0.81714454609881682</c:v>
                </c:pt>
                <c:pt idx="96">
                  <c:v>0.81685485145486803</c:v>
                </c:pt>
                <c:pt idx="97">
                  <c:v>0.81515538112571517</c:v>
                </c:pt>
                <c:pt idx="98">
                  <c:v>0.81532052928077903</c:v>
                </c:pt>
                <c:pt idx="99">
                  <c:v>0.81292027568195746</c:v>
                </c:pt>
                <c:pt idx="100">
                  <c:v>0.80875896141013925</c:v>
                </c:pt>
                <c:pt idx="101">
                  <c:v>0.80379107637969083</c:v>
                </c:pt>
                <c:pt idx="102">
                  <c:v>0.79950874510308823</c:v>
                </c:pt>
                <c:pt idx="103">
                  <c:v>0.79399661809434896</c:v>
                </c:pt>
                <c:pt idx="104">
                  <c:v>0.78806534942167206</c:v>
                </c:pt>
                <c:pt idx="105">
                  <c:v>0.78151147473660809</c:v>
                </c:pt>
                <c:pt idx="106">
                  <c:v>0.77380052703717939</c:v>
                </c:pt>
                <c:pt idx="107">
                  <c:v>0.76532636143495192</c:v>
                </c:pt>
                <c:pt idx="108">
                  <c:v>0.7559400959861865</c:v>
                </c:pt>
                <c:pt idx="109">
                  <c:v>0.74970301906988324</c:v>
                </c:pt>
                <c:pt idx="110">
                  <c:v>0.73947893600169667</c:v>
                </c:pt>
                <c:pt idx="111">
                  <c:v>0.72774712576546752</c:v>
                </c:pt>
                <c:pt idx="112">
                  <c:v>0.71291426746721254</c:v>
                </c:pt>
                <c:pt idx="113">
                  <c:v>0.6947374943639465</c:v>
                </c:pt>
                <c:pt idx="114">
                  <c:v>0.6732983255647913</c:v>
                </c:pt>
                <c:pt idx="115">
                  <c:v>0.66343221902669514</c:v>
                </c:pt>
                <c:pt idx="116">
                  <c:v>0.65299118408099799</c:v>
                </c:pt>
                <c:pt idx="117">
                  <c:v>0.64011202150938629</c:v>
                </c:pt>
                <c:pt idx="118">
                  <c:v>0.62379250914721696</c:v>
                </c:pt>
                <c:pt idx="119">
                  <c:v>0.6032112149001172</c:v>
                </c:pt>
                <c:pt idx="120">
                  <c:v>0.56722462814735841</c:v>
                </c:pt>
                <c:pt idx="121">
                  <c:v>0.53302767161398734</c:v>
                </c:pt>
                <c:pt idx="122">
                  <c:v>0.49591817195391402</c:v>
                </c:pt>
                <c:pt idx="123">
                  <c:v>0.46990545660960659</c:v>
                </c:pt>
                <c:pt idx="124">
                  <c:v>0.43990429486477339</c:v>
                </c:pt>
                <c:pt idx="125">
                  <c:v>0.40114718609475253</c:v>
                </c:pt>
                <c:pt idx="126">
                  <c:v>0.36622372465662251</c:v>
                </c:pt>
                <c:pt idx="127">
                  <c:v>0.33521331543470745</c:v>
                </c:pt>
                <c:pt idx="128">
                  <c:v>0.2990911637833164</c:v>
                </c:pt>
                <c:pt idx="129">
                  <c:v>0.27531782419202083</c:v>
                </c:pt>
                <c:pt idx="130">
                  <c:v>0.25548222424588729</c:v>
                </c:pt>
                <c:pt idx="131">
                  <c:v>0.21946307360622735</c:v>
                </c:pt>
                <c:pt idx="132">
                  <c:v>0.20473398029303874</c:v>
                </c:pt>
                <c:pt idx="133">
                  <c:v>0.20248070897876075</c:v>
                </c:pt>
                <c:pt idx="134">
                  <c:v>0.1932608362261187</c:v>
                </c:pt>
                <c:pt idx="135">
                  <c:v>0.18050438634836302</c:v>
                </c:pt>
                <c:pt idx="136">
                  <c:v>0.17939334460950485</c:v>
                </c:pt>
                <c:pt idx="137">
                  <c:v>0.19679810657971308</c:v>
                </c:pt>
                <c:pt idx="138">
                  <c:v>0.23373950149089534</c:v>
                </c:pt>
                <c:pt idx="139">
                  <c:v>0.22906830611638626</c:v>
                </c:pt>
                <c:pt idx="140">
                  <c:v>0.21565218836818284</c:v>
                </c:pt>
                <c:pt idx="141">
                  <c:v>0.22000297904875951</c:v>
                </c:pt>
                <c:pt idx="142">
                  <c:v>0.22505668796620892</c:v>
                </c:pt>
                <c:pt idx="143">
                  <c:v>0.23696470893780217</c:v>
                </c:pt>
                <c:pt idx="144">
                  <c:v>0.25170569555827416</c:v>
                </c:pt>
                <c:pt idx="145">
                  <c:v>0.26189700595683268</c:v>
                </c:pt>
                <c:pt idx="146">
                  <c:v>0.26763227276955864</c:v>
                </c:pt>
                <c:pt idx="147">
                  <c:v>0.27376673411699437</c:v>
                </c:pt>
                <c:pt idx="148">
                  <c:v>0.27851067945384234</c:v>
                </c:pt>
                <c:pt idx="149">
                  <c:v>0.28197679779151036</c:v>
                </c:pt>
                <c:pt idx="150">
                  <c:v>0.28797728364032738</c:v>
                </c:pt>
                <c:pt idx="151">
                  <c:v>0.27799383332664113</c:v>
                </c:pt>
                <c:pt idx="152">
                  <c:v>0.27069657376448863</c:v>
                </c:pt>
                <c:pt idx="153">
                  <c:v>0.25216171493044137</c:v>
                </c:pt>
                <c:pt idx="154">
                  <c:v>0.23715056468806425</c:v>
                </c:pt>
                <c:pt idx="155">
                  <c:v>0.20112742554833107</c:v>
                </c:pt>
                <c:pt idx="156">
                  <c:v>0.16447003286387038</c:v>
                </c:pt>
                <c:pt idx="157">
                  <c:v>8.5839671413362462E-2</c:v>
                </c:pt>
                <c:pt idx="158">
                  <c:v>-1.01937919595824E-2</c:v>
                </c:pt>
                <c:pt idx="159">
                  <c:v>-6.2892457286362766E-2</c:v>
                </c:pt>
                <c:pt idx="160">
                  <c:v>-0.10070102571050006</c:v>
                </c:pt>
                <c:pt idx="161">
                  <c:v>-0.11851349642319642</c:v>
                </c:pt>
                <c:pt idx="162">
                  <c:v>-0.13031866718050858</c:v>
                </c:pt>
                <c:pt idx="163">
                  <c:v>-0.15237159147484525</c:v>
                </c:pt>
                <c:pt idx="164">
                  <c:v>-0.17054724857686909</c:v>
                </c:pt>
                <c:pt idx="165">
                  <c:v>-0.17859024419675948</c:v>
                </c:pt>
                <c:pt idx="166">
                  <c:v>-0.18634186884566861</c:v>
                </c:pt>
                <c:pt idx="167">
                  <c:v>-0.18900069432276029</c:v>
                </c:pt>
                <c:pt idx="168">
                  <c:v>-0.19422249506071224</c:v>
                </c:pt>
                <c:pt idx="169">
                  <c:v>-0.20492906928465196</c:v>
                </c:pt>
                <c:pt idx="170">
                  <c:v>-0.21892199122524014</c:v>
                </c:pt>
                <c:pt idx="171">
                  <c:v>-0.24109519457658427</c:v>
                </c:pt>
                <c:pt idx="172">
                  <c:v>-0.26246202502985466</c:v>
                </c:pt>
                <c:pt idx="173">
                  <c:v>-0.28010485105091293</c:v>
                </c:pt>
                <c:pt idx="174">
                  <c:v>-0.2967244656986614</c:v>
                </c:pt>
                <c:pt idx="175">
                  <c:v>-0.30348524661020659</c:v>
                </c:pt>
                <c:pt idx="176">
                  <c:v>-0.31258123952796113</c:v>
                </c:pt>
                <c:pt idx="177">
                  <c:v>-0.30851376411476894</c:v>
                </c:pt>
                <c:pt idx="178">
                  <c:v>-0.29835175327820179</c:v>
                </c:pt>
                <c:pt idx="179">
                  <c:v>-0.29459965375335806</c:v>
                </c:pt>
                <c:pt idx="180">
                  <c:v>-0.29264707566832154</c:v>
                </c:pt>
                <c:pt idx="181">
                  <c:v>-0.28991309731234866</c:v>
                </c:pt>
                <c:pt idx="182">
                  <c:v>-0.28343068199215221</c:v>
                </c:pt>
                <c:pt idx="183">
                  <c:v>-0.2713488645658832</c:v>
                </c:pt>
                <c:pt idx="184">
                  <c:v>-0.25643896589436144</c:v>
                </c:pt>
                <c:pt idx="185">
                  <c:v>-0.2317852272002015</c:v>
                </c:pt>
                <c:pt idx="186">
                  <c:v>-0.19173063060831469</c:v>
                </c:pt>
                <c:pt idx="187">
                  <c:v>-0.14462073690315647</c:v>
                </c:pt>
                <c:pt idx="188">
                  <c:v>-0.10136021607146212</c:v>
                </c:pt>
                <c:pt idx="189">
                  <c:v>-6.1541151784429558E-2</c:v>
                </c:pt>
                <c:pt idx="190">
                  <c:v>-1.6200444177587169E-2</c:v>
                </c:pt>
                <c:pt idx="191">
                  <c:v>2.881463208070692E-2</c:v>
                </c:pt>
                <c:pt idx="192">
                  <c:v>6.8712111796659314E-2</c:v>
                </c:pt>
                <c:pt idx="193">
                  <c:v>0.10945232578062436</c:v>
                </c:pt>
                <c:pt idx="194">
                  <c:v>0.14766885008772065</c:v>
                </c:pt>
                <c:pt idx="195">
                  <c:v>0.19340699750844503</c:v>
                </c:pt>
                <c:pt idx="196">
                  <c:v>0.23549281359474436</c:v>
                </c:pt>
                <c:pt idx="197">
                  <c:v>0.27367935030745616</c:v>
                </c:pt>
                <c:pt idx="198">
                  <c:v>0.31290619554910604</c:v>
                </c:pt>
                <c:pt idx="199">
                  <c:v>0.35223075850254842</c:v>
                </c:pt>
                <c:pt idx="200">
                  <c:v>0.38684231489217524</c:v>
                </c:pt>
                <c:pt idx="201">
                  <c:v>0.42582248516214727</c:v>
                </c:pt>
                <c:pt idx="202">
                  <c:v>0.46489640882696764</c:v>
                </c:pt>
                <c:pt idx="203">
                  <c:v>0.51049530434255075</c:v>
                </c:pt>
                <c:pt idx="204">
                  <c:v>0.56006135592146988</c:v>
                </c:pt>
                <c:pt idx="205">
                  <c:v>0.5958656039142306</c:v>
                </c:pt>
                <c:pt idx="206">
                  <c:v>0.63148065851633617</c:v>
                </c:pt>
                <c:pt idx="207">
                  <c:v>0.6624527932676928</c:v>
                </c:pt>
                <c:pt idx="208">
                  <c:v>0.68402359450937933</c:v>
                </c:pt>
                <c:pt idx="209">
                  <c:v>0.69669387108310121</c:v>
                </c:pt>
                <c:pt idx="210">
                  <c:v>0.69990227545294303</c:v>
                </c:pt>
                <c:pt idx="211">
                  <c:v>0.7090325305428431</c:v>
                </c:pt>
                <c:pt idx="212">
                  <c:v>0.7182164595631888</c:v>
                </c:pt>
                <c:pt idx="213">
                  <c:v>0.72963260644535755</c:v>
                </c:pt>
                <c:pt idx="214">
                  <c:v>0.74508337228856591</c:v>
                </c:pt>
                <c:pt idx="215">
                  <c:v>0.75536287238207445</c:v>
                </c:pt>
                <c:pt idx="216">
                  <c:v>0.76929309494279341</c:v>
                </c:pt>
                <c:pt idx="217">
                  <c:v>0.7837386068777743</c:v>
                </c:pt>
                <c:pt idx="218">
                  <c:v>0.79097962879927741</c:v>
                </c:pt>
                <c:pt idx="219">
                  <c:v>0.80000563249355217</c:v>
                </c:pt>
                <c:pt idx="220">
                  <c:v>0.81375092643380698</c:v>
                </c:pt>
                <c:pt idx="221">
                  <c:v>0.82060177211846597</c:v>
                </c:pt>
                <c:pt idx="222">
                  <c:v>0.83255057973470625</c:v>
                </c:pt>
                <c:pt idx="223">
                  <c:v>0.8421597273474063</c:v>
                </c:pt>
                <c:pt idx="224">
                  <c:v>0.84461470273932104</c:v>
                </c:pt>
                <c:pt idx="225">
                  <c:v>0.84592060340982711</c:v>
                </c:pt>
                <c:pt idx="226">
                  <c:v>0.84551264157192296</c:v>
                </c:pt>
                <c:pt idx="227">
                  <c:v>0.84521614333469752</c:v>
                </c:pt>
                <c:pt idx="228">
                  <c:v>0.84607143879177971</c:v>
                </c:pt>
                <c:pt idx="229">
                  <c:v>0.85156966083300034</c:v>
                </c:pt>
                <c:pt idx="230">
                  <c:v>0.85408321954516742</c:v>
                </c:pt>
                <c:pt idx="231">
                  <c:v>0.85337484641807337</c:v>
                </c:pt>
                <c:pt idx="232">
                  <c:v>0.85059184879628813</c:v>
                </c:pt>
                <c:pt idx="233">
                  <c:v>0.84882955380297576</c:v>
                </c:pt>
                <c:pt idx="234">
                  <c:v>0.84659309993837606</c:v>
                </c:pt>
                <c:pt idx="235">
                  <c:v>0.85152221971780251</c:v>
                </c:pt>
                <c:pt idx="236">
                  <c:v>0.85962136294090574</c:v>
                </c:pt>
                <c:pt idx="237">
                  <c:v>0.8671717268546929</c:v>
                </c:pt>
                <c:pt idx="238">
                  <c:v>0.87705733161584787</c:v>
                </c:pt>
                <c:pt idx="239">
                  <c:v>0.88987168627637969</c:v>
                </c:pt>
                <c:pt idx="240">
                  <c:v>0.8948679848770833</c:v>
                </c:pt>
                <c:pt idx="241">
                  <c:v>0.89400076050877197</c:v>
                </c:pt>
                <c:pt idx="242">
                  <c:v>0.89420926896251629</c:v>
                </c:pt>
                <c:pt idx="243">
                  <c:v>0.89418216521373084</c:v>
                </c:pt>
                <c:pt idx="244">
                  <c:v>0.89630080548326196</c:v>
                </c:pt>
                <c:pt idx="245">
                  <c:v>0.89467573879103346</c:v>
                </c:pt>
                <c:pt idx="246">
                  <c:v>0.89248565039078953</c:v>
                </c:pt>
                <c:pt idx="247">
                  <c:v>0.89672164363556461</c:v>
                </c:pt>
                <c:pt idx="248">
                  <c:v>0.9124966978443636</c:v>
                </c:pt>
                <c:pt idx="249">
                  <c:v>0.91951359604362493</c:v>
                </c:pt>
                <c:pt idx="250">
                  <c:v>0.92483717106304697</c:v>
                </c:pt>
                <c:pt idx="251">
                  <c:v>0.92249422323639241</c:v>
                </c:pt>
                <c:pt idx="252">
                  <c:v>0.92009877396569173</c:v>
                </c:pt>
                <c:pt idx="253">
                  <c:v>0.91953481516746094</c:v>
                </c:pt>
                <c:pt idx="254">
                  <c:v>0.91798838652086956</c:v>
                </c:pt>
                <c:pt idx="255">
                  <c:v>0.91813873246806543</c:v>
                </c:pt>
                <c:pt idx="256">
                  <c:v>0.91771314603455401</c:v>
                </c:pt>
                <c:pt idx="257">
                  <c:v>0.91732352304627773</c:v>
                </c:pt>
                <c:pt idx="258">
                  <c:v>0.9166201207844501</c:v>
                </c:pt>
                <c:pt idx="259">
                  <c:v>0.91496219028380021</c:v>
                </c:pt>
                <c:pt idx="260">
                  <c:v>0.91394978992610454</c:v>
                </c:pt>
                <c:pt idx="261">
                  <c:v>0.9145745824608239</c:v>
                </c:pt>
                <c:pt idx="262">
                  <c:v>0.91733014940575464</c:v>
                </c:pt>
                <c:pt idx="263">
                  <c:v>0.9178198656114207</c:v>
                </c:pt>
                <c:pt idx="264">
                  <c:v>0.91822661018948548</c:v>
                </c:pt>
                <c:pt idx="265">
                  <c:v>0.91863064702366681</c:v>
                </c:pt>
                <c:pt idx="266">
                  <c:v>0.9205487029899887</c:v>
                </c:pt>
                <c:pt idx="267">
                  <c:v>0.9211076259225971</c:v>
                </c:pt>
                <c:pt idx="268">
                  <c:v>0.91942285476227781</c:v>
                </c:pt>
                <c:pt idx="269">
                  <c:v>0.91782411859991297</c:v>
                </c:pt>
                <c:pt idx="270">
                  <c:v>0.91611270599082029</c:v>
                </c:pt>
                <c:pt idx="271">
                  <c:v>0.91379623098433216</c:v>
                </c:pt>
                <c:pt idx="272">
                  <c:v>0.91101441239389258</c:v>
                </c:pt>
                <c:pt idx="273">
                  <c:v>0.90849461759269035</c:v>
                </c:pt>
                <c:pt idx="274">
                  <c:v>0.90620430753144987</c:v>
                </c:pt>
                <c:pt idx="275">
                  <c:v>0.90250083488122468</c:v>
                </c:pt>
                <c:pt idx="276">
                  <c:v>0.90070981119365023</c:v>
                </c:pt>
                <c:pt idx="277">
                  <c:v>0.90335781041211483</c:v>
                </c:pt>
                <c:pt idx="278">
                  <c:v>0.90657177619073426</c:v>
                </c:pt>
                <c:pt idx="279">
                  <c:v>0.90893567506906103</c:v>
                </c:pt>
                <c:pt idx="280">
                  <c:v>0.91401787367007159</c:v>
                </c:pt>
                <c:pt idx="281">
                  <c:v>0.9202726800456511</c:v>
                </c:pt>
                <c:pt idx="282">
                  <c:v>0.92642299518179183</c:v>
                </c:pt>
                <c:pt idx="283">
                  <c:v>0.93399649110565008</c:v>
                </c:pt>
                <c:pt idx="284">
                  <c:v>0.93861476291970747</c:v>
                </c:pt>
                <c:pt idx="285">
                  <c:v>0.94212386556528016</c:v>
                </c:pt>
                <c:pt idx="286">
                  <c:v>0.94447069070781264</c:v>
                </c:pt>
                <c:pt idx="287">
                  <c:v>0.9443030272322489</c:v>
                </c:pt>
                <c:pt idx="288">
                  <c:v>0.94348490478846103</c:v>
                </c:pt>
                <c:pt idx="289">
                  <c:v>0.94459890915043021</c:v>
                </c:pt>
                <c:pt idx="290">
                  <c:v>0.94550599306250616</c:v>
                </c:pt>
                <c:pt idx="291">
                  <c:v>0.94522025105730134</c:v>
                </c:pt>
                <c:pt idx="292">
                  <c:v>0.9446656879748071</c:v>
                </c:pt>
                <c:pt idx="293">
                  <c:v>0.94810501537822467</c:v>
                </c:pt>
                <c:pt idx="294">
                  <c:v>0.95630174945415924</c:v>
                </c:pt>
                <c:pt idx="295">
                  <c:v>0.96034249192362331</c:v>
                </c:pt>
                <c:pt idx="296">
                  <c:v>0.96155947173031653</c:v>
                </c:pt>
                <c:pt idx="297">
                  <c:v>0.96074623237473966</c:v>
                </c:pt>
                <c:pt idx="298">
                  <c:v>0.9600193685278634</c:v>
                </c:pt>
                <c:pt idx="299">
                  <c:v>0.95769028011543034</c:v>
                </c:pt>
                <c:pt idx="300">
                  <c:v>0.95492146795026278</c:v>
                </c:pt>
                <c:pt idx="301">
                  <c:v>0.95177895744898655</c:v>
                </c:pt>
                <c:pt idx="302">
                  <c:v>0.94884448118358089</c:v>
                </c:pt>
                <c:pt idx="303">
                  <c:v>0.94634183138351968</c:v>
                </c:pt>
                <c:pt idx="304">
                  <c:v>0.94447954887142549</c:v>
                </c:pt>
                <c:pt idx="305">
                  <c:v>0.94643458798022329</c:v>
                </c:pt>
                <c:pt idx="306">
                  <c:v>0.94553437205002699</c:v>
                </c:pt>
                <c:pt idx="307">
                  <c:v>0.94383733583345875</c:v>
                </c:pt>
                <c:pt idx="308">
                  <c:v>0.94164038704999309</c:v>
                </c:pt>
                <c:pt idx="309">
                  <c:v>0.93878355402290914</c:v>
                </c:pt>
                <c:pt idx="310">
                  <c:v>0.93602130912627501</c:v>
                </c:pt>
                <c:pt idx="311">
                  <c:v>0.93298275430865174</c:v>
                </c:pt>
                <c:pt idx="312">
                  <c:v>0.92866437966654813</c:v>
                </c:pt>
                <c:pt idx="313">
                  <c:v>0.92483866771792245</c:v>
                </c:pt>
                <c:pt idx="314">
                  <c:v>0.92054007797621751</c:v>
                </c:pt>
                <c:pt idx="315">
                  <c:v>0.915605407457173</c:v>
                </c:pt>
                <c:pt idx="316">
                  <c:v>0.90974040704525727</c:v>
                </c:pt>
                <c:pt idx="317">
                  <c:v>0.90132637117966063</c:v>
                </c:pt>
                <c:pt idx="318">
                  <c:v>0.89268848499907294</c:v>
                </c:pt>
                <c:pt idx="319">
                  <c:v>0.88220568174700043</c:v>
                </c:pt>
                <c:pt idx="320">
                  <c:v>0.87191480483205452</c:v>
                </c:pt>
                <c:pt idx="321">
                  <c:v>0.86622712853544281</c:v>
                </c:pt>
                <c:pt idx="322">
                  <c:v>0.85974265764716595</c:v>
                </c:pt>
                <c:pt idx="323">
                  <c:v>0.85352513471670233</c:v>
                </c:pt>
                <c:pt idx="324">
                  <c:v>0.84884163412198821</c:v>
                </c:pt>
                <c:pt idx="325">
                  <c:v>0.8425099197955358</c:v>
                </c:pt>
                <c:pt idx="326">
                  <c:v>0.8342832037461051</c:v>
                </c:pt>
                <c:pt idx="327">
                  <c:v>0.82488456342515437</c:v>
                </c:pt>
                <c:pt idx="328">
                  <c:v>0.81450590118602229</c:v>
                </c:pt>
                <c:pt idx="329">
                  <c:v>0.79796129421753359</c:v>
                </c:pt>
                <c:pt idx="330">
                  <c:v>0.77957632820352163</c:v>
                </c:pt>
                <c:pt idx="331">
                  <c:v>0.76861963410091616</c:v>
                </c:pt>
                <c:pt idx="332">
                  <c:v>0.75862447363033392</c:v>
                </c:pt>
                <c:pt idx="333">
                  <c:v>0.74786307295027932</c:v>
                </c:pt>
                <c:pt idx="334">
                  <c:v>0.74710691605200064</c:v>
                </c:pt>
                <c:pt idx="335">
                  <c:v>0.7446533058236563</c:v>
                </c:pt>
                <c:pt idx="336">
                  <c:v>0.74133984426153043</c:v>
                </c:pt>
                <c:pt idx="337">
                  <c:v>0.72771103822800998</c:v>
                </c:pt>
                <c:pt idx="338">
                  <c:v>0.70922115179951717</c:v>
                </c:pt>
                <c:pt idx="339">
                  <c:v>0.70933189713715716</c:v>
                </c:pt>
                <c:pt idx="340">
                  <c:v>0.71399310525908977</c:v>
                </c:pt>
                <c:pt idx="341">
                  <c:v>0.73605897058429148</c:v>
                </c:pt>
                <c:pt idx="342">
                  <c:v>0.73053789921454582</c:v>
                </c:pt>
                <c:pt idx="343">
                  <c:v>0.72752200152214852</c:v>
                </c:pt>
                <c:pt idx="344">
                  <c:v>0.72751688478076426</c:v>
                </c:pt>
                <c:pt idx="345">
                  <c:v>0.72527750540454528</c:v>
                </c:pt>
                <c:pt idx="346">
                  <c:v>0.72046188365017172</c:v>
                </c:pt>
                <c:pt idx="347">
                  <c:v>0.71089193900656578</c:v>
                </c:pt>
                <c:pt idx="348">
                  <c:v>0.69179292138129722</c:v>
                </c:pt>
                <c:pt idx="349">
                  <c:v>0.65084490901681447</c:v>
                </c:pt>
                <c:pt idx="350">
                  <c:v>0.63181636691027543</c:v>
                </c:pt>
                <c:pt idx="351">
                  <c:v>0.60773153492215637</c:v>
                </c:pt>
                <c:pt idx="352">
                  <c:v>0.58225725636157455</c:v>
                </c:pt>
                <c:pt idx="353">
                  <c:v>0.5728532797350061</c:v>
                </c:pt>
                <c:pt idx="354">
                  <c:v>0.82329843823759175</c:v>
                </c:pt>
                <c:pt idx="355">
                  <c:v>0.80923585787254204</c:v>
                </c:pt>
                <c:pt idx="356">
                  <c:v>0.794051936506602</c:v>
                </c:pt>
                <c:pt idx="357">
                  <c:v>0.77440456175652883</c:v>
                </c:pt>
                <c:pt idx="358">
                  <c:v>0.74642470888263412</c:v>
                </c:pt>
                <c:pt idx="359">
                  <c:v>0.70858270641200949</c:v>
                </c:pt>
                <c:pt idx="360">
                  <c:v>0.66219690233094197</c:v>
                </c:pt>
                <c:pt idx="361">
                  <c:v>0.60095627156769482</c:v>
                </c:pt>
                <c:pt idx="362">
                  <c:v>0.49633063071673061</c:v>
                </c:pt>
                <c:pt idx="363">
                  <c:v>0.35934047418270382</c:v>
                </c:pt>
                <c:pt idx="364">
                  <c:v>0.21604058312657054</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numCache>
            </c:numRef>
          </c:val>
          <c:smooth val="0"/>
          <c:extLst>
            <c:ext xmlns:c16="http://schemas.microsoft.com/office/drawing/2014/chart" uri="{C3380CC4-5D6E-409C-BE32-E72D297353CC}">
              <c16:uniqueId val="{00000001-4268-46E0-931B-8FA533D79033}"/>
            </c:ext>
          </c:extLst>
        </c:ser>
        <c:dLbls>
          <c:showLegendKey val="0"/>
          <c:showVal val="0"/>
          <c:showCatName val="0"/>
          <c:showSerName val="0"/>
          <c:showPercent val="0"/>
          <c:showBubbleSize val="0"/>
        </c:dLbls>
        <c:smooth val="0"/>
        <c:axId val="938269392"/>
        <c:axId val="938267040"/>
      </c:lineChart>
      <c:dateAx>
        <c:axId val="938269392"/>
        <c:scaling>
          <c:orientation val="minMax"/>
          <c:min val="44440"/>
        </c:scaling>
        <c:delete val="0"/>
        <c:axPos val="b"/>
        <c:numFmt formatCode="mmm"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0" vert="horz"/>
          <a:lstStyle/>
          <a:p>
            <a:pPr>
              <a:defRPr sz="700" b="0">
                <a:solidFill>
                  <a:srgbClr val="000000"/>
                </a:solidFill>
                <a:latin typeface="Arial"/>
                <a:ea typeface="Arial"/>
                <a:cs typeface="Arial"/>
              </a:defRPr>
            </a:pPr>
            <a:endParaRPr lang="en-US"/>
          </a:p>
        </c:txPr>
        <c:crossAx val="938267040"/>
        <c:crossesAt val="-1"/>
        <c:auto val="1"/>
        <c:lblOffset val="100"/>
        <c:baseTimeUnit val="days"/>
        <c:majorUnit val="1"/>
        <c:majorTimeUnit val="months"/>
      </c:dateAx>
      <c:valAx>
        <c:axId val="938267040"/>
        <c:scaling>
          <c:orientation val="minMax"/>
          <c:max val="1"/>
          <c:min val="-1"/>
        </c:scaling>
        <c:delete val="0"/>
        <c:axPos val="l"/>
        <c:majorGridlines>
          <c:spPr>
            <a:ln w="3175">
              <a:solidFill>
                <a:srgbClr val="DEE1E0"/>
              </a:solidFill>
              <a:prstDash val="solid"/>
            </a:ln>
          </c:spPr>
        </c:majorGridlines>
        <c:numFmt formatCode="#,##0.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938269392"/>
        <c:crosses val="autoZero"/>
        <c:crossBetween val="midCat"/>
      </c:valAx>
      <c:spPr>
        <a:noFill/>
        <a:ln>
          <a:noFill/>
        </a:ln>
      </c:spPr>
    </c:plotArea>
    <c:legend>
      <c:legendPos val="b"/>
      <c:layout>
        <c:manualLayout>
          <c:xMode val="edge"/>
          <c:yMode val="edge"/>
          <c:x val="0"/>
          <c:y val="0.83261556129773184"/>
          <c:w val="1"/>
          <c:h val="8.0390467987367209E-2"/>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zero"/>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85233844718254"/>
          <c:y val="0.14303761125466552"/>
          <c:w val="0.69137451021145135"/>
          <c:h val="0.67497338026545128"/>
        </c:manualLayout>
      </c:layout>
      <c:barChart>
        <c:barDir val="col"/>
        <c:grouping val="clustered"/>
        <c:varyColors val="0"/>
        <c:ser>
          <c:idx val="2"/>
          <c:order val="2"/>
          <c:tx>
            <c:strRef>
              <c:f>ExportArbNAPP!$R$4</c:f>
              <c:strCache>
                <c:ptCount val="1"/>
                <c:pt idx="0">
                  <c:v>Arbitrage</c:v>
                </c:pt>
              </c:strCache>
            </c:strRef>
          </c:tx>
          <c:spPr>
            <a:solidFill>
              <a:srgbClr val="CED1D0"/>
            </a:solidFill>
            <a:ln>
              <a:noFill/>
            </a:ln>
          </c:spPr>
          <c:invertIfNegative val="0"/>
          <c:cat>
            <c:numRef>
              <c:f>ExportArbNAPP!$O$5:$O$500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ExportArbNAPP!$R$5:$R$500</c:f>
              <c:numCache>
                <c:formatCode>#,##0.00</c:formatCode>
                <c:ptCount val="496"/>
                <c:pt idx="0">
                  <c:v>99.561666430933514</c:v>
                </c:pt>
                <c:pt idx="1">
                  <c:v>99.969906430933491</c:v>
                </c:pt>
                <c:pt idx="2">
                  <c:v>92.231490430933462</c:v>
                </c:pt>
                <c:pt idx="3">
                  <c:v>88.974642430933471</c:v>
                </c:pt>
                <c:pt idx="4">
                  <c:v>102.8094424309335</c:v>
                </c:pt>
                <c:pt idx="5">
                  <c:v>102.8094424309335</c:v>
                </c:pt>
                <c:pt idx="6">
                  <c:v>102.8094424309335</c:v>
                </c:pt>
                <c:pt idx="7">
                  <c:v>120.22595264400456</c:v>
                </c:pt>
                <c:pt idx="8">
                  <c:v>146.16280064400451</c:v>
                </c:pt>
                <c:pt idx="9">
                  <c:v>159.77080064400451</c:v>
                </c:pt>
                <c:pt idx="10">
                  <c:v>173.37880064400451</c:v>
                </c:pt>
                <c:pt idx="11">
                  <c:v>146.16280064400451</c:v>
                </c:pt>
                <c:pt idx="12">
                  <c:v>146.16280064400451</c:v>
                </c:pt>
                <c:pt idx="13">
                  <c:v>146.16280064400451</c:v>
                </c:pt>
                <c:pt idx="14">
                  <c:v>140.01488133524458</c:v>
                </c:pt>
                <c:pt idx="15">
                  <c:v>138.8264493352446</c:v>
                </c:pt>
                <c:pt idx="16">
                  <c:v>137.06648133524459</c:v>
                </c:pt>
                <c:pt idx="17">
                  <c:v>147.04568133524458</c:v>
                </c:pt>
                <c:pt idx="18">
                  <c:v>147.04568133524458</c:v>
                </c:pt>
                <c:pt idx="19">
                  <c:v>147.04568133524458</c:v>
                </c:pt>
                <c:pt idx="20">
                  <c:v>147.04568133524458</c:v>
                </c:pt>
                <c:pt idx="21">
                  <c:v>153.7015117284792</c:v>
                </c:pt>
                <c:pt idx="22">
                  <c:v>156.14187972847924</c:v>
                </c:pt>
                <c:pt idx="23">
                  <c:v>166.12107972847923</c:v>
                </c:pt>
                <c:pt idx="24">
                  <c:v>186.53307972847921</c:v>
                </c:pt>
                <c:pt idx="25">
                  <c:v>172.17210372847921</c:v>
                </c:pt>
                <c:pt idx="26">
                  <c:v>172.17210372847921</c:v>
                </c:pt>
                <c:pt idx="27">
                  <c:v>172.17210372847921</c:v>
                </c:pt>
                <c:pt idx="28">
                  <c:v>154.8429790265765</c:v>
                </c:pt>
                <c:pt idx="29">
                  <c:v>160.69441902657647</c:v>
                </c:pt>
                <c:pt idx="30">
                  <c:v>159.03424302657649</c:v>
                </c:pt>
                <c:pt idx="31">
                  <c:v>132.4986430265765</c:v>
                </c:pt>
                <c:pt idx="32">
                  <c:v>126.82864302657649</c:v>
                </c:pt>
                <c:pt idx="33">
                  <c:v>126.82864302657649</c:v>
                </c:pt>
                <c:pt idx="34">
                  <c:v>126.82864302657649</c:v>
                </c:pt>
                <c:pt idx="35">
                  <c:v>132.18902840023216</c:v>
                </c:pt>
                <c:pt idx="36">
                  <c:v>125.38502840023219</c:v>
                </c:pt>
                <c:pt idx="37">
                  <c:v>98.450260400232168</c:v>
                </c:pt>
                <c:pt idx="38">
                  <c:v>89.641348400232204</c:v>
                </c:pt>
                <c:pt idx="39">
                  <c:v>91.591828400232174</c:v>
                </c:pt>
                <c:pt idx="40">
                  <c:v>91.591828400232174</c:v>
                </c:pt>
                <c:pt idx="41">
                  <c:v>91.591828400232174</c:v>
                </c:pt>
                <c:pt idx="42">
                  <c:v>106.5210534437104</c:v>
                </c:pt>
                <c:pt idx="43">
                  <c:v>132.89335744371039</c:v>
                </c:pt>
                <c:pt idx="44">
                  <c:v>149.56769344371043</c:v>
                </c:pt>
                <c:pt idx="45">
                  <c:v>168.81847744371044</c:v>
                </c:pt>
                <c:pt idx="46">
                  <c:v>179.3601414437104</c:v>
                </c:pt>
                <c:pt idx="47">
                  <c:v>179.3601414437104</c:v>
                </c:pt>
                <c:pt idx="48">
                  <c:v>179.3601414437104</c:v>
                </c:pt>
                <c:pt idx="49">
                  <c:v>189.34512315158796</c:v>
                </c:pt>
                <c:pt idx="50">
                  <c:v>182.04216315158797</c:v>
                </c:pt>
                <c:pt idx="51">
                  <c:v>183.56625915158796</c:v>
                </c:pt>
                <c:pt idx="52">
                  <c:v>161.44872315158798</c:v>
                </c:pt>
                <c:pt idx="53">
                  <c:v>149.77305915158794</c:v>
                </c:pt>
                <c:pt idx="54">
                  <c:v>149.77305915158794</c:v>
                </c:pt>
                <c:pt idx="55">
                  <c:v>149.77305915158794</c:v>
                </c:pt>
                <c:pt idx="56">
                  <c:v>140.80980251402934</c:v>
                </c:pt>
                <c:pt idx="57">
                  <c:v>141.91658651402935</c:v>
                </c:pt>
                <c:pt idx="58">
                  <c:v>137.42594651402936</c:v>
                </c:pt>
                <c:pt idx="59">
                  <c:v>139.46714651402937</c:v>
                </c:pt>
                <c:pt idx="60">
                  <c:v>151.61455451402935</c:v>
                </c:pt>
                <c:pt idx="61">
                  <c:v>151.61455451402935</c:v>
                </c:pt>
                <c:pt idx="62">
                  <c:v>151.61455451402935</c:v>
                </c:pt>
                <c:pt idx="63">
                  <c:v>173.65397797280315</c:v>
                </c:pt>
                <c:pt idx="64">
                  <c:v>178.18997797280315</c:v>
                </c:pt>
                <c:pt idx="65">
                  <c:v>177.31906597280312</c:v>
                </c:pt>
                <c:pt idx="66">
                  <c:v>177.2827779728031</c:v>
                </c:pt>
                <c:pt idx="67">
                  <c:v>165.48917797280313</c:v>
                </c:pt>
                <c:pt idx="68">
                  <c:v>165.48917797280313</c:v>
                </c:pt>
                <c:pt idx="69">
                  <c:v>165.48917797280313</c:v>
                </c:pt>
                <c:pt idx="70">
                  <c:v>168.62314855833495</c:v>
                </c:pt>
                <c:pt idx="71">
                  <c:v>165.56588455833497</c:v>
                </c:pt>
                <c:pt idx="72">
                  <c:v>175.24570855833497</c:v>
                </c:pt>
                <c:pt idx="73">
                  <c:v>171.46268455833496</c:v>
                </c:pt>
                <c:pt idx="74">
                  <c:v>159.95031655833498</c:v>
                </c:pt>
                <c:pt idx="75">
                  <c:v>159.95031655833498</c:v>
                </c:pt>
                <c:pt idx="76">
                  <c:v>159.95031655833498</c:v>
                </c:pt>
                <c:pt idx="77">
                  <c:v>146.62786627436756</c:v>
                </c:pt>
                <c:pt idx="78">
                  <c:v>147.3445542743676</c:v>
                </c:pt>
                <c:pt idx="79">
                  <c:v>150.87356227436757</c:v>
                </c:pt>
                <c:pt idx="80">
                  <c:v>184.00450627436757</c:v>
                </c:pt>
                <c:pt idx="81">
                  <c:v>193.62082627436754</c:v>
                </c:pt>
                <c:pt idx="82">
                  <c:v>193.62082627436754</c:v>
                </c:pt>
                <c:pt idx="83">
                  <c:v>193.62082627436754</c:v>
                </c:pt>
                <c:pt idx="84">
                  <c:v>222.05847307425725</c:v>
                </c:pt>
                <c:pt idx="85">
                  <c:v>209.47560907425722</c:v>
                </c:pt>
                <c:pt idx="86">
                  <c:v>198.92487307425725</c:v>
                </c:pt>
                <c:pt idx="87">
                  <c:v>178.60359307425725</c:v>
                </c:pt>
                <c:pt idx="88">
                  <c:v>160.05135307425721</c:v>
                </c:pt>
                <c:pt idx="89">
                  <c:v>160.05135307425721</c:v>
                </c:pt>
                <c:pt idx="90">
                  <c:v>160.05135307425721</c:v>
                </c:pt>
                <c:pt idx="91">
                  <c:v>171.42616145738069</c:v>
                </c:pt>
                <c:pt idx="92">
                  <c:v>150.15232145738068</c:v>
                </c:pt>
                <c:pt idx="93">
                  <c:v>147.92060945738072</c:v>
                </c:pt>
                <c:pt idx="94">
                  <c:v>122.44643345738066</c:v>
                </c:pt>
                <c:pt idx="95">
                  <c:v>123.73465745738068</c:v>
                </c:pt>
                <c:pt idx="96">
                  <c:v>123.73465745738068</c:v>
                </c:pt>
                <c:pt idx="97">
                  <c:v>123.73465745738068</c:v>
                </c:pt>
                <c:pt idx="98">
                  <c:v>125.96741655803342</c:v>
                </c:pt>
                <c:pt idx="99">
                  <c:v>126.14885655803337</c:v>
                </c:pt>
                <c:pt idx="100">
                  <c:v>137.25298455803338</c:v>
                </c:pt>
                <c:pt idx="101">
                  <c:v>142.17908055803341</c:v>
                </c:pt>
                <c:pt idx="102">
                  <c:v>137.83359255803336</c:v>
                </c:pt>
                <c:pt idx="103">
                  <c:v>137.83359255803336</c:v>
                </c:pt>
                <c:pt idx="104">
                  <c:v>137.83359255803336</c:v>
                </c:pt>
                <c:pt idx="105">
                  <c:v>142.10444287883485</c:v>
                </c:pt>
                <c:pt idx="106">
                  <c:v>142.10444287883485</c:v>
                </c:pt>
                <c:pt idx="107">
                  <c:v>168.22028290144024</c:v>
                </c:pt>
                <c:pt idx="108">
                  <c:v>135.89674690144025</c:v>
                </c:pt>
                <c:pt idx="109">
                  <c:v>118.43314690144027</c:v>
                </c:pt>
                <c:pt idx="110">
                  <c:v>118.43314690144027</c:v>
                </c:pt>
                <c:pt idx="111">
                  <c:v>118.43314690144027</c:v>
                </c:pt>
                <c:pt idx="112">
                  <c:v>130.66541452897951</c:v>
                </c:pt>
                <c:pt idx="113">
                  <c:v>118.19141452897952</c:v>
                </c:pt>
                <c:pt idx="114">
                  <c:v>139.17495052897948</c:v>
                </c:pt>
                <c:pt idx="115">
                  <c:v>155.61341452897949</c:v>
                </c:pt>
                <c:pt idx="116">
                  <c:v>166.95341452897952</c:v>
                </c:pt>
                <c:pt idx="117">
                  <c:v>166.95341452897952</c:v>
                </c:pt>
                <c:pt idx="118">
                  <c:v>166.95341452897952</c:v>
                </c:pt>
                <c:pt idx="119">
                  <c:v>172.32603460803088</c:v>
                </c:pt>
                <c:pt idx="120">
                  <c:v>172.97921860803089</c:v>
                </c:pt>
                <c:pt idx="121">
                  <c:v>155.88757060803087</c:v>
                </c:pt>
                <c:pt idx="122">
                  <c:v>147.18752260803089</c:v>
                </c:pt>
                <c:pt idx="123">
                  <c:v>142.32493060803088</c:v>
                </c:pt>
                <c:pt idx="124">
                  <c:v>142.32493060803088</c:v>
                </c:pt>
                <c:pt idx="125">
                  <c:v>142.32493060803088</c:v>
                </c:pt>
                <c:pt idx="126">
                  <c:v>154.30455233355715</c:v>
                </c:pt>
                <c:pt idx="127">
                  <c:v>146.6659283335571</c:v>
                </c:pt>
                <c:pt idx="128">
                  <c:v>136.40549633355712</c:v>
                </c:pt>
                <c:pt idx="129">
                  <c:v>138.95472833355714</c:v>
                </c:pt>
                <c:pt idx="130">
                  <c:v>158.85869633355711</c:v>
                </c:pt>
                <c:pt idx="131">
                  <c:v>158.85869633355711</c:v>
                </c:pt>
                <c:pt idx="132">
                  <c:v>158.85869633355711</c:v>
                </c:pt>
                <c:pt idx="133">
                  <c:v>162.00979161510872</c:v>
                </c:pt>
                <c:pt idx="134">
                  <c:v>152.48419161510873</c:v>
                </c:pt>
                <c:pt idx="135">
                  <c:v>132.52579161510874</c:v>
                </c:pt>
                <c:pt idx="136">
                  <c:v>115.5157916151087</c:v>
                </c:pt>
                <c:pt idx="137">
                  <c:v>115.5157916151087</c:v>
                </c:pt>
                <c:pt idx="138">
                  <c:v>115.5157916151087</c:v>
                </c:pt>
                <c:pt idx="139">
                  <c:v>115.5157916151087</c:v>
                </c:pt>
                <c:pt idx="140">
                  <c:v>117.29027003408109</c:v>
                </c:pt>
                <c:pt idx="141">
                  <c:v>138.72740603408104</c:v>
                </c:pt>
                <c:pt idx="142">
                  <c:v>138.93606203408106</c:v>
                </c:pt>
                <c:pt idx="143">
                  <c:v>157.60623803408109</c:v>
                </c:pt>
                <c:pt idx="144">
                  <c:v>165.43537403408104</c:v>
                </c:pt>
                <c:pt idx="145">
                  <c:v>165.43537403408104</c:v>
                </c:pt>
                <c:pt idx="146">
                  <c:v>165.43537403408104</c:v>
                </c:pt>
                <c:pt idx="147">
                  <c:v>173.94281305310852</c:v>
                </c:pt>
                <c:pt idx="148">
                  <c:v>175.11310105310855</c:v>
                </c:pt>
                <c:pt idx="149">
                  <c:v>177.45367705310855</c:v>
                </c:pt>
                <c:pt idx="150">
                  <c:v>180.85567705310854</c:v>
                </c:pt>
                <c:pt idx="151">
                  <c:v>180.85567705310854</c:v>
                </c:pt>
                <c:pt idx="152">
                  <c:v>180.85567705310854</c:v>
                </c:pt>
                <c:pt idx="153">
                  <c:v>180.85567705310854</c:v>
                </c:pt>
                <c:pt idx="154">
                  <c:v>189.02610865895466</c:v>
                </c:pt>
                <c:pt idx="155">
                  <c:v>193.56210865895466</c:v>
                </c:pt>
                <c:pt idx="156">
                  <c:v>190.73164465895465</c:v>
                </c:pt>
                <c:pt idx="157">
                  <c:v>169.97490865895466</c:v>
                </c:pt>
                <c:pt idx="158">
                  <c:v>154.42550065895469</c:v>
                </c:pt>
                <c:pt idx="159">
                  <c:v>154.42550065895469</c:v>
                </c:pt>
                <c:pt idx="160">
                  <c:v>154.42550065895469</c:v>
                </c:pt>
                <c:pt idx="161">
                  <c:v>138.3443203548826</c:v>
                </c:pt>
                <c:pt idx="162">
                  <c:v>145.14832035488263</c:v>
                </c:pt>
                <c:pt idx="163">
                  <c:v>132.14814435488262</c:v>
                </c:pt>
                <c:pt idx="164">
                  <c:v>106.3201603548826</c:v>
                </c:pt>
                <c:pt idx="165">
                  <c:v>111.52349128733152</c:v>
                </c:pt>
                <c:pt idx="166">
                  <c:v>111.52349128733152</c:v>
                </c:pt>
                <c:pt idx="167">
                  <c:v>111.52349128733152</c:v>
                </c:pt>
                <c:pt idx="168">
                  <c:v>106.50509282276681</c:v>
                </c:pt>
                <c:pt idx="169">
                  <c:v>117.48221282276683</c:v>
                </c:pt>
                <c:pt idx="170">
                  <c:v>111.30418082276682</c:v>
                </c:pt>
                <c:pt idx="171">
                  <c:v>112.28395682276681</c:v>
                </c:pt>
                <c:pt idx="172">
                  <c:v>120.43968482276682</c:v>
                </c:pt>
                <c:pt idx="173">
                  <c:v>120.43968482276682</c:v>
                </c:pt>
                <c:pt idx="174">
                  <c:v>120.43968482276682</c:v>
                </c:pt>
                <c:pt idx="175">
                  <c:v>122.58339867293682</c:v>
                </c:pt>
                <c:pt idx="176">
                  <c:v>147.04151067293679</c:v>
                </c:pt>
                <c:pt idx="177">
                  <c:v>109.48343067293683</c:v>
                </c:pt>
                <c:pt idx="178">
                  <c:v>91.23963867293682</c:v>
                </c:pt>
                <c:pt idx="179">
                  <c:v>108.00469467293684</c:v>
                </c:pt>
                <c:pt idx="180">
                  <c:v>108.00469467293684</c:v>
                </c:pt>
                <c:pt idx="181">
                  <c:v>108.00469467293684</c:v>
                </c:pt>
                <c:pt idx="182">
                  <c:v>121.02960053854946</c:v>
                </c:pt>
                <c:pt idx="183">
                  <c:v>96.916224538549471</c:v>
                </c:pt>
                <c:pt idx="184">
                  <c:v>136.48828853854945</c:v>
                </c:pt>
                <c:pt idx="185">
                  <c:v>161.78102453854945</c:v>
                </c:pt>
                <c:pt idx="186">
                  <c:v>188.74300853854947</c:v>
                </c:pt>
                <c:pt idx="187">
                  <c:v>188.74300853854947</c:v>
                </c:pt>
                <c:pt idx="188">
                  <c:v>188.74300853854947</c:v>
                </c:pt>
                <c:pt idx="189">
                  <c:v>193.34592207839688</c:v>
                </c:pt>
                <c:pt idx="190">
                  <c:v>245.57342607839689</c:v>
                </c:pt>
                <c:pt idx="191">
                  <c:v>241.42752207839692</c:v>
                </c:pt>
                <c:pt idx="192">
                  <c:v>222.26745807839688</c:v>
                </c:pt>
                <c:pt idx="193">
                  <c:v>211.6713620783969</c:v>
                </c:pt>
                <c:pt idx="194">
                  <c:v>211.6713620783969</c:v>
                </c:pt>
                <c:pt idx="195">
                  <c:v>211.6713620783969</c:v>
                </c:pt>
                <c:pt idx="196">
                  <c:v>204.86983014494717</c:v>
                </c:pt>
                <c:pt idx="197">
                  <c:v>241.24855014494716</c:v>
                </c:pt>
                <c:pt idx="198">
                  <c:v>145.2940061449471</c:v>
                </c:pt>
                <c:pt idx="199">
                  <c:v>111.13792614494714</c:v>
                </c:pt>
                <c:pt idx="200">
                  <c:v>123.04946214494713</c:v>
                </c:pt>
                <c:pt idx="201">
                  <c:v>123.04946214494713</c:v>
                </c:pt>
                <c:pt idx="202">
                  <c:v>123.04946214494713</c:v>
                </c:pt>
                <c:pt idx="203">
                  <c:v>131.67223289372919</c:v>
                </c:pt>
                <c:pt idx="204">
                  <c:v>87.600456893729202</c:v>
                </c:pt>
                <c:pt idx="205">
                  <c:v>78.619176893729232</c:v>
                </c:pt>
                <c:pt idx="206">
                  <c:v>62.61616889372921</c:v>
                </c:pt>
                <c:pt idx="207">
                  <c:v>58.733352893729219</c:v>
                </c:pt>
                <c:pt idx="208">
                  <c:v>58.733352893729219</c:v>
                </c:pt>
                <c:pt idx="209">
                  <c:v>58.733352893729219</c:v>
                </c:pt>
                <c:pt idx="210">
                  <c:v>46.725697390098333</c:v>
                </c:pt>
                <c:pt idx="211">
                  <c:v>55.171729390098335</c:v>
                </c:pt>
                <c:pt idx="212">
                  <c:v>63.409105390098318</c:v>
                </c:pt>
                <c:pt idx="213">
                  <c:v>66.139777390098317</c:v>
                </c:pt>
                <c:pt idx="214">
                  <c:v>60.841729390098322</c:v>
                </c:pt>
                <c:pt idx="215">
                  <c:v>60.841729390098322</c:v>
                </c:pt>
                <c:pt idx="216">
                  <c:v>60.841729390098322</c:v>
                </c:pt>
                <c:pt idx="217">
                  <c:v>74.670842190907223</c:v>
                </c:pt>
                <c:pt idx="218">
                  <c:v>71.060186190907245</c:v>
                </c:pt>
                <c:pt idx="219">
                  <c:v>65.499050190907241</c:v>
                </c:pt>
                <c:pt idx="220">
                  <c:v>59.121434190907252</c:v>
                </c:pt>
                <c:pt idx="221">
                  <c:v>54.884810190907245</c:v>
                </c:pt>
                <c:pt idx="222">
                  <c:v>54.884810190907245</c:v>
                </c:pt>
                <c:pt idx="223">
                  <c:v>54.884810190907245</c:v>
                </c:pt>
                <c:pt idx="224">
                  <c:v>49.099835648394105</c:v>
                </c:pt>
                <c:pt idx="225">
                  <c:v>53.699339648394101</c:v>
                </c:pt>
                <c:pt idx="226">
                  <c:v>52.057307648394101</c:v>
                </c:pt>
                <c:pt idx="227">
                  <c:v>55.70425164839412</c:v>
                </c:pt>
                <c:pt idx="228">
                  <c:v>85.015883648394095</c:v>
                </c:pt>
                <c:pt idx="229">
                  <c:v>85.015883648394095</c:v>
                </c:pt>
                <c:pt idx="230">
                  <c:v>85.015883648394095</c:v>
                </c:pt>
                <c:pt idx="231">
                  <c:v>88.636954227675318</c:v>
                </c:pt>
                <c:pt idx="232">
                  <c:v>89.571370227675317</c:v>
                </c:pt>
                <c:pt idx="233">
                  <c:v>69.866986227675312</c:v>
                </c:pt>
                <c:pt idx="234">
                  <c:v>58.762858227675338</c:v>
                </c:pt>
                <c:pt idx="235">
                  <c:v>53.355946227675332</c:v>
                </c:pt>
                <c:pt idx="236">
                  <c:v>53.355946227675332</c:v>
                </c:pt>
                <c:pt idx="237">
                  <c:v>53.355946227675332</c:v>
                </c:pt>
                <c:pt idx="238">
                  <c:v>49.194212300659999</c:v>
                </c:pt>
                <c:pt idx="239">
                  <c:v>58.347860300660003</c:v>
                </c:pt>
                <c:pt idx="240">
                  <c:v>58.864964300659992</c:v>
                </c:pt>
                <c:pt idx="241">
                  <c:v>52.605284300659989</c:v>
                </c:pt>
                <c:pt idx="242">
                  <c:v>49.865540300660015</c:v>
                </c:pt>
                <c:pt idx="243">
                  <c:v>49.865540300660015</c:v>
                </c:pt>
                <c:pt idx="244">
                  <c:v>49.865540300660015</c:v>
                </c:pt>
                <c:pt idx="245">
                  <c:v>33.014878054497657</c:v>
                </c:pt>
                <c:pt idx="246">
                  <c:v>15.841582054497664</c:v>
                </c:pt>
                <c:pt idx="247">
                  <c:v>12.838750054497666</c:v>
                </c:pt>
                <c:pt idx="248">
                  <c:v>19.760686054497654</c:v>
                </c:pt>
                <c:pt idx="249">
                  <c:v>28.78451708399669</c:v>
                </c:pt>
                <c:pt idx="250">
                  <c:v>28.78451708399669</c:v>
                </c:pt>
                <c:pt idx="251">
                  <c:v>28.78451708399669</c:v>
                </c:pt>
                <c:pt idx="252">
                  <c:v>22.272277073701602</c:v>
                </c:pt>
                <c:pt idx="253">
                  <c:v>16.928869073701605</c:v>
                </c:pt>
                <c:pt idx="254">
                  <c:v>11.721541073701601</c:v>
                </c:pt>
                <c:pt idx="255">
                  <c:v>2.7584050737016099</c:v>
                </c:pt>
                <c:pt idx="256">
                  <c:v>2.7584050737016099</c:v>
                </c:pt>
                <c:pt idx="257">
                  <c:v>2.7584050737016099</c:v>
                </c:pt>
                <c:pt idx="258">
                  <c:v>2.7584050737016099</c:v>
                </c:pt>
                <c:pt idx="259">
                  <c:v>-7.3087224725802002</c:v>
                </c:pt>
                <c:pt idx="260">
                  <c:v>-6.7281144725802022</c:v>
                </c:pt>
                <c:pt idx="261">
                  <c:v>16.450845527419787</c:v>
                </c:pt>
                <c:pt idx="262">
                  <c:v>16.450845527419787</c:v>
                </c:pt>
                <c:pt idx="263">
                  <c:v>16.450845527419787</c:v>
                </c:pt>
                <c:pt idx="264">
                  <c:v>16.450845527419787</c:v>
                </c:pt>
                <c:pt idx="265">
                  <c:v>16.450845527419787</c:v>
                </c:pt>
                <c:pt idx="266">
                  <c:v>21.118837470796961</c:v>
                </c:pt>
                <c:pt idx="267">
                  <c:v>26.072149470796944</c:v>
                </c:pt>
                <c:pt idx="268">
                  <c:v>29.882389470796937</c:v>
                </c:pt>
                <c:pt idx="269">
                  <c:v>26.915845470796967</c:v>
                </c:pt>
                <c:pt idx="270">
                  <c:v>25.192165470796965</c:v>
                </c:pt>
                <c:pt idx="271">
                  <c:v>25.192165470796965</c:v>
                </c:pt>
                <c:pt idx="272">
                  <c:v>25.192165470796965</c:v>
                </c:pt>
                <c:pt idx="273">
                  <c:v>17.410606255427865</c:v>
                </c:pt>
                <c:pt idx="274">
                  <c:v>13.990462255427872</c:v>
                </c:pt>
                <c:pt idx="275">
                  <c:v>11.078350255427864</c:v>
                </c:pt>
                <c:pt idx="276">
                  <c:v>8.3386062554278624</c:v>
                </c:pt>
                <c:pt idx="277">
                  <c:v>1.7432622554278794</c:v>
                </c:pt>
                <c:pt idx="278">
                  <c:v>1.7432622554278794</c:v>
                </c:pt>
                <c:pt idx="279">
                  <c:v>1.7432622554278794</c:v>
                </c:pt>
                <c:pt idx="280">
                  <c:v>-1.8688817004504301</c:v>
                </c:pt>
                <c:pt idx="281">
                  <c:v>0.19953429954956903</c:v>
                </c:pt>
                <c:pt idx="282">
                  <c:v>-7.5842417004504341</c:v>
                </c:pt>
                <c:pt idx="283">
                  <c:v>-13.335889700450437</c:v>
                </c:pt>
                <c:pt idx="284">
                  <c:v>-12.492193700450429</c:v>
                </c:pt>
                <c:pt idx="285">
                  <c:v>-12.492193700450429</c:v>
                </c:pt>
                <c:pt idx="286">
                  <c:v>-12.492193700450429</c:v>
                </c:pt>
                <c:pt idx="287">
                  <c:v>-12.901729025388363</c:v>
                </c:pt>
                <c:pt idx="288">
                  <c:v>-16.775473025388351</c:v>
                </c:pt>
                <c:pt idx="289">
                  <c:v>-21.846721025388362</c:v>
                </c:pt>
                <c:pt idx="290">
                  <c:v>-13.808929025388366</c:v>
                </c:pt>
                <c:pt idx="291">
                  <c:v>15.638782974611658</c:v>
                </c:pt>
                <c:pt idx="292">
                  <c:v>15.638782974611658</c:v>
                </c:pt>
                <c:pt idx="293">
                  <c:v>15.638782974611658</c:v>
                </c:pt>
                <c:pt idx="294">
                  <c:v>28.127621672286068</c:v>
                </c:pt>
                <c:pt idx="295">
                  <c:v>28.426997672286063</c:v>
                </c:pt>
                <c:pt idx="296">
                  <c:v>19.282421672286063</c:v>
                </c:pt>
                <c:pt idx="297">
                  <c:v>6.6632696722860771</c:v>
                </c:pt>
                <c:pt idx="298">
                  <c:v>6.7267736722860718</c:v>
                </c:pt>
                <c:pt idx="299">
                  <c:v>6.7267736722860718</c:v>
                </c:pt>
                <c:pt idx="300">
                  <c:v>6.7267736722860718</c:v>
                </c:pt>
                <c:pt idx="301">
                  <c:v>4.5070420381285032</c:v>
                </c:pt>
                <c:pt idx="302">
                  <c:v>2.7742900381284983</c:v>
                </c:pt>
                <c:pt idx="303">
                  <c:v>-0.40998196187148039</c:v>
                </c:pt>
                <c:pt idx="304">
                  <c:v>-7.3228459618714936</c:v>
                </c:pt>
                <c:pt idx="305">
                  <c:v>-4.1113579618714908</c:v>
                </c:pt>
                <c:pt idx="306">
                  <c:v>-4.1113579618714908</c:v>
                </c:pt>
                <c:pt idx="307">
                  <c:v>-4.1113579618714908</c:v>
                </c:pt>
                <c:pt idx="308">
                  <c:v>2.7414877408585454</c:v>
                </c:pt>
                <c:pt idx="309">
                  <c:v>1.9975837408585164</c:v>
                </c:pt>
                <c:pt idx="310">
                  <c:v>15.578367740858511</c:v>
                </c:pt>
                <c:pt idx="311">
                  <c:v>19.207167740858523</c:v>
                </c:pt>
                <c:pt idx="312">
                  <c:v>6.379359740858547</c:v>
                </c:pt>
                <c:pt idx="313">
                  <c:v>6.379359740858547</c:v>
                </c:pt>
                <c:pt idx="314">
                  <c:v>6.379359740858547</c:v>
                </c:pt>
                <c:pt idx="315">
                  <c:v>5.314510634874523</c:v>
                </c:pt>
                <c:pt idx="316">
                  <c:v>5.9676946348745048</c:v>
                </c:pt>
                <c:pt idx="317">
                  <c:v>10.957294634874501</c:v>
                </c:pt>
                <c:pt idx="318">
                  <c:v>14.948974634874531</c:v>
                </c:pt>
                <c:pt idx="319">
                  <c:v>27.540910634874507</c:v>
                </c:pt>
                <c:pt idx="320">
                  <c:v>27.540910634874507</c:v>
                </c:pt>
                <c:pt idx="321">
                  <c:v>27.540910634874507</c:v>
                </c:pt>
                <c:pt idx="322">
                  <c:v>45.956012693519597</c:v>
                </c:pt>
                <c:pt idx="323">
                  <c:v>59.337212693519604</c:v>
                </c:pt>
                <c:pt idx="324">
                  <c:v>69.543212693519592</c:v>
                </c:pt>
                <c:pt idx="325">
                  <c:v>61.5144926935196</c:v>
                </c:pt>
                <c:pt idx="326">
                  <c:v>53.894012693519613</c:v>
                </c:pt>
                <c:pt idx="327">
                  <c:v>53.894012693519613</c:v>
                </c:pt>
                <c:pt idx="328">
                  <c:v>53.894012693519613</c:v>
                </c:pt>
                <c:pt idx="329">
                  <c:v>54.07962719779394</c:v>
                </c:pt>
                <c:pt idx="330">
                  <c:v>65.02045919779394</c:v>
                </c:pt>
                <c:pt idx="331">
                  <c:v>73.920091197793937</c:v>
                </c:pt>
                <c:pt idx="332">
                  <c:v>79.698955197793936</c:v>
                </c:pt>
                <c:pt idx="333">
                  <c:v>93.869419197793945</c:v>
                </c:pt>
                <c:pt idx="334">
                  <c:v>93.869419197793945</c:v>
                </c:pt>
                <c:pt idx="335">
                  <c:v>93.869419197793945</c:v>
                </c:pt>
                <c:pt idx="336">
                  <c:v>106.02331132758526</c:v>
                </c:pt>
                <c:pt idx="337">
                  <c:v>106.27732732758524</c:v>
                </c:pt>
                <c:pt idx="338">
                  <c:v>105.02539132758524</c:v>
                </c:pt>
                <c:pt idx="339">
                  <c:v>93.685391327585236</c:v>
                </c:pt>
                <c:pt idx="340">
                  <c:v>87.489215327585228</c:v>
                </c:pt>
                <c:pt idx="341">
                  <c:v>87.489215327585228</c:v>
                </c:pt>
                <c:pt idx="342">
                  <c:v>87.489215327585228</c:v>
                </c:pt>
                <c:pt idx="343">
                  <c:v>103.44529364948984</c:v>
                </c:pt>
                <c:pt idx="344">
                  <c:v>152.58831764948985</c:v>
                </c:pt>
                <c:pt idx="345">
                  <c:v>170.21521364948984</c:v>
                </c:pt>
                <c:pt idx="346">
                  <c:v>134.74369364948984</c:v>
                </c:pt>
                <c:pt idx="347">
                  <c:v>109.86826964948985</c:v>
                </c:pt>
                <c:pt idx="348">
                  <c:v>109.86826964948985</c:v>
                </c:pt>
                <c:pt idx="349">
                  <c:v>109.86826964948985</c:v>
                </c:pt>
                <c:pt idx="350">
                  <c:v>100.39772874242115</c:v>
                </c:pt>
                <c:pt idx="351">
                  <c:v>95.344624742421161</c:v>
                </c:pt>
                <c:pt idx="352">
                  <c:v>95.516992742421166</c:v>
                </c:pt>
                <c:pt idx="353">
                  <c:v>86.635504742421176</c:v>
                </c:pt>
                <c:pt idx="354">
                  <c:v>84.367504742421175</c:v>
                </c:pt>
                <c:pt idx="355">
                  <c:v>84.367504742421175</c:v>
                </c:pt>
                <c:pt idx="356">
                  <c:v>84.367504742421175</c:v>
                </c:pt>
                <c:pt idx="357">
                  <c:v>71.609308783233743</c:v>
                </c:pt>
                <c:pt idx="358">
                  <c:v>62.764108783233738</c:v>
                </c:pt>
                <c:pt idx="359">
                  <c:v>63.535228783233734</c:v>
                </c:pt>
                <c:pt idx="360">
                  <c:v>66.619708783233747</c:v>
                </c:pt>
                <c:pt idx="361">
                  <c:v>62.628028783233745</c:v>
                </c:pt>
                <c:pt idx="362">
                  <c:v>62.628028783233745</c:v>
                </c:pt>
                <c:pt idx="363">
                  <c:v>62.628028783233745</c:v>
                </c:pt>
                <c:pt idx="364">
                  <c:v>63.837931766963862</c:v>
                </c:pt>
                <c:pt idx="365">
                  <c:v>64.881211766963872</c:v>
                </c:pt>
                <c:pt idx="366">
                  <c:v>65.697691766963885</c:v>
                </c:pt>
                <c:pt idx="367">
                  <c:v>66.378091766963877</c:v>
                </c:pt>
                <c:pt idx="368">
                  <c:v>62.94887576696388</c:v>
                </c:pt>
                <c:pt idx="369">
                  <c:v>62.94887576696388</c:v>
                </c:pt>
                <c:pt idx="370">
                  <c:v>62.94887576696388</c:v>
                </c:pt>
                <c:pt idx="371">
                  <c:v>67.810284740582773</c:v>
                </c:pt>
                <c:pt idx="372">
                  <c:v>64.408284740582758</c:v>
                </c:pt>
                <c:pt idx="373">
                  <c:v>64.018188740582758</c:v>
                </c:pt>
                <c:pt idx="374">
                  <c:v>64.408284740582758</c:v>
                </c:pt>
                <c:pt idx="375">
                  <c:v>60.607116740582768</c:v>
                </c:pt>
                <c:pt idx="376">
                  <c:v>60.607116740582768</c:v>
                </c:pt>
                <c:pt idx="377">
                  <c:v>60.607116740582768</c:v>
                </c:pt>
                <c:pt idx="378">
                  <c:v>61.808520613732867</c:v>
                </c:pt>
                <c:pt idx="379">
                  <c:v>58.370232613732867</c:v>
                </c:pt>
                <c:pt idx="380">
                  <c:v>50.377800613732859</c:v>
                </c:pt>
                <c:pt idx="381">
                  <c:v>47.901144613732868</c:v>
                </c:pt>
                <c:pt idx="382">
                  <c:v>47.901144613732868</c:v>
                </c:pt>
                <c:pt idx="383">
                  <c:v>47.901144613732868</c:v>
                </c:pt>
                <c:pt idx="384">
                  <c:v>47.901144613732868</c:v>
                </c:pt>
                <c:pt idx="385">
                  <c:v>50.111345602794387</c:v>
                </c:pt>
                <c:pt idx="386">
                  <c:v>50.383505602794372</c:v>
                </c:pt>
                <c:pt idx="387">
                  <c:v>49.748465602794397</c:v>
                </c:pt>
                <c:pt idx="388">
                  <c:v>45.112673602794359</c:v>
                </c:pt>
                <c:pt idx="389">
                  <c:v>44.278049602794397</c:v>
                </c:pt>
                <c:pt idx="390">
                  <c:v>44.278049602794397</c:v>
                </c:pt>
                <c:pt idx="391">
                  <c:v>44.278049602794397</c:v>
                </c:pt>
                <c:pt idx="392">
                  <c:v>53.855500125820384</c:v>
                </c:pt>
                <c:pt idx="393">
                  <c:v>55.570108125820411</c:v>
                </c:pt>
                <c:pt idx="394">
                  <c:v>56.332156125820404</c:v>
                </c:pt>
                <c:pt idx="395">
                  <c:v>57.438940125820409</c:v>
                </c:pt>
                <c:pt idx="396">
                  <c:v>56.513596125820385</c:v>
                </c:pt>
                <c:pt idx="397">
                  <c:v>56.513596125820385</c:v>
                </c:pt>
                <c:pt idx="398">
                  <c:v>56.513596125820385</c:v>
                </c:pt>
                <c:pt idx="399">
                  <c:v>60.803420455262426</c:v>
                </c:pt>
                <c:pt idx="400">
                  <c:v>55.704956455262419</c:v>
                </c:pt>
                <c:pt idx="401">
                  <c:v>55.078988455262419</c:v>
                </c:pt>
                <c:pt idx="402">
                  <c:v>54.951980455262401</c:v>
                </c:pt>
                <c:pt idx="403">
                  <c:v>51.568124455262421</c:v>
                </c:pt>
                <c:pt idx="404">
                  <c:v>51.568124455262421</c:v>
                </c:pt>
                <c:pt idx="405">
                  <c:v>51.568124455262421</c:v>
                </c:pt>
                <c:pt idx="406">
                  <c:v>50.063983130508305</c:v>
                </c:pt>
                <c:pt idx="407">
                  <c:v>49.692031130508283</c:v>
                </c:pt>
                <c:pt idx="408">
                  <c:v>49.120495130508303</c:v>
                </c:pt>
                <c:pt idx="409">
                  <c:v>48.131647130508284</c:v>
                </c:pt>
                <c:pt idx="410">
                  <c:v>47.079295130508299</c:v>
                </c:pt>
                <c:pt idx="411">
                  <c:v>47.079295130508299</c:v>
                </c:pt>
                <c:pt idx="412">
                  <c:v>47.079295130508299</c:v>
                </c:pt>
                <c:pt idx="413">
                  <c:v>48.380676963397363</c:v>
                </c:pt>
                <c:pt idx="414">
                  <c:v>48.045012963397355</c:v>
                </c:pt>
                <c:pt idx="415">
                  <c:v>48.126660963397356</c:v>
                </c:pt>
                <c:pt idx="416">
                  <c:v>48.208308963397357</c:v>
                </c:pt>
                <c:pt idx="417">
                  <c:v>47.010804963397362</c:v>
                </c:pt>
                <c:pt idx="418">
                  <c:v>47.010804963397362</c:v>
                </c:pt>
                <c:pt idx="419">
                  <c:v>47.010804963397362</c:v>
                </c:pt>
                <c:pt idx="420">
                  <c:v>47.15235451464288</c:v>
                </c:pt>
                <c:pt idx="421">
                  <c:v>46.889266514642884</c:v>
                </c:pt>
                <c:pt idx="422">
                  <c:v>47.415442514642891</c:v>
                </c:pt>
                <c:pt idx="423">
                  <c:v>48.476866514642879</c:v>
                </c:pt>
                <c:pt idx="424">
                  <c:v>45.156514514642879</c:v>
                </c:pt>
                <c:pt idx="425">
                  <c:v>45.156514514642879</c:v>
                </c:pt>
                <c:pt idx="426">
                  <c:v>45.156514514642879</c:v>
                </c:pt>
                <c:pt idx="427">
                  <c:v>48.014115850059753</c:v>
                </c:pt>
                <c:pt idx="428">
                  <c:v>48.694515850059744</c:v>
                </c:pt>
                <c:pt idx="429">
                  <c:v>47.859891850059753</c:v>
                </c:pt>
                <c:pt idx="430">
                  <c:v>42.570915850059748</c:v>
                </c:pt>
                <c:pt idx="431">
                  <c:v>42.289683850059745</c:v>
                </c:pt>
                <c:pt idx="432">
                  <c:v>42.289683850059745</c:v>
                </c:pt>
                <c:pt idx="433">
                  <c:v>42.289683850059745</c:v>
                </c:pt>
                <c:pt idx="434">
                  <c:v>39.547338081514852</c:v>
                </c:pt>
                <c:pt idx="435">
                  <c:v>39.792282081514855</c:v>
                </c:pt>
                <c:pt idx="436">
                  <c:v>41.706474081514855</c:v>
                </c:pt>
                <c:pt idx="437">
                  <c:v>44.364570081514842</c:v>
                </c:pt>
                <c:pt idx="438">
                  <c:v>41.434314081514856</c:v>
                </c:pt>
                <c:pt idx="439">
                  <c:v>41.434314081514856</c:v>
                </c:pt>
                <c:pt idx="440">
                  <c:v>41.434314081514856</c:v>
                </c:pt>
                <c:pt idx="441">
                  <c:v>42.567385950620462</c:v>
                </c:pt>
                <c:pt idx="442">
                  <c:v>38.194681950620463</c:v>
                </c:pt>
                <c:pt idx="443">
                  <c:v>36.452857950620455</c:v>
                </c:pt>
                <c:pt idx="444">
                  <c:v>35.418649950620463</c:v>
                </c:pt>
                <c:pt idx="445">
                  <c:v>36.235129950620461</c:v>
                </c:pt>
                <c:pt idx="446">
                  <c:v>36.235129950620461</c:v>
                </c:pt>
                <c:pt idx="447">
                  <c:v>36.235129950620461</c:v>
                </c:pt>
                <c:pt idx="448">
                  <c:v>33.627088252670291</c:v>
                </c:pt>
                <c:pt idx="449">
                  <c:v>30.170656252670284</c:v>
                </c:pt>
                <c:pt idx="450">
                  <c:v>28.174816252670283</c:v>
                </c:pt>
                <c:pt idx="451">
                  <c:v>26.650720252670283</c:v>
                </c:pt>
                <c:pt idx="452">
                  <c:v>25.317136252670281</c:v>
                </c:pt>
                <c:pt idx="453">
                  <c:v>25.317136252670281</c:v>
                </c:pt>
                <c:pt idx="454">
                  <c:v>25.317136252670281</c:v>
                </c:pt>
                <c:pt idx="455">
                  <c:v>28.419702157624769</c:v>
                </c:pt>
                <c:pt idx="456">
                  <c:v>29.326902157624772</c:v>
                </c:pt>
                <c:pt idx="457">
                  <c:v>35.02411815762477</c:v>
                </c:pt>
                <c:pt idx="458">
                  <c:v>41.00256615762477</c:v>
                </c:pt>
                <c:pt idx="459">
                  <c:v>41.809974157624779</c:v>
                </c:pt>
                <c:pt idx="460">
                  <c:v>41.809974157624779</c:v>
                </c:pt>
                <c:pt idx="461">
                  <c:v>41.809974157624779</c:v>
                </c:pt>
                <c:pt idx="462">
                  <c:v>42.214707051456926</c:v>
                </c:pt>
                <c:pt idx="463">
                  <c:v>37.969011051456931</c:v>
                </c:pt>
                <c:pt idx="464">
                  <c:v>32.11757105145692</c:v>
                </c:pt>
                <c:pt idx="465">
                  <c:v>32.14478705145693</c:v>
                </c:pt>
                <c:pt idx="466">
                  <c:v>24.415443051456933</c:v>
                </c:pt>
                <c:pt idx="467">
                  <c:v>24.415443051456933</c:v>
                </c:pt>
                <c:pt idx="468">
                  <c:v>24.415443051456933</c:v>
                </c:pt>
                <c:pt idx="469">
                  <c:v>28.967316341281361</c:v>
                </c:pt>
                <c:pt idx="470">
                  <c:v>24.639972341281364</c:v>
                </c:pt>
                <c:pt idx="471">
                  <c:v>24.594612341281362</c:v>
                </c:pt>
                <c:pt idx="472">
                  <c:v>21.637140341281366</c:v>
                </c:pt>
                <c:pt idx="473">
                  <c:v>21.637140341281366</c:v>
                </c:pt>
                <c:pt idx="474">
                  <c:v>21.637140341281366</c:v>
                </c:pt>
                <c:pt idx="475">
                  <c:v>21.637140341281366</c:v>
                </c:pt>
                <c:pt idx="476">
                  <c:v>16.426212672194126</c:v>
                </c:pt>
                <c:pt idx="477">
                  <c:v>15.664164672194119</c:v>
                </c:pt>
                <c:pt idx="478">
                  <c:v>14.521092672194129</c:v>
                </c:pt>
                <c:pt idx="479">
                  <c:v>13.087716672194134</c:v>
                </c:pt>
                <c:pt idx="480">
                  <c:v>12.879060672194129</c:v>
                </c:pt>
                <c:pt idx="481">
                  <c:v>12.879060672194129</c:v>
                </c:pt>
                <c:pt idx="482">
                  <c:v>12.879060672194129</c:v>
                </c:pt>
                <c:pt idx="483">
                  <c:v>8.8467505539847195</c:v>
                </c:pt>
                <c:pt idx="484">
                  <c:v>8.3387185539847195</c:v>
                </c:pt>
                <c:pt idx="485">
                  <c:v>9.61787055398473</c:v>
                </c:pt>
                <c:pt idx="486">
                  <c:v>10.978670553984728</c:v>
                </c:pt>
                <c:pt idx="487">
                  <c:v>12.15803055398473</c:v>
                </c:pt>
                <c:pt idx="488">
                  <c:v>12.15803055398473</c:v>
                </c:pt>
                <c:pt idx="489">
                  <c:v>12.15803055398473</c:v>
                </c:pt>
                <c:pt idx="490">
                  <c:v>10.780904456365477</c:v>
                </c:pt>
                <c:pt idx="491">
                  <c:v>11.334296456365479</c:v>
                </c:pt>
                <c:pt idx="492">
                  <c:v>9.38381645636548</c:v>
                </c:pt>
                <c:pt idx="493">
                  <c:v>9.528968456365476</c:v>
                </c:pt>
                <c:pt idx="494">
                  <c:v>6.8164404563654699</c:v>
                </c:pt>
                <c:pt idx="495">
                  <c:v>6.8164404563654699</c:v>
                </c:pt>
              </c:numCache>
            </c:numRef>
          </c:val>
          <c:extLst>
            <c:ext xmlns:c16="http://schemas.microsoft.com/office/drawing/2014/chart" uri="{C3380CC4-5D6E-409C-BE32-E72D297353CC}">
              <c16:uniqueId val="{00000000-DCD9-4DE4-BAAC-D5A9C2CFE28E}"/>
            </c:ext>
          </c:extLst>
        </c:ser>
        <c:dLbls>
          <c:showLegendKey val="0"/>
          <c:showVal val="0"/>
          <c:showCatName val="0"/>
          <c:showSerName val="0"/>
          <c:showPercent val="0"/>
          <c:showBubbleSize val="0"/>
        </c:dLbls>
        <c:gapWidth val="0"/>
        <c:overlap val="-35"/>
        <c:axId val="1013146528"/>
        <c:axId val="1013145744"/>
      </c:barChart>
      <c:lineChart>
        <c:grouping val="standard"/>
        <c:varyColors val="0"/>
        <c:ser>
          <c:idx val="1"/>
          <c:order val="0"/>
          <c:tx>
            <c:strRef>
              <c:f>ExportArbNAPP!$Q$4</c:f>
              <c:strCache>
                <c:ptCount val="1"/>
                <c:pt idx="0">
                  <c:v>IHS McCloskey NW Europe Marker</c:v>
                </c:pt>
              </c:strCache>
            </c:strRef>
          </c:tx>
          <c:spPr>
            <a:ln w="19050">
              <a:solidFill>
                <a:srgbClr val="02A3D5"/>
              </a:solidFill>
            </a:ln>
          </c:spPr>
          <c:marker>
            <c:symbol val="none"/>
          </c:marker>
          <c:cat>
            <c:numRef>
              <c:f>ExportArbNAPP!$O$5:$O$662</c:f>
              <c:numCache>
                <c:formatCode>m/d/yyyy</c:formatCode>
                <c:ptCount val="658"/>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pt idx="496">
                  <c:v>44323</c:v>
                </c:pt>
                <c:pt idx="497">
                  <c:v>44322</c:v>
                </c:pt>
                <c:pt idx="498">
                  <c:v>44321</c:v>
                </c:pt>
                <c:pt idx="499">
                  <c:v>44320</c:v>
                </c:pt>
                <c:pt idx="500">
                  <c:v>44319</c:v>
                </c:pt>
                <c:pt idx="501">
                  <c:v>44318</c:v>
                </c:pt>
                <c:pt idx="502">
                  <c:v>44317</c:v>
                </c:pt>
                <c:pt idx="503">
                  <c:v>44316</c:v>
                </c:pt>
                <c:pt idx="504">
                  <c:v>44315</c:v>
                </c:pt>
                <c:pt idx="505">
                  <c:v>44314</c:v>
                </c:pt>
                <c:pt idx="506">
                  <c:v>44313</c:v>
                </c:pt>
                <c:pt idx="507">
                  <c:v>44312</c:v>
                </c:pt>
                <c:pt idx="508">
                  <c:v>44311</c:v>
                </c:pt>
                <c:pt idx="509">
                  <c:v>44310</c:v>
                </c:pt>
                <c:pt idx="510">
                  <c:v>44309</c:v>
                </c:pt>
                <c:pt idx="511">
                  <c:v>44308</c:v>
                </c:pt>
                <c:pt idx="512">
                  <c:v>44307</c:v>
                </c:pt>
                <c:pt idx="513">
                  <c:v>44306</c:v>
                </c:pt>
                <c:pt idx="514">
                  <c:v>44305</c:v>
                </c:pt>
                <c:pt idx="515">
                  <c:v>44304</c:v>
                </c:pt>
                <c:pt idx="516">
                  <c:v>44303</c:v>
                </c:pt>
                <c:pt idx="517">
                  <c:v>44302</c:v>
                </c:pt>
                <c:pt idx="518">
                  <c:v>44301</c:v>
                </c:pt>
                <c:pt idx="519">
                  <c:v>44300</c:v>
                </c:pt>
                <c:pt idx="520">
                  <c:v>44299</c:v>
                </c:pt>
                <c:pt idx="521">
                  <c:v>44298</c:v>
                </c:pt>
                <c:pt idx="522">
                  <c:v>44297</c:v>
                </c:pt>
                <c:pt idx="523">
                  <c:v>44296</c:v>
                </c:pt>
                <c:pt idx="524">
                  <c:v>44295</c:v>
                </c:pt>
                <c:pt idx="525">
                  <c:v>44294</c:v>
                </c:pt>
                <c:pt idx="526">
                  <c:v>44293</c:v>
                </c:pt>
                <c:pt idx="527">
                  <c:v>44292</c:v>
                </c:pt>
                <c:pt idx="528">
                  <c:v>44291</c:v>
                </c:pt>
                <c:pt idx="529">
                  <c:v>44290</c:v>
                </c:pt>
                <c:pt idx="530">
                  <c:v>44289</c:v>
                </c:pt>
                <c:pt idx="531">
                  <c:v>44288</c:v>
                </c:pt>
                <c:pt idx="532">
                  <c:v>44287</c:v>
                </c:pt>
                <c:pt idx="533">
                  <c:v>44286</c:v>
                </c:pt>
                <c:pt idx="534">
                  <c:v>44285</c:v>
                </c:pt>
                <c:pt idx="535">
                  <c:v>44284</c:v>
                </c:pt>
                <c:pt idx="536">
                  <c:v>44283</c:v>
                </c:pt>
                <c:pt idx="537">
                  <c:v>44282</c:v>
                </c:pt>
                <c:pt idx="538">
                  <c:v>44281</c:v>
                </c:pt>
                <c:pt idx="539">
                  <c:v>44280</c:v>
                </c:pt>
                <c:pt idx="540">
                  <c:v>44279</c:v>
                </c:pt>
                <c:pt idx="541">
                  <c:v>44278</c:v>
                </c:pt>
                <c:pt idx="542">
                  <c:v>44277</c:v>
                </c:pt>
                <c:pt idx="543">
                  <c:v>44276</c:v>
                </c:pt>
                <c:pt idx="544">
                  <c:v>44275</c:v>
                </c:pt>
                <c:pt idx="545">
                  <c:v>44274</c:v>
                </c:pt>
                <c:pt idx="546">
                  <c:v>44273</c:v>
                </c:pt>
                <c:pt idx="547">
                  <c:v>44272</c:v>
                </c:pt>
                <c:pt idx="548">
                  <c:v>44271</c:v>
                </c:pt>
                <c:pt idx="549">
                  <c:v>44270</c:v>
                </c:pt>
                <c:pt idx="550">
                  <c:v>44269</c:v>
                </c:pt>
                <c:pt idx="551">
                  <c:v>44268</c:v>
                </c:pt>
                <c:pt idx="552">
                  <c:v>44267</c:v>
                </c:pt>
                <c:pt idx="553">
                  <c:v>44266</c:v>
                </c:pt>
                <c:pt idx="554">
                  <c:v>44265</c:v>
                </c:pt>
                <c:pt idx="555">
                  <c:v>44264</c:v>
                </c:pt>
                <c:pt idx="556">
                  <c:v>44263</c:v>
                </c:pt>
                <c:pt idx="557">
                  <c:v>44262</c:v>
                </c:pt>
                <c:pt idx="558">
                  <c:v>44261</c:v>
                </c:pt>
                <c:pt idx="559">
                  <c:v>44260</c:v>
                </c:pt>
                <c:pt idx="560">
                  <c:v>44259</c:v>
                </c:pt>
                <c:pt idx="561">
                  <c:v>44258</c:v>
                </c:pt>
                <c:pt idx="562">
                  <c:v>44257</c:v>
                </c:pt>
                <c:pt idx="563">
                  <c:v>44256</c:v>
                </c:pt>
                <c:pt idx="564">
                  <c:v>44255</c:v>
                </c:pt>
                <c:pt idx="565">
                  <c:v>44254</c:v>
                </c:pt>
                <c:pt idx="566">
                  <c:v>44253</c:v>
                </c:pt>
                <c:pt idx="567">
                  <c:v>44252</c:v>
                </c:pt>
                <c:pt idx="568">
                  <c:v>44251</c:v>
                </c:pt>
                <c:pt idx="569">
                  <c:v>44250</c:v>
                </c:pt>
                <c:pt idx="570">
                  <c:v>44249</c:v>
                </c:pt>
                <c:pt idx="571">
                  <c:v>44248</c:v>
                </c:pt>
                <c:pt idx="572">
                  <c:v>44247</c:v>
                </c:pt>
                <c:pt idx="573">
                  <c:v>44246</c:v>
                </c:pt>
                <c:pt idx="574">
                  <c:v>44245</c:v>
                </c:pt>
                <c:pt idx="575">
                  <c:v>44244</c:v>
                </c:pt>
                <c:pt idx="576">
                  <c:v>44243</c:v>
                </c:pt>
                <c:pt idx="577">
                  <c:v>44242</c:v>
                </c:pt>
                <c:pt idx="578">
                  <c:v>44241</c:v>
                </c:pt>
                <c:pt idx="579">
                  <c:v>44240</c:v>
                </c:pt>
                <c:pt idx="580">
                  <c:v>44239</c:v>
                </c:pt>
                <c:pt idx="581">
                  <c:v>44238</c:v>
                </c:pt>
                <c:pt idx="582">
                  <c:v>44237</c:v>
                </c:pt>
                <c:pt idx="583">
                  <c:v>44236</c:v>
                </c:pt>
                <c:pt idx="584">
                  <c:v>44235</c:v>
                </c:pt>
                <c:pt idx="585">
                  <c:v>44234</c:v>
                </c:pt>
                <c:pt idx="586">
                  <c:v>44233</c:v>
                </c:pt>
                <c:pt idx="587">
                  <c:v>44232</c:v>
                </c:pt>
                <c:pt idx="588">
                  <c:v>44231</c:v>
                </c:pt>
                <c:pt idx="589">
                  <c:v>44230</c:v>
                </c:pt>
                <c:pt idx="590">
                  <c:v>44229</c:v>
                </c:pt>
                <c:pt idx="591">
                  <c:v>44228</c:v>
                </c:pt>
                <c:pt idx="592">
                  <c:v>44227</c:v>
                </c:pt>
                <c:pt idx="593">
                  <c:v>44226</c:v>
                </c:pt>
                <c:pt idx="594">
                  <c:v>44225</c:v>
                </c:pt>
                <c:pt idx="595">
                  <c:v>44224</c:v>
                </c:pt>
                <c:pt idx="596">
                  <c:v>44223</c:v>
                </c:pt>
                <c:pt idx="597">
                  <c:v>44222</c:v>
                </c:pt>
                <c:pt idx="598">
                  <c:v>44221</c:v>
                </c:pt>
                <c:pt idx="599">
                  <c:v>44220</c:v>
                </c:pt>
                <c:pt idx="600">
                  <c:v>44219</c:v>
                </c:pt>
                <c:pt idx="601">
                  <c:v>44218</c:v>
                </c:pt>
                <c:pt idx="602">
                  <c:v>44217</c:v>
                </c:pt>
                <c:pt idx="603">
                  <c:v>44216</c:v>
                </c:pt>
                <c:pt idx="604">
                  <c:v>44215</c:v>
                </c:pt>
                <c:pt idx="605">
                  <c:v>44214</c:v>
                </c:pt>
                <c:pt idx="606">
                  <c:v>44213</c:v>
                </c:pt>
                <c:pt idx="607">
                  <c:v>44212</c:v>
                </c:pt>
                <c:pt idx="608">
                  <c:v>44211</c:v>
                </c:pt>
                <c:pt idx="609">
                  <c:v>44210</c:v>
                </c:pt>
                <c:pt idx="610">
                  <c:v>44209</c:v>
                </c:pt>
                <c:pt idx="611">
                  <c:v>44208</c:v>
                </c:pt>
                <c:pt idx="612">
                  <c:v>44207</c:v>
                </c:pt>
                <c:pt idx="613">
                  <c:v>44206</c:v>
                </c:pt>
                <c:pt idx="614">
                  <c:v>44205</c:v>
                </c:pt>
                <c:pt idx="615">
                  <c:v>44204</c:v>
                </c:pt>
                <c:pt idx="616">
                  <c:v>44203</c:v>
                </c:pt>
                <c:pt idx="617">
                  <c:v>44202</c:v>
                </c:pt>
                <c:pt idx="618">
                  <c:v>44201</c:v>
                </c:pt>
                <c:pt idx="619">
                  <c:v>44200</c:v>
                </c:pt>
                <c:pt idx="620">
                  <c:v>44199</c:v>
                </c:pt>
                <c:pt idx="621">
                  <c:v>44198</c:v>
                </c:pt>
                <c:pt idx="622">
                  <c:v>44197</c:v>
                </c:pt>
                <c:pt idx="623">
                  <c:v>44196</c:v>
                </c:pt>
                <c:pt idx="624">
                  <c:v>44195</c:v>
                </c:pt>
                <c:pt idx="625">
                  <c:v>44194</c:v>
                </c:pt>
                <c:pt idx="626">
                  <c:v>44193</c:v>
                </c:pt>
                <c:pt idx="627">
                  <c:v>44192</c:v>
                </c:pt>
                <c:pt idx="628">
                  <c:v>44191</c:v>
                </c:pt>
                <c:pt idx="629">
                  <c:v>44190</c:v>
                </c:pt>
                <c:pt idx="630">
                  <c:v>44189</c:v>
                </c:pt>
                <c:pt idx="631">
                  <c:v>44188</c:v>
                </c:pt>
                <c:pt idx="632">
                  <c:v>44187</c:v>
                </c:pt>
                <c:pt idx="633">
                  <c:v>44186</c:v>
                </c:pt>
                <c:pt idx="634">
                  <c:v>44185</c:v>
                </c:pt>
                <c:pt idx="635">
                  <c:v>44184</c:v>
                </c:pt>
                <c:pt idx="636">
                  <c:v>44183</c:v>
                </c:pt>
                <c:pt idx="637">
                  <c:v>44182</c:v>
                </c:pt>
                <c:pt idx="638">
                  <c:v>44181</c:v>
                </c:pt>
                <c:pt idx="639">
                  <c:v>44180</c:v>
                </c:pt>
                <c:pt idx="640">
                  <c:v>44179</c:v>
                </c:pt>
                <c:pt idx="641">
                  <c:v>44178</c:v>
                </c:pt>
                <c:pt idx="642">
                  <c:v>44177</c:v>
                </c:pt>
                <c:pt idx="643">
                  <c:v>44176</c:v>
                </c:pt>
                <c:pt idx="644">
                  <c:v>44175</c:v>
                </c:pt>
                <c:pt idx="645">
                  <c:v>44174</c:v>
                </c:pt>
                <c:pt idx="646">
                  <c:v>44173</c:v>
                </c:pt>
                <c:pt idx="647">
                  <c:v>44172</c:v>
                </c:pt>
                <c:pt idx="648">
                  <c:v>44171</c:v>
                </c:pt>
                <c:pt idx="649">
                  <c:v>44170</c:v>
                </c:pt>
                <c:pt idx="650">
                  <c:v>44169</c:v>
                </c:pt>
                <c:pt idx="651">
                  <c:v>44168</c:v>
                </c:pt>
                <c:pt idx="652">
                  <c:v>44167</c:v>
                </c:pt>
                <c:pt idx="653">
                  <c:v>44166</c:v>
                </c:pt>
                <c:pt idx="654">
                  <c:v>44165</c:v>
                </c:pt>
                <c:pt idx="655">
                  <c:v>44164</c:v>
                </c:pt>
                <c:pt idx="656">
                  <c:v>44163</c:v>
                </c:pt>
                <c:pt idx="657">
                  <c:v>44162</c:v>
                </c:pt>
              </c:numCache>
            </c:numRef>
          </c:cat>
          <c:val>
            <c:numRef>
              <c:f>ExportArbNAPP!$Q$5:$Q$500</c:f>
              <c:numCache>
                <c:formatCode>#,##0.00</c:formatCode>
                <c:ptCount val="496"/>
                <c:pt idx="0">
                  <c:v>292.95302400000003</c:v>
                </c:pt>
                <c:pt idx="1">
                  <c:v>293.36126400000001</c:v>
                </c:pt>
                <c:pt idx="2">
                  <c:v>285.62284799999998</c:v>
                </c:pt>
                <c:pt idx="3">
                  <c:v>282.36599999999999</c:v>
                </c:pt>
                <c:pt idx="4">
                  <c:v>296.20080000000002</c:v>
                </c:pt>
                <c:pt idx="5">
                  <c:v>296.20080000000002</c:v>
                </c:pt>
                <c:pt idx="6">
                  <c:v>296.20080000000002</c:v>
                </c:pt>
                <c:pt idx="7">
                  <c:v>309.72715200000005</c:v>
                </c:pt>
                <c:pt idx="8">
                  <c:v>335.66399999999999</c:v>
                </c:pt>
                <c:pt idx="9">
                  <c:v>349.27199999999999</c:v>
                </c:pt>
                <c:pt idx="10">
                  <c:v>362.88</c:v>
                </c:pt>
                <c:pt idx="11">
                  <c:v>335.66399999999999</c:v>
                </c:pt>
                <c:pt idx="12">
                  <c:v>335.66399999999999</c:v>
                </c:pt>
                <c:pt idx="13">
                  <c:v>335.66399999999999</c:v>
                </c:pt>
                <c:pt idx="14">
                  <c:v>331.80840000000001</c:v>
                </c:pt>
                <c:pt idx="15">
                  <c:v>330.61996800000003</c:v>
                </c:pt>
                <c:pt idx="16">
                  <c:v>328.86</c:v>
                </c:pt>
                <c:pt idx="17">
                  <c:v>338.83920000000001</c:v>
                </c:pt>
                <c:pt idx="18">
                  <c:v>338.83920000000001</c:v>
                </c:pt>
                <c:pt idx="19">
                  <c:v>338.83920000000001</c:v>
                </c:pt>
                <c:pt idx="20">
                  <c:v>338.83920000000001</c:v>
                </c:pt>
                <c:pt idx="21">
                  <c:v>343.656432</c:v>
                </c:pt>
                <c:pt idx="22">
                  <c:v>346.09680000000003</c:v>
                </c:pt>
                <c:pt idx="23">
                  <c:v>356.07600000000002</c:v>
                </c:pt>
                <c:pt idx="24">
                  <c:v>376.488</c:v>
                </c:pt>
                <c:pt idx="25">
                  <c:v>362.12702400000001</c:v>
                </c:pt>
                <c:pt idx="26">
                  <c:v>362.12702400000001</c:v>
                </c:pt>
                <c:pt idx="27">
                  <c:v>362.12702400000001</c:v>
                </c:pt>
                <c:pt idx="28">
                  <c:v>343.26633600000002</c:v>
                </c:pt>
                <c:pt idx="29">
                  <c:v>349.11777599999999</c:v>
                </c:pt>
                <c:pt idx="30">
                  <c:v>347.45760000000001</c:v>
                </c:pt>
                <c:pt idx="31">
                  <c:v>320.92200000000003</c:v>
                </c:pt>
                <c:pt idx="32">
                  <c:v>315.25200000000001</c:v>
                </c:pt>
                <c:pt idx="33">
                  <c:v>315.25200000000001</c:v>
                </c:pt>
                <c:pt idx="34">
                  <c:v>315.25200000000001</c:v>
                </c:pt>
                <c:pt idx="35">
                  <c:v>322.05599999999998</c:v>
                </c:pt>
                <c:pt idx="36">
                  <c:v>315.25200000000001</c:v>
                </c:pt>
                <c:pt idx="37">
                  <c:v>288.31723199999999</c:v>
                </c:pt>
                <c:pt idx="38">
                  <c:v>279.50832000000003</c:v>
                </c:pt>
                <c:pt idx="39">
                  <c:v>281.4588</c:v>
                </c:pt>
                <c:pt idx="40">
                  <c:v>281.4588</c:v>
                </c:pt>
                <c:pt idx="41">
                  <c:v>281.4588</c:v>
                </c:pt>
                <c:pt idx="42">
                  <c:v>300.47371199999998</c:v>
                </c:pt>
                <c:pt idx="43">
                  <c:v>326.84601599999996</c:v>
                </c:pt>
                <c:pt idx="44">
                  <c:v>343.520352</c:v>
                </c:pt>
                <c:pt idx="45">
                  <c:v>362.77113600000001</c:v>
                </c:pt>
                <c:pt idx="46">
                  <c:v>373.31279999999998</c:v>
                </c:pt>
                <c:pt idx="47">
                  <c:v>373.31279999999998</c:v>
                </c:pt>
                <c:pt idx="48">
                  <c:v>373.31279999999998</c:v>
                </c:pt>
                <c:pt idx="49">
                  <c:v>378.9828</c:v>
                </c:pt>
                <c:pt idx="50">
                  <c:v>371.67984000000001</c:v>
                </c:pt>
                <c:pt idx="51">
                  <c:v>373.203936</c:v>
                </c:pt>
                <c:pt idx="52">
                  <c:v>351.08640000000003</c:v>
                </c:pt>
                <c:pt idx="53">
                  <c:v>339.41073599999999</c:v>
                </c:pt>
                <c:pt idx="54">
                  <c:v>339.41073599999999</c:v>
                </c:pt>
                <c:pt idx="55">
                  <c:v>339.41073599999999</c:v>
                </c:pt>
                <c:pt idx="56">
                  <c:v>335.87265600000001</c:v>
                </c:pt>
                <c:pt idx="57">
                  <c:v>336.97944000000001</c:v>
                </c:pt>
                <c:pt idx="58">
                  <c:v>332.48880000000003</c:v>
                </c:pt>
                <c:pt idx="59">
                  <c:v>334.53000000000003</c:v>
                </c:pt>
                <c:pt idx="60">
                  <c:v>346.67740800000001</c:v>
                </c:pt>
                <c:pt idx="61">
                  <c:v>346.67740800000001</c:v>
                </c:pt>
                <c:pt idx="62">
                  <c:v>346.67740800000001</c:v>
                </c:pt>
                <c:pt idx="63">
                  <c:v>365.14800000000002</c:v>
                </c:pt>
                <c:pt idx="64">
                  <c:v>369.68400000000003</c:v>
                </c:pt>
                <c:pt idx="65">
                  <c:v>368.81308799999999</c:v>
                </c:pt>
                <c:pt idx="66">
                  <c:v>368.77679999999998</c:v>
                </c:pt>
                <c:pt idx="67">
                  <c:v>356.98320000000001</c:v>
                </c:pt>
                <c:pt idx="68">
                  <c:v>356.98320000000001</c:v>
                </c:pt>
                <c:pt idx="69">
                  <c:v>356.98320000000001</c:v>
                </c:pt>
                <c:pt idx="70">
                  <c:v>349.27199999999999</c:v>
                </c:pt>
                <c:pt idx="71">
                  <c:v>346.21473600000002</c:v>
                </c:pt>
                <c:pt idx="72">
                  <c:v>355.89456000000001</c:v>
                </c:pt>
                <c:pt idx="73">
                  <c:v>352.111536</c:v>
                </c:pt>
                <c:pt idx="74">
                  <c:v>340.59916800000002</c:v>
                </c:pt>
                <c:pt idx="75">
                  <c:v>340.59916800000002</c:v>
                </c:pt>
                <c:pt idx="76">
                  <c:v>340.59916800000002</c:v>
                </c:pt>
                <c:pt idx="77">
                  <c:v>333.06033600000001</c:v>
                </c:pt>
                <c:pt idx="78">
                  <c:v>333.77702400000004</c:v>
                </c:pt>
                <c:pt idx="79">
                  <c:v>337.30603200000002</c:v>
                </c:pt>
                <c:pt idx="80">
                  <c:v>370.43697600000002</c:v>
                </c:pt>
                <c:pt idx="81">
                  <c:v>380.05329599999999</c:v>
                </c:pt>
                <c:pt idx="82">
                  <c:v>380.05329599999999</c:v>
                </c:pt>
                <c:pt idx="83">
                  <c:v>380.05329599999999</c:v>
                </c:pt>
                <c:pt idx="84">
                  <c:v>386.24040000000002</c:v>
                </c:pt>
                <c:pt idx="85">
                  <c:v>373.65753599999999</c:v>
                </c:pt>
                <c:pt idx="86">
                  <c:v>363.10680000000002</c:v>
                </c:pt>
                <c:pt idx="87">
                  <c:v>342.78552000000002</c:v>
                </c:pt>
                <c:pt idx="88">
                  <c:v>324.23327999999998</c:v>
                </c:pt>
                <c:pt idx="89">
                  <c:v>324.23327999999998</c:v>
                </c:pt>
                <c:pt idx="90">
                  <c:v>324.23327999999998</c:v>
                </c:pt>
                <c:pt idx="91">
                  <c:v>331.30944</c:v>
                </c:pt>
                <c:pt idx="92">
                  <c:v>310.03559999999999</c:v>
                </c:pt>
                <c:pt idx="93">
                  <c:v>307.80388800000003</c:v>
                </c:pt>
                <c:pt idx="94">
                  <c:v>282.32971199999997</c:v>
                </c:pt>
                <c:pt idx="95">
                  <c:v>283.61793599999999</c:v>
                </c:pt>
                <c:pt idx="96">
                  <c:v>283.61793599999999</c:v>
                </c:pt>
                <c:pt idx="97">
                  <c:v>283.61793599999999</c:v>
                </c:pt>
                <c:pt idx="98">
                  <c:v>289.21536000000003</c:v>
                </c:pt>
                <c:pt idx="99">
                  <c:v>289.39679999999998</c:v>
                </c:pt>
                <c:pt idx="100">
                  <c:v>300.50092799999999</c:v>
                </c:pt>
                <c:pt idx="101">
                  <c:v>305.42702400000002</c:v>
                </c:pt>
                <c:pt idx="102">
                  <c:v>301.08153599999997</c:v>
                </c:pt>
                <c:pt idx="103">
                  <c:v>301.08153599999997</c:v>
                </c:pt>
                <c:pt idx="104">
                  <c:v>301.08153599999997</c:v>
                </c:pt>
                <c:pt idx="105">
                  <c:v>301.08153599999997</c:v>
                </c:pt>
                <c:pt idx="106">
                  <c:v>301.08153599999997</c:v>
                </c:pt>
                <c:pt idx="107">
                  <c:v>324.89553599999999</c:v>
                </c:pt>
                <c:pt idx="108">
                  <c:v>292.572</c:v>
                </c:pt>
                <c:pt idx="109">
                  <c:v>275.10840000000002</c:v>
                </c:pt>
                <c:pt idx="110">
                  <c:v>275.10840000000002</c:v>
                </c:pt>
                <c:pt idx="111">
                  <c:v>275.10840000000002</c:v>
                </c:pt>
                <c:pt idx="112">
                  <c:v>289.17</c:v>
                </c:pt>
                <c:pt idx="113">
                  <c:v>276.69600000000003</c:v>
                </c:pt>
                <c:pt idx="114">
                  <c:v>297.67953599999998</c:v>
                </c:pt>
                <c:pt idx="115">
                  <c:v>314.11799999999999</c:v>
                </c:pt>
                <c:pt idx="116">
                  <c:v>325.45800000000003</c:v>
                </c:pt>
                <c:pt idx="117">
                  <c:v>325.45800000000003</c:v>
                </c:pt>
                <c:pt idx="118">
                  <c:v>325.45800000000003</c:v>
                </c:pt>
                <c:pt idx="119">
                  <c:v>320.24160000000001</c:v>
                </c:pt>
                <c:pt idx="120">
                  <c:v>320.89478400000002</c:v>
                </c:pt>
                <c:pt idx="121">
                  <c:v>303.80313599999999</c:v>
                </c:pt>
                <c:pt idx="122">
                  <c:v>295.10308800000001</c:v>
                </c:pt>
                <c:pt idx="123">
                  <c:v>290.24049600000001</c:v>
                </c:pt>
                <c:pt idx="124">
                  <c:v>290.24049600000001</c:v>
                </c:pt>
                <c:pt idx="125">
                  <c:v>290.24049600000001</c:v>
                </c:pt>
                <c:pt idx="126">
                  <c:v>302.47862400000002</c:v>
                </c:pt>
                <c:pt idx="127">
                  <c:v>294.83999999999997</c:v>
                </c:pt>
                <c:pt idx="128">
                  <c:v>284.57956799999999</c:v>
                </c:pt>
                <c:pt idx="129">
                  <c:v>287.12880000000001</c:v>
                </c:pt>
                <c:pt idx="130">
                  <c:v>307.03276799999998</c:v>
                </c:pt>
                <c:pt idx="131">
                  <c:v>307.03276799999998</c:v>
                </c:pt>
                <c:pt idx="132">
                  <c:v>307.03276799999998</c:v>
                </c:pt>
                <c:pt idx="133">
                  <c:v>306.18</c:v>
                </c:pt>
                <c:pt idx="134">
                  <c:v>296.65440000000001</c:v>
                </c:pt>
                <c:pt idx="135">
                  <c:v>276.69600000000003</c:v>
                </c:pt>
                <c:pt idx="136">
                  <c:v>259.68599999999998</c:v>
                </c:pt>
                <c:pt idx="137">
                  <c:v>259.68599999999998</c:v>
                </c:pt>
                <c:pt idx="138">
                  <c:v>259.68599999999998</c:v>
                </c:pt>
                <c:pt idx="139">
                  <c:v>259.68599999999998</c:v>
                </c:pt>
                <c:pt idx="140">
                  <c:v>263.08800000000002</c:v>
                </c:pt>
                <c:pt idx="141">
                  <c:v>284.52513599999997</c:v>
                </c:pt>
                <c:pt idx="142">
                  <c:v>284.73379199999999</c:v>
                </c:pt>
                <c:pt idx="143">
                  <c:v>303.40396800000002</c:v>
                </c:pt>
                <c:pt idx="144">
                  <c:v>311.23310399999997</c:v>
                </c:pt>
                <c:pt idx="145">
                  <c:v>311.23310399999997</c:v>
                </c:pt>
                <c:pt idx="146">
                  <c:v>311.23310399999997</c:v>
                </c:pt>
                <c:pt idx="147">
                  <c:v>319.67913599999997</c:v>
                </c:pt>
                <c:pt idx="148">
                  <c:v>320.849424</c:v>
                </c:pt>
                <c:pt idx="149">
                  <c:v>323.19</c:v>
                </c:pt>
                <c:pt idx="150">
                  <c:v>326.59199999999998</c:v>
                </c:pt>
                <c:pt idx="151">
                  <c:v>326.59199999999998</c:v>
                </c:pt>
                <c:pt idx="152">
                  <c:v>326.59199999999998</c:v>
                </c:pt>
                <c:pt idx="153">
                  <c:v>326.59199999999998</c:v>
                </c:pt>
                <c:pt idx="154">
                  <c:v>326.59199999999998</c:v>
                </c:pt>
                <c:pt idx="155">
                  <c:v>331.12799999999999</c:v>
                </c:pt>
                <c:pt idx="156">
                  <c:v>328.29753599999998</c:v>
                </c:pt>
                <c:pt idx="157">
                  <c:v>307.54079999999999</c:v>
                </c:pt>
                <c:pt idx="158">
                  <c:v>291.99139200000002</c:v>
                </c:pt>
                <c:pt idx="159">
                  <c:v>291.99139200000002</c:v>
                </c:pt>
                <c:pt idx="160">
                  <c:v>291.99139200000002</c:v>
                </c:pt>
                <c:pt idx="161">
                  <c:v>279.87119999999999</c:v>
                </c:pt>
                <c:pt idx="162">
                  <c:v>286.67520000000002</c:v>
                </c:pt>
                <c:pt idx="163">
                  <c:v>273.67502400000001</c:v>
                </c:pt>
                <c:pt idx="164">
                  <c:v>247.84703999999999</c:v>
                </c:pt>
                <c:pt idx="165">
                  <c:v>251.36697599999999</c:v>
                </c:pt>
                <c:pt idx="166">
                  <c:v>251.36697599999999</c:v>
                </c:pt>
                <c:pt idx="167">
                  <c:v>251.36697599999999</c:v>
                </c:pt>
                <c:pt idx="168">
                  <c:v>247.856112</c:v>
                </c:pt>
                <c:pt idx="169">
                  <c:v>258.83323200000001</c:v>
                </c:pt>
                <c:pt idx="170">
                  <c:v>252.65520000000001</c:v>
                </c:pt>
                <c:pt idx="171">
                  <c:v>253.63497599999999</c:v>
                </c:pt>
                <c:pt idx="172">
                  <c:v>261.79070400000001</c:v>
                </c:pt>
                <c:pt idx="173">
                  <c:v>261.79070400000001</c:v>
                </c:pt>
                <c:pt idx="174">
                  <c:v>261.79070400000001</c:v>
                </c:pt>
                <c:pt idx="175">
                  <c:v>265.845888</c:v>
                </c:pt>
                <c:pt idx="176">
                  <c:v>290.30399999999997</c:v>
                </c:pt>
                <c:pt idx="177">
                  <c:v>252.74592000000001</c:v>
                </c:pt>
                <c:pt idx="178">
                  <c:v>234.502128</c:v>
                </c:pt>
                <c:pt idx="179">
                  <c:v>251.26718400000001</c:v>
                </c:pt>
                <c:pt idx="180">
                  <c:v>251.26718400000001</c:v>
                </c:pt>
                <c:pt idx="181">
                  <c:v>251.26718400000001</c:v>
                </c:pt>
                <c:pt idx="182">
                  <c:v>264.86611199999999</c:v>
                </c:pt>
                <c:pt idx="183">
                  <c:v>240.752736</c:v>
                </c:pt>
                <c:pt idx="184">
                  <c:v>280.32479999999998</c:v>
                </c:pt>
                <c:pt idx="185">
                  <c:v>305.61753599999997</c:v>
                </c:pt>
                <c:pt idx="186">
                  <c:v>332.57952</c:v>
                </c:pt>
                <c:pt idx="187">
                  <c:v>332.57952</c:v>
                </c:pt>
                <c:pt idx="188">
                  <c:v>332.57952</c:v>
                </c:pt>
                <c:pt idx="189">
                  <c:v>326.59199999999998</c:v>
                </c:pt>
                <c:pt idx="190">
                  <c:v>378.81950399999999</c:v>
                </c:pt>
                <c:pt idx="191">
                  <c:v>374.67360000000002</c:v>
                </c:pt>
                <c:pt idx="192">
                  <c:v>355.51353599999999</c:v>
                </c:pt>
                <c:pt idx="193">
                  <c:v>344.91744</c:v>
                </c:pt>
                <c:pt idx="194">
                  <c:v>344.91744</c:v>
                </c:pt>
                <c:pt idx="195">
                  <c:v>344.91744</c:v>
                </c:pt>
                <c:pt idx="196">
                  <c:v>311.68670400000002</c:v>
                </c:pt>
                <c:pt idx="197">
                  <c:v>348.06542400000001</c:v>
                </c:pt>
                <c:pt idx="198">
                  <c:v>252.11087999999998</c:v>
                </c:pt>
                <c:pt idx="199">
                  <c:v>217.95480000000001</c:v>
                </c:pt>
                <c:pt idx="200">
                  <c:v>229.86633599999999</c:v>
                </c:pt>
                <c:pt idx="201">
                  <c:v>229.86633599999999</c:v>
                </c:pt>
                <c:pt idx="202">
                  <c:v>229.86633599999999</c:v>
                </c:pt>
                <c:pt idx="203">
                  <c:v>237.91319999999999</c:v>
                </c:pt>
                <c:pt idx="204">
                  <c:v>193.84142399999999</c:v>
                </c:pt>
                <c:pt idx="205">
                  <c:v>184.86014400000002</c:v>
                </c:pt>
                <c:pt idx="206">
                  <c:v>168.857136</c:v>
                </c:pt>
                <c:pt idx="207">
                  <c:v>164.97432000000001</c:v>
                </c:pt>
                <c:pt idx="208">
                  <c:v>164.97432000000001</c:v>
                </c:pt>
                <c:pt idx="209">
                  <c:v>164.97432000000001</c:v>
                </c:pt>
                <c:pt idx="210">
                  <c:v>155.37614400000001</c:v>
                </c:pt>
                <c:pt idx="211">
                  <c:v>163.82217600000001</c:v>
                </c:pt>
                <c:pt idx="212">
                  <c:v>172.059552</c:v>
                </c:pt>
                <c:pt idx="213">
                  <c:v>174.79022399999999</c:v>
                </c:pt>
                <c:pt idx="214">
                  <c:v>169.492176</c:v>
                </c:pt>
                <c:pt idx="215">
                  <c:v>169.492176</c:v>
                </c:pt>
                <c:pt idx="216">
                  <c:v>169.492176</c:v>
                </c:pt>
                <c:pt idx="217">
                  <c:v>181.33113599999999</c:v>
                </c:pt>
                <c:pt idx="218">
                  <c:v>177.72048000000001</c:v>
                </c:pt>
                <c:pt idx="219">
                  <c:v>172.159344</c:v>
                </c:pt>
                <c:pt idx="220">
                  <c:v>165.78172800000002</c:v>
                </c:pt>
                <c:pt idx="221">
                  <c:v>161.54510400000001</c:v>
                </c:pt>
                <c:pt idx="222">
                  <c:v>161.54510400000001</c:v>
                </c:pt>
                <c:pt idx="223">
                  <c:v>161.54510400000001</c:v>
                </c:pt>
                <c:pt idx="224">
                  <c:v>157.997952</c:v>
                </c:pt>
                <c:pt idx="225">
                  <c:v>162.59745599999999</c:v>
                </c:pt>
                <c:pt idx="226">
                  <c:v>160.95542399999999</c:v>
                </c:pt>
                <c:pt idx="227">
                  <c:v>164.60236800000001</c:v>
                </c:pt>
                <c:pt idx="228">
                  <c:v>193.91399999999999</c:v>
                </c:pt>
                <c:pt idx="229">
                  <c:v>193.91399999999999</c:v>
                </c:pt>
                <c:pt idx="230">
                  <c:v>193.91399999999999</c:v>
                </c:pt>
                <c:pt idx="231">
                  <c:v>195.85540799999998</c:v>
                </c:pt>
                <c:pt idx="232">
                  <c:v>196.78982399999998</c:v>
                </c:pt>
                <c:pt idx="233">
                  <c:v>177.08543999999998</c:v>
                </c:pt>
                <c:pt idx="234">
                  <c:v>165.981312</c:v>
                </c:pt>
                <c:pt idx="235">
                  <c:v>160.5744</c:v>
                </c:pt>
                <c:pt idx="236">
                  <c:v>160.5744</c:v>
                </c:pt>
                <c:pt idx="237">
                  <c:v>160.5744</c:v>
                </c:pt>
                <c:pt idx="238">
                  <c:v>153.91555199999999</c:v>
                </c:pt>
                <c:pt idx="239">
                  <c:v>163.0692</c:v>
                </c:pt>
                <c:pt idx="240">
                  <c:v>163.58630399999998</c:v>
                </c:pt>
                <c:pt idx="241">
                  <c:v>157.32662399999998</c:v>
                </c:pt>
                <c:pt idx="242">
                  <c:v>154.58688000000001</c:v>
                </c:pt>
                <c:pt idx="243">
                  <c:v>154.58688000000001</c:v>
                </c:pt>
                <c:pt idx="244">
                  <c:v>154.58688000000001</c:v>
                </c:pt>
                <c:pt idx="245">
                  <c:v>140.098896</c:v>
                </c:pt>
                <c:pt idx="246">
                  <c:v>122.9256</c:v>
                </c:pt>
                <c:pt idx="247">
                  <c:v>119.922768</c:v>
                </c:pt>
                <c:pt idx="248">
                  <c:v>126.84470399999999</c:v>
                </c:pt>
                <c:pt idx="249">
                  <c:v>134.338176</c:v>
                </c:pt>
                <c:pt idx="250">
                  <c:v>134.338176</c:v>
                </c:pt>
                <c:pt idx="251">
                  <c:v>134.338176</c:v>
                </c:pt>
                <c:pt idx="252">
                  <c:v>129.85660799999999</c:v>
                </c:pt>
                <c:pt idx="253">
                  <c:v>124.5132</c:v>
                </c:pt>
                <c:pt idx="254">
                  <c:v>119.30587199999999</c:v>
                </c:pt>
                <c:pt idx="255">
                  <c:v>110.342736</c:v>
                </c:pt>
                <c:pt idx="256">
                  <c:v>110.342736</c:v>
                </c:pt>
                <c:pt idx="257">
                  <c:v>110.342736</c:v>
                </c:pt>
                <c:pt idx="258">
                  <c:v>110.342736</c:v>
                </c:pt>
                <c:pt idx="259">
                  <c:v>109.14523200000001</c:v>
                </c:pt>
                <c:pt idx="260">
                  <c:v>109.72584000000001</c:v>
                </c:pt>
                <c:pt idx="261">
                  <c:v>132.90479999999999</c:v>
                </c:pt>
                <c:pt idx="262">
                  <c:v>132.90479999999999</c:v>
                </c:pt>
                <c:pt idx="263">
                  <c:v>132.90479999999999</c:v>
                </c:pt>
                <c:pt idx="264">
                  <c:v>132.90479999999999</c:v>
                </c:pt>
                <c:pt idx="265">
                  <c:v>132.90479999999999</c:v>
                </c:pt>
                <c:pt idx="266">
                  <c:v>140.198688</c:v>
                </c:pt>
                <c:pt idx="267">
                  <c:v>145.15199999999999</c:v>
                </c:pt>
                <c:pt idx="268">
                  <c:v>148.96223999999998</c:v>
                </c:pt>
                <c:pt idx="269">
                  <c:v>145.99569600000001</c:v>
                </c:pt>
                <c:pt idx="270">
                  <c:v>144.27201600000001</c:v>
                </c:pt>
                <c:pt idx="271">
                  <c:v>144.27201600000001</c:v>
                </c:pt>
                <c:pt idx="272">
                  <c:v>144.27201600000001</c:v>
                </c:pt>
                <c:pt idx="273">
                  <c:v>141.84072</c:v>
                </c:pt>
                <c:pt idx="274">
                  <c:v>138.42057600000001</c:v>
                </c:pt>
                <c:pt idx="275">
                  <c:v>135.508464</c:v>
                </c:pt>
                <c:pt idx="276">
                  <c:v>132.76872</c:v>
                </c:pt>
                <c:pt idx="277">
                  <c:v>126.17337600000002</c:v>
                </c:pt>
                <c:pt idx="278">
                  <c:v>126.17337600000002</c:v>
                </c:pt>
                <c:pt idx="279">
                  <c:v>126.17337600000002</c:v>
                </c:pt>
                <c:pt idx="280">
                  <c:v>122.889312</c:v>
                </c:pt>
                <c:pt idx="281">
                  <c:v>124.957728</c:v>
                </c:pt>
                <c:pt idx="282">
                  <c:v>117.173952</c:v>
                </c:pt>
                <c:pt idx="283">
                  <c:v>111.422304</c:v>
                </c:pt>
                <c:pt idx="284">
                  <c:v>112.26600000000001</c:v>
                </c:pt>
                <c:pt idx="285">
                  <c:v>112.26600000000001</c:v>
                </c:pt>
                <c:pt idx="286">
                  <c:v>112.26600000000001</c:v>
                </c:pt>
                <c:pt idx="287">
                  <c:v>112.9464</c:v>
                </c:pt>
                <c:pt idx="288">
                  <c:v>109.07265600000001</c:v>
                </c:pt>
                <c:pt idx="289">
                  <c:v>104.001408</c:v>
                </c:pt>
                <c:pt idx="290">
                  <c:v>112.03919999999999</c:v>
                </c:pt>
                <c:pt idx="291">
                  <c:v>141.48691200000002</c:v>
                </c:pt>
                <c:pt idx="292">
                  <c:v>141.48691200000002</c:v>
                </c:pt>
                <c:pt idx="293">
                  <c:v>141.48691200000002</c:v>
                </c:pt>
                <c:pt idx="294">
                  <c:v>152.86320000000001</c:v>
                </c:pt>
                <c:pt idx="295">
                  <c:v>153.162576</c:v>
                </c:pt>
                <c:pt idx="296">
                  <c:v>144.018</c:v>
                </c:pt>
                <c:pt idx="297">
                  <c:v>131.39884800000002</c:v>
                </c:pt>
                <c:pt idx="298">
                  <c:v>131.46235200000001</c:v>
                </c:pt>
                <c:pt idx="299">
                  <c:v>131.46235200000001</c:v>
                </c:pt>
                <c:pt idx="300">
                  <c:v>131.46235200000001</c:v>
                </c:pt>
                <c:pt idx="301">
                  <c:v>130.1832</c:v>
                </c:pt>
                <c:pt idx="302">
                  <c:v>128.45044799999999</c:v>
                </c:pt>
                <c:pt idx="303">
                  <c:v>125.26617600000002</c:v>
                </c:pt>
                <c:pt idx="304">
                  <c:v>118.353312</c:v>
                </c:pt>
                <c:pt idx="305">
                  <c:v>121.56480000000001</c:v>
                </c:pt>
                <c:pt idx="306">
                  <c:v>121.56480000000001</c:v>
                </c:pt>
                <c:pt idx="307">
                  <c:v>121.56480000000001</c:v>
                </c:pt>
                <c:pt idx="308">
                  <c:v>126.82656000000001</c:v>
                </c:pt>
                <c:pt idx="309">
                  <c:v>126.08265599999999</c:v>
                </c:pt>
                <c:pt idx="310">
                  <c:v>139.66343999999998</c:v>
                </c:pt>
                <c:pt idx="311">
                  <c:v>143.29223999999999</c:v>
                </c:pt>
                <c:pt idx="312">
                  <c:v>130.46443200000002</c:v>
                </c:pt>
                <c:pt idx="313">
                  <c:v>130.46443200000002</c:v>
                </c:pt>
                <c:pt idx="314">
                  <c:v>130.46443200000002</c:v>
                </c:pt>
                <c:pt idx="315">
                  <c:v>133.24953600000001</c:v>
                </c:pt>
                <c:pt idx="316">
                  <c:v>133.90271999999999</c:v>
                </c:pt>
                <c:pt idx="317">
                  <c:v>138.89231999999998</c:v>
                </c:pt>
                <c:pt idx="318">
                  <c:v>142.88400000000001</c:v>
                </c:pt>
                <c:pt idx="319">
                  <c:v>155.47593599999999</c:v>
                </c:pt>
                <c:pt idx="320">
                  <c:v>155.47593599999999</c:v>
                </c:pt>
                <c:pt idx="321">
                  <c:v>155.47593599999999</c:v>
                </c:pt>
                <c:pt idx="322">
                  <c:v>181.66679999999999</c:v>
                </c:pt>
                <c:pt idx="323">
                  <c:v>195.048</c:v>
                </c:pt>
                <c:pt idx="324">
                  <c:v>205.25399999999999</c:v>
                </c:pt>
                <c:pt idx="325">
                  <c:v>197.22528</c:v>
                </c:pt>
                <c:pt idx="326">
                  <c:v>189.60480000000001</c:v>
                </c:pt>
                <c:pt idx="327">
                  <c:v>189.60480000000001</c:v>
                </c:pt>
                <c:pt idx="328">
                  <c:v>189.60480000000001</c:v>
                </c:pt>
                <c:pt idx="329">
                  <c:v>190.45756800000001</c:v>
                </c:pt>
                <c:pt idx="330">
                  <c:v>201.39840000000001</c:v>
                </c:pt>
                <c:pt idx="331">
                  <c:v>210.29803200000001</c:v>
                </c:pt>
                <c:pt idx="332">
                  <c:v>216.076896</c:v>
                </c:pt>
                <c:pt idx="333">
                  <c:v>230.24736000000001</c:v>
                </c:pt>
                <c:pt idx="334">
                  <c:v>230.24736000000001</c:v>
                </c:pt>
                <c:pt idx="335">
                  <c:v>230.24736000000001</c:v>
                </c:pt>
                <c:pt idx="336">
                  <c:v>232.78752000000003</c:v>
                </c:pt>
                <c:pt idx="337">
                  <c:v>233.04153600000001</c:v>
                </c:pt>
                <c:pt idx="338">
                  <c:v>231.78960000000001</c:v>
                </c:pt>
                <c:pt idx="339">
                  <c:v>220.4496</c:v>
                </c:pt>
                <c:pt idx="340">
                  <c:v>214.253424</c:v>
                </c:pt>
                <c:pt idx="341">
                  <c:v>214.253424</c:v>
                </c:pt>
                <c:pt idx="342">
                  <c:v>214.253424</c:v>
                </c:pt>
                <c:pt idx="343">
                  <c:v>204.12</c:v>
                </c:pt>
                <c:pt idx="344">
                  <c:v>253.26302400000003</c:v>
                </c:pt>
                <c:pt idx="345">
                  <c:v>270.88992000000002</c:v>
                </c:pt>
                <c:pt idx="346">
                  <c:v>235.41839999999999</c:v>
                </c:pt>
                <c:pt idx="347">
                  <c:v>210.54297600000001</c:v>
                </c:pt>
                <c:pt idx="348">
                  <c:v>210.54297600000001</c:v>
                </c:pt>
                <c:pt idx="349">
                  <c:v>210.54297600000001</c:v>
                </c:pt>
                <c:pt idx="350">
                  <c:v>196.56302399999998</c:v>
                </c:pt>
                <c:pt idx="351">
                  <c:v>191.50991999999999</c:v>
                </c:pt>
                <c:pt idx="352">
                  <c:v>191.682288</c:v>
                </c:pt>
                <c:pt idx="353">
                  <c:v>182.80080000000001</c:v>
                </c:pt>
                <c:pt idx="354">
                  <c:v>180.53280000000001</c:v>
                </c:pt>
                <c:pt idx="355">
                  <c:v>180.53280000000001</c:v>
                </c:pt>
                <c:pt idx="356">
                  <c:v>180.53280000000001</c:v>
                </c:pt>
                <c:pt idx="357">
                  <c:v>166.9248</c:v>
                </c:pt>
                <c:pt idx="358">
                  <c:v>158.0796</c:v>
                </c:pt>
                <c:pt idx="359">
                  <c:v>158.85072</c:v>
                </c:pt>
                <c:pt idx="360">
                  <c:v>161.93520000000001</c:v>
                </c:pt>
                <c:pt idx="361">
                  <c:v>157.94352000000001</c:v>
                </c:pt>
                <c:pt idx="362">
                  <c:v>157.94352000000001</c:v>
                </c:pt>
                <c:pt idx="363">
                  <c:v>157.94352000000001</c:v>
                </c:pt>
                <c:pt idx="364">
                  <c:v>158.48783999999998</c:v>
                </c:pt>
                <c:pt idx="365">
                  <c:v>159.53111999999999</c:v>
                </c:pt>
                <c:pt idx="366">
                  <c:v>160.3476</c:v>
                </c:pt>
                <c:pt idx="367">
                  <c:v>161.02799999999999</c:v>
                </c:pt>
                <c:pt idx="368">
                  <c:v>157.59878399999999</c:v>
                </c:pt>
                <c:pt idx="369">
                  <c:v>157.59878399999999</c:v>
                </c:pt>
                <c:pt idx="370">
                  <c:v>157.59878399999999</c:v>
                </c:pt>
                <c:pt idx="371">
                  <c:v>157.626</c:v>
                </c:pt>
                <c:pt idx="372">
                  <c:v>154.22399999999999</c:v>
                </c:pt>
                <c:pt idx="373">
                  <c:v>153.83390399999999</c:v>
                </c:pt>
                <c:pt idx="374">
                  <c:v>154.22399999999999</c:v>
                </c:pt>
                <c:pt idx="375">
                  <c:v>150.422832</c:v>
                </c:pt>
                <c:pt idx="376">
                  <c:v>150.422832</c:v>
                </c:pt>
                <c:pt idx="377">
                  <c:v>150.422832</c:v>
                </c:pt>
                <c:pt idx="378">
                  <c:v>150.894576</c:v>
                </c:pt>
                <c:pt idx="379">
                  <c:v>147.456288</c:v>
                </c:pt>
                <c:pt idx="380">
                  <c:v>139.46385599999999</c:v>
                </c:pt>
                <c:pt idx="381">
                  <c:v>136.9872</c:v>
                </c:pt>
                <c:pt idx="382">
                  <c:v>136.9872</c:v>
                </c:pt>
                <c:pt idx="383">
                  <c:v>136.9872</c:v>
                </c:pt>
                <c:pt idx="384">
                  <c:v>136.9872</c:v>
                </c:pt>
                <c:pt idx="385">
                  <c:v>136.44288</c:v>
                </c:pt>
                <c:pt idx="386">
                  <c:v>136.71503999999999</c:v>
                </c:pt>
                <c:pt idx="387">
                  <c:v>136.08000000000001</c:v>
                </c:pt>
                <c:pt idx="388">
                  <c:v>131.44420799999997</c:v>
                </c:pt>
                <c:pt idx="389">
                  <c:v>130.60958400000001</c:v>
                </c:pt>
                <c:pt idx="390">
                  <c:v>130.60958400000001</c:v>
                </c:pt>
                <c:pt idx="391">
                  <c:v>130.60958400000001</c:v>
                </c:pt>
                <c:pt idx="392">
                  <c:v>137.27750399999999</c:v>
                </c:pt>
                <c:pt idx="393">
                  <c:v>138.99211200000002</c:v>
                </c:pt>
                <c:pt idx="394">
                  <c:v>139.75416000000001</c:v>
                </c:pt>
                <c:pt idx="395">
                  <c:v>140.86094400000002</c:v>
                </c:pt>
                <c:pt idx="396">
                  <c:v>139.93559999999999</c:v>
                </c:pt>
                <c:pt idx="397">
                  <c:v>139.93559999999999</c:v>
                </c:pt>
                <c:pt idx="398">
                  <c:v>139.93559999999999</c:v>
                </c:pt>
                <c:pt idx="399">
                  <c:v>140.75208000000001</c:v>
                </c:pt>
                <c:pt idx="400">
                  <c:v>135.653616</c:v>
                </c:pt>
                <c:pt idx="401">
                  <c:v>135.027648</c:v>
                </c:pt>
                <c:pt idx="402">
                  <c:v>134.90063999999998</c:v>
                </c:pt>
                <c:pt idx="403">
                  <c:v>131.516784</c:v>
                </c:pt>
                <c:pt idx="404">
                  <c:v>131.516784</c:v>
                </c:pt>
                <c:pt idx="405">
                  <c:v>131.516784</c:v>
                </c:pt>
                <c:pt idx="406">
                  <c:v>130.028976</c:v>
                </c:pt>
                <c:pt idx="407">
                  <c:v>129.65702399999998</c:v>
                </c:pt>
                <c:pt idx="408">
                  <c:v>129.085488</c:v>
                </c:pt>
                <c:pt idx="409">
                  <c:v>128.09663999999998</c:v>
                </c:pt>
                <c:pt idx="410">
                  <c:v>127.04428799999999</c:v>
                </c:pt>
                <c:pt idx="411">
                  <c:v>127.04428799999999</c:v>
                </c:pt>
                <c:pt idx="412">
                  <c:v>127.04428799999999</c:v>
                </c:pt>
                <c:pt idx="413">
                  <c:v>126.953568</c:v>
                </c:pt>
                <c:pt idx="414">
                  <c:v>126.617904</c:v>
                </c:pt>
                <c:pt idx="415">
                  <c:v>126.699552</c:v>
                </c:pt>
                <c:pt idx="416">
                  <c:v>126.7812</c:v>
                </c:pt>
                <c:pt idx="417">
                  <c:v>125.583696</c:v>
                </c:pt>
                <c:pt idx="418">
                  <c:v>125.583696</c:v>
                </c:pt>
                <c:pt idx="419">
                  <c:v>125.583696</c:v>
                </c:pt>
                <c:pt idx="420">
                  <c:v>125.456688</c:v>
                </c:pt>
                <c:pt idx="421">
                  <c:v>125.1936</c:v>
                </c:pt>
                <c:pt idx="422">
                  <c:v>125.71977600000001</c:v>
                </c:pt>
                <c:pt idx="423">
                  <c:v>126.7812</c:v>
                </c:pt>
                <c:pt idx="424">
                  <c:v>123.460848</c:v>
                </c:pt>
                <c:pt idx="425">
                  <c:v>123.460848</c:v>
                </c:pt>
                <c:pt idx="426">
                  <c:v>123.460848</c:v>
                </c:pt>
                <c:pt idx="427">
                  <c:v>123.83280000000001</c:v>
                </c:pt>
                <c:pt idx="428">
                  <c:v>124.5132</c:v>
                </c:pt>
                <c:pt idx="429">
                  <c:v>123.67857600000001</c:v>
                </c:pt>
                <c:pt idx="430">
                  <c:v>118.3896</c:v>
                </c:pt>
                <c:pt idx="431">
                  <c:v>118.108368</c:v>
                </c:pt>
                <c:pt idx="432">
                  <c:v>118.108368</c:v>
                </c:pt>
                <c:pt idx="433">
                  <c:v>118.108368</c:v>
                </c:pt>
                <c:pt idx="434">
                  <c:v>113.463504</c:v>
                </c:pt>
                <c:pt idx="435">
                  <c:v>113.708448</c:v>
                </c:pt>
                <c:pt idx="436">
                  <c:v>115.62264</c:v>
                </c:pt>
                <c:pt idx="437">
                  <c:v>118.28073599999999</c:v>
                </c:pt>
                <c:pt idx="438">
                  <c:v>115.35048</c:v>
                </c:pt>
                <c:pt idx="439">
                  <c:v>115.35048</c:v>
                </c:pt>
                <c:pt idx="440">
                  <c:v>115.35048</c:v>
                </c:pt>
                <c:pt idx="441">
                  <c:v>113.744736</c:v>
                </c:pt>
                <c:pt idx="442">
                  <c:v>109.372032</c:v>
                </c:pt>
                <c:pt idx="443">
                  <c:v>107.630208</c:v>
                </c:pt>
                <c:pt idx="444">
                  <c:v>106.596</c:v>
                </c:pt>
                <c:pt idx="445">
                  <c:v>107.41248</c:v>
                </c:pt>
                <c:pt idx="446">
                  <c:v>107.41248</c:v>
                </c:pt>
                <c:pt idx="447">
                  <c:v>107.41248</c:v>
                </c:pt>
                <c:pt idx="448">
                  <c:v>104.11027200000001</c:v>
                </c:pt>
                <c:pt idx="449">
                  <c:v>100.65384</c:v>
                </c:pt>
                <c:pt idx="450">
                  <c:v>98.658000000000001</c:v>
                </c:pt>
                <c:pt idx="451">
                  <c:v>97.133904000000001</c:v>
                </c:pt>
                <c:pt idx="452">
                  <c:v>95.800319999999999</c:v>
                </c:pt>
                <c:pt idx="453">
                  <c:v>95.800319999999999</c:v>
                </c:pt>
                <c:pt idx="454">
                  <c:v>95.800319999999999</c:v>
                </c:pt>
                <c:pt idx="455">
                  <c:v>95.256</c:v>
                </c:pt>
                <c:pt idx="456">
                  <c:v>96.163200000000003</c:v>
                </c:pt>
                <c:pt idx="457">
                  <c:v>101.860416</c:v>
                </c:pt>
                <c:pt idx="458">
                  <c:v>107.838864</c:v>
                </c:pt>
                <c:pt idx="459">
                  <c:v>108.64627200000001</c:v>
                </c:pt>
                <c:pt idx="460">
                  <c:v>108.64627200000001</c:v>
                </c:pt>
                <c:pt idx="461">
                  <c:v>108.64627200000001</c:v>
                </c:pt>
                <c:pt idx="462">
                  <c:v>107.14032</c:v>
                </c:pt>
                <c:pt idx="463">
                  <c:v>102.89462400000001</c:v>
                </c:pt>
                <c:pt idx="464">
                  <c:v>97.043183999999997</c:v>
                </c:pt>
                <c:pt idx="465">
                  <c:v>97.070400000000006</c:v>
                </c:pt>
                <c:pt idx="466">
                  <c:v>89.341056000000009</c:v>
                </c:pt>
                <c:pt idx="467">
                  <c:v>89.341056000000009</c:v>
                </c:pt>
                <c:pt idx="468">
                  <c:v>89.341056000000009</c:v>
                </c:pt>
                <c:pt idx="469">
                  <c:v>92.833776</c:v>
                </c:pt>
                <c:pt idx="470">
                  <c:v>88.506432000000004</c:v>
                </c:pt>
                <c:pt idx="471">
                  <c:v>88.461072000000001</c:v>
                </c:pt>
                <c:pt idx="472">
                  <c:v>85.503600000000006</c:v>
                </c:pt>
                <c:pt idx="473">
                  <c:v>85.503600000000006</c:v>
                </c:pt>
                <c:pt idx="474">
                  <c:v>85.503600000000006</c:v>
                </c:pt>
                <c:pt idx="475">
                  <c:v>85.503600000000006</c:v>
                </c:pt>
                <c:pt idx="476">
                  <c:v>83.607551999999998</c:v>
                </c:pt>
                <c:pt idx="477">
                  <c:v>82.845503999999991</c:v>
                </c:pt>
                <c:pt idx="478">
                  <c:v>81.702432000000002</c:v>
                </c:pt>
                <c:pt idx="479">
                  <c:v>80.269056000000006</c:v>
                </c:pt>
                <c:pt idx="480">
                  <c:v>80.060400000000001</c:v>
                </c:pt>
                <c:pt idx="481">
                  <c:v>80.060400000000001</c:v>
                </c:pt>
                <c:pt idx="482">
                  <c:v>80.060400000000001</c:v>
                </c:pt>
                <c:pt idx="483">
                  <c:v>76.095935999999995</c:v>
                </c:pt>
                <c:pt idx="484">
                  <c:v>75.587903999999995</c:v>
                </c:pt>
                <c:pt idx="485">
                  <c:v>76.867056000000005</c:v>
                </c:pt>
                <c:pt idx="486">
                  <c:v>78.227856000000003</c:v>
                </c:pt>
                <c:pt idx="487">
                  <c:v>79.407216000000005</c:v>
                </c:pt>
                <c:pt idx="488">
                  <c:v>79.407216000000005</c:v>
                </c:pt>
                <c:pt idx="489">
                  <c:v>79.407216000000005</c:v>
                </c:pt>
                <c:pt idx="490">
                  <c:v>79.162272000000002</c:v>
                </c:pt>
                <c:pt idx="491">
                  <c:v>79.715664000000004</c:v>
                </c:pt>
                <c:pt idx="492">
                  <c:v>77.765184000000005</c:v>
                </c:pt>
                <c:pt idx="493">
                  <c:v>77.910336000000001</c:v>
                </c:pt>
                <c:pt idx="494">
                  <c:v>75.197807999999995</c:v>
                </c:pt>
                <c:pt idx="495">
                  <c:v>75.197807999999995</c:v>
                </c:pt>
              </c:numCache>
            </c:numRef>
          </c:val>
          <c:smooth val="0"/>
          <c:extLst>
            <c:ext xmlns:c16="http://schemas.microsoft.com/office/drawing/2014/chart" uri="{C3380CC4-5D6E-409C-BE32-E72D297353CC}">
              <c16:uniqueId val="{00000002-DCD9-4DE4-BAAC-D5A9C2CFE28E}"/>
            </c:ext>
          </c:extLst>
        </c:ser>
        <c:ser>
          <c:idx val="0"/>
          <c:order val="1"/>
          <c:tx>
            <c:strRef>
              <c:f>ExportArbNAPP!$P$4</c:f>
              <c:strCache>
                <c:ptCount val="1"/>
                <c:pt idx="0">
                  <c:v>NAPP delivered</c:v>
                </c:pt>
              </c:strCache>
            </c:strRef>
          </c:tx>
          <c:spPr>
            <a:ln w="19050">
              <a:solidFill>
                <a:srgbClr val="00162B"/>
              </a:solidFill>
            </a:ln>
          </c:spPr>
          <c:marker>
            <c:symbol val="none"/>
          </c:marker>
          <c:cat>
            <c:numRef>
              <c:f>ExportArbNAPP!$O$5:$O$662</c:f>
              <c:numCache>
                <c:formatCode>m/d/yyyy</c:formatCode>
                <c:ptCount val="658"/>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pt idx="496">
                  <c:v>44323</c:v>
                </c:pt>
                <c:pt idx="497">
                  <c:v>44322</c:v>
                </c:pt>
                <c:pt idx="498">
                  <c:v>44321</c:v>
                </c:pt>
                <c:pt idx="499">
                  <c:v>44320</c:v>
                </c:pt>
                <c:pt idx="500">
                  <c:v>44319</c:v>
                </c:pt>
                <c:pt idx="501">
                  <c:v>44318</c:v>
                </c:pt>
                <c:pt idx="502">
                  <c:v>44317</c:v>
                </c:pt>
                <c:pt idx="503">
                  <c:v>44316</c:v>
                </c:pt>
                <c:pt idx="504">
                  <c:v>44315</c:v>
                </c:pt>
                <c:pt idx="505">
                  <c:v>44314</c:v>
                </c:pt>
                <c:pt idx="506">
                  <c:v>44313</c:v>
                </c:pt>
                <c:pt idx="507">
                  <c:v>44312</c:v>
                </c:pt>
                <c:pt idx="508">
                  <c:v>44311</c:v>
                </c:pt>
                <c:pt idx="509">
                  <c:v>44310</c:v>
                </c:pt>
                <c:pt idx="510">
                  <c:v>44309</c:v>
                </c:pt>
                <c:pt idx="511">
                  <c:v>44308</c:v>
                </c:pt>
                <c:pt idx="512">
                  <c:v>44307</c:v>
                </c:pt>
                <c:pt idx="513">
                  <c:v>44306</c:v>
                </c:pt>
                <c:pt idx="514">
                  <c:v>44305</c:v>
                </c:pt>
                <c:pt idx="515">
                  <c:v>44304</c:v>
                </c:pt>
                <c:pt idx="516">
                  <c:v>44303</c:v>
                </c:pt>
                <c:pt idx="517">
                  <c:v>44302</c:v>
                </c:pt>
                <c:pt idx="518">
                  <c:v>44301</c:v>
                </c:pt>
                <c:pt idx="519">
                  <c:v>44300</c:v>
                </c:pt>
                <c:pt idx="520">
                  <c:v>44299</c:v>
                </c:pt>
                <c:pt idx="521">
                  <c:v>44298</c:v>
                </c:pt>
                <c:pt idx="522">
                  <c:v>44297</c:v>
                </c:pt>
                <c:pt idx="523">
                  <c:v>44296</c:v>
                </c:pt>
                <c:pt idx="524">
                  <c:v>44295</c:v>
                </c:pt>
                <c:pt idx="525">
                  <c:v>44294</c:v>
                </c:pt>
                <c:pt idx="526">
                  <c:v>44293</c:v>
                </c:pt>
                <c:pt idx="527">
                  <c:v>44292</c:v>
                </c:pt>
                <c:pt idx="528">
                  <c:v>44291</c:v>
                </c:pt>
                <c:pt idx="529">
                  <c:v>44290</c:v>
                </c:pt>
                <c:pt idx="530">
                  <c:v>44289</c:v>
                </c:pt>
                <c:pt idx="531">
                  <c:v>44288</c:v>
                </c:pt>
                <c:pt idx="532">
                  <c:v>44287</c:v>
                </c:pt>
                <c:pt idx="533">
                  <c:v>44286</c:v>
                </c:pt>
                <c:pt idx="534">
                  <c:v>44285</c:v>
                </c:pt>
                <c:pt idx="535">
                  <c:v>44284</c:v>
                </c:pt>
                <c:pt idx="536">
                  <c:v>44283</c:v>
                </c:pt>
                <c:pt idx="537">
                  <c:v>44282</c:v>
                </c:pt>
                <c:pt idx="538">
                  <c:v>44281</c:v>
                </c:pt>
                <c:pt idx="539">
                  <c:v>44280</c:v>
                </c:pt>
                <c:pt idx="540">
                  <c:v>44279</c:v>
                </c:pt>
                <c:pt idx="541">
                  <c:v>44278</c:v>
                </c:pt>
                <c:pt idx="542">
                  <c:v>44277</c:v>
                </c:pt>
                <c:pt idx="543">
                  <c:v>44276</c:v>
                </c:pt>
                <c:pt idx="544">
                  <c:v>44275</c:v>
                </c:pt>
                <c:pt idx="545">
                  <c:v>44274</c:v>
                </c:pt>
                <c:pt idx="546">
                  <c:v>44273</c:v>
                </c:pt>
                <c:pt idx="547">
                  <c:v>44272</c:v>
                </c:pt>
                <c:pt idx="548">
                  <c:v>44271</c:v>
                </c:pt>
                <c:pt idx="549">
                  <c:v>44270</c:v>
                </c:pt>
                <c:pt idx="550">
                  <c:v>44269</c:v>
                </c:pt>
                <c:pt idx="551">
                  <c:v>44268</c:v>
                </c:pt>
                <c:pt idx="552">
                  <c:v>44267</c:v>
                </c:pt>
                <c:pt idx="553">
                  <c:v>44266</c:v>
                </c:pt>
                <c:pt idx="554">
                  <c:v>44265</c:v>
                </c:pt>
                <c:pt idx="555">
                  <c:v>44264</c:v>
                </c:pt>
                <c:pt idx="556">
                  <c:v>44263</c:v>
                </c:pt>
                <c:pt idx="557">
                  <c:v>44262</c:v>
                </c:pt>
                <c:pt idx="558">
                  <c:v>44261</c:v>
                </c:pt>
                <c:pt idx="559">
                  <c:v>44260</c:v>
                </c:pt>
                <c:pt idx="560">
                  <c:v>44259</c:v>
                </c:pt>
                <c:pt idx="561">
                  <c:v>44258</c:v>
                </c:pt>
                <c:pt idx="562">
                  <c:v>44257</c:v>
                </c:pt>
                <c:pt idx="563">
                  <c:v>44256</c:v>
                </c:pt>
                <c:pt idx="564">
                  <c:v>44255</c:v>
                </c:pt>
                <c:pt idx="565">
                  <c:v>44254</c:v>
                </c:pt>
                <c:pt idx="566">
                  <c:v>44253</c:v>
                </c:pt>
                <c:pt idx="567">
                  <c:v>44252</c:v>
                </c:pt>
                <c:pt idx="568">
                  <c:v>44251</c:v>
                </c:pt>
                <c:pt idx="569">
                  <c:v>44250</c:v>
                </c:pt>
                <c:pt idx="570">
                  <c:v>44249</c:v>
                </c:pt>
                <c:pt idx="571">
                  <c:v>44248</c:v>
                </c:pt>
                <c:pt idx="572">
                  <c:v>44247</c:v>
                </c:pt>
                <c:pt idx="573">
                  <c:v>44246</c:v>
                </c:pt>
                <c:pt idx="574">
                  <c:v>44245</c:v>
                </c:pt>
                <c:pt idx="575">
                  <c:v>44244</c:v>
                </c:pt>
                <c:pt idx="576">
                  <c:v>44243</c:v>
                </c:pt>
                <c:pt idx="577">
                  <c:v>44242</c:v>
                </c:pt>
                <c:pt idx="578">
                  <c:v>44241</c:v>
                </c:pt>
                <c:pt idx="579">
                  <c:v>44240</c:v>
                </c:pt>
                <c:pt idx="580">
                  <c:v>44239</c:v>
                </c:pt>
                <c:pt idx="581">
                  <c:v>44238</c:v>
                </c:pt>
                <c:pt idx="582">
                  <c:v>44237</c:v>
                </c:pt>
                <c:pt idx="583">
                  <c:v>44236</c:v>
                </c:pt>
                <c:pt idx="584">
                  <c:v>44235</c:v>
                </c:pt>
                <c:pt idx="585">
                  <c:v>44234</c:v>
                </c:pt>
                <c:pt idx="586">
                  <c:v>44233</c:v>
                </c:pt>
                <c:pt idx="587">
                  <c:v>44232</c:v>
                </c:pt>
                <c:pt idx="588">
                  <c:v>44231</c:v>
                </c:pt>
                <c:pt idx="589">
                  <c:v>44230</c:v>
                </c:pt>
                <c:pt idx="590">
                  <c:v>44229</c:v>
                </c:pt>
                <c:pt idx="591">
                  <c:v>44228</c:v>
                </c:pt>
                <c:pt idx="592">
                  <c:v>44227</c:v>
                </c:pt>
                <c:pt idx="593">
                  <c:v>44226</c:v>
                </c:pt>
                <c:pt idx="594">
                  <c:v>44225</c:v>
                </c:pt>
                <c:pt idx="595">
                  <c:v>44224</c:v>
                </c:pt>
                <c:pt idx="596">
                  <c:v>44223</c:v>
                </c:pt>
                <c:pt idx="597">
                  <c:v>44222</c:v>
                </c:pt>
                <c:pt idx="598">
                  <c:v>44221</c:v>
                </c:pt>
                <c:pt idx="599">
                  <c:v>44220</c:v>
                </c:pt>
                <c:pt idx="600">
                  <c:v>44219</c:v>
                </c:pt>
                <c:pt idx="601">
                  <c:v>44218</c:v>
                </c:pt>
                <c:pt idx="602">
                  <c:v>44217</c:v>
                </c:pt>
                <c:pt idx="603">
                  <c:v>44216</c:v>
                </c:pt>
                <c:pt idx="604">
                  <c:v>44215</c:v>
                </c:pt>
                <c:pt idx="605">
                  <c:v>44214</c:v>
                </c:pt>
                <c:pt idx="606">
                  <c:v>44213</c:v>
                </c:pt>
                <c:pt idx="607">
                  <c:v>44212</c:v>
                </c:pt>
                <c:pt idx="608">
                  <c:v>44211</c:v>
                </c:pt>
                <c:pt idx="609">
                  <c:v>44210</c:v>
                </c:pt>
                <c:pt idx="610">
                  <c:v>44209</c:v>
                </c:pt>
                <c:pt idx="611">
                  <c:v>44208</c:v>
                </c:pt>
                <c:pt idx="612">
                  <c:v>44207</c:v>
                </c:pt>
                <c:pt idx="613">
                  <c:v>44206</c:v>
                </c:pt>
                <c:pt idx="614">
                  <c:v>44205</c:v>
                </c:pt>
                <c:pt idx="615">
                  <c:v>44204</c:v>
                </c:pt>
                <c:pt idx="616">
                  <c:v>44203</c:v>
                </c:pt>
                <c:pt idx="617">
                  <c:v>44202</c:v>
                </c:pt>
                <c:pt idx="618">
                  <c:v>44201</c:v>
                </c:pt>
                <c:pt idx="619">
                  <c:v>44200</c:v>
                </c:pt>
                <c:pt idx="620">
                  <c:v>44199</c:v>
                </c:pt>
                <c:pt idx="621">
                  <c:v>44198</c:v>
                </c:pt>
                <c:pt idx="622">
                  <c:v>44197</c:v>
                </c:pt>
                <c:pt idx="623">
                  <c:v>44196</c:v>
                </c:pt>
                <c:pt idx="624">
                  <c:v>44195</c:v>
                </c:pt>
                <c:pt idx="625">
                  <c:v>44194</c:v>
                </c:pt>
                <c:pt idx="626">
                  <c:v>44193</c:v>
                </c:pt>
                <c:pt idx="627">
                  <c:v>44192</c:v>
                </c:pt>
                <c:pt idx="628">
                  <c:v>44191</c:v>
                </c:pt>
                <c:pt idx="629">
                  <c:v>44190</c:v>
                </c:pt>
                <c:pt idx="630">
                  <c:v>44189</c:v>
                </c:pt>
                <c:pt idx="631">
                  <c:v>44188</c:v>
                </c:pt>
                <c:pt idx="632">
                  <c:v>44187</c:v>
                </c:pt>
                <c:pt idx="633">
                  <c:v>44186</c:v>
                </c:pt>
                <c:pt idx="634">
                  <c:v>44185</c:v>
                </c:pt>
                <c:pt idx="635">
                  <c:v>44184</c:v>
                </c:pt>
                <c:pt idx="636">
                  <c:v>44183</c:v>
                </c:pt>
                <c:pt idx="637">
                  <c:v>44182</c:v>
                </c:pt>
                <c:pt idx="638">
                  <c:v>44181</c:v>
                </c:pt>
                <c:pt idx="639">
                  <c:v>44180</c:v>
                </c:pt>
                <c:pt idx="640">
                  <c:v>44179</c:v>
                </c:pt>
                <c:pt idx="641">
                  <c:v>44178</c:v>
                </c:pt>
                <c:pt idx="642">
                  <c:v>44177</c:v>
                </c:pt>
                <c:pt idx="643">
                  <c:v>44176</c:v>
                </c:pt>
                <c:pt idx="644">
                  <c:v>44175</c:v>
                </c:pt>
                <c:pt idx="645">
                  <c:v>44174</c:v>
                </c:pt>
                <c:pt idx="646">
                  <c:v>44173</c:v>
                </c:pt>
                <c:pt idx="647">
                  <c:v>44172</c:v>
                </c:pt>
                <c:pt idx="648">
                  <c:v>44171</c:v>
                </c:pt>
                <c:pt idx="649">
                  <c:v>44170</c:v>
                </c:pt>
                <c:pt idx="650">
                  <c:v>44169</c:v>
                </c:pt>
                <c:pt idx="651">
                  <c:v>44168</c:v>
                </c:pt>
                <c:pt idx="652">
                  <c:v>44167</c:v>
                </c:pt>
                <c:pt idx="653">
                  <c:v>44166</c:v>
                </c:pt>
                <c:pt idx="654">
                  <c:v>44165</c:v>
                </c:pt>
                <c:pt idx="655">
                  <c:v>44164</c:v>
                </c:pt>
                <c:pt idx="656">
                  <c:v>44163</c:v>
                </c:pt>
                <c:pt idx="657">
                  <c:v>44162</c:v>
                </c:pt>
              </c:numCache>
            </c:numRef>
          </c:cat>
          <c:val>
            <c:numRef>
              <c:f>ExportArbNAPP!$P$5:$P$500</c:f>
              <c:numCache>
                <c:formatCode>#,##0.00</c:formatCode>
                <c:ptCount val="496"/>
                <c:pt idx="0">
                  <c:v>193.39135756906651</c:v>
                </c:pt>
                <c:pt idx="1">
                  <c:v>193.39135756906651</c:v>
                </c:pt>
                <c:pt idx="2">
                  <c:v>193.39135756906651</c:v>
                </c:pt>
                <c:pt idx="3">
                  <c:v>193.39135756906651</c:v>
                </c:pt>
                <c:pt idx="4">
                  <c:v>193.39135756906651</c:v>
                </c:pt>
                <c:pt idx="5">
                  <c:v>193.39135756906651</c:v>
                </c:pt>
                <c:pt idx="6">
                  <c:v>193.39135756906651</c:v>
                </c:pt>
                <c:pt idx="7">
                  <c:v>189.50119935599548</c:v>
                </c:pt>
                <c:pt idx="8">
                  <c:v>189.50119935599548</c:v>
                </c:pt>
                <c:pt idx="9">
                  <c:v>189.50119935599548</c:v>
                </c:pt>
                <c:pt idx="10">
                  <c:v>189.50119935599548</c:v>
                </c:pt>
                <c:pt idx="11">
                  <c:v>189.50119935599548</c:v>
                </c:pt>
                <c:pt idx="12">
                  <c:v>189.50119935599548</c:v>
                </c:pt>
                <c:pt idx="13">
                  <c:v>189.50119935599548</c:v>
                </c:pt>
                <c:pt idx="14">
                  <c:v>191.79351866475542</c:v>
                </c:pt>
                <c:pt idx="15">
                  <c:v>191.79351866475542</c:v>
                </c:pt>
                <c:pt idx="16">
                  <c:v>191.79351866475542</c:v>
                </c:pt>
                <c:pt idx="17">
                  <c:v>191.79351866475542</c:v>
                </c:pt>
                <c:pt idx="18">
                  <c:v>191.79351866475542</c:v>
                </c:pt>
                <c:pt idx="19">
                  <c:v>191.79351866475542</c:v>
                </c:pt>
                <c:pt idx="20">
                  <c:v>191.79351866475542</c:v>
                </c:pt>
                <c:pt idx="21">
                  <c:v>189.95492027152079</c:v>
                </c:pt>
                <c:pt idx="22">
                  <c:v>189.95492027152079</c:v>
                </c:pt>
                <c:pt idx="23">
                  <c:v>189.95492027152079</c:v>
                </c:pt>
                <c:pt idx="24">
                  <c:v>189.95492027152079</c:v>
                </c:pt>
                <c:pt idx="25">
                  <c:v>189.95492027152079</c:v>
                </c:pt>
                <c:pt idx="26">
                  <c:v>189.95492027152079</c:v>
                </c:pt>
                <c:pt idx="27">
                  <c:v>189.95492027152079</c:v>
                </c:pt>
                <c:pt idx="28">
                  <c:v>188.42335697342352</c:v>
                </c:pt>
                <c:pt idx="29">
                  <c:v>188.42335697342352</c:v>
                </c:pt>
                <c:pt idx="30">
                  <c:v>188.42335697342352</c:v>
                </c:pt>
                <c:pt idx="31">
                  <c:v>188.42335697342352</c:v>
                </c:pt>
                <c:pt idx="32">
                  <c:v>188.42335697342352</c:v>
                </c:pt>
                <c:pt idx="33">
                  <c:v>188.42335697342352</c:v>
                </c:pt>
                <c:pt idx="34">
                  <c:v>188.42335697342352</c:v>
                </c:pt>
                <c:pt idx="35">
                  <c:v>189.86697159976782</c:v>
                </c:pt>
                <c:pt idx="36">
                  <c:v>189.86697159976782</c:v>
                </c:pt>
                <c:pt idx="37">
                  <c:v>189.86697159976782</c:v>
                </c:pt>
                <c:pt idx="38">
                  <c:v>189.86697159976782</c:v>
                </c:pt>
                <c:pt idx="39">
                  <c:v>189.86697159976782</c:v>
                </c:pt>
                <c:pt idx="40">
                  <c:v>189.86697159976782</c:v>
                </c:pt>
                <c:pt idx="41">
                  <c:v>189.86697159976782</c:v>
                </c:pt>
                <c:pt idx="42">
                  <c:v>193.95265855628958</c:v>
                </c:pt>
                <c:pt idx="43">
                  <c:v>193.95265855628958</c:v>
                </c:pt>
                <c:pt idx="44">
                  <c:v>193.95265855628958</c:v>
                </c:pt>
                <c:pt idx="45">
                  <c:v>193.95265855628958</c:v>
                </c:pt>
                <c:pt idx="46">
                  <c:v>193.95265855628958</c:v>
                </c:pt>
                <c:pt idx="47">
                  <c:v>193.95265855628958</c:v>
                </c:pt>
                <c:pt idx="48">
                  <c:v>193.95265855628958</c:v>
                </c:pt>
                <c:pt idx="49">
                  <c:v>189.63767684841204</c:v>
                </c:pt>
                <c:pt idx="50">
                  <c:v>189.63767684841204</c:v>
                </c:pt>
                <c:pt idx="51">
                  <c:v>189.63767684841204</c:v>
                </c:pt>
                <c:pt idx="52">
                  <c:v>189.63767684841204</c:v>
                </c:pt>
                <c:pt idx="53">
                  <c:v>189.63767684841204</c:v>
                </c:pt>
                <c:pt idx="54">
                  <c:v>189.63767684841204</c:v>
                </c:pt>
                <c:pt idx="55">
                  <c:v>189.63767684841204</c:v>
                </c:pt>
                <c:pt idx="56">
                  <c:v>195.06285348597066</c:v>
                </c:pt>
                <c:pt idx="57">
                  <c:v>195.06285348597066</c:v>
                </c:pt>
                <c:pt idx="58">
                  <c:v>195.06285348597066</c:v>
                </c:pt>
                <c:pt idx="59">
                  <c:v>195.06285348597066</c:v>
                </c:pt>
                <c:pt idx="60">
                  <c:v>195.06285348597066</c:v>
                </c:pt>
                <c:pt idx="61">
                  <c:v>195.06285348597066</c:v>
                </c:pt>
                <c:pt idx="62">
                  <c:v>195.06285348597066</c:v>
                </c:pt>
                <c:pt idx="63">
                  <c:v>191.49402202719688</c:v>
                </c:pt>
                <c:pt idx="64">
                  <c:v>191.49402202719688</c:v>
                </c:pt>
                <c:pt idx="65">
                  <c:v>191.49402202719688</c:v>
                </c:pt>
                <c:pt idx="66">
                  <c:v>191.49402202719688</c:v>
                </c:pt>
                <c:pt idx="67">
                  <c:v>191.49402202719688</c:v>
                </c:pt>
                <c:pt idx="68">
                  <c:v>191.49402202719688</c:v>
                </c:pt>
                <c:pt idx="69">
                  <c:v>191.49402202719688</c:v>
                </c:pt>
                <c:pt idx="70">
                  <c:v>180.64885144166504</c:v>
                </c:pt>
                <c:pt idx="71">
                  <c:v>180.64885144166504</c:v>
                </c:pt>
                <c:pt idx="72">
                  <c:v>180.64885144166504</c:v>
                </c:pt>
                <c:pt idx="73">
                  <c:v>180.64885144166504</c:v>
                </c:pt>
                <c:pt idx="74">
                  <c:v>180.64885144166504</c:v>
                </c:pt>
                <c:pt idx="75">
                  <c:v>180.64885144166504</c:v>
                </c:pt>
                <c:pt idx="76">
                  <c:v>180.64885144166504</c:v>
                </c:pt>
                <c:pt idx="77">
                  <c:v>186.43246972563244</c:v>
                </c:pt>
                <c:pt idx="78">
                  <c:v>186.43246972563244</c:v>
                </c:pt>
                <c:pt idx="79">
                  <c:v>186.43246972563244</c:v>
                </c:pt>
                <c:pt idx="80">
                  <c:v>186.43246972563244</c:v>
                </c:pt>
                <c:pt idx="81">
                  <c:v>186.43246972563244</c:v>
                </c:pt>
                <c:pt idx="82">
                  <c:v>186.43246972563244</c:v>
                </c:pt>
                <c:pt idx="83">
                  <c:v>186.43246972563244</c:v>
                </c:pt>
                <c:pt idx="84">
                  <c:v>164.18192692574277</c:v>
                </c:pt>
                <c:pt idx="85">
                  <c:v>164.18192692574277</c:v>
                </c:pt>
                <c:pt idx="86">
                  <c:v>164.18192692574277</c:v>
                </c:pt>
                <c:pt idx="87">
                  <c:v>164.18192692574277</c:v>
                </c:pt>
                <c:pt idx="88">
                  <c:v>164.18192692574277</c:v>
                </c:pt>
                <c:pt idx="89">
                  <c:v>164.18192692574277</c:v>
                </c:pt>
                <c:pt idx="90">
                  <c:v>164.18192692574277</c:v>
                </c:pt>
                <c:pt idx="91">
                  <c:v>159.88327854261931</c:v>
                </c:pt>
                <c:pt idx="92">
                  <c:v>159.88327854261931</c:v>
                </c:pt>
                <c:pt idx="93">
                  <c:v>159.88327854261931</c:v>
                </c:pt>
                <c:pt idx="94">
                  <c:v>159.88327854261931</c:v>
                </c:pt>
                <c:pt idx="95">
                  <c:v>159.88327854261931</c:v>
                </c:pt>
                <c:pt idx="96">
                  <c:v>159.88327854261931</c:v>
                </c:pt>
                <c:pt idx="97">
                  <c:v>159.88327854261931</c:v>
                </c:pt>
                <c:pt idx="98">
                  <c:v>163.24794344196661</c:v>
                </c:pt>
                <c:pt idx="99">
                  <c:v>163.24794344196661</c:v>
                </c:pt>
                <c:pt idx="100">
                  <c:v>163.24794344196661</c:v>
                </c:pt>
                <c:pt idx="101">
                  <c:v>163.24794344196661</c:v>
                </c:pt>
                <c:pt idx="102">
                  <c:v>163.24794344196661</c:v>
                </c:pt>
                <c:pt idx="103">
                  <c:v>163.24794344196661</c:v>
                </c:pt>
                <c:pt idx="104">
                  <c:v>163.24794344196661</c:v>
                </c:pt>
                <c:pt idx="105">
                  <c:v>158.97709312116513</c:v>
                </c:pt>
                <c:pt idx="106">
                  <c:v>158.97709312116513</c:v>
                </c:pt>
                <c:pt idx="107">
                  <c:v>156.67525309855975</c:v>
                </c:pt>
                <c:pt idx="108">
                  <c:v>156.67525309855975</c:v>
                </c:pt>
                <c:pt idx="109">
                  <c:v>156.67525309855975</c:v>
                </c:pt>
                <c:pt idx="110">
                  <c:v>156.67525309855975</c:v>
                </c:pt>
                <c:pt idx="111">
                  <c:v>156.67525309855975</c:v>
                </c:pt>
                <c:pt idx="112">
                  <c:v>158.5045854710205</c:v>
                </c:pt>
                <c:pt idx="113">
                  <c:v>158.5045854710205</c:v>
                </c:pt>
                <c:pt idx="114">
                  <c:v>158.5045854710205</c:v>
                </c:pt>
                <c:pt idx="115">
                  <c:v>158.5045854710205</c:v>
                </c:pt>
                <c:pt idx="116">
                  <c:v>158.5045854710205</c:v>
                </c:pt>
                <c:pt idx="117">
                  <c:v>158.5045854710205</c:v>
                </c:pt>
                <c:pt idx="118">
                  <c:v>158.5045854710205</c:v>
                </c:pt>
                <c:pt idx="119">
                  <c:v>147.91556539196912</c:v>
                </c:pt>
                <c:pt idx="120">
                  <c:v>147.91556539196912</c:v>
                </c:pt>
                <c:pt idx="121">
                  <c:v>147.91556539196912</c:v>
                </c:pt>
                <c:pt idx="122">
                  <c:v>147.91556539196912</c:v>
                </c:pt>
                <c:pt idx="123">
                  <c:v>147.91556539196912</c:v>
                </c:pt>
                <c:pt idx="124">
                  <c:v>147.91556539196912</c:v>
                </c:pt>
                <c:pt idx="125">
                  <c:v>147.91556539196912</c:v>
                </c:pt>
                <c:pt idx="126">
                  <c:v>148.17407166644287</c:v>
                </c:pt>
                <c:pt idx="127">
                  <c:v>148.17407166644287</c:v>
                </c:pt>
                <c:pt idx="128">
                  <c:v>148.17407166644287</c:v>
                </c:pt>
                <c:pt idx="129">
                  <c:v>148.17407166644287</c:v>
                </c:pt>
                <c:pt idx="130">
                  <c:v>148.17407166644287</c:v>
                </c:pt>
                <c:pt idx="131">
                  <c:v>148.17407166644287</c:v>
                </c:pt>
                <c:pt idx="132">
                  <c:v>148.17407166644287</c:v>
                </c:pt>
                <c:pt idx="133">
                  <c:v>144.17020838489128</c:v>
                </c:pt>
                <c:pt idx="134">
                  <c:v>144.17020838489128</c:v>
                </c:pt>
                <c:pt idx="135">
                  <c:v>144.17020838489128</c:v>
                </c:pt>
                <c:pt idx="136">
                  <c:v>144.17020838489128</c:v>
                </c:pt>
                <c:pt idx="137">
                  <c:v>144.17020838489128</c:v>
                </c:pt>
                <c:pt idx="138">
                  <c:v>144.17020838489128</c:v>
                </c:pt>
                <c:pt idx="139">
                  <c:v>144.17020838489128</c:v>
                </c:pt>
                <c:pt idx="140">
                  <c:v>145.79772996591893</c:v>
                </c:pt>
                <c:pt idx="141">
                  <c:v>145.79772996591893</c:v>
                </c:pt>
                <c:pt idx="142">
                  <c:v>145.79772996591893</c:v>
                </c:pt>
                <c:pt idx="143">
                  <c:v>145.79772996591893</c:v>
                </c:pt>
                <c:pt idx="144">
                  <c:v>145.79772996591893</c:v>
                </c:pt>
                <c:pt idx="145">
                  <c:v>145.79772996591893</c:v>
                </c:pt>
                <c:pt idx="146">
                  <c:v>145.79772996591893</c:v>
                </c:pt>
                <c:pt idx="147">
                  <c:v>145.73632294689145</c:v>
                </c:pt>
                <c:pt idx="148">
                  <c:v>145.73632294689145</c:v>
                </c:pt>
                <c:pt idx="149">
                  <c:v>145.73632294689145</c:v>
                </c:pt>
                <c:pt idx="150">
                  <c:v>145.73632294689145</c:v>
                </c:pt>
                <c:pt idx="151">
                  <c:v>145.73632294689145</c:v>
                </c:pt>
                <c:pt idx="152">
                  <c:v>145.73632294689145</c:v>
                </c:pt>
                <c:pt idx="153">
                  <c:v>145.73632294689145</c:v>
                </c:pt>
                <c:pt idx="154">
                  <c:v>137.56589134104533</c:v>
                </c:pt>
                <c:pt idx="155">
                  <c:v>137.56589134104533</c:v>
                </c:pt>
                <c:pt idx="156">
                  <c:v>137.56589134104533</c:v>
                </c:pt>
                <c:pt idx="157">
                  <c:v>137.56589134104533</c:v>
                </c:pt>
                <c:pt idx="158">
                  <c:v>137.56589134104533</c:v>
                </c:pt>
                <c:pt idx="159">
                  <c:v>137.56589134104533</c:v>
                </c:pt>
                <c:pt idx="160">
                  <c:v>137.56589134104533</c:v>
                </c:pt>
                <c:pt idx="161">
                  <c:v>141.52687964511739</c:v>
                </c:pt>
                <c:pt idx="162">
                  <c:v>141.52687964511739</c:v>
                </c:pt>
                <c:pt idx="163">
                  <c:v>141.52687964511739</c:v>
                </c:pt>
                <c:pt idx="164">
                  <c:v>141.52687964511739</c:v>
                </c:pt>
                <c:pt idx="165">
                  <c:v>139.84348471266847</c:v>
                </c:pt>
                <c:pt idx="166">
                  <c:v>139.84348471266847</c:v>
                </c:pt>
                <c:pt idx="167">
                  <c:v>139.84348471266847</c:v>
                </c:pt>
                <c:pt idx="168">
                  <c:v>141.35101917723318</c:v>
                </c:pt>
                <c:pt idx="169">
                  <c:v>141.35101917723318</c:v>
                </c:pt>
                <c:pt idx="170">
                  <c:v>141.35101917723318</c:v>
                </c:pt>
                <c:pt idx="171">
                  <c:v>141.35101917723318</c:v>
                </c:pt>
                <c:pt idx="172">
                  <c:v>141.35101917723318</c:v>
                </c:pt>
                <c:pt idx="173">
                  <c:v>141.35101917723318</c:v>
                </c:pt>
                <c:pt idx="174">
                  <c:v>141.35101917723318</c:v>
                </c:pt>
                <c:pt idx="175">
                  <c:v>143.26248932706318</c:v>
                </c:pt>
                <c:pt idx="176">
                  <c:v>143.26248932706318</c:v>
                </c:pt>
                <c:pt idx="177">
                  <c:v>143.26248932706318</c:v>
                </c:pt>
                <c:pt idx="178">
                  <c:v>143.26248932706318</c:v>
                </c:pt>
                <c:pt idx="179">
                  <c:v>143.26248932706318</c:v>
                </c:pt>
                <c:pt idx="180">
                  <c:v>143.26248932706318</c:v>
                </c:pt>
                <c:pt idx="181">
                  <c:v>143.26248932706318</c:v>
                </c:pt>
                <c:pt idx="182">
                  <c:v>143.83651146145053</c:v>
                </c:pt>
                <c:pt idx="183">
                  <c:v>143.83651146145053</c:v>
                </c:pt>
                <c:pt idx="184">
                  <c:v>143.83651146145053</c:v>
                </c:pt>
                <c:pt idx="185">
                  <c:v>143.83651146145053</c:v>
                </c:pt>
                <c:pt idx="186">
                  <c:v>143.83651146145053</c:v>
                </c:pt>
                <c:pt idx="187">
                  <c:v>143.83651146145053</c:v>
                </c:pt>
                <c:pt idx="188">
                  <c:v>143.83651146145053</c:v>
                </c:pt>
                <c:pt idx="189">
                  <c:v>133.2460779216031</c:v>
                </c:pt>
                <c:pt idx="190">
                  <c:v>133.2460779216031</c:v>
                </c:pt>
                <c:pt idx="191">
                  <c:v>133.2460779216031</c:v>
                </c:pt>
                <c:pt idx="192">
                  <c:v>133.2460779216031</c:v>
                </c:pt>
                <c:pt idx="193">
                  <c:v>133.2460779216031</c:v>
                </c:pt>
                <c:pt idx="194">
                  <c:v>133.2460779216031</c:v>
                </c:pt>
                <c:pt idx="195">
                  <c:v>133.2460779216031</c:v>
                </c:pt>
                <c:pt idx="196">
                  <c:v>106.81687385505286</c:v>
                </c:pt>
                <c:pt idx="197">
                  <c:v>106.81687385505286</c:v>
                </c:pt>
                <c:pt idx="198">
                  <c:v>106.81687385505286</c:v>
                </c:pt>
                <c:pt idx="199">
                  <c:v>106.81687385505286</c:v>
                </c:pt>
                <c:pt idx="200">
                  <c:v>106.81687385505286</c:v>
                </c:pt>
                <c:pt idx="201">
                  <c:v>106.81687385505286</c:v>
                </c:pt>
                <c:pt idx="202">
                  <c:v>106.81687385505286</c:v>
                </c:pt>
                <c:pt idx="203">
                  <c:v>106.24096710627079</c:v>
                </c:pt>
                <c:pt idx="204">
                  <c:v>106.24096710627079</c:v>
                </c:pt>
                <c:pt idx="205">
                  <c:v>106.24096710627079</c:v>
                </c:pt>
                <c:pt idx="206">
                  <c:v>106.24096710627079</c:v>
                </c:pt>
                <c:pt idx="207">
                  <c:v>106.24096710627079</c:v>
                </c:pt>
                <c:pt idx="208">
                  <c:v>106.24096710627079</c:v>
                </c:pt>
                <c:pt idx="209">
                  <c:v>106.24096710627079</c:v>
                </c:pt>
                <c:pt idx="210">
                  <c:v>108.65044660990168</c:v>
                </c:pt>
                <c:pt idx="211">
                  <c:v>108.65044660990168</c:v>
                </c:pt>
                <c:pt idx="212">
                  <c:v>108.65044660990168</c:v>
                </c:pt>
                <c:pt idx="213">
                  <c:v>108.65044660990168</c:v>
                </c:pt>
                <c:pt idx="214">
                  <c:v>108.65044660990168</c:v>
                </c:pt>
                <c:pt idx="215">
                  <c:v>108.65044660990168</c:v>
                </c:pt>
                <c:pt idx="216">
                  <c:v>108.65044660990168</c:v>
                </c:pt>
                <c:pt idx="217">
                  <c:v>106.66029380909276</c:v>
                </c:pt>
                <c:pt idx="218">
                  <c:v>106.66029380909276</c:v>
                </c:pt>
                <c:pt idx="219">
                  <c:v>106.66029380909276</c:v>
                </c:pt>
                <c:pt idx="220">
                  <c:v>106.66029380909276</c:v>
                </c:pt>
                <c:pt idx="221">
                  <c:v>106.66029380909276</c:v>
                </c:pt>
                <c:pt idx="222">
                  <c:v>106.66029380909276</c:v>
                </c:pt>
                <c:pt idx="223">
                  <c:v>106.66029380909276</c:v>
                </c:pt>
                <c:pt idx="224">
                  <c:v>108.89811635160589</c:v>
                </c:pt>
                <c:pt idx="225">
                  <c:v>108.89811635160589</c:v>
                </c:pt>
                <c:pt idx="226">
                  <c:v>108.89811635160589</c:v>
                </c:pt>
                <c:pt idx="227">
                  <c:v>108.89811635160589</c:v>
                </c:pt>
                <c:pt idx="228">
                  <c:v>108.89811635160589</c:v>
                </c:pt>
                <c:pt idx="229">
                  <c:v>108.89811635160589</c:v>
                </c:pt>
                <c:pt idx="230">
                  <c:v>108.89811635160589</c:v>
                </c:pt>
                <c:pt idx="231">
                  <c:v>107.21845377232466</c:v>
                </c:pt>
                <c:pt idx="232">
                  <c:v>107.21845377232466</c:v>
                </c:pt>
                <c:pt idx="233">
                  <c:v>107.21845377232466</c:v>
                </c:pt>
                <c:pt idx="234">
                  <c:v>107.21845377232466</c:v>
                </c:pt>
                <c:pt idx="235">
                  <c:v>107.21845377232466</c:v>
                </c:pt>
                <c:pt idx="236">
                  <c:v>107.21845377232466</c:v>
                </c:pt>
                <c:pt idx="237">
                  <c:v>107.21845377232466</c:v>
                </c:pt>
                <c:pt idx="238">
                  <c:v>104.72133969933999</c:v>
                </c:pt>
                <c:pt idx="239">
                  <c:v>104.72133969933999</c:v>
                </c:pt>
                <c:pt idx="240">
                  <c:v>104.72133969933999</c:v>
                </c:pt>
                <c:pt idx="241">
                  <c:v>104.72133969933999</c:v>
                </c:pt>
                <c:pt idx="242">
                  <c:v>104.72133969933999</c:v>
                </c:pt>
                <c:pt idx="243">
                  <c:v>104.72133969933999</c:v>
                </c:pt>
                <c:pt idx="244">
                  <c:v>104.72133969933999</c:v>
                </c:pt>
                <c:pt idx="245">
                  <c:v>107.08401794550234</c:v>
                </c:pt>
                <c:pt idx="246">
                  <c:v>107.08401794550234</c:v>
                </c:pt>
                <c:pt idx="247">
                  <c:v>107.08401794550234</c:v>
                </c:pt>
                <c:pt idx="248">
                  <c:v>107.08401794550234</c:v>
                </c:pt>
                <c:pt idx="249">
                  <c:v>105.55365891600331</c:v>
                </c:pt>
                <c:pt idx="250">
                  <c:v>105.55365891600331</c:v>
                </c:pt>
                <c:pt idx="251">
                  <c:v>105.55365891600331</c:v>
                </c:pt>
                <c:pt idx="252">
                  <c:v>107.58433092629839</c:v>
                </c:pt>
                <c:pt idx="253">
                  <c:v>107.58433092629839</c:v>
                </c:pt>
                <c:pt idx="254">
                  <c:v>107.58433092629839</c:v>
                </c:pt>
                <c:pt idx="255">
                  <c:v>107.58433092629839</c:v>
                </c:pt>
                <c:pt idx="256">
                  <c:v>107.58433092629839</c:v>
                </c:pt>
                <c:pt idx="257">
                  <c:v>107.58433092629839</c:v>
                </c:pt>
                <c:pt idx="258">
                  <c:v>107.58433092629839</c:v>
                </c:pt>
                <c:pt idx="259">
                  <c:v>116.45395447258021</c:v>
                </c:pt>
                <c:pt idx="260">
                  <c:v>116.45395447258021</c:v>
                </c:pt>
                <c:pt idx="261">
                  <c:v>116.45395447258021</c:v>
                </c:pt>
                <c:pt idx="262">
                  <c:v>116.45395447258021</c:v>
                </c:pt>
                <c:pt idx="263">
                  <c:v>116.45395447258021</c:v>
                </c:pt>
                <c:pt idx="264">
                  <c:v>116.45395447258021</c:v>
                </c:pt>
                <c:pt idx="265">
                  <c:v>116.45395447258021</c:v>
                </c:pt>
                <c:pt idx="266">
                  <c:v>119.07985052920304</c:v>
                </c:pt>
                <c:pt idx="267">
                  <c:v>119.07985052920304</c:v>
                </c:pt>
                <c:pt idx="268">
                  <c:v>119.07985052920304</c:v>
                </c:pt>
                <c:pt idx="269">
                  <c:v>119.07985052920304</c:v>
                </c:pt>
                <c:pt idx="270">
                  <c:v>119.07985052920304</c:v>
                </c:pt>
                <c:pt idx="271">
                  <c:v>119.07985052920304</c:v>
                </c:pt>
                <c:pt idx="272">
                  <c:v>119.07985052920304</c:v>
                </c:pt>
                <c:pt idx="273">
                  <c:v>124.43011374457214</c:v>
                </c:pt>
                <c:pt idx="274">
                  <c:v>124.43011374457214</c:v>
                </c:pt>
                <c:pt idx="275">
                  <c:v>124.43011374457214</c:v>
                </c:pt>
                <c:pt idx="276">
                  <c:v>124.43011374457214</c:v>
                </c:pt>
                <c:pt idx="277">
                  <c:v>124.43011374457214</c:v>
                </c:pt>
                <c:pt idx="278">
                  <c:v>124.43011374457214</c:v>
                </c:pt>
                <c:pt idx="279">
                  <c:v>124.43011374457214</c:v>
                </c:pt>
                <c:pt idx="280">
                  <c:v>124.75819370045043</c:v>
                </c:pt>
                <c:pt idx="281">
                  <c:v>124.75819370045043</c:v>
                </c:pt>
                <c:pt idx="282">
                  <c:v>124.75819370045043</c:v>
                </c:pt>
                <c:pt idx="283">
                  <c:v>124.75819370045043</c:v>
                </c:pt>
                <c:pt idx="284">
                  <c:v>124.75819370045043</c:v>
                </c:pt>
                <c:pt idx="285">
                  <c:v>124.75819370045043</c:v>
                </c:pt>
                <c:pt idx="286">
                  <c:v>124.75819370045043</c:v>
                </c:pt>
                <c:pt idx="287">
                  <c:v>125.84812902538836</c:v>
                </c:pt>
                <c:pt idx="288">
                  <c:v>125.84812902538836</c:v>
                </c:pt>
                <c:pt idx="289">
                  <c:v>125.84812902538836</c:v>
                </c:pt>
                <c:pt idx="290">
                  <c:v>125.84812902538836</c:v>
                </c:pt>
                <c:pt idx="291">
                  <c:v>125.84812902538836</c:v>
                </c:pt>
                <c:pt idx="292">
                  <c:v>125.84812902538836</c:v>
                </c:pt>
                <c:pt idx="293">
                  <c:v>125.84812902538836</c:v>
                </c:pt>
                <c:pt idx="294">
                  <c:v>124.73557832771394</c:v>
                </c:pt>
                <c:pt idx="295">
                  <c:v>124.73557832771394</c:v>
                </c:pt>
                <c:pt idx="296">
                  <c:v>124.73557832771394</c:v>
                </c:pt>
                <c:pt idx="297">
                  <c:v>124.73557832771394</c:v>
                </c:pt>
                <c:pt idx="298">
                  <c:v>124.73557832771394</c:v>
                </c:pt>
                <c:pt idx="299">
                  <c:v>124.73557832771394</c:v>
                </c:pt>
                <c:pt idx="300">
                  <c:v>124.73557832771394</c:v>
                </c:pt>
                <c:pt idx="301">
                  <c:v>125.6761579618715</c:v>
                </c:pt>
                <c:pt idx="302">
                  <c:v>125.6761579618715</c:v>
                </c:pt>
                <c:pt idx="303">
                  <c:v>125.6761579618715</c:v>
                </c:pt>
                <c:pt idx="304">
                  <c:v>125.6761579618715</c:v>
                </c:pt>
                <c:pt idx="305">
                  <c:v>125.6761579618715</c:v>
                </c:pt>
                <c:pt idx="306">
                  <c:v>125.6761579618715</c:v>
                </c:pt>
                <c:pt idx="307">
                  <c:v>125.6761579618715</c:v>
                </c:pt>
                <c:pt idx="308">
                  <c:v>124.08507225914147</c:v>
                </c:pt>
                <c:pt idx="309">
                  <c:v>124.08507225914147</c:v>
                </c:pt>
                <c:pt idx="310">
                  <c:v>124.08507225914147</c:v>
                </c:pt>
                <c:pt idx="311">
                  <c:v>124.08507225914147</c:v>
                </c:pt>
                <c:pt idx="312">
                  <c:v>124.08507225914147</c:v>
                </c:pt>
                <c:pt idx="313">
                  <c:v>124.08507225914147</c:v>
                </c:pt>
                <c:pt idx="314">
                  <c:v>124.08507225914147</c:v>
                </c:pt>
                <c:pt idx="315">
                  <c:v>127.93502536512548</c:v>
                </c:pt>
                <c:pt idx="316">
                  <c:v>127.93502536512548</c:v>
                </c:pt>
                <c:pt idx="317">
                  <c:v>127.93502536512548</c:v>
                </c:pt>
                <c:pt idx="318">
                  <c:v>127.93502536512548</c:v>
                </c:pt>
                <c:pt idx="319">
                  <c:v>127.93502536512548</c:v>
                </c:pt>
                <c:pt idx="320">
                  <c:v>127.93502536512548</c:v>
                </c:pt>
                <c:pt idx="321">
                  <c:v>127.93502536512548</c:v>
                </c:pt>
                <c:pt idx="322">
                  <c:v>135.7107873064804</c:v>
                </c:pt>
                <c:pt idx="323">
                  <c:v>135.7107873064804</c:v>
                </c:pt>
                <c:pt idx="324">
                  <c:v>135.7107873064804</c:v>
                </c:pt>
                <c:pt idx="325">
                  <c:v>135.7107873064804</c:v>
                </c:pt>
                <c:pt idx="326">
                  <c:v>135.7107873064804</c:v>
                </c:pt>
                <c:pt idx="327">
                  <c:v>135.7107873064804</c:v>
                </c:pt>
                <c:pt idx="328">
                  <c:v>135.7107873064804</c:v>
                </c:pt>
                <c:pt idx="329">
                  <c:v>136.37794080220607</c:v>
                </c:pt>
                <c:pt idx="330">
                  <c:v>136.37794080220607</c:v>
                </c:pt>
                <c:pt idx="331">
                  <c:v>136.37794080220607</c:v>
                </c:pt>
                <c:pt idx="332">
                  <c:v>136.37794080220607</c:v>
                </c:pt>
                <c:pt idx="333">
                  <c:v>136.37794080220607</c:v>
                </c:pt>
                <c:pt idx="334">
                  <c:v>136.37794080220607</c:v>
                </c:pt>
                <c:pt idx="335">
                  <c:v>136.37794080220607</c:v>
                </c:pt>
                <c:pt idx="336">
                  <c:v>126.76420867241477</c:v>
                </c:pt>
                <c:pt idx="337">
                  <c:v>126.76420867241477</c:v>
                </c:pt>
                <c:pt idx="338">
                  <c:v>126.76420867241477</c:v>
                </c:pt>
                <c:pt idx="339">
                  <c:v>126.76420867241477</c:v>
                </c:pt>
                <c:pt idx="340">
                  <c:v>126.76420867241477</c:v>
                </c:pt>
                <c:pt idx="341">
                  <c:v>126.76420867241477</c:v>
                </c:pt>
                <c:pt idx="342">
                  <c:v>126.76420867241477</c:v>
                </c:pt>
                <c:pt idx="343">
                  <c:v>100.67470635051016</c:v>
                </c:pt>
                <c:pt idx="344">
                  <c:v>100.67470635051016</c:v>
                </c:pt>
                <c:pt idx="345">
                  <c:v>100.67470635051016</c:v>
                </c:pt>
                <c:pt idx="346">
                  <c:v>100.67470635051016</c:v>
                </c:pt>
                <c:pt idx="347">
                  <c:v>100.67470635051016</c:v>
                </c:pt>
                <c:pt idx="348">
                  <c:v>100.67470635051016</c:v>
                </c:pt>
                <c:pt idx="349">
                  <c:v>100.67470635051016</c:v>
                </c:pt>
                <c:pt idx="350">
                  <c:v>96.165295257578833</c:v>
                </c:pt>
                <c:pt idx="351">
                  <c:v>96.165295257578833</c:v>
                </c:pt>
                <c:pt idx="352">
                  <c:v>96.165295257578833</c:v>
                </c:pt>
                <c:pt idx="353">
                  <c:v>96.165295257578833</c:v>
                </c:pt>
                <c:pt idx="354">
                  <c:v>96.165295257578833</c:v>
                </c:pt>
                <c:pt idx="355">
                  <c:v>96.165295257578833</c:v>
                </c:pt>
                <c:pt idx="356">
                  <c:v>96.165295257578833</c:v>
                </c:pt>
                <c:pt idx="357">
                  <c:v>95.315491216766262</c:v>
                </c:pt>
                <c:pt idx="358">
                  <c:v>95.315491216766262</c:v>
                </c:pt>
                <c:pt idx="359">
                  <c:v>95.315491216766262</c:v>
                </c:pt>
                <c:pt idx="360">
                  <c:v>95.315491216766262</c:v>
                </c:pt>
                <c:pt idx="361">
                  <c:v>95.315491216766262</c:v>
                </c:pt>
                <c:pt idx="362">
                  <c:v>95.315491216766262</c:v>
                </c:pt>
                <c:pt idx="363">
                  <c:v>95.315491216766262</c:v>
                </c:pt>
                <c:pt idx="364">
                  <c:v>94.649908233036115</c:v>
                </c:pt>
                <c:pt idx="365">
                  <c:v>94.649908233036115</c:v>
                </c:pt>
                <c:pt idx="366">
                  <c:v>94.649908233036115</c:v>
                </c:pt>
                <c:pt idx="367">
                  <c:v>94.649908233036115</c:v>
                </c:pt>
                <c:pt idx="368">
                  <c:v>94.649908233036115</c:v>
                </c:pt>
                <c:pt idx="369">
                  <c:v>94.649908233036115</c:v>
                </c:pt>
                <c:pt idx="370">
                  <c:v>94.649908233036115</c:v>
                </c:pt>
                <c:pt idx="371">
                  <c:v>89.815715259417232</c:v>
                </c:pt>
                <c:pt idx="372">
                  <c:v>89.815715259417232</c:v>
                </c:pt>
                <c:pt idx="373">
                  <c:v>89.815715259417232</c:v>
                </c:pt>
                <c:pt idx="374">
                  <c:v>89.815715259417232</c:v>
                </c:pt>
                <c:pt idx="375">
                  <c:v>89.815715259417232</c:v>
                </c:pt>
                <c:pt idx="376">
                  <c:v>89.815715259417232</c:v>
                </c:pt>
                <c:pt idx="377">
                  <c:v>89.815715259417232</c:v>
                </c:pt>
                <c:pt idx="378">
                  <c:v>89.086055386267134</c:v>
                </c:pt>
                <c:pt idx="379">
                  <c:v>89.086055386267134</c:v>
                </c:pt>
                <c:pt idx="380">
                  <c:v>89.086055386267134</c:v>
                </c:pt>
                <c:pt idx="381">
                  <c:v>89.086055386267134</c:v>
                </c:pt>
                <c:pt idx="382">
                  <c:v>89.086055386267134</c:v>
                </c:pt>
                <c:pt idx="383">
                  <c:v>89.086055386267134</c:v>
                </c:pt>
                <c:pt idx="384">
                  <c:v>89.086055386267134</c:v>
                </c:pt>
                <c:pt idx="385">
                  <c:v>86.331534397205616</c:v>
                </c:pt>
                <c:pt idx="386">
                  <c:v>86.331534397205616</c:v>
                </c:pt>
                <c:pt idx="387">
                  <c:v>86.331534397205616</c:v>
                </c:pt>
                <c:pt idx="388">
                  <c:v>86.331534397205616</c:v>
                </c:pt>
                <c:pt idx="389">
                  <c:v>86.331534397205616</c:v>
                </c:pt>
                <c:pt idx="390">
                  <c:v>86.331534397205616</c:v>
                </c:pt>
                <c:pt idx="391">
                  <c:v>86.331534397205616</c:v>
                </c:pt>
                <c:pt idx="392">
                  <c:v>83.422003874179609</c:v>
                </c:pt>
                <c:pt idx="393">
                  <c:v>83.422003874179609</c:v>
                </c:pt>
                <c:pt idx="394">
                  <c:v>83.422003874179609</c:v>
                </c:pt>
                <c:pt idx="395">
                  <c:v>83.422003874179609</c:v>
                </c:pt>
                <c:pt idx="396">
                  <c:v>83.422003874179609</c:v>
                </c:pt>
                <c:pt idx="397">
                  <c:v>83.422003874179609</c:v>
                </c:pt>
                <c:pt idx="398">
                  <c:v>83.422003874179609</c:v>
                </c:pt>
                <c:pt idx="399">
                  <c:v>79.948659544737581</c:v>
                </c:pt>
                <c:pt idx="400">
                  <c:v>79.948659544737581</c:v>
                </c:pt>
                <c:pt idx="401">
                  <c:v>79.948659544737581</c:v>
                </c:pt>
                <c:pt idx="402">
                  <c:v>79.948659544737581</c:v>
                </c:pt>
                <c:pt idx="403">
                  <c:v>79.948659544737581</c:v>
                </c:pt>
                <c:pt idx="404">
                  <c:v>79.948659544737581</c:v>
                </c:pt>
                <c:pt idx="405">
                  <c:v>79.948659544737581</c:v>
                </c:pt>
                <c:pt idx="406">
                  <c:v>79.964992869491695</c:v>
                </c:pt>
                <c:pt idx="407">
                  <c:v>79.964992869491695</c:v>
                </c:pt>
                <c:pt idx="408">
                  <c:v>79.964992869491695</c:v>
                </c:pt>
                <c:pt idx="409">
                  <c:v>79.964992869491695</c:v>
                </c:pt>
                <c:pt idx="410">
                  <c:v>79.964992869491695</c:v>
                </c:pt>
                <c:pt idx="411">
                  <c:v>79.964992869491695</c:v>
                </c:pt>
                <c:pt idx="412">
                  <c:v>79.964992869491695</c:v>
                </c:pt>
                <c:pt idx="413">
                  <c:v>78.572891036602641</c:v>
                </c:pt>
                <c:pt idx="414">
                  <c:v>78.572891036602641</c:v>
                </c:pt>
                <c:pt idx="415">
                  <c:v>78.572891036602641</c:v>
                </c:pt>
                <c:pt idx="416">
                  <c:v>78.572891036602641</c:v>
                </c:pt>
                <c:pt idx="417">
                  <c:v>78.572891036602641</c:v>
                </c:pt>
                <c:pt idx="418">
                  <c:v>78.572891036602641</c:v>
                </c:pt>
                <c:pt idx="419">
                  <c:v>78.572891036602641</c:v>
                </c:pt>
                <c:pt idx="420">
                  <c:v>78.30433348535712</c:v>
                </c:pt>
                <c:pt idx="421">
                  <c:v>78.30433348535712</c:v>
                </c:pt>
                <c:pt idx="422">
                  <c:v>78.30433348535712</c:v>
                </c:pt>
                <c:pt idx="423">
                  <c:v>78.30433348535712</c:v>
                </c:pt>
                <c:pt idx="424">
                  <c:v>78.30433348535712</c:v>
                </c:pt>
                <c:pt idx="425">
                  <c:v>78.30433348535712</c:v>
                </c:pt>
                <c:pt idx="426">
                  <c:v>78.30433348535712</c:v>
                </c:pt>
                <c:pt idx="427">
                  <c:v>75.818684149940253</c:v>
                </c:pt>
                <c:pt idx="428">
                  <c:v>75.818684149940253</c:v>
                </c:pt>
                <c:pt idx="429">
                  <c:v>75.818684149940253</c:v>
                </c:pt>
                <c:pt idx="430">
                  <c:v>75.818684149940253</c:v>
                </c:pt>
                <c:pt idx="431">
                  <c:v>75.818684149940253</c:v>
                </c:pt>
                <c:pt idx="432">
                  <c:v>75.818684149940253</c:v>
                </c:pt>
                <c:pt idx="433">
                  <c:v>75.818684149940253</c:v>
                </c:pt>
                <c:pt idx="434">
                  <c:v>73.916165918485149</c:v>
                </c:pt>
                <c:pt idx="435">
                  <c:v>73.916165918485149</c:v>
                </c:pt>
                <c:pt idx="436">
                  <c:v>73.916165918485149</c:v>
                </c:pt>
                <c:pt idx="437">
                  <c:v>73.916165918485149</c:v>
                </c:pt>
                <c:pt idx="438">
                  <c:v>73.916165918485149</c:v>
                </c:pt>
                <c:pt idx="439">
                  <c:v>73.916165918485149</c:v>
                </c:pt>
                <c:pt idx="440">
                  <c:v>73.916165918485149</c:v>
                </c:pt>
                <c:pt idx="441">
                  <c:v>71.177350049379541</c:v>
                </c:pt>
                <c:pt idx="442">
                  <c:v>71.177350049379541</c:v>
                </c:pt>
                <c:pt idx="443">
                  <c:v>71.177350049379541</c:v>
                </c:pt>
                <c:pt idx="444">
                  <c:v>71.177350049379541</c:v>
                </c:pt>
                <c:pt idx="445">
                  <c:v>71.177350049379541</c:v>
                </c:pt>
                <c:pt idx="446">
                  <c:v>71.177350049379541</c:v>
                </c:pt>
                <c:pt idx="447">
                  <c:v>71.177350049379541</c:v>
                </c:pt>
                <c:pt idx="448">
                  <c:v>70.483183747329718</c:v>
                </c:pt>
                <c:pt idx="449">
                  <c:v>70.483183747329718</c:v>
                </c:pt>
                <c:pt idx="450">
                  <c:v>70.483183747329718</c:v>
                </c:pt>
                <c:pt idx="451">
                  <c:v>70.483183747329718</c:v>
                </c:pt>
                <c:pt idx="452">
                  <c:v>70.483183747329718</c:v>
                </c:pt>
                <c:pt idx="453">
                  <c:v>70.483183747329718</c:v>
                </c:pt>
                <c:pt idx="454">
                  <c:v>70.483183747329718</c:v>
                </c:pt>
                <c:pt idx="455">
                  <c:v>66.836297842375231</c:v>
                </c:pt>
                <c:pt idx="456">
                  <c:v>66.836297842375231</c:v>
                </c:pt>
                <c:pt idx="457">
                  <c:v>66.836297842375231</c:v>
                </c:pt>
                <c:pt idx="458">
                  <c:v>66.836297842375231</c:v>
                </c:pt>
                <c:pt idx="459">
                  <c:v>66.836297842375231</c:v>
                </c:pt>
                <c:pt idx="460">
                  <c:v>66.836297842375231</c:v>
                </c:pt>
                <c:pt idx="461">
                  <c:v>66.836297842375231</c:v>
                </c:pt>
                <c:pt idx="462">
                  <c:v>64.925612948543076</c:v>
                </c:pt>
                <c:pt idx="463">
                  <c:v>64.925612948543076</c:v>
                </c:pt>
                <c:pt idx="464">
                  <c:v>64.925612948543076</c:v>
                </c:pt>
                <c:pt idx="465">
                  <c:v>64.925612948543076</c:v>
                </c:pt>
                <c:pt idx="466">
                  <c:v>64.925612948543076</c:v>
                </c:pt>
                <c:pt idx="467">
                  <c:v>64.925612948543076</c:v>
                </c:pt>
                <c:pt idx="468">
                  <c:v>64.925612948543076</c:v>
                </c:pt>
                <c:pt idx="469">
                  <c:v>63.86645965871864</c:v>
                </c:pt>
                <c:pt idx="470">
                  <c:v>63.86645965871864</c:v>
                </c:pt>
                <c:pt idx="471">
                  <c:v>63.86645965871864</c:v>
                </c:pt>
                <c:pt idx="472">
                  <c:v>63.86645965871864</c:v>
                </c:pt>
                <c:pt idx="473">
                  <c:v>63.86645965871864</c:v>
                </c:pt>
                <c:pt idx="474">
                  <c:v>63.86645965871864</c:v>
                </c:pt>
                <c:pt idx="475">
                  <c:v>63.86645965871864</c:v>
                </c:pt>
                <c:pt idx="476">
                  <c:v>67.181339327805873</c:v>
                </c:pt>
                <c:pt idx="477">
                  <c:v>67.181339327805873</c:v>
                </c:pt>
                <c:pt idx="478">
                  <c:v>67.181339327805873</c:v>
                </c:pt>
                <c:pt idx="479">
                  <c:v>67.181339327805873</c:v>
                </c:pt>
                <c:pt idx="480">
                  <c:v>67.181339327805873</c:v>
                </c:pt>
                <c:pt idx="481">
                  <c:v>67.181339327805873</c:v>
                </c:pt>
                <c:pt idx="482">
                  <c:v>67.181339327805873</c:v>
                </c:pt>
                <c:pt idx="483">
                  <c:v>67.249185446015275</c:v>
                </c:pt>
                <c:pt idx="484">
                  <c:v>67.249185446015275</c:v>
                </c:pt>
                <c:pt idx="485">
                  <c:v>67.249185446015275</c:v>
                </c:pt>
                <c:pt idx="486">
                  <c:v>67.249185446015275</c:v>
                </c:pt>
                <c:pt idx="487">
                  <c:v>67.249185446015275</c:v>
                </c:pt>
                <c:pt idx="488">
                  <c:v>67.249185446015275</c:v>
                </c:pt>
                <c:pt idx="489">
                  <c:v>67.249185446015275</c:v>
                </c:pt>
                <c:pt idx="490">
                  <c:v>68.381367543634525</c:v>
                </c:pt>
                <c:pt idx="491">
                  <c:v>68.381367543634525</c:v>
                </c:pt>
                <c:pt idx="492">
                  <c:v>68.381367543634525</c:v>
                </c:pt>
                <c:pt idx="493">
                  <c:v>68.381367543634525</c:v>
                </c:pt>
                <c:pt idx="494">
                  <c:v>68.381367543634525</c:v>
                </c:pt>
                <c:pt idx="495">
                  <c:v>68.381367543634525</c:v>
                </c:pt>
              </c:numCache>
            </c:numRef>
          </c:val>
          <c:smooth val="0"/>
          <c:extLst>
            <c:ext xmlns:c16="http://schemas.microsoft.com/office/drawing/2014/chart" uri="{C3380CC4-5D6E-409C-BE32-E72D297353CC}">
              <c16:uniqueId val="{00000001-DCD9-4DE4-BAAC-D5A9C2CFE28E}"/>
            </c:ext>
          </c:extLst>
        </c:ser>
        <c:dLbls>
          <c:showLegendKey val="0"/>
          <c:showVal val="0"/>
          <c:showCatName val="0"/>
          <c:showSerName val="0"/>
          <c:showPercent val="0"/>
          <c:showBubbleSize val="0"/>
        </c:dLbls>
        <c:marker val="1"/>
        <c:smooth val="0"/>
        <c:axId val="1081249952"/>
        <c:axId val="1081250736"/>
      </c:lineChart>
      <c:dateAx>
        <c:axId val="1081249952"/>
        <c:scaling>
          <c:orientation val="minMax"/>
          <c:min val="44440"/>
        </c:scaling>
        <c:delete val="0"/>
        <c:axPos val="b"/>
        <c:numFmt formatCode="[$-409]mmm\-yy;@" sourceLinked="0"/>
        <c:majorTickMark val="none"/>
        <c:minorTickMark val="out"/>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0" vert="horz"/>
          <a:lstStyle/>
          <a:p>
            <a:pPr>
              <a:defRPr sz="700" b="0">
                <a:solidFill>
                  <a:srgbClr val="000000"/>
                </a:solidFill>
                <a:latin typeface="Arial"/>
                <a:ea typeface="Arial"/>
                <a:cs typeface="Arial"/>
              </a:defRPr>
            </a:pPr>
            <a:endParaRPr lang="en-US"/>
          </a:p>
        </c:txPr>
        <c:crossAx val="1081250736"/>
        <c:crosses val="autoZero"/>
        <c:auto val="1"/>
        <c:lblOffset val="100"/>
        <c:baseTimeUnit val="days"/>
        <c:majorUnit val="2"/>
        <c:majorTimeUnit val="months"/>
      </c:dateAx>
      <c:valAx>
        <c:axId val="1081250736"/>
        <c:scaling>
          <c:orientation val="minMax"/>
          <c:max val="400"/>
          <c:min val="40"/>
        </c:scaling>
        <c:delete val="0"/>
        <c:axPos val="l"/>
        <c:majorGridlines>
          <c:spPr>
            <a:ln w="3175">
              <a:solidFill>
                <a:srgbClr val="DEE1E0"/>
              </a:solidFill>
              <a:prstDash val="solid"/>
            </a:ln>
          </c:spPr>
        </c:majorGridlines>
        <c:numFmt formatCode="General"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1081249952"/>
        <c:crosses val="autoZero"/>
        <c:crossBetween val="between"/>
        <c:majorUnit val="30"/>
      </c:valAx>
      <c:valAx>
        <c:axId val="1013145744"/>
        <c:scaling>
          <c:orientation val="minMax"/>
          <c:max val="300"/>
          <c:min val="-60"/>
        </c:scaling>
        <c:delete val="0"/>
        <c:axPos val="r"/>
        <c:title>
          <c:tx>
            <c:rich>
              <a:bodyPr rot="-5400000" vert="horz"/>
              <a:lstStyle/>
              <a:p>
                <a:pPr>
                  <a:defRPr sz="700" b="1"/>
                </a:pPr>
                <a:r>
                  <a:rPr lang="en-US" sz="700" b="1"/>
                  <a:t>Arbitrage ($US/short ton)</a:t>
                </a:r>
              </a:p>
            </c:rich>
          </c:tx>
          <c:layout>
            <c:manualLayout>
              <c:xMode val="edge"/>
              <c:yMode val="edge"/>
              <c:x val="0.90979057767055349"/>
              <c:y val="0.25676564495530013"/>
            </c:manualLayout>
          </c:layout>
          <c:overlay val="0"/>
        </c:title>
        <c:numFmt formatCode="#,##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1013146528"/>
        <c:crosses val="max"/>
        <c:crossBetween val="between"/>
        <c:majorUnit val="30"/>
      </c:valAx>
      <c:dateAx>
        <c:axId val="1013146528"/>
        <c:scaling>
          <c:orientation val="minMax"/>
        </c:scaling>
        <c:delete val="1"/>
        <c:axPos val="b"/>
        <c:numFmt formatCode="m/d/yyyy" sourceLinked="1"/>
        <c:majorTickMark val="out"/>
        <c:minorTickMark val="none"/>
        <c:tickLblPos val="none"/>
        <c:crossAx val="1013145744"/>
        <c:crosses val="autoZero"/>
        <c:auto val="1"/>
        <c:lblOffset val="100"/>
        <c:baseTimeUnit val="days"/>
      </c:dateAx>
      <c:spPr>
        <a:noFill/>
        <a:ln>
          <a:noFill/>
        </a:ln>
      </c:spPr>
    </c:plotArea>
    <c:legend>
      <c:legendPos val="b"/>
      <c:layout>
        <c:manualLayout>
          <c:xMode val="edge"/>
          <c:yMode val="edge"/>
          <c:x val="0"/>
          <c:y val="0.13781223083548666"/>
          <c:w val="0.80534143112979828"/>
          <c:h val="0.21820269882285387"/>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06599569237446"/>
          <c:y val="0.14303761125466552"/>
          <c:w val="0.7212351346761402"/>
          <c:h val="0.62329379370214377"/>
        </c:manualLayout>
      </c:layout>
      <c:barChart>
        <c:barDir val="col"/>
        <c:grouping val="clustered"/>
        <c:varyColors val="0"/>
        <c:ser>
          <c:idx val="2"/>
          <c:order val="2"/>
          <c:tx>
            <c:strRef>
              <c:f>ImportArb!$S$4</c:f>
              <c:strCache>
                <c:ptCount val="1"/>
                <c:pt idx="0">
                  <c:v>Colombian—CAPP arbitrage</c:v>
                </c:pt>
              </c:strCache>
            </c:strRef>
          </c:tx>
          <c:spPr>
            <a:solidFill>
              <a:srgbClr val="CED1D0"/>
            </a:solidFill>
            <a:ln w="0">
              <a:noFill/>
            </a:ln>
          </c:spPr>
          <c:invertIfNegative val="0"/>
          <c:cat>
            <c:numRef>
              <c:f>ImportArb!$P$5:$P$500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ImportArb!$S$5:$S$500</c:f>
              <c:numCache>
                <c:formatCode>#,##0.00</c:formatCode>
                <c:ptCount val="496"/>
                <c:pt idx="0">
                  <c:v>-80.760159999999985</c:v>
                </c:pt>
                <c:pt idx="1">
                  <c:v>-80.760159999999985</c:v>
                </c:pt>
                <c:pt idx="2">
                  <c:v>-80.760159999999985</c:v>
                </c:pt>
                <c:pt idx="3">
                  <c:v>-80.760159999999985</c:v>
                </c:pt>
                <c:pt idx="4">
                  <c:v>-80.760159999999985</c:v>
                </c:pt>
                <c:pt idx="5">
                  <c:v>-80.760159999999985</c:v>
                </c:pt>
                <c:pt idx="6">
                  <c:v>-80.760159999999985</c:v>
                </c:pt>
                <c:pt idx="7">
                  <c:v>-82.665279999999996</c:v>
                </c:pt>
                <c:pt idx="8">
                  <c:v>-82.665279999999996</c:v>
                </c:pt>
                <c:pt idx="9">
                  <c:v>-93.04128</c:v>
                </c:pt>
                <c:pt idx="10">
                  <c:v>-93.04128</c:v>
                </c:pt>
                <c:pt idx="11">
                  <c:v>-93.04128</c:v>
                </c:pt>
                <c:pt idx="12">
                  <c:v>-93.04128</c:v>
                </c:pt>
                <c:pt idx="13">
                  <c:v>-93.04128</c:v>
                </c:pt>
                <c:pt idx="14">
                  <c:v>-112.18319999999997</c:v>
                </c:pt>
                <c:pt idx="15">
                  <c:v>-112.18319999999997</c:v>
                </c:pt>
                <c:pt idx="16">
                  <c:v>-106.99519999999998</c:v>
                </c:pt>
                <c:pt idx="17">
                  <c:v>-106.99519999999998</c:v>
                </c:pt>
                <c:pt idx="18">
                  <c:v>-106.99519999999998</c:v>
                </c:pt>
                <c:pt idx="19">
                  <c:v>-106.99519999999998</c:v>
                </c:pt>
                <c:pt idx="20">
                  <c:v>-106.99519999999998</c:v>
                </c:pt>
                <c:pt idx="21">
                  <c:v>-93.188800000000015</c:v>
                </c:pt>
                <c:pt idx="22">
                  <c:v>-93.188800000000015</c:v>
                </c:pt>
                <c:pt idx="23">
                  <c:v>-93.188800000000015</c:v>
                </c:pt>
                <c:pt idx="24">
                  <c:v>-93.188800000000015</c:v>
                </c:pt>
                <c:pt idx="25">
                  <c:v>-93.188800000000015</c:v>
                </c:pt>
                <c:pt idx="26">
                  <c:v>-93.188800000000015</c:v>
                </c:pt>
                <c:pt idx="27">
                  <c:v>-93.188800000000015</c:v>
                </c:pt>
                <c:pt idx="28">
                  <c:v>-64.402160000000009</c:v>
                </c:pt>
                <c:pt idx="29">
                  <c:v>-64.402160000000009</c:v>
                </c:pt>
                <c:pt idx="30">
                  <c:v>-64.402160000000009</c:v>
                </c:pt>
                <c:pt idx="31">
                  <c:v>-64.402160000000009</c:v>
                </c:pt>
                <c:pt idx="32">
                  <c:v>-64.402160000000009</c:v>
                </c:pt>
                <c:pt idx="33">
                  <c:v>-64.402160000000009</c:v>
                </c:pt>
                <c:pt idx="34">
                  <c:v>-64.402160000000009</c:v>
                </c:pt>
                <c:pt idx="35">
                  <c:v>-74.109200000000016</c:v>
                </c:pt>
                <c:pt idx="36">
                  <c:v>-74.109200000000016</c:v>
                </c:pt>
                <c:pt idx="37">
                  <c:v>-74.109200000000016</c:v>
                </c:pt>
                <c:pt idx="38">
                  <c:v>-74.109200000000016</c:v>
                </c:pt>
                <c:pt idx="39">
                  <c:v>-74.109200000000016</c:v>
                </c:pt>
                <c:pt idx="40">
                  <c:v>-74.109200000000016</c:v>
                </c:pt>
                <c:pt idx="41">
                  <c:v>-74.109200000000016</c:v>
                </c:pt>
                <c:pt idx="42">
                  <c:v>-102.82208</c:v>
                </c:pt>
                <c:pt idx="43">
                  <c:v>-102.82208</c:v>
                </c:pt>
                <c:pt idx="44">
                  <c:v>-102.82208</c:v>
                </c:pt>
                <c:pt idx="45">
                  <c:v>-113.19808</c:v>
                </c:pt>
                <c:pt idx="46">
                  <c:v>-113.19808</c:v>
                </c:pt>
                <c:pt idx="47">
                  <c:v>-113.19808</c:v>
                </c:pt>
                <c:pt idx="48">
                  <c:v>-113.19808</c:v>
                </c:pt>
                <c:pt idx="49">
                  <c:v>-132.06783999999999</c:v>
                </c:pt>
                <c:pt idx="50">
                  <c:v>-132.06783999999999</c:v>
                </c:pt>
                <c:pt idx="51">
                  <c:v>-132.06783999999999</c:v>
                </c:pt>
                <c:pt idx="52">
                  <c:v>-137.25583999999998</c:v>
                </c:pt>
                <c:pt idx="53">
                  <c:v>-137.25583999999998</c:v>
                </c:pt>
                <c:pt idx="54">
                  <c:v>-137.25583999999998</c:v>
                </c:pt>
                <c:pt idx="55">
                  <c:v>-137.25583999999998</c:v>
                </c:pt>
                <c:pt idx="56">
                  <c:v>-153.17720000000003</c:v>
                </c:pt>
                <c:pt idx="57">
                  <c:v>-153.17720000000003</c:v>
                </c:pt>
                <c:pt idx="58">
                  <c:v>-153.17720000000003</c:v>
                </c:pt>
                <c:pt idx="59">
                  <c:v>-153.17720000000003</c:v>
                </c:pt>
                <c:pt idx="60">
                  <c:v>-153.17720000000003</c:v>
                </c:pt>
                <c:pt idx="61">
                  <c:v>-153.17720000000003</c:v>
                </c:pt>
                <c:pt idx="62">
                  <c:v>-153.17720000000003</c:v>
                </c:pt>
                <c:pt idx="63">
                  <c:v>-150.22879999999998</c:v>
                </c:pt>
                <c:pt idx="64">
                  <c:v>-150.22879999999998</c:v>
                </c:pt>
                <c:pt idx="65">
                  <c:v>-150.22879999999998</c:v>
                </c:pt>
                <c:pt idx="66">
                  <c:v>-160.60479999999998</c:v>
                </c:pt>
                <c:pt idx="67">
                  <c:v>-160.60479999999998</c:v>
                </c:pt>
                <c:pt idx="68">
                  <c:v>-160.60479999999998</c:v>
                </c:pt>
                <c:pt idx="69">
                  <c:v>-160.60479999999998</c:v>
                </c:pt>
                <c:pt idx="70">
                  <c:v>-148.13079999999999</c:v>
                </c:pt>
                <c:pt idx="71">
                  <c:v>-148.13079999999999</c:v>
                </c:pt>
                <c:pt idx="72">
                  <c:v>-148.13079999999999</c:v>
                </c:pt>
                <c:pt idx="73">
                  <c:v>-148.13079999999999</c:v>
                </c:pt>
                <c:pt idx="74">
                  <c:v>-148.13079999999999</c:v>
                </c:pt>
                <c:pt idx="75">
                  <c:v>-148.13079999999999</c:v>
                </c:pt>
                <c:pt idx="76">
                  <c:v>-148.13079999999999</c:v>
                </c:pt>
                <c:pt idx="77">
                  <c:v>-155.64360000000002</c:v>
                </c:pt>
                <c:pt idx="78">
                  <c:v>-155.64360000000002</c:v>
                </c:pt>
                <c:pt idx="79">
                  <c:v>-155.64360000000002</c:v>
                </c:pt>
                <c:pt idx="80">
                  <c:v>-155.64360000000002</c:v>
                </c:pt>
                <c:pt idx="81">
                  <c:v>-160.83160000000001</c:v>
                </c:pt>
                <c:pt idx="82">
                  <c:v>-160.83160000000001</c:v>
                </c:pt>
                <c:pt idx="83">
                  <c:v>-160.83160000000001</c:v>
                </c:pt>
                <c:pt idx="84">
                  <c:v>-139.05879999999999</c:v>
                </c:pt>
                <c:pt idx="85">
                  <c:v>-139.05879999999999</c:v>
                </c:pt>
                <c:pt idx="86">
                  <c:v>-144.24679999999998</c:v>
                </c:pt>
                <c:pt idx="87">
                  <c:v>-144.24679999999998</c:v>
                </c:pt>
                <c:pt idx="88">
                  <c:v>-144.24679999999998</c:v>
                </c:pt>
                <c:pt idx="89">
                  <c:v>-144.24679999999998</c:v>
                </c:pt>
                <c:pt idx="90">
                  <c:v>-144.24679999999998</c:v>
                </c:pt>
                <c:pt idx="91">
                  <c:v>-111.98439999999999</c:v>
                </c:pt>
                <c:pt idx="92">
                  <c:v>-111.98439999999999</c:v>
                </c:pt>
                <c:pt idx="93">
                  <c:v>-111.98439999999999</c:v>
                </c:pt>
                <c:pt idx="94">
                  <c:v>-111.98439999999999</c:v>
                </c:pt>
                <c:pt idx="95">
                  <c:v>-111.98439999999999</c:v>
                </c:pt>
                <c:pt idx="96">
                  <c:v>-111.98439999999999</c:v>
                </c:pt>
                <c:pt idx="97">
                  <c:v>-111.98439999999999</c:v>
                </c:pt>
                <c:pt idx="98">
                  <c:v>-126.27280000000002</c:v>
                </c:pt>
                <c:pt idx="99">
                  <c:v>-126.27280000000002</c:v>
                </c:pt>
                <c:pt idx="100">
                  <c:v>-131.46080000000003</c:v>
                </c:pt>
                <c:pt idx="101">
                  <c:v>-131.46080000000003</c:v>
                </c:pt>
                <c:pt idx="102">
                  <c:v>-131.46080000000003</c:v>
                </c:pt>
                <c:pt idx="103">
                  <c:v>-131.46080000000003</c:v>
                </c:pt>
                <c:pt idx="104">
                  <c:v>-131.46080000000003</c:v>
                </c:pt>
                <c:pt idx="105">
                  <c:v>-119.63879999999997</c:v>
                </c:pt>
                <c:pt idx="106">
                  <c:v>-119.63879999999997</c:v>
                </c:pt>
                <c:pt idx="107">
                  <c:v>-114.45079999999999</c:v>
                </c:pt>
                <c:pt idx="108">
                  <c:v>-114.45079999999999</c:v>
                </c:pt>
                <c:pt idx="109">
                  <c:v>-114.45079999999999</c:v>
                </c:pt>
                <c:pt idx="110">
                  <c:v>-114.45079999999999</c:v>
                </c:pt>
                <c:pt idx="111">
                  <c:v>-114.45079999999999</c:v>
                </c:pt>
                <c:pt idx="112">
                  <c:v>-132.59479999999999</c:v>
                </c:pt>
                <c:pt idx="113">
                  <c:v>-132.59479999999999</c:v>
                </c:pt>
                <c:pt idx="114">
                  <c:v>-132.59479999999999</c:v>
                </c:pt>
                <c:pt idx="115">
                  <c:v>-137.78279999999998</c:v>
                </c:pt>
                <c:pt idx="116">
                  <c:v>-137.78279999999998</c:v>
                </c:pt>
                <c:pt idx="117">
                  <c:v>-137.78279999999998</c:v>
                </c:pt>
                <c:pt idx="118">
                  <c:v>-137.78279999999998</c:v>
                </c:pt>
                <c:pt idx="119">
                  <c:v>-132.08439999999999</c:v>
                </c:pt>
                <c:pt idx="120">
                  <c:v>-137.2724</c:v>
                </c:pt>
                <c:pt idx="121">
                  <c:v>-137.2724</c:v>
                </c:pt>
                <c:pt idx="122">
                  <c:v>-137.2724</c:v>
                </c:pt>
                <c:pt idx="123">
                  <c:v>-137.2724</c:v>
                </c:pt>
                <c:pt idx="124">
                  <c:v>-137.2724</c:v>
                </c:pt>
                <c:pt idx="125">
                  <c:v>-137.2724</c:v>
                </c:pt>
                <c:pt idx="126">
                  <c:v>-119.1284</c:v>
                </c:pt>
                <c:pt idx="127">
                  <c:v>-119.1284</c:v>
                </c:pt>
                <c:pt idx="128">
                  <c:v>-119.1284</c:v>
                </c:pt>
                <c:pt idx="129">
                  <c:v>-119.1284</c:v>
                </c:pt>
                <c:pt idx="130">
                  <c:v>-119.1284</c:v>
                </c:pt>
                <c:pt idx="131">
                  <c:v>-119.1284</c:v>
                </c:pt>
                <c:pt idx="132">
                  <c:v>-119.1284</c:v>
                </c:pt>
                <c:pt idx="133">
                  <c:v>-87.875360000000001</c:v>
                </c:pt>
                <c:pt idx="134">
                  <c:v>-87.875360000000001</c:v>
                </c:pt>
                <c:pt idx="135">
                  <c:v>-98.251360000000005</c:v>
                </c:pt>
                <c:pt idx="136">
                  <c:v>-98.251360000000005</c:v>
                </c:pt>
                <c:pt idx="137">
                  <c:v>-96.17616000000001</c:v>
                </c:pt>
                <c:pt idx="138">
                  <c:v>-96.17616000000001</c:v>
                </c:pt>
                <c:pt idx="139">
                  <c:v>-96.17616000000001</c:v>
                </c:pt>
                <c:pt idx="140">
                  <c:v>-189.34560000000002</c:v>
                </c:pt>
                <c:pt idx="141">
                  <c:v>-189.34560000000002</c:v>
                </c:pt>
                <c:pt idx="142">
                  <c:v>-186.2328</c:v>
                </c:pt>
                <c:pt idx="143">
                  <c:v>-186.2328</c:v>
                </c:pt>
                <c:pt idx="144">
                  <c:v>-186.2328</c:v>
                </c:pt>
                <c:pt idx="145">
                  <c:v>-186.2328</c:v>
                </c:pt>
                <c:pt idx="146">
                  <c:v>-186.2328</c:v>
                </c:pt>
                <c:pt idx="147">
                  <c:v>-160.64976000000001</c:v>
                </c:pt>
                <c:pt idx="148">
                  <c:v>-160.64976000000001</c:v>
                </c:pt>
                <c:pt idx="149">
                  <c:v>-160.64976000000001</c:v>
                </c:pt>
                <c:pt idx="150">
                  <c:v>-160.64976000000001</c:v>
                </c:pt>
                <c:pt idx="151">
                  <c:v>-160.64976000000001</c:v>
                </c:pt>
                <c:pt idx="152">
                  <c:v>-160.64976000000001</c:v>
                </c:pt>
                <c:pt idx="153">
                  <c:v>-160.64976000000001</c:v>
                </c:pt>
                <c:pt idx="154">
                  <c:v>-121.82159999999999</c:v>
                </c:pt>
                <c:pt idx="155">
                  <c:v>-121.82159999999999</c:v>
                </c:pt>
                <c:pt idx="156">
                  <c:v>-121.82159999999999</c:v>
                </c:pt>
                <c:pt idx="157">
                  <c:v>-121.82159999999999</c:v>
                </c:pt>
                <c:pt idx="158">
                  <c:v>-127.00960000000001</c:v>
                </c:pt>
                <c:pt idx="159">
                  <c:v>-127.00960000000001</c:v>
                </c:pt>
                <c:pt idx="160">
                  <c:v>-127.00960000000001</c:v>
                </c:pt>
                <c:pt idx="161">
                  <c:v>-119.52520000000001</c:v>
                </c:pt>
                <c:pt idx="162">
                  <c:v>-119.52520000000001</c:v>
                </c:pt>
                <c:pt idx="163">
                  <c:v>-119.52520000000001</c:v>
                </c:pt>
                <c:pt idx="164">
                  <c:v>-119.52520000000001</c:v>
                </c:pt>
                <c:pt idx="165">
                  <c:v>-119.52520000000001</c:v>
                </c:pt>
                <c:pt idx="166">
                  <c:v>-119.52520000000001</c:v>
                </c:pt>
                <c:pt idx="167">
                  <c:v>-119.52520000000001</c:v>
                </c:pt>
                <c:pt idx="168">
                  <c:v>-103.22399999999999</c:v>
                </c:pt>
                <c:pt idx="169">
                  <c:v>-103.22399999999999</c:v>
                </c:pt>
                <c:pt idx="170">
                  <c:v>-113.6</c:v>
                </c:pt>
                <c:pt idx="171">
                  <c:v>-113.6</c:v>
                </c:pt>
                <c:pt idx="172">
                  <c:v>-113.6</c:v>
                </c:pt>
                <c:pt idx="173">
                  <c:v>-113.6</c:v>
                </c:pt>
                <c:pt idx="174">
                  <c:v>-113.6</c:v>
                </c:pt>
                <c:pt idx="175">
                  <c:v>-116.32160000000002</c:v>
                </c:pt>
                <c:pt idx="176">
                  <c:v>-116.32160000000002</c:v>
                </c:pt>
                <c:pt idx="177">
                  <c:v>-116.32160000000002</c:v>
                </c:pt>
                <c:pt idx="178">
                  <c:v>-105.94560000000001</c:v>
                </c:pt>
                <c:pt idx="179">
                  <c:v>-105.94560000000001</c:v>
                </c:pt>
                <c:pt idx="180">
                  <c:v>-105.94560000000001</c:v>
                </c:pt>
                <c:pt idx="181">
                  <c:v>-105.94560000000001</c:v>
                </c:pt>
                <c:pt idx="182">
                  <c:v>-201.88200000000001</c:v>
                </c:pt>
                <c:pt idx="183">
                  <c:v>-212.25800000000001</c:v>
                </c:pt>
                <c:pt idx="184">
                  <c:v>-212.25800000000001</c:v>
                </c:pt>
                <c:pt idx="185">
                  <c:v>-212.25800000000001</c:v>
                </c:pt>
                <c:pt idx="186">
                  <c:v>-212.25800000000001</c:v>
                </c:pt>
                <c:pt idx="187">
                  <c:v>-212.25800000000001</c:v>
                </c:pt>
                <c:pt idx="188">
                  <c:v>-212.25800000000001</c:v>
                </c:pt>
                <c:pt idx="189">
                  <c:v>-150.65912</c:v>
                </c:pt>
                <c:pt idx="190">
                  <c:v>-150.65912</c:v>
                </c:pt>
                <c:pt idx="191">
                  <c:v>-150.65912</c:v>
                </c:pt>
                <c:pt idx="192">
                  <c:v>-166.22311999999999</c:v>
                </c:pt>
                <c:pt idx="193">
                  <c:v>-171.41112000000001</c:v>
                </c:pt>
                <c:pt idx="194">
                  <c:v>-171.41112000000001</c:v>
                </c:pt>
                <c:pt idx="195">
                  <c:v>-171.41112000000001</c:v>
                </c:pt>
                <c:pt idx="196">
                  <c:v>-87.772879999999986</c:v>
                </c:pt>
                <c:pt idx="197">
                  <c:v>-87.772879999999986</c:v>
                </c:pt>
                <c:pt idx="198">
                  <c:v>-87.772879999999986</c:v>
                </c:pt>
                <c:pt idx="199">
                  <c:v>-88.810479999999984</c:v>
                </c:pt>
                <c:pt idx="200">
                  <c:v>-88.810479999999984</c:v>
                </c:pt>
                <c:pt idx="201">
                  <c:v>-88.810479999999984</c:v>
                </c:pt>
                <c:pt idx="202">
                  <c:v>-88.810479999999984</c:v>
                </c:pt>
                <c:pt idx="203">
                  <c:v>-54.359520000000003</c:v>
                </c:pt>
                <c:pt idx="204">
                  <c:v>-54.359520000000003</c:v>
                </c:pt>
                <c:pt idx="205">
                  <c:v>-54.359520000000003</c:v>
                </c:pt>
                <c:pt idx="206">
                  <c:v>-54.359520000000003</c:v>
                </c:pt>
                <c:pt idx="207">
                  <c:v>-54.359520000000003</c:v>
                </c:pt>
                <c:pt idx="208">
                  <c:v>-54.359520000000003</c:v>
                </c:pt>
                <c:pt idx="209">
                  <c:v>-54.359520000000003</c:v>
                </c:pt>
                <c:pt idx="210">
                  <c:v>-61.61712</c:v>
                </c:pt>
                <c:pt idx="211">
                  <c:v>-61.61712</c:v>
                </c:pt>
                <c:pt idx="212">
                  <c:v>-61.61712</c:v>
                </c:pt>
                <c:pt idx="213">
                  <c:v>-61.61712</c:v>
                </c:pt>
                <c:pt idx="214">
                  <c:v>-61.61712</c:v>
                </c:pt>
                <c:pt idx="215">
                  <c:v>-61.61712</c:v>
                </c:pt>
                <c:pt idx="216">
                  <c:v>-61.61712</c:v>
                </c:pt>
                <c:pt idx="217">
                  <c:v>-46.557600000000008</c:v>
                </c:pt>
                <c:pt idx="218">
                  <c:v>-46.557600000000008</c:v>
                </c:pt>
                <c:pt idx="219">
                  <c:v>-46.557600000000008</c:v>
                </c:pt>
                <c:pt idx="220">
                  <c:v>-46.557600000000008</c:v>
                </c:pt>
                <c:pt idx="221">
                  <c:v>-46.557600000000008</c:v>
                </c:pt>
                <c:pt idx="222">
                  <c:v>-46.557600000000008</c:v>
                </c:pt>
                <c:pt idx="223">
                  <c:v>-46.557600000000008</c:v>
                </c:pt>
                <c:pt idx="224">
                  <c:v>-64.021200000000022</c:v>
                </c:pt>
                <c:pt idx="225">
                  <c:v>-64.021200000000022</c:v>
                </c:pt>
                <c:pt idx="226">
                  <c:v>-64.021200000000022</c:v>
                </c:pt>
                <c:pt idx="227">
                  <c:v>-61.946000000000026</c:v>
                </c:pt>
                <c:pt idx="228">
                  <c:v>-61.946000000000026</c:v>
                </c:pt>
                <c:pt idx="229">
                  <c:v>-61.946000000000026</c:v>
                </c:pt>
                <c:pt idx="230">
                  <c:v>-61.946000000000026</c:v>
                </c:pt>
                <c:pt idx="231">
                  <c:v>-39.492800000000017</c:v>
                </c:pt>
                <c:pt idx="232">
                  <c:v>-44.680800000000005</c:v>
                </c:pt>
                <c:pt idx="233">
                  <c:v>-44.680800000000005</c:v>
                </c:pt>
                <c:pt idx="234">
                  <c:v>-44.680800000000005</c:v>
                </c:pt>
                <c:pt idx="235">
                  <c:v>-44.680800000000005</c:v>
                </c:pt>
                <c:pt idx="236">
                  <c:v>-44.680800000000005</c:v>
                </c:pt>
                <c:pt idx="237">
                  <c:v>-44.680800000000005</c:v>
                </c:pt>
                <c:pt idx="238">
                  <c:v>-25.085280000000012</c:v>
                </c:pt>
                <c:pt idx="239">
                  <c:v>-25.085280000000012</c:v>
                </c:pt>
                <c:pt idx="240">
                  <c:v>-30.273280000000014</c:v>
                </c:pt>
                <c:pt idx="241">
                  <c:v>-30.273280000000014</c:v>
                </c:pt>
                <c:pt idx="242">
                  <c:v>-30.273280000000014</c:v>
                </c:pt>
                <c:pt idx="243">
                  <c:v>-30.273280000000014</c:v>
                </c:pt>
                <c:pt idx="244">
                  <c:v>-30.273280000000014</c:v>
                </c:pt>
                <c:pt idx="245">
                  <c:v>-18.207520000000002</c:v>
                </c:pt>
                <c:pt idx="246">
                  <c:v>-18.207520000000002</c:v>
                </c:pt>
                <c:pt idx="247">
                  <c:v>-14.057119999999998</c:v>
                </c:pt>
                <c:pt idx="248">
                  <c:v>-14.057119999999998</c:v>
                </c:pt>
                <c:pt idx="249">
                  <c:v>-14.057119999999998</c:v>
                </c:pt>
                <c:pt idx="250">
                  <c:v>-14.057119999999998</c:v>
                </c:pt>
                <c:pt idx="251">
                  <c:v>-14.057119999999998</c:v>
                </c:pt>
                <c:pt idx="252">
                  <c:v>-1.945999999999998</c:v>
                </c:pt>
                <c:pt idx="253">
                  <c:v>1.166799999999995</c:v>
                </c:pt>
                <c:pt idx="254">
                  <c:v>1.166799999999995</c:v>
                </c:pt>
                <c:pt idx="255">
                  <c:v>1.166799999999995</c:v>
                </c:pt>
                <c:pt idx="256">
                  <c:v>2.2043999999999926</c:v>
                </c:pt>
                <c:pt idx="257">
                  <c:v>2.2043999999999926</c:v>
                </c:pt>
                <c:pt idx="258">
                  <c:v>2.2043999999999926</c:v>
                </c:pt>
                <c:pt idx="259">
                  <c:v>-28.107439999999997</c:v>
                </c:pt>
                <c:pt idx="260">
                  <c:v>-28.107439999999997</c:v>
                </c:pt>
                <c:pt idx="261">
                  <c:v>-28.107439999999997</c:v>
                </c:pt>
                <c:pt idx="262">
                  <c:v>-28.107439999999997</c:v>
                </c:pt>
                <c:pt idx="263">
                  <c:v>-28.107439999999997</c:v>
                </c:pt>
                <c:pt idx="264">
                  <c:v>-28.107439999999997</c:v>
                </c:pt>
                <c:pt idx="265">
                  <c:v>-28.107439999999997</c:v>
                </c:pt>
                <c:pt idx="266">
                  <c:v>-25.567280000000011</c:v>
                </c:pt>
                <c:pt idx="267">
                  <c:v>-25.567280000000011</c:v>
                </c:pt>
                <c:pt idx="268">
                  <c:v>-25.567280000000011</c:v>
                </c:pt>
                <c:pt idx="269">
                  <c:v>-25.567280000000011</c:v>
                </c:pt>
                <c:pt idx="270">
                  <c:v>-25.567280000000011</c:v>
                </c:pt>
                <c:pt idx="271">
                  <c:v>-25.567280000000011</c:v>
                </c:pt>
                <c:pt idx="272">
                  <c:v>-25.567280000000011</c:v>
                </c:pt>
                <c:pt idx="273">
                  <c:v>-16.359200000000016</c:v>
                </c:pt>
                <c:pt idx="274">
                  <c:v>-16.359200000000016</c:v>
                </c:pt>
                <c:pt idx="275">
                  <c:v>-16.359200000000016</c:v>
                </c:pt>
                <c:pt idx="276">
                  <c:v>-16.359200000000016</c:v>
                </c:pt>
                <c:pt idx="277">
                  <c:v>-16.359200000000016</c:v>
                </c:pt>
                <c:pt idx="278">
                  <c:v>-16.359200000000016</c:v>
                </c:pt>
                <c:pt idx="279">
                  <c:v>-16.359200000000016</c:v>
                </c:pt>
                <c:pt idx="280">
                  <c:v>-5.926400000000001</c:v>
                </c:pt>
                <c:pt idx="281">
                  <c:v>-5.926400000000001</c:v>
                </c:pt>
                <c:pt idx="282">
                  <c:v>-5.926400000000001</c:v>
                </c:pt>
                <c:pt idx="283">
                  <c:v>-5.926400000000001</c:v>
                </c:pt>
                <c:pt idx="284">
                  <c:v>-5.926400000000001</c:v>
                </c:pt>
                <c:pt idx="285">
                  <c:v>-5.926400000000001</c:v>
                </c:pt>
                <c:pt idx="286">
                  <c:v>-5.926400000000001</c:v>
                </c:pt>
                <c:pt idx="287">
                  <c:v>-31.101200000000006</c:v>
                </c:pt>
                <c:pt idx="288">
                  <c:v>-31.101200000000006</c:v>
                </c:pt>
                <c:pt idx="289">
                  <c:v>-27.988399999999984</c:v>
                </c:pt>
                <c:pt idx="290">
                  <c:v>-27.988399999999984</c:v>
                </c:pt>
                <c:pt idx="291">
                  <c:v>-27.988399999999984</c:v>
                </c:pt>
                <c:pt idx="292">
                  <c:v>-27.988399999999984</c:v>
                </c:pt>
                <c:pt idx="293">
                  <c:v>-27.988399999999984</c:v>
                </c:pt>
                <c:pt idx="294">
                  <c:v>-26.899760000000015</c:v>
                </c:pt>
                <c:pt idx="295">
                  <c:v>-26.899760000000015</c:v>
                </c:pt>
                <c:pt idx="296">
                  <c:v>-26.899760000000015</c:v>
                </c:pt>
                <c:pt idx="297">
                  <c:v>-26.899760000000015</c:v>
                </c:pt>
                <c:pt idx="298">
                  <c:v>-26.899760000000015</c:v>
                </c:pt>
                <c:pt idx="299">
                  <c:v>-26.899760000000015</c:v>
                </c:pt>
                <c:pt idx="300">
                  <c:v>-26.899760000000015</c:v>
                </c:pt>
                <c:pt idx="301">
                  <c:v>-34.576960000000014</c:v>
                </c:pt>
                <c:pt idx="302">
                  <c:v>-34.576960000000014</c:v>
                </c:pt>
                <c:pt idx="303">
                  <c:v>-34.576960000000014</c:v>
                </c:pt>
                <c:pt idx="304">
                  <c:v>-34.576960000000014</c:v>
                </c:pt>
                <c:pt idx="305">
                  <c:v>-34.576960000000014</c:v>
                </c:pt>
                <c:pt idx="306">
                  <c:v>-34.576960000000014</c:v>
                </c:pt>
                <c:pt idx="307">
                  <c:v>-34.576960000000014</c:v>
                </c:pt>
                <c:pt idx="308">
                  <c:v>-38.477919999999983</c:v>
                </c:pt>
                <c:pt idx="309">
                  <c:v>-38.477919999999983</c:v>
                </c:pt>
                <c:pt idx="310">
                  <c:v>-40.553119999999979</c:v>
                </c:pt>
                <c:pt idx="311">
                  <c:v>-43.66592</c:v>
                </c:pt>
                <c:pt idx="312">
                  <c:v>-38.477919999999983</c:v>
                </c:pt>
                <c:pt idx="313">
                  <c:v>-38.477919999999983</c:v>
                </c:pt>
                <c:pt idx="314">
                  <c:v>-38.477919999999983</c:v>
                </c:pt>
                <c:pt idx="315">
                  <c:v>-65.603199999999987</c:v>
                </c:pt>
                <c:pt idx="316">
                  <c:v>-65.603199999999987</c:v>
                </c:pt>
                <c:pt idx="317">
                  <c:v>-65.603199999999987</c:v>
                </c:pt>
                <c:pt idx="318">
                  <c:v>-65.603199999999987</c:v>
                </c:pt>
                <c:pt idx="319">
                  <c:v>-65.603199999999987</c:v>
                </c:pt>
                <c:pt idx="320">
                  <c:v>-65.603199999999987</c:v>
                </c:pt>
                <c:pt idx="321">
                  <c:v>-65.603199999999987</c:v>
                </c:pt>
                <c:pt idx="322">
                  <c:v>-83.066800000000001</c:v>
                </c:pt>
                <c:pt idx="323">
                  <c:v>-83.066800000000001</c:v>
                </c:pt>
                <c:pt idx="324">
                  <c:v>-83.066800000000001</c:v>
                </c:pt>
                <c:pt idx="325">
                  <c:v>-83.066800000000001</c:v>
                </c:pt>
                <c:pt idx="326">
                  <c:v>-83.066800000000001</c:v>
                </c:pt>
                <c:pt idx="327">
                  <c:v>-83.066800000000001</c:v>
                </c:pt>
                <c:pt idx="328">
                  <c:v>-83.066800000000001</c:v>
                </c:pt>
                <c:pt idx="329">
                  <c:v>-97.718079999999986</c:v>
                </c:pt>
                <c:pt idx="330">
                  <c:v>-97.718079999999986</c:v>
                </c:pt>
                <c:pt idx="331">
                  <c:v>-97.718079999999986</c:v>
                </c:pt>
                <c:pt idx="332">
                  <c:v>-97.718079999999986</c:v>
                </c:pt>
                <c:pt idx="333">
                  <c:v>-97.718079999999986</c:v>
                </c:pt>
                <c:pt idx="334">
                  <c:v>-97.718079999999986</c:v>
                </c:pt>
                <c:pt idx="335">
                  <c:v>-97.718079999999986</c:v>
                </c:pt>
                <c:pt idx="336">
                  <c:v>-111.97240000000002</c:v>
                </c:pt>
                <c:pt idx="337">
                  <c:v>-111.97240000000002</c:v>
                </c:pt>
                <c:pt idx="338">
                  <c:v>-116.12280000000001</c:v>
                </c:pt>
                <c:pt idx="339">
                  <c:v>-116.12280000000001</c:v>
                </c:pt>
                <c:pt idx="340">
                  <c:v>-118.19800000000001</c:v>
                </c:pt>
                <c:pt idx="341">
                  <c:v>-118.19800000000001</c:v>
                </c:pt>
                <c:pt idx="342">
                  <c:v>-118.19800000000001</c:v>
                </c:pt>
                <c:pt idx="343">
                  <c:v>-89.122239999999977</c:v>
                </c:pt>
                <c:pt idx="344">
                  <c:v>-92.235039999999984</c:v>
                </c:pt>
                <c:pt idx="345">
                  <c:v>-92.235039999999984</c:v>
                </c:pt>
                <c:pt idx="346">
                  <c:v>-92.235039999999984</c:v>
                </c:pt>
                <c:pt idx="347">
                  <c:v>-92.235039999999984</c:v>
                </c:pt>
                <c:pt idx="348">
                  <c:v>-92.235039999999984</c:v>
                </c:pt>
                <c:pt idx="349">
                  <c:v>-92.235039999999984</c:v>
                </c:pt>
                <c:pt idx="350">
                  <c:v>-62.705680000000015</c:v>
                </c:pt>
                <c:pt idx="351">
                  <c:v>-62.705680000000015</c:v>
                </c:pt>
                <c:pt idx="352">
                  <c:v>-64.78088000000001</c:v>
                </c:pt>
                <c:pt idx="353">
                  <c:v>-64.78088000000001</c:v>
                </c:pt>
                <c:pt idx="354">
                  <c:v>-69.968880000000013</c:v>
                </c:pt>
                <c:pt idx="355">
                  <c:v>-69.968880000000013</c:v>
                </c:pt>
                <c:pt idx="356">
                  <c:v>-69.968880000000013</c:v>
                </c:pt>
                <c:pt idx="357">
                  <c:v>-63.300960000000003</c:v>
                </c:pt>
                <c:pt idx="358">
                  <c:v>-63.300960000000003</c:v>
                </c:pt>
                <c:pt idx="359">
                  <c:v>-63.300960000000003</c:v>
                </c:pt>
                <c:pt idx="360">
                  <c:v>-63.300960000000003</c:v>
                </c:pt>
                <c:pt idx="361">
                  <c:v>-63.300960000000003</c:v>
                </c:pt>
                <c:pt idx="362">
                  <c:v>-63.300960000000003</c:v>
                </c:pt>
                <c:pt idx="363">
                  <c:v>-63.300960000000003</c:v>
                </c:pt>
                <c:pt idx="364">
                  <c:v>-59.626800000000003</c:v>
                </c:pt>
                <c:pt idx="365">
                  <c:v>-59.626800000000003</c:v>
                </c:pt>
                <c:pt idx="366">
                  <c:v>-59.626800000000003</c:v>
                </c:pt>
                <c:pt idx="367">
                  <c:v>-59.626800000000003</c:v>
                </c:pt>
                <c:pt idx="368">
                  <c:v>-61.701999999999998</c:v>
                </c:pt>
                <c:pt idx="369">
                  <c:v>-61.701999999999998</c:v>
                </c:pt>
                <c:pt idx="370">
                  <c:v>-61.701999999999998</c:v>
                </c:pt>
                <c:pt idx="371">
                  <c:v>-48.547599999999989</c:v>
                </c:pt>
                <c:pt idx="372">
                  <c:v>-48.547599999999989</c:v>
                </c:pt>
                <c:pt idx="373">
                  <c:v>-48.547599999999989</c:v>
                </c:pt>
                <c:pt idx="374">
                  <c:v>-48.547599999999989</c:v>
                </c:pt>
                <c:pt idx="375">
                  <c:v>-48.547599999999989</c:v>
                </c:pt>
                <c:pt idx="376">
                  <c:v>-48.547599999999989</c:v>
                </c:pt>
                <c:pt idx="377">
                  <c:v>-48.547599999999989</c:v>
                </c:pt>
                <c:pt idx="378">
                  <c:v>-41.289999999999992</c:v>
                </c:pt>
                <c:pt idx="379">
                  <c:v>-41.289999999999992</c:v>
                </c:pt>
                <c:pt idx="380">
                  <c:v>-41.289999999999992</c:v>
                </c:pt>
                <c:pt idx="381">
                  <c:v>-41.289999999999992</c:v>
                </c:pt>
                <c:pt idx="382">
                  <c:v>-41.289999999999992</c:v>
                </c:pt>
                <c:pt idx="383">
                  <c:v>-41.289999999999992</c:v>
                </c:pt>
                <c:pt idx="384">
                  <c:v>-41.289999999999992</c:v>
                </c:pt>
                <c:pt idx="385">
                  <c:v>-43.268800000000013</c:v>
                </c:pt>
                <c:pt idx="386">
                  <c:v>-43.268800000000013</c:v>
                </c:pt>
                <c:pt idx="387">
                  <c:v>-43.268800000000013</c:v>
                </c:pt>
                <c:pt idx="388">
                  <c:v>-43.268800000000013</c:v>
                </c:pt>
                <c:pt idx="389">
                  <c:v>-43.268800000000013</c:v>
                </c:pt>
                <c:pt idx="390">
                  <c:v>-43.268800000000013</c:v>
                </c:pt>
                <c:pt idx="391">
                  <c:v>-43.268800000000013</c:v>
                </c:pt>
                <c:pt idx="392">
                  <c:v>-41.000800000000012</c:v>
                </c:pt>
                <c:pt idx="393">
                  <c:v>-41.000800000000012</c:v>
                </c:pt>
                <c:pt idx="394">
                  <c:v>-41.000800000000012</c:v>
                </c:pt>
                <c:pt idx="395">
                  <c:v>-41.000800000000012</c:v>
                </c:pt>
                <c:pt idx="396">
                  <c:v>-43.076000000000008</c:v>
                </c:pt>
                <c:pt idx="397">
                  <c:v>-43.076000000000008</c:v>
                </c:pt>
                <c:pt idx="398">
                  <c:v>-43.076000000000008</c:v>
                </c:pt>
                <c:pt idx="399">
                  <c:v>-34.911199999999994</c:v>
                </c:pt>
                <c:pt idx="400">
                  <c:v>-34.911199999999994</c:v>
                </c:pt>
                <c:pt idx="401">
                  <c:v>-34.911199999999994</c:v>
                </c:pt>
                <c:pt idx="402">
                  <c:v>-34.911199999999994</c:v>
                </c:pt>
                <c:pt idx="403">
                  <c:v>-34.911199999999994</c:v>
                </c:pt>
                <c:pt idx="404">
                  <c:v>-34.911199999999994</c:v>
                </c:pt>
                <c:pt idx="405">
                  <c:v>-34.911199999999994</c:v>
                </c:pt>
                <c:pt idx="406">
                  <c:v>-32.708399999999997</c:v>
                </c:pt>
                <c:pt idx="407">
                  <c:v>-32.708399999999997</c:v>
                </c:pt>
                <c:pt idx="408">
                  <c:v>-32.708399999999997</c:v>
                </c:pt>
                <c:pt idx="409">
                  <c:v>-32.708399999999997</c:v>
                </c:pt>
                <c:pt idx="410">
                  <c:v>-33.745999999999995</c:v>
                </c:pt>
                <c:pt idx="411">
                  <c:v>-33.745999999999995</c:v>
                </c:pt>
                <c:pt idx="412">
                  <c:v>-33.745999999999995</c:v>
                </c:pt>
                <c:pt idx="413">
                  <c:v>-32.657359999999997</c:v>
                </c:pt>
                <c:pt idx="414">
                  <c:v>-35.251360000000005</c:v>
                </c:pt>
                <c:pt idx="415">
                  <c:v>-35.251360000000005</c:v>
                </c:pt>
                <c:pt idx="416">
                  <c:v>-36.288960000000003</c:v>
                </c:pt>
                <c:pt idx="417">
                  <c:v>-36.288960000000003</c:v>
                </c:pt>
                <c:pt idx="418">
                  <c:v>-36.288960000000003</c:v>
                </c:pt>
                <c:pt idx="419">
                  <c:v>-36.288960000000003</c:v>
                </c:pt>
                <c:pt idx="420">
                  <c:v>-33.425600000000003</c:v>
                </c:pt>
                <c:pt idx="421">
                  <c:v>-33.425600000000003</c:v>
                </c:pt>
                <c:pt idx="422">
                  <c:v>-33.425600000000003</c:v>
                </c:pt>
                <c:pt idx="423">
                  <c:v>-33.425600000000003</c:v>
                </c:pt>
                <c:pt idx="424">
                  <c:v>-33.425600000000003</c:v>
                </c:pt>
                <c:pt idx="425">
                  <c:v>-33.425600000000003</c:v>
                </c:pt>
                <c:pt idx="426">
                  <c:v>-33.425600000000003</c:v>
                </c:pt>
                <c:pt idx="427">
                  <c:v>-29.604000000000013</c:v>
                </c:pt>
                <c:pt idx="428">
                  <c:v>-29.604000000000013</c:v>
                </c:pt>
                <c:pt idx="429">
                  <c:v>-29.604000000000013</c:v>
                </c:pt>
                <c:pt idx="430">
                  <c:v>-29.604000000000013</c:v>
                </c:pt>
                <c:pt idx="431">
                  <c:v>-29.604000000000013</c:v>
                </c:pt>
                <c:pt idx="432">
                  <c:v>-29.604000000000013</c:v>
                </c:pt>
                <c:pt idx="433">
                  <c:v>-29.604000000000013</c:v>
                </c:pt>
                <c:pt idx="434">
                  <c:v>-25.652000000000001</c:v>
                </c:pt>
                <c:pt idx="435">
                  <c:v>-25.652000000000001</c:v>
                </c:pt>
                <c:pt idx="436">
                  <c:v>-25.652000000000001</c:v>
                </c:pt>
                <c:pt idx="437">
                  <c:v>-25.652000000000001</c:v>
                </c:pt>
                <c:pt idx="438">
                  <c:v>-25.652000000000001</c:v>
                </c:pt>
                <c:pt idx="439">
                  <c:v>-25.652000000000001</c:v>
                </c:pt>
                <c:pt idx="440">
                  <c:v>-25.652000000000001</c:v>
                </c:pt>
                <c:pt idx="441">
                  <c:v>-17.577920000000006</c:v>
                </c:pt>
                <c:pt idx="442">
                  <c:v>-16.540320000000008</c:v>
                </c:pt>
                <c:pt idx="443">
                  <c:v>-17.577920000000006</c:v>
                </c:pt>
                <c:pt idx="444">
                  <c:v>-17.577920000000006</c:v>
                </c:pt>
                <c:pt idx="445">
                  <c:v>-17.577920000000006</c:v>
                </c:pt>
                <c:pt idx="446">
                  <c:v>-17.577920000000006</c:v>
                </c:pt>
                <c:pt idx="447">
                  <c:v>-17.577920000000006</c:v>
                </c:pt>
                <c:pt idx="448">
                  <c:v>-17.294399999999996</c:v>
                </c:pt>
                <c:pt idx="449">
                  <c:v>-17.294399999999996</c:v>
                </c:pt>
                <c:pt idx="450">
                  <c:v>-17.294399999999996</c:v>
                </c:pt>
                <c:pt idx="451">
                  <c:v>-17.294399999999996</c:v>
                </c:pt>
                <c:pt idx="452">
                  <c:v>-17.294399999999996</c:v>
                </c:pt>
                <c:pt idx="453">
                  <c:v>-17.294399999999996</c:v>
                </c:pt>
                <c:pt idx="454">
                  <c:v>-17.294399999999996</c:v>
                </c:pt>
                <c:pt idx="455">
                  <c:v>-13.665599999999998</c:v>
                </c:pt>
                <c:pt idx="456">
                  <c:v>-13.665599999999998</c:v>
                </c:pt>
                <c:pt idx="457">
                  <c:v>-13.665599999999998</c:v>
                </c:pt>
                <c:pt idx="458">
                  <c:v>-13.665599999999998</c:v>
                </c:pt>
                <c:pt idx="459">
                  <c:v>-13.665599999999998</c:v>
                </c:pt>
                <c:pt idx="460">
                  <c:v>-13.665599999999998</c:v>
                </c:pt>
                <c:pt idx="461">
                  <c:v>-13.665599999999998</c:v>
                </c:pt>
                <c:pt idx="462">
                  <c:v>-0.51120000000000232</c:v>
                </c:pt>
                <c:pt idx="463">
                  <c:v>-0.51120000000000232</c:v>
                </c:pt>
                <c:pt idx="464">
                  <c:v>-0.51120000000000232</c:v>
                </c:pt>
                <c:pt idx="465">
                  <c:v>-0.51120000000000232</c:v>
                </c:pt>
                <c:pt idx="466">
                  <c:v>-0.51120000000000232</c:v>
                </c:pt>
                <c:pt idx="467">
                  <c:v>-0.51120000000000232</c:v>
                </c:pt>
                <c:pt idx="468">
                  <c:v>-0.51120000000000232</c:v>
                </c:pt>
                <c:pt idx="469">
                  <c:v>2.9872000000000014</c:v>
                </c:pt>
                <c:pt idx="470">
                  <c:v>1.9496000000000038</c:v>
                </c:pt>
                <c:pt idx="471">
                  <c:v>1.9496000000000038</c:v>
                </c:pt>
                <c:pt idx="472">
                  <c:v>2.9872000000000014</c:v>
                </c:pt>
                <c:pt idx="473">
                  <c:v>2.9872000000000014</c:v>
                </c:pt>
                <c:pt idx="474">
                  <c:v>2.9872000000000014</c:v>
                </c:pt>
                <c:pt idx="475">
                  <c:v>2.9872000000000014</c:v>
                </c:pt>
                <c:pt idx="476">
                  <c:v>4.347999999999999</c:v>
                </c:pt>
                <c:pt idx="477">
                  <c:v>2.2727999999999895</c:v>
                </c:pt>
                <c:pt idx="478">
                  <c:v>1.7539999999999907</c:v>
                </c:pt>
                <c:pt idx="479">
                  <c:v>1.7539999999999907</c:v>
                </c:pt>
                <c:pt idx="480">
                  <c:v>1.7539999999999907</c:v>
                </c:pt>
                <c:pt idx="481">
                  <c:v>1.7539999999999907</c:v>
                </c:pt>
                <c:pt idx="482">
                  <c:v>1.7539999999999907</c:v>
                </c:pt>
                <c:pt idx="483">
                  <c:v>0.39319999999999311</c:v>
                </c:pt>
                <c:pt idx="484">
                  <c:v>0.39319999999999311</c:v>
                </c:pt>
                <c:pt idx="485">
                  <c:v>0.39319999999999311</c:v>
                </c:pt>
                <c:pt idx="486">
                  <c:v>0.39319999999999311</c:v>
                </c:pt>
                <c:pt idx="487">
                  <c:v>0.39319999999999311</c:v>
                </c:pt>
                <c:pt idx="488">
                  <c:v>0.39319999999999311</c:v>
                </c:pt>
                <c:pt idx="489">
                  <c:v>0.39319999999999311</c:v>
                </c:pt>
                <c:pt idx="490">
                  <c:v>2.4343999999999966</c:v>
                </c:pt>
                <c:pt idx="491">
                  <c:v>2.4343999999999966</c:v>
                </c:pt>
                <c:pt idx="492">
                  <c:v>2.4343999999999966</c:v>
                </c:pt>
                <c:pt idx="493">
                  <c:v>2.4343999999999966</c:v>
                </c:pt>
                <c:pt idx="494">
                  <c:v>0</c:v>
                </c:pt>
                <c:pt idx="495">
                  <c:v>0</c:v>
                </c:pt>
              </c:numCache>
            </c:numRef>
          </c:val>
          <c:extLst>
            <c:ext xmlns:c16="http://schemas.microsoft.com/office/drawing/2014/chart" uri="{C3380CC4-5D6E-409C-BE32-E72D297353CC}">
              <c16:uniqueId val="{00000000-7780-4A88-AC58-66791CBA5B1E}"/>
            </c:ext>
          </c:extLst>
        </c:ser>
        <c:dLbls>
          <c:showLegendKey val="0"/>
          <c:showVal val="0"/>
          <c:showCatName val="0"/>
          <c:showSerName val="0"/>
          <c:showPercent val="0"/>
          <c:showBubbleSize val="0"/>
        </c:dLbls>
        <c:gapWidth val="0"/>
        <c:overlap val="-35"/>
        <c:axId val="1085095912"/>
        <c:axId val="1048295280"/>
      </c:barChart>
      <c:lineChart>
        <c:grouping val="standard"/>
        <c:varyColors val="0"/>
        <c:ser>
          <c:idx val="0"/>
          <c:order val="0"/>
          <c:tx>
            <c:strRef>
              <c:f>ImportArb!$Q$4</c:f>
              <c:strCache>
                <c:ptCount val="1"/>
                <c:pt idx="0">
                  <c:v>Colombian</c:v>
                </c:pt>
              </c:strCache>
            </c:strRef>
          </c:tx>
          <c:spPr>
            <a:ln w="19050">
              <a:solidFill>
                <a:srgbClr val="02A3D5"/>
              </a:solidFill>
            </a:ln>
          </c:spPr>
          <c:marker>
            <c:symbol val="none"/>
          </c:marker>
          <c:cat>
            <c:numRef>
              <c:f>ImportArb!$P$5:$P$500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ImportArb!$Q$5:$Q$500</c:f>
              <c:numCache>
                <c:formatCode>#,##0.00</c:formatCode>
                <c:ptCount val="496"/>
                <c:pt idx="0">
                  <c:v>324.59616</c:v>
                </c:pt>
                <c:pt idx="1">
                  <c:v>324.59616</c:v>
                </c:pt>
                <c:pt idx="2">
                  <c:v>324.59616</c:v>
                </c:pt>
                <c:pt idx="3">
                  <c:v>324.59616</c:v>
                </c:pt>
                <c:pt idx="4">
                  <c:v>324.59616</c:v>
                </c:pt>
                <c:pt idx="5">
                  <c:v>324.59616</c:v>
                </c:pt>
                <c:pt idx="6">
                  <c:v>324.59616</c:v>
                </c:pt>
                <c:pt idx="7">
                  <c:v>326.50128000000001</c:v>
                </c:pt>
                <c:pt idx="8">
                  <c:v>326.50128000000001</c:v>
                </c:pt>
                <c:pt idx="9">
                  <c:v>326.50128000000001</c:v>
                </c:pt>
                <c:pt idx="10">
                  <c:v>326.50128000000001</c:v>
                </c:pt>
                <c:pt idx="11">
                  <c:v>326.50128000000001</c:v>
                </c:pt>
                <c:pt idx="12">
                  <c:v>326.50128000000001</c:v>
                </c:pt>
                <c:pt idx="13">
                  <c:v>326.50128000000001</c:v>
                </c:pt>
                <c:pt idx="14">
                  <c:v>345.64319999999998</c:v>
                </c:pt>
                <c:pt idx="15">
                  <c:v>345.64319999999998</c:v>
                </c:pt>
                <c:pt idx="16">
                  <c:v>345.64319999999998</c:v>
                </c:pt>
                <c:pt idx="17">
                  <c:v>345.64319999999998</c:v>
                </c:pt>
                <c:pt idx="18">
                  <c:v>345.64319999999998</c:v>
                </c:pt>
                <c:pt idx="19">
                  <c:v>345.64319999999998</c:v>
                </c:pt>
                <c:pt idx="20">
                  <c:v>345.64319999999998</c:v>
                </c:pt>
                <c:pt idx="21">
                  <c:v>337.02480000000003</c:v>
                </c:pt>
                <c:pt idx="22">
                  <c:v>337.02480000000003</c:v>
                </c:pt>
                <c:pt idx="23">
                  <c:v>337.02480000000003</c:v>
                </c:pt>
                <c:pt idx="24">
                  <c:v>337.02480000000003</c:v>
                </c:pt>
                <c:pt idx="25">
                  <c:v>337.02480000000003</c:v>
                </c:pt>
                <c:pt idx="26">
                  <c:v>337.02480000000003</c:v>
                </c:pt>
                <c:pt idx="27">
                  <c:v>337.02480000000003</c:v>
                </c:pt>
                <c:pt idx="28">
                  <c:v>303.05016000000001</c:v>
                </c:pt>
                <c:pt idx="29">
                  <c:v>303.05016000000001</c:v>
                </c:pt>
                <c:pt idx="30">
                  <c:v>303.05016000000001</c:v>
                </c:pt>
                <c:pt idx="31">
                  <c:v>303.05016000000001</c:v>
                </c:pt>
                <c:pt idx="32">
                  <c:v>303.05016000000001</c:v>
                </c:pt>
                <c:pt idx="33">
                  <c:v>303.05016000000001</c:v>
                </c:pt>
                <c:pt idx="34">
                  <c:v>303.05016000000001</c:v>
                </c:pt>
                <c:pt idx="35">
                  <c:v>312.75720000000001</c:v>
                </c:pt>
                <c:pt idx="36">
                  <c:v>312.75720000000001</c:v>
                </c:pt>
                <c:pt idx="37">
                  <c:v>312.75720000000001</c:v>
                </c:pt>
                <c:pt idx="38">
                  <c:v>312.75720000000001</c:v>
                </c:pt>
                <c:pt idx="39">
                  <c:v>312.75720000000001</c:v>
                </c:pt>
                <c:pt idx="40">
                  <c:v>312.75720000000001</c:v>
                </c:pt>
                <c:pt idx="41">
                  <c:v>312.75720000000001</c:v>
                </c:pt>
                <c:pt idx="42">
                  <c:v>341.47008</c:v>
                </c:pt>
                <c:pt idx="43">
                  <c:v>341.47008</c:v>
                </c:pt>
                <c:pt idx="44">
                  <c:v>341.47008</c:v>
                </c:pt>
                <c:pt idx="45">
                  <c:v>341.47008</c:v>
                </c:pt>
                <c:pt idx="46">
                  <c:v>341.47008</c:v>
                </c:pt>
                <c:pt idx="47">
                  <c:v>341.47008</c:v>
                </c:pt>
                <c:pt idx="48">
                  <c:v>341.47008</c:v>
                </c:pt>
                <c:pt idx="49">
                  <c:v>360.33983999999998</c:v>
                </c:pt>
                <c:pt idx="50">
                  <c:v>360.33983999999998</c:v>
                </c:pt>
                <c:pt idx="51">
                  <c:v>360.33983999999998</c:v>
                </c:pt>
                <c:pt idx="52">
                  <c:v>360.33983999999998</c:v>
                </c:pt>
                <c:pt idx="53">
                  <c:v>360.33983999999998</c:v>
                </c:pt>
                <c:pt idx="54">
                  <c:v>360.33983999999998</c:v>
                </c:pt>
                <c:pt idx="55">
                  <c:v>360.33983999999998</c:v>
                </c:pt>
                <c:pt idx="56">
                  <c:v>376.26120000000003</c:v>
                </c:pt>
                <c:pt idx="57">
                  <c:v>376.26120000000003</c:v>
                </c:pt>
                <c:pt idx="58">
                  <c:v>376.26120000000003</c:v>
                </c:pt>
                <c:pt idx="59">
                  <c:v>376.26120000000003</c:v>
                </c:pt>
                <c:pt idx="60">
                  <c:v>376.26120000000003</c:v>
                </c:pt>
                <c:pt idx="61">
                  <c:v>376.26120000000003</c:v>
                </c:pt>
                <c:pt idx="62">
                  <c:v>376.26120000000003</c:v>
                </c:pt>
                <c:pt idx="63">
                  <c:v>373.31279999999998</c:v>
                </c:pt>
                <c:pt idx="64">
                  <c:v>373.31279999999998</c:v>
                </c:pt>
                <c:pt idx="65">
                  <c:v>373.31279999999998</c:v>
                </c:pt>
                <c:pt idx="66">
                  <c:v>373.31279999999998</c:v>
                </c:pt>
                <c:pt idx="67">
                  <c:v>373.31279999999998</c:v>
                </c:pt>
                <c:pt idx="68">
                  <c:v>373.31279999999998</c:v>
                </c:pt>
                <c:pt idx="69">
                  <c:v>373.31279999999998</c:v>
                </c:pt>
                <c:pt idx="70">
                  <c:v>360.83879999999999</c:v>
                </c:pt>
                <c:pt idx="71">
                  <c:v>360.83879999999999</c:v>
                </c:pt>
                <c:pt idx="72">
                  <c:v>360.83879999999999</c:v>
                </c:pt>
                <c:pt idx="73">
                  <c:v>360.83879999999999</c:v>
                </c:pt>
                <c:pt idx="74">
                  <c:v>360.83879999999999</c:v>
                </c:pt>
                <c:pt idx="75">
                  <c:v>360.83879999999999</c:v>
                </c:pt>
                <c:pt idx="76">
                  <c:v>360.83879999999999</c:v>
                </c:pt>
                <c:pt idx="77">
                  <c:v>373.53960000000001</c:v>
                </c:pt>
                <c:pt idx="78">
                  <c:v>373.53960000000001</c:v>
                </c:pt>
                <c:pt idx="79">
                  <c:v>373.53960000000001</c:v>
                </c:pt>
                <c:pt idx="80">
                  <c:v>373.53960000000001</c:v>
                </c:pt>
                <c:pt idx="81">
                  <c:v>373.53960000000001</c:v>
                </c:pt>
                <c:pt idx="82">
                  <c:v>373.53960000000001</c:v>
                </c:pt>
                <c:pt idx="83">
                  <c:v>373.53960000000001</c:v>
                </c:pt>
                <c:pt idx="84">
                  <c:v>351.76679999999999</c:v>
                </c:pt>
                <c:pt idx="85">
                  <c:v>351.76679999999999</c:v>
                </c:pt>
                <c:pt idx="86">
                  <c:v>351.76679999999999</c:v>
                </c:pt>
                <c:pt idx="87">
                  <c:v>351.76679999999999</c:v>
                </c:pt>
                <c:pt idx="88">
                  <c:v>351.76679999999999</c:v>
                </c:pt>
                <c:pt idx="89">
                  <c:v>351.76679999999999</c:v>
                </c:pt>
                <c:pt idx="90">
                  <c:v>351.76679999999999</c:v>
                </c:pt>
                <c:pt idx="91">
                  <c:v>309.1284</c:v>
                </c:pt>
                <c:pt idx="92">
                  <c:v>309.1284</c:v>
                </c:pt>
                <c:pt idx="93">
                  <c:v>309.1284</c:v>
                </c:pt>
                <c:pt idx="94">
                  <c:v>309.1284</c:v>
                </c:pt>
                <c:pt idx="95">
                  <c:v>309.1284</c:v>
                </c:pt>
                <c:pt idx="96">
                  <c:v>309.1284</c:v>
                </c:pt>
                <c:pt idx="97">
                  <c:v>309.1284</c:v>
                </c:pt>
                <c:pt idx="98">
                  <c:v>323.41680000000002</c:v>
                </c:pt>
                <c:pt idx="99">
                  <c:v>323.41680000000002</c:v>
                </c:pt>
                <c:pt idx="100">
                  <c:v>323.41680000000002</c:v>
                </c:pt>
                <c:pt idx="101">
                  <c:v>323.41680000000002</c:v>
                </c:pt>
                <c:pt idx="102">
                  <c:v>323.41680000000002</c:v>
                </c:pt>
                <c:pt idx="103">
                  <c:v>323.41680000000002</c:v>
                </c:pt>
                <c:pt idx="104">
                  <c:v>323.41680000000002</c:v>
                </c:pt>
                <c:pt idx="105">
                  <c:v>306.40679999999998</c:v>
                </c:pt>
                <c:pt idx="106">
                  <c:v>306.40679999999998</c:v>
                </c:pt>
                <c:pt idx="107">
                  <c:v>306.40679999999998</c:v>
                </c:pt>
                <c:pt idx="108">
                  <c:v>306.40679999999998</c:v>
                </c:pt>
                <c:pt idx="109">
                  <c:v>306.40679999999998</c:v>
                </c:pt>
                <c:pt idx="110">
                  <c:v>306.40679999999998</c:v>
                </c:pt>
                <c:pt idx="111">
                  <c:v>306.40679999999998</c:v>
                </c:pt>
                <c:pt idx="112">
                  <c:v>324.55079999999998</c:v>
                </c:pt>
                <c:pt idx="113">
                  <c:v>324.55079999999998</c:v>
                </c:pt>
                <c:pt idx="114">
                  <c:v>324.55079999999998</c:v>
                </c:pt>
                <c:pt idx="115">
                  <c:v>324.55079999999998</c:v>
                </c:pt>
                <c:pt idx="116">
                  <c:v>324.55079999999998</c:v>
                </c:pt>
                <c:pt idx="117">
                  <c:v>324.55079999999998</c:v>
                </c:pt>
                <c:pt idx="118">
                  <c:v>324.55079999999998</c:v>
                </c:pt>
                <c:pt idx="119">
                  <c:v>313.6644</c:v>
                </c:pt>
                <c:pt idx="120">
                  <c:v>313.6644</c:v>
                </c:pt>
                <c:pt idx="121">
                  <c:v>313.6644</c:v>
                </c:pt>
                <c:pt idx="122">
                  <c:v>313.6644</c:v>
                </c:pt>
                <c:pt idx="123">
                  <c:v>313.6644</c:v>
                </c:pt>
                <c:pt idx="124">
                  <c:v>313.6644</c:v>
                </c:pt>
                <c:pt idx="125">
                  <c:v>313.6644</c:v>
                </c:pt>
                <c:pt idx="126">
                  <c:v>295.5204</c:v>
                </c:pt>
                <c:pt idx="127">
                  <c:v>295.5204</c:v>
                </c:pt>
                <c:pt idx="128">
                  <c:v>295.5204</c:v>
                </c:pt>
                <c:pt idx="129">
                  <c:v>295.5204</c:v>
                </c:pt>
                <c:pt idx="130">
                  <c:v>295.5204</c:v>
                </c:pt>
                <c:pt idx="131">
                  <c:v>295.5204</c:v>
                </c:pt>
                <c:pt idx="132">
                  <c:v>295.5204</c:v>
                </c:pt>
                <c:pt idx="133">
                  <c:v>264.26736</c:v>
                </c:pt>
                <c:pt idx="134">
                  <c:v>264.26736</c:v>
                </c:pt>
                <c:pt idx="135">
                  <c:v>264.26736</c:v>
                </c:pt>
                <c:pt idx="136">
                  <c:v>264.26736</c:v>
                </c:pt>
                <c:pt idx="137">
                  <c:v>264.26736</c:v>
                </c:pt>
                <c:pt idx="138">
                  <c:v>264.26736</c:v>
                </c:pt>
                <c:pt idx="139">
                  <c:v>264.26736</c:v>
                </c:pt>
                <c:pt idx="140">
                  <c:v>357.43680000000001</c:v>
                </c:pt>
                <c:pt idx="141">
                  <c:v>357.43680000000001</c:v>
                </c:pt>
                <c:pt idx="142">
                  <c:v>357.43680000000001</c:v>
                </c:pt>
                <c:pt idx="143">
                  <c:v>357.43680000000001</c:v>
                </c:pt>
                <c:pt idx="144">
                  <c:v>357.43680000000001</c:v>
                </c:pt>
                <c:pt idx="145">
                  <c:v>357.43680000000001</c:v>
                </c:pt>
                <c:pt idx="146">
                  <c:v>357.43680000000001</c:v>
                </c:pt>
                <c:pt idx="147">
                  <c:v>331.85376000000002</c:v>
                </c:pt>
                <c:pt idx="148">
                  <c:v>331.85376000000002</c:v>
                </c:pt>
                <c:pt idx="149">
                  <c:v>331.85376000000002</c:v>
                </c:pt>
                <c:pt idx="150">
                  <c:v>331.85376000000002</c:v>
                </c:pt>
                <c:pt idx="151">
                  <c:v>331.85376000000002</c:v>
                </c:pt>
                <c:pt idx="152">
                  <c:v>331.85376000000002</c:v>
                </c:pt>
                <c:pt idx="153">
                  <c:v>331.85376000000002</c:v>
                </c:pt>
                <c:pt idx="154">
                  <c:v>293.0256</c:v>
                </c:pt>
                <c:pt idx="155">
                  <c:v>293.0256</c:v>
                </c:pt>
                <c:pt idx="156">
                  <c:v>293.0256</c:v>
                </c:pt>
                <c:pt idx="157">
                  <c:v>293.0256</c:v>
                </c:pt>
                <c:pt idx="158">
                  <c:v>293.0256</c:v>
                </c:pt>
                <c:pt idx="159">
                  <c:v>293.0256</c:v>
                </c:pt>
                <c:pt idx="160">
                  <c:v>293.0256</c:v>
                </c:pt>
                <c:pt idx="161">
                  <c:v>285.5412</c:v>
                </c:pt>
                <c:pt idx="162">
                  <c:v>285.5412</c:v>
                </c:pt>
                <c:pt idx="163">
                  <c:v>285.5412</c:v>
                </c:pt>
                <c:pt idx="164">
                  <c:v>285.5412</c:v>
                </c:pt>
                <c:pt idx="165">
                  <c:v>285.5412</c:v>
                </c:pt>
                <c:pt idx="166">
                  <c:v>285.5412</c:v>
                </c:pt>
                <c:pt idx="167">
                  <c:v>285.5412</c:v>
                </c:pt>
                <c:pt idx="168">
                  <c:v>274.428</c:v>
                </c:pt>
                <c:pt idx="169">
                  <c:v>274.428</c:v>
                </c:pt>
                <c:pt idx="170">
                  <c:v>274.428</c:v>
                </c:pt>
                <c:pt idx="171">
                  <c:v>274.428</c:v>
                </c:pt>
                <c:pt idx="172">
                  <c:v>274.428</c:v>
                </c:pt>
                <c:pt idx="173">
                  <c:v>274.428</c:v>
                </c:pt>
                <c:pt idx="174">
                  <c:v>274.428</c:v>
                </c:pt>
                <c:pt idx="175">
                  <c:v>277.14960000000002</c:v>
                </c:pt>
                <c:pt idx="176">
                  <c:v>277.14960000000002</c:v>
                </c:pt>
                <c:pt idx="177">
                  <c:v>277.14960000000002</c:v>
                </c:pt>
                <c:pt idx="178">
                  <c:v>277.14960000000002</c:v>
                </c:pt>
                <c:pt idx="179">
                  <c:v>277.14960000000002</c:v>
                </c:pt>
                <c:pt idx="180">
                  <c:v>277.14960000000002</c:v>
                </c:pt>
                <c:pt idx="181">
                  <c:v>277.14960000000002</c:v>
                </c:pt>
                <c:pt idx="182">
                  <c:v>373.08600000000001</c:v>
                </c:pt>
                <c:pt idx="183">
                  <c:v>373.08600000000001</c:v>
                </c:pt>
                <c:pt idx="184">
                  <c:v>373.08600000000001</c:v>
                </c:pt>
                <c:pt idx="185">
                  <c:v>373.08600000000001</c:v>
                </c:pt>
                <c:pt idx="186">
                  <c:v>373.08600000000001</c:v>
                </c:pt>
                <c:pt idx="187">
                  <c:v>373.08600000000001</c:v>
                </c:pt>
                <c:pt idx="188">
                  <c:v>373.08600000000001</c:v>
                </c:pt>
                <c:pt idx="189">
                  <c:v>311.48712</c:v>
                </c:pt>
                <c:pt idx="190">
                  <c:v>311.48712</c:v>
                </c:pt>
                <c:pt idx="191">
                  <c:v>311.48712</c:v>
                </c:pt>
                <c:pt idx="192">
                  <c:v>311.48712</c:v>
                </c:pt>
                <c:pt idx="193">
                  <c:v>311.48712</c:v>
                </c:pt>
                <c:pt idx="194">
                  <c:v>311.48712</c:v>
                </c:pt>
                <c:pt idx="195">
                  <c:v>311.48712</c:v>
                </c:pt>
                <c:pt idx="196">
                  <c:v>220.58568</c:v>
                </c:pt>
                <c:pt idx="197">
                  <c:v>220.58568</c:v>
                </c:pt>
                <c:pt idx="198">
                  <c:v>220.58568</c:v>
                </c:pt>
                <c:pt idx="199">
                  <c:v>220.58568</c:v>
                </c:pt>
                <c:pt idx="200">
                  <c:v>220.58568</c:v>
                </c:pt>
                <c:pt idx="201">
                  <c:v>220.58568</c:v>
                </c:pt>
                <c:pt idx="202">
                  <c:v>220.58568</c:v>
                </c:pt>
                <c:pt idx="203">
                  <c:v>181.98432</c:v>
                </c:pt>
                <c:pt idx="204">
                  <c:v>181.98432</c:v>
                </c:pt>
                <c:pt idx="205">
                  <c:v>181.98432</c:v>
                </c:pt>
                <c:pt idx="206">
                  <c:v>181.98432</c:v>
                </c:pt>
                <c:pt idx="207">
                  <c:v>181.98432</c:v>
                </c:pt>
                <c:pt idx="208">
                  <c:v>181.98432</c:v>
                </c:pt>
                <c:pt idx="209">
                  <c:v>181.98432</c:v>
                </c:pt>
                <c:pt idx="210">
                  <c:v>189.24191999999999</c:v>
                </c:pt>
                <c:pt idx="211">
                  <c:v>189.24191999999999</c:v>
                </c:pt>
                <c:pt idx="212">
                  <c:v>189.24191999999999</c:v>
                </c:pt>
                <c:pt idx="213">
                  <c:v>189.24191999999999</c:v>
                </c:pt>
                <c:pt idx="214">
                  <c:v>189.24191999999999</c:v>
                </c:pt>
                <c:pt idx="215">
                  <c:v>189.24191999999999</c:v>
                </c:pt>
                <c:pt idx="216">
                  <c:v>189.24191999999999</c:v>
                </c:pt>
                <c:pt idx="217">
                  <c:v>174.1824</c:v>
                </c:pt>
                <c:pt idx="218">
                  <c:v>174.1824</c:v>
                </c:pt>
                <c:pt idx="219">
                  <c:v>174.1824</c:v>
                </c:pt>
                <c:pt idx="220">
                  <c:v>174.1824</c:v>
                </c:pt>
                <c:pt idx="221">
                  <c:v>174.1824</c:v>
                </c:pt>
                <c:pt idx="222">
                  <c:v>174.1824</c:v>
                </c:pt>
                <c:pt idx="223">
                  <c:v>174.1824</c:v>
                </c:pt>
                <c:pt idx="224">
                  <c:v>191.64600000000002</c:v>
                </c:pt>
                <c:pt idx="225">
                  <c:v>191.64600000000002</c:v>
                </c:pt>
                <c:pt idx="226">
                  <c:v>191.64600000000002</c:v>
                </c:pt>
                <c:pt idx="227">
                  <c:v>191.64600000000002</c:v>
                </c:pt>
                <c:pt idx="228">
                  <c:v>191.64600000000002</c:v>
                </c:pt>
                <c:pt idx="229">
                  <c:v>191.64600000000002</c:v>
                </c:pt>
                <c:pt idx="230">
                  <c:v>191.64600000000002</c:v>
                </c:pt>
                <c:pt idx="231">
                  <c:v>169.19280000000001</c:v>
                </c:pt>
                <c:pt idx="232">
                  <c:v>169.19280000000001</c:v>
                </c:pt>
                <c:pt idx="233">
                  <c:v>169.19280000000001</c:v>
                </c:pt>
                <c:pt idx="234">
                  <c:v>169.19280000000001</c:v>
                </c:pt>
                <c:pt idx="235">
                  <c:v>169.19280000000001</c:v>
                </c:pt>
                <c:pt idx="236">
                  <c:v>169.19280000000001</c:v>
                </c:pt>
                <c:pt idx="237">
                  <c:v>169.19280000000001</c:v>
                </c:pt>
                <c:pt idx="238">
                  <c:v>149.59728000000001</c:v>
                </c:pt>
                <c:pt idx="239">
                  <c:v>149.59728000000001</c:v>
                </c:pt>
                <c:pt idx="240">
                  <c:v>149.59728000000001</c:v>
                </c:pt>
                <c:pt idx="241">
                  <c:v>149.59728000000001</c:v>
                </c:pt>
                <c:pt idx="242">
                  <c:v>149.59728000000001</c:v>
                </c:pt>
                <c:pt idx="243">
                  <c:v>149.59728000000001</c:v>
                </c:pt>
                <c:pt idx="244">
                  <c:v>149.59728000000001</c:v>
                </c:pt>
                <c:pt idx="245">
                  <c:v>137.53152</c:v>
                </c:pt>
                <c:pt idx="246">
                  <c:v>137.53152</c:v>
                </c:pt>
                <c:pt idx="247">
                  <c:v>137.53152</c:v>
                </c:pt>
                <c:pt idx="248">
                  <c:v>137.53152</c:v>
                </c:pt>
                <c:pt idx="249">
                  <c:v>137.53152</c:v>
                </c:pt>
                <c:pt idx="250">
                  <c:v>137.53152</c:v>
                </c:pt>
                <c:pt idx="251">
                  <c:v>137.53152</c:v>
                </c:pt>
                <c:pt idx="252">
                  <c:v>125.4204</c:v>
                </c:pt>
                <c:pt idx="253">
                  <c:v>125.4204</c:v>
                </c:pt>
                <c:pt idx="254">
                  <c:v>125.4204</c:v>
                </c:pt>
                <c:pt idx="255">
                  <c:v>125.4204</c:v>
                </c:pt>
                <c:pt idx="256">
                  <c:v>125.4204</c:v>
                </c:pt>
                <c:pt idx="257">
                  <c:v>125.4204</c:v>
                </c:pt>
                <c:pt idx="258">
                  <c:v>125.4204</c:v>
                </c:pt>
                <c:pt idx="259">
                  <c:v>157.80743999999999</c:v>
                </c:pt>
                <c:pt idx="260">
                  <c:v>157.80743999999999</c:v>
                </c:pt>
                <c:pt idx="261">
                  <c:v>157.80743999999999</c:v>
                </c:pt>
                <c:pt idx="262">
                  <c:v>157.80743999999999</c:v>
                </c:pt>
                <c:pt idx="263">
                  <c:v>157.80743999999999</c:v>
                </c:pt>
                <c:pt idx="264">
                  <c:v>157.80743999999999</c:v>
                </c:pt>
                <c:pt idx="265">
                  <c:v>157.80743999999999</c:v>
                </c:pt>
                <c:pt idx="266">
                  <c:v>155.26728</c:v>
                </c:pt>
                <c:pt idx="267">
                  <c:v>155.26728</c:v>
                </c:pt>
                <c:pt idx="268">
                  <c:v>155.26728</c:v>
                </c:pt>
                <c:pt idx="269">
                  <c:v>155.26728</c:v>
                </c:pt>
                <c:pt idx="270">
                  <c:v>155.26728</c:v>
                </c:pt>
                <c:pt idx="271">
                  <c:v>155.26728</c:v>
                </c:pt>
                <c:pt idx="272">
                  <c:v>155.26728</c:v>
                </c:pt>
                <c:pt idx="273">
                  <c:v>146.0592</c:v>
                </c:pt>
                <c:pt idx="274">
                  <c:v>146.0592</c:v>
                </c:pt>
                <c:pt idx="275">
                  <c:v>146.0592</c:v>
                </c:pt>
                <c:pt idx="276">
                  <c:v>146.0592</c:v>
                </c:pt>
                <c:pt idx="277">
                  <c:v>146.0592</c:v>
                </c:pt>
                <c:pt idx="278">
                  <c:v>146.0592</c:v>
                </c:pt>
                <c:pt idx="279">
                  <c:v>146.0592</c:v>
                </c:pt>
                <c:pt idx="280">
                  <c:v>135.62639999999999</c:v>
                </c:pt>
                <c:pt idx="281">
                  <c:v>135.62639999999999</c:v>
                </c:pt>
                <c:pt idx="282">
                  <c:v>135.62639999999999</c:v>
                </c:pt>
                <c:pt idx="283">
                  <c:v>135.62639999999999</c:v>
                </c:pt>
                <c:pt idx="284">
                  <c:v>135.62639999999999</c:v>
                </c:pt>
                <c:pt idx="285">
                  <c:v>135.62639999999999</c:v>
                </c:pt>
                <c:pt idx="286">
                  <c:v>135.62639999999999</c:v>
                </c:pt>
                <c:pt idx="287">
                  <c:v>160.80119999999999</c:v>
                </c:pt>
                <c:pt idx="288">
                  <c:v>160.80119999999999</c:v>
                </c:pt>
                <c:pt idx="289">
                  <c:v>160.80119999999999</c:v>
                </c:pt>
                <c:pt idx="290">
                  <c:v>160.80119999999999</c:v>
                </c:pt>
                <c:pt idx="291">
                  <c:v>160.80119999999999</c:v>
                </c:pt>
                <c:pt idx="292">
                  <c:v>160.80119999999999</c:v>
                </c:pt>
                <c:pt idx="293">
                  <c:v>160.80119999999999</c:v>
                </c:pt>
                <c:pt idx="294">
                  <c:v>159.71256000000002</c:v>
                </c:pt>
                <c:pt idx="295">
                  <c:v>159.71256000000002</c:v>
                </c:pt>
                <c:pt idx="296">
                  <c:v>159.71256000000002</c:v>
                </c:pt>
                <c:pt idx="297">
                  <c:v>159.71256000000002</c:v>
                </c:pt>
                <c:pt idx="298">
                  <c:v>159.71256000000002</c:v>
                </c:pt>
                <c:pt idx="299">
                  <c:v>159.71256000000002</c:v>
                </c:pt>
                <c:pt idx="300">
                  <c:v>159.71256000000002</c:v>
                </c:pt>
                <c:pt idx="301">
                  <c:v>169.46496000000002</c:v>
                </c:pt>
                <c:pt idx="302">
                  <c:v>169.46496000000002</c:v>
                </c:pt>
                <c:pt idx="303">
                  <c:v>169.46496000000002</c:v>
                </c:pt>
                <c:pt idx="304">
                  <c:v>169.46496000000002</c:v>
                </c:pt>
                <c:pt idx="305">
                  <c:v>169.46496000000002</c:v>
                </c:pt>
                <c:pt idx="306">
                  <c:v>169.46496000000002</c:v>
                </c:pt>
                <c:pt idx="307">
                  <c:v>169.46496000000002</c:v>
                </c:pt>
                <c:pt idx="308">
                  <c:v>173.36591999999999</c:v>
                </c:pt>
                <c:pt idx="309">
                  <c:v>173.36591999999999</c:v>
                </c:pt>
                <c:pt idx="310">
                  <c:v>173.36591999999999</c:v>
                </c:pt>
                <c:pt idx="311">
                  <c:v>173.36591999999999</c:v>
                </c:pt>
                <c:pt idx="312">
                  <c:v>173.36591999999999</c:v>
                </c:pt>
                <c:pt idx="313">
                  <c:v>173.36591999999999</c:v>
                </c:pt>
                <c:pt idx="314">
                  <c:v>173.36591999999999</c:v>
                </c:pt>
                <c:pt idx="315">
                  <c:v>200.49119999999999</c:v>
                </c:pt>
                <c:pt idx="316">
                  <c:v>200.49119999999999</c:v>
                </c:pt>
                <c:pt idx="317">
                  <c:v>200.49119999999999</c:v>
                </c:pt>
                <c:pt idx="318">
                  <c:v>200.49119999999999</c:v>
                </c:pt>
                <c:pt idx="319">
                  <c:v>200.49119999999999</c:v>
                </c:pt>
                <c:pt idx="320">
                  <c:v>200.49119999999999</c:v>
                </c:pt>
                <c:pt idx="321">
                  <c:v>200.49119999999999</c:v>
                </c:pt>
                <c:pt idx="322">
                  <c:v>217.95480000000001</c:v>
                </c:pt>
                <c:pt idx="323">
                  <c:v>217.95480000000001</c:v>
                </c:pt>
                <c:pt idx="324">
                  <c:v>217.95480000000001</c:v>
                </c:pt>
                <c:pt idx="325">
                  <c:v>217.95480000000001</c:v>
                </c:pt>
                <c:pt idx="326">
                  <c:v>217.95480000000001</c:v>
                </c:pt>
                <c:pt idx="327">
                  <c:v>217.95480000000001</c:v>
                </c:pt>
                <c:pt idx="328">
                  <c:v>217.95480000000001</c:v>
                </c:pt>
                <c:pt idx="329">
                  <c:v>232.60607999999999</c:v>
                </c:pt>
                <c:pt idx="330">
                  <c:v>232.60607999999999</c:v>
                </c:pt>
                <c:pt idx="331">
                  <c:v>232.60607999999999</c:v>
                </c:pt>
                <c:pt idx="332">
                  <c:v>232.60607999999999</c:v>
                </c:pt>
                <c:pt idx="333">
                  <c:v>232.60607999999999</c:v>
                </c:pt>
                <c:pt idx="334">
                  <c:v>232.60607999999999</c:v>
                </c:pt>
                <c:pt idx="335">
                  <c:v>232.60607999999999</c:v>
                </c:pt>
                <c:pt idx="336">
                  <c:v>240.63480000000001</c:v>
                </c:pt>
                <c:pt idx="337">
                  <c:v>240.63480000000001</c:v>
                </c:pt>
                <c:pt idx="338">
                  <c:v>240.63480000000001</c:v>
                </c:pt>
                <c:pt idx="339">
                  <c:v>240.63480000000001</c:v>
                </c:pt>
                <c:pt idx="340">
                  <c:v>240.63480000000001</c:v>
                </c:pt>
                <c:pt idx="341">
                  <c:v>240.63480000000001</c:v>
                </c:pt>
                <c:pt idx="342">
                  <c:v>240.63480000000001</c:v>
                </c:pt>
                <c:pt idx="343">
                  <c:v>211.55903999999998</c:v>
                </c:pt>
                <c:pt idx="344">
                  <c:v>211.55903999999998</c:v>
                </c:pt>
                <c:pt idx="345">
                  <c:v>211.55903999999998</c:v>
                </c:pt>
                <c:pt idx="346">
                  <c:v>211.55903999999998</c:v>
                </c:pt>
                <c:pt idx="347">
                  <c:v>211.55903999999998</c:v>
                </c:pt>
                <c:pt idx="348">
                  <c:v>211.55903999999998</c:v>
                </c:pt>
                <c:pt idx="349">
                  <c:v>211.55903999999998</c:v>
                </c:pt>
                <c:pt idx="350">
                  <c:v>182.02968000000001</c:v>
                </c:pt>
                <c:pt idx="351">
                  <c:v>182.02968000000001</c:v>
                </c:pt>
                <c:pt idx="352">
                  <c:v>182.02968000000001</c:v>
                </c:pt>
                <c:pt idx="353">
                  <c:v>182.02968000000001</c:v>
                </c:pt>
                <c:pt idx="354">
                  <c:v>182.02968000000001</c:v>
                </c:pt>
                <c:pt idx="355">
                  <c:v>182.02968000000001</c:v>
                </c:pt>
                <c:pt idx="356">
                  <c:v>182.02968000000001</c:v>
                </c:pt>
                <c:pt idx="357">
                  <c:v>175.36176</c:v>
                </c:pt>
                <c:pt idx="358">
                  <c:v>175.36176</c:v>
                </c:pt>
                <c:pt idx="359">
                  <c:v>175.36176</c:v>
                </c:pt>
                <c:pt idx="360">
                  <c:v>175.36176</c:v>
                </c:pt>
                <c:pt idx="361">
                  <c:v>175.36176</c:v>
                </c:pt>
                <c:pt idx="362">
                  <c:v>175.36176</c:v>
                </c:pt>
                <c:pt idx="363">
                  <c:v>175.36176</c:v>
                </c:pt>
                <c:pt idx="364">
                  <c:v>171.6876</c:v>
                </c:pt>
                <c:pt idx="365">
                  <c:v>171.6876</c:v>
                </c:pt>
                <c:pt idx="366">
                  <c:v>171.6876</c:v>
                </c:pt>
                <c:pt idx="367">
                  <c:v>171.6876</c:v>
                </c:pt>
                <c:pt idx="368">
                  <c:v>171.6876</c:v>
                </c:pt>
                <c:pt idx="369">
                  <c:v>171.6876</c:v>
                </c:pt>
                <c:pt idx="370">
                  <c:v>171.6876</c:v>
                </c:pt>
                <c:pt idx="371">
                  <c:v>158.53319999999999</c:v>
                </c:pt>
                <c:pt idx="372">
                  <c:v>158.53319999999999</c:v>
                </c:pt>
                <c:pt idx="373">
                  <c:v>158.53319999999999</c:v>
                </c:pt>
                <c:pt idx="374">
                  <c:v>158.53319999999999</c:v>
                </c:pt>
                <c:pt idx="375">
                  <c:v>158.53319999999999</c:v>
                </c:pt>
                <c:pt idx="376">
                  <c:v>158.53319999999999</c:v>
                </c:pt>
                <c:pt idx="377">
                  <c:v>158.53319999999999</c:v>
                </c:pt>
                <c:pt idx="378">
                  <c:v>151.2756</c:v>
                </c:pt>
                <c:pt idx="379">
                  <c:v>151.2756</c:v>
                </c:pt>
                <c:pt idx="380">
                  <c:v>151.2756</c:v>
                </c:pt>
                <c:pt idx="381">
                  <c:v>151.2756</c:v>
                </c:pt>
                <c:pt idx="382">
                  <c:v>151.2756</c:v>
                </c:pt>
                <c:pt idx="383">
                  <c:v>151.2756</c:v>
                </c:pt>
                <c:pt idx="384">
                  <c:v>151.2756</c:v>
                </c:pt>
                <c:pt idx="385">
                  <c:v>150.14160000000001</c:v>
                </c:pt>
                <c:pt idx="386">
                  <c:v>150.14160000000001</c:v>
                </c:pt>
                <c:pt idx="387">
                  <c:v>150.14160000000001</c:v>
                </c:pt>
                <c:pt idx="388">
                  <c:v>150.14160000000001</c:v>
                </c:pt>
                <c:pt idx="389">
                  <c:v>150.14160000000001</c:v>
                </c:pt>
                <c:pt idx="390">
                  <c:v>150.14160000000001</c:v>
                </c:pt>
                <c:pt idx="391">
                  <c:v>150.14160000000001</c:v>
                </c:pt>
                <c:pt idx="392">
                  <c:v>147.87360000000001</c:v>
                </c:pt>
                <c:pt idx="393">
                  <c:v>147.87360000000001</c:v>
                </c:pt>
                <c:pt idx="394">
                  <c:v>147.87360000000001</c:v>
                </c:pt>
                <c:pt idx="395">
                  <c:v>147.87360000000001</c:v>
                </c:pt>
                <c:pt idx="396">
                  <c:v>147.87360000000001</c:v>
                </c:pt>
                <c:pt idx="397">
                  <c:v>147.87360000000001</c:v>
                </c:pt>
                <c:pt idx="398">
                  <c:v>147.87360000000001</c:v>
                </c:pt>
                <c:pt idx="399">
                  <c:v>139.7088</c:v>
                </c:pt>
                <c:pt idx="400">
                  <c:v>139.7088</c:v>
                </c:pt>
                <c:pt idx="401">
                  <c:v>139.7088</c:v>
                </c:pt>
                <c:pt idx="402">
                  <c:v>139.7088</c:v>
                </c:pt>
                <c:pt idx="403">
                  <c:v>139.7088</c:v>
                </c:pt>
                <c:pt idx="404">
                  <c:v>139.7088</c:v>
                </c:pt>
                <c:pt idx="405">
                  <c:v>139.7088</c:v>
                </c:pt>
                <c:pt idx="406">
                  <c:v>136.9872</c:v>
                </c:pt>
                <c:pt idx="407">
                  <c:v>136.9872</c:v>
                </c:pt>
                <c:pt idx="408">
                  <c:v>136.9872</c:v>
                </c:pt>
                <c:pt idx="409">
                  <c:v>136.9872</c:v>
                </c:pt>
                <c:pt idx="410">
                  <c:v>136.9872</c:v>
                </c:pt>
                <c:pt idx="411">
                  <c:v>136.9872</c:v>
                </c:pt>
                <c:pt idx="412">
                  <c:v>136.9872</c:v>
                </c:pt>
                <c:pt idx="413">
                  <c:v>135.89856</c:v>
                </c:pt>
                <c:pt idx="414">
                  <c:v>135.89856</c:v>
                </c:pt>
                <c:pt idx="415">
                  <c:v>135.89856</c:v>
                </c:pt>
                <c:pt idx="416">
                  <c:v>135.89856</c:v>
                </c:pt>
                <c:pt idx="417">
                  <c:v>135.89856</c:v>
                </c:pt>
                <c:pt idx="418">
                  <c:v>135.89856</c:v>
                </c:pt>
                <c:pt idx="419">
                  <c:v>135.89856</c:v>
                </c:pt>
                <c:pt idx="420">
                  <c:v>131.99760000000001</c:v>
                </c:pt>
                <c:pt idx="421">
                  <c:v>131.99760000000001</c:v>
                </c:pt>
                <c:pt idx="422">
                  <c:v>131.99760000000001</c:v>
                </c:pt>
                <c:pt idx="423">
                  <c:v>131.99760000000001</c:v>
                </c:pt>
                <c:pt idx="424">
                  <c:v>131.99760000000001</c:v>
                </c:pt>
                <c:pt idx="425">
                  <c:v>131.99760000000001</c:v>
                </c:pt>
                <c:pt idx="426">
                  <c:v>131.99760000000001</c:v>
                </c:pt>
                <c:pt idx="427">
                  <c:v>126.10080000000001</c:v>
                </c:pt>
                <c:pt idx="428">
                  <c:v>126.10080000000001</c:v>
                </c:pt>
                <c:pt idx="429">
                  <c:v>126.10080000000001</c:v>
                </c:pt>
                <c:pt idx="430">
                  <c:v>126.10080000000001</c:v>
                </c:pt>
                <c:pt idx="431">
                  <c:v>126.10080000000001</c:v>
                </c:pt>
                <c:pt idx="432">
                  <c:v>126.10080000000001</c:v>
                </c:pt>
                <c:pt idx="433">
                  <c:v>126.10080000000001</c:v>
                </c:pt>
                <c:pt idx="434">
                  <c:v>121.1112</c:v>
                </c:pt>
                <c:pt idx="435">
                  <c:v>121.1112</c:v>
                </c:pt>
                <c:pt idx="436">
                  <c:v>121.1112</c:v>
                </c:pt>
                <c:pt idx="437">
                  <c:v>121.1112</c:v>
                </c:pt>
                <c:pt idx="438">
                  <c:v>121.1112</c:v>
                </c:pt>
                <c:pt idx="439">
                  <c:v>121.1112</c:v>
                </c:pt>
                <c:pt idx="440">
                  <c:v>121.1112</c:v>
                </c:pt>
                <c:pt idx="441">
                  <c:v>113.03712</c:v>
                </c:pt>
                <c:pt idx="442">
                  <c:v>113.03712</c:v>
                </c:pt>
                <c:pt idx="443">
                  <c:v>113.03712</c:v>
                </c:pt>
                <c:pt idx="444">
                  <c:v>113.03712</c:v>
                </c:pt>
                <c:pt idx="445">
                  <c:v>113.03712</c:v>
                </c:pt>
                <c:pt idx="446">
                  <c:v>113.03712</c:v>
                </c:pt>
                <c:pt idx="447">
                  <c:v>113.03712</c:v>
                </c:pt>
                <c:pt idx="448">
                  <c:v>110.6784</c:v>
                </c:pt>
                <c:pt idx="449">
                  <c:v>110.6784</c:v>
                </c:pt>
                <c:pt idx="450">
                  <c:v>110.6784</c:v>
                </c:pt>
                <c:pt idx="451">
                  <c:v>110.6784</c:v>
                </c:pt>
                <c:pt idx="452">
                  <c:v>110.6784</c:v>
                </c:pt>
                <c:pt idx="453">
                  <c:v>110.6784</c:v>
                </c:pt>
                <c:pt idx="454">
                  <c:v>110.6784</c:v>
                </c:pt>
                <c:pt idx="455">
                  <c:v>107.0496</c:v>
                </c:pt>
                <c:pt idx="456">
                  <c:v>107.0496</c:v>
                </c:pt>
                <c:pt idx="457">
                  <c:v>107.0496</c:v>
                </c:pt>
                <c:pt idx="458">
                  <c:v>107.0496</c:v>
                </c:pt>
                <c:pt idx="459">
                  <c:v>107.0496</c:v>
                </c:pt>
                <c:pt idx="460">
                  <c:v>107.0496</c:v>
                </c:pt>
                <c:pt idx="461">
                  <c:v>107.0496</c:v>
                </c:pt>
                <c:pt idx="462">
                  <c:v>93.895200000000003</c:v>
                </c:pt>
                <c:pt idx="463">
                  <c:v>93.895200000000003</c:v>
                </c:pt>
                <c:pt idx="464">
                  <c:v>93.895200000000003</c:v>
                </c:pt>
                <c:pt idx="465">
                  <c:v>93.895200000000003</c:v>
                </c:pt>
                <c:pt idx="466">
                  <c:v>93.895200000000003</c:v>
                </c:pt>
                <c:pt idx="467">
                  <c:v>93.895200000000003</c:v>
                </c:pt>
                <c:pt idx="468">
                  <c:v>93.895200000000003</c:v>
                </c:pt>
                <c:pt idx="469">
                  <c:v>89.359200000000001</c:v>
                </c:pt>
                <c:pt idx="470">
                  <c:v>89.359200000000001</c:v>
                </c:pt>
                <c:pt idx="471">
                  <c:v>89.359200000000001</c:v>
                </c:pt>
                <c:pt idx="472">
                  <c:v>89.359200000000001</c:v>
                </c:pt>
                <c:pt idx="473">
                  <c:v>89.359200000000001</c:v>
                </c:pt>
                <c:pt idx="474">
                  <c:v>89.359200000000001</c:v>
                </c:pt>
                <c:pt idx="475">
                  <c:v>89.359200000000001</c:v>
                </c:pt>
                <c:pt idx="476">
                  <c:v>87.998400000000004</c:v>
                </c:pt>
                <c:pt idx="477">
                  <c:v>87.998400000000004</c:v>
                </c:pt>
                <c:pt idx="478">
                  <c:v>87.998400000000004</c:v>
                </c:pt>
                <c:pt idx="479">
                  <c:v>87.998400000000004</c:v>
                </c:pt>
                <c:pt idx="480">
                  <c:v>87.998400000000004</c:v>
                </c:pt>
                <c:pt idx="481">
                  <c:v>87.998400000000004</c:v>
                </c:pt>
                <c:pt idx="482">
                  <c:v>87.998400000000004</c:v>
                </c:pt>
                <c:pt idx="483">
                  <c:v>89.359200000000001</c:v>
                </c:pt>
                <c:pt idx="484">
                  <c:v>89.359200000000001</c:v>
                </c:pt>
                <c:pt idx="485">
                  <c:v>89.359200000000001</c:v>
                </c:pt>
                <c:pt idx="486">
                  <c:v>89.359200000000001</c:v>
                </c:pt>
                <c:pt idx="487">
                  <c:v>89.359200000000001</c:v>
                </c:pt>
                <c:pt idx="488">
                  <c:v>89.359200000000001</c:v>
                </c:pt>
                <c:pt idx="489">
                  <c:v>89.359200000000001</c:v>
                </c:pt>
                <c:pt idx="490">
                  <c:v>87.317999999999998</c:v>
                </c:pt>
                <c:pt idx="491">
                  <c:v>87.317999999999998</c:v>
                </c:pt>
                <c:pt idx="492">
                  <c:v>87.317999999999998</c:v>
                </c:pt>
                <c:pt idx="493">
                  <c:v>87.317999999999998</c:v>
                </c:pt>
                <c:pt idx="494">
                  <c:v>0</c:v>
                </c:pt>
                <c:pt idx="495">
                  <c:v>0</c:v>
                </c:pt>
              </c:numCache>
            </c:numRef>
          </c:val>
          <c:smooth val="0"/>
          <c:extLst>
            <c:ext xmlns:c16="http://schemas.microsoft.com/office/drawing/2014/chart" uri="{C3380CC4-5D6E-409C-BE32-E72D297353CC}">
              <c16:uniqueId val="{00000001-7780-4A88-AC58-66791CBA5B1E}"/>
            </c:ext>
          </c:extLst>
        </c:ser>
        <c:ser>
          <c:idx val="1"/>
          <c:order val="1"/>
          <c:tx>
            <c:strRef>
              <c:f>ImportArb!$R$4</c:f>
              <c:strCache>
                <c:ptCount val="1"/>
                <c:pt idx="0">
                  <c:v>CAPP</c:v>
                </c:pt>
              </c:strCache>
            </c:strRef>
          </c:tx>
          <c:spPr>
            <a:ln w="19050">
              <a:solidFill>
                <a:srgbClr val="00162B"/>
              </a:solidFill>
            </a:ln>
          </c:spPr>
          <c:marker>
            <c:symbol val="none"/>
          </c:marker>
          <c:cat>
            <c:numRef>
              <c:f>ImportArb!$P$5:$P$500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ImportArb!$R$5:$R$500</c:f>
              <c:numCache>
                <c:formatCode>#,##0.00</c:formatCode>
                <c:ptCount val="496"/>
                <c:pt idx="0">
                  <c:v>243.83600000000001</c:v>
                </c:pt>
                <c:pt idx="1">
                  <c:v>243.83600000000001</c:v>
                </c:pt>
                <c:pt idx="2">
                  <c:v>243.83600000000001</c:v>
                </c:pt>
                <c:pt idx="3">
                  <c:v>243.83600000000001</c:v>
                </c:pt>
                <c:pt idx="4">
                  <c:v>243.83600000000001</c:v>
                </c:pt>
                <c:pt idx="5">
                  <c:v>243.83600000000001</c:v>
                </c:pt>
                <c:pt idx="6">
                  <c:v>243.83600000000001</c:v>
                </c:pt>
                <c:pt idx="7">
                  <c:v>243.83600000000001</c:v>
                </c:pt>
                <c:pt idx="8">
                  <c:v>243.83600000000001</c:v>
                </c:pt>
                <c:pt idx="9">
                  <c:v>233.46</c:v>
                </c:pt>
                <c:pt idx="10">
                  <c:v>233.46</c:v>
                </c:pt>
                <c:pt idx="11">
                  <c:v>233.46</c:v>
                </c:pt>
                <c:pt idx="12">
                  <c:v>233.46</c:v>
                </c:pt>
                <c:pt idx="13">
                  <c:v>233.46</c:v>
                </c:pt>
                <c:pt idx="14">
                  <c:v>233.46</c:v>
                </c:pt>
                <c:pt idx="15">
                  <c:v>233.46</c:v>
                </c:pt>
                <c:pt idx="16">
                  <c:v>238.648</c:v>
                </c:pt>
                <c:pt idx="17">
                  <c:v>238.648</c:v>
                </c:pt>
                <c:pt idx="18">
                  <c:v>238.648</c:v>
                </c:pt>
                <c:pt idx="19">
                  <c:v>238.648</c:v>
                </c:pt>
                <c:pt idx="20">
                  <c:v>238.648</c:v>
                </c:pt>
                <c:pt idx="21">
                  <c:v>243.83600000000001</c:v>
                </c:pt>
                <c:pt idx="22">
                  <c:v>243.83600000000001</c:v>
                </c:pt>
                <c:pt idx="23">
                  <c:v>243.83600000000001</c:v>
                </c:pt>
                <c:pt idx="24">
                  <c:v>243.83600000000001</c:v>
                </c:pt>
                <c:pt idx="25">
                  <c:v>243.83600000000001</c:v>
                </c:pt>
                <c:pt idx="26">
                  <c:v>243.83600000000001</c:v>
                </c:pt>
                <c:pt idx="27">
                  <c:v>243.83600000000001</c:v>
                </c:pt>
                <c:pt idx="28">
                  <c:v>238.648</c:v>
                </c:pt>
                <c:pt idx="29">
                  <c:v>238.648</c:v>
                </c:pt>
                <c:pt idx="30">
                  <c:v>238.648</c:v>
                </c:pt>
                <c:pt idx="31">
                  <c:v>238.648</c:v>
                </c:pt>
                <c:pt idx="32">
                  <c:v>238.648</c:v>
                </c:pt>
                <c:pt idx="33">
                  <c:v>238.648</c:v>
                </c:pt>
                <c:pt idx="34">
                  <c:v>238.648</c:v>
                </c:pt>
                <c:pt idx="35">
                  <c:v>238.648</c:v>
                </c:pt>
                <c:pt idx="36">
                  <c:v>238.648</c:v>
                </c:pt>
                <c:pt idx="37">
                  <c:v>238.648</c:v>
                </c:pt>
                <c:pt idx="38">
                  <c:v>238.648</c:v>
                </c:pt>
                <c:pt idx="39">
                  <c:v>238.648</c:v>
                </c:pt>
                <c:pt idx="40">
                  <c:v>238.648</c:v>
                </c:pt>
                <c:pt idx="41">
                  <c:v>238.648</c:v>
                </c:pt>
                <c:pt idx="42">
                  <c:v>238.648</c:v>
                </c:pt>
                <c:pt idx="43">
                  <c:v>238.648</c:v>
                </c:pt>
                <c:pt idx="44">
                  <c:v>238.648</c:v>
                </c:pt>
                <c:pt idx="45">
                  <c:v>228.27199999999999</c:v>
                </c:pt>
                <c:pt idx="46">
                  <c:v>228.27199999999999</c:v>
                </c:pt>
                <c:pt idx="47">
                  <c:v>228.27199999999999</c:v>
                </c:pt>
                <c:pt idx="48">
                  <c:v>228.27199999999999</c:v>
                </c:pt>
                <c:pt idx="49">
                  <c:v>228.27199999999999</c:v>
                </c:pt>
                <c:pt idx="50">
                  <c:v>228.27199999999999</c:v>
                </c:pt>
                <c:pt idx="51">
                  <c:v>228.27199999999999</c:v>
                </c:pt>
                <c:pt idx="52">
                  <c:v>223.084</c:v>
                </c:pt>
                <c:pt idx="53">
                  <c:v>223.084</c:v>
                </c:pt>
                <c:pt idx="54">
                  <c:v>223.084</c:v>
                </c:pt>
                <c:pt idx="55">
                  <c:v>223.084</c:v>
                </c:pt>
                <c:pt idx="56">
                  <c:v>223.084</c:v>
                </c:pt>
                <c:pt idx="57">
                  <c:v>223.084</c:v>
                </c:pt>
                <c:pt idx="58">
                  <c:v>223.084</c:v>
                </c:pt>
                <c:pt idx="59">
                  <c:v>223.084</c:v>
                </c:pt>
                <c:pt idx="60">
                  <c:v>223.084</c:v>
                </c:pt>
                <c:pt idx="61">
                  <c:v>223.084</c:v>
                </c:pt>
                <c:pt idx="62">
                  <c:v>223.084</c:v>
                </c:pt>
                <c:pt idx="63">
                  <c:v>223.084</c:v>
                </c:pt>
                <c:pt idx="64">
                  <c:v>223.084</c:v>
                </c:pt>
                <c:pt idx="65">
                  <c:v>223.084</c:v>
                </c:pt>
                <c:pt idx="66">
                  <c:v>212.708</c:v>
                </c:pt>
                <c:pt idx="67">
                  <c:v>212.708</c:v>
                </c:pt>
                <c:pt idx="68">
                  <c:v>212.708</c:v>
                </c:pt>
                <c:pt idx="69">
                  <c:v>212.708</c:v>
                </c:pt>
                <c:pt idx="70">
                  <c:v>212.708</c:v>
                </c:pt>
                <c:pt idx="71">
                  <c:v>212.708</c:v>
                </c:pt>
                <c:pt idx="72">
                  <c:v>212.708</c:v>
                </c:pt>
                <c:pt idx="73">
                  <c:v>212.708</c:v>
                </c:pt>
                <c:pt idx="74">
                  <c:v>212.708</c:v>
                </c:pt>
                <c:pt idx="75">
                  <c:v>212.708</c:v>
                </c:pt>
                <c:pt idx="76">
                  <c:v>212.708</c:v>
                </c:pt>
                <c:pt idx="77">
                  <c:v>217.89599999999999</c:v>
                </c:pt>
                <c:pt idx="78">
                  <c:v>217.89599999999999</c:v>
                </c:pt>
                <c:pt idx="79">
                  <c:v>217.89599999999999</c:v>
                </c:pt>
                <c:pt idx="80">
                  <c:v>217.89599999999999</c:v>
                </c:pt>
                <c:pt idx="81">
                  <c:v>212.708</c:v>
                </c:pt>
                <c:pt idx="82">
                  <c:v>212.708</c:v>
                </c:pt>
                <c:pt idx="83">
                  <c:v>212.708</c:v>
                </c:pt>
                <c:pt idx="84">
                  <c:v>212.708</c:v>
                </c:pt>
                <c:pt idx="85">
                  <c:v>212.708</c:v>
                </c:pt>
                <c:pt idx="86">
                  <c:v>207.52</c:v>
                </c:pt>
                <c:pt idx="87">
                  <c:v>207.52</c:v>
                </c:pt>
                <c:pt idx="88">
                  <c:v>207.52</c:v>
                </c:pt>
                <c:pt idx="89">
                  <c:v>207.52</c:v>
                </c:pt>
                <c:pt idx="90">
                  <c:v>207.52</c:v>
                </c:pt>
                <c:pt idx="91">
                  <c:v>197.14400000000001</c:v>
                </c:pt>
                <c:pt idx="92">
                  <c:v>197.14400000000001</c:v>
                </c:pt>
                <c:pt idx="93">
                  <c:v>197.14400000000001</c:v>
                </c:pt>
                <c:pt idx="94">
                  <c:v>197.14400000000001</c:v>
                </c:pt>
                <c:pt idx="95">
                  <c:v>197.14400000000001</c:v>
                </c:pt>
                <c:pt idx="96">
                  <c:v>197.14400000000001</c:v>
                </c:pt>
                <c:pt idx="97">
                  <c:v>197.14400000000001</c:v>
                </c:pt>
                <c:pt idx="98">
                  <c:v>197.14400000000001</c:v>
                </c:pt>
                <c:pt idx="99">
                  <c:v>197.14400000000001</c:v>
                </c:pt>
                <c:pt idx="100">
                  <c:v>191.95599999999999</c:v>
                </c:pt>
                <c:pt idx="101">
                  <c:v>191.95599999999999</c:v>
                </c:pt>
                <c:pt idx="102">
                  <c:v>191.95599999999999</c:v>
                </c:pt>
                <c:pt idx="103">
                  <c:v>191.95599999999999</c:v>
                </c:pt>
                <c:pt idx="104">
                  <c:v>191.95599999999999</c:v>
                </c:pt>
                <c:pt idx="105">
                  <c:v>186.768</c:v>
                </c:pt>
                <c:pt idx="106">
                  <c:v>186.768</c:v>
                </c:pt>
                <c:pt idx="107">
                  <c:v>191.95599999999999</c:v>
                </c:pt>
                <c:pt idx="108">
                  <c:v>191.95599999999999</c:v>
                </c:pt>
                <c:pt idx="109">
                  <c:v>191.95599999999999</c:v>
                </c:pt>
                <c:pt idx="110">
                  <c:v>191.95599999999999</c:v>
                </c:pt>
                <c:pt idx="111">
                  <c:v>191.95599999999999</c:v>
                </c:pt>
                <c:pt idx="112">
                  <c:v>191.95599999999999</c:v>
                </c:pt>
                <c:pt idx="113">
                  <c:v>191.95599999999999</c:v>
                </c:pt>
                <c:pt idx="114">
                  <c:v>191.95599999999999</c:v>
                </c:pt>
                <c:pt idx="115">
                  <c:v>186.768</c:v>
                </c:pt>
                <c:pt idx="116">
                  <c:v>186.768</c:v>
                </c:pt>
                <c:pt idx="117">
                  <c:v>186.768</c:v>
                </c:pt>
                <c:pt idx="118">
                  <c:v>186.768</c:v>
                </c:pt>
                <c:pt idx="119">
                  <c:v>181.58</c:v>
                </c:pt>
                <c:pt idx="120">
                  <c:v>176.392</c:v>
                </c:pt>
                <c:pt idx="121">
                  <c:v>176.392</c:v>
                </c:pt>
                <c:pt idx="122">
                  <c:v>176.392</c:v>
                </c:pt>
                <c:pt idx="123">
                  <c:v>176.392</c:v>
                </c:pt>
                <c:pt idx="124">
                  <c:v>176.392</c:v>
                </c:pt>
                <c:pt idx="125">
                  <c:v>176.392</c:v>
                </c:pt>
                <c:pt idx="126">
                  <c:v>176.392</c:v>
                </c:pt>
                <c:pt idx="127">
                  <c:v>176.392</c:v>
                </c:pt>
                <c:pt idx="128">
                  <c:v>176.392</c:v>
                </c:pt>
                <c:pt idx="129">
                  <c:v>176.392</c:v>
                </c:pt>
                <c:pt idx="130">
                  <c:v>176.392</c:v>
                </c:pt>
                <c:pt idx="131">
                  <c:v>176.392</c:v>
                </c:pt>
                <c:pt idx="132">
                  <c:v>176.392</c:v>
                </c:pt>
                <c:pt idx="133">
                  <c:v>176.392</c:v>
                </c:pt>
                <c:pt idx="134">
                  <c:v>176.392</c:v>
                </c:pt>
                <c:pt idx="135">
                  <c:v>166.01599999999999</c:v>
                </c:pt>
                <c:pt idx="136">
                  <c:v>166.01599999999999</c:v>
                </c:pt>
                <c:pt idx="137">
                  <c:v>168.09119999999999</c:v>
                </c:pt>
                <c:pt idx="138">
                  <c:v>168.09119999999999</c:v>
                </c:pt>
                <c:pt idx="139">
                  <c:v>168.09119999999999</c:v>
                </c:pt>
                <c:pt idx="140">
                  <c:v>168.09119999999999</c:v>
                </c:pt>
                <c:pt idx="141">
                  <c:v>168.09119999999999</c:v>
                </c:pt>
                <c:pt idx="142">
                  <c:v>171.20400000000001</c:v>
                </c:pt>
                <c:pt idx="143">
                  <c:v>171.20400000000001</c:v>
                </c:pt>
                <c:pt idx="144">
                  <c:v>171.20400000000001</c:v>
                </c:pt>
                <c:pt idx="145">
                  <c:v>171.20400000000001</c:v>
                </c:pt>
                <c:pt idx="146">
                  <c:v>171.20400000000001</c:v>
                </c:pt>
                <c:pt idx="147">
                  <c:v>171.20400000000001</c:v>
                </c:pt>
                <c:pt idx="148">
                  <c:v>171.20400000000001</c:v>
                </c:pt>
                <c:pt idx="149">
                  <c:v>171.20400000000001</c:v>
                </c:pt>
                <c:pt idx="150">
                  <c:v>171.20400000000001</c:v>
                </c:pt>
                <c:pt idx="151">
                  <c:v>171.20400000000001</c:v>
                </c:pt>
                <c:pt idx="152">
                  <c:v>171.20400000000001</c:v>
                </c:pt>
                <c:pt idx="153">
                  <c:v>171.20400000000001</c:v>
                </c:pt>
                <c:pt idx="154">
                  <c:v>171.20400000000001</c:v>
                </c:pt>
                <c:pt idx="155">
                  <c:v>171.20400000000001</c:v>
                </c:pt>
                <c:pt idx="156">
                  <c:v>171.20400000000001</c:v>
                </c:pt>
                <c:pt idx="157">
                  <c:v>171.20400000000001</c:v>
                </c:pt>
                <c:pt idx="158">
                  <c:v>166.01599999999999</c:v>
                </c:pt>
                <c:pt idx="159">
                  <c:v>166.01599999999999</c:v>
                </c:pt>
                <c:pt idx="160">
                  <c:v>166.01599999999999</c:v>
                </c:pt>
                <c:pt idx="161">
                  <c:v>166.01599999999999</c:v>
                </c:pt>
                <c:pt idx="162">
                  <c:v>166.01599999999999</c:v>
                </c:pt>
                <c:pt idx="163">
                  <c:v>166.01599999999999</c:v>
                </c:pt>
                <c:pt idx="164">
                  <c:v>166.01599999999999</c:v>
                </c:pt>
                <c:pt idx="165">
                  <c:v>166.01599999999999</c:v>
                </c:pt>
                <c:pt idx="166">
                  <c:v>166.01599999999999</c:v>
                </c:pt>
                <c:pt idx="167">
                  <c:v>166.01599999999999</c:v>
                </c:pt>
                <c:pt idx="168">
                  <c:v>171.20400000000001</c:v>
                </c:pt>
                <c:pt idx="169">
                  <c:v>171.20400000000001</c:v>
                </c:pt>
                <c:pt idx="170">
                  <c:v>160.828</c:v>
                </c:pt>
                <c:pt idx="171">
                  <c:v>160.828</c:v>
                </c:pt>
                <c:pt idx="172">
                  <c:v>160.828</c:v>
                </c:pt>
                <c:pt idx="173">
                  <c:v>160.828</c:v>
                </c:pt>
                <c:pt idx="174">
                  <c:v>160.828</c:v>
                </c:pt>
                <c:pt idx="175">
                  <c:v>160.828</c:v>
                </c:pt>
                <c:pt idx="176">
                  <c:v>160.828</c:v>
                </c:pt>
                <c:pt idx="177">
                  <c:v>160.828</c:v>
                </c:pt>
                <c:pt idx="178">
                  <c:v>171.20400000000001</c:v>
                </c:pt>
                <c:pt idx="179">
                  <c:v>171.20400000000001</c:v>
                </c:pt>
                <c:pt idx="180">
                  <c:v>171.20400000000001</c:v>
                </c:pt>
                <c:pt idx="181">
                  <c:v>171.20400000000001</c:v>
                </c:pt>
                <c:pt idx="182">
                  <c:v>171.20400000000001</c:v>
                </c:pt>
                <c:pt idx="183">
                  <c:v>160.828</c:v>
                </c:pt>
                <c:pt idx="184">
                  <c:v>160.828</c:v>
                </c:pt>
                <c:pt idx="185">
                  <c:v>160.828</c:v>
                </c:pt>
                <c:pt idx="186">
                  <c:v>160.828</c:v>
                </c:pt>
                <c:pt idx="187">
                  <c:v>160.828</c:v>
                </c:pt>
                <c:pt idx="188">
                  <c:v>160.828</c:v>
                </c:pt>
                <c:pt idx="189">
                  <c:v>160.828</c:v>
                </c:pt>
                <c:pt idx="190">
                  <c:v>160.828</c:v>
                </c:pt>
                <c:pt idx="191">
                  <c:v>160.828</c:v>
                </c:pt>
                <c:pt idx="192">
                  <c:v>145.26400000000001</c:v>
                </c:pt>
                <c:pt idx="193">
                  <c:v>140.07599999999999</c:v>
                </c:pt>
                <c:pt idx="194">
                  <c:v>140.07599999999999</c:v>
                </c:pt>
                <c:pt idx="195">
                  <c:v>140.07599999999999</c:v>
                </c:pt>
                <c:pt idx="196">
                  <c:v>132.81280000000001</c:v>
                </c:pt>
                <c:pt idx="197">
                  <c:v>132.81280000000001</c:v>
                </c:pt>
                <c:pt idx="198">
                  <c:v>132.81280000000001</c:v>
                </c:pt>
                <c:pt idx="199">
                  <c:v>131.77520000000001</c:v>
                </c:pt>
                <c:pt idx="200">
                  <c:v>131.77520000000001</c:v>
                </c:pt>
                <c:pt idx="201">
                  <c:v>131.77520000000001</c:v>
                </c:pt>
                <c:pt idx="202">
                  <c:v>131.77520000000001</c:v>
                </c:pt>
                <c:pt idx="203">
                  <c:v>127.62479999999999</c:v>
                </c:pt>
                <c:pt idx="204">
                  <c:v>127.62479999999999</c:v>
                </c:pt>
                <c:pt idx="205">
                  <c:v>127.62479999999999</c:v>
                </c:pt>
                <c:pt idx="206">
                  <c:v>127.62479999999999</c:v>
                </c:pt>
                <c:pt idx="207">
                  <c:v>127.62479999999999</c:v>
                </c:pt>
                <c:pt idx="208">
                  <c:v>127.62479999999999</c:v>
                </c:pt>
                <c:pt idx="209">
                  <c:v>127.62479999999999</c:v>
                </c:pt>
                <c:pt idx="210">
                  <c:v>127.62479999999999</c:v>
                </c:pt>
                <c:pt idx="211">
                  <c:v>127.62479999999999</c:v>
                </c:pt>
                <c:pt idx="212">
                  <c:v>127.62479999999999</c:v>
                </c:pt>
                <c:pt idx="213">
                  <c:v>127.62479999999999</c:v>
                </c:pt>
                <c:pt idx="214">
                  <c:v>127.62479999999999</c:v>
                </c:pt>
                <c:pt idx="215">
                  <c:v>127.62479999999999</c:v>
                </c:pt>
                <c:pt idx="216">
                  <c:v>127.62479999999999</c:v>
                </c:pt>
                <c:pt idx="217">
                  <c:v>127.62479999999999</c:v>
                </c:pt>
                <c:pt idx="218">
                  <c:v>127.62479999999999</c:v>
                </c:pt>
                <c:pt idx="219">
                  <c:v>127.62479999999999</c:v>
                </c:pt>
                <c:pt idx="220">
                  <c:v>127.62479999999999</c:v>
                </c:pt>
                <c:pt idx="221">
                  <c:v>127.62479999999999</c:v>
                </c:pt>
                <c:pt idx="222">
                  <c:v>127.62479999999999</c:v>
                </c:pt>
                <c:pt idx="223">
                  <c:v>127.62479999999999</c:v>
                </c:pt>
                <c:pt idx="224">
                  <c:v>127.62479999999999</c:v>
                </c:pt>
                <c:pt idx="225">
                  <c:v>127.62479999999999</c:v>
                </c:pt>
                <c:pt idx="226">
                  <c:v>127.62479999999999</c:v>
                </c:pt>
                <c:pt idx="227">
                  <c:v>129.69999999999999</c:v>
                </c:pt>
                <c:pt idx="228">
                  <c:v>129.69999999999999</c:v>
                </c:pt>
                <c:pt idx="229">
                  <c:v>129.69999999999999</c:v>
                </c:pt>
                <c:pt idx="230">
                  <c:v>129.69999999999999</c:v>
                </c:pt>
                <c:pt idx="231">
                  <c:v>129.69999999999999</c:v>
                </c:pt>
                <c:pt idx="232">
                  <c:v>124.512</c:v>
                </c:pt>
                <c:pt idx="233">
                  <c:v>124.512</c:v>
                </c:pt>
                <c:pt idx="234">
                  <c:v>124.512</c:v>
                </c:pt>
                <c:pt idx="235">
                  <c:v>124.512</c:v>
                </c:pt>
                <c:pt idx="236">
                  <c:v>124.512</c:v>
                </c:pt>
                <c:pt idx="237">
                  <c:v>124.512</c:v>
                </c:pt>
                <c:pt idx="238">
                  <c:v>124.512</c:v>
                </c:pt>
                <c:pt idx="239">
                  <c:v>124.512</c:v>
                </c:pt>
                <c:pt idx="240">
                  <c:v>119.324</c:v>
                </c:pt>
                <c:pt idx="241">
                  <c:v>119.324</c:v>
                </c:pt>
                <c:pt idx="242">
                  <c:v>119.324</c:v>
                </c:pt>
                <c:pt idx="243">
                  <c:v>119.324</c:v>
                </c:pt>
                <c:pt idx="244">
                  <c:v>119.324</c:v>
                </c:pt>
                <c:pt idx="245">
                  <c:v>119.324</c:v>
                </c:pt>
                <c:pt idx="246">
                  <c:v>119.324</c:v>
                </c:pt>
                <c:pt idx="247">
                  <c:v>123.4744</c:v>
                </c:pt>
                <c:pt idx="248">
                  <c:v>123.4744</c:v>
                </c:pt>
                <c:pt idx="249">
                  <c:v>123.4744</c:v>
                </c:pt>
                <c:pt idx="250">
                  <c:v>123.4744</c:v>
                </c:pt>
                <c:pt idx="251">
                  <c:v>123.4744</c:v>
                </c:pt>
                <c:pt idx="252">
                  <c:v>123.4744</c:v>
                </c:pt>
                <c:pt idx="253">
                  <c:v>126.5872</c:v>
                </c:pt>
                <c:pt idx="254">
                  <c:v>126.5872</c:v>
                </c:pt>
                <c:pt idx="255">
                  <c:v>126.5872</c:v>
                </c:pt>
                <c:pt idx="256">
                  <c:v>127.62479999999999</c:v>
                </c:pt>
                <c:pt idx="257">
                  <c:v>127.62479999999999</c:v>
                </c:pt>
                <c:pt idx="258">
                  <c:v>127.62479999999999</c:v>
                </c:pt>
                <c:pt idx="259">
                  <c:v>129.69999999999999</c:v>
                </c:pt>
                <c:pt idx="260">
                  <c:v>129.69999999999999</c:v>
                </c:pt>
                <c:pt idx="261">
                  <c:v>129.69999999999999</c:v>
                </c:pt>
                <c:pt idx="262">
                  <c:v>129.69999999999999</c:v>
                </c:pt>
                <c:pt idx="263">
                  <c:v>129.69999999999999</c:v>
                </c:pt>
                <c:pt idx="264">
                  <c:v>129.69999999999999</c:v>
                </c:pt>
                <c:pt idx="265">
                  <c:v>129.69999999999999</c:v>
                </c:pt>
                <c:pt idx="266">
                  <c:v>129.69999999999999</c:v>
                </c:pt>
                <c:pt idx="267">
                  <c:v>129.69999999999999</c:v>
                </c:pt>
                <c:pt idx="268">
                  <c:v>129.69999999999999</c:v>
                </c:pt>
                <c:pt idx="269">
                  <c:v>129.69999999999999</c:v>
                </c:pt>
                <c:pt idx="270">
                  <c:v>129.69999999999999</c:v>
                </c:pt>
                <c:pt idx="271">
                  <c:v>129.69999999999999</c:v>
                </c:pt>
                <c:pt idx="272">
                  <c:v>129.69999999999999</c:v>
                </c:pt>
                <c:pt idx="273">
                  <c:v>129.69999999999999</c:v>
                </c:pt>
                <c:pt idx="274">
                  <c:v>129.69999999999999</c:v>
                </c:pt>
                <c:pt idx="275">
                  <c:v>129.69999999999999</c:v>
                </c:pt>
                <c:pt idx="276">
                  <c:v>129.69999999999999</c:v>
                </c:pt>
                <c:pt idx="277">
                  <c:v>129.69999999999999</c:v>
                </c:pt>
                <c:pt idx="278">
                  <c:v>129.69999999999999</c:v>
                </c:pt>
                <c:pt idx="279">
                  <c:v>129.69999999999999</c:v>
                </c:pt>
                <c:pt idx="280">
                  <c:v>129.69999999999999</c:v>
                </c:pt>
                <c:pt idx="281">
                  <c:v>129.69999999999999</c:v>
                </c:pt>
                <c:pt idx="282">
                  <c:v>129.69999999999999</c:v>
                </c:pt>
                <c:pt idx="283">
                  <c:v>129.69999999999999</c:v>
                </c:pt>
                <c:pt idx="284">
                  <c:v>129.69999999999999</c:v>
                </c:pt>
                <c:pt idx="285">
                  <c:v>129.69999999999999</c:v>
                </c:pt>
                <c:pt idx="286">
                  <c:v>129.69999999999999</c:v>
                </c:pt>
                <c:pt idx="287">
                  <c:v>129.69999999999999</c:v>
                </c:pt>
                <c:pt idx="288">
                  <c:v>129.69999999999999</c:v>
                </c:pt>
                <c:pt idx="289">
                  <c:v>132.81280000000001</c:v>
                </c:pt>
                <c:pt idx="290">
                  <c:v>132.81280000000001</c:v>
                </c:pt>
                <c:pt idx="291">
                  <c:v>132.81280000000001</c:v>
                </c:pt>
                <c:pt idx="292">
                  <c:v>132.81280000000001</c:v>
                </c:pt>
                <c:pt idx="293">
                  <c:v>132.81280000000001</c:v>
                </c:pt>
                <c:pt idx="294">
                  <c:v>132.81280000000001</c:v>
                </c:pt>
                <c:pt idx="295">
                  <c:v>132.81280000000001</c:v>
                </c:pt>
                <c:pt idx="296">
                  <c:v>132.81280000000001</c:v>
                </c:pt>
                <c:pt idx="297">
                  <c:v>132.81280000000001</c:v>
                </c:pt>
                <c:pt idx="298">
                  <c:v>132.81280000000001</c:v>
                </c:pt>
                <c:pt idx="299">
                  <c:v>132.81280000000001</c:v>
                </c:pt>
                <c:pt idx="300">
                  <c:v>132.81280000000001</c:v>
                </c:pt>
                <c:pt idx="301">
                  <c:v>134.88800000000001</c:v>
                </c:pt>
                <c:pt idx="302">
                  <c:v>134.88800000000001</c:v>
                </c:pt>
                <c:pt idx="303">
                  <c:v>134.88800000000001</c:v>
                </c:pt>
                <c:pt idx="304">
                  <c:v>134.88800000000001</c:v>
                </c:pt>
                <c:pt idx="305">
                  <c:v>134.88800000000001</c:v>
                </c:pt>
                <c:pt idx="306">
                  <c:v>134.88800000000001</c:v>
                </c:pt>
                <c:pt idx="307">
                  <c:v>134.88800000000001</c:v>
                </c:pt>
                <c:pt idx="308">
                  <c:v>134.88800000000001</c:v>
                </c:pt>
                <c:pt idx="309">
                  <c:v>134.88800000000001</c:v>
                </c:pt>
                <c:pt idx="310">
                  <c:v>132.81280000000001</c:v>
                </c:pt>
                <c:pt idx="311">
                  <c:v>129.69999999999999</c:v>
                </c:pt>
                <c:pt idx="312">
                  <c:v>134.88800000000001</c:v>
                </c:pt>
                <c:pt idx="313">
                  <c:v>134.88800000000001</c:v>
                </c:pt>
                <c:pt idx="314">
                  <c:v>134.88800000000001</c:v>
                </c:pt>
                <c:pt idx="315">
                  <c:v>134.88800000000001</c:v>
                </c:pt>
                <c:pt idx="316">
                  <c:v>134.88800000000001</c:v>
                </c:pt>
                <c:pt idx="317">
                  <c:v>134.88800000000001</c:v>
                </c:pt>
                <c:pt idx="318">
                  <c:v>134.88800000000001</c:v>
                </c:pt>
                <c:pt idx="319">
                  <c:v>134.88800000000001</c:v>
                </c:pt>
                <c:pt idx="320">
                  <c:v>134.88800000000001</c:v>
                </c:pt>
                <c:pt idx="321">
                  <c:v>134.88800000000001</c:v>
                </c:pt>
                <c:pt idx="322">
                  <c:v>134.88800000000001</c:v>
                </c:pt>
                <c:pt idx="323">
                  <c:v>134.88800000000001</c:v>
                </c:pt>
                <c:pt idx="324">
                  <c:v>134.88800000000001</c:v>
                </c:pt>
                <c:pt idx="325">
                  <c:v>134.88800000000001</c:v>
                </c:pt>
                <c:pt idx="326">
                  <c:v>134.88800000000001</c:v>
                </c:pt>
                <c:pt idx="327">
                  <c:v>134.88800000000001</c:v>
                </c:pt>
                <c:pt idx="328">
                  <c:v>134.88800000000001</c:v>
                </c:pt>
                <c:pt idx="329">
                  <c:v>134.88800000000001</c:v>
                </c:pt>
                <c:pt idx="330">
                  <c:v>134.88800000000001</c:v>
                </c:pt>
                <c:pt idx="331">
                  <c:v>134.88800000000001</c:v>
                </c:pt>
                <c:pt idx="332">
                  <c:v>134.88800000000001</c:v>
                </c:pt>
                <c:pt idx="333">
                  <c:v>134.88800000000001</c:v>
                </c:pt>
                <c:pt idx="334">
                  <c:v>134.88800000000001</c:v>
                </c:pt>
                <c:pt idx="335">
                  <c:v>134.88800000000001</c:v>
                </c:pt>
                <c:pt idx="336">
                  <c:v>128.66239999999999</c:v>
                </c:pt>
                <c:pt idx="337">
                  <c:v>128.66239999999999</c:v>
                </c:pt>
                <c:pt idx="338">
                  <c:v>124.512</c:v>
                </c:pt>
                <c:pt idx="339">
                  <c:v>124.512</c:v>
                </c:pt>
                <c:pt idx="340">
                  <c:v>122.43680000000001</c:v>
                </c:pt>
                <c:pt idx="341">
                  <c:v>122.43680000000001</c:v>
                </c:pt>
                <c:pt idx="342">
                  <c:v>122.43680000000001</c:v>
                </c:pt>
                <c:pt idx="343">
                  <c:v>122.43680000000001</c:v>
                </c:pt>
                <c:pt idx="344">
                  <c:v>119.324</c:v>
                </c:pt>
                <c:pt idx="345">
                  <c:v>119.324</c:v>
                </c:pt>
                <c:pt idx="346">
                  <c:v>119.324</c:v>
                </c:pt>
                <c:pt idx="347">
                  <c:v>119.324</c:v>
                </c:pt>
                <c:pt idx="348">
                  <c:v>119.324</c:v>
                </c:pt>
                <c:pt idx="349">
                  <c:v>119.324</c:v>
                </c:pt>
                <c:pt idx="350">
                  <c:v>119.324</c:v>
                </c:pt>
                <c:pt idx="351">
                  <c:v>119.324</c:v>
                </c:pt>
                <c:pt idx="352">
                  <c:v>117.2488</c:v>
                </c:pt>
                <c:pt idx="353">
                  <c:v>117.2488</c:v>
                </c:pt>
                <c:pt idx="354">
                  <c:v>112.0608</c:v>
                </c:pt>
                <c:pt idx="355">
                  <c:v>112.0608</c:v>
                </c:pt>
                <c:pt idx="356">
                  <c:v>112.0608</c:v>
                </c:pt>
                <c:pt idx="357">
                  <c:v>112.0608</c:v>
                </c:pt>
                <c:pt idx="358">
                  <c:v>112.0608</c:v>
                </c:pt>
                <c:pt idx="359">
                  <c:v>112.0608</c:v>
                </c:pt>
                <c:pt idx="360">
                  <c:v>112.0608</c:v>
                </c:pt>
                <c:pt idx="361">
                  <c:v>112.0608</c:v>
                </c:pt>
                <c:pt idx="362">
                  <c:v>112.0608</c:v>
                </c:pt>
                <c:pt idx="363">
                  <c:v>112.0608</c:v>
                </c:pt>
                <c:pt idx="364">
                  <c:v>112.0608</c:v>
                </c:pt>
                <c:pt idx="365">
                  <c:v>112.0608</c:v>
                </c:pt>
                <c:pt idx="366">
                  <c:v>112.0608</c:v>
                </c:pt>
                <c:pt idx="367">
                  <c:v>112.0608</c:v>
                </c:pt>
                <c:pt idx="368">
                  <c:v>109.98560000000001</c:v>
                </c:pt>
                <c:pt idx="369">
                  <c:v>109.98560000000001</c:v>
                </c:pt>
                <c:pt idx="370">
                  <c:v>109.98560000000001</c:v>
                </c:pt>
                <c:pt idx="371">
                  <c:v>109.98560000000001</c:v>
                </c:pt>
                <c:pt idx="372">
                  <c:v>109.98560000000001</c:v>
                </c:pt>
                <c:pt idx="373">
                  <c:v>109.98560000000001</c:v>
                </c:pt>
                <c:pt idx="374">
                  <c:v>109.98560000000001</c:v>
                </c:pt>
                <c:pt idx="375">
                  <c:v>109.98560000000001</c:v>
                </c:pt>
                <c:pt idx="376">
                  <c:v>109.98560000000001</c:v>
                </c:pt>
                <c:pt idx="377">
                  <c:v>109.98560000000001</c:v>
                </c:pt>
                <c:pt idx="378">
                  <c:v>109.98560000000001</c:v>
                </c:pt>
                <c:pt idx="379">
                  <c:v>109.98560000000001</c:v>
                </c:pt>
                <c:pt idx="380">
                  <c:v>109.98560000000001</c:v>
                </c:pt>
                <c:pt idx="381">
                  <c:v>109.98560000000001</c:v>
                </c:pt>
                <c:pt idx="382">
                  <c:v>109.98560000000001</c:v>
                </c:pt>
                <c:pt idx="383">
                  <c:v>109.98560000000001</c:v>
                </c:pt>
                <c:pt idx="384">
                  <c:v>109.98560000000001</c:v>
                </c:pt>
                <c:pt idx="385">
                  <c:v>106.8728</c:v>
                </c:pt>
                <c:pt idx="386">
                  <c:v>106.8728</c:v>
                </c:pt>
                <c:pt idx="387">
                  <c:v>106.8728</c:v>
                </c:pt>
                <c:pt idx="388">
                  <c:v>106.8728</c:v>
                </c:pt>
                <c:pt idx="389">
                  <c:v>106.8728</c:v>
                </c:pt>
                <c:pt idx="390">
                  <c:v>106.8728</c:v>
                </c:pt>
                <c:pt idx="391">
                  <c:v>106.8728</c:v>
                </c:pt>
                <c:pt idx="392">
                  <c:v>106.8728</c:v>
                </c:pt>
                <c:pt idx="393">
                  <c:v>106.8728</c:v>
                </c:pt>
                <c:pt idx="394">
                  <c:v>106.8728</c:v>
                </c:pt>
                <c:pt idx="395">
                  <c:v>106.8728</c:v>
                </c:pt>
                <c:pt idx="396">
                  <c:v>104.7976</c:v>
                </c:pt>
                <c:pt idx="397">
                  <c:v>104.7976</c:v>
                </c:pt>
                <c:pt idx="398">
                  <c:v>104.7976</c:v>
                </c:pt>
                <c:pt idx="399">
                  <c:v>104.7976</c:v>
                </c:pt>
                <c:pt idx="400">
                  <c:v>104.7976</c:v>
                </c:pt>
                <c:pt idx="401">
                  <c:v>104.7976</c:v>
                </c:pt>
                <c:pt idx="402">
                  <c:v>104.7976</c:v>
                </c:pt>
                <c:pt idx="403">
                  <c:v>104.7976</c:v>
                </c:pt>
                <c:pt idx="404">
                  <c:v>104.7976</c:v>
                </c:pt>
                <c:pt idx="405">
                  <c:v>104.7976</c:v>
                </c:pt>
                <c:pt idx="406">
                  <c:v>104.2788</c:v>
                </c:pt>
                <c:pt idx="407">
                  <c:v>104.2788</c:v>
                </c:pt>
                <c:pt idx="408">
                  <c:v>104.2788</c:v>
                </c:pt>
                <c:pt idx="409">
                  <c:v>104.2788</c:v>
                </c:pt>
                <c:pt idx="410">
                  <c:v>103.24120000000001</c:v>
                </c:pt>
                <c:pt idx="411">
                  <c:v>103.24120000000001</c:v>
                </c:pt>
                <c:pt idx="412">
                  <c:v>103.24120000000001</c:v>
                </c:pt>
                <c:pt idx="413">
                  <c:v>103.24120000000001</c:v>
                </c:pt>
                <c:pt idx="414">
                  <c:v>100.6472</c:v>
                </c:pt>
                <c:pt idx="415">
                  <c:v>100.6472</c:v>
                </c:pt>
                <c:pt idx="416">
                  <c:v>99.6096</c:v>
                </c:pt>
                <c:pt idx="417">
                  <c:v>99.6096</c:v>
                </c:pt>
                <c:pt idx="418">
                  <c:v>99.6096</c:v>
                </c:pt>
                <c:pt idx="419">
                  <c:v>99.6096</c:v>
                </c:pt>
                <c:pt idx="420">
                  <c:v>98.572000000000003</c:v>
                </c:pt>
                <c:pt idx="421">
                  <c:v>98.572000000000003</c:v>
                </c:pt>
                <c:pt idx="422">
                  <c:v>98.572000000000003</c:v>
                </c:pt>
                <c:pt idx="423">
                  <c:v>98.572000000000003</c:v>
                </c:pt>
                <c:pt idx="424">
                  <c:v>98.572000000000003</c:v>
                </c:pt>
                <c:pt idx="425">
                  <c:v>98.572000000000003</c:v>
                </c:pt>
                <c:pt idx="426">
                  <c:v>98.572000000000003</c:v>
                </c:pt>
                <c:pt idx="427">
                  <c:v>96.496799999999993</c:v>
                </c:pt>
                <c:pt idx="428">
                  <c:v>96.496799999999993</c:v>
                </c:pt>
                <c:pt idx="429">
                  <c:v>96.496799999999993</c:v>
                </c:pt>
                <c:pt idx="430">
                  <c:v>96.496799999999993</c:v>
                </c:pt>
                <c:pt idx="431">
                  <c:v>96.496799999999993</c:v>
                </c:pt>
                <c:pt idx="432">
                  <c:v>96.496799999999993</c:v>
                </c:pt>
                <c:pt idx="433">
                  <c:v>96.496799999999993</c:v>
                </c:pt>
                <c:pt idx="434">
                  <c:v>95.459199999999996</c:v>
                </c:pt>
                <c:pt idx="435">
                  <c:v>95.459199999999996</c:v>
                </c:pt>
                <c:pt idx="436">
                  <c:v>95.459199999999996</c:v>
                </c:pt>
                <c:pt idx="437">
                  <c:v>95.459199999999996</c:v>
                </c:pt>
                <c:pt idx="438">
                  <c:v>95.459199999999996</c:v>
                </c:pt>
                <c:pt idx="439">
                  <c:v>95.459199999999996</c:v>
                </c:pt>
                <c:pt idx="440">
                  <c:v>95.459199999999996</c:v>
                </c:pt>
                <c:pt idx="441">
                  <c:v>95.459199999999996</c:v>
                </c:pt>
                <c:pt idx="442">
                  <c:v>96.496799999999993</c:v>
                </c:pt>
                <c:pt idx="443">
                  <c:v>95.459199999999996</c:v>
                </c:pt>
                <c:pt idx="444">
                  <c:v>95.459199999999996</c:v>
                </c:pt>
                <c:pt idx="445">
                  <c:v>95.459199999999996</c:v>
                </c:pt>
                <c:pt idx="446">
                  <c:v>95.459199999999996</c:v>
                </c:pt>
                <c:pt idx="447">
                  <c:v>95.459199999999996</c:v>
                </c:pt>
                <c:pt idx="448">
                  <c:v>93.384</c:v>
                </c:pt>
                <c:pt idx="449">
                  <c:v>93.384</c:v>
                </c:pt>
                <c:pt idx="450">
                  <c:v>93.384</c:v>
                </c:pt>
                <c:pt idx="451">
                  <c:v>93.384</c:v>
                </c:pt>
                <c:pt idx="452">
                  <c:v>93.384</c:v>
                </c:pt>
                <c:pt idx="453">
                  <c:v>93.384</c:v>
                </c:pt>
                <c:pt idx="454">
                  <c:v>93.384</c:v>
                </c:pt>
                <c:pt idx="455">
                  <c:v>93.384</c:v>
                </c:pt>
                <c:pt idx="456">
                  <c:v>93.384</c:v>
                </c:pt>
                <c:pt idx="457">
                  <c:v>93.384</c:v>
                </c:pt>
                <c:pt idx="458">
                  <c:v>93.384</c:v>
                </c:pt>
                <c:pt idx="459">
                  <c:v>93.384</c:v>
                </c:pt>
                <c:pt idx="460">
                  <c:v>93.384</c:v>
                </c:pt>
                <c:pt idx="461">
                  <c:v>93.384</c:v>
                </c:pt>
                <c:pt idx="462">
                  <c:v>93.384</c:v>
                </c:pt>
                <c:pt idx="463">
                  <c:v>93.384</c:v>
                </c:pt>
                <c:pt idx="464">
                  <c:v>93.384</c:v>
                </c:pt>
                <c:pt idx="465">
                  <c:v>93.384</c:v>
                </c:pt>
                <c:pt idx="466">
                  <c:v>93.384</c:v>
                </c:pt>
                <c:pt idx="467">
                  <c:v>93.384</c:v>
                </c:pt>
                <c:pt idx="468">
                  <c:v>93.384</c:v>
                </c:pt>
                <c:pt idx="469">
                  <c:v>92.346400000000003</c:v>
                </c:pt>
                <c:pt idx="470">
                  <c:v>91.308800000000005</c:v>
                </c:pt>
                <c:pt idx="471">
                  <c:v>91.308800000000005</c:v>
                </c:pt>
                <c:pt idx="472">
                  <c:v>92.346400000000003</c:v>
                </c:pt>
                <c:pt idx="473">
                  <c:v>92.346400000000003</c:v>
                </c:pt>
                <c:pt idx="474">
                  <c:v>92.346400000000003</c:v>
                </c:pt>
                <c:pt idx="475">
                  <c:v>92.346400000000003</c:v>
                </c:pt>
                <c:pt idx="476">
                  <c:v>92.346400000000003</c:v>
                </c:pt>
                <c:pt idx="477">
                  <c:v>90.271199999999993</c:v>
                </c:pt>
                <c:pt idx="478">
                  <c:v>89.752399999999994</c:v>
                </c:pt>
                <c:pt idx="479">
                  <c:v>89.752399999999994</c:v>
                </c:pt>
                <c:pt idx="480">
                  <c:v>89.752399999999994</c:v>
                </c:pt>
                <c:pt idx="481">
                  <c:v>89.752399999999994</c:v>
                </c:pt>
                <c:pt idx="482">
                  <c:v>89.752399999999994</c:v>
                </c:pt>
                <c:pt idx="483">
                  <c:v>89.752399999999994</c:v>
                </c:pt>
                <c:pt idx="484">
                  <c:v>89.752399999999994</c:v>
                </c:pt>
                <c:pt idx="485">
                  <c:v>89.752399999999994</c:v>
                </c:pt>
                <c:pt idx="486">
                  <c:v>89.752399999999994</c:v>
                </c:pt>
                <c:pt idx="487">
                  <c:v>89.752399999999994</c:v>
                </c:pt>
                <c:pt idx="488">
                  <c:v>89.752399999999994</c:v>
                </c:pt>
                <c:pt idx="489">
                  <c:v>89.752399999999994</c:v>
                </c:pt>
                <c:pt idx="490">
                  <c:v>89.752399999999994</c:v>
                </c:pt>
                <c:pt idx="491">
                  <c:v>89.752399999999994</c:v>
                </c:pt>
                <c:pt idx="492">
                  <c:v>89.752399999999994</c:v>
                </c:pt>
                <c:pt idx="493">
                  <c:v>89.752399999999994</c:v>
                </c:pt>
                <c:pt idx="494">
                  <c:v>0</c:v>
                </c:pt>
                <c:pt idx="495">
                  <c:v>0</c:v>
                </c:pt>
              </c:numCache>
            </c:numRef>
          </c:val>
          <c:smooth val="0"/>
          <c:extLst>
            <c:ext xmlns:c16="http://schemas.microsoft.com/office/drawing/2014/chart" uri="{C3380CC4-5D6E-409C-BE32-E72D297353CC}">
              <c16:uniqueId val="{00000002-7780-4A88-AC58-66791CBA5B1E}"/>
            </c:ext>
          </c:extLst>
        </c:ser>
        <c:ser>
          <c:idx val="3"/>
          <c:order val="3"/>
          <c:tx>
            <c:strRef>
              <c:f>ImportArb!$T$4</c:f>
              <c:strCache>
                <c:ptCount val="1"/>
                <c:pt idx="0">
                  <c:v>ILB</c:v>
                </c:pt>
              </c:strCache>
            </c:strRef>
          </c:tx>
          <c:spPr>
            <a:ln w="19050">
              <a:solidFill>
                <a:srgbClr val="1B6EBF"/>
              </a:solidFill>
            </a:ln>
          </c:spPr>
          <c:marker>
            <c:symbol val="none"/>
          </c:marker>
          <c:cat>
            <c:numRef>
              <c:f>ImportArb!$P$5:$P$500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ImportArb!$T$5:$T$500</c:f>
              <c:numCache>
                <c:formatCode>#,##0.00</c:formatCode>
                <c:ptCount val="496"/>
                <c:pt idx="0">
                  <c:v>257</c:v>
                </c:pt>
                <c:pt idx="1">
                  <c:v>257</c:v>
                </c:pt>
                <c:pt idx="2">
                  <c:v>257</c:v>
                </c:pt>
                <c:pt idx="3">
                  <c:v>257</c:v>
                </c:pt>
                <c:pt idx="4">
                  <c:v>257</c:v>
                </c:pt>
                <c:pt idx="5">
                  <c:v>257</c:v>
                </c:pt>
                <c:pt idx="6">
                  <c:v>257</c:v>
                </c:pt>
                <c:pt idx="7">
                  <c:v>252</c:v>
                </c:pt>
                <c:pt idx="8">
                  <c:v>252</c:v>
                </c:pt>
                <c:pt idx="9">
                  <c:v>252</c:v>
                </c:pt>
                <c:pt idx="10">
                  <c:v>252</c:v>
                </c:pt>
                <c:pt idx="11">
                  <c:v>252</c:v>
                </c:pt>
                <c:pt idx="12">
                  <c:v>252</c:v>
                </c:pt>
                <c:pt idx="13">
                  <c:v>252</c:v>
                </c:pt>
                <c:pt idx="14">
                  <c:v>247</c:v>
                </c:pt>
                <c:pt idx="15">
                  <c:v>247</c:v>
                </c:pt>
                <c:pt idx="16">
                  <c:v>247</c:v>
                </c:pt>
                <c:pt idx="17">
                  <c:v>247</c:v>
                </c:pt>
                <c:pt idx="18">
                  <c:v>247</c:v>
                </c:pt>
                <c:pt idx="19">
                  <c:v>247</c:v>
                </c:pt>
                <c:pt idx="20">
                  <c:v>247</c:v>
                </c:pt>
                <c:pt idx="21">
                  <c:v>245.5</c:v>
                </c:pt>
                <c:pt idx="22">
                  <c:v>245.5</c:v>
                </c:pt>
                <c:pt idx="23">
                  <c:v>245.5</c:v>
                </c:pt>
                <c:pt idx="24">
                  <c:v>245.5</c:v>
                </c:pt>
                <c:pt idx="25">
                  <c:v>245.5</c:v>
                </c:pt>
                <c:pt idx="26">
                  <c:v>245.5</c:v>
                </c:pt>
                <c:pt idx="27">
                  <c:v>245.5</c:v>
                </c:pt>
                <c:pt idx="28">
                  <c:v>240.4</c:v>
                </c:pt>
                <c:pt idx="29">
                  <c:v>240.4</c:v>
                </c:pt>
                <c:pt idx="30">
                  <c:v>240.4</c:v>
                </c:pt>
                <c:pt idx="31">
                  <c:v>240.4</c:v>
                </c:pt>
                <c:pt idx="32">
                  <c:v>240.4</c:v>
                </c:pt>
                <c:pt idx="33">
                  <c:v>240.4</c:v>
                </c:pt>
                <c:pt idx="34">
                  <c:v>240.4</c:v>
                </c:pt>
                <c:pt idx="35">
                  <c:v>232.25</c:v>
                </c:pt>
                <c:pt idx="36">
                  <c:v>232.25</c:v>
                </c:pt>
                <c:pt idx="37">
                  <c:v>232.25</c:v>
                </c:pt>
                <c:pt idx="38">
                  <c:v>232.25</c:v>
                </c:pt>
                <c:pt idx="39">
                  <c:v>232.25</c:v>
                </c:pt>
                <c:pt idx="40">
                  <c:v>232.25</c:v>
                </c:pt>
                <c:pt idx="41">
                  <c:v>232.25</c:v>
                </c:pt>
                <c:pt idx="42">
                  <c:v>236.64</c:v>
                </c:pt>
                <c:pt idx="43">
                  <c:v>236.64</c:v>
                </c:pt>
                <c:pt idx="44">
                  <c:v>236.64</c:v>
                </c:pt>
                <c:pt idx="45">
                  <c:v>236.64</c:v>
                </c:pt>
                <c:pt idx="46">
                  <c:v>236.64</c:v>
                </c:pt>
                <c:pt idx="47">
                  <c:v>236.64</c:v>
                </c:pt>
                <c:pt idx="48">
                  <c:v>236.64</c:v>
                </c:pt>
                <c:pt idx="49">
                  <c:v>228.2</c:v>
                </c:pt>
                <c:pt idx="50">
                  <c:v>228.2</c:v>
                </c:pt>
                <c:pt idx="51">
                  <c:v>228.2</c:v>
                </c:pt>
                <c:pt idx="52">
                  <c:v>228.2</c:v>
                </c:pt>
                <c:pt idx="53">
                  <c:v>228.2</c:v>
                </c:pt>
                <c:pt idx="54">
                  <c:v>228.2</c:v>
                </c:pt>
                <c:pt idx="55">
                  <c:v>228.2</c:v>
                </c:pt>
                <c:pt idx="56">
                  <c:v>226</c:v>
                </c:pt>
                <c:pt idx="57">
                  <c:v>226</c:v>
                </c:pt>
                <c:pt idx="58">
                  <c:v>226</c:v>
                </c:pt>
                <c:pt idx="59">
                  <c:v>226</c:v>
                </c:pt>
                <c:pt idx="60">
                  <c:v>226</c:v>
                </c:pt>
                <c:pt idx="61">
                  <c:v>226</c:v>
                </c:pt>
                <c:pt idx="62">
                  <c:v>226</c:v>
                </c:pt>
                <c:pt idx="63">
                  <c:v>224.5</c:v>
                </c:pt>
                <c:pt idx="64">
                  <c:v>224.5</c:v>
                </c:pt>
                <c:pt idx="65">
                  <c:v>224.5</c:v>
                </c:pt>
                <c:pt idx="66">
                  <c:v>224.5</c:v>
                </c:pt>
                <c:pt idx="67">
                  <c:v>224.5</c:v>
                </c:pt>
                <c:pt idx="68">
                  <c:v>224.5</c:v>
                </c:pt>
                <c:pt idx="69">
                  <c:v>224.5</c:v>
                </c:pt>
                <c:pt idx="70">
                  <c:v>211.25</c:v>
                </c:pt>
                <c:pt idx="71">
                  <c:v>211.25</c:v>
                </c:pt>
                <c:pt idx="72">
                  <c:v>211.25</c:v>
                </c:pt>
                <c:pt idx="73">
                  <c:v>211.25</c:v>
                </c:pt>
                <c:pt idx="74">
                  <c:v>211.25</c:v>
                </c:pt>
                <c:pt idx="75">
                  <c:v>211.25</c:v>
                </c:pt>
                <c:pt idx="76">
                  <c:v>211.25</c:v>
                </c:pt>
                <c:pt idx="77">
                  <c:v>211</c:v>
                </c:pt>
                <c:pt idx="78">
                  <c:v>211</c:v>
                </c:pt>
                <c:pt idx="79">
                  <c:v>211</c:v>
                </c:pt>
                <c:pt idx="80">
                  <c:v>211</c:v>
                </c:pt>
                <c:pt idx="81">
                  <c:v>211</c:v>
                </c:pt>
                <c:pt idx="82">
                  <c:v>211</c:v>
                </c:pt>
                <c:pt idx="83">
                  <c:v>211</c:v>
                </c:pt>
                <c:pt idx="84">
                  <c:v>198.3</c:v>
                </c:pt>
                <c:pt idx="85">
                  <c:v>198.3</c:v>
                </c:pt>
                <c:pt idx="86">
                  <c:v>198.3</c:v>
                </c:pt>
                <c:pt idx="87">
                  <c:v>198.3</c:v>
                </c:pt>
                <c:pt idx="88">
                  <c:v>198.3</c:v>
                </c:pt>
                <c:pt idx="89">
                  <c:v>198.3</c:v>
                </c:pt>
                <c:pt idx="90">
                  <c:v>198.3</c:v>
                </c:pt>
                <c:pt idx="91">
                  <c:v>184.19</c:v>
                </c:pt>
                <c:pt idx="92">
                  <c:v>184.19</c:v>
                </c:pt>
                <c:pt idx="93">
                  <c:v>184.19</c:v>
                </c:pt>
                <c:pt idx="94">
                  <c:v>184.19</c:v>
                </c:pt>
                <c:pt idx="95">
                  <c:v>184.19</c:v>
                </c:pt>
                <c:pt idx="96">
                  <c:v>184.19</c:v>
                </c:pt>
                <c:pt idx="97">
                  <c:v>184.19</c:v>
                </c:pt>
                <c:pt idx="98">
                  <c:v>187</c:v>
                </c:pt>
                <c:pt idx="99">
                  <c:v>187</c:v>
                </c:pt>
                <c:pt idx="100">
                  <c:v>187</c:v>
                </c:pt>
                <c:pt idx="101">
                  <c:v>187</c:v>
                </c:pt>
                <c:pt idx="102">
                  <c:v>187</c:v>
                </c:pt>
                <c:pt idx="103">
                  <c:v>187</c:v>
                </c:pt>
                <c:pt idx="104">
                  <c:v>187</c:v>
                </c:pt>
                <c:pt idx="105">
                  <c:v>176</c:v>
                </c:pt>
                <c:pt idx="106">
                  <c:v>176</c:v>
                </c:pt>
                <c:pt idx="107">
                  <c:v>176</c:v>
                </c:pt>
                <c:pt idx="108">
                  <c:v>176</c:v>
                </c:pt>
                <c:pt idx="109">
                  <c:v>176</c:v>
                </c:pt>
                <c:pt idx="110">
                  <c:v>176</c:v>
                </c:pt>
                <c:pt idx="111">
                  <c:v>176</c:v>
                </c:pt>
                <c:pt idx="112">
                  <c:v>178</c:v>
                </c:pt>
                <c:pt idx="113">
                  <c:v>178</c:v>
                </c:pt>
                <c:pt idx="114">
                  <c:v>178</c:v>
                </c:pt>
                <c:pt idx="115">
                  <c:v>178</c:v>
                </c:pt>
                <c:pt idx="116">
                  <c:v>178</c:v>
                </c:pt>
                <c:pt idx="117">
                  <c:v>178</c:v>
                </c:pt>
                <c:pt idx="118">
                  <c:v>178</c:v>
                </c:pt>
                <c:pt idx="119">
                  <c:v>172.8</c:v>
                </c:pt>
                <c:pt idx="120">
                  <c:v>172.8</c:v>
                </c:pt>
                <c:pt idx="121">
                  <c:v>172.8</c:v>
                </c:pt>
                <c:pt idx="122">
                  <c:v>172.8</c:v>
                </c:pt>
                <c:pt idx="123">
                  <c:v>172.8</c:v>
                </c:pt>
                <c:pt idx="124">
                  <c:v>172.8</c:v>
                </c:pt>
                <c:pt idx="125">
                  <c:v>172.8</c:v>
                </c:pt>
                <c:pt idx="126">
                  <c:v>171.33</c:v>
                </c:pt>
                <c:pt idx="127">
                  <c:v>171.33</c:v>
                </c:pt>
                <c:pt idx="128">
                  <c:v>171.33</c:v>
                </c:pt>
                <c:pt idx="129">
                  <c:v>171.33</c:v>
                </c:pt>
                <c:pt idx="130">
                  <c:v>171.33</c:v>
                </c:pt>
                <c:pt idx="131">
                  <c:v>171.33</c:v>
                </c:pt>
                <c:pt idx="132">
                  <c:v>171.33</c:v>
                </c:pt>
                <c:pt idx="133">
                  <c:v>168</c:v>
                </c:pt>
                <c:pt idx="134">
                  <c:v>168</c:v>
                </c:pt>
                <c:pt idx="135">
                  <c:v>168</c:v>
                </c:pt>
                <c:pt idx="136">
                  <c:v>168</c:v>
                </c:pt>
                <c:pt idx="137">
                  <c:v>168</c:v>
                </c:pt>
                <c:pt idx="138">
                  <c:v>168</c:v>
                </c:pt>
                <c:pt idx="139">
                  <c:v>168</c:v>
                </c:pt>
                <c:pt idx="140">
                  <c:v>169.4</c:v>
                </c:pt>
                <c:pt idx="141">
                  <c:v>169.4</c:v>
                </c:pt>
                <c:pt idx="142">
                  <c:v>169.4</c:v>
                </c:pt>
                <c:pt idx="143">
                  <c:v>169.4</c:v>
                </c:pt>
                <c:pt idx="144">
                  <c:v>169.4</c:v>
                </c:pt>
                <c:pt idx="145">
                  <c:v>169.4</c:v>
                </c:pt>
                <c:pt idx="146">
                  <c:v>169.4</c:v>
                </c:pt>
                <c:pt idx="147">
                  <c:v>174</c:v>
                </c:pt>
                <c:pt idx="148">
                  <c:v>174</c:v>
                </c:pt>
                <c:pt idx="149">
                  <c:v>174</c:v>
                </c:pt>
                <c:pt idx="150">
                  <c:v>174</c:v>
                </c:pt>
                <c:pt idx="151">
                  <c:v>174</c:v>
                </c:pt>
                <c:pt idx="152">
                  <c:v>174</c:v>
                </c:pt>
                <c:pt idx="153">
                  <c:v>174</c:v>
                </c:pt>
                <c:pt idx="154">
                  <c:v>169.6</c:v>
                </c:pt>
                <c:pt idx="155">
                  <c:v>169.6</c:v>
                </c:pt>
                <c:pt idx="156">
                  <c:v>169.6</c:v>
                </c:pt>
                <c:pt idx="157">
                  <c:v>169.6</c:v>
                </c:pt>
                <c:pt idx="158">
                  <c:v>169.6</c:v>
                </c:pt>
                <c:pt idx="159">
                  <c:v>169.6</c:v>
                </c:pt>
                <c:pt idx="160">
                  <c:v>169.6</c:v>
                </c:pt>
                <c:pt idx="161">
                  <c:v>164.67</c:v>
                </c:pt>
                <c:pt idx="162">
                  <c:v>164.67</c:v>
                </c:pt>
                <c:pt idx="163">
                  <c:v>164.67</c:v>
                </c:pt>
                <c:pt idx="164">
                  <c:v>164.67</c:v>
                </c:pt>
                <c:pt idx="165">
                  <c:v>164.67</c:v>
                </c:pt>
                <c:pt idx="166">
                  <c:v>164.67</c:v>
                </c:pt>
                <c:pt idx="167">
                  <c:v>164.67</c:v>
                </c:pt>
                <c:pt idx="168">
                  <c:v>163.75</c:v>
                </c:pt>
                <c:pt idx="169">
                  <c:v>163.75</c:v>
                </c:pt>
                <c:pt idx="170">
                  <c:v>163.75</c:v>
                </c:pt>
                <c:pt idx="171">
                  <c:v>163.75</c:v>
                </c:pt>
                <c:pt idx="172">
                  <c:v>163.75</c:v>
                </c:pt>
                <c:pt idx="173">
                  <c:v>163.75</c:v>
                </c:pt>
                <c:pt idx="174">
                  <c:v>163.75</c:v>
                </c:pt>
                <c:pt idx="175">
                  <c:v>162</c:v>
                </c:pt>
                <c:pt idx="176">
                  <c:v>162</c:v>
                </c:pt>
                <c:pt idx="177">
                  <c:v>162</c:v>
                </c:pt>
                <c:pt idx="178">
                  <c:v>162</c:v>
                </c:pt>
                <c:pt idx="179">
                  <c:v>162</c:v>
                </c:pt>
                <c:pt idx="180">
                  <c:v>162</c:v>
                </c:pt>
                <c:pt idx="181">
                  <c:v>162</c:v>
                </c:pt>
                <c:pt idx="182">
                  <c:v>170.33</c:v>
                </c:pt>
                <c:pt idx="183">
                  <c:v>170.33</c:v>
                </c:pt>
                <c:pt idx="184">
                  <c:v>170.33</c:v>
                </c:pt>
                <c:pt idx="185">
                  <c:v>170.33</c:v>
                </c:pt>
                <c:pt idx="186">
                  <c:v>170.33</c:v>
                </c:pt>
                <c:pt idx="187">
                  <c:v>170.33</c:v>
                </c:pt>
                <c:pt idx="188">
                  <c:v>170.33</c:v>
                </c:pt>
                <c:pt idx="189">
                  <c:v>138</c:v>
                </c:pt>
                <c:pt idx="190">
                  <c:v>138</c:v>
                </c:pt>
                <c:pt idx="191">
                  <c:v>138</c:v>
                </c:pt>
                <c:pt idx="192">
                  <c:v>138</c:v>
                </c:pt>
                <c:pt idx="193">
                  <c:v>138</c:v>
                </c:pt>
                <c:pt idx="194">
                  <c:v>138</c:v>
                </c:pt>
                <c:pt idx="195">
                  <c:v>138</c:v>
                </c:pt>
                <c:pt idx="196">
                  <c:v>125.1</c:v>
                </c:pt>
                <c:pt idx="197">
                  <c:v>125.1</c:v>
                </c:pt>
                <c:pt idx="198">
                  <c:v>125.1</c:v>
                </c:pt>
                <c:pt idx="199">
                  <c:v>125.1</c:v>
                </c:pt>
                <c:pt idx="200">
                  <c:v>125.1</c:v>
                </c:pt>
                <c:pt idx="201">
                  <c:v>125.1</c:v>
                </c:pt>
                <c:pt idx="202">
                  <c:v>125.1</c:v>
                </c:pt>
                <c:pt idx="203">
                  <c:v>123.9</c:v>
                </c:pt>
                <c:pt idx="204">
                  <c:v>123.9</c:v>
                </c:pt>
                <c:pt idx="205">
                  <c:v>123.9</c:v>
                </c:pt>
                <c:pt idx="206">
                  <c:v>123.9</c:v>
                </c:pt>
                <c:pt idx="207">
                  <c:v>123.9</c:v>
                </c:pt>
                <c:pt idx="208">
                  <c:v>123.9</c:v>
                </c:pt>
                <c:pt idx="209">
                  <c:v>123.9</c:v>
                </c:pt>
                <c:pt idx="210">
                  <c:v>125.02</c:v>
                </c:pt>
                <c:pt idx="211">
                  <c:v>125.02</c:v>
                </c:pt>
                <c:pt idx="212">
                  <c:v>125.02</c:v>
                </c:pt>
                <c:pt idx="213">
                  <c:v>125.02</c:v>
                </c:pt>
                <c:pt idx="214">
                  <c:v>125.02</c:v>
                </c:pt>
                <c:pt idx="215">
                  <c:v>125.02</c:v>
                </c:pt>
                <c:pt idx="216">
                  <c:v>125.02</c:v>
                </c:pt>
                <c:pt idx="217">
                  <c:v>125.1</c:v>
                </c:pt>
                <c:pt idx="218">
                  <c:v>125.1</c:v>
                </c:pt>
                <c:pt idx="219">
                  <c:v>125.1</c:v>
                </c:pt>
                <c:pt idx="220">
                  <c:v>125.1</c:v>
                </c:pt>
                <c:pt idx="221">
                  <c:v>125.1</c:v>
                </c:pt>
                <c:pt idx="222">
                  <c:v>125.1</c:v>
                </c:pt>
                <c:pt idx="223">
                  <c:v>125.1</c:v>
                </c:pt>
                <c:pt idx="224">
                  <c:v>124.5</c:v>
                </c:pt>
                <c:pt idx="225">
                  <c:v>124.5</c:v>
                </c:pt>
                <c:pt idx="226">
                  <c:v>124.5</c:v>
                </c:pt>
                <c:pt idx="227">
                  <c:v>124.5</c:v>
                </c:pt>
                <c:pt idx="228">
                  <c:v>124.5</c:v>
                </c:pt>
                <c:pt idx="229">
                  <c:v>124.5</c:v>
                </c:pt>
                <c:pt idx="230">
                  <c:v>124.5</c:v>
                </c:pt>
                <c:pt idx="231">
                  <c:v>123.5</c:v>
                </c:pt>
                <c:pt idx="232">
                  <c:v>123.5</c:v>
                </c:pt>
                <c:pt idx="233">
                  <c:v>123.5</c:v>
                </c:pt>
                <c:pt idx="234">
                  <c:v>123.5</c:v>
                </c:pt>
                <c:pt idx="235">
                  <c:v>123.5</c:v>
                </c:pt>
                <c:pt idx="236">
                  <c:v>123.5</c:v>
                </c:pt>
                <c:pt idx="237">
                  <c:v>123.5</c:v>
                </c:pt>
                <c:pt idx="238">
                  <c:v>124.8</c:v>
                </c:pt>
                <c:pt idx="239">
                  <c:v>124.8</c:v>
                </c:pt>
                <c:pt idx="240">
                  <c:v>124.8</c:v>
                </c:pt>
                <c:pt idx="241">
                  <c:v>124.8</c:v>
                </c:pt>
                <c:pt idx="242">
                  <c:v>124.8</c:v>
                </c:pt>
                <c:pt idx="243">
                  <c:v>124.8</c:v>
                </c:pt>
                <c:pt idx="244">
                  <c:v>124.8</c:v>
                </c:pt>
                <c:pt idx="245">
                  <c:v>125.84</c:v>
                </c:pt>
                <c:pt idx="246">
                  <c:v>125.84</c:v>
                </c:pt>
                <c:pt idx="247">
                  <c:v>125.84</c:v>
                </c:pt>
                <c:pt idx="248">
                  <c:v>125.84</c:v>
                </c:pt>
                <c:pt idx="249">
                  <c:v>125.84</c:v>
                </c:pt>
                <c:pt idx="250">
                  <c:v>125.84</c:v>
                </c:pt>
                <c:pt idx="251">
                  <c:v>125.84</c:v>
                </c:pt>
                <c:pt idx="252">
                  <c:v>127.5</c:v>
                </c:pt>
                <c:pt idx="253">
                  <c:v>127.5</c:v>
                </c:pt>
                <c:pt idx="254">
                  <c:v>127.5</c:v>
                </c:pt>
                <c:pt idx="255">
                  <c:v>127.5</c:v>
                </c:pt>
                <c:pt idx="256">
                  <c:v>127.5</c:v>
                </c:pt>
                <c:pt idx="257">
                  <c:v>127.5</c:v>
                </c:pt>
                <c:pt idx="258">
                  <c:v>127.5</c:v>
                </c:pt>
                <c:pt idx="259">
                  <c:v>127.1</c:v>
                </c:pt>
                <c:pt idx="260">
                  <c:v>127.1</c:v>
                </c:pt>
                <c:pt idx="261">
                  <c:v>127.1</c:v>
                </c:pt>
                <c:pt idx="262">
                  <c:v>127.1</c:v>
                </c:pt>
                <c:pt idx="263">
                  <c:v>127.1</c:v>
                </c:pt>
                <c:pt idx="264">
                  <c:v>127.1</c:v>
                </c:pt>
                <c:pt idx="265">
                  <c:v>127.1</c:v>
                </c:pt>
                <c:pt idx="266">
                  <c:v>127</c:v>
                </c:pt>
                <c:pt idx="267">
                  <c:v>127</c:v>
                </c:pt>
                <c:pt idx="268">
                  <c:v>127</c:v>
                </c:pt>
                <c:pt idx="269">
                  <c:v>127</c:v>
                </c:pt>
                <c:pt idx="270">
                  <c:v>127</c:v>
                </c:pt>
                <c:pt idx="271">
                  <c:v>127</c:v>
                </c:pt>
                <c:pt idx="272">
                  <c:v>127</c:v>
                </c:pt>
                <c:pt idx="273">
                  <c:v>129</c:v>
                </c:pt>
                <c:pt idx="274">
                  <c:v>129</c:v>
                </c:pt>
                <c:pt idx="275">
                  <c:v>129</c:v>
                </c:pt>
                <c:pt idx="276">
                  <c:v>129</c:v>
                </c:pt>
                <c:pt idx="277">
                  <c:v>129</c:v>
                </c:pt>
                <c:pt idx="278">
                  <c:v>129</c:v>
                </c:pt>
                <c:pt idx="279">
                  <c:v>129</c:v>
                </c:pt>
                <c:pt idx="280">
                  <c:v>127.08</c:v>
                </c:pt>
                <c:pt idx="281">
                  <c:v>127.08</c:v>
                </c:pt>
                <c:pt idx="282">
                  <c:v>127.08</c:v>
                </c:pt>
                <c:pt idx="283">
                  <c:v>127.08</c:v>
                </c:pt>
                <c:pt idx="284">
                  <c:v>127.08</c:v>
                </c:pt>
                <c:pt idx="285">
                  <c:v>127.08</c:v>
                </c:pt>
                <c:pt idx="286">
                  <c:v>127.08</c:v>
                </c:pt>
                <c:pt idx="287">
                  <c:v>128.70999999999998</c:v>
                </c:pt>
                <c:pt idx="288">
                  <c:v>128.70999999999998</c:v>
                </c:pt>
                <c:pt idx="289">
                  <c:v>128.70999999999998</c:v>
                </c:pt>
                <c:pt idx="290">
                  <c:v>128.70999999999998</c:v>
                </c:pt>
                <c:pt idx="291">
                  <c:v>128.70999999999998</c:v>
                </c:pt>
                <c:pt idx="292">
                  <c:v>128.70999999999998</c:v>
                </c:pt>
                <c:pt idx="293">
                  <c:v>128.70999999999998</c:v>
                </c:pt>
                <c:pt idx="294">
                  <c:v>128.70999999999998</c:v>
                </c:pt>
                <c:pt idx="295">
                  <c:v>128.70999999999998</c:v>
                </c:pt>
                <c:pt idx="296">
                  <c:v>128.70999999999998</c:v>
                </c:pt>
                <c:pt idx="297">
                  <c:v>128.70999999999998</c:v>
                </c:pt>
                <c:pt idx="298">
                  <c:v>128.70999999999998</c:v>
                </c:pt>
                <c:pt idx="299">
                  <c:v>128.70999999999998</c:v>
                </c:pt>
                <c:pt idx="300">
                  <c:v>128.70999999999998</c:v>
                </c:pt>
                <c:pt idx="301">
                  <c:v>134</c:v>
                </c:pt>
                <c:pt idx="302">
                  <c:v>134</c:v>
                </c:pt>
                <c:pt idx="303">
                  <c:v>134</c:v>
                </c:pt>
                <c:pt idx="304">
                  <c:v>134</c:v>
                </c:pt>
                <c:pt idx="305">
                  <c:v>134</c:v>
                </c:pt>
                <c:pt idx="306">
                  <c:v>134</c:v>
                </c:pt>
                <c:pt idx="307">
                  <c:v>134</c:v>
                </c:pt>
                <c:pt idx="308">
                  <c:v>124.2</c:v>
                </c:pt>
                <c:pt idx="309">
                  <c:v>124.2</c:v>
                </c:pt>
                <c:pt idx="310">
                  <c:v>124.2</c:v>
                </c:pt>
                <c:pt idx="311">
                  <c:v>124.2</c:v>
                </c:pt>
                <c:pt idx="312">
                  <c:v>124.2</c:v>
                </c:pt>
                <c:pt idx="313">
                  <c:v>124.2</c:v>
                </c:pt>
                <c:pt idx="314">
                  <c:v>124.2</c:v>
                </c:pt>
                <c:pt idx="315">
                  <c:v>124</c:v>
                </c:pt>
                <c:pt idx="316">
                  <c:v>124</c:v>
                </c:pt>
                <c:pt idx="317">
                  <c:v>124</c:v>
                </c:pt>
                <c:pt idx="318">
                  <c:v>124</c:v>
                </c:pt>
                <c:pt idx="319">
                  <c:v>124</c:v>
                </c:pt>
                <c:pt idx="320">
                  <c:v>124</c:v>
                </c:pt>
                <c:pt idx="321">
                  <c:v>124</c:v>
                </c:pt>
                <c:pt idx="322">
                  <c:v>122.34</c:v>
                </c:pt>
                <c:pt idx="323">
                  <c:v>122.34</c:v>
                </c:pt>
                <c:pt idx="324">
                  <c:v>122.34</c:v>
                </c:pt>
                <c:pt idx="325">
                  <c:v>122.34</c:v>
                </c:pt>
                <c:pt idx="326">
                  <c:v>122.34</c:v>
                </c:pt>
                <c:pt idx="327">
                  <c:v>122.34</c:v>
                </c:pt>
                <c:pt idx="328">
                  <c:v>122.34</c:v>
                </c:pt>
                <c:pt idx="329">
                  <c:v>123.33</c:v>
                </c:pt>
                <c:pt idx="330">
                  <c:v>123.33</c:v>
                </c:pt>
                <c:pt idx="331">
                  <c:v>123.33</c:v>
                </c:pt>
                <c:pt idx="332">
                  <c:v>123.33</c:v>
                </c:pt>
                <c:pt idx="333">
                  <c:v>123.33</c:v>
                </c:pt>
                <c:pt idx="334">
                  <c:v>123.33</c:v>
                </c:pt>
                <c:pt idx="335">
                  <c:v>123.33</c:v>
                </c:pt>
                <c:pt idx="336">
                  <c:v>119.85</c:v>
                </c:pt>
                <c:pt idx="337">
                  <c:v>119.85</c:v>
                </c:pt>
                <c:pt idx="338">
                  <c:v>119.85</c:v>
                </c:pt>
                <c:pt idx="339">
                  <c:v>119.85</c:v>
                </c:pt>
                <c:pt idx="340">
                  <c:v>119.85</c:v>
                </c:pt>
                <c:pt idx="341">
                  <c:v>119.85</c:v>
                </c:pt>
                <c:pt idx="342">
                  <c:v>119.85</c:v>
                </c:pt>
                <c:pt idx="343">
                  <c:v>94.56</c:v>
                </c:pt>
                <c:pt idx="344">
                  <c:v>94.56</c:v>
                </c:pt>
                <c:pt idx="345">
                  <c:v>94.56</c:v>
                </c:pt>
                <c:pt idx="346">
                  <c:v>94.56</c:v>
                </c:pt>
                <c:pt idx="347">
                  <c:v>94.56</c:v>
                </c:pt>
                <c:pt idx="348">
                  <c:v>94.56</c:v>
                </c:pt>
                <c:pt idx="349">
                  <c:v>94.56</c:v>
                </c:pt>
                <c:pt idx="350">
                  <c:v>91.38</c:v>
                </c:pt>
                <c:pt idx="351">
                  <c:v>91.38</c:v>
                </c:pt>
                <c:pt idx="352">
                  <c:v>91.38</c:v>
                </c:pt>
                <c:pt idx="353">
                  <c:v>91.38</c:v>
                </c:pt>
                <c:pt idx="354">
                  <c:v>91.38</c:v>
                </c:pt>
                <c:pt idx="355">
                  <c:v>91.38</c:v>
                </c:pt>
                <c:pt idx="356">
                  <c:v>91.38</c:v>
                </c:pt>
                <c:pt idx="357">
                  <c:v>91.2</c:v>
                </c:pt>
                <c:pt idx="358">
                  <c:v>91.2</c:v>
                </c:pt>
                <c:pt idx="359">
                  <c:v>91.2</c:v>
                </c:pt>
                <c:pt idx="360">
                  <c:v>91.2</c:v>
                </c:pt>
                <c:pt idx="361">
                  <c:v>91.2</c:v>
                </c:pt>
                <c:pt idx="362">
                  <c:v>91.2</c:v>
                </c:pt>
                <c:pt idx="363">
                  <c:v>91.2</c:v>
                </c:pt>
                <c:pt idx="364">
                  <c:v>90.710000000000008</c:v>
                </c:pt>
                <c:pt idx="365">
                  <c:v>90.710000000000008</c:v>
                </c:pt>
                <c:pt idx="366">
                  <c:v>90.710000000000008</c:v>
                </c:pt>
                <c:pt idx="367">
                  <c:v>90.710000000000008</c:v>
                </c:pt>
                <c:pt idx="368">
                  <c:v>90.710000000000008</c:v>
                </c:pt>
                <c:pt idx="369">
                  <c:v>90.710000000000008</c:v>
                </c:pt>
                <c:pt idx="370">
                  <c:v>90.710000000000008</c:v>
                </c:pt>
                <c:pt idx="371">
                  <c:v>87.88</c:v>
                </c:pt>
                <c:pt idx="372">
                  <c:v>87.88</c:v>
                </c:pt>
                <c:pt idx="373">
                  <c:v>87.88</c:v>
                </c:pt>
                <c:pt idx="374">
                  <c:v>87.88</c:v>
                </c:pt>
                <c:pt idx="375">
                  <c:v>87.88</c:v>
                </c:pt>
                <c:pt idx="376">
                  <c:v>87.88</c:v>
                </c:pt>
                <c:pt idx="377">
                  <c:v>87.88</c:v>
                </c:pt>
                <c:pt idx="378">
                  <c:v>86.039999999999992</c:v>
                </c:pt>
                <c:pt idx="379">
                  <c:v>86.039999999999992</c:v>
                </c:pt>
                <c:pt idx="380">
                  <c:v>86.039999999999992</c:v>
                </c:pt>
                <c:pt idx="381">
                  <c:v>86.039999999999992</c:v>
                </c:pt>
                <c:pt idx="382">
                  <c:v>86.039999999999992</c:v>
                </c:pt>
                <c:pt idx="383">
                  <c:v>86.039999999999992</c:v>
                </c:pt>
                <c:pt idx="384">
                  <c:v>86.039999999999992</c:v>
                </c:pt>
                <c:pt idx="385">
                  <c:v>84.7</c:v>
                </c:pt>
                <c:pt idx="386">
                  <c:v>84.7</c:v>
                </c:pt>
                <c:pt idx="387">
                  <c:v>84.7</c:v>
                </c:pt>
                <c:pt idx="388">
                  <c:v>84.7</c:v>
                </c:pt>
                <c:pt idx="389">
                  <c:v>84.7</c:v>
                </c:pt>
                <c:pt idx="390">
                  <c:v>84.7</c:v>
                </c:pt>
                <c:pt idx="391">
                  <c:v>84.7</c:v>
                </c:pt>
                <c:pt idx="392">
                  <c:v>82.9</c:v>
                </c:pt>
                <c:pt idx="393">
                  <c:v>82.9</c:v>
                </c:pt>
                <c:pt idx="394">
                  <c:v>82.9</c:v>
                </c:pt>
                <c:pt idx="395">
                  <c:v>82.9</c:v>
                </c:pt>
                <c:pt idx="396">
                  <c:v>82.9</c:v>
                </c:pt>
                <c:pt idx="397">
                  <c:v>82.9</c:v>
                </c:pt>
                <c:pt idx="398">
                  <c:v>82.9</c:v>
                </c:pt>
                <c:pt idx="399">
                  <c:v>81.93</c:v>
                </c:pt>
                <c:pt idx="400">
                  <c:v>81.93</c:v>
                </c:pt>
                <c:pt idx="401">
                  <c:v>81.93</c:v>
                </c:pt>
                <c:pt idx="402">
                  <c:v>81.93</c:v>
                </c:pt>
                <c:pt idx="403">
                  <c:v>81.93</c:v>
                </c:pt>
                <c:pt idx="404">
                  <c:v>81.93</c:v>
                </c:pt>
                <c:pt idx="405">
                  <c:v>81.93</c:v>
                </c:pt>
                <c:pt idx="406">
                  <c:v>80.150000000000006</c:v>
                </c:pt>
                <c:pt idx="407">
                  <c:v>80.150000000000006</c:v>
                </c:pt>
                <c:pt idx="408">
                  <c:v>80.150000000000006</c:v>
                </c:pt>
                <c:pt idx="409">
                  <c:v>80.150000000000006</c:v>
                </c:pt>
                <c:pt idx="410">
                  <c:v>80.150000000000006</c:v>
                </c:pt>
                <c:pt idx="411">
                  <c:v>80.150000000000006</c:v>
                </c:pt>
                <c:pt idx="412">
                  <c:v>80.150000000000006</c:v>
                </c:pt>
                <c:pt idx="413">
                  <c:v>79.25</c:v>
                </c:pt>
                <c:pt idx="414">
                  <c:v>79.25</c:v>
                </c:pt>
                <c:pt idx="415">
                  <c:v>79.25</c:v>
                </c:pt>
                <c:pt idx="416">
                  <c:v>79.25</c:v>
                </c:pt>
                <c:pt idx="417">
                  <c:v>79.25</c:v>
                </c:pt>
                <c:pt idx="418">
                  <c:v>79.25</c:v>
                </c:pt>
                <c:pt idx="419">
                  <c:v>79.25</c:v>
                </c:pt>
                <c:pt idx="420">
                  <c:v>77.77000000000001</c:v>
                </c:pt>
                <c:pt idx="421">
                  <c:v>77.77000000000001</c:v>
                </c:pt>
                <c:pt idx="422">
                  <c:v>77.77000000000001</c:v>
                </c:pt>
                <c:pt idx="423">
                  <c:v>77.77000000000001</c:v>
                </c:pt>
                <c:pt idx="424">
                  <c:v>77.77000000000001</c:v>
                </c:pt>
                <c:pt idx="425">
                  <c:v>77.77000000000001</c:v>
                </c:pt>
                <c:pt idx="426">
                  <c:v>77.77000000000001</c:v>
                </c:pt>
                <c:pt idx="427">
                  <c:v>73.27000000000001</c:v>
                </c:pt>
                <c:pt idx="428">
                  <c:v>73.27000000000001</c:v>
                </c:pt>
                <c:pt idx="429">
                  <c:v>73.27000000000001</c:v>
                </c:pt>
                <c:pt idx="430">
                  <c:v>73.27000000000001</c:v>
                </c:pt>
                <c:pt idx="431">
                  <c:v>73.27000000000001</c:v>
                </c:pt>
                <c:pt idx="432">
                  <c:v>73.27000000000001</c:v>
                </c:pt>
                <c:pt idx="433">
                  <c:v>73.27000000000001</c:v>
                </c:pt>
                <c:pt idx="434">
                  <c:v>70.8</c:v>
                </c:pt>
                <c:pt idx="435">
                  <c:v>70.8</c:v>
                </c:pt>
                <c:pt idx="436">
                  <c:v>70.8</c:v>
                </c:pt>
                <c:pt idx="437">
                  <c:v>70.8</c:v>
                </c:pt>
                <c:pt idx="438">
                  <c:v>70.8</c:v>
                </c:pt>
                <c:pt idx="439">
                  <c:v>70.8</c:v>
                </c:pt>
                <c:pt idx="440">
                  <c:v>70.8</c:v>
                </c:pt>
                <c:pt idx="441">
                  <c:v>68.759999999999991</c:v>
                </c:pt>
                <c:pt idx="442">
                  <c:v>68.759999999999991</c:v>
                </c:pt>
                <c:pt idx="443">
                  <c:v>68.759999999999991</c:v>
                </c:pt>
                <c:pt idx="444">
                  <c:v>68.759999999999991</c:v>
                </c:pt>
                <c:pt idx="445">
                  <c:v>68.759999999999991</c:v>
                </c:pt>
                <c:pt idx="446">
                  <c:v>68.759999999999991</c:v>
                </c:pt>
                <c:pt idx="447">
                  <c:v>68.759999999999991</c:v>
                </c:pt>
                <c:pt idx="448">
                  <c:v>66.819999999999993</c:v>
                </c:pt>
                <c:pt idx="449">
                  <c:v>66.819999999999993</c:v>
                </c:pt>
                <c:pt idx="450">
                  <c:v>66.819999999999993</c:v>
                </c:pt>
                <c:pt idx="451">
                  <c:v>66.819999999999993</c:v>
                </c:pt>
                <c:pt idx="452">
                  <c:v>66.819999999999993</c:v>
                </c:pt>
                <c:pt idx="453">
                  <c:v>66.819999999999993</c:v>
                </c:pt>
                <c:pt idx="454">
                  <c:v>66.819999999999993</c:v>
                </c:pt>
                <c:pt idx="455">
                  <c:v>66.2</c:v>
                </c:pt>
                <c:pt idx="456">
                  <c:v>66.2</c:v>
                </c:pt>
                <c:pt idx="457">
                  <c:v>66.2</c:v>
                </c:pt>
                <c:pt idx="458">
                  <c:v>66.2</c:v>
                </c:pt>
                <c:pt idx="459">
                  <c:v>66.2</c:v>
                </c:pt>
                <c:pt idx="460">
                  <c:v>66.2</c:v>
                </c:pt>
                <c:pt idx="461">
                  <c:v>66.2</c:v>
                </c:pt>
                <c:pt idx="462">
                  <c:v>65.13</c:v>
                </c:pt>
                <c:pt idx="463">
                  <c:v>65.13</c:v>
                </c:pt>
                <c:pt idx="464">
                  <c:v>65.13</c:v>
                </c:pt>
                <c:pt idx="465">
                  <c:v>65.13</c:v>
                </c:pt>
                <c:pt idx="466">
                  <c:v>65.13</c:v>
                </c:pt>
                <c:pt idx="467">
                  <c:v>65.13</c:v>
                </c:pt>
                <c:pt idx="468">
                  <c:v>65.13</c:v>
                </c:pt>
                <c:pt idx="469">
                  <c:v>64.789999999999992</c:v>
                </c:pt>
                <c:pt idx="470">
                  <c:v>64.789999999999992</c:v>
                </c:pt>
                <c:pt idx="471">
                  <c:v>64.789999999999992</c:v>
                </c:pt>
                <c:pt idx="472">
                  <c:v>64.789999999999992</c:v>
                </c:pt>
                <c:pt idx="473">
                  <c:v>64.789999999999992</c:v>
                </c:pt>
                <c:pt idx="474">
                  <c:v>64.789999999999992</c:v>
                </c:pt>
                <c:pt idx="475">
                  <c:v>64.789999999999992</c:v>
                </c:pt>
                <c:pt idx="476">
                  <c:v>64.52000000000001</c:v>
                </c:pt>
                <c:pt idx="477">
                  <c:v>64.52000000000001</c:v>
                </c:pt>
                <c:pt idx="478">
                  <c:v>64.52000000000001</c:v>
                </c:pt>
                <c:pt idx="479">
                  <c:v>64.52000000000001</c:v>
                </c:pt>
                <c:pt idx="480">
                  <c:v>64.52000000000001</c:v>
                </c:pt>
                <c:pt idx="481">
                  <c:v>64.52000000000001</c:v>
                </c:pt>
                <c:pt idx="482">
                  <c:v>64.52000000000001</c:v>
                </c:pt>
                <c:pt idx="483">
                  <c:v>64.349999999999994</c:v>
                </c:pt>
                <c:pt idx="484">
                  <c:v>64.349999999999994</c:v>
                </c:pt>
                <c:pt idx="485">
                  <c:v>64.349999999999994</c:v>
                </c:pt>
                <c:pt idx="486">
                  <c:v>64.349999999999994</c:v>
                </c:pt>
                <c:pt idx="487">
                  <c:v>64.349999999999994</c:v>
                </c:pt>
                <c:pt idx="488">
                  <c:v>64.349999999999994</c:v>
                </c:pt>
                <c:pt idx="489">
                  <c:v>64.349999999999994</c:v>
                </c:pt>
                <c:pt idx="490">
                  <c:v>64</c:v>
                </c:pt>
                <c:pt idx="491">
                  <c:v>64</c:v>
                </c:pt>
                <c:pt idx="492">
                  <c:v>64</c:v>
                </c:pt>
                <c:pt idx="493">
                  <c:v>64</c:v>
                </c:pt>
                <c:pt idx="494">
                  <c:v>0</c:v>
                </c:pt>
                <c:pt idx="495">
                  <c:v>0</c:v>
                </c:pt>
              </c:numCache>
            </c:numRef>
          </c:val>
          <c:smooth val="0"/>
          <c:extLst>
            <c:ext xmlns:c16="http://schemas.microsoft.com/office/drawing/2014/chart" uri="{C3380CC4-5D6E-409C-BE32-E72D297353CC}">
              <c16:uniqueId val="{00000002-F5F2-4007-9F09-45CBC99AD79B}"/>
            </c:ext>
          </c:extLst>
        </c:ser>
        <c:dLbls>
          <c:showLegendKey val="0"/>
          <c:showVal val="0"/>
          <c:showCatName val="0"/>
          <c:showSerName val="0"/>
          <c:showPercent val="0"/>
          <c:showBubbleSize val="0"/>
        </c:dLbls>
        <c:marker val="1"/>
        <c:smooth val="0"/>
        <c:axId val="1048294496"/>
        <c:axId val="1048294888"/>
      </c:lineChart>
      <c:dateAx>
        <c:axId val="1048294496"/>
        <c:scaling>
          <c:orientation val="minMax"/>
          <c:min val="44440"/>
        </c:scaling>
        <c:delete val="0"/>
        <c:axPos val="b"/>
        <c:numFmt formatCode="[$-409]mmm\-yy;@" sourceLinked="0"/>
        <c:majorTickMark val="none"/>
        <c:minorTickMark val="out"/>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0" vert="horz"/>
          <a:lstStyle/>
          <a:p>
            <a:pPr>
              <a:defRPr sz="700" b="0">
                <a:solidFill>
                  <a:srgbClr val="000000"/>
                </a:solidFill>
                <a:latin typeface="Arial"/>
                <a:ea typeface="Arial"/>
                <a:cs typeface="Arial"/>
              </a:defRPr>
            </a:pPr>
            <a:endParaRPr lang="en-US"/>
          </a:p>
        </c:txPr>
        <c:crossAx val="1048294888"/>
        <c:crosses val="autoZero"/>
        <c:auto val="1"/>
        <c:lblOffset val="100"/>
        <c:baseTimeUnit val="days"/>
        <c:majorUnit val="2"/>
        <c:majorTimeUnit val="months"/>
      </c:dateAx>
      <c:valAx>
        <c:axId val="1048294888"/>
        <c:scaling>
          <c:orientation val="minMax"/>
          <c:max val="400"/>
          <c:min val="40"/>
        </c:scaling>
        <c:delete val="0"/>
        <c:axPos val="l"/>
        <c:majorGridlines>
          <c:spPr>
            <a:ln w="3175">
              <a:solidFill>
                <a:srgbClr val="DEE1E0"/>
              </a:solidFill>
              <a:prstDash val="solid"/>
            </a:ln>
          </c:spPr>
        </c:majorGridlines>
        <c:numFmt formatCode="General"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1048294496"/>
        <c:crosses val="autoZero"/>
        <c:crossBetween val="between"/>
        <c:majorUnit val="30"/>
      </c:valAx>
      <c:valAx>
        <c:axId val="1048295280"/>
        <c:scaling>
          <c:orientation val="minMax"/>
          <c:max val="40"/>
          <c:min val="-220"/>
        </c:scaling>
        <c:delete val="0"/>
        <c:axPos val="r"/>
        <c:title>
          <c:tx>
            <c:rich>
              <a:bodyPr rot="-5400000" vert="horz"/>
              <a:lstStyle/>
              <a:p>
                <a:pPr>
                  <a:defRPr sz="700" b="1"/>
                </a:pPr>
                <a:r>
                  <a:rPr lang="en-US" sz="700" b="1"/>
                  <a:t>Arbitrage ($US/short ton)</a:t>
                </a:r>
              </a:p>
            </c:rich>
          </c:tx>
          <c:overlay val="0"/>
        </c:title>
        <c:numFmt formatCode="#,##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1085095912"/>
        <c:crosses val="max"/>
        <c:crossBetween val="between"/>
        <c:majorUnit val="20"/>
      </c:valAx>
      <c:dateAx>
        <c:axId val="1085095912"/>
        <c:scaling>
          <c:orientation val="minMax"/>
        </c:scaling>
        <c:delete val="1"/>
        <c:axPos val="b"/>
        <c:numFmt formatCode="m/d/yyyy" sourceLinked="1"/>
        <c:majorTickMark val="out"/>
        <c:minorTickMark val="none"/>
        <c:tickLblPos val="none"/>
        <c:crossAx val="1048295280"/>
        <c:crosses val="autoZero"/>
        <c:auto val="1"/>
        <c:lblOffset val="100"/>
        <c:baseTimeUnit val="days"/>
      </c:dateAx>
      <c:spPr>
        <a:noFill/>
        <a:ln>
          <a:noFill/>
        </a:ln>
      </c:spPr>
    </c:plotArea>
    <c:legend>
      <c:legendPos val="b"/>
      <c:layout>
        <c:manualLayout>
          <c:xMode val="edge"/>
          <c:yMode val="edge"/>
          <c:x val="0"/>
          <c:y val="0.83261556129773184"/>
          <c:w val="1"/>
          <c:h val="8.0390467987367209E-2"/>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85233844718254"/>
          <c:y val="0.14303761125466552"/>
          <c:w val="0.70305402434366338"/>
          <c:h val="0.69219990911988727"/>
        </c:manualLayout>
      </c:layout>
      <c:barChart>
        <c:barDir val="col"/>
        <c:grouping val="clustered"/>
        <c:varyColors val="0"/>
        <c:ser>
          <c:idx val="2"/>
          <c:order val="0"/>
          <c:tx>
            <c:strRef>
              <c:f>ExportArbILB!$R$4</c:f>
              <c:strCache>
                <c:ptCount val="1"/>
                <c:pt idx="0">
                  <c:v>Arbitrage</c:v>
                </c:pt>
              </c:strCache>
            </c:strRef>
          </c:tx>
          <c:spPr>
            <a:solidFill>
              <a:srgbClr val="CED1D0"/>
            </a:solidFill>
            <a:ln>
              <a:noFill/>
            </a:ln>
          </c:spPr>
          <c:invertIfNegative val="0"/>
          <c:cat>
            <c:numRef>
              <c:f>ExportArbILB!$O$5:$O$500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ExportArbILB!$R$5:$R$500</c:f>
              <c:numCache>
                <c:formatCode>#,##0.00</c:formatCode>
                <c:ptCount val="496"/>
                <c:pt idx="0">
                  <c:v>2.4326682604248049</c:v>
                </c:pt>
                <c:pt idx="1">
                  <c:v>2.8409082604247828</c:v>
                </c:pt>
                <c:pt idx="2">
                  <c:v>-4.8975077395752464</c:v>
                </c:pt>
                <c:pt idx="3">
                  <c:v>-8.1543557395752373</c:v>
                </c:pt>
                <c:pt idx="4">
                  <c:v>5.6804442604247924</c:v>
                </c:pt>
                <c:pt idx="5">
                  <c:v>5.6804442604247924</c:v>
                </c:pt>
                <c:pt idx="6">
                  <c:v>5.6804442604247924</c:v>
                </c:pt>
                <c:pt idx="7">
                  <c:v>26.548927430336278</c:v>
                </c:pt>
                <c:pt idx="8">
                  <c:v>52.485775430336219</c:v>
                </c:pt>
                <c:pt idx="9">
                  <c:v>66.093775430336223</c:v>
                </c:pt>
                <c:pt idx="10">
                  <c:v>79.701775430336227</c:v>
                </c:pt>
                <c:pt idx="11">
                  <c:v>52.485775430336219</c:v>
                </c:pt>
                <c:pt idx="12">
                  <c:v>52.485775430336219</c:v>
                </c:pt>
                <c:pt idx="13">
                  <c:v>52.485775430336219</c:v>
                </c:pt>
                <c:pt idx="14">
                  <c:v>54.747586600247757</c:v>
                </c:pt>
                <c:pt idx="15">
                  <c:v>53.55915460024778</c:v>
                </c:pt>
                <c:pt idx="16">
                  <c:v>51.799186600247765</c:v>
                </c:pt>
                <c:pt idx="17">
                  <c:v>61.778386600247757</c:v>
                </c:pt>
                <c:pt idx="18">
                  <c:v>61.778386600247757</c:v>
                </c:pt>
                <c:pt idx="19">
                  <c:v>61.778386600247757</c:v>
                </c:pt>
                <c:pt idx="20">
                  <c:v>61.778386600247757</c:v>
                </c:pt>
                <c:pt idx="21">
                  <c:v>66.344281951221149</c:v>
                </c:pt>
                <c:pt idx="22">
                  <c:v>68.784649951221184</c:v>
                </c:pt>
                <c:pt idx="23">
                  <c:v>78.763849951221175</c:v>
                </c:pt>
                <c:pt idx="24">
                  <c:v>99.175849951221153</c:v>
                </c:pt>
                <c:pt idx="25">
                  <c:v>84.814873951221159</c:v>
                </c:pt>
                <c:pt idx="26">
                  <c:v>84.814873951221159</c:v>
                </c:pt>
                <c:pt idx="27">
                  <c:v>84.814873951221159</c:v>
                </c:pt>
                <c:pt idx="28">
                  <c:v>68.547001344530997</c:v>
                </c:pt>
                <c:pt idx="29">
                  <c:v>74.398441344530966</c:v>
                </c:pt>
                <c:pt idx="30">
                  <c:v>72.738265344530987</c:v>
                </c:pt>
                <c:pt idx="31">
                  <c:v>46.202665344530999</c:v>
                </c:pt>
                <c:pt idx="32">
                  <c:v>40.532665344530983</c:v>
                </c:pt>
                <c:pt idx="33">
                  <c:v>40.532665344530983</c:v>
                </c:pt>
                <c:pt idx="34">
                  <c:v>40.532665344530983</c:v>
                </c:pt>
                <c:pt idx="35">
                  <c:v>54.241709551486679</c:v>
                </c:pt>
                <c:pt idx="36">
                  <c:v>47.437709551486705</c:v>
                </c:pt>
                <c:pt idx="37">
                  <c:v>20.502941551486686</c:v>
                </c:pt>
                <c:pt idx="38">
                  <c:v>11.694029551486722</c:v>
                </c:pt>
                <c:pt idx="39">
                  <c:v>14.686551785469021</c:v>
                </c:pt>
                <c:pt idx="40">
                  <c:v>14.686551785469021</c:v>
                </c:pt>
                <c:pt idx="41">
                  <c:v>14.686551785469021</c:v>
                </c:pt>
                <c:pt idx="42">
                  <c:v>28.446498378286719</c:v>
                </c:pt>
                <c:pt idx="43">
                  <c:v>54.818802378286705</c:v>
                </c:pt>
                <c:pt idx="44">
                  <c:v>71.493138378286744</c:v>
                </c:pt>
                <c:pt idx="45">
                  <c:v>90.743922378286754</c:v>
                </c:pt>
                <c:pt idx="46">
                  <c:v>101.28558637828672</c:v>
                </c:pt>
                <c:pt idx="47">
                  <c:v>101.28558637828672</c:v>
                </c:pt>
                <c:pt idx="48">
                  <c:v>101.28558637828672</c:v>
                </c:pt>
                <c:pt idx="49">
                  <c:v>115.29682283309734</c:v>
                </c:pt>
                <c:pt idx="50">
                  <c:v>107.99386283309735</c:v>
                </c:pt>
                <c:pt idx="51">
                  <c:v>109.51795883309734</c:v>
                </c:pt>
                <c:pt idx="52">
                  <c:v>87.400422833097366</c:v>
                </c:pt>
                <c:pt idx="53">
                  <c:v>81.977012236991129</c:v>
                </c:pt>
                <c:pt idx="54">
                  <c:v>81.977012236991129</c:v>
                </c:pt>
                <c:pt idx="55">
                  <c:v>81.977012236991129</c:v>
                </c:pt>
                <c:pt idx="56">
                  <c:v>81.366465151752152</c:v>
                </c:pt>
                <c:pt idx="57">
                  <c:v>82.473249151752157</c:v>
                </c:pt>
                <c:pt idx="58">
                  <c:v>77.982609151752172</c:v>
                </c:pt>
                <c:pt idx="59">
                  <c:v>80.023809151752175</c:v>
                </c:pt>
                <c:pt idx="60">
                  <c:v>92.17121715175216</c:v>
                </c:pt>
                <c:pt idx="61">
                  <c:v>92.17121715175216</c:v>
                </c:pt>
                <c:pt idx="62">
                  <c:v>92.17121715175216</c:v>
                </c:pt>
                <c:pt idx="63">
                  <c:v>110.39047250272566</c:v>
                </c:pt>
                <c:pt idx="64">
                  <c:v>114.92647250272566</c:v>
                </c:pt>
                <c:pt idx="65">
                  <c:v>114.05556050272563</c:v>
                </c:pt>
                <c:pt idx="66">
                  <c:v>114.01927250272561</c:v>
                </c:pt>
                <c:pt idx="67">
                  <c:v>108.73843646511506</c:v>
                </c:pt>
                <c:pt idx="68">
                  <c:v>108.73843646511506</c:v>
                </c:pt>
                <c:pt idx="69">
                  <c:v>108.73843646511506</c:v>
                </c:pt>
                <c:pt idx="70">
                  <c:v>114.74357606538055</c:v>
                </c:pt>
                <c:pt idx="71">
                  <c:v>111.68631206538058</c:v>
                </c:pt>
                <c:pt idx="72">
                  <c:v>121.36613606538057</c:v>
                </c:pt>
                <c:pt idx="73">
                  <c:v>117.58311206538056</c:v>
                </c:pt>
                <c:pt idx="74">
                  <c:v>106.07074406538058</c:v>
                </c:pt>
                <c:pt idx="75">
                  <c:v>106.07074406538058</c:v>
                </c:pt>
                <c:pt idx="76">
                  <c:v>106.07074406538058</c:v>
                </c:pt>
                <c:pt idx="77">
                  <c:v>98.248102623876036</c:v>
                </c:pt>
                <c:pt idx="78">
                  <c:v>98.96479062387607</c:v>
                </c:pt>
                <c:pt idx="79">
                  <c:v>102.49379862387605</c:v>
                </c:pt>
                <c:pt idx="80">
                  <c:v>135.62474262387605</c:v>
                </c:pt>
                <c:pt idx="81">
                  <c:v>145.24106262387602</c:v>
                </c:pt>
                <c:pt idx="82">
                  <c:v>145.24106262387602</c:v>
                </c:pt>
                <c:pt idx="83">
                  <c:v>145.24106262387602</c:v>
                </c:pt>
                <c:pt idx="84">
                  <c:v>164.52602299545131</c:v>
                </c:pt>
                <c:pt idx="85">
                  <c:v>151.94315899545128</c:v>
                </c:pt>
                <c:pt idx="86">
                  <c:v>141.39242299545131</c:v>
                </c:pt>
                <c:pt idx="87">
                  <c:v>121.07114299545131</c:v>
                </c:pt>
                <c:pt idx="88">
                  <c:v>102.51890299545127</c:v>
                </c:pt>
                <c:pt idx="89">
                  <c:v>102.51890299545127</c:v>
                </c:pt>
                <c:pt idx="90">
                  <c:v>102.51890299545127</c:v>
                </c:pt>
                <c:pt idx="91">
                  <c:v>125.56835891694158</c:v>
                </c:pt>
                <c:pt idx="92">
                  <c:v>104.29451891694157</c:v>
                </c:pt>
                <c:pt idx="93">
                  <c:v>102.06280691694161</c:v>
                </c:pt>
                <c:pt idx="94">
                  <c:v>76.588630916941554</c:v>
                </c:pt>
                <c:pt idx="95">
                  <c:v>77.876854916941568</c:v>
                </c:pt>
                <c:pt idx="96">
                  <c:v>77.876854916941568</c:v>
                </c:pt>
                <c:pt idx="97">
                  <c:v>77.876854916941568</c:v>
                </c:pt>
                <c:pt idx="98">
                  <c:v>79.638940239451358</c:v>
                </c:pt>
                <c:pt idx="99">
                  <c:v>79.82038023945131</c:v>
                </c:pt>
                <c:pt idx="100">
                  <c:v>90.924508239451313</c:v>
                </c:pt>
                <c:pt idx="101">
                  <c:v>95.850604239451343</c:v>
                </c:pt>
                <c:pt idx="102">
                  <c:v>91.505116239451297</c:v>
                </c:pt>
                <c:pt idx="103">
                  <c:v>91.505116239451297</c:v>
                </c:pt>
                <c:pt idx="104">
                  <c:v>91.505116239451297</c:v>
                </c:pt>
                <c:pt idx="105">
                  <c:v>98.885180813256568</c:v>
                </c:pt>
                <c:pt idx="106">
                  <c:v>98.885180813256568</c:v>
                </c:pt>
                <c:pt idx="107">
                  <c:v>123.01179348345133</c:v>
                </c:pt>
                <c:pt idx="108">
                  <c:v>90.688257483451338</c:v>
                </c:pt>
                <c:pt idx="109">
                  <c:v>67.753935755044239</c:v>
                </c:pt>
                <c:pt idx="110">
                  <c:v>67.753935755044239</c:v>
                </c:pt>
                <c:pt idx="111">
                  <c:v>67.753935755044239</c:v>
                </c:pt>
                <c:pt idx="112">
                  <c:v>79.731451287079665</c:v>
                </c:pt>
                <c:pt idx="113">
                  <c:v>67.257451287079675</c:v>
                </c:pt>
                <c:pt idx="114">
                  <c:v>88.240987287079633</c:v>
                </c:pt>
                <c:pt idx="115">
                  <c:v>104.67945128707964</c:v>
                </c:pt>
                <c:pt idx="116">
                  <c:v>116.01945128707968</c:v>
                </c:pt>
                <c:pt idx="117">
                  <c:v>116.01945128707968</c:v>
                </c:pt>
                <c:pt idx="118">
                  <c:v>116.01945128707968</c:v>
                </c:pt>
                <c:pt idx="119">
                  <c:v>117.12887090378757</c:v>
                </c:pt>
                <c:pt idx="120">
                  <c:v>117.78205490378758</c:v>
                </c:pt>
                <c:pt idx="121">
                  <c:v>100.69040690378756</c:v>
                </c:pt>
                <c:pt idx="122">
                  <c:v>91.99035890378758</c:v>
                </c:pt>
                <c:pt idx="123">
                  <c:v>86.085724669805302</c:v>
                </c:pt>
                <c:pt idx="124">
                  <c:v>86.085724669805302</c:v>
                </c:pt>
                <c:pt idx="125">
                  <c:v>86.085724669805302</c:v>
                </c:pt>
                <c:pt idx="126">
                  <c:v>101.67005475375927</c:v>
                </c:pt>
                <c:pt idx="127">
                  <c:v>94.031430753759224</c:v>
                </c:pt>
                <c:pt idx="128">
                  <c:v>83.770998753759244</c:v>
                </c:pt>
                <c:pt idx="129">
                  <c:v>86.320230753759262</c:v>
                </c:pt>
                <c:pt idx="130">
                  <c:v>106.22419875375923</c:v>
                </c:pt>
                <c:pt idx="131">
                  <c:v>106.22419875375923</c:v>
                </c:pt>
                <c:pt idx="132">
                  <c:v>106.22419875375923</c:v>
                </c:pt>
                <c:pt idx="133">
                  <c:v>110.65583139292033</c:v>
                </c:pt>
                <c:pt idx="134">
                  <c:v>101.13023139292034</c:v>
                </c:pt>
                <c:pt idx="135">
                  <c:v>81.171831392920353</c:v>
                </c:pt>
                <c:pt idx="136">
                  <c:v>64.161831392920305</c:v>
                </c:pt>
                <c:pt idx="137">
                  <c:v>63.119789158938005</c:v>
                </c:pt>
                <c:pt idx="138">
                  <c:v>63.119789158938005</c:v>
                </c:pt>
                <c:pt idx="139">
                  <c:v>63.119789158938005</c:v>
                </c:pt>
                <c:pt idx="140">
                  <c:v>64.382530031362847</c:v>
                </c:pt>
                <c:pt idx="141">
                  <c:v>85.8196660313628</c:v>
                </c:pt>
                <c:pt idx="142">
                  <c:v>86.028322031362819</c:v>
                </c:pt>
                <c:pt idx="143">
                  <c:v>104.69849803136285</c:v>
                </c:pt>
                <c:pt idx="144">
                  <c:v>112.52763403136279</c:v>
                </c:pt>
                <c:pt idx="145">
                  <c:v>112.52763403136279</c:v>
                </c:pt>
                <c:pt idx="146">
                  <c:v>112.52763403136279</c:v>
                </c:pt>
                <c:pt idx="147">
                  <c:v>116.18027175504417</c:v>
                </c:pt>
                <c:pt idx="148">
                  <c:v>117.3505597550442</c:v>
                </c:pt>
                <c:pt idx="149">
                  <c:v>119.6911357550442</c:v>
                </c:pt>
                <c:pt idx="150">
                  <c:v>123.09313575504419</c:v>
                </c:pt>
                <c:pt idx="151">
                  <c:v>120.48803017008848</c:v>
                </c:pt>
                <c:pt idx="152">
                  <c:v>120.48803017008848</c:v>
                </c:pt>
                <c:pt idx="153">
                  <c:v>120.48803017008848</c:v>
                </c:pt>
                <c:pt idx="154">
                  <c:v>125.07301599961059</c:v>
                </c:pt>
                <c:pt idx="155">
                  <c:v>129.60901599961059</c:v>
                </c:pt>
                <c:pt idx="156">
                  <c:v>126.77855199961058</c:v>
                </c:pt>
                <c:pt idx="157">
                  <c:v>106.0218159996106</c:v>
                </c:pt>
                <c:pt idx="158">
                  <c:v>90.472407999610624</c:v>
                </c:pt>
                <c:pt idx="159">
                  <c:v>90.472407999610624</c:v>
                </c:pt>
                <c:pt idx="160">
                  <c:v>90.472407999610624</c:v>
                </c:pt>
                <c:pt idx="161">
                  <c:v>83.489484213143356</c:v>
                </c:pt>
                <c:pt idx="162">
                  <c:v>90.293484213143387</c:v>
                </c:pt>
                <c:pt idx="163">
                  <c:v>77.293308213143376</c:v>
                </c:pt>
                <c:pt idx="164">
                  <c:v>51.465324213143361</c:v>
                </c:pt>
                <c:pt idx="165">
                  <c:v>63.321598085001767</c:v>
                </c:pt>
                <c:pt idx="166">
                  <c:v>63.321598085001767</c:v>
                </c:pt>
                <c:pt idx="167">
                  <c:v>63.321598085001767</c:v>
                </c:pt>
                <c:pt idx="168">
                  <c:v>58.592132940265486</c:v>
                </c:pt>
                <c:pt idx="169">
                  <c:v>69.5692529402655</c:v>
                </c:pt>
                <c:pt idx="170">
                  <c:v>63.391220940265498</c:v>
                </c:pt>
                <c:pt idx="171">
                  <c:v>64.370996940265485</c:v>
                </c:pt>
                <c:pt idx="172">
                  <c:v>72.526724940265495</c:v>
                </c:pt>
                <c:pt idx="173">
                  <c:v>72.526724940265495</c:v>
                </c:pt>
                <c:pt idx="174">
                  <c:v>72.526724940265495</c:v>
                </c:pt>
                <c:pt idx="175">
                  <c:v>82.215722849734533</c:v>
                </c:pt>
                <c:pt idx="176">
                  <c:v>106.6738348497345</c:v>
                </c:pt>
                <c:pt idx="177">
                  <c:v>69.115754849734543</c:v>
                </c:pt>
                <c:pt idx="178">
                  <c:v>50.87196284973453</c:v>
                </c:pt>
                <c:pt idx="179">
                  <c:v>63.989871030796479</c:v>
                </c:pt>
                <c:pt idx="180">
                  <c:v>63.989871030796479</c:v>
                </c:pt>
                <c:pt idx="181">
                  <c:v>63.989871030796479</c:v>
                </c:pt>
                <c:pt idx="182">
                  <c:v>68.908587221723849</c:v>
                </c:pt>
                <c:pt idx="183">
                  <c:v>44.795211221723861</c:v>
                </c:pt>
                <c:pt idx="184">
                  <c:v>84.367275221723844</c:v>
                </c:pt>
                <c:pt idx="185">
                  <c:v>109.66001122172383</c:v>
                </c:pt>
                <c:pt idx="186">
                  <c:v>136.62199522172386</c:v>
                </c:pt>
                <c:pt idx="187">
                  <c:v>136.62199522172386</c:v>
                </c:pt>
                <c:pt idx="188">
                  <c:v>136.62199522172386</c:v>
                </c:pt>
                <c:pt idx="189">
                  <c:v>166.18346064637166</c:v>
                </c:pt>
                <c:pt idx="190">
                  <c:v>218.41096464637167</c:v>
                </c:pt>
                <c:pt idx="191">
                  <c:v>214.26506064637169</c:v>
                </c:pt>
                <c:pt idx="192">
                  <c:v>195.10499664637166</c:v>
                </c:pt>
                <c:pt idx="193">
                  <c:v>185.55094288035394</c:v>
                </c:pt>
                <c:pt idx="194">
                  <c:v>185.55094288035394</c:v>
                </c:pt>
                <c:pt idx="195">
                  <c:v>185.55094288035394</c:v>
                </c:pt>
                <c:pt idx="196">
                  <c:v>167.57695169872568</c:v>
                </c:pt>
                <c:pt idx="197">
                  <c:v>203.95567169872567</c:v>
                </c:pt>
                <c:pt idx="198">
                  <c:v>108.00112769872564</c:v>
                </c:pt>
                <c:pt idx="199">
                  <c:v>73.845047698725665</c:v>
                </c:pt>
                <c:pt idx="200">
                  <c:v>85.756583698725649</c:v>
                </c:pt>
                <c:pt idx="201">
                  <c:v>85.756583698725649</c:v>
                </c:pt>
                <c:pt idx="202">
                  <c:v>85.756583698725649</c:v>
                </c:pt>
                <c:pt idx="203">
                  <c:v>96.550778379504379</c:v>
                </c:pt>
                <c:pt idx="204">
                  <c:v>52.479002379504379</c:v>
                </c:pt>
                <c:pt idx="205">
                  <c:v>43.49772237950441</c:v>
                </c:pt>
                <c:pt idx="206">
                  <c:v>27.494714379504387</c:v>
                </c:pt>
                <c:pt idx="207">
                  <c:v>23.611898379504396</c:v>
                </c:pt>
                <c:pt idx="208">
                  <c:v>23.611898379504396</c:v>
                </c:pt>
                <c:pt idx="209">
                  <c:v>23.611898379504396</c:v>
                </c:pt>
                <c:pt idx="210">
                  <c:v>13.073435077444259</c:v>
                </c:pt>
                <c:pt idx="211">
                  <c:v>21.519467077444261</c:v>
                </c:pt>
                <c:pt idx="212">
                  <c:v>29.756843077444245</c:v>
                </c:pt>
                <c:pt idx="213">
                  <c:v>32.487515077444243</c:v>
                </c:pt>
                <c:pt idx="214">
                  <c:v>27.189467077444249</c:v>
                </c:pt>
                <c:pt idx="215">
                  <c:v>27.189467077444249</c:v>
                </c:pt>
                <c:pt idx="216">
                  <c:v>27.189467077444249</c:v>
                </c:pt>
                <c:pt idx="217">
                  <c:v>40.759463698725654</c:v>
                </c:pt>
                <c:pt idx="218">
                  <c:v>37.148807698725676</c:v>
                </c:pt>
                <c:pt idx="219">
                  <c:v>31.587671698725671</c:v>
                </c:pt>
                <c:pt idx="220">
                  <c:v>25.210055698725682</c:v>
                </c:pt>
                <c:pt idx="221">
                  <c:v>29.309769570584081</c:v>
                </c:pt>
                <c:pt idx="222">
                  <c:v>29.309769570584081</c:v>
                </c:pt>
                <c:pt idx="223">
                  <c:v>29.309769570584081</c:v>
                </c:pt>
                <c:pt idx="224">
                  <c:v>27.29504291097345</c:v>
                </c:pt>
                <c:pt idx="225">
                  <c:v>31.894546910973446</c:v>
                </c:pt>
                <c:pt idx="226">
                  <c:v>30.252514910973446</c:v>
                </c:pt>
                <c:pt idx="227">
                  <c:v>33.899458910973465</c:v>
                </c:pt>
                <c:pt idx="228">
                  <c:v>63.211090910973439</c:v>
                </c:pt>
                <c:pt idx="229">
                  <c:v>63.211090910973439</c:v>
                </c:pt>
                <c:pt idx="230">
                  <c:v>63.211090910973439</c:v>
                </c:pt>
                <c:pt idx="231">
                  <c:v>62.565741144955723</c:v>
                </c:pt>
                <c:pt idx="232">
                  <c:v>63.500157144955722</c:v>
                </c:pt>
                <c:pt idx="233">
                  <c:v>43.795773144955717</c:v>
                </c:pt>
                <c:pt idx="234">
                  <c:v>32.691645144955743</c:v>
                </c:pt>
                <c:pt idx="235">
                  <c:v>27.284733144955737</c:v>
                </c:pt>
                <c:pt idx="236">
                  <c:v>27.284733144955737</c:v>
                </c:pt>
                <c:pt idx="237">
                  <c:v>27.284733144955737</c:v>
                </c:pt>
                <c:pt idx="238">
                  <c:v>18.817630240778755</c:v>
                </c:pt>
                <c:pt idx="239">
                  <c:v>27.971278240778759</c:v>
                </c:pt>
                <c:pt idx="240">
                  <c:v>28.488382240778748</c:v>
                </c:pt>
                <c:pt idx="241">
                  <c:v>22.228702240778745</c:v>
                </c:pt>
                <c:pt idx="242">
                  <c:v>19.488958240778771</c:v>
                </c:pt>
                <c:pt idx="243">
                  <c:v>19.488958240778771</c:v>
                </c:pt>
                <c:pt idx="244">
                  <c:v>19.488958240778771</c:v>
                </c:pt>
                <c:pt idx="245">
                  <c:v>1.6492503174371507</c:v>
                </c:pt>
                <c:pt idx="246">
                  <c:v>-15.524045682562843</c:v>
                </c:pt>
                <c:pt idx="247">
                  <c:v>-18.526877682562841</c:v>
                </c:pt>
                <c:pt idx="248">
                  <c:v>-11.604941682562853</c:v>
                </c:pt>
                <c:pt idx="249">
                  <c:v>-9.3216808524743442</c:v>
                </c:pt>
                <c:pt idx="250">
                  <c:v>-9.3216808524743442</c:v>
                </c:pt>
                <c:pt idx="251">
                  <c:v>-9.3216808524743442</c:v>
                </c:pt>
                <c:pt idx="252">
                  <c:v>-15.44231896088499</c:v>
                </c:pt>
                <c:pt idx="253">
                  <c:v>-20.785726960884986</c:v>
                </c:pt>
                <c:pt idx="254">
                  <c:v>-25.99305496088499</c:v>
                </c:pt>
                <c:pt idx="255">
                  <c:v>-34.956190960884982</c:v>
                </c:pt>
                <c:pt idx="256">
                  <c:v>-34.956190960884982</c:v>
                </c:pt>
                <c:pt idx="257">
                  <c:v>-34.956190960884982</c:v>
                </c:pt>
                <c:pt idx="258">
                  <c:v>-34.956190960884982</c:v>
                </c:pt>
                <c:pt idx="259">
                  <c:v>-34.466798067292032</c:v>
                </c:pt>
                <c:pt idx="260">
                  <c:v>-33.886190067292034</c:v>
                </c:pt>
                <c:pt idx="261">
                  <c:v>-10.707230067292045</c:v>
                </c:pt>
                <c:pt idx="262">
                  <c:v>-10.707230067292045</c:v>
                </c:pt>
                <c:pt idx="263">
                  <c:v>-10.707230067292045</c:v>
                </c:pt>
                <c:pt idx="264">
                  <c:v>-10.707230067292045</c:v>
                </c:pt>
                <c:pt idx="265">
                  <c:v>-10.707230067292045</c:v>
                </c:pt>
                <c:pt idx="266">
                  <c:v>-3.0823378438937823</c:v>
                </c:pt>
                <c:pt idx="267">
                  <c:v>1.8709741561062003</c:v>
                </c:pt>
                <c:pt idx="268">
                  <c:v>5.6812141561061935</c:v>
                </c:pt>
                <c:pt idx="269">
                  <c:v>2.714670156106223</c:v>
                </c:pt>
                <c:pt idx="270">
                  <c:v>0.99099015610622132</c:v>
                </c:pt>
                <c:pt idx="271">
                  <c:v>0.99099015610622132</c:v>
                </c:pt>
                <c:pt idx="272">
                  <c:v>0.99099015610622132</c:v>
                </c:pt>
                <c:pt idx="273">
                  <c:v>-5.9284703118584048</c:v>
                </c:pt>
                <c:pt idx="274">
                  <c:v>-9.3486143118583982</c:v>
                </c:pt>
                <c:pt idx="275">
                  <c:v>-12.260726311858406</c:v>
                </c:pt>
                <c:pt idx="276">
                  <c:v>-15.000470311858408</c:v>
                </c:pt>
                <c:pt idx="277">
                  <c:v>-27.848067715752222</c:v>
                </c:pt>
                <c:pt idx="278">
                  <c:v>-27.848067715752222</c:v>
                </c:pt>
                <c:pt idx="279">
                  <c:v>-27.848067715752222</c:v>
                </c:pt>
                <c:pt idx="280">
                  <c:v>-30.582930626506212</c:v>
                </c:pt>
                <c:pt idx="281">
                  <c:v>-28.514514626506212</c:v>
                </c:pt>
                <c:pt idx="282">
                  <c:v>-36.298290626506216</c:v>
                </c:pt>
                <c:pt idx="283">
                  <c:v>-42.049938626506218</c:v>
                </c:pt>
                <c:pt idx="284">
                  <c:v>-41.20624262650621</c:v>
                </c:pt>
                <c:pt idx="285">
                  <c:v>-41.20624262650621</c:v>
                </c:pt>
                <c:pt idx="286">
                  <c:v>-41.20624262650621</c:v>
                </c:pt>
                <c:pt idx="287">
                  <c:v>-39.95637146789737</c:v>
                </c:pt>
                <c:pt idx="288">
                  <c:v>-43.830115467897357</c:v>
                </c:pt>
                <c:pt idx="289">
                  <c:v>-48.901363467897369</c:v>
                </c:pt>
                <c:pt idx="290">
                  <c:v>-40.863571467897373</c:v>
                </c:pt>
                <c:pt idx="291">
                  <c:v>-11.415859467897349</c:v>
                </c:pt>
                <c:pt idx="292">
                  <c:v>-11.415859467897349</c:v>
                </c:pt>
                <c:pt idx="293">
                  <c:v>-11.415859467897349</c:v>
                </c:pt>
                <c:pt idx="294">
                  <c:v>0.86762853210262847</c:v>
                </c:pt>
                <c:pt idx="295">
                  <c:v>1.1670045321026237</c:v>
                </c:pt>
                <c:pt idx="296">
                  <c:v>-7.977571467897377</c:v>
                </c:pt>
                <c:pt idx="297">
                  <c:v>-20.596723467897363</c:v>
                </c:pt>
                <c:pt idx="298">
                  <c:v>-20.533219467897368</c:v>
                </c:pt>
                <c:pt idx="299">
                  <c:v>-20.533219467897368</c:v>
                </c:pt>
                <c:pt idx="300">
                  <c:v>-20.533219467897368</c:v>
                </c:pt>
                <c:pt idx="301">
                  <c:v>-33.675174885663722</c:v>
                </c:pt>
                <c:pt idx="302">
                  <c:v>-35.407926885663727</c:v>
                </c:pt>
                <c:pt idx="303">
                  <c:v>-38.592198885663706</c:v>
                </c:pt>
                <c:pt idx="304">
                  <c:v>-45.505062885663719</c:v>
                </c:pt>
                <c:pt idx="305">
                  <c:v>-42.293574885663716</c:v>
                </c:pt>
                <c:pt idx="306">
                  <c:v>-42.293574885663716</c:v>
                </c:pt>
                <c:pt idx="307">
                  <c:v>-42.293574885663716</c:v>
                </c:pt>
                <c:pt idx="308">
                  <c:v>-27.001240992637165</c:v>
                </c:pt>
                <c:pt idx="309">
                  <c:v>-27.745144992637194</c:v>
                </c:pt>
                <c:pt idx="310">
                  <c:v>-14.164360992637199</c:v>
                </c:pt>
                <c:pt idx="311">
                  <c:v>-10.535560992637187</c:v>
                </c:pt>
                <c:pt idx="312">
                  <c:v>-23.363368992637163</c:v>
                </c:pt>
                <c:pt idx="313">
                  <c:v>-23.363368992637163</c:v>
                </c:pt>
                <c:pt idx="314">
                  <c:v>-23.363368992637163</c:v>
                </c:pt>
                <c:pt idx="315">
                  <c:v>-23.091456545840714</c:v>
                </c:pt>
                <c:pt idx="316">
                  <c:v>-22.438272545840732</c:v>
                </c:pt>
                <c:pt idx="317">
                  <c:v>-17.448672545840736</c:v>
                </c:pt>
                <c:pt idx="318">
                  <c:v>-13.456992545840706</c:v>
                </c:pt>
                <c:pt idx="319">
                  <c:v>-0.86505654584073</c:v>
                </c:pt>
                <c:pt idx="320">
                  <c:v>-0.86505654584073</c:v>
                </c:pt>
                <c:pt idx="321">
                  <c:v>-0.86505654584073</c:v>
                </c:pt>
                <c:pt idx="322">
                  <c:v>26.148397562569897</c:v>
                </c:pt>
                <c:pt idx="323">
                  <c:v>39.529597562569904</c:v>
                </c:pt>
                <c:pt idx="324">
                  <c:v>49.735597562569893</c:v>
                </c:pt>
                <c:pt idx="325">
                  <c:v>41.7068775625699</c:v>
                </c:pt>
                <c:pt idx="326">
                  <c:v>34.086397562569914</c:v>
                </c:pt>
                <c:pt idx="327">
                  <c:v>34.086397562569914</c:v>
                </c:pt>
                <c:pt idx="328">
                  <c:v>34.086397562569914</c:v>
                </c:pt>
                <c:pt idx="329">
                  <c:v>36.810583750927435</c:v>
                </c:pt>
                <c:pt idx="330">
                  <c:v>47.751415750927436</c:v>
                </c:pt>
                <c:pt idx="331">
                  <c:v>56.651047750927432</c:v>
                </c:pt>
                <c:pt idx="332">
                  <c:v>62.429911750927431</c:v>
                </c:pt>
                <c:pt idx="333">
                  <c:v>76.600375750927441</c:v>
                </c:pt>
                <c:pt idx="334">
                  <c:v>76.600375750927441</c:v>
                </c:pt>
                <c:pt idx="335">
                  <c:v>76.600375750927441</c:v>
                </c:pt>
                <c:pt idx="336">
                  <c:v>83.674042725185842</c:v>
                </c:pt>
                <c:pt idx="337">
                  <c:v>83.928058725185821</c:v>
                </c:pt>
                <c:pt idx="338">
                  <c:v>82.67612272518582</c:v>
                </c:pt>
                <c:pt idx="339">
                  <c:v>71.336122725185817</c:v>
                </c:pt>
                <c:pt idx="340">
                  <c:v>65.139946725185808</c:v>
                </c:pt>
                <c:pt idx="341">
                  <c:v>65.139946725185808</c:v>
                </c:pt>
                <c:pt idx="342">
                  <c:v>65.139946725185808</c:v>
                </c:pt>
                <c:pt idx="343">
                  <c:v>81.132970822598239</c:v>
                </c:pt>
                <c:pt idx="344">
                  <c:v>130.27599482259825</c:v>
                </c:pt>
                <c:pt idx="345">
                  <c:v>147.90289082259824</c:v>
                </c:pt>
                <c:pt idx="346">
                  <c:v>112.43137082259823</c:v>
                </c:pt>
                <c:pt idx="347">
                  <c:v>87.555946822598244</c:v>
                </c:pt>
                <c:pt idx="348">
                  <c:v>87.555946822598244</c:v>
                </c:pt>
                <c:pt idx="349">
                  <c:v>87.555946822598244</c:v>
                </c:pt>
                <c:pt idx="350">
                  <c:v>79.792729126661925</c:v>
                </c:pt>
                <c:pt idx="351">
                  <c:v>74.739625126661934</c:v>
                </c:pt>
                <c:pt idx="352">
                  <c:v>74.91199312666194</c:v>
                </c:pt>
                <c:pt idx="353">
                  <c:v>66.03050512666195</c:v>
                </c:pt>
                <c:pt idx="354">
                  <c:v>63.762505126661949</c:v>
                </c:pt>
                <c:pt idx="355">
                  <c:v>63.762505126661949</c:v>
                </c:pt>
                <c:pt idx="356">
                  <c:v>63.762505126661949</c:v>
                </c:pt>
                <c:pt idx="357">
                  <c:v>50.387432728778734</c:v>
                </c:pt>
                <c:pt idx="358">
                  <c:v>41.542232728778728</c:v>
                </c:pt>
                <c:pt idx="359">
                  <c:v>42.313352728778725</c:v>
                </c:pt>
                <c:pt idx="360">
                  <c:v>45.397832728778738</c:v>
                </c:pt>
                <c:pt idx="361">
                  <c:v>41.406152728778736</c:v>
                </c:pt>
                <c:pt idx="362">
                  <c:v>41.406152728778736</c:v>
                </c:pt>
                <c:pt idx="363">
                  <c:v>41.406152728778736</c:v>
                </c:pt>
                <c:pt idx="364">
                  <c:v>44.275473423430043</c:v>
                </c:pt>
                <c:pt idx="365">
                  <c:v>45.318753423430053</c:v>
                </c:pt>
                <c:pt idx="366">
                  <c:v>46.135233423430066</c:v>
                </c:pt>
                <c:pt idx="367">
                  <c:v>46.815633423430057</c:v>
                </c:pt>
                <c:pt idx="368">
                  <c:v>43.386417423430061</c:v>
                </c:pt>
                <c:pt idx="369">
                  <c:v>43.386417423430061</c:v>
                </c:pt>
                <c:pt idx="370">
                  <c:v>43.386417423430061</c:v>
                </c:pt>
                <c:pt idx="371">
                  <c:v>46.816212945600014</c:v>
                </c:pt>
                <c:pt idx="372">
                  <c:v>43.414212945599999</c:v>
                </c:pt>
                <c:pt idx="373">
                  <c:v>43.024116945599999</c:v>
                </c:pt>
                <c:pt idx="374">
                  <c:v>43.414212945599999</c:v>
                </c:pt>
                <c:pt idx="375">
                  <c:v>39.613044945600009</c:v>
                </c:pt>
                <c:pt idx="376">
                  <c:v>39.613044945600009</c:v>
                </c:pt>
                <c:pt idx="377">
                  <c:v>39.613044945600009</c:v>
                </c:pt>
                <c:pt idx="378">
                  <c:v>41.094946656127419</c:v>
                </c:pt>
                <c:pt idx="379">
                  <c:v>37.656658656127419</c:v>
                </c:pt>
                <c:pt idx="380">
                  <c:v>29.664226656127411</c:v>
                </c:pt>
                <c:pt idx="381">
                  <c:v>27.18757065612742</c:v>
                </c:pt>
                <c:pt idx="382">
                  <c:v>27.18757065612742</c:v>
                </c:pt>
                <c:pt idx="383">
                  <c:v>27.18757065612742</c:v>
                </c:pt>
                <c:pt idx="384">
                  <c:v>27.18757065612742</c:v>
                </c:pt>
                <c:pt idx="385">
                  <c:v>27.8127872496637</c:v>
                </c:pt>
                <c:pt idx="386">
                  <c:v>28.084947249663685</c:v>
                </c:pt>
                <c:pt idx="387">
                  <c:v>27.44990724966371</c:v>
                </c:pt>
                <c:pt idx="388">
                  <c:v>22.814115249663672</c:v>
                </c:pt>
                <c:pt idx="389">
                  <c:v>34.609043125529212</c:v>
                </c:pt>
                <c:pt idx="390">
                  <c:v>34.609043125529212</c:v>
                </c:pt>
                <c:pt idx="391">
                  <c:v>34.609043125529212</c:v>
                </c:pt>
                <c:pt idx="392">
                  <c:v>43.606239146697334</c:v>
                </c:pt>
                <c:pt idx="393">
                  <c:v>45.320847146697361</c:v>
                </c:pt>
                <c:pt idx="394">
                  <c:v>46.082895146697354</c:v>
                </c:pt>
                <c:pt idx="395">
                  <c:v>47.189679146697358</c:v>
                </c:pt>
                <c:pt idx="396">
                  <c:v>46.264335146697334</c:v>
                </c:pt>
                <c:pt idx="397">
                  <c:v>46.264335146697334</c:v>
                </c:pt>
                <c:pt idx="398">
                  <c:v>46.264335146697334</c:v>
                </c:pt>
                <c:pt idx="399">
                  <c:v>48.998796113660163</c:v>
                </c:pt>
                <c:pt idx="400">
                  <c:v>43.900332113660156</c:v>
                </c:pt>
                <c:pt idx="401">
                  <c:v>43.274364113660155</c:v>
                </c:pt>
                <c:pt idx="402">
                  <c:v>43.147356113660138</c:v>
                </c:pt>
                <c:pt idx="403">
                  <c:v>39.763500113660157</c:v>
                </c:pt>
                <c:pt idx="404">
                  <c:v>39.763500113660157</c:v>
                </c:pt>
                <c:pt idx="405">
                  <c:v>39.763500113660157</c:v>
                </c:pt>
                <c:pt idx="406">
                  <c:v>43.759327290148676</c:v>
                </c:pt>
                <c:pt idx="407">
                  <c:v>43.387375290148654</c:v>
                </c:pt>
                <c:pt idx="408">
                  <c:v>42.815839290148674</c:v>
                </c:pt>
                <c:pt idx="409">
                  <c:v>41.826991290148655</c:v>
                </c:pt>
                <c:pt idx="410">
                  <c:v>40.77463929014867</c:v>
                </c:pt>
                <c:pt idx="411">
                  <c:v>40.77463929014867</c:v>
                </c:pt>
                <c:pt idx="412">
                  <c:v>40.77463929014867</c:v>
                </c:pt>
                <c:pt idx="413">
                  <c:v>41.168157300732744</c:v>
                </c:pt>
                <c:pt idx="414">
                  <c:v>40.832493300732736</c:v>
                </c:pt>
                <c:pt idx="415">
                  <c:v>40.914141300732737</c:v>
                </c:pt>
                <c:pt idx="416">
                  <c:v>40.995789300732739</c:v>
                </c:pt>
                <c:pt idx="417">
                  <c:v>39.798285300732744</c:v>
                </c:pt>
                <c:pt idx="418">
                  <c:v>39.798285300732744</c:v>
                </c:pt>
                <c:pt idx="419">
                  <c:v>39.798285300732744</c:v>
                </c:pt>
                <c:pt idx="420">
                  <c:v>39.126939807026531</c:v>
                </c:pt>
                <c:pt idx="421">
                  <c:v>38.863851807026535</c:v>
                </c:pt>
                <c:pt idx="422">
                  <c:v>39.390027807026541</c:v>
                </c:pt>
                <c:pt idx="423">
                  <c:v>40.45145180702653</c:v>
                </c:pt>
                <c:pt idx="424">
                  <c:v>37.13109980702653</c:v>
                </c:pt>
                <c:pt idx="425">
                  <c:v>37.13109980702653</c:v>
                </c:pt>
                <c:pt idx="426">
                  <c:v>37.13109980702653</c:v>
                </c:pt>
                <c:pt idx="427">
                  <c:v>40.377841859946898</c:v>
                </c:pt>
                <c:pt idx="428">
                  <c:v>41.058241859946889</c:v>
                </c:pt>
                <c:pt idx="429">
                  <c:v>40.223617859946899</c:v>
                </c:pt>
                <c:pt idx="430">
                  <c:v>34.934641859946893</c:v>
                </c:pt>
                <c:pt idx="431">
                  <c:v>36.612449259833625</c:v>
                </c:pt>
                <c:pt idx="432">
                  <c:v>36.612449259833625</c:v>
                </c:pt>
                <c:pt idx="433">
                  <c:v>36.612449259833625</c:v>
                </c:pt>
                <c:pt idx="434">
                  <c:v>33.407429577769918</c:v>
                </c:pt>
                <c:pt idx="435">
                  <c:v>33.652373577769922</c:v>
                </c:pt>
                <c:pt idx="436">
                  <c:v>35.566565577769921</c:v>
                </c:pt>
                <c:pt idx="437">
                  <c:v>38.224661577769908</c:v>
                </c:pt>
                <c:pt idx="438">
                  <c:v>35.294405577769922</c:v>
                </c:pt>
                <c:pt idx="439">
                  <c:v>35.294405577769922</c:v>
                </c:pt>
                <c:pt idx="440">
                  <c:v>35.294405577769922</c:v>
                </c:pt>
                <c:pt idx="441">
                  <c:v>36.086587735093815</c:v>
                </c:pt>
                <c:pt idx="442">
                  <c:v>31.713883735093816</c:v>
                </c:pt>
                <c:pt idx="443">
                  <c:v>29.972059735093808</c:v>
                </c:pt>
                <c:pt idx="444">
                  <c:v>28.937851735093815</c:v>
                </c:pt>
                <c:pt idx="445">
                  <c:v>29.754331735093814</c:v>
                </c:pt>
                <c:pt idx="446">
                  <c:v>29.754331735093814</c:v>
                </c:pt>
                <c:pt idx="447">
                  <c:v>29.754331735093814</c:v>
                </c:pt>
                <c:pt idx="448">
                  <c:v>31.376725669019478</c:v>
                </c:pt>
                <c:pt idx="449">
                  <c:v>27.920293669019472</c:v>
                </c:pt>
                <c:pt idx="450">
                  <c:v>25.924453669019471</c:v>
                </c:pt>
                <c:pt idx="451">
                  <c:v>24.400357669019471</c:v>
                </c:pt>
                <c:pt idx="452">
                  <c:v>23.066773669019469</c:v>
                </c:pt>
                <c:pt idx="453">
                  <c:v>23.066773669019469</c:v>
                </c:pt>
                <c:pt idx="454">
                  <c:v>23.066773669019469</c:v>
                </c:pt>
                <c:pt idx="455">
                  <c:v>22.896359854088487</c:v>
                </c:pt>
                <c:pt idx="456">
                  <c:v>23.803559854088491</c:v>
                </c:pt>
                <c:pt idx="457">
                  <c:v>29.500775854088488</c:v>
                </c:pt>
                <c:pt idx="458">
                  <c:v>35.479223854088488</c:v>
                </c:pt>
                <c:pt idx="459">
                  <c:v>36.286631854088498</c:v>
                </c:pt>
                <c:pt idx="460">
                  <c:v>36.286631854088498</c:v>
                </c:pt>
                <c:pt idx="461">
                  <c:v>36.286631854088498</c:v>
                </c:pt>
                <c:pt idx="462">
                  <c:v>37.80078504444954</c:v>
                </c:pt>
                <c:pt idx="463">
                  <c:v>33.555089044449545</c:v>
                </c:pt>
                <c:pt idx="464">
                  <c:v>27.703649044449534</c:v>
                </c:pt>
                <c:pt idx="465">
                  <c:v>27.730865044449544</c:v>
                </c:pt>
                <c:pt idx="466">
                  <c:v>20.001521044449547</c:v>
                </c:pt>
                <c:pt idx="467">
                  <c:v>20.001521044449547</c:v>
                </c:pt>
                <c:pt idx="468">
                  <c:v>20.001521044449547</c:v>
                </c:pt>
                <c:pt idx="469">
                  <c:v>24.029975404003537</c:v>
                </c:pt>
                <c:pt idx="470">
                  <c:v>19.70263140400354</c:v>
                </c:pt>
                <c:pt idx="471">
                  <c:v>19.657271404003538</c:v>
                </c:pt>
                <c:pt idx="472">
                  <c:v>16.699799404003542</c:v>
                </c:pt>
                <c:pt idx="473">
                  <c:v>16.699799404003542</c:v>
                </c:pt>
                <c:pt idx="474">
                  <c:v>16.699799404003542</c:v>
                </c:pt>
                <c:pt idx="475">
                  <c:v>16.699799404003542</c:v>
                </c:pt>
                <c:pt idx="476">
                  <c:v>15.266542807178766</c:v>
                </c:pt>
                <c:pt idx="477">
                  <c:v>14.504494807178759</c:v>
                </c:pt>
                <c:pt idx="478">
                  <c:v>13.361422807178769</c:v>
                </c:pt>
                <c:pt idx="479">
                  <c:v>11.928046807178774</c:v>
                </c:pt>
                <c:pt idx="480">
                  <c:v>11.719390807178769</c:v>
                </c:pt>
                <c:pt idx="481">
                  <c:v>11.719390807178769</c:v>
                </c:pt>
                <c:pt idx="482">
                  <c:v>11.719390807178769</c:v>
                </c:pt>
                <c:pt idx="483">
                  <c:v>6.5712739869557453</c:v>
                </c:pt>
                <c:pt idx="484">
                  <c:v>6.0632419869557452</c:v>
                </c:pt>
                <c:pt idx="485">
                  <c:v>7.3423939869557557</c:v>
                </c:pt>
                <c:pt idx="486">
                  <c:v>8.7031939869557533</c:v>
                </c:pt>
                <c:pt idx="487">
                  <c:v>8.3194906359822909</c:v>
                </c:pt>
                <c:pt idx="488">
                  <c:v>8.3194906359822909</c:v>
                </c:pt>
                <c:pt idx="489">
                  <c:v>8.3194906359822909</c:v>
                </c:pt>
                <c:pt idx="490">
                  <c:v>7.7135014178761168</c:v>
                </c:pt>
                <c:pt idx="491">
                  <c:v>8.2668934178761191</c:v>
                </c:pt>
                <c:pt idx="492">
                  <c:v>6.3164134178761202</c:v>
                </c:pt>
                <c:pt idx="493">
                  <c:v>6.4615654178761162</c:v>
                </c:pt>
                <c:pt idx="494">
                  <c:v>3.7490374178761101</c:v>
                </c:pt>
                <c:pt idx="495">
                  <c:v>3.7490374178761101</c:v>
                </c:pt>
              </c:numCache>
            </c:numRef>
          </c:val>
          <c:extLst>
            <c:ext xmlns:c16="http://schemas.microsoft.com/office/drawing/2014/chart" uri="{C3380CC4-5D6E-409C-BE32-E72D297353CC}">
              <c16:uniqueId val="{00000000-2CA1-4B2D-A6F2-BEEB85A56030}"/>
            </c:ext>
          </c:extLst>
        </c:ser>
        <c:dLbls>
          <c:showLegendKey val="0"/>
          <c:showVal val="0"/>
          <c:showCatName val="0"/>
          <c:showSerName val="0"/>
          <c:showPercent val="0"/>
          <c:showBubbleSize val="0"/>
        </c:dLbls>
        <c:gapWidth val="0"/>
        <c:overlap val="-35"/>
        <c:axId val="936466000"/>
        <c:axId val="937007696"/>
      </c:barChart>
      <c:lineChart>
        <c:grouping val="standard"/>
        <c:varyColors val="0"/>
        <c:ser>
          <c:idx val="1"/>
          <c:order val="1"/>
          <c:tx>
            <c:strRef>
              <c:f>ExportArbILB!$Q$4</c:f>
              <c:strCache>
                <c:ptCount val="1"/>
                <c:pt idx="0">
                  <c:v>IHS McCloskey NW Europe Marker</c:v>
                </c:pt>
              </c:strCache>
            </c:strRef>
          </c:tx>
          <c:spPr>
            <a:ln w="19050">
              <a:solidFill>
                <a:srgbClr val="00162B"/>
              </a:solidFill>
            </a:ln>
          </c:spPr>
          <c:marker>
            <c:symbol val="none"/>
          </c:marker>
          <c:cat>
            <c:numRef>
              <c:f>ExportArbILB!$O$5:$O$500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ExportArbILB!$Q$5:$Q$500</c:f>
              <c:numCache>
                <c:formatCode>#,##0.00</c:formatCode>
                <c:ptCount val="496"/>
                <c:pt idx="0">
                  <c:v>292.95302400000003</c:v>
                </c:pt>
                <c:pt idx="1">
                  <c:v>293.36126400000001</c:v>
                </c:pt>
                <c:pt idx="2">
                  <c:v>285.62284799999998</c:v>
                </c:pt>
                <c:pt idx="3">
                  <c:v>282.36599999999999</c:v>
                </c:pt>
                <c:pt idx="4">
                  <c:v>296.20080000000002</c:v>
                </c:pt>
                <c:pt idx="5">
                  <c:v>296.20080000000002</c:v>
                </c:pt>
                <c:pt idx="6">
                  <c:v>296.20080000000002</c:v>
                </c:pt>
                <c:pt idx="7">
                  <c:v>309.72715200000005</c:v>
                </c:pt>
                <c:pt idx="8">
                  <c:v>335.66399999999999</c:v>
                </c:pt>
                <c:pt idx="9">
                  <c:v>349.27199999999999</c:v>
                </c:pt>
                <c:pt idx="10">
                  <c:v>362.88</c:v>
                </c:pt>
                <c:pt idx="11">
                  <c:v>335.66399999999999</c:v>
                </c:pt>
                <c:pt idx="12">
                  <c:v>335.66399999999999</c:v>
                </c:pt>
                <c:pt idx="13">
                  <c:v>335.66399999999999</c:v>
                </c:pt>
                <c:pt idx="14">
                  <c:v>331.80840000000001</c:v>
                </c:pt>
                <c:pt idx="15">
                  <c:v>330.61996800000003</c:v>
                </c:pt>
                <c:pt idx="16">
                  <c:v>328.86</c:v>
                </c:pt>
                <c:pt idx="17">
                  <c:v>338.83920000000001</c:v>
                </c:pt>
                <c:pt idx="18">
                  <c:v>338.83920000000001</c:v>
                </c:pt>
                <c:pt idx="19">
                  <c:v>338.83920000000001</c:v>
                </c:pt>
                <c:pt idx="20">
                  <c:v>338.83920000000001</c:v>
                </c:pt>
                <c:pt idx="21">
                  <c:v>343.656432</c:v>
                </c:pt>
                <c:pt idx="22">
                  <c:v>346.09680000000003</c:v>
                </c:pt>
                <c:pt idx="23">
                  <c:v>356.07600000000002</c:v>
                </c:pt>
                <c:pt idx="24">
                  <c:v>376.488</c:v>
                </c:pt>
                <c:pt idx="25">
                  <c:v>362.12702400000001</c:v>
                </c:pt>
                <c:pt idx="26">
                  <c:v>362.12702400000001</c:v>
                </c:pt>
                <c:pt idx="27">
                  <c:v>362.12702400000001</c:v>
                </c:pt>
                <c:pt idx="28">
                  <c:v>343.26633600000002</c:v>
                </c:pt>
                <c:pt idx="29">
                  <c:v>349.11777599999999</c:v>
                </c:pt>
                <c:pt idx="30">
                  <c:v>347.45760000000001</c:v>
                </c:pt>
                <c:pt idx="31">
                  <c:v>320.92200000000003</c:v>
                </c:pt>
                <c:pt idx="32">
                  <c:v>315.25200000000001</c:v>
                </c:pt>
                <c:pt idx="33">
                  <c:v>315.25200000000001</c:v>
                </c:pt>
                <c:pt idx="34">
                  <c:v>315.25200000000001</c:v>
                </c:pt>
                <c:pt idx="35">
                  <c:v>322.05599999999998</c:v>
                </c:pt>
                <c:pt idx="36">
                  <c:v>315.25200000000001</c:v>
                </c:pt>
                <c:pt idx="37">
                  <c:v>288.31723199999999</c:v>
                </c:pt>
                <c:pt idx="38">
                  <c:v>279.50832000000003</c:v>
                </c:pt>
                <c:pt idx="39">
                  <c:v>281.4588</c:v>
                </c:pt>
                <c:pt idx="40">
                  <c:v>281.4588</c:v>
                </c:pt>
                <c:pt idx="41">
                  <c:v>281.4588</c:v>
                </c:pt>
                <c:pt idx="42">
                  <c:v>300.47371199999998</c:v>
                </c:pt>
                <c:pt idx="43">
                  <c:v>326.84601599999996</c:v>
                </c:pt>
                <c:pt idx="44">
                  <c:v>343.520352</c:v>
                </c:pt>
                <c:pt idx="45">
                  <c:v>362.77113600000001</c:v>
                </c:pt>
                <c:pt idx="46">
                  <c:v>373.31279999999998</c:v>
                </c:pt>
                <c:pt idx="47">
                  <c:v>373.31279999999998</c:v>
                </c:pt>
                <c:pt idx="48">
                  <c:v>373.31279999999998</c:v>
                </c:pt>
                <c:pt idx="49">
                  <c:v>378.9828</c:v>
                </c:pt>
                <c:pt idx="50">
                  <c:v>371.67984000000001</c:v>
                </c:pt>
                <c:pt idx="51">
                  <c:v>373.203936</c:v>
                </c:pt>
                <c:pt idx="52">
                  <c:v>351.08640000000003</c:v>
                </c:pt>
                <c:pt idx="53">
                  <c:v>339.41073599999999</c:v>
                </c:pt>
                <c:pt idx="54">
                  <c:v>339.41073599999999</c:v>
                </c:pt>
                <c:pt idx="55">
                  <c:v>339.41073599999999</c:v>
                </c:pt>
                <c:pt idx="56">
                  <c:v>335.87265600000001</c:v>
                </c:pt>
                <c:pt idx="57">
                  <c:v>336.97944000000001</c:v>
                </c:pt>
                <c:pt idx="58">
                  <c:v>332.48880000000003</c:v>
                </c:pt>
                <c:pt idx="59">
                  <c:v>334.53000000000003</c:v>
                </c:pt>
                <c:pt idx="60">
                  <c:v>346.67740800000001</c:v>
                </c:pt>
                <c:pt idx="61">
                  <c:v>346.67740800000001</c:v>
                </c:pt>
                <c:pt idx="62">
                  <c:v>346.67740800000001</c:v>
                </c:pt>
                <c:pt idx="63">
                  <c:v>365.14800000000002</c:v>
                </c:pt>
                <c:pt idx="64">
                  <c:v>369.68400000000003</c:v>
                </c:pt>
                <c:pt idx="65">
                  <c:v>368.81308799999999</c:v>
                </c:pt>
                <c:pt idx="66">
                  <c:v>368.77679999999998</c:v>
                </c:pt>
                <c:pt idx="67">
                  <c:v>356.98320000000001</c:v>
                </c:pt>
                <c:pt idx="68">
                  <c:v>356.98320000000001</c:v>
                </c:pt>
                <c:pt idx="69">
                  <c:v>356.98320000000001</c:v>
                </c:pt>
                <c:pt idx="70">
                  <c:v>349.27199999999999</c:v>
                </c:pt>
                <c:pt idx="71">
                  <c:v>346.21473600000002</c:v>
                </c:pt>
                <c:pt idx="72">
                  <c:v>355.89456000000001</c:v>
                </c:pt>
                <c:pt idx="73">
                  <c:v>352.111536</c:v>
                </c:pt>
                <c:pt idx="74">
                  <c:v>340.59916800000002</c:v>
                </c:pt>
                <c:pt idx="75">
                  <c:v>340.59916800000002</c:v>
                </c:pt>
                <c:pt idx="76">
                  <c:v>340.59916800000002</c:v>
                </c:pt>
                <c:pt idx="77">
                  <c:v>333.06033600000001</c:v>
                </c:pt>
                <c:pt idx="78">
                  <c:v>333.77702400000004</c:v>
                </c:pt>
                <c:pt idx="79">
                  <c:v>337.30603200000002</c:v>
                </c:pt>
                <c:pt idx="80">
                  <c:v>370.43697600000002</c:v>
                </c:pt>
                <c:pt idx="81">
                  <c:v>380.05329599999999</c:v>
                </c:pt>
                <c:pt idx="82">
                  <c:v>380.05329599999999</c:v>
                </c:pt>
                <c:pt idx="83">
                  <c:v>380.05329599999999</c:v>
                </c:pt>
                <c:pt idx="84">
                  <c:v>386.24040000000002</c:v>
                </c:pt>
                <c:pt idx="85">
                  <c:v>373.65753599999999</c:v>
                </c:pt>
                <c:pt idx="86">
                  <c:v>363.10680000000002</c:v>
                </c:pt>
                <c:pt idx="87">
                  <c:v>342.78552000000002</c:v>
                </c:pt>
                <c:pt idx="88">
                  <c:v>324.23327999999998</c:v>
                </c:pt>
                <c:pt idx="89">
                  <c:v>324.23327999999998</c:v>
                </c:pt>
                <c:pt idx="90">
                  <c:v>324.23327999999998</c:v>
                </c:pt>
                <c:pt idx="91">
                  <c:v>331.30944</c:v>
                </c:pt>
                <c:pt idx="92">
                  <c:v>310.03559999999999</c:v>
                </c:pt>
                <c:pt idx="93">
                  <c:v>307.80388800000003</c:v>
                </c:pt>
                <c:pt idx="94">
                  <c:v>282.32971199999997</c:v>
                </c:pt>
                <c:pt idx="95">
                  <c:v>283.61793599999999</c:v>
                </c:pt>
                <c:pt idx="96">
                  <c:v>283.61793599999999</c:v>
                </c:pt>
                <c:pt idx="97">
                  <c:v>283.61793599999999</c:v>
                </c:pt>
                <c:pt idx="98">
                  <c:v>289.21536000000003</c:v>
                </c:pt>
                <c:pt idx="99">
                  <c:v>289.39679999999998</c:v>
                </c:pt>
                <c:pt idx="100">
                  <c:v>300.50092799999999</c:v>
                </c:pt>
                <c:pt idx="101">
                  <c:v>305.42702400000002</c:v>
                </c:pt>
                <c:pt idx="102">
                  <c:v>301.08153599999997</c:v>
                </c:pt>
                <c:pt idx="103">
                  <c:v>301.08153599999997</c:v>
                </c:pt>
                <c:pt idx="104">
                  <c:v>301.08153599999997</c:v>
                </c:pt>
                <c:pt idx="105">
                  <c:v>301.08153599999997</c:v>
                </c:pt>
                <c:pt idx="106">
                  <c:v>301.08153599999997</c:v>
                </c:pt>
                <c:pt idx="107">
                  <c:v>324.89553599999999</c:v>
                </c:pt>
                <c:pt idx="108">
                  <c:v>292.572</c:v>
                </c:pt>
                <c:pt idx="109">
                  <c:v>275.10840000000002</c:v>
                </c:pt>
                <c:pt idx="110">
                  <c:v>275.10840000000002</c:v>
                </c:pt>
                <c:pt idx="111">
                  <c:v>275.10840000000002</c:v>
                </c:pt>
                <c:pt idx="112">
                  <c:v>289.17</c:v>
                </c:pt>
                <c:pt idx="113">
                  <c:v>276.69600000000003</c:v>
                </c:pt>
                <c:pt idx="114">
                  <c:v>297.67953599999998</c:v>
                </c:pt>
                <c:pt idx="115">
                  <c:v>314.11799999999999</c:v>
                </c:pt>
                <c:pt idx="116">
                  <c:v>325.45800000000003</c:v>
                </c:pt>
                <c:pt idx="117">
                  <c:v>325.45800000000003</c:v>
                </c:pt>
                <c:pt idx="118">
                  <c:v>325.45800000000003</c:v>
                </c:pt>
                <c:pt idx="119">
                  <c:v>320.24160000000001</c:v>
                </c:pt>
                <c:pt idx="120">
                  <c:v>320.89478400000002</c:v>
                </c:pt>
                <c:pt idx="121">
                  <c:v>303.80313599999999</c:v>
                </c:pt>
                <c:pt idx="122">
                  <c:v>295.10308800000001</c:v>
                </c:pt>
                <c:pt idx="123">
                  <c:v>290.24049600000001</c:v>
                </c:pt>
                <c:pt idx="124">
                  <c:v>290.24049600000001</c:v>
                </c:pt>
                <c:pt idx="125">
                  <c:v>290.24049600000001</c:v>
                </c:pt>
                <c:pt idx="126">
                  <c:v>302.47862400000002</c:v>
                </c:pt>
                <c:pt idx="127">
                  <c:v>294.83999999999997</c:v>
                </c:pt>
                <c:pt idx="128">
                  <c:v>284.57956799999999</c:v>
                </c:pt>
                <c:pt idx="129">
                  <c:v>287.12880000000001</c:v>
                </c:pt>
                <c:pt idx="130">
                  <c:v>307.03276799999998</c:v>
                </c:pt>
                <c:pt idx="131">
                  <c:v>307.03276799999998</c:v>
                </c:pt>
                <c:pt idx="132">
                  <c:v>307.03276799999998</c:v>
                </c:pt>
                <c:pt idx="133">
                  <c:v>306.18</c:v>
                </c:pt>
                <c:pt idx="134">
                  <c:v>296.65440000000001</c:v>
                </c:pt>
                <c:pt idx="135">
                  <c:v>276.69600000000003</c:v>
                </c:pt>
                <c:pt idx="136">
                  <c:v>259.68599999999998</c:v>
                </c:pt>
                <c:pt idx="137">
                  <c:v>259.68599999999998</c:v>
                </c:pt>
                <c:pt idx="138">
                  <c:v>259.68599999999998</c:v>
                </c:pt>
                <c:pt idx="139">
                  <c:v>259.68599999999998</c:v>
                </c:pt>
                <c:pt idx="140">
                  <c:v>263.08800000000002</c:v>
                </c:pt>
                <c:pt idx="141">
                  <c:v>284.52513599999997</c:v>
                </c:pt>
                <c:pt idx="142">
                  <c:v>284.73379199999999</c:v>
                </c:pt>
                <c:pt idx="143">
                  <c:v>303.40396800000002</c:v>
                </c:pt>
                <c:pt idx="144">
                  <c:v>311.23310399999997</c:v>
                </c:pt>
                <c:pt idx="145">
                  <c:v>311.23310399999997</c:v>
                </c:pt>
                <c:pt idx="146">
                  <c:v>311.23310399999997</c:v>
                </c:pt>
                <c:pt idx="147">
                  <c:v>319.67913599999997</c:v>
                </c:pt>
                <c:pt idx="148">
                  <c:v>320.849424</c:v>
                </c:pt>
                <c:pt idx="149">
                  <c:v>323.19</c:v>
                </c:pt>
                <c:pt idx="150">
                  <c:v>326.59199999999998</c:v>
                </c:pt>
                <c:pt idx="151">
                  <c:v>326.59199999999998</c:v>
                </c:pt>
                <c:pt idx="152">
                  <c:v>326.59199999999998</c:v>
                </c:pt>
                <c:pt idx="153">
                  <c:v>326.59199999999998</c:v>
                </c:pt>
                <c:pt idx="154">
                  <c:v>326.59199999999998</c:v>
                </c:pt>
                <c:pt idx="155">
                  <c:v>331.12799999999999</c:v>
                </c:pt>
                <c:pt idx="156">
                  <c:v>328.29753599999998</c:v>
                </c:pt>
                <c:pt idx="157">
                  <c:v>307.54079999999999</c:v>
                </c:pt>
                <c:pt idx="158">
                  <c:v>291.99139200000002</c:v>
                </c:pt>
                <c:pt idx="159">
                  <c:v>291.99139200000002</c:v>
                </c:pt>
                <c:pt idx="160">
                  <c:v>291.99139200000002</c:v>
                </c:pt>
                <c:pt idx="161">
                  <c:v>279.87119999999999</c:v>
                </c:pt>
                <c:pt idx="162">
                  <c:v>286.67520000000002</c:v>
                </c:pt>
                <c:pt idx="163">
                  <c:v>273.67502400000001</c:v>
                </c:pt>
                <c:pt idx="164">
                  <c:v>247.84703999999999</c:v>
                </c:pt>
                <c:pt idx="165">
                  <c:v>251.36697599999999</c:v>
                </c:pt>
                <c:pt idx="166">
                  <c:v>251.36697599999999</c:v>
                </c:pt>
                <c:pt idx="167">
                  <c:v>251.36697599999999</c:v>
                </c:pt>
                <c:pt idx="168">
                  <c:v>247.856112</c:v>
                </c:pt>
                <c:pt idx="169">
                  <c:v>258.83323200000001</c:v>
                </c:pt>
                <c:pt idx="170">
                  <c:v>252.65520000000001</c:v>
                </c:pt>
                <c:pt idx="171">
                  <c:v>253.63497599999999</c:v>
                </c:pt>
                <c:pt idx="172">
                  <c:v>261.79070400000001</c:v>
                </c:pt>
                <c:pt idx="173">
                  <c:v>261.79070400000001</c:v>
                </c:pt>
                <c:pt idx="174">
                  <c:v>261.79070400000001</c:v>
                </c:pt>
                <c:pt idx="175">
                  <c:v>265.845888</c:v>
                </c:pt>
                <c:pt idx="176">
                  <c:v>290.30399999999997</c:v>
                </c:pt>
                <c:pt idx="177">
                  <c:v>252.74592000000001</c:v>
                </c:pt>
                <c:pt idx="178">
                  <c:v>234.502128</c:v>
                </c:pt>
                <c:pt idx="179">
                  <c:v>251.26718400000001</c:v>
                </c:pt>
                <c:pt idx="180">
                  <c:v>251.26718400000001</c:v>
                </c:pt>
                <c:pt idx="181">
                  <c:v>251.26718400000001</c:v>
                </c:pt>
                <c:pt idx="182">
                  <c:v>264.86611199999999</c:v>
                </c:pt>
                <c:pt idx="183">
                  <c:v>240.752736</c:v>
                </c:pt>
                <c:pt idx="184">
                  <c:v>280.32479999999998</c:v>
                </c:pt>
                <c:pt idx="185">
                  <c:v>305.61753599999997</c:v>
                </c:pt>
                <c:pt idx="186">
                  <c:v>332.57952</c:v>
                </c:pt>
                <c:pt idx="187">
                  <c:v>332.57952</c:v>
                </c:pt>
                <c:pt idx="188">
                  <c:v>332.57952</c:v>
                </c:pt>
                <c:pt idx="189">
                  <c:v>326.59199999999998</c:v>
                </c:pt>
                <c:pt idx="190">
                  <c:v>378.81950399999999</c:v>
                </c:pt>
                <c:pt idx="191">
                  <c:v>374.67360000000002</c:v>
                </c:pt>
                <c:pt idx="192">
                  <c:v>355.51353599999999</c:v>
                </c:pt>
                <c:pt idx="193">
                  <c:v>344.91744</c:v>
                </c:pt>
                <c:pt idx="194">
                  <c:v>344.91744</c:v>
                </c:pt>
                <c:pt idx="195">
                  <c:v>344.91744</c:v>
                </c:pt>
                <c:pt idx="196">
                  <c:v>311.68670400000002</c:v>
                </c:pt>
                <c:pt idx="197">
                  <c:v>348.06542400000001</c:v>
                </c:pt>
                <c:pt idx="198">
                  <c:v>252.11087999999998</c:v>
                </c:pt>
                <c:pt idx="199">
                  <c:v>217.95480000000001</c:v>
                </c:pt>
                <c:pt idx="200">
                  <c:v>229.86633599999999</c:v>
                </c:pt>
                <c:pt idx="201">
                  <c:v>229.86633599999999</c:v>
                </c:pt>
                <c:pt idx="202">
                  <c:v>229.86633599999999</c:v>
                </c:pt>
                <c:pt idx="203">
                  <c:v>237.91319999999999</c:v>
                </c:pt>
                <c:pt idx="204">
                  <c:v>193.84142399999999</c:v>
                </c:pt>
                <c:pt idx="205">
                  <c:v>184.86014400000002</c:v>
                </c:pt>
                <c:pt idx="206">
                  <c:v>168.857136</c:v>
                </c:pt>
                <c:pt idx="207">
                  <c:v>164.97432000000001</c:v>
                </c:pt>
                <c:pt idx="208">
                  <c:v>164.97432000000001</c:v>
                </c:pt>
                <c:pt idx="209">
                  <c:v>164.97432000000001</c:v>
                </c:pt>
                <c:pt idx="210">
                  <c:v>155.37614400000001</c:v>
                </c:pt>
                <c:pt idx="211">
                  <c:v>163.82217600000001</c:v>
                </c:pt>
                <c:pt idx="212">
                  <c:v>172.059552</c:v>
                </c:pt>
                <c:pt idx="213">
                  <c:v>174.79022399999999</c:v>
                </c:pt>
                <c:pt idx="214">
                  <c:v>169.492176</c:v>
                </c:pt>
                <c:pt idx="215">
                  <c:v>169.492176</c:v>
                </c:pt>
                <c:pt idx="216">
                  <c:v>169.492176</c:v>
                </c:pt>
                <c:pt idx="217">
                  <c:v>181.33113599999999</c:v>
                </c:pt>
                <c:pt idx="218">
                  <c:v>177.72048000000001</c:v>
                </c:pt>
                <c:pt idx="219">
                  <c:v>172.159344</c:v>
                </c:pt>
                <c:pt idx="220">
                  <c:v>165.78172800000002</c:v>
                </c:pt>
                <c:pt idx="221">
                  <c:v>161.54510400000001</c:v>
                </c:pt>
                <c:pt idx="222">
                  <c:v>161.54510400000001</c:v>
                </c:pt>
                <c:pt idx="223">
                  <c:v>161.54510400000001</c:v>
                </c:pt>
                <c:pt idx="224">
                  <c:v>157.997952</c:v>
                </c:pt>
                <c:pt idx="225">
                  <c:v>162.59745599999999</c:v>
                </c:pt>
                <c:pt idx="226">
                  <c:v>160.95542399999999</c:v>
                </c:pt>
                <c:pt idx="227">
                  <c:v>164.60236800000001</c:v>
                </c:pt>
                <c:pt idx="228">
                  <c:v>193.91399999999999</c:v>
                </c:pt>
                <c:pt idx="229">
                  <c:v>193.91399999999999</c:v>
                </c:pt>
                <c:pt idx="230">
                  <c:v>193.91399999999999</c:v>
                </c:pt>
                <c:pt idx="231">
                  <c:v>195.85540799999998</c:v>
                </c:pt>
                <c:pt idx="232">
                  <c:v>196.78982399999998</c:v>
                </c:pt>
                <c:pt idx="233">
                  <c:v>177.08543999999998</c:v>
                </c:pt>
                <c:pt idx="234">
                  <c:v>165.981312</c:v>
                </c:pt>
                <c:pt idx="235">
                  <c:v>160.5744</c:v>
                </c:pt>
                <c:pt idx="236">
                  <c:v>160.5744</c:v>
                </c:pt>
                <c:pt idx="237">
                  <c:v>160.5744</c:v>
                </c:pt>
                <c:pt idx="238">
                  <c:v>153.91555199999999</c:v>
                </c:pt>
                <c:pt idx="239">
                  <c:v>163.0692</c:v>
                </c:pt>
                <c:pt idx="240">
                  <c:v>163.58630399999998</c:v>
                </c:pt>
                <c:pt idx="241">
                  <c:v>157.32662399999998</c:v>
                </c:pt>
                <c:pt idx="242">
                  <c:v>154.58688000000001</c:v>
                </c:pt>
                <c:pt idx="243">
                  <c:v>154.58688000000001</c:v>
                </c:pt>
                <c:pt idx="244">
                  <c:v>154.58688000000001</c:v>
                </c:pt>
                <c:pt idx="245">
                  <c:v>140.098896</c:v>
                </c:pt>
                <c:pt idx="246">
                  <c:v>122.9256</c:v>
                </c:pt>
                <c:pt idx="247">
                  <c:v>119.922768</c:v>
                </c:pt>
                <c:pt idx="248">
                  <c:v>126.84470399999999</c:v>
                </c:pt>
                <c:pt idx="249">
                  <c:v>134.338176</c:v>
                </c:pt>
                <c:pt idx="250">
                  <c:v>134.338176</c:v>
                </c:pt>
                <c:pt idx="251">
                  <c:v>134.338176</c:v>
                </c:pt>
                <c:pt idx="252">
                  <c:v>129.85660799999999</c:v>
                </c:pt>
                <c:pt idx="253">
                  <c:v>124.5132</c:v>
                </c:pt>
                <c:pt idx="254">
                  <c:v>119.30587199999999</c:v>
                </c:pt>
                <c:pt idx="255">
                  <c:v>110.342736</c:v>
                </c:pt>
                <c:pt idx="256">
                  <c:v>110.342736</c:v>
                </c:pt>
                <c:pt idx="257">
                  <c:v>110.342736</c:v>
                </c:pt>
                <c:pt idx="258">
                  <c:v>110.342736</c:v>
                </c:pt>
                <c:pt idx="259">
                  <c:v>109.14523200000001</c:v>
                </c:pt>
                <c:pt idx="260">
                  <c:v>109.72584000000001</c:v>
                </c:pt>
                <c:pt idx="261">
                  <c:v>132.90479999999999</c:v>
                </c:pt>
                <c:pt idx="262">
                  <c:v>132.90479999999999</c:v>
                </c:pt>
                <c:pt idx="263">
                  <c:v>132.90479999999999</c:v>
                </c:pt>
                <c:pt idx="264">
                  <c:v>132.90479999999999</c:v>
                </c:pt>
                <c:pt idx="265">
                  <c:v>132.90479999999999</c:v>
                </c:pt>
                <c:pt idx="266">
                  <c:v>140.198688</c:v>
                </c:pt>
                <c:pt idx="267">
                  <c:v>145.15199999999999</c:v>
                </c:pt>
                <c:pt idx="268">
                  <c:v>148.96223999999998</c:v>
                </c:pt>
                <c:pt idx="269">
                  <c:v>145.99569600000001</c:v>
                </c:pt>
                <c:pt idx="270">
                  <c:v>144.27201600000001</c:v>
                </c:pt>
                <c:pt idx="271">
                  <c:v>144.27201600000001</c:v>
                </c:pt>
                <c:pt idx="272">
                  <c:v>144.27201600000001</c:v>
                </c:pt>
                <c:pt idx="273">
                  <c:v>141.84072</c:v>
                </c:pt>
                <c:pt idx="274">
                  <c:v>138.42057600000001</c:v>
                </c:pt>
                <c:pt idx="275">
                  <c:v>135.508464</c:v>
                </c:pt>
                <c:pt idx="276">
                  <c:v>132.76872</c:v>
                </c:pt>
                <c:pt idx="277">
                  <c:v>126.17337600000002</c:v>
                </c:pt>
                <c:pt idx="278">
                  <c:v>126.17337600000002</c:v>
                </c:pt>
                <c:pt idx="279">
                  <c:v>126.17337600000002</c:v>
                </c:pt>
                <c:pt idx="280">
                  <c:v>122.889312</c:v>
                </c:pt>
                <c:pt idx="281">
                  <c:v>124.957728</c:v>
                </c:pt>
                <c:pt idx="282">
                  <c:v>117.173952</c:v>
                </c:pt>
                <c:pt idx="283">
                  <c:v>111.422304</c:v>
                </c:pt>
                <c:pt idx="284">
                  <c:v>112.26600000000001</c:v>
                </c:pt>
                <c:pt idx="285">
                  <c:v>112.26600000000001</c:v>
                </c:pt>
                <c:pt idx="286">
                  <c:v>112.26600000000001</c:v>
                </c:pt>
                <c:pt idx="287">
                  <c:v>112.9464</c:v>
                </c:pt>
                <c:pt idx="288">
                  <c:v>109.07265600000001</c:v>
                </c:pt>
                <c:pt idx="289">
                  <c:v>104.001408</c:v>
                </c:pt>
                <c:pt idx="290">
                  <c:v>112.03919999999999</c:v>
                </c:pt>
                <c:pt idx="291">
                  <c:v>141.48691200000002</c:v>
                </c:pt>
                <c:pt idx="292">
                  <c:v>141.48691200000002</c:v>
                </c:pt>
                <c:pt idx="293">
                  <c:v>141.48691200000002</c:v>
                </c:pt>
                <c:pt idx="294">
                  <c:v>152.86320000000001</c:v>
                </c:pt>
                <c:pt idx="295">
                  <c:v>153.162576</c:v>
                </c:pt>
                <c:pt idx="296">
                  <c:v>144.018</c:v>
                </c:pt>
                <c:pt idx="297">
                  <c:v>131.39884800000002</c:v>
                </c:pt>
                <c:pt idx="298">
                  <c:v>131.46235200000001</c:v>
                </c:pt>
                <c:pt idx="299">
                  <c:v>131.46235200000001</c:v>
                </c:pt>
                <c:pt idx="300">
                  <c:v>131.46235200000001</c:v>
                </c:pt>
                <c:pt idx="301">
                  <c:v>130.1832</c:v>
                </c:pt>
                <c:pt idx="302">
                  <c:v>128.45044799999999</c:v>
                </c:pt>
                <c:pt idx="303">
                  <c:v>125.26617600000002</c:v>
                </c:pt>
                <c:pt idx="304">
                  <c:v>118.353312</c:v>
                </c:pt>
                <c:pt idx="305">
                  <c:v>121.56480000000001</c:v>
                </c:pt>
                <c:pt idx="306">
                  <c:v>121.56480000000001</c:v>
                </c:pt>
                <c:pt idx="307">
                  <c:v>121.56480000000001</c:v>
                </c:pt>
                <c:pt idx="308">
                  <c:v>126.82656000000001</c:v>
                </c:pt>
                <c:pt idx="309">
                  <c:v>126.08265599999999</c:v>
                </c:pt>
                <c:pt idx="310">
                  <c:v>139.66343999999998</c:v>
                </c:pt>
                <c:pt idx="311">
                  <c:v>143.29223999999999</c:v>
                </c:pt>
                <c:pt idx="312">
                  <c:v>130.46443200000002</c:v>
                </c:pt>
                <c:pt idx="313">
                  <c:v>130.46443200000002</c:v>
                </c:pt>
                <c:pt idx="314">
                  <c:v>130.46443200000002</c:v>
                </c:pt>
                <c:pt idx="315">
                  <c:v>133.24953600000001</c:v>
                </c:pt>
                <c:pt idx="316">
                  <c:v>133.90271999999999</c:v>
                </c:pt>
                <c:pt idx="317">
                  <c:v>138.89231999999998</c:v>
                </c:pt>
                <c:pt idx="318">
                  <c:v>142.88400000000001</c:v>
                </c:pt>
                <c:pt idx="319">
                  <c:v>155.47593599999999</c:v>
                </c:pt>
                <c:pt idx="320">
                  <c:v>155.47593599999999</c:v>
                </c:pt>
                <c:pt idx="321">
                  <c:v>155.47593599999999</c:v>
                </c:pt>
                <c:pt idx="322">
                  <c:v>181.66679999999999</c:v>
                </c:pt>
                <c:pt idx="323">
                  <c:v>195.048</c:v>
                </c:pt>
                <c:pt idx="324">
                  <c:v>205.25399999999999</c:v>
                </c:pt>
                <c:pt idx="325">
                  <c:v>197.22528</c:v>
                </c:pt>
                <c:pt idx="326">
                  <c:v>189.60480000000001</c:v>
                </c:pt>
                <c:pt idx="327">
                  <c:v>189.60480000000001</c:v>
                </c:pt>
                <c:pt idx="328">
                  <c:v>189.60480000000001</c:v>
                </c:pt>
                <c:pt idx="329">
                  <c:v>190.45756800000001</c:v>
                </c:pt>
                <c:pt idx="330">
                  <c:v>201.39840000000001</c:v>
                </c:pt>
                <c:pt idx="331">
                  <c:v>210.29803200000001</c:v>
                </c:pt>
                <c:pt idx="332">
                  <c:v>216.076896</c:v>
                </c:pt>
                <c:pt idx="333">
                  <c:v>230.24736000000001</c:v>
                </c:pt>
                <c:pt idx="334">
                  <c:v>230.24736000000001</c:v>
                </c:pt>
                <c:pt idx="335">
                  <c:v>230.24736000000001</c:v>
                </c:pt>
                <c:pt idx="336">
                  <c:v>232.78752000000003</c:v>
                </c:pt>
                <c:pt idx="337">
                  <c:v>233.04153600000001</c:v>
                </c:pt>
                <c:pt idx="338">
                  <c:v>231.78960000000001</c:v>
                </c:pt>
                <c:pt idx="339">
                  <c:v>220.4496</c:v>
                </c:pt>
                <c:pt idx="340">
                  <c:v>214.253424</c:v>
                </c:pt>
                <c:pt idx="341">
                  <c:v>214.253424</c:v>
                </c:pt>
                <c:pt idx="342">
                  <c:v>214.253424</c:v>
                </c:pt>
                <c:pt idx="343">
                  <c:v>204.12</c:v>
                </c:pt>
                <c:pt idx="344">
                  <c:v>253.26302400000003</c:v>
                </c:pt>
                <c:pt idx="345">
                  <c:v>270.88992000000002</c:v>
                </c:pt>
                <c:pt idx="346">
                  <c:v>235.41839999999999</c:v>
                </c:pt>
                <c:pt idx="347">
                  <c:v>210.54297600000001</c:v>
                </c:pt>
                <c:pt idx="348">
                  <c:v>210.54297600000001</c:v>
                </c:pt>
                <c:pt idx="349">
                  <c:v>210.54297600000001</c:v>
                </c:pt>
                <c:pt idx="350">
                  <c:v>196.56302399999998</c:v>
                </c:pt>
                <c:pt idx="351">
                  <c:v>191.50991999999999</c:v>
                </c:pt>
                <c:pt idx="352">
                  <c:v>191.682288</c:v>
                </c:pt>
                <c:pt idx="353">
                  <c:v>182.80080000000001</c:v>
                </c:pt>
                <c:pt idx="354">
                  <c:v>180.53280000000001</c:v>
                </c:pt>
                <c:pt idx="355">
                  <c:v>180.53280000000001</c:v>
                </c:pt>
                <c:pt idx="356">
                  <c:v>180.53280000000001</c:v>
                </c:pt>
                <c:pt idx="357">
                  <c:v>166.9248</c:v>
                </c:pt>
                <c:pt idx="358">
                  <c:v>158.0796</c:v>
                </c:pt>
                <c:pt idx="359">
                  <c:v>158.85072</c:v>
                </c:pt>
                <c:pt idx="360">
                  <c:v>161.93520000000001</c:v>
                </c:pt>
                <c:pt idx="361">
                  <c:v>157.94352000000001</c:v>
                </c:pt>
                <c:pt idx="362">
                  <c:v>157.94352000000001</c:v>
                </c:pt>
                <c:pt idx="363">
                  <c:v>157.94352000000001</c:v>
                </c:pt>
                <c:pt idx="364">
                  <c:v>158.48783999999998</c:v>
                </c:pt>
                <c:pt idx="365">
                  <c:v>159.53111999999999</c:v>
                </c:pt>
                <c:pt idx="366">
                  <c:v>160.3476</c:v>
                </c:pt>
                <c:pt idx="367">
                  <c:v>161.02799999999999</c:v>
                </c:pt>
                <c:pt idx="368">
                  <c:v>157.59878399999999</c:v>
                </c:pt>
                <c:pt idx="369">
                  <c:v>157.59878399999999</c:v>
                </c:pt>
                <c:pt idx="370">
                  <c:v>157.59878399999999</c:v>
                </c:pt>
                <c:pt idx="371">
                  <c:v>157.626</c:v>
                </c:pt>
                <c:pt idx="372">
                  <c:v>154.22399999999999</c:v>
                </c:pt>
                <c:pt idx="373">
                  <c:v>153.83390399999999</c:v>
                </c:pt>
                <c:pt idx="374">
                  <c:v>154.22399999999999</c:v>
                </c:pt>
                <c:pt idx="375">
                  <c:v>150.422832</c:v>
                </c:pt>
                <c:pt idx="376">
                  <c:v>150.422832</c:v>
                </c:pt>
                <c:pt idx="377">
                  <c:v>150.422832</c:v>
                </c:pt>
                <c:pt idx="378">
                  <c:v>150.894576</c:v>
                </c:pt>
                <c:pt idx="379">
                  <c:v>147.456288</c:v>
                </c:pt>
                <c:pt idx="380">
                  <c:v>139.46385599999999</c:v>
                </c:pt>
                <c:pt idx="381">
                  <c:v>136.9872</c:v>
                </c:pt>
                <c:pt idx="382">
                  <c:v>136.9872</c:v>
                </c:pt>
                <c:pt idx="383">
                  <c:v>136.9872</c:v>
                </c:pt>
                <c:pt idx="384">
                  <c:v>136.9872</c:v>
                </c:pt>
                <c:pt idx="385">
                  <c:v>136.44288</c:v>
                </c:pt>
                <c:pt idx="386">
                  <c:v>136.71503999999999</c:v>
                </c:pt>
                <c:pt idx="387">
                  <c:v>136.08000000000001</c:v>
                </c:pt>
                <c:pt idx="388">
                  <c:v>131.44420799999997</c:v>
                </c:pt>
                <c:pt idx="389">
                  <c:v>130.60958400000001</c:v>
                </c:pt>
                <c:pt idx="390">
                  <c:v>130.60958400000001</c:v>
                </c:pt>
                <c:pt idx="391">
                  <c:v>130.60958400000001</c:v>
                </c:pt>
                <c:pt idx="392">
                  <c:v>137.27750399999999</c:v>
                </c:pt>
                <c:pt idx="393">
                  <c:v>138.99211200000002</c:v>
                </c:pt>
                <c:pt idx="394">
                  <c:v>139.75416000000001</c:v>
                </c:pt>
                <c:pt idx="395">
                  <c:v>140.86094400000002</c:v>
                </c:pt>
                <c:pt idx="396">
                  <c:v>139.93559999999999</c:v>
                </c:pt>
                <c:pt idx="397">
                  <c:v>139.93559999999999</c:v>
                </c:pt>
                <c:pt idx="398">
                  <c:v>139.93559999999999</c:v>
                </c:pt>
                <c:pt idx="399">
                  <c:v>140.75208000000001</c:v>
                </c:pt>
                <c:pt idx="400">
                  <c:v>135.653616</c:v>
                </c:pt>
                <c:pt idx="401">
                  <c:v>135.027648</c:v>
                </c:pt>
                <c:pt idx="402">
                  <c:v>134.90063999999998</c:v>
                </c:pt>
                <c:pt idx="403">
                  <c:v>131.516784</c:v>
                </c:pt>
                <c:pt idx="404">
                  <c:v>131.516784</c:v>
                </c:pt>
                <c:pt idx="405">
                  <c:v>131.516784</c:v>
                </c:pt>
                <c:pt idx="406">
                  <c:v>130.028976</c:v>
                </c:pt>
                <c:pt idx="407">
                  <c:v>129.65702399999998</c:v>
                </c:pt>
                <c:pt idx="408">
                  <c:v>129.085488</c:v>
                </c:pt>
                <c:pt idx="409">
                  <c:v>128.09663999999998</c:v>
                </c:pt>
                <c:pt idx="410">
                  <c:v>127.04428799999999</c:v>
                </c:pt>
                <c:pt idx="411">
                  <c:v>127.04428799999999</c:v>
                </c:pt>
                <c:pt idx="412">
                  <c:v>127.04428799999999</c:v>
                </c:pt>
                <c:pt idx="413">
                  <c:v>126.953568</c:v>
                </c:pt>
                <c:pt idx="414">
                  <c:v>126.617904</c:v>
                </c:pt>
                <c:pt idx="415">
                  <c:v>126.699552</c:v>
                </c:pt>
                <c:pt idx="416">
                  <c:v>126.7812</c:v>
                </c:pt>
                <c:pt idx="417">
                  <c:v>125.583696</c:v>
                </c:pt>
                <c:pt idx="418">
                  <c:v>125.583696</c:v>
                </c:pt>
                <c:pt idx="419">
                  <c:v>125.583696</c:v>
                </c:pt>
                <c:pt idx="420">
                  <c:v>125.456688</c:v>
                </c:pt>
                <c:pt idx="421">
                  <c:v>125.1936</c:v>
                </c:pt>
                <c:pt idx="422">
                  <c:v>125.71977600000001</c:v>
                </c:pt>
                <c:pt idx="423">
                  <c:v>126.7812</c:v>
                </c:pt>
                <c:pt idx="424">
                  <c:v>123.460848</c:v>
                </c:pt>
                <c:pt idx="425">
                  <c:v>123.460848</c:v>
                </c:pt>
                <c:pt idx="426">
                  <c:v>123.460848</c:v>
                </c:pt>
                <c:pt idx="427">
                  <c:v>123.83280000000001</c:v>
                </c:pt>
                <c:pt idx="428">
                  <c:v>124.5132</c:v>
                </c:pt>
                <c:pt idx="429">
                  <c:v>123.67857600000001</c:v>
                </c:pt>
                <c:pt idx="430">
                  <c:v>118.3896</c:v>
                </c:pt>
                <c:pt idx="431">
                  <c:v>118.108368</c:v>
                </c:pt>
                <c:pt idx="432">
                  <c:v>118.108368</c:v>
                </c:pt>
                <c:pt idx="433">
                  <c:v>118.108368</c:v>
                </c:pt>
                <c:pt idx="434">
                  <c:v>113.463504</c:v>
                </c:pt>
                <c:pt idx="435">
                  <c:v>113.708448</c:v>
                </c:pt>
                <c:pt idx="436">
                  <c:v>115.62264</c:v>
                </c:pt>
                <c:pt idx="437">
                  <c:v>118.28073599999999</c:v>
                </c:pt>
                <c:pt idx="438">
                  <c:v>115.35048</c:v>
                </c:pt>
                <c:pt idx="439">
                  <c:v>115.35048</c:v>
                </c:pt>
                <c:pt idx="440">
                  <c:v>115.35048</c:v>
                </c:pt>
                <c:pt idx="441">
                  <c:v>113.744736</c:v>
                </c:pt>
                <c:pt idx="442">
                  <c:v>109.372032</c:v>
                </c:pt>
                <c:pt idx="443">
                  <c:v>107.630208</c:v>
                </c:pt>
                <c:pt idx="444">
                  <c:v>106.596</c:v>
                </c:pt>
                <c:pt idx="445">
                  <c:v>107.41248</c:v>
                </c:pt>
                <c:pt idx="446">
                  <c:v>107.41248</c:v>
                </c:pt>
                <c:pt idx="447">
                  <c:v>107.41248</c:v>
                </c:pt>
                <c:pt idx="448">
                  <c:v>104.11027200000001</c:v>
                </c:pt>
                <c:pt idx="449">
                  <c:v>100.65384</c:v>
                </c:pt>
                <c:pt idx="450">
                  <c:v>98.658000000000001</c:v>
                </c:pt>
                <c:pt idx="451">
                  <c:v>97.133904000000001</c:v>
                </c:pt>
                <c:pt idx="452">
                  <c:v>95.800319999999999</c:v>
                </c:pt>
                <c:pt idx="453">
                  <c:v>95.800319999999999</c:v>
                </c:pt>
                <c:pt idx="454">
                  <c:v>95.800319999999999</c:v>
                </c:pt>
                <c:pt idx="455">
                  <c:v>95.256</c:v>
                </c:pt>
                <c:pt idx="456">
                  <c:v>96.163200000000003</c:v>
                </c:pt>
                <c:pt idx="457">
                  <c:v>101.860416</c:v>
                </c:pt>
                <c:pt idx="458">
                  <c:v>107.838864</c:v>
                </c:pt>
                <c:pt idx="459">
                  <c:v>108.64627200000001</c:v>
                </c:pt>
                <c:pt idx="460">
                  <c:v>108.64627200000001</c:v>
                </c:pt>
                <c:pt idx="461">
                  <c:v>108.64627200000001</c:v>
                </c:pt>
                <c:pt idx="462">
                  <c:v>107.14032</c:v>
                </c:pt>
                <c:pt idx="463">
                  <c:v>102.89462400000001</c:v>
                </c:pt>
                <c:pt idx="464">
                  <c:v>97.043183999999997</c:v>
                </c:pt>
                <c:pt idx="465">
                  <c:v>97.070400000000006</c:v>
                </c:pt>
                <c:pt idx="466">
                  <c:v>89.341056000000009</c:v>
                </c:pt>
                <c:pt idx="467">
                  <c:v>89.341056000000009</c:v>
                </c:pt>
                <c:pt idx="468">
                  <c:v>89.341056000000009</c:v>
                </c:pt>
                <c:pt idx="469">
                  <c:v>92.833776</c:v>
                </c:pt>
                <c:pt idx="470">
                  <c:v>88.506432000000004</c:v>
                </c:pt>
                <c:pt idx="471">
                  <c:v>88.461072000000001</c:v>
                </c:pt>
                <c:pt idx="472">
                  <c:v>85.503600000000006</c:v>
                </c:pt>
                <c:pt idx="473">
                  <c:v>85.503600000000006</c:v>
                </c:pt>
                <c:pt idx="474">
                  <c:v>85.503600000000006</c:v>
                </c:pt>
                <c:pt idx="475">
                  <c:v>85.503600000000006</c:v>
                </c:pt>
                <c:pt idx="476">
                  <c:v>83.607551999999998</c:v>
                </c:pt>
                <c:pt idx="477">
                  <c:v>82.845503999999991</c:v>
                </c:pt>
                <c:pt idx="478">
                  <c:v>81.702432000000002</c:v>
                </c:pt>
                <c:pt idx="479">
                  <c:v>80.269056000000006</c:v>
                </c:pt>
                <c:pt idx="480">
                  <c:v>80.060400000000001</c:v>
                </c:pt>
                <c:pt idx="481">
                  <c:v>80.060400000000001</c:v>
                </c:pt>
                <c:pt idx="482">
                  <c:v>80.060400000000001</c:v>
                </c:pt>
                <c:pt idx="483">
                  <c:v>76.095935999999995</c:v>
                </c:pt>
                <c:pt idx="484">
                  <c:v>75.587903999999995</c:v>
                </c:pt>
                <c:pt idx="485">
                  <c:v>76.867056000000005</c:v>
                </c:pt>
                <c:pt idx="486">
                  <c:v>78.227856000000003</c:v>
                </c:pt>
                <c:pt idx="487">
                  <c:v>79.407216000000005</c:v>
                </c:pt>
                <c:pt idx="488">
                  <c:v>79.407216000000005</c:v>
                </c:pt>
                <c:pt idx="489">
                  <c:v>79.407216000000005</c:v>
                </c:pt>
                <c:pt idx="490">
                  <c:v>79.162272000000002</c:v>
                </c:pt>
                <c:pt idx="491">
                  <c:v>79.715664000000004</c:v>
                </c:pt>
                <c:pt idx="492">
                  <c:v>77.765184000000005</c:v>
                </c:pt>
                <c:pt idx="493">
                  <c:v>77.910336000000001</c:v>
                </c:pt>
                <c:pt idx="494">
                  <c:v>75.197807999999995</c:v>
                </c:pt>
                <c:pt idx="495">
                  <c:v>75.197807999999995</c:v>
                </c:pt>
              </c:numCache>
            </c:numRef>
          </c:val>
          <c:smooth val="0"/>
          <c:extLst>
            <c:ext xmlns:c16="http://schemas.microsoft.com/office/drawing/2014/chart" uri="{C3380CC4-5D6E-409C-BE32-E72D297353CC}">
              <c16:uniqueId val="{00000002-2CA1-4B2D-A6F2-BEEB85A56030}"/>
            </c:ext>
          </c:extLst>
        </c:ser>
        <c:ser>
          <c:idx val="0"/>
          <c:order val="2"/>
          <c:tx>
            <c:strRef>
              <c:f>ExportArbILB!$P$4</c:f>
              <c:strCache>
                <c:ptCount val="1"/>
                <c:pt idx="0">
                  <c:v>ILB delivered Europe</c:v>
                </c:pt>
              </c:strCache>
            </c:strRef>
          </c:tx>
          <c:spPr>
            <a:ln w="19050">
              <a:solidFill>
                <a:srgbClr val="02A3D5"/>
              </a:solidFill>
            </a:ln>
          </c:spPr>
          <c:marker>
            <c:symbol val="none"/>
          </c:marker>
          <c:cat>
            <c:numRef>
              <c:f>ExportArbILB!$O$5:$O$500</c:f>
              <c:numCache>
                <c:formatCode>m/d/yyyy</c:formatCode>
                <c:ptCount val="496"/>
                <c:pt idx="0">
                  <c:v>44819</c:v>
                </c:pt>
                <c:pt idx="1">
                  <c:v>44818</c:v>
                </c:pt>
                <c:pt idx="2">
                  <c:v>44817</c:v>
                </c:pt>
                <c:pt idx="3">
                  <c:v>44816</c:v>
                </c:pt>
                <c:pt idx="4">
                  <c:v>44815</c:v>
                </c:pt>
                <c:pt idx="5">
                  <c:v>44814</c:v>
                </c:pt>
                <c:pt idx="6">
                  <c:v>44813</c:v>
                </c:pt>
                <c:pt idx="7">
                  <c:v>44812</c:v>
                </c:pt>
                <c:pt idx="8">
                  <c:v>44811</c:v>
                </c:pt>
                <c:pt idx="9">
                  <c:v>44810</c:v>
                </c:pt>
                <c:pt idx="10">
                  <c:v>44809</c:v>
                </c:pt>
                <c:pt idx="11">
                  <c:v>44808</c:v>
                </c:pt>
                <c:pt idx="12">
                  <c:v>44807</c:v>
                </c:pt>
                <c:pt idx="13">
                  <c:v>44806</c:v>
                </c:pt>
                <c:pt idx="14">
                  <c:v>44805</c:v>
                </c:pt>
                <c:pt idx="15">
                  <c:v>44804</c:v>
                </c:pt>
                <c:pt idx="16">
                  <c:v>44803</c:v>
                </c:pt>
                <c:pt idx="17">
                  <c:v>44802</c:v>
                </c:pt>
                <c:pt idx="18">
                  <c:v>44801</c:v>
                </c:pt>
                <c:pt idx="19">
                  <c:v>44800</c:v>
                </c:pt>
                <c:pt idx="20">
                  <c:v>44799</c:v>
                </c:pt>
                <c:pt idx="21">
                  <c:v>44798</c:v>
                </c:pt>
                <c:pt idx="22">
                  <c:v>44797</c:v>
                </c:pt>
                <c:pt idx="23">
                  <c:v>44796</c:v>
                </c:pt>
                <c:pt idx="24">
                  <c:v>44795</c:v>
                </c:pt>
                <c:pt idx="25">
                  <c:v>44794</c:v>
                </c:pt>
                <c:pt idx="26">
                  <c:v>44793</c:v>
                </c:pt>
                <c:pt idx="27">
                  <c:v>44792</c:v>
                </c:pt>
                <c:pt idx="28">
                  <c:v>44791</c:v>
                </c:pt>
                <c:pt idx="29">
                  <c:v>44790</c:v>
                </c:pt>
                <c:pt idx="30">
                  <c:v>44789</c:v>
                </c:pt>
                <c:pt idx="31">
                  <c:v>44788</c:v>
                </c:pt>
                <c:pt idx="32">
                  <c:v>44787</c:v>
                </c:pt>
                <c:pt idx="33">
                  <c:v>44786</c:v>
                </c:pt>
                <c:pt idx="34">
                  <c:v>44785</c:v>
                </c:pt>
                <c:pt idx="35">
                  <c:v>44784</c:v>
                </c:pt>
                <c:pt idx="36">
                  <c:v>44783</c:v>
                </c:pt>
                <c:pt idx="37">
                  <c:v>44782</c:v>
                </c:pt>
                <c:pt idx="38">
                  <c:v>44781</c:v>
                </c:pt>
                <c:pt idx="39">
                  <c:v>44780</c:v>
                </c:pt>
                <c:pt idx="40">
                  <c:v>44779</c:v>
                </c:pt>
                <c:pt idx="41">
                  <c:v>44778</c:v>
                </c:pt>
                <c:pt idx="42">
                  <c:v>44777</c:v>
                </c:pt>
                <c:pt idx="43">
                  <c:v>44776</c:v>
                </c:pt>
                <c:pt idx="44">
                  <c:v>44775</c:v>
                </c:pt>
                <c:pt idx="45">
                  <c:v>44774</c:v>
                </c:pt>
                <c:pt idx="46">
                  <c:v>44773</c:v>
                </c:pt>
                <c:pt idx="47">
                  <c:v>44772</c:v>
                </c:pt>
                <c:pt idx="48">
                  <c:v>44771</c:v>
                </c:pt>
                <c:pt idx="49">
                  <c:v>44770</c:v>
                </c:pt>
                <c:pt idx="50">
                  <c:v>44769</c:v>
                </c:pt>
                <c:pt idx="51">
                  <c:v>44768</c:v>
                </c:pt>
                <c:pt idx="52">
                  <c:v>44767</c:v>
                </c:pt>
                <c:pt idx="53">
                  <c:v>44766</c:v>
                </c:pt>
                <c:pt idx="54">
                  <c:v>44765</c:v>
                </c:pt>
                <c:pt idx="55">
                  <c:v>44764</c:v>
                </c:pt>
                <c:pt idx="56">
                  <c:v>44763</c:v>
                </c:pt>
                <c:pt idx="57">
                  <c:v>44762</c:v>
                </c:pt>
                <c:pt idx="58">
                  <c:v>44761</c:v>
                </c:pt>
                <c:pt idx="59">
                  <c:v>44760</c:v>
                </c:pt>
                <c:pt idx="60">
                  <c:v>44759</c:v>
                </c:pt>
                <c:pt idx="61">
                  <c:v>44758</c:v>
                </c:pt>
                <c:pt idx="62">
                  <c:v>44757</c:v>
                </c:pt>
                <c:pt idx="63">
                  <c:v>44756</c:v>
                </c:pt>
                <c:pt idx="64">
                  <c:v>44755</c:v>
                </c:pt>
                <c:pt idx="65">
                  <c:v>44754</c:v>
                </c:pt>
                <c:pt idx="66">
                  <c:v>44753</c:v>
                </c:pt>
                <c:pt idx="67">
                  <c:v>44752</c:v>
                </c:pt>
                <c:pt idx="68">
                  <c:v>44751</c:v>
                </c:pt>
                <c:pt idx="69">
                  <c:v>44750</c:v>
                </c:pt>
                <c:pt idx="70">
                  <c:v>44749</c:v>
                </c:pt>
                <c:pt idx="71">
                  <c:v>44748</c:v>
                </c:pt>
                <c:pt idx="72">
                  <c:v>44747</c:v>
                </c:pt>
                <c:pt idx="73">
                  <c:v>44746</c:v>
                </c:pt>
                <c:pt idx="74">
                  <c:v>44745</c:v>
                </c:pt>
                <c:pt idx="75">
                  <c:v>44744</c:v>
                </c:pt>
                <c:pt idx="76">
                  <c:v>44743</c:v>
                </c:pt>
                <c:pt idx="77">
                  <c:v>44742</c:v>
                </c:pt>
                <c:pt idx="78">
                  <c:v>44741</c:v>
                </c:pt>
                <c:pt idx="79">
                  <c:v>44740</c:v>
                </c:pt>
                <c:pt idx="80">
                  <c:v>44739</c:v>
                </c:pt>
                <c:pt idx="81">
                  <c:v>44738</c:v>
                </c:pt>
                <c:pt idx="82">
                  <c:v>44737</c:v>
                </c:pt>
                <c:pt idx="83">
                  <c:v>44736</c:v>
                </c:pt>
                <c:pt idx="84">
                  <c:v>44735</c:v>
                </c:pt>
                <c:pt idx="85">
                  <c:v>44734</c:v>
                </c:pt>
                <c:pt idx="86">
                  <c:v>44733</c:v>
                </c:pt>
                <c:pt idx="87">
                  <c:v>44732</c:v>
                </c:pt>
                <c:pt idx="88">
                  <c:v>44731</c:v>
                </c:pt>
                <c:pt idx="89">
                  <c:v>44730</c:v>
                </c:pt>
                <c:pt idx="90">
                  <c:v>44729</c:v>
                </c:pt>
                <c:pt idx="91">
                  <c:v>44728</c:v>
                </c:pt>
                <c:pt idx="92">
                  <c:v>44727</c:v>
                </c:pt>
                <c:pt idx="93">
                  <c:v>44726</c:v>
                </c:pt>
                <c:pt idx="94">
                  <c:v>44725</c:v>
                </c:pt>
                <c:pt idx="95">
                  <c:v>44724</c:v>
                </c:pt>
                <c:pt idx="96">
                  <c:v>44723</c:v>
                </c:pt>
                <c:pt idx="97">
                  <c:v>44722</c:v>
                </c:pt>
                <c:pt idx="98">
                  <c:v>44721</c:v>
                </c:pt>
                <c:pt idx="99">
                  <c:v>44720</c:v>
                </c:pt>
                <c:pt idx="100">
                  <c:v>44719</c:v>
                </c:pt>
                <c:pt idx="101">
                  <c:v>44718</c:v>
                </c:pt>
                <c:pt idx="102">
                  <c:v>44717</c:v>
                </c:pt>
                <c:pt idx="103">
                  <c:v>44716</c:v>
                </c:pt>
                <c:pt idx="104">
                  <c:v>44715</c:v>
                </c:pt>
                <c:pt idx="105">
                  <c:v>44714</c:v>
                </c:pt>
                <c:pt idx="106">
                  <c:v>44713</c:v>
                </c:pt>
                <c:pt idx="107">
                  <c:v>44712</c:v>
                </c:pt>
                <c:pt idx="108">
                  <c:v>44711</c:v>
                </c:pt>
                <c:pt idx="109">
                  <c:v>44710</c:v>
                </c:pt>
                <c:pt idx="110">
                  <c:v>44709</c:v>
                </c:pt>
                <c:pt idx="111">
                  <c:v>44708</c:v>
                </c:pt>
                <c:pt idx="112">
                  <c:v>44707</c:v>
                </c:pt>
                <c:pt idx="113">
                  <c:v>44706</c:v>
                </c:pt>
                <c:pt idx="114">
                  <c:v>44705</c:v>
                </c:pt>
                <c:pt idx="115">
                  <c:v>44704</c:v>
                </c:pt>
                <c:pt idx="116">
                  <c:v>44703</c:v>
                </c:pt>
                <c:pt idx="117">
                  <c:v>44702</c:v>
                </c:pt>
                <c:pt idx="118">
                  <c:v>44701</c:v>
                </c:pt>
                <c:pt idx="119">
                  <c:v>44700</c:v>
                </c:pt>
                <c:pt idx="120">
                  <c:v>44699</c:v>
                </c:pt>
                <c:pt idx="121">
                  <c:v>44698</c:v>
                </c:pt>
                <c:pt idx="122">
                  <c:v>44697</c:v>
                </c:pt>
                <c:pt idx="123">
                  <c:v>44696</c:v>
                </c:pt>
                <c:pt idx="124">
                  <c:v>44695</c:v>
                </c:pt>
                <c:pt idx="125">
                  <c:v>44694</c:v>
                </c:pt>
                <c:pt idx="126">
                  <c:v>44693</c:v>
                </c:pt>
                <c:pt idx="127">
                  <c:v>44692</c:v>
                </c:pt>
                <c:pt idx="128">
                  <c:v>44691</c:v>
                </c:pt>
                <c:pt idx="129">
                  <c:v>44690</c:v>
                </c:pt>
                <c:pt idx="130">
                  <c:v>44689</c:v>
                </c:pt>
                <c:pt idx="131">
                  <c:v>44688</c:v>
                </c:pt>
                <c:pt idx="132">
                  <c:v>44687</c:v>
                </c:pt>
                <c:pt idx="133">
                  <c:v>44686</c:v>
                </c:pt>
                <c:pt idx="134">
                  <c:v>44685</c:v>
                </c:pt>
                <c:pt idx="135">
                  <c:v>44684</c:v>
                </c:pt>
                <c:pt idx="136">
                  <c:v>44683</c:v>
                </c:pt>
                <c:pt idx="137">
                  <c:v>44682</c:v>
                </c:pt>
                <c:pt idx="138">
                  <c:v>44681</c:v>
                </c:pt>
                <c:pt idx="139">
                  <c:v>44680</c:v>
                </c:pt>
                <c:pt idx="140">
                  <c:v>44679</c:v>
                </c:pt>
                <c:pt idx="141">
                  <c:v>44678</c:v>
                </c:pt>
                <c:pt idx="142">
                  <c:v>44677</c:v>
                </c:pt>
                <c:pt idx="143">
                  <c:v>44676</c:v>
                </c:pt>
                <c:pt idx="144">
                  <c:v>44675</c:v>
                </c:pt>
                <c:pt idx="145">
                  <c:v>44674</c:v>
                </c:pt>
                <c:pt idx="146">
                  <c:v>44673</c:v>
                </c:pt>
                <c:pt idx="147">
                  <c:v>44672</c:v>
                </c:pt>
                <c:pt idx="148">
                  <c:v>44671</c:v>
                </c:pt>
                <c:pt idx="149">
                  <c:v>44670</c:v>
                </c:pt>
                <c:pt idx="150">
                  <c:v>44669</c:v>
                </c:pt>
                <c:pt idx="151">
                  <c:v>44668</c:v>
                </c:pt>
                <c:pt idx="152">
                  <c:v>44667</c:v>
                </c:pt>
                <c:pt idx="153">
                  <c:v>44666</c:v>
                </c:pt>
                <c:pt idx="154">
                  <c:v>44665</c:v>
                </c:pt>
                <c:pt idx="155">
                  <c:v>44664</c:v>
                </c:pt>
                <c:pt idx="156">
                  <c:v>44663</c:v>
                </c:pt>
                <c:pt idx="157">
                  <c:v>44662</c:v>
                </c:pt>
                <c:pt idx="158">
                  <c:v>44661</c:v>
                </c:pt>
                <c:pt idx="159">
                  <c:v>44660</c:v>
                </c:pt>
                <c:pt idx="160">
                  <c:v>44659</c:v>
                </c:pt>
                <c:pt idx="161">
                  <c:v>44658</c:v>
                </c:pt>
                <c:pt idx="162">
                  <c:v>44657</c:v>
                </c:pt>
                <c:pt idx="163">
                  <c:v>44656</c:v>
                </c:pt>
                <c:pt idx="164">
                  <c:v>44655</c:v>
                </c:pt>
                <c:pt idx="165">
                  <c:v>44654</c:v>
                </c:pt>
                <c:pt idx="166">
                  <c:v>44653</c:v>
                </c:pt>
                <c:pt idx="167">
                  <c:v>44652</c:v>
                </c:pt>
                <c:pt idx="168">
                  <c:v>44651</c:v>
                </c:pt>
                <c:pt idx="169">
                  <c:v>44650</c:v>
                </c:pt>
                <c:pt idx="170">
                  <c:v>44649</c:v>
                </c:pt>
                <c:pt idx="171">
                  <c:v>44648</c:v>
                </c:pt>
                <c:pt idx="172">
                  <c:v>44647</c:v>
                </c:pt>
                <c:pt idx="173">
                  <c:v>44646</c:v>
                </c:pt>
                <c:pt idx="174">
                  <c:v>44645</c:v>
                </c:pt>
                <c:pt idx="175">
                  <c:v>44644</c:v>
                </c:pt>
                <c:pt idx="176">
                  <c:v>44643</c:v>
                </c:pt>
                <c:pt idx="177">
                  <c:v>44642</c:v>
                </c:pt>
                <c:pt idx="178">
                  <c:v>44641</c:v>
                </c:pt>
                <c:pt idx="179">
                  <c:v>44640</c:v>
                </c:pt>
                <c:pt idx="180">
                  <c:v>44639</c:v>
                </c:pt>
                <c:pt idx="181">
                  <c:v>44638</c:v>
                </c:pt>
                <c:pt idx="182">
                  <c:v>44637</c:v>
                </c:pt>
                <c:pt idx="183">
                  <c:v>44636</c:v>
                </c:pt>
                <c:pt idx="184">
                  <c:v>44635</c:v>
                </c:pt>
                <c:pt idx="185">
                  <c:v>44634</c:v>
                </c:pt>
                <c:pt idx="186">
                  <c:v>44633</c:v>
                </c:pt>
                <c:pt idx="187">
                  <c:v>44632</c:v>
                </c:pt>
                <c:pt idx="188">
                  <c:v>44631</c:v>
                </c:pt>
                <c:pt idx="189">
                  <c:v>44630</c:v>
                </c:pt>
                <c:pt idx="190">
                  <c:v>44629</c:v>
                </c:pt>
                <c:pt idx="191">
                  <c:v>44628</c:v>
                </c:pt>
                <c:pt idx="192">
                  <c:v>44627</c:v>
                </c:pt>
                <c:pt idx="193">
                  <c:v>44626</c:v>
                </c:pt>
                <c:pt idx="194">
                  <c:v>44625</c:v>
                </c:pt>
                <c:pt idx="195">
                  <c:v>44624</c:v>
                </c:pt>
                <c:pt idx="196">
                  <c:v>44623</c:v>
                </c:pt>
                <c:pt idx="197">
                  <c:v>44622</c:v>
                </c:pt>
                <c:pt idx="198">
                  <c:v>44621</c:v>
                </c:pt>
                <c:pt idx="199">
                  <c:v>44620</c:v>
                </c:pt>
                <c:pt idx="200">
                  <c:v>44619</c:v>
                </c:pt>
                <c:pt idx="201">
                  <c:v>44618</c:v>
                </c:pt>
                <c:pt idx="202">
                  <c:v>44617</c:v>
                </c:pt>
                <c:pt idx="203">
                  <c:v>44616</c:v>
                </c:pt>
                <c:pt idx="204">
                  <c:v>44615</c:v>
                </c:pt>
                <c:pt idx="205">
                  <c:v>44614</c:v>
                </c:pt>
                <c:pt idx="206">
                  <c:v>44613</c:v>
                </c:pt>
                <c:pt idx="207">
                  <c:v>44612</c:v>
                </c:pt>
                <c:pt idx="208">
                  <c:v>44611</c:v>
                </c:pt>
                <c:pt idx="209">
                  <c:v>44610</c:v>
                </c:pt>
                <c:pt idx="210">
                  <c:v>44609</c:v>
                </c:pt>
                <c:pt idx="211">
                  <c:v>44608</c:v>
                </c:pt>
                <c:pt idx="212">
                  <c:v>44607</c:v>
                </c:pt>
                <c:pt idx="213">
                  <c:v>44606</c:v>
                </c:pt>
                <c:pt idx="214">
                  <c:v>44605</c:v>
                </c:pt>
                <c:pt idx="215">
                  <c:v>44604</c:v>
                </c:pt>
                <c:pt idx="216">
                  <c:v>44603</c:v>
                </c:pt>
                <c:pt idx="217">
                  <c:v>44602</c:v>
                </c:pt>
                <c:pt idx="218">
                  <c:v>44601</c:v>
                </c:pt>
                <c:pt idx="219">
                  <c:v>44600</c:v>
                </c:pt>
                <c:pt idx="220">
                  <c:v>44599</c:v>
                </c:pt>
                <c:pt idx="221">
                  <c:v>44598</c:v>
                </c:pt>
                <c:pt idx="222">
                  <c:v>44597</c:v>
                </c:pt>
                <c:pt idx="223">
                  <c:v>44596</c:v>
                </c:pt>
                <c:pt idx="224">
                  <c:v>44595</c:v>
                </c:pt>
                <c:pt idx="225">
                  <c:v>44594</c:v>
                </c:pt>
                <c:pt idx="226">
                  <c:v>44593</c:v>
                </c:pt>
                <c:pt idx="227">
                  <c:v>44592</c:v>
                </c:pt>
                <c:pt idx="228">
                  <c:v>44591</c:v>
                </c:pt>
                <c:pt idx="229">
                  <c:v>44590</c:v>
                </c:pt>
                <c:pt idx="230">
                  <c:v>44589</c:v>
                </c:pt>
                <c:pt idx="231">
                  <c:v>44588</c:v>
                </c:pt>
                <c:pt idx="232">
                  <c:v>44587</c:v>
                </c:pt>
                <c:pt idx="233">
                  <c:v>44586</c:v>
                </c:pt>
                <c:pt idx="234">
                  <c:v>44585</c:v>
                </c:pt>
                <c:pt idx="235">
                  <c:v>44584</c:v>
                </c:pt>
                <c:pt idx="236">
                  <c:v>44583</c:v>
                </c:pt>
                <c:pt idx="237">
                  <c:v>44582</c:v>
                </c:pt>
                <c:pt idx="238">
                  <c:v>44581</c:v>
                </c:pt>
                <c:pt idx="239">
                  <c:v>44580</c:v>
                </c:pt>
                <c:pt idx="240">
                  <c:v>44579</c:v>
                </c:pt>
                <c:pt idx="241">
                  <c:v>44578</c:v>
                </c:pt>
                <c:pt idx="242">
                  <c:v>44577</c:v>
                </c:pt>
                <c:pt idx="243">
                  <c:v>44576</c:v>
                </c:pt>
                <c:pt idx="244">
                  <c:v>44575</c:v>
                </c:pt>
                <c:pt idx="245">
                  <c:v>44574</c:v>
                </c:pt>
                <c:pt idx="246">
                  <c:v>44573</c:v>
                </c:pt>
                <c:pt idx="247">
                  <c:v>44572</c:v>
                </c:pt>
                <c:pt idx="248">
                  <c:v>44571</c:v>
                </c:pt>
                <c:pt idx="249">
                  <c:v>44570</c:v>
                </c:pt>
                <c:pt idx="250">
                  <c:v>44569</c:v>
                </c:pt>
                <c:pt idx="251">
                  <c:v>44568</c:v>
                </c:pt>
                <c:pt idx="252">
                  <c:v>44567</c:v>
                </c:pt>
                <c:pt idx="253">
                  <c:v>44566</c:v>
                </c:pt>
                <c:pt idx="254">
                  <c:v>44565</c:v>
                </c:pt>
                <c:pt idx="255">
                  <c:v>44564</c:v>
                </c:pt>
                <c:pt idx="256">
                  <c:v>44563</c:v>
                </c:pt>
                <c:pt idx="257">
                  <c:v>44562</c:v>
                </c:pt>
                <c:pt idx="258">
                  <c:v>44561</c:v>
                </c:pt>
                <c:pt idx="259">
                  <c:v>44560</c:v>
                </c:pt>
                <c:pt idx="260">
                  <c:v>44559</c:v>
                </c:pt>
                <c:pt idx="261">
                  <c:v>44558</c:v>
                </c:pt>
                <c:pt idx="262">
                  <c:v>44557</c:v>
                </c:pt>
                <c:pt idx="263">
                  <c:v>44556</c:v>
                </c:pt>
                <c:pt idx="264">
                  <c:v>44555</c:v>
                </c:pt>
                <c:pt idx="265">
                  <c:v>44554</c:v>
                </c:pt>
                <c:pt idx="266">
                  <c:v>44553</c:v>
                </c:pt>
                <c:pt idx="267">
                  <c:v>44552</c:v>
                </c:pt>
                <c:pt idx="268">
                  <c:v>44551</c:v>
                </c:pt>
                <c:pt idx="269">
                  <c:v>44550</c:v>
                </c:pt>
                <c:pt idx="270">
                  <c:v>44549</c:v>
                </c:pt>
                <c:pt idx="271">
                  <c:v>44548</c:v>
                </c:pt>
                <c:pt idx="272">
                  <c:v>44547</c:v>
                </c:pt>
                <c:pt idx="273">
                  <c:v>44546</c:v>
                </c:pt>
                <c:pt idx="274">
                  <c:v>44545</c:v>
                </c:pt>
                <c:pt idx="275">
                  <c:v>44544</c:v>
                </c:pt>
                <c:pt idx="276">
                  <c:v>44543</c:v>
                </c:pt>
                <c:pt idx="277">
                  <c:v>44542</c:v>
                </c:pt>
                <c:pt idx="278">
                  <c:v>44541</c:v>
                </c:pt>
                <c:pt idx="279">
                  <c:v>44540</c:v>
                </c:pt>
                <c:pt idx="280">
                  <c:v>44539</c:v>
                </c:pt>
                <c:pt idx="281">
                  <c:v>44538</c:v>
                </c:pt>
                <c:pt idx="282">
                  <c:v>44537</c:v>
                </c:pt>
                <c:pt idx="283">
                  <c:v>44536</c:v>
                </c:pt>
                <c:pt idx="284">
                  <c:v>44535</c:v>
                </c:pt>
                <c:pt idx="285">
                  <c:v>44534</c:v>
                </c:pt>
                <c:pt idx="286">
                  <c:v>44533</c:v>
                </c:pt>
                <c:pt idx="287">
                  <c:v>44532</c:v>
                </c:pt>
                <c:pt idx="288">
                  <c:v>44531</c:v>
                </c:pt>
                <c:pt idx="289">
                  <c:v>44530</c:v>
                </c:pt>
                <c:pt idx="290">
                  <c:v>44529</c:v>
                </c:pt>
                <c:pt idx="291">
                  <c:v>44528</c:v>
                </c:pt>
                <c:pt idx="292">
                  <c:v>44527</c:v>
                </c:pt>
                <c:pt idx="293">
                  <c:v>44526</c:v>
                </c:pt>
                <c:pt idx="294">
                  <c:v>44525</c:v>
                </c:pt>
                <c:pt idx="295">
                  <c:v>44524</c:v>
                </c:pt>
                <c:pt idx="296">
                  <c:v>44523</c:v>
                </c:pt>
                <c:pt idx="297">
                  <c:v>44522</c:v>
                </c:pt>
                <c:pt idx="298">
                  <c:v>44521</c:v>
                </c:pt>
                <c:pt idx="299">
                  <c:v>44520</c:v>
                </c:pt>
                <c:pt idx="300">
                  <c:v>44519</c:v>
                </c:pt>
                <c:pt idx="301">
                  <c:v>44518</c:v>
                </c:pt>
                <c:pt idx="302">
                  <c:v>44517</c:v>
                </c:pt>
                <c:pt idx="303">
                  <c:v>44516</c:v>
                </c:pt>
                <c:pt idx="304">
                  <c:v>44515</c:v>
                </c:pt>
                <c:pt idx="305">
                  <c:v>44514</c:v>
                </c:pt>
                <c:pt idx="306">
                  <c:v>44513</c:v>
                </c:pt>
                <c:pt idx="307">
                  <c:v>44512</c:v>
                </c:pt>
                <c:pt idx="308">
                  <c:v>44511</c:v>
                </c:pt>
                <c:pt idx="309">
                  <c:v>44510</c:v>
                </c:pt>
                <c:pt idx="310">
                  <c:v>44509</c:v>
                </c:pt>
                <c:pt idx="311">
                  <c:v>44508</c:v>
                </c:pt>
                <c:pt idx="312">
                  <c:v>44507</c:v>
                </c:pt>
                <c:pt idx="313">
                  <c:v>44506</c:v>
                </c:pt>
                <c:pt idx="314">
                  <c:v>44505</c:v>
                </c:pt>
                <c:pt idx="315">
                  <c:v>44504</c:v>
                </c:pt>
                <c:pt idx="316">
                  <c:v>44503</c:v>
                </c:pt>
                <c:pt idx="317">
                  <c:v>44502</c:v>
                </c:pt>
                <c:pt idx="318">
                  <c:v>44501</c:v>
                </c:pt>
                <c:pt idx="319">
                  <c:v>44500</c:v>
                </c:pt>
                <c:pt idx="320">
                  <c:v>44499</c:v>
                </c:pt>
                <c:pt idx="321">
                  <c:v>44498</c:v>
                </c:pt>
                <c:pt idx="322">
                  <c:v>44497</c:v>
                </c:pt>
                <c:pt idx="323">
                  <c:v>44496</c:v>
                </c:pt>
                <c:pt idx="324">
                  <c:v>44495</c:v>
                </c:pt>
                <c:pt idx="325">
                  <c:v>44494</c:v>
                </c:pt>
                <c:pt idx="326">
                  <c:v>44493</c:v>
                </c:pt>
                <c:pt idx="327">
                  <c:v>44492</c:v>
                </c:pt>
                <c:pt idx="328">
                  <c:v>44491</c:v>
                </c:pt>
                <c:pt idx="329">
                  <c:v>44490</c:v>
                </c:pt>
                <c:pt idx="330">
                  <c:v>44489</c:v>
                </c:pt>
                <c:pt idx="331">
                  <c:v>44488</c:v>
                </c:pt>
                <c:pt idx="332">
                  <c:v>44487</c:v>
                </c:pt>
                <c:pt idx="333">
                  <c:v>44486</c:v>
                </c:pt>
                <c:pt idx="334">
                  <c:v>44485</c:v>
                </c:pt>
                <c:pt idx="335">
                  <c:v>44484</c:v>
                </c:pt>
                <c:pt idx="336">
                  <c:v>44483</c:v>
                </c:pt>
                <c:pt idx="337">
                  <c:v>44482</c:v>
                </c:pt>
                <c:pt idx="338">
                  <c:v>44481</c:v>
                </c:pt>
                <c:pt idx="339">
                  <c:v>44480</c:v>
                </c:pt>
                <c:pt idx="340">
                  <c:v>44479</c:v>
                </c:pt>
                <c:pt idx="341">
                  <c:v>44478</c:v>
                </c:pt>
                <c:pt idx="342">
                  <c:v>44477</c:v>
                </c:pt>
                <c:pt idx="343">
                  <c:v>44476</c:v>
                </c:pt>
                <c:pt idx="344">
                  <c:v>44475</c:v>
                </c:pt>
                <c:pt idx="345">
                  <c:v>44474</c:v>
                </c:pt>
                <c:pt idx="346">
                  <c:v>44473</c:v>
                </c:pt>
                <c:pt idx="347">
                  <c:v>44472</c:v>
                </c:pt>
                <c:pt idx="348">
                  <c:v>44471</c:v>
                </c:pt>
                <c:pt idx="349">
                  <c:v>44470</c:v>
                </c:pt>
                <c:pt idx="350">
                  <c:v>44469</c:v>
                </c:pt>
                <c:pt idx="351">
                  <c:v>44468</c:v>
                </c:pt>
                <c:pt idx="352">
                  <c:v>44467</c:v>
                </c:pt>
                <c:pt idx="353">
                  <c:v>44466</c:v>
                </c:pt>
                <c:pt idx="354">
                  <c:v>44465</c:v>
                </c:pt>
                <c:pt idx="355">
                  <c:v>44464</c:v>
                </c:pt>
                <c:pt idx="356">
                  <c:v>44463</c:v>
                </c:pt>
                <c:pt idx="357">
                  <c:v>44462</c:v>
                </c:pt>
                <c:pt idx="358">
                  <c:v>44461</c:v>
                </c:pt>
                <c:pt idx="359">
                  <c:v>44460</c:v>
                </c:pt>
                <c:pt idx="360">
                  <c:v>44459</c:v>
                </c:pt>
                <c:pt idx="361">
                  <c:v>44458</c:v>
                </c:pt>
                <c:pt idx="362">
                  <c:v>44457</c:v>
                </c:pt>
                <c:pt idx="363">
                  <c:v>44456</c:v>
                </c:pt>
                <c:pt idx="364">
                  <c:v>44455</c:v>
                </c:pt>
                <c:pt idx="365">
                  <c:v>44454</c:v>
                </c:pt>
                <c:pt idx="366">
                  <c:v>44453</c:v>
                </c:pt>
                <c:pt idx="367">
                  <c:v>44452</c:v>
                </c:pt>
                <c:pt idx="368">
                  <c:v>44451</c:v>
                </c:pt>
                <c:pt idx="369">
                  <c:v>44450</c:v>
                </c:pt>
                <c:pt idx="370">
                  <c:v>44449</c:v>
                </c:pt>
                <c:pt idx="371">
                  <c:v>44448</c:v>
                </c:pt>
                <c:pt idx="372">
                  <c:v>44447</c:v>
                </c:pt>
                <c:pt idx="373">
                  <c:v>44446</c:v>
                </c:pt>
                <c:pt idx="374">
                  <c:v>44445</c:v>
                </c:pt>
                <c:pt idx="375">
                  <c:v>44444</c:v>
                </c:pt>
                <c:pt idx="376">
                  <c:v>44443</c:v>
                </c:pt>
                <c:pt idx="377">
                  <c:v>44442</c:v>
                </c:pt>
                <c:pt idx="378">
                  <c:v>44441</c:v>
                </c:pt>
                <c:pt idx="379">
                  <c:v>44440</c:v>
                </c:pt>
                <c:pt idx="380">
                  <c:v>44439</c:v>
                </c:pt>
                <c:pt idx="381">
                  <c:v>44438</c:v>
                </c:pt>
                <c:pt idx="382">
                  <c:v>44437</c:v>
                </c:pt>
                <c:pt idx="383">
                  <c:v>44436</c:v>
                </c:pt>
                <c:pt idx="384">
                  <c:v>44435</c:v>
                </c:pt>
                <c:pt idx="385">
                  <c:v>44434</c:v>
                </c:pt>
                <c:pt idx="386">
                  <c:v>44433</c:v>
                </c:pt>
                <c:pt idx="387">
                  <c:v>44432</c:v>
                </c:pt>
                <c:pt idx="388">
                  <c:v>44431</c:v>
                </c:pt>
                <c:pt idx="389">
                  <c:v>44430</c:v>
                </c:pt>
                <c:pt idx="390">
                  <c:v>44429</c:v>
                </c:pt>
                <c:pt idx="391">
                  <c:v>44428</c:v>
                </c:pt>
                <c:pt idx="392">
                  <c:v>44427</c:v>
                </c:pt>
                <c:pt idx="393">
                  <c:v>44426</c:v>
                </c:pt>
                <c:pt idx="394">
                  <c:v>44425</c:v>
                </c:pt>
                <c:pt idx="395">
                  <c:v>44424</c:v>
                </c:pt>
                <c:pt idx="396">
                  <c:v>44423</c:v>
                </c:pt>
                <c:pt idx="397">
                  <c:v>44422</c:v>
                </c:pt>
                <c:pt idx="398">
                  <c:v>44421</c:v>
                </c:pt>
                <c:pt idx="399">
                  <c:v>44420</c:v>
                </c:pt>
                <c:pt idx="400">
                  <c:v>44419</c:v>
                </c:pt>
                <c:pt idx="401">
                  <c:v>44418</c:v>
                </c:pt>
                <c:pt idx="402">
                  <c:v>44417</c:v>
                </c:pt>
                <c:pt idx="403">
                  <c:v>44416</c:v>
                </c:pt>
                <c:pt idx="404">
                  <c:v>44415</c:v>
                </c:pt>
                <c:pt idx="405">
                  <c:v>44414</c:v>
                </c:pt>
                <c:pt idx="406">
                  <c:v>44413</c:v>
                </c:pt>
                <c:pt idx="407">
                  <c:v>44412</c:v>
                </c:pt>
                <c:pt idx="408">
                  <c:v>44411</c:v>
                </c:pt>
                <c:pt idx="409">
                  <c:v>44410</c:v>
                </c:pt>
                <c:pt idx="410">
                  <c:v>44409</c:v>
                </c:pt>
                <c:pt idx="411">
                  <c:v>44408</c:v>
                </c:pt>
                <c:pt idx="412">
                  <c:v>44407</c:v>
                </c:pt>
                <c:pt idx="413">
                  <c:v>44406</c:v>
                </c:pt>
                <c:pt idx="414">
                  <c:v>44405</c:v>
                </c:pt>
                <c:pt idx="415">
                  <c:v>44404</c:v>
                </c:pt>
                <c:pt idx="416">
                  <c:v>44403</c:v>
                </c:pt>
                <c:pt idx="417">
                  <c:v>44402</c:v>
                </c:pt>
                <c:pt idx="418">
                  <c:v>44401</c:v>
                </c:pt>
                <c:pt idx="419">
                  <c:v>44400</c:v>
                </c:pt>
                <c:pt idx="420">
                  <c:v>44399</c:v>
                </c:pt>
                <c:pt idx="421">
                  <c:v>44398</c:v>
                </c:pt>
                <c:pt idx="422">
                  <c:v>44397</c:v>
                </c:pt>
                <c:pt idx="423">
                  <c:v>44396</c:v>
                </c:pt>
                <c:pt idx="424">
                  <c:v>44395</c:v>
                </c:pt>
                <c:pt idx="425">
                  <c:v>44394</c:v>
                </c:pt>
                <c:pt idx="426">
                  <c:v>44393</c:v>
                </c:pt>
                <c:pt idx="427">
                  <c:v>44392</c:v>
                </c:pt>
                <c:pt idx="428">
                  <c:v>44391</c:v>
                </c:pt>
                <c:pt idx="429">
                  <c:v>44390</c:v>
                </c:pt>
                <c:pt idx="430">
                  <c:v>44389</c:v>
                </c:pt>
                <c:pt idx="431">
                  <c:v>44388</c:v>
                </c:pt>
                <c:pt idx="432">
                  <c:v>44387</c:v>
                </c:pt>
                <c:pt idx="433">
                  <c:v>44386</c:v>
                </c:pt>
                <c:pt idx="434">
                  <c:v>44385</c:v>
                </c:pt>
                <c:pt idx="435">
                  <c:v>44384</c:v>
                </c:pt>
                <c:pt idx="436">
                  <c:v>44383</c:v>
                </c:pt>
                <c:pt idx="437">
                  <c:v>44382</c:v>
                </c:pt>
                <c:pt idx="438">
                  <c:v>44381</c:v>
                </c:pt>
                <c:pt idx="439">
                  <c:v>44380</c:v>
                </c:pt>
                <c:pt idx="440">
                  <c:v>44379</c:v>
                </c:pt>
                <c:pt idx="441">
                  <c:v>44378</c:v>
                </c:pt>
                <c:pt idx="442">
                  <c:v>44377</c:v>
                </c:pt>
                <c:pt idx="443">
                  <c:v>44376</c:v>
                </c:pt>
                <c:pt idx="444">
                  <c:v>44375</c:v>
                </c:pt>
                <c:pt idx="445">
                  <c:v>44374</c:v>
                </c:pt>
                <c:pt idx="446">
                  <c:v>44373</c:v>
                </c:pt>
                <c:pt idx="447">
                  <c:v>44372</c:v>
                </c:pt>
                <c:pt idx="448">
                  <c:v>44371</c:v>
                </c:pt>
                <c:pt idx="449">
                  <c:v>44370</c:v>
                </c:pt>
                <c:pt idx="450">
                  <c:v>44369</c:v>
                </c:pt>
                <c:pt idx="451">
                  <c:v>44368</c:v>
                </c:pt>
                <c:pt idx="452">
                  <c:v>44367</c:v>
                </c:pt>
                <c:pt idx="453">
                  <c:v>44366</c:v>
                </c:pt>
                <c:pt idx="454">
                  <c:v>44365</c:v>
                </c:pt>
                <c:pt idx="455">
                  <c:v>44364</c:v>
                </c:pt>
                <c:pt idx="456">
                  <c:v>44363</c:v>
                </c:pt>
                <c:pt idx="457">
                  <c:v>44362</c:v>
                </c:pt>
                <c:pt idx="458">
                  <c:v>44361</c:v>
                </c:pt>
                <c:pt idx="459">
                  <c:v>44360</c:v>
                </c:pt>
                <c:pt idx="460">
                  <c:v>44359</c:v>
                </c:pt>
                <c:pt idx="461">
                  <c:v>44358</c:v>
                </c:pt>
                <c:pt idx="462">
                  <c:v>44357</c:v>
                </c:pt>
                <c:pt idx="463">
                  <c:v>44356</c:v>
                </c:pt>
                <c:pt idx="464">
                  <c:v>44355</c:v>
                </c:pt>
                <c:pt idx="465">
                  <c:v>44354</c:v>
                </c:pt>
                <c:pt idx="466">
                  <c:v>44353</c:v>
                </c:pt>
                <c:pt idx="467">
                  <c:v>44352</c:v>
                </c:pt>
                <c:pt idx="468">
                  <c:v>44351</c:v>
                </c:pt>
                <c:pt idx="469">
                  <c:v>44350</c:v>
                </c:pt>
                <c:pt idx="470">
                  <c:v>44349</c:v>
                </c:pt>
                <c:pt idx="471">
                  <c:v>44348</c:v>
                </c:pt>
                <c:pt idx="472">
                  <c:v>44347</c:v>
                </c:pt>
                <c:pt idx="473">
                  <c:v>44346</c:v>
                </c:pt>
                <c:pt idx="474">
                  <c:v>44345</c:v>
                </c:pt>
                <c:pt idx="475">
                  <c:v>44344</c:v>
                </c:pt>
                <c:pt idx="476">
                  <c:v>44343</c:v>
                </c:pt>
                <c:pt idx="477">
                  <c:v>44342</c:v>
                </c:pt>
                <c:pt idx="478">
                  <c:v>44341</c:v>
                </c:pt>
                <c:pt idx="479">
                  <c:v>44340</c:v>
                </c:pt>
                <c:pt idx="480">
                  <c:v>44339</c:v>
                </c:pt>
                <c:pt idx="481">
                  <c:v>44338</c:v>
                </c:pt>
                <c:pt idx="482">
                  <c:v>44337</c:v>
                </c:pt>
                <c:pt idx="483">
                  <c:v>44336</c:v>
                </c:pt>
                <c:pt idx="484">
                  <c:v>44335</c:v>
                </c:pt>
                <c:pt idx="485">
                  <c:v>44334</c:v>
                </c:pt>
                <c:pt idx="486">
                  <c:v>44333</c:v>
                </c:pt>
                <c:pt idx="487">
                  <c:v>44332</c:v>
                </c:pt>
                <c:pt idx="488">
                  <c:v>44331</c:v>
                </c:pt>
                <c:pt idx="489">
                  <c:v>44330</c:v>
                </c:pt>
                <c:pt idx="490">
                  <c:v>44329</c:v>
                </c:pt>
                <c:pt idx="491">
                  <c:v>44328</c:v>
                </c:pt>
                <c:pt idx="492">
                  <c:v>44327</c:v>
                </c:pt>
                <c:pt idx="493">
                  <c:v>44326</c:v>
                </c:pt>
                <c:pt idx="494">
                  <c:v>44325</c:v>
                </c:pt>
                <c:pt idx="495">
                  <c:v>44324</c:v>
                </c:pt>
              </c:numCache>
            </c:numRef>
          </c:cat>
          <c:val>
            <c:numRef>
              <c:f>ExportArbILB!$P$5:$P$500</c:f>
              <c:numCache>
                <c:formatCode>#,##0.00</c:formatCode>
                <c:ptCount val="496"/>
                <c:pt idx="0">
                  <c:v>290.52035573957522</c:v>
                </c:pt>
                <c:pt idx="1">
                  <c:v>290.52035573957522</c:v>
                </c:pt>
                <c:pt idx="2">
                  <c:v>290.52035573957522</c:v>
                </c:pt>
                <c:pt idx="3">
                  <c:v>290.52035573957522</c:v>
                </c:pt>
                <c:pt idx="4">
                  <c:v>290.52035573957522</c:v>
                </c:pt>
                <c:pt idx="5">
                  <c:v>290.52035573957522</c:v>
                </c:pt>
                <c:pt idx="6">
                  <c:v>290.52035573957522</c:v>
                </c:pt>
                <c:pt idx="7">
                  <c:v>283.17822456966377</c:v>
                </c:pt>
                <c:pt idx="8">
                  <c:v>283.17822456966377</c:v>
                </c:pt>
                <c:pt idx="9">
                  <c:v>283.17822456966377</c:v>
                </c:pt>
                <c:pt idx="10">
                  <c:v>283.17822456966377</c:v>
                </c:pt>
                <c:pt idx="11">
                  <c:v>283.17822456966377</c:v>
                </c:pt>
                <c:pt idx="12">
                  <c:v>283.17822456966377</c:v>
                </c:pt>
                <c:pt idx="13">
                  <c:v>283.17822456966377</c:v>
                </c:pt>
                <c:pt idx="14">
                  <c:v>277.06081339975225</c:v>
                </c:pt>
                <c:pt idx="15">
                  <c:v>277.06081339975225</c:v>
                </c:pt>
                <c:pt idx="16">
                  <c:v>277.06081339975225</c:v>
                </c:pt>
                <c:pt idx="17">
                  <c:v>277.06081339975225</c:v>
                </c:pt>
                <c:pt idx="18">
                  <c:v>277.06081339975225</c:v>
                </c:pt>
                <c:pt idx="19">
                  <c:v>277.06081339975225</c:v>
                </c:pt>
                <c:pt idx="20">
                  <c:v>277.06081339975225</c:v>
                </c:pt>
                <c:pt idx="21">
                  <c:v>277.31215004877885</c:v>
                </c:pt>
                <c:pt idx="22">
                  <c:v>277.31215004877885</c:v>
                </c:pt>
                <c:pt idx="23">
                  <c:v>277.31215004877885</c:v>
                </c:pt>
                <c:pt idx="24">
                  <c:v>277.31215004877885</c:v>
                </c:pt>
                <c:pt idx="25">
                  <c:v>277.31215004877885</c:v>
                </c:pt>
                <c:pt idx="26">
                  <c:v>277.31215004877885</c:v>
                </c:pt>
                <c:pt idx="27">
                  <c:v>277.31215004877885</c:v>
                </c:pt>
                <c:pt idx="28">
                  <c:v>274.71933465546903</c:v>
                </c:pt>
                <c:pt idx="29">
                  <c:v>274.71933465546903</c:v>
                </c:pt>
                <c:pt idx="30">
                  <c:v>274.71933465546903</c:v>
                </c:pt>
                <c:pt idx="31">
                  <c:v>274.71933465546903</c:v>
                </c:pt>
                <c:pt idx="32">
                  <c:v>274.71933465546903</c:v>
                </c:pt>
                <c:pt idx="33">
                  <c:v>274.71933465546903</c:v>
                </c:pt>
                <c:pt idx="34">
                  <c:v>274.71933465546903</c:v>
                </c:pt>
                <c:pt idx="35">
                  <c:v>267.8142904485133</c:v>
                </c:pt>
                <c:pt idx="36">
                  <c:v>267.8142904485133</c:v>
                </c:pt>
                <c:pt idx="37">
                  <c:v>267.8142904485133</c:v>
                </c:pt>
                <c:pt idx="38">
                  <c:v>267.8142904485133</c:v>
                </c:pt>
                <c:pt idx="39">
                  <c:v>266.77224821453098</c:v>
                </c:pt>
                <c:pt idx="40">
                  <c:v>266.77224821453098</c:v>
                </c:pt>
                <c:pt idx="41">
                  <c:v>266.77224821453098</c:v>
                </c:pt>
                <c:pt idx="42">
                  <c:v>272.02721362171326</c:v>
                </c:pt>
                <c:pt idx="43">
                  <c:v>272.02721362171326</c:v>
                </c:pt>
                <c:pt idx="44">
                  <c:v>272.02721362171326</c:v>
                </c:pt>
                <c:pt idx="45">
                  <c:v>272.02721362171326</c:v>
                </c:pt>
                <c:pt idx="46">
                  <c:v>272.02721362171326</c:v>
                </c:pt>
                <c:pt idx="47">
                  <c:v>272.02721362171326</c:v>
                </c:pt>
                <c:pt idx="48">
                  <c:v>272.02721362171326</c:v>
                </c:pt>
                <c:pt idx="49">
                  <c:v>263.68597716690266</c:v>
                </c:pt>
                <c:pt idx="50">
                  <c:v>263.68597716690266</c:v>
                </c:pt>
                <c:pt idx="51">
                  <c:v>263.68597716690266</c:v>
                </c:pt>
                <c:pt idx="52">
                  <c:v>263.68597716690266</c:v>
                </c:pt>
                <c:pt idx="53">
                  <c:v>257.43372376300886</c:v>
                </c:pt>
                <c:pt idx="54">
                  <c:v>257.43372376300886</c:v>
                </c:pt>
                <c:pt idx="55">
                  <c:v>257.43372376300886</c:v>
                </c:pt>
                <c:pt idx="56">
                  <c:v>254.50619084824785</c:v>
                </c:pt>
                <c:pt idx="57">
                  <c:v>254.50619084824785</c:v>
                </c:pt>
                <c:pt idx="58">
                  <c:v>254.50619084824785</c:v>
                </c:pt>
                <c:pt idx="59">
                  <c:v>254.50619084824785</c:v>
                </c:pt>
                <c:pt idx="60">
                  <c:v>254.50619084824785</c:v>
                </c:pt>
                <c:pt idx="61">
                  <c:v>254.50619084824785</c:v>
                </c:pt>
                <c:pt idx="62">
                  <c:v>254.50619084824785</c:v>
                </c:pt>
                <c:pt idx="63">
                  <c:v>254.75752749727437</c:v>
                </c:pt>
                <c:pt idx="64">
                  <c:v>254.75752749727437</c:v>
                </c:pt>
                <c:pt idx="65">
                  <c:v>254.75752749727437</c:v>
                </c:pt>
                <c:pt idx="66">
                  <c:v>254.75752749727437</c:v>
                </c:pt>
                <c:pt idx="67">
                  <c:v>248.24476353488495</c:v>
                </c:pt>
                <c:pt idx="68">
                  <c:v>248.24476353488495</c:v>
                </c:pt>
                <c:pt idx="69">
                  <c:v>248.24476353488495</c:v>
                </c:pt>
                <c:pt idx="70">
                  <c:v>234.52842393461944</c:v>
                </c:pt>
                <c:pt idx="71">
                  <c:v>234.52842393461944</c:v>
                </c:pt>
                <c:pt idx="72">
                  <c:v>234.52842393461944</c:v>
                </c:pt>
                <c:pt idx="73">
                  <c:v>234.52842393461944</c:v>
                </c:pt>
                <c:pt idx="74">
                  <c:v>234.52842393461944</c:v>
                </c:pt>
                <c:pt idx="75">
                  <c:v>234.52842393461944</c:v>
                </c:pt>
                <c:pt idx="76">
                  <c:v>234.52842393461944</c:v>
                </c:pt>
                <c:pt idx="77">
                  <c:v>234.81223337612397</c:v>
                </c:pt>
                <c:pt idx="78">
                  <c:v>234.81223337612397</c:v>
                </c:pt>
                <c:pt idx="79">
                  <c:v>234.81223337612397</c:v>
                </c:pt>
                <c:pt idx="80">
                  <c:v>234.81223337612397</c:v>
                </c:pt>
                <c:pt idx="81">
                  <c:v>234.81223337612397</c:v>
                </c:pt>
                <c:pt idx="82">
                  <c:v>234.81223337612397</c:v>
                </c:pt>
                <c:pt idx="83">
                  <c:v>234.81223337612397</c:v>
                </c:pt>
                <c:pt idx="84">
                  <c:v>221.71437700454871</c:v>
                </c:pt>
                <c:pt idx="85">
                  <c:v>221.71437700454871</c:v>
                </c:pt>
                <c:pt idx="86">
                  <c:v>221.71437700454871</c:v>
                </c:pt>
                <c:pt idx="87">
                  <c:v>221.71437700454871</c:v>
                </c:pt>
                <c:pt idx="88">
                  <c:v>221.71437700454871</c:v>
                </c:pt>
                <c:pt idx="89">
                  <c:v>221.71437700454871</c:v>
                </c:pt>
                <c:pt idx="90">
                  <c:v>221.71437700454871</c:v>
                </c:pt>
                <c:pt idx="91">
                  <c:v>205.74108108305842</c:v>
                </c:pt>
                <c:pt idx="92">
                  <c:v>205.74108108305842</c:v>
                </c:pt>
                <c:pt idx="93">
                  <c:v>205.74108108305842</c:v>
                </c:pt>
                <c:pt idx="94">
                  <c:v>205.74108108305842</c:v>
                </c:pt>
                <c:pt idx="95">
                  <c:v>205.74108108305842</c:v>
                </c:pt>
                <c:pt idx="96">
                  <c:v>205.74108108305842</c:v>
                </c:pt>
                <c:pt idx="97">
                  <c:v>205.74108108305842</c:v>
                </c:pt>
                <c:pt idx="98">
                  <c:v>209.57641976054867</c:v>
                </c:pt>
                <c:pt idx="99">
                  <c:v>209.57641976054867</c:v>
                </c:pt>
                <c:pt idx="100">
                  <c:v>209.57641976054867</c:v>
                </c:pt>
                <c:pt idx="101">
                  <c:v>209.57641976054867</c:v>
                </c:pt>
                <c:pt idx="102">
                  <c:v>209.57641976054867</c:v>
                </c:pt>
                <c:pt idx="103">
                  <c:v>209.57641976054867</c:v>
                </c:pt>
                <c:pt idx="104">
                  <c:v>209.57641976054867</c:v>
                </c:pt>
                <c:pt idx="105">
                  <c:v>202.1963551867434</c:v>
                </c:pt>
                <c:pt idx="106">
                  <c:v>202.1963551867434</c:v>
                </c:pt>
                <c:pt idx="107">
                  <c:v>201.88374251654866</c:v>
                </c:pt>
                <c:pt idx="108">
                  <c:v>201.88374251654866</c:v>
                </c:pt>
                <c:pt idx="109">
                  <c:v>207.35446424495578</c:v>
                </c:pt>
                <c:pt idx="110">
                  <c:v>207.35446424495578</c:v>
                </c:pt>
                <c:pt idx="111">
                  <c:v>207.35446424495578</c:v>
                </c:pt>
                <c:pt idx="112">
                  <c:v>209.43854871292035</c:v>
                </c:pt>
                <c:pt idx="113">
                  <c:v>209.43854871292035</c:v>
                </c:pt>
                <c:pt idx="114">
                  <c:v>209.43854871292035</c:v>
                </c:pt>
                <c:pt idx="115">
                  <c:v>209.43854871292035</c:v>
                </c:pt>
                <c:pt idx="116">
                  <c:v>209.43854871292035</c:v>
                </c:pt>
                <c:pt idx="117">
                  <c:v>209.43854871292035</c:v>
                </c:pt>
                <c:pt idx="118">
                  <c:v>209.43854871292035</c:v>
                </c:pt>
                <c:pt idx="119">
                  <c:v>203.11272909621243</c:v>
                </c:pt>
                <c:pt idx="120">
                  <c:v>203.11272909621243</c:v>
                </c:pt>
                <c:pt idx="121">
                  <c:v>203.11272909621243</c:v>
                </c:pt>
                <c:pt idx="122">
                  <c:v>203.11272909621243</c:v>
                </c:pt>
                <c:pt idx="123">
                  <c:v>204.15477133019471</c:v>
                </c:pt>
                <c:pt idx="124">
                  <c:v>204.15477133019471</c:v>
                </c:pt>
                <c:pt idx="125">
                  <c:v>204.15477133019471</c:v>
                </c:pt>
                <c:pt idx="126">
                  <c:v>200.80856924624075</c:v>
                </c:pt>
                <c:pt idx="127">
                  <c:v>200.80856924624075</c:v>
                </c:pt>
                <c:pt idx="128">
                  <c:v>200.80856924624075</c:v>
                </c:pt>
                <c:pt idx="129">
                  <c:v>200.80856924624075</c:v>
                </c:pt>
                <c:pt idx="130">
                  <c:v>200.80856924624075</c:v>
                </c:pt>
                <c:pt idx="131">
                  <c:v>200.80856924624075</c:v>
                </c:pt>
                <c:pt idx="132">
                  <c:v>200.80856924624075</c:v>
                </c:pt>
                <c:pt idx="133">
                  <c:v>195.52416860707967</c:v>
                </c:pt>
                <c:pt idx="134">
                  <c:v>195.52416860707967</c:v>
                </c:pt>
                <c:pt idx="135">
                  <c:v>195.52416860707967</c:v>
                </c:pt>
                <c:pt idx="136">
                  <c:v>195.52416860707967</c:v>
                </c:pt>
                <c:pt idx="137">
                  <c:v>196.56621084106197</c:v>
                </c:pt>
                <c:pt idx="138">
                  <c:v>196.56621084106197</c:v>
                </c:pt>
                <c:pt idx="139">
                  <c:v>196.56621084106197</c:v>
                </c:pt>
                <c:pt idx="140">
                  <c:v>198.70546996863717</c:v>
                </c:pt>
                <c:pt idx="141">
                  <c:v>198.70546996863717</c:v>
                </c:pt>
                <c:pt idx="142">
                  <c:v>198.70546996863717</c:v>
                </c:pt>
                <c:pt idx="143">
                  <c:v>198.70546996863717</c:v>
                </c:pt>
                <c:pt idx="144">
                  <c:v>198.70546996863717</c:v>
                </c:pt>
                <c:pt idx="145">
                  <c:v>198.70546996863717</c:v>
                </c:pt>
                <c:pt idx="146">
                  <c:v>198.70546996863717</c:v>
                </c:pt>
                <c:pt idx="147">
                  <c:v>203.4988642449558</c:v>
                </c:pt>
                <c:pt idx="148">
                  <c:v>203.4988642449558</c:v>
                </c:pt>
                <c:pt idx="149">
                  <c:v>203.4988642449558</c:v>
                </c:pt>
                <c:pt idx="150">
                  <c:v>203.4988642449558</c:v>
                </c:pt>
                <c:pt idx="151">
                  <c:v>206.10396982991151</c:v>
                </c:pt>
                <c:pt idx="152">
                  <c:v>206.10396982991151</c:v>
                </c:pt>
                <c:pt idx="153">
                  <c:v>206.10396982991151</c:v>
                </c:pt>
                <c:pt idx="154">
                  <c:v>201.51898400038939</c:v>
                </c:pt>
                <c:pt idx="155">
                  <c:v>201.51898400038939</c:v>
                </c:pt>
                <c:pt idx="156">
                  <c:v>201.51898400038939</c:v>
                </c:pt>
                <c:pt idx="157">
                  <c:v>201.51898400038939</c:v>
                </c:pt>
                <c:pt idx="158">
                  <c:v>201.51898400038939</c:v>
                </c:pt>
                <c:pt idx="159">
                  <c:v>201.51898400038939</c:v>
                </c:pt>
                <c:pt idx="160">
                  <c:v>201.51898400038939</c:v>
                </c:pt>
                <c:pt idx="161">
                  <c:v>196.38171578685663</c:v>
                </c:pt>
                <c:pt idx="162">
                  <c:v>196.38171578685663</c:v>
                </c:pt>
                <c:pt idx="163">
                  <c:v>196.38171578685663</c:v>
                </c:pt>
                <c:pt idx="164">
                  <c:v>196.38171578685663</c:v>
                </c:pt>
                <c:pt idx="165">
                  <c:v>188.04537791499823</c:v>
                </c:pt>
                <c:pt idx="166">
                  <c:v>188.04537791499823</c:v>
                </c:pt>
                <c:pt idx="167">
                  <c:v>188.04537791499823</c:v>
                </c:pt>
                <c:pt idx="168">
                  <c:v>189.26397905973451</c:v>
                </c:pt>
                <c:pt idx="169">
                  <c:v>189.26397905973451</c:v>
                </c:pt>
                <c:pt idx="170">
                  <c:v>189.26397905973451</c:v>
                </c:pt>
                <c:pt idx="171">
                  <c:v>189.26397905973451</c:v>
                </c:pt>
                <c:pt idx="172">
                  <c:v>189.26397905973451</c:v>
                </c:pt>
                <c:pt idx="173">
                  <c:v>189.26397905973451</c:v>
                </c:pt>
                <c:pt idx="174">
                  <c:v>189.26397905973451</c:v>
                </c:pt>
                <c:pt idx="175">
                  <c:v>183.63016515026547</c:v>
                </c:pt>
                <c:pt idx="176">
                  <c:v>183.63016515026547</c:v>
                </c:pt>
                <c:pt idx="177">
                  <c:v>183.63016515026547</c:v>
                </c:pt>
                <c:pt idx="178">
                  <c:v>183.63016515026547</c:v>
                </c:pt>
                <c:pt idx="179">
                  <c:v>187.27731296920354</c:v>
                </c:pt>
                <c:pt idx="180">
                  <c:v>187.27731296920354</c:v>
                </c:pt>
                <c:pt idx="181">
                  <c:v>187.27731296920354</c:v>
                </c:pt>
                <c:pt idx="182">
                  <c:v>195.95752477827614</c:v>
                </c:pt>
                <c:pt idx="183">
                  <c:v>195.95752477827614</c:v>
                </c:pt>
                <c:pt idx="184">
                  <c:v>195.95752477827614</c:v>
                </c:pt>
                <c:pt idx="185">
                  <c:v>195.95752477827614</c:v>
                </c:pt>
                <c:pt idx="186">
                  <c:v>195.95752477827614</c:v>
                </c:pt>
                <c:pt idx="187">
                  <c:v>195.95752477827614</c:v>
                </c:pt>
                <c:pt idx="188">
                  <c:v>195.95752477827614</c:v>
                </c:pt>
                <c:pt idx="189">
                  <c:v>160.40853935362833</c:v>
                </c:pt>
                <c:pt idx="190">
                  <c:v>160.40853935362833</c:v>
                </c:pt>
                <c:pt idx="191">
                  <c:v>160.40853935362833</c:v>
                </c:pt>
                <c:pt idx="192">
                  <c:v>160.40853935362833</c:v>
                </c:pt>
                <c:pt idx="193">
                  <c:v>159.36649711964606</c:v>
                </c:pt>
                <c:pt idx="194">
                  <c:v>159.36649711964606</c:v>
                </c:pt>
                <c:pt idx="195">
                  <c:v>159.36649711964606</c:v>
                </c:pt>
                <c:pt idx="196">
                  <c:v>144.10975230127434</c:v>
                </c:pt>
                <c:pt idx="197">
                  <c:v>144.10975230127434</c:v>
                </c:pt>
                <c:pt idx="198">
                  <c:v>144.10975230127434</c:v>
                </c:pt>
                <c:pt idx="199">
                  <c:v>144.10975230127434</c:v>
                </c:pt>
                <c:pt idx="200">
                  <c:v>144.10975230127434</c:v>
                </c:pt>
                <c:pt idx="201">
                  <c:v>144.10975230127434</c:v>
                </c:pt>
                <c:pt idx="202">
                  <c:v>144.10975230127434</c:v>
                </c:pt>
                <c:pt idx="203">
                  <c:v>141.36242162049561</c:v>
                </c:pt>
                <c:pt idx="204">
                  <c:v>141.36242162049561</c:v>
                </c:pt>
                <c:pt idx="205">
                  <c:v>141.36242162049561</c:v>
                </c:pt>
                <c:pt idx="206">
                  <c:v>141.36242162049561</c:v>
                </c:pt>
                <c:pt idx="207">
                  <c:v>141.36242162049561</c:v>
                </c:pt>
                <c:pt idx="208">
                  <c:v>141.36242162049561</c:v>
                </c:pt>
                <c:pt idx="209">
                  <c:v>141.36242162049561</c:v>
                </c:pt>
                <c:pt idx="210">
                  <c:v>142.30270892255575</c:v>
                </c:pt>
                <c:pt idx="211">
                  <c:v>142.30270892255575</c:v>
                </c:pt>
                <c:pt idx="212">
                  <c:v>142.30270892255575</c:v>
                </c:pt>
                <c:pt idx="213">
                  <c:v>142.30270892255575</c:v>
                </c:pt>
                <c:pt idx="214">
                  <c:v>142.30270892255575</c:v>
                </c:pt>
                <c:pt idx="215">
                  <c:v>142.30270892255575</c:v>
                </c:pt>
                <c:pt idx="216">
                  <c:v>142.30270892255575</c:v>
                </c:pt>
                <c:pt idx="217">
                  <c:v>140.57167230127433</c:v>
                </c:pt>
                <c:pt idx="218">
                  <c:v>140.57167230127433</c:v>
                </c:pt>
                <c:pt idx="219">
                  <c:v>140.57167230127433</c:v>
                </c:pt>
                <c:pt idx="220">
                  <c:v>140.57167230127433</c:v>
                </c:pt>
                <c:pt idx="221">
                  <c:v>132.23533442941593</c:v>
                </c:pt>
                <c:pt idx="222">
                  <c:v>132.23533442941593</c:v>
                </c:pt>
                <c:pt idx="223">
                  <c:v>132.23533442941593</c:v>
                </c:pt>
                <c:pt idx="224">
                  <c:v>130.70290908902655</c:v>
                </c:pt>
                <c:pt idx="225">
                  <c:v>130.70290908902655</c:v>
                </c:pt>
                <c:pt idx="226">
                  <c:v>130.70290908902655</c:v>
                </c:pt>
                <c:pt idx="227">
                  <c:v>130.70290908902655</c:v>
                </c:pt>
                <c:pt idx="228">
                  <c:v>130.70290908902655</c:v>
                </c:pt>
                <c:pt idx="229">
                  <c:v>130.70290908902655</c:v>
                </c:pt>
                <c:pt idx="230">
                  <c:v>130.70290908902655</c:v>
                </c:pt>
                <c:pt idx="231">
                  <c:v>133.28966685504426</c:v>
                </c:pt>
                <c:pt idx="232">
                  <c:v>133.28966685504426</c:v>
                </c:pt>
                <c:pt idx="233">
                  <c:v>133.28966685504426</c:v>
                </c:pt>
                <c:pt idx="234">
                  <c:v>133.28966685504426</c:v>
                </c:pt>
                <c:pt idx="235">
                  <c:v>133.28966685504426</c:v>
                </c:pt>
                <c:pt idx="236">
                  <c:v>133.28966685504426</c:v>
                </c:pt>
                <c:pt idx="237">
                  <c:v>133.28966685504426</c:v>
                </c:pt>
                <c:pt idx="238">
                  <c:v>135.09792175922124</c:v>
                </c:pt>
                <c:pt idx="239">
                  <c:v>135.09792175922124</c:v>
                </c:pt>
                <c:pt idx="240">
                  <c:v>135.09792175922124</c:v>
                </c:pt>
                <c:pt idx="241">
                  <c:v>135.09792175922124</c:v>
                </c:pt>
                <c:pt idx="242">
                  <c:v>135.09792175922124</c:v>
                </c:pt>
                <c:pt idx="243">
                  <c:v>135.09792175922124</c:v>
                </c:pt>
                <c:pt idx="244">
                  <c:v>135.09792175922124</c:v>
                </c:pt>
                <c:pt idx="245">
                  <c:v>138.44964568256285</c:v>
                </c:pt>
                <c:pt idx="246">
                  <c:v>138.44964568256285</c:v>
                </c:pt>
                <c:pt idx="247">
                  <c:v>138.44964568256285</c:v>
                </c:pt>
                <c:pt idx="248">
                  <c:v>138.44964568256285</c:v>
                </c:pt>
                <c:pt idx="249">
                  <c:v>143.65985685247435</c:v>
                </c:pt>
                <c:pt idx="250">
                  <c:v>143.65985685247435</c:v>
                </c:pt>
                <c:pt idx="251">
                  <c:v>143.65985685247435</c:v>
                </c:pt>
                <c:pt idx="252">
                  <c:v>145.29892696088498</c:v>
                </c:pt>
                <c:pt idx="253">
                  <c:v>145.29892696088498</c:v>
                </c:pt>
                <c:pt idx="254">
                  <c:v>145.29892696088498</c:v>
                </c:pt>
                <c:pt idx="255">
                  <c:v>145.29892696088498</c:v>
                </c:pt>
                <c:pt idx="256">
                  <c:v>145.29892696088498</c:v>
                </c:pt>
                <c:pt idx="257">
                  <c:v>145.29892696088498</c:v>
                </c:pt>
                <c:pt idx="258">
                  <c:v>145.29892696088498</c:v>
                </c:pt>
                <c:pt idx="259">
                  <c:v>143.61203006729204</c:v>
                </c:pt>
                <c:pt idx="260">
                  <c:v>143.61203006729204</c:v>
                </c:pt>
                <c:pt idx="261">
                  <c:v>143.61203006729204</c:v>
                </c:pt>
                <c:pt idx="262">
                  <c:v>143.61203006729204</c:v>
                </c:pt>
                <c:pt idx="263">
                  <c:v>143.61203006729204</c:v>
                </c:pt>
                <c:pt idx="264">
                  <c:v>143.61203006729204</c:v>
                </c:pt>
                <c:pt idx="265">
                  <c:v>143.61203006729204</c:v>
                </c:pt>
                <c:pt idx="266">
                  <c:v>143.28102584389379</c:v>
                </c:pt>
                <c:pt idx="267">
                  <c:v>143.28102584389379</c:v>
                </c:pt>
                <c:pt idx="268">
                  <c:v>143.28102584389379</c:v>
                </c:pt>
                <c:pt idx="269">
                  <c:v>143.28102584389379</c:v>
                </c:pt>
                <c:pt idx="270">
                  <c:v>143.28102584389379</c:v>
                </c:pt>
                <c:pt idx="271">
                  <c:v>143.28102584389379</c:v>
                </c:pt>
                <c:pt idx="272">
                  <c:v>143.28102584389379</c:v>
                </c:pt>
                <c:pt idx="273">
                  <c:v>147.76919031185841</c:v>
                </c:pt>
                <c:pt idx="274">
                  <c:v>147.76919031185841</c:v>
                </c:pt>
                <c:pt idx="275">
                  <c:v>147.76919031185841</c:v>
                </c:pt>
                <c:pt idx="276">
                  <c:v>147.76919031185841</c:v>
                </c:pt>
                <c:pt idx="277">
                  <c:v>154.02144371575224</c:v>
                </c:pt>
                <c:pt idx="278">
                  <c:v>154.02144371575224</c:v>
                </c:pt>
                <c:pt idx="279">
                  <c:v>154.02144371575224</c:v>
                </c:pt>
                <c:pt idx="280">
                  <c:v>153.47224262650622</c:v>
                </c:pt>
                <c:pt idx="281">
                  <c:v>153.47224262650622</c:v>
                </c:pt>
                <c:pt idx="282">
                  <c:v>153.47224262650622</c:v>
                </c:pt>
                <c:pt idx="283">
                  <c:v>153.47224262650622</c:v>
                </c:pt>
                <c:pt idx="284">
                  <c:v>153.47224262650622</c:v>
                </c:pt>
                <c:pt idx="285">
                  <c:v>153.47224262650622</c:v>
                </c:pt>
                <c:pt idx="286">
                  <c:v>153.47224262650622</c:v>
                </c:pt>
                <c:pt idx="287">
                  <c:v>152.90277146789737</c:v>
                </c:pt>
                <c:pt idx="288">
                  <c:v>152.90277146789737</c:v>
                </c:pt>
                <c:pt idx="289">
                  <c:v>152.90277146789737</c:v>
                </c:pt>
                <c:pt idx="290">
                  <c:v>152.90277146789737</c:v>
                </c:pt>
                <c:pt idx="291">
                  <c:v>152.90277146789737</c:v>
                </c:pt>
                <c:pt idx="292">
                  <c:v>152.90277146789737</c:v>
                </c:pt>
                <c:pt idx="293">
                  <c:v>152.90277146789737</c:v>
                </c:pt>
                <c:pt idx="294">
                  <c:v>151.99557146789738</c:v>
                </c:pt>
                <c:pt idx="295">
                  <c:v>151.99557146789738</c:v>
                </c:pt>
                <c:pt idx="296">
                  <c:v>151.99557146789738</c:v>
                </c:pt>
                <c:pt idx="297">
                  <c:v>151.99557146789738</c:v>
                </c:pt>
                <c:pt idx="298">
                  <c:v>151.99557146789738</c:v>
                </c:pt>
                <c:pt idx="299">
                  <c:v>151.99557146789738</c:v>
                </c:pt>
                <c:pt idx="300">
                  <c:v>151.99557146789738</c:v>
                </c:pt>
                <c:pt idx="301">
                  <c:v>163.85837488566372</c:v>
                </c:pt>
                <c:pt idx="302">
                  <c:v>163.85837488566372</c:v>
                </c:pt>
                <c:pt idx="303">
                  <c:v>163.85837488566372</c:v>
                </c:pt>
                <c:pt idx="304">
                  <c:v>163.85837488566372</c:v>
                </c:pt>
                <c:pt idx="305">
                  <c:v>163.85837488566372</c:v>
                </c:pt>
                <c:pt idx="306">
                  <c:v>163.85837488566372</c:v>
                </c:pt>
                <c:pt idx="307">
                  <c:v>163.85837488566372</c:v>
                </c:pt>
                <c:pt idx="308">
                  <c:v>153.82780099263718</c:v>
                </c:pt>
                <c:pt idx="309">
                  <c:v>153.82780099263718</c:v>
                </c:pt>
                <c:pt idx="310">
                  <c:v>153.82780099263718</c:v>
                </c:pt>
                <c:pt idx="311">
                  <c:v>153.82780099263718</c:v>
                </c:pt>
                <c:pt idx="312">
                  <c:v>153.82780099263718</c:v>
                </c:pt>
                <c:pt idx="313">
                  <c:v>153.82780099263718</c:v>
                </c:pt>
                <c:pt idx="314">
                  <c:v>153.82780099263718</c:v>
                </c:pt>
                <c:pt idx="315">
                  <c:v>156.34099254584072</c:v>
                </c:pt>
                <c:pt idx="316">
                  <c:v>156.34099254584072</c:v>
                </c:pt>
                <c:pt idx="317">
                  <c:v>156.34099254584072</c:v>
                </c:pt>
                <c:pt idx="318">
                  <c:v>156.34099254584072</c:v>
                </c:pt>
                <c:pt idx="319">
                  <c:v>156.34099254584072</c:v>
                </c:pt>
                <c:pt idx="320">
                  <c:v>156.34099254584072</c:v>
                </c:pt>
                <c:pt idx="321">
                  <c:v>156.34099254584072</c:v>
                </c:pt>
                <c:pt idx="322">
                  <c:v>155.5184024374301</c:v>
                </c:pt>
                <c:pt idx="323">
                  <c:v>155.5184024374301</c:v>
                </c:pt>
                <c:pt idx="324">
                  <c:v>155.5184024374301</c:v>
                </c:pt>
                <c:pt idx="325">
                  <c:v>155.5184024374301</c:v>
                </c:pt>
                <c:pt idx="326">
                  <c:v>155.5184024374301</c:v>
                </c:pt>
                <c:pt idx="327">
                  <c:v>155.5184024374301</c:v>
                </c:pt>
                <c:pt idx="328">
                  <c:v>155.5184024374301</c:v>
                </c:pt>
                <c:pt idx="329">
                  <c:v>153.64698424907257</c:v>
                </c:pt>
                <c:pt idx="330">
                  <c:v>153.64698424907257</c:v>
                </c:pt>
                <c:pt idx="331">
                  <c:v>153.64698424907257</c:v>
                </c:pt>
                <c:pt idx="332">
                  <c:v>153.64698424907257</c:v>
                </c:pt>
                <c:pt idx="333">
                  <c:v>153.64698424907257</c:v>
                </c:pt>
                <c:pt idx="334">
                  <c:v>153.64698424907257</c:v>
                </c:pt>
                <c:pt idx="335">
                  <c:v>153.64698424907257</c:v>
                </c:pt>
                <c:pt idx="336">
                  <c:v>149.11347727481419</c:v>
                </c:pt>
                <c:pt idx="337">
                  <c:v>149.11347727481419</c:v>
                </c:pt>
                <c:pt idx="338">
                  <c:v>149.11347727481419</c:v>
                </c:pt>
                <c:pt idx="339">
                  <c:v>149.11347727481419</c:v>
                </c:pt>
                <c:pt idx="340">
                  <c:v>149.11347727481419</c:v>
                </c:pt>
                <c:pt idx="341">
                  <c:v>149.11347727481419</c:v>
                </c:pt>
                <c:pt idx="342">
                  <c:v>149.11347727481419</c:v>
                </c:pt>
                <c:pt idx="343">
                  <c:v>122.98702917740177</c:v>
                </c:pt>
                <c:pt idx="344">
                  <c:v>122.98702917740177</c:v>
                </c:pt>
                <c:pt idx="345">
                  <c:v>122.98702917740177</c:v>
                </c:pt>
                <c:pt idx="346">
                  <c:v>122.98702917740177</c:v>
                </c:pt>
                <c:pt idx="347">
                  <c:v>122.98702917740177</c:v>
                </c:pt>
                <c:pt idx="348">
                  <c:v>122.98702917740177</c:v>
                </c:pt>
                <c:pt idx="349">
                  <c:v>122.98702917740177</c:v>
                </c:pt>
                <c:pt idx="350">
                  <c:v>116.77029487333806</c:v>
                </c:pt>
                <c:pt idx="351">
                  <c:v>116.77029487333806</c:v>
                </c:pt>
                <c:pt idx="352">
                  <c:v>116.77029487333806</c:v>
                </c:pt>
                <c:pt idx="353">
                  <c:v>116.77029487333806</c:v>
                </c:pt>
                <c:pt idx="354">
                  <c:v>116.77029487333806</c:v>
                </c:pt>
                <c:pt idx="355">
                  <c:v>116.77029487333806</c:v>
                </c:pt>
                <c:pt idx="356">
                  <c:v>116.77029487333806</c:v>
                </c:pt>
                <c:pt idx="357">
                  <c:v>116.53736727122127</c:v>
                </c:pt>
                <c:pt idx="358">
                  <c:v>116.53736727122127</c:v>
                </c:pt>
                <c:pt idx="359">
                  <c:v>116.53736727122127</c:v>
                </c:pt>
                <c:pt idx="360">
                  <c:v>116.53736727122127</c:v>
                </c:pt>
                <c:pt idx="361">
                  <c:v>116.53736727122127</c:v>
                </c:pt>
                <c:pt idx="362">
                  <c:v>116.53736727122127</c:v>
                </c:pt>
                <c:pt idx="363">
                  <c:v>116.53736727122127</c:v>
                </c:pt>
                <c:pt idx="364">
                  <c:v>114.21236657656993</c:v>
                </c:pt>
                <c:pt idx="365">
                  <c:v>114.21236657656993</c:v>
                </c:pt>
                <c:pt idx="366">
                  <c:v>114.21236657656993</c:v>
                </c:pt>
                <c:pt idx="367">
                  <c:v>114.21236657656993</c:v>
                </c:pt>
                <c:pt idx="368">
                  <c:v>114.21236657656993</c:v>
                </c:pt>
                <c:pt idx="369">
                  <c:v>114.21236657656993</c:v>
                </c:pt>
                <c:pt idx="370">
                  <c:v>114.21236657656993</c:v>
                </c:pt>
                <c:pt idx="371">
                  <c:v>110.80978705439999</c:v>
                </c:pt>
                <c:pt idx="372">
                  <c:v>110.80978705439999</c:v>
                </c:pt>
                <c:pt idx="373">
                  <c:v>110.80978705439999</c:v>
                </c:pt>
                <c:pt idx="374">
                  <c:v>110.80978705439999</c:v>
                </c:pt>
                <c:pt idx="375">
                  <c:v>110.80978705439999</c:v>
                </c:pt>
                <c:pt idx="376">
                  <c:v>110.80978705439999</c:v>
                </c:pt>
                <c:pt idx="377">
                  <c:v>110.80978705439999</c:v>
                </c:pt>
                <c:pt idx="378">
                  <c:v>109.79962934387258</c:v>
                </c:pt>
                <c:pt idx="379">
                  <c:v>109.79962934387258</c:v>
                </c:pt>
                <c:pt idx="380">
                  <c:v>109.79962934387258</c:v>
                </c:pt>
                <c:pt idx="381">
                  <c:v>109.79962934387258</c:v>
                </c:pt>
                <c:pt idx="382">
                  <c:v>109.79962934387258</c:v>
                </c:pt>
                <c:pt idx="383">
                  <c:v>109.79962934387258</c:v>
                </c:pt>
                <c:pt idx="384">
                  <c:v>109.79962934387258</c:v>
                </c:pt>
                <c:pt idx="385">
                  <c:v>108.6300927503363</c:v>
                </c:pt>
                <c:pt idx="386">
                  <c:v>108.6300927503363</c:v>
                </c:pt>
                <c:pt idx="387">
                  <c:v>108.6300927503363</c:v>
                </c:pt>
                <c:pt idx="388">
                  <c:v>108.6300927503363</c:v>
                </c:pt>
                <c:pt idx="389">
                  <c:v>96.000540874470801</c:v>
                </c:pt>
                <c:pt idx="390">
                  <c:v>96.000540874470801</c:v>
                </c:pt>
                <c:pt idx="391">
                  <c:v>96.000540874470801</c:v>
                </c:pt>
                <c:pt idx="392">
                  <c:v>93.67126485330266</c:v>
                </c:pt>
                <c:pt idx="393">
                  <c:v>93.67126485330266</c:v>
                </c:pt>
                <c:pt idx="394">
                  <c:v>93.67126485330266</c:v>
                </c:pt>
                <c:pt idx="395">
                  <c:v>93.67126485330266</c:v>
                </c:pt>
                <c:pt idx="396">
                  <c:v>93.67126485330266</c:v>
                </c:pt>
                <c:pt idx="397">
                  <c:v>93.67126485330266</c:v>
                </c:pt>
                <c:pt idx="398">
                  <c:v>93.67126485330266</c:v>
                </c:pt>
                <c:pt idx="399">
                  <c:v>91.753283886339844</c:v>
                </c:pt>
                <c:pt idx="400">
                  <c:v>91.753283886339844</c:v>
                </c:pt>
                <c:pt idx="401">
                  <c:v>91.753283886339844</c:v>
                </c:pt>
                <c:pt idx="402">
                  <c:v>91.753283886339844</c:v>
                </c:pt>
                <c:pt idx="403">
                  <c:v>91.753283886339844</c:v>
                </c:pt>
                <c:pt idx="404">
                  <c:v>91.753283886339844</c:v>
                </c:pt>
                <c:pt idx="405">
                  <c:v>91.753283886339844</c:v>
                </c:pt>
                <c:pt idx="406">
                  <c:v>86.269648709851324</c:v>
                </c:pt>
                <c:pt idx="407">
                  <c:v>86.269648709851324</c:v>
                </c:pt>
                <c:pt idx="408">
                  <c:v>86.269648709851324</c:v>
                </c:pt>
                <c:pt idx="409">
                  <c:v>86.269648709851324</c:v>
                </c:pt>
                <c:pt idx="410">
                  <c:v>86.269648709851324</c:v>
                </c:pt>
                <c:pt idx="411">
                  <c:v>86.269648709851324</c:v>
                </c:pt>
                <c:pt idx="412">
                  <c:v>86.269648709851324</c:v>
                </c:pt>
                <c:pt idx="413">
                  <c:v>85.78541069926726</c:v>
                </c:pt>
                <c:pt idx="414">
                  <c:v>85.78541069926726</c:v>
                </c:pt>
                <c:pt idx="415">
                  <c:v>85.78541069926726</c:v>
                </c:pt>
                <c:pt idx="416">
                  <c:v>85.78541069926726</c:v>
                </c:pt>
                <c:pt idx="417">
                  <c:v>85.78541069926726</c:v>
                </c:pt>
                <c:pt idx="418">
                  <c:v>85.78541069926726</c:v>
                </c:pt>
                <c:pt idx="419">
                  <c:v>85.78541069926726</c:v>
                </c:pt>
                <c:pt idx="420">
                  <c:v>86.329748192973469</c:v>
                </c:pt>
                <c:pt idx="421">
                  <c:v>86.329748192973469</c:v>
                </c:pt>
                <c:pt idx="422">
                  <c:v>86.329748192973469</c:v>
                </c:pt>
                <c:pt idx="423">
                  <c:v>86.329748192973469</c:v>
                </c:pt>
                <c:pt idx="424">
                  <c:v>86.329748192973469</c:v>
                </c:pt>
                <c:pt idx="425">
                  <c:v>86.329748192973469</c:v>
                </c:pt>
                <c:pt idx="426">
                  <c:v>86.329748192973469</c:v>
                </c:pt>
                <c:pt idx="427">
                  <c:v>83.454958140053108</c:v>
                </c:pt>
                <c:pt idx="428">
                  <c:v>83.454958140053108</c:v>
                </c:pt>
                <c:pt idx="429">
                  <c:v>83.454958140053108</c:v>
                </c:pt>
                <c:pt idx="430">
                  <c:v>83.454958140053108</c:v>
                </c:pt>
                <c:pt idx="431">
                  <c:v>81.495918740166374</c:v>
                </c:pt>
                <c:pt idx="432">
                  <c:v>81.495918740166374</c:v>
                </c:pt>
                <c:pt idx="433">
                  <c:v>81.495918740166374</c:v>
                </c:pt>
                <c:pt idx="434">
                  <c:v>80.056074422230083</c:v>
                </c:pt>
                <c:pt idx="435">
                  <c:v>80.056074422230083</c:v>
                </c:pt>
                <c:pt idx="436">
                  <c:v>80.056074422230083</c:v>
                </c:pt>
                <c:pt idx="437">
                  <c:v>80.056074422230083</c:v>
                </c:pt>
                <c:pt idx="438">
                  <c:v>80.056074422230083</c:v>
                </c:pt>
                <c:pt idx="439">
                  <c:v>80.056074422230083</c:v>
                </c:pt>
                <c:pt idx="440">
                  <c:v>80.056074422230083</c:v>
                </c:pt>
                <c:pt idx="441">
                  <c:v>77.658148264906188</c:v>
                </c:pt>
                <c:pt idx="442">
                  <c:v>77.658148264906188</c:v>
                </c:pt>
                <c:pt idx="443">
                  <c:v>77.658148264906188</c:v>
                </c:pt>
                <c:pt idx="444">
                  <c:v>77.658148264906188</c:v>
                </c:pt>
                <c:pt idx="445">
                  <c:v>77.658148264906188</c:v>
                </c:pt>
                <c:pt idx="446">
                  <c:v>77.658148264906188</c:v>
                </c:pt>
                <c:pt idx="447">
                  <c:v>77.658148264906188</c:v>
                </c:pt>
                <c:pt idx="448">
                  <c:v>72.733546330980531</c:v>
                </c:pt>
                <c:pt idx="449">
                  <c:v>72.733546330980531</c:v>
                </c:pt>
                <c:pt idx="450">
                  <c:v>72.733546330980531</c:v>
                </c:pt>
                <c:pt idx="451">
                  <c:v>72.733546330980531</c:v>
                </c:pt>
                <c:pt idx="452">
                  <c:v>72.733546330980531</c:v>
                </c:pt>
                <c:pt idx="453">
                  <c:v>72.733546330980531</c:v>
                </c:pt>
                <c:pt idx="454">
                  <c:v>72.733546330980531</c:v>
                </c:pt>
                <c:pt idx="455">
                  <c:v>72.359640145911513</c:v>
                </c:pt>
                <c:pt idx="456">
                  <c:v>72.359640145911513</c:v>
                </c:pt>
                <c:pt idx="457">
                  <c:v>72.359640145911513</c:v>
                </c:pt>
                <c:pt idx="458">
                  <c:v>72.359640145911513</c:v>
                </c:pt>
                <c:pt idx="459">
                  <c:v>72.359640145911513</c:v>
                </c:pt>
                <c:pt idx="460">
                  <c:v>72.359640145911513</c:v>
                </c:pt>
                <c:pt idx="461">
                  <c:v>72.359640145911513</c:v>
                </c:pt>
                <c:pt idx="462">
                  <c:v>69.339534955550462</c:v>
                </c:pt>
                <c:pt idx="463">
                  <c:v>69.339534955550462</c:v>
                </c:pt>
                <c:pt idx="464">
                  <c:v>69.339534955550462</c:v>
                </c:pt>
                <c:pt idx="465">
                  <c:v>69.339534955550462</c:v>
                </c:pt>
                <c:pt idx="466">
                  <c:v>69.339534955550462</c:v>
                </c:pt>
                <c:pt idx="467">
                  <c:v>69.339534955550462</c:v>
                </c:pt>
                <c:pt idx="468">
                  <c:v>69.339534955550462</c:v>
                </c:pt>
                <c:pt idx="469">
                  <c:v>68.803800595996464</c:v>
                </c:pt>
                <c:pt idx="470">
                  <c:v>68.803800595996464</c:v>
                </c:pt>
                <c:pt idx="471">
                  <c:v>68.803800595996464</c:v>
                </c:pt>
                <c:pt idx="472">
                  <c:v>68.803800595996464</c:v>
                </c:pt>
                <c:pt idx="473">
                  <c:v>68.803800595996464</c:v>
                </c:pt>
                <c:pt idx="474">
                  <c:v>68.803800595996464</c:v>
                </c:pt>
                <c:pt idx="475">
                  <c:v>68.803800595996464</c:v>
                </c:pt>
                <c:pt idx="476">
                  <c:v>68.341009192821232</c:v>
                </c:pt>
                <c:pt idx="477">
                  <c:v>68.341009192821232</c:v>
                </c:pt>
                <c:pt idx="478">
                  <c:v>68.341009192821232</c:v>
                </c:pt>
                <c:pt idx="479">
                  <c:v>68.341009192821232</c:v>
                </c:pt>
                <c:pt idx="480">
                  <c:v>68.341009192821232</c:v>
                </c:pt>
                <c:pt idx="481">
                  <c:v>68.341009192821232</c:v>
                </c:pt>
                <c:pt idx="482">
                  <c:v>68.341009192821232</c:v>
                </c:pt>
                <c:pt idx="483">
                  <c:v>69.524662013044249</c:v>
                </c:pt>
                <c:pt idx="484">
                  <c:v>69.524662013044249</c:v>
                </c:pt>
                <c:pt idx="485">
                  <c:v>69.524662013044249</c:v>
                </c:pt>
                <c:pt idx="486">
                  <c:v>69.524662013044249</c:v>
                </c:pt>
                <c:pt idx="487">
                  <c:v>71.087725364017714</c:v>
                </c:pt>
                <c:pt idx="488">
                  <c:v>71.087725364017714</c:v>
                </c:pt>
                <c:pt idx="489">
                  <c:v>71.087725364017714</c:v>
                </c:pt>
                <c:pt idx="490">
                  <c:v>71.448770582123885</c:v>
                </c:pt>
                <c:pt idx="491">
                  <c:v>71.448770582123885</c:v>
                </c:pt>
                <c:pt idx="492">
                  <c:v>71.448770582123885</c:v>
                </c:pt>
                <c:pt idx="493">
                  <c:v>71.448770582123885</c:v>
                </c:pt>
                <c:pt idx="494">
                  <c:v>71.448770582123885</c:v>
                </c:pt>
                <c:pt idx="495">
                  <c:v>71.448770582123885</c:v>
                </c:pt>
              </c:numCache>
            </c:numRef>
          </c:val>
          <c:smooth val="0"/>
          <c:extLst>
            <c:ext xmlns:c16="http://schemas.microsoft.com/office/drawing/2014/chart" uri="{C3380CC4-5D6E-409C-BE32-E72D297353CC}">
              <c16:uniqueId val="{00000001-2CA1-4B2D-A6F2-BEEB85A56030}"/>
            </c:ext>
          </c:extLst>
        </c:ser>
        <c:dLbls>
          <c:showLegendKey val="0"/>
          <c:showVal val="0"/>
          <c:showCatName val="0"/>
          <c:showSerName val="0"/>
          <c:showPercent val="0"/>
          <c:showBubbleSize val="0"/>
        </c:dLbls>
        <c:marker val="1"/>
        <c:smooth val="0"/>
        <c:axId val="928784584"/>
        <c:axId val="928784976"/>
      </c:lineChart>
      <c:dateAx>
        <c:axId val="928784584"/>
        <c:scaling>
          <c:orientation val="minMax"/>
          <c:min val="44440"/>
        </c:scaling>
        <c:delete val="0"/>
        <c:axPos val="b"/>
        <c:numFmt formatCode="[$-409]mmm\-yy;@" sourceLinked="0"/>
        <c:majorTickMark val="none"/>
        <c:minorTickMark val="out"/>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rot="0" vert="horz"/>
          <a:lstStyle/>
          <a:p>
            <a:pPr>
              <a:defRPr sz="700" b="0">
                <a:solidFill>
                  <a:srgbClr val="000000"/>
                </a:solidFill>
                <a:latin typeface="Arial"/>
                <a:ea typeface="Arial"/>
                <a:cs typeface="Arial"/>
              </a:defRPr>
            </a:pPr>
            <a:endParaRPr lang="en-US"/>
          </a:p>
        </c:txPr>
        <c:crossAx val="928784976"/>
        <c:crosses val="autoZero"/>
        <c:auto val="1"/>
        <c:lblOffset val="100"/>
        <c:baseTimeUnit val="days"/>
        <c:majorUnit val="2"/>
        <c:majorTimeUnit val="months"/>
      </c:dateAx>
      <c:valAx>
        <c:axId val="928784976"/>
        <c:scaling>
          <c:orientation val="minMax"/>
          <c:max val="400"/>
          <c:min val="40"/>
        </c:scaling>
        <c:delete val="0"/>
        <c:axPos val="l"/>
        <c:majorGridlines>
          <c:spPr>
            <a:ln w="3175">
              <a:solidFill>
                <a:srgbClr val="DEE1E0"/>
              </a:solidFill>
              <a:prstDash val="solid"/>
            </a:ln>
          </c:spPr>
        </c:majorGridlines>
        <c:numFmt formatCode="General"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928784584"/>
        <c:crosses val="autoZero"/>
        <c:crossBetween val="between"/>
        <c:majorUnit val="30"/>
      </c:valAx>
      <c:valAx>
        <c:axId val="937007696"/>
        <c:scaling>
          <c:orientation val="minMax"/>
          <c:max val="300"/>
          <c:min val="-60"/>
        </c:scaling>
        <c:delete val="0"/>
        <c:axPos val="r"/>
        <c:title>
          <c:tx>
            <c:rich>
              <a:bodyPr rot="-5400000" vert="horz"/>
              <a:lstStyle/>
              <a:p>
                <a:pPr>
                  <a:defRPr sz="700" b="1"/>
                </a:pPr>
                <a:r>
                  <a:rPr lang="en-US" sz="700" b="1"/>
                  <a:t>Arbitrage ($US/short ton)</a:t>
                </a:r>
              </a:p>
            </c:rich>
          </c:tx>
          <c:layout>
            <c:manualLayout>
              <c:xMode val="edge"/>
              <c:yMode val="edge"/>
              <c:x val="0.91830158351491131"/>
              <c:y val="0.23319266246327178"/>
            </c:manualLayout>
          </c:layout>
          <c:overlay val="0"/>
        </c:title>
        <c:numFmt formatCode="#,##0"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rgbClr val="7F8080"/>
                </a:solidFill>
                <a:prstDash val="solid"/>
                <a:round/>
              </a14:hiddenLine>
            </a:ext>
          </a:extLst>
        </c:spPr>
        <c:txPr>
          <a:bodyPr/>
          <a:lstStyle/>
          <a:p>
            <a:pPr>
              <a:defRPr sz="700" b="0">
                <a:solidFill>
                  <a:srgbClr val="000000"/>
                </a:solidFill>
                <a:latin typeface="Arial"/>
                <a:ea typeface="Arial"/>
                <a:cs typeface="Arial"/>
              </a:defRPr>
            </a:pPr>
            <a:endParaRPr lang="en-US"/>
          </a:p>
        </c:txPr>
        <c:crossAx val="936466000"/>
        <c:crosses val="max"/>
        <c:crossBetween val="between"/>
        <c:majorUnit val="30"/>
      </c:valAx>
      <c:dateAx>
        <c:axId val="936466000"/>
        <c:scaling>
          <c:orientation val="minMax"/>
        </c:scaling>
        <c:delete val="1"/>
        <c:axPos val="b"/>
        <c:numFmt formatCode="m/d/yyyy" sourceLinked="1"/>
        <c:majorTickMark val="out"/>
        <c:minorTickMark val="none"/>
        <c:tickLblPos val="none"/>
        <c:crossAx val="937007696"/>
        <c:crosses val="autoZero"/>
        <c:auto val="1"/>
        <c:lblOffset val="100"/>
        <c:baseTimeUnit val="days"/>
      </c:dateAx>
      <c:spPr>
        <a:noFill/>
        <a:ln>
          <a:noFill/>
        </a:ln>
      </c:spPr>
    </c:plotArea>
    <c:legend>
      <c:legendPos val="b"/>
      <c:layout>
        <c:manualLayout>
          <c:xMode val="edge"/>
          <c:yMode val="edge"/>
          <c:x val="2.7252199641828234E-2"/>
          <c:y val="0.12632787826586275"/>
          <c:w val="0.73137117495912174"/>
          <c:h val="0.2124605225380419"/>
        </c:manualLayout>
      </c:layout>
      <c:overlay val="0"/>
      <c:spPr>
        <a:noFill/>
      </c:spPr>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a:extLst>
      <a:ext uri="{91240B29-F687-4F45-9708-019B960494DF}">
        <a14:hiddenLine xmlns:a14="http://schemas.microsoft.com/office/drawing/2010/main" w="6350" cap="flat" cmpd="sng" algn="ctr">
          <a:solidFill>
            <a:srgbClr val="7F8080"/>
          </a:solidFill>
          <a:prstDash val="solid"/>
          <a:round/>
        </a14:hiddenLine>
      </a:ext>
    </a:extLst>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05462607999261"/>
          <c:y val="0.1155765712852327"/>
          <c:w val="0.71714951078943845"/>
          <c:h val="0.61450893997445721"/>
        </c:manualLayout>
      </c:layout>
      <c:barChart>
        <c:barDir val="col"/>
        <c:grouping val="clustered"/>
        <c:varyColors val="0"/>
        <c:ser>
          <c:idx val="2"/>
          <c:order val="2"/>
          <c:tx>
            <c:strRef>
              <c:f>ExportArbCAPP!$R$4</c:f>
              <c:strCache>
                <c:ptCount val="1"/>
                <c:pt idx="0">
                  <c:v>Arbitrage</c:v>
                </c:pt>
              </c:strCache>
            </c:strRef>
          </c:tx>
          <c:spPr>
            <a:solidFill>
              <a:srgbClr val="009697"/>
            </a:solidFill>
            <a:ln>
              <a:noFill/>
            </a:ln>
          </c:spPr>
          <c:invertIfNegative val="0"/>
          <c:cat>
            <c:numRef>
              <c:f>ExportArbCAPP!$O$5:$O$657</c:f>
              <c:numCache>
                <c:formatCode>m/d/yyyy</c:formatCode>
                <c:ptCount val="653"/>
                <c:pt idx="0">
                  <c:v>44119</c:v>
                </c:pt>
                <c:pt idx="1">
                  <c:v>44118</c:v>
                </c:pt>
                <c:pt idx="2">
                  <c:v>44117</c:v>
                </c:pt>
                <c:pt idx="3">
                  <c:v>44116</c:v>
                </c:pt>
                <c:pt idx="4">
                  <c:v>44115</c:v>
                </c:pt>
                <c:pt idx="5">
                  <c:v>44114</c:v>
                </c:pt>
                <c:pt idx="6">
                  <c:v>44113</c:v>
                </c:pt>
                <c:pt idx="7">
                  <c:v>44112</c:v>
                </c:pt>
                <c:pt idx="8">
                  <c:v>44111</c:v>
                </c:pt>
                <c:pt idx="9">
                  <c:v>44110</c:v>
                </c:pt>
                <c:pt idx="10">
                  <c:v>44109</c:v>
                </c:pt>
                <c:pt idx="11">
                  <c:v>44108</c:v>
                </c:pt>
                <c:pt idx="12">
                  <c:v>44107</c:v>
                </c:pt>
                <c:pt idx="13">
                  <c:v>44106</c:v>
                </c:pt>
                <c:pt idx="14">
                  <c:v>44105</c:v>
                </c:pt>
                <c:pt idx="15">
                  <c:v>44104</c:v>
                </c:pt>
                <c:pt idx="16">
                  <c:v>44103</c:v>
                </c:pt>
                <c:pt idx="17">
                  <c:v>44102</c:v>
                </c:pt>
                <c:pt idx="18">
                  <c:v>44101</c:v>
                </c:pt>
                <c:pt idx="19">
                  <c:v>44100</c:v>
                </c:pt>
                <c:pt idx="20">
                  <c:v>44099</c:v>
                </c:pt>
                <c:pt idx="21">
                  <c:v>44098</c:v>
                </c:pt>
                <c:pt idx="22">
                  <c:v>44097</c:v>
                </c:pt>
                <c:pt idx="23">
                  <c:v>44096</c:v>
                </c:pt>
                <c:pt idx="24">
                  <c:v>44095</c:v>
                </c:pt>
                <c:pt idx="25">
                  <c:v>44094</c:v>
                </c:pt>
                <c:pt idx="26">
                  <c:v>44093</c:v>
                </c:pt>
                <c:pt idx="27">
                  <c:v>44092</c:v>
                </c:pt>
                <c:pt idx="28">
                  <c:v>44091</c:v>
                </c:pt>
                <c:pt idx="29">
                  <c:v>44090</c:v>
                </c:pt>
                <c:pt idx="30">
                  <c:v>44089</c:v>
                </c:pt>
                <c:pt idx="31">
                  <c:v>44088</c:v>
                </c:pt>
                <c:pt idx="32">
                  <c:v>44087</c:v>
                </c:pt>
                <c:pt idx="33">
                  <c:v>44086</c:v>
                </c:pt>
                <c:pt idx="34">
                  <c:v>44085</c:v>
                </c:pt>
                <c:pt idx="35">
                  <c:v>44084</c:v>
                </c:pt>
                <c:pt idx="36">
                  <c:v>44083</c:v>
                </c:pt>
                <c:pt idx="37">
                  <c:v>44082</c:v>
                </c:pt>
                <c:pt idx="38">
                  <c:v>44081</c:v>
                </c:pt>
                <c:pt idx="39">
                  <c:v>44080</c:v>
                </c:pt>
                <c:pt idx="40">
                  <c:v>44079</c:v>
                </c:pt>
                <c:pt idx="41">
                  <c:v>44078</c:v>
                </c:pt>
                <c:pt idx="42">
                  <c:v>44077</c:v>
                </c:pt>
                <c:pt idx="43">
                  <c:v>44076</c:v>
                </c:pt>
                <c:pt idx="44">
                  <c:v>44075</c:v>
                </c:pt>
                <c:pt idx="45">
                  <c:v>44074</c:v>
                </c:pt>
                <c:pt idx="46">
                  <c:v>44073</c:v>
                </c:pt>
                <c:pt idx="47">
                  <c:v>44072</c:v>
                </c:pt>
                <c:pt idx="48">
                  <c:v>44071</c:v>
                </c:pt>
                <c:pt idx="49">
                  <c:v>44070</c:v>
                </c:pt>
                <c:pt idx="50">
                  <c:v>44069</c:v>
                </c:pt>
                <c:pt idx="51">
                  <c:v>44068</c:v>
                </c:pt>
                <c:pt idx="52">
                  <c:v>44067</c:v>
                </c:pt>
                <c:pt idx="53">
                  <c:v>44066</c:v>
                </c:pt>
                <c:pt idx="54">
                  <c:v>44065</c:v>
                </c:pt>
                <c:pt idx="55">
                  <c:v>44064</c:v>
                </c:pt>
                <c:pt idx="56">
                  <c:v>44063</c:v>
                </c:pt>
                <c:pt idx="57">
                  <c:v>44062</c:v>
                </c:pt>
                <c:pt idx="58">
                  <c:v>44061</c:v>
                </c:pt>
                <c:pt idx="59">
                  <c:v>44060</c:v>
                </c:pt>
                <c:pt idx="60">
                  <c:v>44059</c:v>
                </c:pt>
                <c:pt idx="61">
                  <c:v>44058</c:v>
                </c:pt>
                <c:pt idx="62">
                  <c:v>44057</c:v>
                </c:pt>
                <c:pt idx="63">
                  <c:v>44056</c:v>
                </c:pt>
                <c:pt idx="64">
                  <c:v>44055</c:v>
                </c:pt>
                <c:pt idx="65">
                  <c:v>44054</c:v>
                </c:pt>
                <c:pt idx="66">
                  <c:v>44053</c:v>
                </c:pt>
                <c:pt idx="67">
                  <c:v>44052</c:v>
                </c:pt>
                <c:pt idx="68">
                  <c:v>44051</c:v>
                </c:pt>
                <c:pt idx="69">
                  <c:v>44050</c:v>
                </c:pt>
                <c:pt idx="70">
                  <c:v>44049</c:v>
                </c:pt>
                <c:pt idx="71">
                  <c:v>44048</c:v>
                </c:pt>
                <c:pt idx="72">
                  <c:v>44047</c:v>
                </c:pt>
                <c:pt idx="73">
                  <c:v>44046</c:v>
                </c:pt>
                <c:pt idx="74">
                  <c:v>44045</c:v>
                </c:pt>
                <c:pt idx="75">
                  <c:v>44044</c:v>
                </c:pt>
                <c:pt idx="76">
                  <c:v>44043</c:v>
                </c:pt>
                <c:pt idx="77">
                  <c:v>44042</c:v>
                </c:pt>
                <c:pt idx="78">
                  <c:v>44041</c:v>
                </c:pt>
                <c:pt idx="79">
                  <c:v>44040</c:v>
                </c:pt>
                <c:pt idx="80">
                  <c:v>44039</c:v>
                </c:pt>
                <c:pt idx="81">
                  <c:v>44038</c:v>
                </c:pt>
                <c:pt idx="82">
                  <c:v>44037</c:v>
                </c:pt>
                <c:pt idx="83">
                  <c:v>44036</c:v>
                </c:pt>
                <c:pt idx="84">
                  <c:v>44035</c:v>
                </c:pt>
                <c:pt idx="85">
                  <c:v>44034</c:v>
                </c:pt>
                <c:pt idx="86">
                  <c:v>44033</c:v>
                </c:pt>
                <c:pt idx="87">
                  <c:v>44032</c:v>
                </c:pt>
                <c:pt idx="88">
                  <c:v>44031</c:v>
                </c:pt>
                <c:pt idx="89">
                  <c:v>44030</c:v>
                </c:pt>
                <c:pt idx="90">
                  <c:v>44029</c:v>
                </c:pt>
                <c:pt idx="91">
                  <c:v>44028</c:v>
                </c:pt>
                <c:pt idx="92">
                  <c:v>44027</c:v>
                </c:pt>
                <c:pt idx="93">
                  <c:v>44026</c:v>
                </c:pt>
                <c:pt idx="94">
                  <c:v>44025</c:v>
                </c:pt>
                <c:pt idx="95">
                  <c:v>44024</c:v>
                </c:pt>
                <c:pt idx="96">
                  <c:v>44023</c:v>
                </c:pt>
                <c:pt idx="97">
                  <c:v>44022</c:v>
                </c:pt>
                <c:pt idx="98">
                  <c:v>44021</c:v>
                </c:pt>
                <c:pt idx="99">
                  <c:v>44020</c:v>
                </c:pt>
                <c:pt idx="100">
                  <c:v>44019</c:v>
                </c:pt>
                <c:pt idx="101">
                  <c:v>44018</c:v>
                </c:pt>
                <c:pt idx="102">
                  <c:v>44017</c:v>
                </c:pt>
                <c:pt idx="103">
                  <c:v>44016</c:v>
                </c:pt>
                <c:pt idx="104">
                  <c:v>44015</c:v>
                </c:pt>
                <c:pt idx="105">
                  <c:v>44014</c:v>
                </c:pt>
                <c:pt idx="106">
                  <c:v>44013</c:v>
                </c:pt>
                <c:pt idx="107">
                  <c:v>44012</c:v>
                </c:pt>
                <c:pt idx="108">
                  <c:v>44011</c:v>
                </c:pt>
                <c:pt idx="109">
                  <c:v>44010</c:v>
                </c:pt>
                <c:pt idx="110">
                  <c:v>44009</c:v>
                </c:pt>
                <c:pt idx="111">
                  <c:v>44008</c:v>
                </c:pt>
                <c:pt idx="112">
                  <c:v>44007</c:v>
                </c:pt>
                <c:pt idx="113">
                  <c:v>44006</c:v>
                </c:pt>
                <c:pt idx="114">
                  <c:v>44005</c:v>
                </c:pt>
                <c:pt idx="115">
                  <c:v>44004</c:v>
                </c:pt>
                <c:pt idx="116">
                  <c:v>44003</c:v>
                </c:pt>
                <c:pt idx="117">
                  <c:v>44002</c:v>
                </c:pt>
                <c:pt idx="118">
                  <c:v>44001</c:v>
                </c:pt>
                <c:pt idx="119">
                  <c:v>44000</c:v>
                </c:pt>
                <c:pt idx="120">
                  <c:v>43999</c:v>
                </c:pt>
                <c:pt idx="121">
                  <c:v>43998</c:v>
                </c:pt>
                <c:pt idx="122">
                  <c:v>43997</c:v>
                </c:pt>
                <c:pt idx="123">
                  <c:v>43996</c:v>
                </c:pt>
                <c:pt idx="124">
                  <c:v>43995</c:v>
                </c:pt>
                <c:pt idx="125">
                  <c:v>43994</c:v>
                </c:pt>
                <c:pt idx="126">
                  <c:v>43993</c:v>
                </c:pt>
                <c:pt idx="127">
                  <c:v>43992</c:v>
                </c:pt>
                <c:pt idx="128">
                  <c:v>43991</c:v>
                </c:pt>
                <c:pt idx="129">
                  <c:v>43990</c:v>
                </c:pt>
                <c:pt idx="130">
                  <c:v>43989</c:v>
                </c:pt>
                <c:pt idx="131">
                  <c:v>43988</c:v>
                </c:pt>
                <c:pt idx="132">
                  <c:v>43987</c:v>
                </c:pt>
                <c:pt idx="133">
                  <c:v>43986</c:v>
                </c:pt>
                <c:pt idx="134">
                  <c:v>43985</c:v>
                </c:pt>
                <c:pt idx="135">
                  <c:v>43984</c:v>
                </c:pt>
                <c:pt idx="136">
                  <c:v>43983</c:v>
                </c:pt>
                <c:pt idx="137">
                  <c:v>43982</c:v>
                </c:pt>
                <c:pt idx="138">
                  <c:v>43981</c:v>
                </c:pt>
                <c:pt idx="139">
                  <c:v>43980</c:v>
                </c:pt>
                <c:pt idx="140">
                  <c:v>43979</c:v>
                </c:pt>
                <c:pt idx="141">
                  <c:v>43978</c:v>
                </c:pt>
                <c:pt idx="142">
                  <c:v>43977</c:v>
                </c:pt>
                <c:pt idx="143">
                  <c:v>43976</c:v>
                </c:pt>
                <c:pt idx="144">
                  <c:v>43975</c:v>
                </c:pt>
                <c:pt idx="145">
                  <c:v>43974</c:v>
                </c:pt>
                <c:pt idx="146">
                  <c:v>43973</c:v>
                </c:pt>
                <c:pt idx="147">
                  <c:v>43972</c:v>
                </c:pt>
                <c:pt idx="148">
                  <c:v>43971</c:v>
                </c:pt>
                <c:pt idx="149">
                  <c:v>43970</c:v>
                </c:pt>
                <c:pt idx="150">
                  <c:v>43969</c:v>
                </c:pt>
                <c:pt idx="151">
                  <c:v>43968</c:v>
                </c:pt>
                <c:pt idx="152">
                  <c:v>43967</c:v>
                </c:pt>
                <c:pt idx="153">
                  <c:v>43966</c:v>
                </c:pt>
                <c:pt idx="154">
                  <c:v>43965</c:v>
                </c:pt>
                <c:pt idx="155">
                  <c:v>43964</c:v>
                </c:pt>
                <c:pt idx="156">
                  <c:v>43963</c:v>
                </c:pt>
                <c:pt idx="157">
                  <c:v>43962</c:v>
                </c:pt>
                <c:pt idx="158">
                  <c:v>43961</c:v>
                </c:pt>
                <c:pt idx="159">
                  <c:v>43960</c:v>
                </c:pt>
                <c:pt idx="160">
                  <c:v>43959</c:v>
                </c:pt>
                <c:pt idx="161">
                  <c:v>43958</c:v>
                </c:pt>
                <c:pt idx="162">
                  <c:v>43957</c:v>
                </c:pt>
                <c:pt idx="163">
                  <c:v>43956</c:v>
                </c:pt>
                <c:pt idx="164">
                  <c:v>43955</c:v>
                </c:pt>
                <c:pt idx="165">
                  <c:v>43954</c:v>
                </c:pt>
                <c:pt idx="166">
                  <c:v>43953</c:v>
                </c:pt>
                <c:pt idx="167">
                  <c:v>43952</c:v>
                </c:pt>
                <c:pt idx="168">
                  <c:v>43951</c:v>
                </c:pt>
                <c:pt idx="169">
                  <c:v>43950</c:v>
                </c:pt>
                <c:pt idx="170">
                  <c:v>43949</c:v>
                </c:pt>
                <c:pt idx="171">
                  <c:v>43948</c:v>
                </c:pt>
                <c:pt idx="172">
                  <c:v>43947</c:v>
                </c:pt>
                <c:pt idx="173">
                  <c:v>43946</c:v>
                </c:pt>
                <c:pt idx="174">
                  <c:v>43945</c:v>
                </c:pt>
                <c:pt idx="175">
                  <c:v>43944</c:v>
                </c:pt>
                <c:pt idx="176">
                  <c:v>43943</c:v>
                </c:pt>
                <c:pt idx="177">
                  <c:v>43942</c:v>
                </c:pt>
                <c:pt idx="178">
                  <c:v>43941</c:v>
                </c:pt>
                <c:pt idx="179">
                  <c:v>43940</c:v>
                </c:pt>
                <c:pt idx="180">
                  <c:v>43939</c:v>
                </c:pt>
                <c:pt idx="181">
                  <c:v>43938</c:v>
                </c:pt>
                <c:pt idx="182">
                  <c:v>43937</c:v>
                </c:pt>
                <c:pt idx="183">
                  <c:v>43936</c:v>
                </c:pt>
                <c:pt idx="184">
                  <c:v>43935</c:v>
                </c:pt>
                <c:pt idx="185">
                  <c:v>43934</c:v>
                </c:pt>
                <c:pt idx="186">
                  <c:v>43933</c:v>
                </c:pt>
                <c:pt idx="187">
                  <c:v>43932</c:v>
                </c:pt>
                <c:pt idx="188">
                  <c:v>43931</c:v>
                </c:pt>
                <c:pt idx="189">
                  <c:v>43930</c:v>
                </c:pt>
                <c:pt idx="190">
                  <c:v>43929</c:v>
                </c:pt>
                <c:pt idx="191">
                  <c:v>43928</c:v>
                </c:pt>
                <c:pt idx="192">
                  <c:v>43927</c:v>
                </c:pt>
                <c:pt idx="193">
                  <c:v>43926</c:v>
                </c:pt>
                <c:pt idx="194">
                  <c:v>43925</c:v>
                </c:pt>
                <c:pt idx="195">
                  <c:v>43924</c:v>
                </c:pt>
                <c:pt idx="196">
                  <c:v>43923</c:v>
                </c:pt>
                <c:pt idx="197">
                  <c:v>43922</c:v>
                </c:pt>
                <c:pt idx="198">
                  <c:v>43921</c:v>
                </c:pt>
                <c:pt idx="199">
                  <c:v>43920</c:v>
                </c:pt>
                <c:pt idx="200">
                  <c:v>43919</c:v>
                </c:pt>
                <c:pt idx="201">
                  <c:v>43918</c:v>
                </c:pt>
                <c:pt idx="202">
                  <c:v>43917</c:v>
                </c:pt>
                <c:pt idx="203">
                  <c:v>43916</c:v>
                </c:pt>
                <c:pt idx="204">
                  <c:v>43915</c:v>
                </c:pt>
                <c:pt idx="205">
                  <c:v>43914</c:v>
                </c:pt>
                <c:pt idx="206">
                  <c:v>43913</c:v>
                </c:pt>
                <c:pt idx="207">
                  <c:v>43912</c:v>
                </c:pt>
                <c:pt idx="208">
                  <c:v>43911</c:v>
                </c:pt>
                <c:pt idx="209">
                  <c:v>43910</c:v>
                </c:pt>
                <c:pt idx="210">
                  <c:v>43909</c:v>
                </c:pt>
                <c:pt idx="211">
                  <c:v>43908</c:v>
                </c:pt>
                <c:pt idx="212">
                  <c:v>43907</c:v>
                </c:pt>
                <c:pt idx="213">
                  <c:v>43906</c:v>
                </c:pt>
                <c:pt idx="214">
                  <c:v>43905</c:v>
                </c:pt>
                <c:pt idx="215">
                  <c:v>43904</c:v>
                </c:pt>
                <c:pt idx="216">
                  <c:v>43903</c:v>
                </c:pt>
                <c:pt idx="217">
                  <c:v>43902</c:v>
                </c:pt>
                <c:pt idx="218">
                  <c:v>43901</c:v>
                </c:pt>
                <c:pt idx="219">
                  <c:v>43900</c:v>
                </c:pt>
                <c:pt idx="220">
                  <c:v>43899</c:v>
                </c:pt>
                <c:pt idx="221">
                  <c:v>43898</c:v>
                </c:pt>
                <c:pt idx="222">
                  <c:v>43897</c:v>
                </c:pt>
                <c:pt idx="223">
                  <c:v>43896</c:v>
                </c:pt>
                <c:pt idx="224">
                  <c:v>43895</c:v>
                </c:pt>
                <c:pt idx="225">
                  <c:v>43894</c:v>
                </c:pt>
                <c:pt idx="226">
                  <c:v>43893</c:v>
                </c:pt>
                <c:pt idx="227">
                  <c:v>43892</c:v>
                </c:pt>
                <c:pt idx="228">
                  <c:v>43891</c:v>
                </c:pt>
                <c:pt idx="229">
                  <c:v>43890</c:v>
                </c:pt>
                <c:pt idx="230">
                  <c:v>43889</c:v>
                </c:pt>
                <c:pt idx="231">
                  <c:v>43888</c:v>
                </c:pt>
                <c:pt idx="232">
                  <c:v>43887</c:v>
                </c:pt>
                <c:pt idx="233">
                  <c:v>43886</c:v>
                </c:pt>
                <c:pt idx="234">
                  <c:v>43885</c:v>
                </c:pt>
                <c:pt idx="235">
                  <c:v>43884</c:v>
                </c:pt>
                <c:pt idx="236">
                  <c:v>43883</c:v>
                </c:pt>
                <c:pt idx="237">
                  <c:v>43882</c:v>
                </c:pt>
                <c:pt idx="238">
                  <c:v>43881</c:v>
                </c:pt>
                <c:pt idx="239">
                  <c:v>43880</c:v>
                </c:pt>
                <c:pt idx="240">
                  <c:v>43879</c:v>
                </c:pt>
                <c:pt idx="241">
                  <c:v>43878</c:v>
                </c:pt>
                <c:pt idx="242">
                  <c:v>43877</c:v>
                </c:pt>
                <c:pt idx="243">
                  <c:v>43876</c:v>
                </c:pt>
                <c:pt idx="244">
                  <c:v>43875</c:v>
                </c:pt>
                <c:pt idx="245">
                  <c:v>43874</c:v>
                </c:pt>
                <c:pt idx="246">
                  <c:v>43873</c:v>
                </c:pt>
                <c:pt idx="247">
                  <c:v>43872</c:v>
                </c:pt>
                <c:pt idx="248">
                  <c:v>43871</c:v>
                </c:pt>
                <c:pt idx="249">
                  <c:v>43870</c:v>
                </c:pt>
                <c:pt idx="250">
                  <c:v>43869</c:v>
                </c:pt>
                <c:pt idx="251">
                  <c:v>43868</c:v>
                </c:pt>
                <c:pt idx="252">
                  <c:v>43867</c:v>
                </c:pt>
                <c:pt idx="253">
                  <c:v>43866</c:v>
                </c:pt>
                <c:pt idx="254">
                  <c:v>43865</c:v>
                </c:pt>
                <c:pt idx="255">
                  <c:v>43864</c:v>
                </c:pt>
                <c:pt idx="256">
                  <c:v>43863</c:v>
                </c:pt>
                <c:pt idx="257">
                  <c:v>43862</c:v>
                </c:pt>
                <c:pt idx="258">
                  <c:v>43861</c:v>
                </c:pt>
                <c:pt idx="259">
                  <c:v>43860</c:v>
                </c:pt>
                <c:pt idx="260">
                  <c:v>43859</c:v>
                </c:pt>
                <c:pt idx="261">
                  <c:v>43858</c:v>
                </c:pt>
                <c:pt idx="262">
                  <c:v>43857</c:v>
                </c:pt>
                <c:pt idx="263">
                  <c:v>43856</c:v>
                </c:pt>
                <c:pt idx="264">
                  <c:v>43855</c:v>
                </c:pt>
                <c:pt idx="265">
                  <c:v>43854</c:v>
                </c:pt>
                <c:pt idx="266">
                  <c:v>43853</c:v>
                </c:pt>
                <c:pt idx="267">
                  <c:v>43852</c:v>
                </c:pt>
                <c:pt idx="268">
                  <c:v>43851</c:v>
                </c:pt>
                <c:pt idx="269">
                  <c:v>43850</c:v>
                </c:pt>
                <c:pt idx="270">
                  <c:v>43849</c:v>
                </c:pt>
                <c:pt idx="271">
                  <c:v>43848</c:v>
                </c:pt>
                <c:pt idx="272">
                  <c:v>43847</c:v>
                </c:pt>
                <c:pt idx="273">
                  <c:v>43846</c:v>
                </c:pt>
                <c:pt idx="274">
                  <c:v>43845</c:v>
                </c:pt>
                <c:pt idx="275">
                  <c:v>43844</c:v>
                </c:pt>
                <c:pt idx="276">
                  <c:v>43843</c:v>
                </c:pt>
                <c:pt idx="277">
                  <c:v>43842</c:v>
                </c:pt>
                <c:pt idx="278">
                  <c:v>43841</c:v>
                </c:pt>
                <c:pt idx="279">
                  <c:v>43840</c:v>
                </c:pt>
                <c:pt idx="280">
                  <c:v>43839</c:v>
                </c:pt>
                <c:pt idx="281">
                  <c:v>43838</c:v>
                </c:pt>
                <c:pt idx="282">
                  <c:v>43837</c:v>
                </c:pt>
                <c:pt idx="283">
                  <c:v>43836</c:v>
                </c:pt>
                <c:pt idx="284">
                  <c:v>43835</c:v>
                </c:pt>
                <c:pt idx="285">
                  <c:v>43834</c:v>
                </c:pt>
                <c:pt idx="286">
                  <c:v>43833</c:v>
                </c:pt>
                <c:pt idx="287">
                  <c:v>43832</c:v>
                </c:pt>
                <c:pt idx="288">
                  <c:v>43831</c:v>
                </c:pt>
                <c:pt idx="289">
                  <c:v>43830</c:v>
                </c:pt>
                <c:pt idx="290">
                  <c:v>43829</c:v>
                </c:pt>
                <c:pt idx="291">
                  <c:v>43828</c:v>
                </c:pt>
                <c:pt idx="292">
                  <c:v>43827</c:v>
                </c:pt>
                <c:pt idx="293">
                  <c:v>43826</c:v>
                </c:pt>
                <c:pt idx="294">
                  <c:v>43825</c:v>
                </c:pt>
                <c:pt idx="295">
                  <c:v>43824</c:v>
                </c:pt>
                <c:pt idx="296">
                  <c:v>43823</c:v>
                </c:pt>
                <c:pt idx="297">
                  <c:v>43822</c:v>
                </c:pt>
                <c:pt idx="298">
                  <c:v>43821</c:v>
                </c:pt>
                <c:pt idx="299">
                  <c:v>43820</c:v>
                </c:pt>
                <c:pt idx="300">
                  <c:v>43819</c:v>
                </c:pt>
                <c:pt idx="301">
                  <c:v>43818</c:v>
                </c:pt>
                <c:pt idx="302">
                  <c:v>43817</c:v>
                </c:pt>
                <c:pt idx="303">
                  <c:v>43816</c:v>
                </c:pt>
                <c:pt idx="304">
                  <c:v>43815</c:v>
                </c:pt>
                <c:pt idx="305">
                  <c:v>43814</c:v>
                </c:pt>
                <c:pt idx="306">
                  <c:v>43813</c:v>
                </c:pt>
                <c:pt idx="307">
                  <c:v>43812</c:v>
                </c:pt>
                <c:pt idx="308">
                  <c:v>43811</c:v>
                </c:pt>
                <c:pt idx="309">
                  <c:v>43810</c:v>
                </c:pt>
                <c:pt idx="310">
                  <c:v>43809</c:v>
                </c:pt>
                <c:pt idx="311">
                  <c:v>43808</c:v>
                </c:pt>
                <c:pt idx="312">
                  <c:v>43807</c:v>
                </c:pt>
                <c:pt idx="313">
                  <c:v>43806</c:v>
                </c:pt>
                <c:pt idx="314">
                  <c:v>43805</c:v>
                </c:pt>
                <c:pt idx="315">
                  <c:v>43804</c:v>
                </c:pt>
                <c:pt idx="316">
                  <c:v>43803</c:v>
                </c:pt>
                <c:pt idx="317">
                  <c:v>43802</c:v>
                </c:pt>
                <c:pt idx="318">
                  <c:v>43801</c:v>
                </c:pt>
                <c:pt idx="319">
                  <c:v>43800</c:v>
                </c:pt>
                <c:pt idx="320">
                  <c:v>43799</c:v>
                </c:pt>
                <c:pt idx="321">
                  <c:v>43798</c:v>
                </c:pt>
                <c:pt idx="322">
                  <c:v>43797</c:v>
                </c:pt>
                <c:pt idx="323">
                  <c:v>43796</c:v>
                </c:pt>
                <c:pt idx="324">
                  <c:v>43795</c:v>
                </c:pt>
                <c:pt idx="325">
                  <c:v>43794</c:v>
                </c:pt>
                <c:pt idx="326">
                  <c:v>43793</c:v>
                </c:pt>
                <c:pt idx="327">
                  <c:v>43792</c:v>
                </c:pt>
                <c:pt idx="328">
                  <c:v>43791</c:v>
                </c:pt>
                <c:pt idx="329">
                  <c:v>43790</c:v>
                </c:pt>
                <c:pt idx="330">
                  <c:v>43789</c:v>
                </c:pt>
                <c:pt idx="331">
                  <c:v>43788</c:v>
                </c:pt>
                <c:pt idx="332">
                  <c:v>43787</c:v>
                </c:pt>
                <c:pt idx="333">
                  <c:v>43786</c:v>
                </c:pt>
                <c:pt idx="334">
                  <c:v>43785</c:v>
                </c:pt>
                <c:pt idx="335">
                  <c:v>43784</c:v>
                </c:pt>
                <c:pt idx="336">
                  <c:v>43783</c:v>
                </c:pt>
                <c:pt idx="337">
                  <c:v>43782</c:v>
                </c:pt>
                <c:pt idx="338">
                  <c:v>43781</c:v>
                </c:pt>
                <c:pt idx="339">
                  <c:v>43780</c:v>
                </c:pt>
                <c:pt idx="340">
                  <c:v>43779</c:v>
                </c:pt>
                <c:pt idx="341">
                  <c:v>43778</c:v>
                </c:pt>
                <c:pt idx="342">
                  <c:v>43777</c:v>
                </c:pt>
                <c:pt idx="343">
                  <c:v>43776</c:v>
                </c:pt>
                <c:pt idx="344">
                  <c:v>43775</c:v>
                </c:pt>
                <c:pt idx="345">
                  <c:v>43774</c:v>
                </c:pt>
                <c:pt idx="346">
                  <c:v>43773</c:v>
                </c:pt>
                <c:pt idx="347">
                  <c:v>43772</c:v>
                </c:pt>
                <c:pt idx="348">
                  <c:v>43771</c:v>
                </c:pt>
                <c:pt idx="349">
                  <c:v>43770</c:v>
                </c:pt>
                <c:pt idx="350">
                  <c:v>43769</c:v>
                </c:pt>
                <c:pt idx="351">
                  <c:v>43768</c:v>
                </c:pt>
                <c:pt idx="352">
                  <c:v>43767</c:v>
                </c:pt>
                <c:pt idx="353">
                  <c:v>43766</c:v>
                </c:pt>
                <c:pt idx="354">
                  <c:v>43765</c:v>
                </c:pt>
                <c:pt idx="355">
                  <c:v>43764</c:v>
                </c:pt>
                <c:pt idx="356">
                  <c:v>43763</c:v>
                </c:pt>
                <c:pt idx="357">
                  <c:v>43762</c:v>
                </c:pt>
                <c:pt idx="358">
                  <c:v>43761</c:v>
                </c:pt>
                <c:pt idx="359">
                  <c:v>43760</c:v>
                </c:pt>
                <c:pt idx="360">
                  <c:v>43759</c:v>
                </c:pt>
                <c:pt idx="361">
                  <c:v>43758</c:v>
                </c:pt>
                <c:pt idx="362">
                  <c:v>43757</c:v>
                </c:pt>
                <c:pt idx="363">
                  <c:v>43756</c:v>
                </c:pt>
                <c:pt idx="364">
                  <c:v>43755</c:v>
                </c:pt>
                <c:pt idx="365">
                  <c:v>43754</c:v>
                </c:pt>
                <c:pt idx="366">
                  <c:v>43753</c:v>
                </c:pt>
                <c:pt idx="367">
                  <c:v>43752</c:v>
                </c:pt>
                <c:pt idx="368">
                  <c:v>43751</c:v>
                </c:pt>
                <c:pt idx="369">
                  <c:v>43750</c:v>
                </c:pt>
                <c:pt idx="370">
                  <c:v>43749</c:v>
                </c:pt>
                <c:pt idx="371">
                  <c:v>43748</c:v>
                </c:pt>
                <c:pt idx="372">
                  <c:v>43747</c:v>
                </c:pt>
                <c:pt idx="373">
                  <c:v>43746</c:v>
                </c:pt>
                <c:pt idx="374">
                  <c:v>43745</c:v>
                </c:pt>
                <c:pt idx="375">
                  <c:v>43744</c:v>
                </c:pt>
                <c:pt idx="376">
                  <c:v>43743</c:v>
                </c:pt>
                <c:pt idx="377">
                  <c:v>43742</c:v>
                </c:pt>
                <c:pt idx="378">
                  <c:v>43741</c:v>
                </c:pt>
                <c:pt idx="379">
                  <c:v>43740</c:v>
                </c:pt>
                <c:pt idx="380">
                  <c:v>43739</c:v>
                </c:pt>
                <c:pt idx="381">
                  <c:v>43738</c:v>
                </c:pt>
                <c:pt idx="382">
                  <c:v>43737</c:v>
                </c:pt>
                <c:pt idx="383">
                  <c:v>43736</c:v>
                </c:pt>
                <c:pt idx="384">
                  <c:v>43735</c:v>
                </c:pt>
                <c:pt idx="385">
                  <c:v>43734</c:v>
                </c:pt>
                <c:pt idx="386">
                  <c:v>43733</c:v>
                </c:pt>
                <c:pt idx="387">
                  <c:v>43732</c:v>
                </c:pt>
                <c:pt idx="388">
                  <c:v>43731</c:v>
                </c:pt>
                <c:pt idx="389">
                  <c:v>43730</c:v>
                </c:pt>
                <c:pt idx="390">
                  <c:v>43729</c:v>
                </c:pt>
                <c:pt idx="391">
                  <c:v>43728</c:v>
                </c:pt>
                <c:pt idx="392">
                  <c:v>43727</c:v>
                </c:pt>
                <c:pt idx="393">
                  <c:v>43726</c:v>
                </c:pt>
                <c:pt idx="394">
                  <c:v>43725</c:v>
                </c:pt>
                <c:pt idx="395">
                  <c:v>43724</c:v>
                </c:pt>
                <c:pt idx="396">
                  <c:v>43723</c:v>
                </c:pt>
                <c:pt idx="397">
                  <c:v>43722</c:v>
                </c:pt>
                <c:pt idx="398">
                  <c:v>43721</c:v>
                </c:pt>
                <c:pt idx="399">
                  <c:v>43720</c:v>
                </c:pt>
                <c:pt idx="400">
                  <c:v>43719</c:v>
                </c:pt>
                <c:pt idx="401">
                  <c:v>43718</c:v>
                </c:pt>
                <c:pt idx="402">
                  <c:v>43717</c:v>
                </c:pt>
                <c:pt idx="403">
                  <c:v>43716</c:v>
                </c:pt>
                <c:pt idx="404">
                  <c:v>43715</c:v>
                </c:pt>
                <c:pt idx="405">
                  <c:v>43714</c:v>
                </c:pt>
                <c:pt idx="406">
                  <c:v>43713</c:v>
                </c:pt>
                <c:pt idx="407">
                  <c:v>43712</c:v>
                </c:pt>
                <c:pt idx="408">
                  <c:v>43711</c:v>
                </c:pt>
                <c:pt idx="409">
                  <c:v>43710</c:v>
                </c:pt>
                <c:pt idx="410">
                  <c:v>43709</c:v>
                </c:pt>
                <c:pt idx="411">
                  <c:v>43708</c:v>
                </c:pt>
                <c:pt idx="412">
                  <c:v>43707</c:v>
                </c:pt>
                <c:pt idx="413">
                  <c:v>43706</c:v>
                </c:pt>
                <c:pt idx="414">
                  <c:v>43705</c:v>
                </c:pt>
                <c:pt idx="415">
                  <c:v>43704</c:v>
                </c:pt>
                <c:pt idx="416">
                  <c:v>43703</c:v>
                </c:pt>
                <c:pt idx="417">
                  <c:v>43702</c:v>
                </c:pt>
                <c:pt idx="418">
                  <c:v>43701</c:v>
                </c:pt>
                <c:pt idx="419">
                  <c:v>43700</c:v>
                </c:pt>
                <c:pt idx="420">
                  <c:v>43699</c:v>
                </c:pt>
                <c:pt idx="421">
                  <c:v>43698</c:v>
                </c:pt>
                <c:pt idx="422">
                  <c:v>43697</c:v>
                </c:pt>
                <c:pt idx="423">
                  <c:v>43696</c:v>
                </c:pt>
                <c:pt idx="424">
                  <c:v>43695</c:v>
                </c:pt>
                <c:pt idx="425">
                  <c:v>43694</c:v>
                </c:pt>
                <c:pt idx="426">
                  <c:v>43693</c:v>
                </c:pt>
                <c:pt idx="427">
                  <c:v>43692</c:v>
                </c:pt>
                <c:pt idx="428">
                  <c:v>43691</c:v>
                </c:pt>
                <c:pt idx="429">
                  <c:v>43690</c:v>
                </c:pt>
                <c:pt idx="430">
                  <c:v>43689</c:v>
                </c:pt>
                <c:pt idx="431">
                  <c:v>43688</c:v>
                </c:pt>
                <c:pt idx="432">
                  <c:v>43687</c:v>
                </c:pt>
                <c:pt idx="433">
                  <c:v>43686</c:v>
                </c:pt>
                <c:pt idx="434">
                  <c:v>43685</c:v>
                </c:pt>
                <c:pt idx="435">
                  <c:v>43684</c:v>
                </c:pt>
                <c:pt idx="436">
                  <c:v>43683</c:v>
                </c:pt>
                <c:pt idx="437">
                  <c:v>43682</c:v>
                </c:pt>
                <c:pt idx="438">
                  <c:v>43681</c:v>
                </c:pt>
                <c:pt idx="439">
                  <c:v>43680</c:v>
                </c:pt>
                <c:pt idx="440">
                  <c:v>43679</c:v>
                </c:pt>
                <c:pt idx="441">
                  <c:v>43678</c:v>
                </c:pt>
                <c:pt idx="442">
                  <c:v>43677</c:v>
                </c:pt>
                <c:pt idx="443">
                  <c:v>43676</c:v>
                </c:pt>
                <c:pt idx="444">
                  <c:v>43675</c:v>
                </c:pt>
                <c:pt idx="445">
                  <c:v>43674</c:v>
                </c:pt>
                <c:pt idx="446">
                  <c:v>43673</c:v>
                </c:pt>
                <c:pt idx="447">
                  <c:v>43672</c:v>
                </c:pt>
                <c:pt idx="448">
                  <c:v>43671</c:v>
                </c:pt>
                <c:pt idx="449">
                  <c:v>43670</c:v>
                </c:pt>
                <c:pt idx="450">
                  <c:v>43669</c:v>
                </c:pt>
                <c:pt idx="451">
                  <c:v>43668</c:v>
                </c:pt>
                <c:pt idx="452">
                  <c:v>43667</c:v>
                </c:pt>
                <c:pt idx="453">
                  <c:v>43666</c:v>
                </c:pt>
                <c:pt idx="454">
                  <c:v>43665</c:v>
                </c:pt>
                <c:pt idx="455">
                  <c:v>43664</c:v>
                </c:pt>
                <c:pt idx="456">
                  <c:v>43663</c:v>
                </c:pt>
                <c:pt idx="457">
                  <c:v>43662</c:v>
                </c:pt>
                <c:pt idx="458">
                  <c:v>43661</c:v>
                </c:pt>
                <c:pt idx="459">
                  <c:v>43660</c:v>
                </c:pt>
                <c:pt idx="460">
                  <c:v>43659</c:v>
                </c:pt>
                <c:pt idx="461">
                  <c:v>43658</c:v>
                </c:pt>
                <c:pt idx="462">
                  <c:v>43657</c:v>
                </c:pt>
                <c:pt idx="463">
                  <c:v>43656</c:v>
                </c:pt>
                <c:pt idx="464">
                  <c:v>43655</c:v>
                </c:pt>
                <c:pt idx="465">
                  <c:v>43654</c:v>
                </c:pt>
                <c:pt idx="466">
                  <c:v>43653</c:v>
                </c:pt>
                <c:pt idx="467">
                  <c:v>43652</c:v>
                </c:pt>
                <c:pt idx="468">
                  <c:v>43651</c:v>
                </c:pt>
                <c:pt idx="469">
                  <c:v>43650</c:v>
                </c:pt>
                <c:pt idx="470">
                  <c:v>43649</c:v>
                </c:pt>
                <c:pt idx="471">
                  <c:v>43648</c:v>
                </c:pt>
                <c:pt idx="472">
                  <c:v>43647</c:v>
                </c:pt>
                <c:pt idx="473">
                  <c:v>43646</c:v>
                </c:pt>
                <c:pt idx="474">
                  <c:v>43645</c:v>
                </c:pt>
                <c:pt idx="475">
                  <c:v>43644</c:v>
                </c:pt>
                <c:pt idx="476">
                  <c:v>43643</c:v>
                </c:pt>
                <c:pt idx="477">
                  <c:v>43642</c:v>
                </c:pt>
                <c:pt idx="478">
                  <c:v>43641</c:v>
                </c:pt>
                <c:pt idx="479">
                  <c:v>43640</c:v>
                </c:pt>
                <c:pt idx="480">
                  <c:v>43639</c:v>
                </c:pt>
                <c:pt idx="481">
                  <c:v>43638</c:v>
                </c:pt>
                <c:pt idx="482">
                  <c:v>43637</c:v>
                </c:pt>
                <c:pt idx="483">
                  <c:v>43636</c:v>
                </c:pt>
                <c:pt idx="484">
                  <c:v>43635</c:v>
                </c:pt>
                <c:pt idx="485">
                  <c:v>43634</c:v>
                </c:pt>
                <c:pt idx="486">
                  <c:v>43633</c:v>
                </c:pt>
                <c:pt idx="487">
                  <c:v>43632</c:v>
                </c:pt>
                <c:pt idx="488">
                  <c:v>43631</c:v>
                </c:pt>
                <c:pt idx="489">
                  <c:v>43630</c:v>
                </c:pt>
                <c:pt idx="490">
                  <c:v>43629</c:v>
                </c:pt>
                <c:pt idx="491">
                  <c:v>43628</c:v>
                </c:pt>
                <c:pt idx="492">
                  <c:v>43627</c:v>
                </c:pt>
                <c:pt idx="493">
                  <c:v>43626</c:v>
                </c:pt>
                <c:pt idx="494">
                  <c:v>43625</c:v>
                </c:pt>
                <c:pt idx="495">
                  <c:v>43624</c:v>
                </c:pt>
                <c:pt idx="496">
                  <c:v>43623</c:v>
                </c:pt>
                <c:pt idx="497">
                  <c:v>43622</c:v>
                </c:pt>
                <c:pt idx="498">
                  <c:v>43621</c:v>
                </c:pt>
                <c:pt idx="499">
                  <c:v>43620</c:v>
                </c:pt>
                <c:pt idx="500">
                  <c:v>43619</c:v>
                </c:pt>
                <c:pt idx="501">
                  <c:v>43618</c:v>
                </c:pt>
                <c:pt idx="502">
                  <c:v>43617</c:v>
                </c:pt>
                <c:pt idx="503">
                  <c:v>43616</c:v>
                </c:pt>
                <c:pt idx="504">
                  <c:v>43615</c:v>
                </c:pt>
                <c:pt idx="505">
                  <c:v>43614</c:v>
                </c:pt>
                <c:pt idx="506">
                  <c:v>43613</c:v>
                </c:pt>
                <c:pt idx="507">
                  <c:v>43612</c:v>
                </c:pt>
                <c:pt idx="508">
                  <c:v>43611</c:v>
                </c:pt>
                <c:pt idx="509">
                  <c:v>43610</c:v>
                </c:pt>
                <c:pt idx="510">
                  <c:v>43609</c:v>
                </c:pt>
                <c:pt idx="511">
                  <c:v>43608</c:v>
                </c:pt>
                <c:pt idx="512">
                  <c:v>43607</c:v>
                </c:pt>
                <c:pt idx="513">
                  <c:v>43606</c:v>
                </c:pt>
                <c:pt idx="514">
                  <c:v>43605</c:v>
                </c:pt>
                <c:pt idx="515">
                  <c:v>43604</c:v>
                </c:pt>
                <c:pt idx="516">
                  <c:v>43603</c:v>
                </c:pt>
                <c:pt idx="517">
                  <c:v>43602</c:v>
                </c:pt>
                <c:pt idx="518">
                  <c:v>43601</c:v>
                </c:pt>
                <c:pt idx="519">
                  <c:v>43600</c:v>
                </c:pt>
                <c:pt idx="520">
                  <c:v>43599</c:v>
                </c:pt>
                <c:pt idx="521">
                  <c:v>43598</c:v>
                </c:pt>
                <c:pt idx="522">
                  <c:v>43597</c:v>
                </c:pt>
                <c:pt idx="523">
                  <c:v>43596</c:v>
                </c:pt>
                <c:pt idx="524">
                  <c:v>43595</c:v>
                </c:pt>
                <c:pt idx="525">
                  <c:v>43594</c:v>
                </c:pt>
                <c:pt idx="526">
                  <c:v>43593</c:v>
                </c:pt>
                <c:pt idx="527">
                  <c:v>43592</c:v>
                </c:pt>
                <c:pt idx="528">
                  <c:v>43591</c:v>
                </c:pt>
                <c:pt idx="529">
                  <c:v>43590</c:v>
                </c:pt>
                <c:pt idx="530">
                  <c:v>43589</c:v>
                </c:pt>
                <c:pt idx="531">
                  <c:v>43588</c:v>
                </c:pt>
                <c:pt idx="532">
                  <c:v>43587</c:v>
                </c:pt>
                <c:pt idx="533">
                  <c:v>43586</c:v>
                </c:pt>
                <c:pt idx="534">
                  <c:v>43585</c:v>
                </c:pt>
                <c:pt idx="535">
                  <c:v>43584</c:v>
                </c:pt>
                <c:pt idx="536">
                  <c:v>43583</c:v>
                </c:pt>
                <c:pt idx="537">
                  <c:v>43582</c:v>
                </c:pt>
                <c:pt idx="538">
                  <c:v>43581</c:v>
                </c:pt>
                <c:pt idx="539">
                  <c:v>43580</c:v>
                </c:pt>
                <c:pt idx="540">
                  <c:v>43579</c:v>
                </c:pt>
                <c:pt idx="541">
                  <c:v>43578</c:v>
                </c:pt>
                <c:pt idx="542">
                  <c:v>43577</c:v>
                </c:pt>
                <c:pt idx="543">
                  <c:v>43576</c:v>
                </c:pt>
                <c:pt idx="544">
                  <c:v>43575</c:v>
                </c:pt>
                <c:pt idx="545">
                  <c:v>43574</c:v>
                </c:pt>
                <c:pt idx="546">
                  <c:v>43573</c:v>
                </c:pt>
                <c:pt idx="547">
                  <c:v>43572</c:v>
                </c:pt>
                <c:pt idx="548">
                  <c:v>43571</c:v>
                </c:pt>
                <c:pt idx="549">
                  <c:v>43570</c:v>
                </c:pt>
                <c:pt idx="550">
                  <c:v>43569</c:v>
                </c:pt>
                <c:pt idx="551">
                  <c:v>43568</c:v>
                </c:pt>
                <c:pt idx="552">
                  <c:v>43567</c:v>
                </c:pt>
                <c:pt idx="553">
                  <c:v>43566</c:v>
                </c:pt>
                <c:pt idx="554">
                  <c:v>43565</c:v>
                </c:pt>
                <c:pt idx="555">
                  <c:v>43564</c:v>
                </c:pt>
                <c:pt idx="556">
                  <c:v>43563</c:v>
                </c:pt>
                <c:pt idx="557">
                  <c:v>43562</c:v>
                </c:pt>
                <c:pt idx="558">
                  <c:v>43561</c:v>
                </c:pt>
                <c:pt idx="559">
                  <c:v>43560</c:v>
                </c:pt>
                <c:pt idx="560">
                  <c:v>43559</c:v>
                </c:pt>
                <c:pt idx="561">
                  <c:v>43558</c:v>
                </c:pt>
                <c:pt idx="562">
                  <c:v>43557</c:v>
                </c:pt>
                <c:pt idx="563">
                  <c:v>43556</c:v>
                </c:pt>
                <c:pt idx="564">
                  <c:v>43555</c:v>
                </c:pt>
                <c:pt idx="565">
                  <c:v>43554</c:v>
                </c:pt>
                <c:pt idx="566">
                  <c:v>43553</c:v>
                </c:pt>
                <c:pt idx="567">
                  <c:v>43552</c:v>
                </c:pt>
                <c:pt idx="568">
                  <c:v>43551</c:v>
                </c:pt>
                <c:pt idx="569">
                  <c:v>43550</c:v>
                </c:pt>
                <c:pt idx="570">
                  <c:v>43549</c:v>
                </c:pt>
                <c:pt idx="571">
                  <c:v>43548</c:v>
                </c:pt>
                <c:pt idx="572">
                  <c:v>43547</c:v>
                </c:pt>
                <c:pt idx="573">
                  <c:v>43546</c:v>
                </c:pt>
                <c:pt idx="574">
                  <c:v>43545</c:v>
                </c:pt>
                <c:pt idx="575">
                  <c:v>43544</c:v>
                </c:pt>
                <c:pt idx="576">
                  <c:v>43543</c:v>
                </c:pt>
                <c:pt idx="577">
                  <c:v>43542</c:v>
                </c:pt>
                <c:pt idx="578">
                  <c:v>43541</c:v>
                </c:pt>
                <c:pt idx="579">
                  <c:v>43540</c:v>
                </c:pt>
                <c:pt idx="580">
                  <c:v>43539</c:v>
                </c:pt>
                <c:pt idx="581">
                  <c:v>43538</c:v>
                </c:pt>
                <c:pt idx="582">
                  <c:v>43537</c:v>
                </c:pt>
                <c:pt idx="583">
                  <c:v>43536</c:v>
                </c:pt>
                <c:pt idx="584">
                  <c:v>43535</c:v>
                </c:pt>
                <c:pt idx="585">
                  <c:v>43534</c:v>
                </c:pt>
                <c:pt idx="586">
                  <c:v>43533</c:v>
                </c:pt>
                <c:pt idx="587">
                  <c:v>43532</c:v>
                </c:pt>
                <c:pt idx="588">
                  <c:v>43531</c:v>
                </c:pt>
                <c:pt idx="589">
                  <c:v>43530</c:v>
                </c:pt>
                <c:pt idx="590">
                  <c:v>43529</c:v>
                </c:pt>
                <c:pt idx="591">
                  <c:v>43528</c:v>
                </c:pt>
                <c:pt idx="592">
                  <c:v>43527</c:v>
                </c:pt>
                <c:pt idx="593">
                  <c:v>43526</c:v>
                </c:pt>
                <c:pt idx="594">
                  <c:v>43525</c:v>
                </c:pt>
                <c:pt idx="595">
                  <c:v>43524</c:v>
                </c:pt>
                <c:pt idx="596">
                  <c:v>43523</c:v>
                </c:pt>
                <c:pt idx="597">
                  <c:v>43522</c:v>
                </c:pt>
                <c:pt idx="598">
                  <c:v>43521</c:v>
                </c:pt>
                <c:pt idx="599">
                  <c:v>43520</c:v>
                </c:pt>
                <c:pt idx="600">
                  <c:v>43519</c:v>
                </c:pt>
                <c:pt idx="601">
                  <c:v>43518</c:v>
                </c:pt>
                <c:pt idx="602">
                  <c:v>43517</c:v>
                </c:pt>
                <c:pt idx="603">
                  <c:v>43516</c:v>
                </c:pt>
                <c:pt idx="604">
                  <c:v>43515</c:v>
                </c:pt>
                <c:pt idx="605">
                  <c:v>43514</c:v>
                </c:pt>
                <c:pt idx="606">
                  <c:v>43513</c:v>
                </c:pt>
                <c:pt idx="607">
                  <c:v>43512</c:v>
                </c:pt>
                <c:pt idx="608">
                  <c:v>43511</c:v>
                </c:pt>
                <c:pt idx="609">
                  <c:v>43510</c:v>
                </c:pt>
                <c:pt idx="610">
                  <c:v>43509</c:v>
                </c:pt>
                <c:pt idx="611">
                  <c:v>43508</c:v>
                </c:pt>
                <c:pt idx="612">
                  <c:v>43507</c:v>
                </c:pt>
                <c:pt idx="613">
                  <c:v>43506</c:v>
                </c:pt>
                <c:pt idx="614">
                  <c:v>43505</c:v>
                </c:pt>
                <c:pt idx="615">
                  <c:v>43504</c:v>
                </c:pt>
                <c:pt idx="616">
                  <c:v>43503</c:v>
                </c:pt>
                <c:pt idx="617">
                  <c:v>43502</c:v>
                </c:pt>
                <c:pt idx="618">
                  <c:v>43501</c:v>
                </c:pt>
                <c:pt idx="619">
                  <c:v>43500</c:v>
                </c:pt>
                <c:pt idx="620">
                  <c:v>43499</c:v>
                </c:pt>
                <c:pt idx="621">
                  <c:v>43498</c:v>
                </c:pt>
                <c:pt idx="622">
                  <c:v>43497</c:v>
                </c:pt>
                <c:pt idx="623">
                  <c:v>43496</c:v>
                </c:pt>
                <c:pt idx="624">
                  <c:v>43495</c:v>
                </c:pt>
                <c:pt idx="625">
                  <c:v>43494</c:v>
                </c:pt>
                <c:pt idx="626">
                  <c:v>43493</c:v>
                </c:pt>
                <c:pt idx="627">
                  <c:v>43492</c:v>
                </c:pt>
                <c:pt idx="628">
                  <c:v>43491</c:v>
                </c:pt>
                <c:pt idx="629">
                  <c:v>43490</c:v>
                </c:pt>
                <c:pt idx="630">
                  <c:v>43489</c:v>
                </c:pt>
                <c:pt idx="631">
                  <c:v>43488</c:v>
                </c:pt>
                <c:pt idx="632">
                  <c:v>43487</c:v>
                </c:pt>
                <c:pt idx="633">
                  <c:v>43486</c:v>
                </c:pt>
                <c:pt idx="634">
                  <c:v>43485</c:v>
                </c:pt>
                <c:pt idx="635">
                  <c:v>43484</c:v>
                </c:pt>
                <c:pt idx="636">
                  <c:v>43483</c:v>
                </c:pt>
                <c:pt idx="637">
                  <c:v>43482</c:v>
                </c:pt>
                <c:pt idx="638">
                  <c:v>43481</c:v>
                </c:pt>
                <c:pt idx="639">
                  <c:v>43480</c:v>
                </c:pt>
                <c:pt idx="640">
                  <c:v>43479</c:v>
                </c:pt>
                <c:pt idx="641">
                  <c:v>43478</c:v>
                </c:pt>
                <c:pt idx="642">
                  <c:v>43477</c:v>
                </c:pt>
                <c:pt idx="643">
                  <c:v>43476</c:v>
                </c:pt>
                <c:pt idx="644">
                  <c:v>43475</c:v>
                </c:pt>
                <c:pt idx="645">
                  <c:v>43474</c:v>
                </c:pt>
                <c:pt idx="646">
                  <c:v>43473</c:v>
                </c:pt>
                <c:pt idx="647">
                  <c:v>43472</c:v>
                </c:pt>
                <c:pt idx="648">
                  <c:v>43471</c:v>
                </c:pt>
                <c:pt idx="649">
                  <c:v>43470</c:v>
                </c:pt>
                <c:pt idx="650">
                  <c:v>43469</c:v>
                </c:pt>
                <c:pt idx="651">
                  <c:v>43468</c:v>
                </c:pt>
                <c:pt idx="652">
                  <c:v>43467</c:v>
                </c:pt>
              </c:numCache>
            </c:numRef>
          </c:cat>
          <c:val>
            <c:numRef>
              <c:f>ExportArbCAPP!$R$5:$R$657</c:f>
              <c:numCache>
                <c:formatCode>#,##0.00</c:formatCode>
                <c:ptCount val="653"/>
                <c:pt idx="0">
                  <c:v>-34.969903073770467</c:v>
                </c:pt>
                <c:pt idx="1">
                  <c:v>-34.889903073770469</c:v>
                </c:pt>
                <c:pt idx="2">
                  <c:v>-35.84990307377047</c:v>
                </c:pt>
                <c:pt idx="3">
                  <c:v>-34.239903073770471</c:v>
                </c:pt>
                <c:pt idx="4">
                  <c:v>-33.739903073770471</c:v>
                </c:pt>
                <c:pt idx="5">
                  <c:v>-33.739903073770471</c:v>
                </c:pt>
                <c:pt idx="6">
                  <c:v>-33.739903073770471</c:v>
                </c:pt>
                <c:pt idx="7">
                  <c:v>-34.645903073770484</c:v>
                </c:pt>
                <c:pt idx="8">
                  <c:v>-34.62590307377048</c:v>
                </c:pt>
                <c:pt idx="9">
                  <c:v>-34.62590307377048</c:v>
                </c:pt>
                <c:pt idx="10">
                  <c:v>-35.295903073770482</c:v>
                </c:pt>
                <c:pt idx="11">
                  <c:v>-35.775903073770479</c:v>
                </c:pt>
                <c:pt idx="12">
                  <c:v>-35.775903073770479</c:v>
                </c:pt>
                <c:pt idx="13">
                  <c:v>-35.775903073770479</c:v>
                </c:pt>
                <c:pt idx="14">
                  <c:v>-32.715903073770477</c:v>
                </c:pt>
                <c:pt idx="15">
                  <c:v>-32.935903073770476</c:v>
                </c:pt>
                <c:pt idx="16">
                  <c:v>-32.495903073770478</c:v>
                </c:pt>
                <c:pt idx="17">
                  <c:v>-33.045903073770482</c:v>
                </c:pt>
                <c:pt idx="18">
                  <c:v>-35.215903073770477</c:v>
                </c:pt>
                <c:pt idx="19">
                  <c:v>-35.215903073770477</c:v>
                </c:pt>
                <c:pt idx="20">
                  <c:v>-35.215903073770477</c:v>
                </c:pt>
                <c:pt idx="21">
                  <c:v>-33.633903073770469</c:v>
                </c:pt>
                <c:pt idx="22">
                  <c:v>-34.073903073770474</c:v>
                </c:pt>
                <c:pt idx="23">
                  <c:v>-35.433903073770473</c:v>
                </c:pt>
                <c:pt idx="24">
                  <c:v>-35.123903073770471</c:v>
                </c:pt>
                <c:pt idx="25">
                  <c:v>-35.193903073770471</c:v>
                </c:pt>
                <c:pt idx="26">
                  <c:v>-35.193903073770471</c:v>
                </c:pt>
                <c:pt idx="27">
                  <c:v>-35.193903073770471</c:v>
                </c:pt>
                <c:pt idx="28">
                  <c:v>-34.447903073770469</c:v>
                </c:pt>
                <c:pt idx="29">
                  <c:v>-34.97790307377047</c:v>
                </c:pt>
                <c:pt idx="30">
                  <c:v>-34.667903073770475</c:v>
                </c:pt>
                <c:pt idx="31">
                  <c:v>-34.827903073770479</c:v>
                </c:pt>
                <c:pt idx="32">
                  <c:v>-35.097903073770475</c:v>
                </c:pt>
                <c:pt idx="33">
                  <c:v>-35.097903073770475</c:v>
                </c:pt>
                <c:pt idx="34">
                  <c:v>-35.097903073770475</c:v>
                </c:pt>
                <c:pt idx="35">
                  <c:v>-36.306703073770478</c:v>
                </c:pt>
                <c:pt idx="36">
                  <c:v>-36.446703073770479</c:v>
                </c:pt>
                <c:pt idx="37">
                  <c:v>-37.796703073770473</c:v>
                </c:pt>
                <c:pt idx="38">
                  <c:v>-37.15670307377048</c:v>
                </c:pt>
                <c:pt idx="39">
                  <c:v>-36.296703073770473</c:v>
                </c:pt>
                <c:pt idx="40">
                  <c:v>-36.296703073770473</c:v>
                </c:pt>
                <c:pt idx="41">
                  <c:v>-36.296703073770473</c:v>
                </c:pt>
                <c:pt idx="42">
                  <c:v>-33.378017622950829</c:v>
                </c:pt>
                <c:pt idx="43">
                  <c:v>-32.848017622950827</c:v>
                </c:pt>
                <c:pt idx="44">
                  <c:v>-31.748017622950826</c:v>
                </c:pt>
                <c:pt idx="45">
                  <c:v>-34.578017622950824</c:v>
                </c:pt>
                <c:pt idx="46">
                  <c:v>-34.578017622950824</c:v>
                </c:pt>
                <c:pt idx="47">
                  <c:v>-34.578017622950824</c:v>
                </c:pt>
                <c:pt idx="48">
                  <c:v>-34.578017622950824</c:v>
                </c:pt>
                <c:pt idx="49">
                  <c:v>-39.052817622950819</c:v>
                </c:pt>
                <c:pt idx="50">
                  <c:v>-38.642817622950822</c:v>
                </c:pt>
                <c:pt idx="51">
                  <c:v>-39.452817622950825</c:v>
                </c:pt>
                <c:pt idx="52">
                  <c:v>-39.352817622950823</c:v>
                </c:pt>
                <c:pt idx="53">
                  <c:v>-39.642817622950822</c:v>
                </c:pt>
                <c:pt idx="54">
                  <c:v>-39.642817622950822</c:v>
                </c:pt>
                <c:pt idx="55">
                  <c:v>-39.642817622950822</c:v>
                </c:pt>
                <c:pt idx="56">
                  <c:v>-38.803217622950825</c:v>
                </c:pt>
                <c:pt idx="57">
                  <c:v>-37.67321762295083</c:v>
                </c:pt>
                <c:pt idx="58">
                  <c:v>-38.083217622950833</c:v>
                </c:pt>
                <c:pt idx="59">
                  <c:v>-37.383217622950831</c:v>
                </c:pt>
                <c:pt idx="60">
                  <c:v>-37.143217622950829</c:v>
                </c:pt>
                <c:pt idx="61">
                  <c:v>-37.143217622950829</c:v>
                </c:pt>
                <c:pt idx="62">
                  <c:v>-37.143217622950829</c:v>
                </c:pt>
                <c:pt idx="63">
                  <c:v>-37.325217622950831</c:v>
                </c:pt>
                <c:pt idx="64">
                  <c:v>-37.025217622950827</c:v>
                </c:pt>
                <c:pt idx="65">
                  <c:v>-35.585217622950829</c:v>
                </c:pt>
                <c:pt idx="66">
                  <c:v>-34.575217622950824</c:v>
                </c:pt>
                <c:pt idx="67">
                  <c:v>-34.815217622950826</c:v>
                </c:pt>
                <c:pt idx="68">
                  <c:v>-34.815217622950826</c:v>
                </c:pt>
                <c:pt idx="69">
                  <c:v>-34.815217622950826</c:v>
                </c:pt>
                <c:pt idx="70">
                  <c:v>-29.282598524590156</c:v>
                </c:pt>
                <c:pt idx="71">
                  <c:v>-28.622598524590153</c:v>
                </c:pt>
                <c:pt idx="72">
                  <c:v>-27.122598524590153</c:v>
                </c:pt>
                <c:pt idx="73">
                  <c:v>-26.532598524590156</c:v>
                </c:pt>
                <c:pt idx="74">
                  <c:v>-27.812598524590157</c:v>
                </c:pt>
                <c:pt idx="75">
                  <c:v>-27.812598524590157</c:v>
                </c:pt>
                <c:pt idx="76">
                  <c:v>-27.812598524590157</c:v>
                </c:pt>
                <c:pt idx="77">
                  <c:v>-29.020598524590156</c:v>
                </c:pt>
                <c:pt idx="78">
                  <c:v>-29.19059852459015</c:v>
                </c:pt>
                <c:pt idx="79">
                  <c:v>-29.530598524590147</c:v>
                </c:pt>
                <c:pt idx="80">
                  <c:v>-29.590598524590149</c:v>
                </c:pt>
                <c:pt idx="81">
                  <c:v>-28.850598524590154</c:v>
                </c:pt>
                <c:pt idx="82">
                  <c:v>-28.850598524590154</c:v>
                </c:pt>
                <c:pt idx="83">
                  <c:v>-28.850598524590154</c:v>
                </c:pt>
                <c:pt idx="84">
                  <c:v>-30.20459852459016</c:v>
                </c:pt>
                <c:pt idx="85">
                  <c:v>-29.804598524590162</c:v>
                </c:pt>
                <c:pt idx="86">
                  <c:v>-30.784598524590159</c:v>
                </c:pt>
                <c:pt idx="87">
                  <c:v>-31.664598524590161</c:v>
                </c:pt>
                <c:pt idx="88">
                  <c:v>-31.294598524590157</c:v>
                </c:pt>
                <c:pt idx="89">
                  <c:v>-31.294598524590157</c:v>
                </c:pt>
                <c:pt idx="90">
                  <c:v>-31.294598524590157</c:v>
                </c:pt>
                <c:pt idx="91">
                  <c:v>-31.545398524590148</c:v>
                </c:pt>
                <c:pt idx="92">
                  <c:v>-32.775398524590145</c:v>
                </c:pt>
                <c:pt idx="93">
                  <c:v>-34.245398524590144</c:v>
                </c:pt>
                <c:pt idx="94">
                  <c:v>-33.595398524590145</c:v>
                </c:pt>
                <c:pt idx="95">
                  <c:v>-33.475398524590148</c:v>
                </c:pt>
                <c:pt idx="96">
                  <c:v>-33.475398524590148</c:v>
                </c:pt>
                <c:pt idx="97">
                  <c:v>-33.475398524590148</c:v>
                </c:pt>
                <c:pt idx="98">
                  <c:v>-33.297398524590143</c:v>
                </c:pt>
                <c:pt idx="99">
                  <c:v>-33.357398524590145</c:v>
                </c:pt>
                <c:pt idx="100">
                  <c:v>-32.577398524590144</c:v>
                </c:pt>
                <c:pt idx="101">
                  <c:v>-32.017398524590149</c:v>
                </c:pt>
                <c:pt idx="102">
                  <c:v>-32.577398524590144</c:v>
                </c:pt>
                <c:pt idx="103">
                  <c:v>-32.577398524590144</c:v>
                </c:pt>
                <c:pt idx="104">
                  <c:v>-32.577398524590144</c:v>
                </c:pt>
                <c:pt idx="105">
                  <c:v>-30.008598524590148</c:v>
                </c:pt>
                <c:pt idx="106">
                  <c:v>-34.974627950819674</c:v>
                </c:pt>
                <c:pt idx="107">
                  <c:v>-35.824627950819675</c:v>
                </c:pt>
                <c:pt idx="108">
                  <c:v>-36.644627950819675</c:v>
                </c:pt>
                <c:pt idx="109">
                  <c:v>-37.774627950819678</c:v>
                </c:pt>
                <c:pt idx="110">
                  <c:v>-37.774627950819678</c:v>
                </c:pt>
                <c:pt idx="111">
                  <c:v>-37.774627950819678</c:v>
                </c:pt>
                <c:pt idx="112">
                  <c:v>-39.372593524590179</c:v>
                </c:pt>
                <c:pt idx="113">
                  <c:v>-38.992593524590177</c:v>
                </c:pt>
                <c:pt idx="114">
                  <c:v>-40.132593524590177</c:v>
                </c:pt>
                <c:pt idx="115">
                  <c:v>-42.182593524590182</c:v>
                </c:pt>
                <c:pt idx="116">
                  <c:v>-41.492593524590177</c:v>
                </c:pt>
                <c:pt idx="117">
                  <c:v>-41.492593524590177</c:v>
                </c:pt>
                <c:pt idx="118">
                  <c:v>-41.492593524590177</c:v>
                </c:pt>
                <c:pt idx="119">
                  <c:v>-39.144593524590178</c:v>
                </c:pt>
                <c:pt idx="120">
                  <c:v>-40.224593524590176</c:v>
                </c:pt>
                <c:pt idx="121">
                  <c:v>-38.304593524590175</c:v>
                </c:pt>
                <c:pt idx="122">
                  <c:v>-38.914593524590174</c:v>
                </c:pt>
                <c:pt idx="123">
                  <c:v>-39.304593524590175</c:v>
                </c:pt>
                <c:pt idx="124">
                  <c:v>-39.304593524590175</c:v>
                </c:pt>
                <c:pt idx="125">
                  <c:v>-39.304593524590175</c:v>
                </c:pt>
                <c:pt idx="126">
                  <c:v>-37.202168483606563</c:v>
                </c:pt>
                <c:pt idx="127">
                  <c:v>-36.152168483606566</c:v>
                </c:pt>
                <c:pt idx="128">
                  <c:v>-35.152168483606566</c:v>
                </c:pt>
                <c:pt idx="129">
                  <c:v>-34.50216848360656</c:v>
                </c:pt>
                <c:pt idx="130">
                  <c:v>-34.602168483606562</c:v>
                </c:pt>
                <c:pt idx="131">
                  <c:v>-34.602168483606562</c:v>
                </c:pt>
                <c:pt idx="132">
                  <c:v>-34.602168483606562</c:v>
                </c:pt>
                <c:pt idx="133">
                  <c:v>-33.954168483606551</c:v>
                </c:pt>
                <c:pt idx="134">
                  <c:v>-30.244168483606558</c:v>
                </c:pt>
                <c:pt idx="135">
                  <c:v>-31.664168483606552</c:v>
                </c:pt>
                <c:pt idx="136">
                  <c:v>-35.184168483606555</c:v>
                </c:pt>
                <c:pt idx="137">
                  <c:v>-39.874168483606553</c:v>
                </c:pt>
                <c:pt idx="138">
                  <c:v>-39.874168483606553</c:v>
                </c:pt>
                <c:pt idx="139">
                  <c:v>-39.874168483606553</c:v>
                </c:pt>
                <c:pt idx="140">
                  <c:v>-43.13901856557375</c:v>
                </c:pt>
                <c:pt idx="141">
                  <c:v>-42.609018565573749</c:v>
                </c:pt>
                <c:pt idx="142">
                  <c:v>-42.109018565573749</c:v>
                </c:pt>
                <c:pt idx="143">
                  <c:v>-41.949018565573752</c:v>
                </c:pt>
                <c:pt idx="144">
                  <c:v>-41.949018565573752</c:v>
                </c:pt>
                <c:pt idx="145">
                  <c:v>-41.949018565573752</c:v>
                </c:pt>
                <c:pt idx="146">
                  <c:v>-41.949018565573752</c:v>
                </c:pt>
                <c:pt idx="147">
                  <c:v>-41.619018565573747</c:v>
                </c:pt>
                <c:pt idx="148">
                  <c:v>-42.269018565573745</c:v>
                </c:pt>
                <c:pt idx="149">
                  <c:v>-42.069018565573749</c:v>
                </c:pt>
                <c:pt idx="150">
                  <c:v>-42.88901856557375</c:v>
                </c:pt>
                <c:pt idx="151">
                  <c:v>-42.289018565573748</c:v>
                </c:pt>
                <c:pt idx="152">
                  <c:v>-42.289018565573748</c:v>
                </c:pt>
                <c:pt idx="153">
                  <c:v>-42.289018565573748</c:v>
                </c:pt>
                <c:pt idx="154">
                  <c:v>-43.361018565573744</c:v>
                </c:pt>
                <c:pt idx="155">
                  <c:v>-43.311018565573747</c:v>
                </c:pt>
                <c:pt idx="156">
                  <c:v>-43.821018565573745</c:v>
                </c:pt>
                <c:pt idx="157">
                  <c:v>-43.611018565573744</c:v>
                </c:pt>
                <c:pt idx="158">
                  <c:v>-43.291018565573744</c:v>
                </c:pt>
                <c:pt idx="159">
                  <c:v>-43.291018565573744</c:v>
                </c:pt>
                <c:pt idx="160">
                  <c:v>-43.291018565573744</c:v>
                </c:pt>
                <c:pt idx="161">
                  <c:v>-43.969018565573741</c:v>
                </c:pt>
                <c:pt idx="162">
                  <c:v>-42.43901856557374</c:v>
                </c:pt>
                <c:pt idx="163">
                  <c:v>-43.059018565573737</c:v>
                </c:pt>
                <c:pt idx="164">
                  <c:v>-43.179018565573742</c:v>
                </c:pt>
                <c:pt idx="165">
                  <c:v>-43.109018565573741</c:v>
                </c:pt>
                <c:pt idx="166">
                  <c:v>-43.109018565573741</c:v>
                </c:pt>
                <c:pt idx="167">
                  <c:v>-43.109018565573741</c:v>
                </c:pt>
                <c:pt idx="168">
                  <c:v>-44.821509959016389</c:v>
                </c:pt>
                <c:pt idx="169">
                  <c:v>-45.721509959016387</c:v>
                </c:pt>
                <c:pt idx="170">
                  <c:v>-47.111509959016388</c:v>
                </c:pt>
                <c:pt idx="171">
                  <c:v>-45.661509959016392</c:v>
                </c:pt>
                <c:pt idx="172">
                  <c:v>-44.831509959016394</c:v>
                </c:pt>
                <c:pt idx="173">
                  <c:v>-44.831509959016394</c:v>
                </c:pt>
                <c:pt idx="174">
                  <c:v>-44.831509959016394</c:v>
                </c:pt>
                <c:pt idx="175">
                  <c:v>-45.089509959016389</c:v>
                </c:pt>
                <c:pt idx="176">
                  <c:v>-43.819509959016386</c:v>
                </c:pt>
                <c:pt idx="177">
                  <c:v>-42.419509959016388</c:v>
                </c:pt>
                <c:pt idx="178">
                  <c:v>-39.97950995901639</c:v>
                </c:pt>
                <c:pt idx="179">
                  <c:v>-39.939509959016384</c:v>
                </c:pt>
                <c:pt idx="180">
                  <c:v>-39.939509959016384</c:v>
                </c:pt>
                <c:pt idx="181">
                  <c:v>-39.939509959016384</c:v>
                </c:pt>
                <c:pt idx="182">
                  <c:v>-39.49150995901639</c:v>
                </c:pt>
                <c:pt idx="183">
                  <c:v>-39.621509959016386</c:v>
                </c:pt>
                <c:pt idx="184">
                  <c:v>-39.24150995901639</c:v>
                </c:pt>
                <c:pt idx="185">
                  <c:v>-37.701509959016391</c:v>
                </c:pt>
                <c:pt idx="186">
                  <c:v>-37.701509959016391</c:v>
                </c:pt>
                <c:pt idx="187">
                  <c:v>-37.701509959016391</c:v>
                </c:pt>
                <c:pt idx="188">
                  <c:v>-37.701509959016391</c:v>
                </c:pt>
                <c:pt idx="189">
                  <c:v>-37.249509959016393</c:v>
                </c:pt>
                <c:pt idx="190">
                  <c:v>-37.629509959016389</c:v>
                </c:pt>
                <c:pt idx="191">
                  <c:v>-38.419509959016388</c:v>
                </c:pt>
                <c:pt idx="192">
                  <c:v>-40.509509959016391</c:v>
                </c:pt>
                <c:pt idx="193">
                  <c:v>-39.399509959016392</c:v>
                </c:pt>
                <c:pt idx="194">
                  <c:v>-39.399509959016392</c:v>
                </c:pt>
                <c:pt idx="195">
                  <c:v>-39.399509959016392</c:v>
                </c:pt>
                <c:pt idx="196">
                  <c:v>-36.827937499999997</c:v>
                </c:pt>
                <c:pt idx="197">
                  <c:v>-35.6379375</c:v>
                </c:pt>
                <c:pt idx="198">
                  <c:v>-33.8479375</c:v>
                </c:pt>
                <c:pt idx="199">
                  <c:v>-32.227937499999996</c:v>
                </c:pt>
                <c:pt idx="200">
                  <c:v>-35.227937499999996</c:v>
                </c:pt>
                <c:pt idx="201">
                  <c:v>-35.227937499999996</c:v>
                </c:pt>
                <c:pt idx="202">
                  <c:v>-35.227937499999996</c:v>
                </c:pt>
                <c:pt idx="203">
                  <c:v>-31.699537499999991</c:v>
                </c:pt>
                <c:pt idx="204">
                  <c:v>-30.749537499999995</c:v>
                </c:pt>
                <c:pt idx="205">
                  <c:v>-35.649537499999994</c:v>
                </c:pt>
                <c:pt idx="206">
                  <c:v>-36.229537499999992</c:v>
                </c:pt>
                <c:pt idx="207">
                  <c:v>-36.049537499999992</c:v>
                </c:pt>
                <c:pt idx="208">
                  <c:v>-36.049537499999992</c:v>
                </c:pt>
                <c:pt idx="209">
                  <c:v>-36.049537499999992</c:v>
                </c:pt>
                <c:pt idx="210">
                  <c:v>-41.35796004098362</c:v>
                </c:pt>
                <c:pt idx="211">
                  <c:v>-40.847960040983622</c:v>
                </c:pt>
                <c:pt idx="212">
                  <c:v>-42.03796004098362</c:v>
                </c:pt>
                <c:pt idx="213">
                  <c:v>-42.847960040983622</c:v>
                </c:pt>
                <c:pt idx="214">
                  <c:v>-42.917960040983623</c:v>
                </c:pt>
                <c:pt idx="215">
                  <c:v>-42.917960040983623</c:v>
                </c:pt>
                <c:pt idx="216">
                  <c:v>-42.917960040983623</c:v>
                </c:pt>
                <c:pt idx="217">
                  <c:v>-43.28796004098362</c:v>
                </c:pt>
                <c:pt idx="218">
                  <c:v>-42.777960040983622</c:v>
                </c:pt>
                <c:pt idx="219">
                  <c:v>-43.067960040983621</c:v>
                </c:pt>
                <c:pt idx="220">
                  <c:v>-43.28796004098362</c:v>
                </c:pt>
                <c:pt idx="221">
                  <c:v>-41.207960040983622</c:v>
                </c:pt>
                <c:pt idx="222">
                  <c:v>-41.207960040983622</c:v>
                </c:pt>
                <c:pt idx="223">
                  <c:v>-41.207960040983622</c:v>
                </c:pt>
                <c:pt idx="224">
                  <c:v>-40.366360040983608</c:v>
                </c:pt>
                <c:pt idx="225">
                  <c:v>-41.096360040983612</c:v>
                </c:pt>
                <c:pt idx="226">
                  <c:v>-40.85636004098361</c:v>
                </c:pt>
                <c:pt idx="227">
                  <c:v>-41.42636004098361</c:v>
                </c:pt>
                <c:pt idx="228">
                  <c:v>-42.17636004098361</c:v>
                </c:pt>
                <c:pt idx="229">
                  <c:v>-42.17636004098361</c:v>
                </c:pt>
                <c:pt idx="230">
                  <c:v>-42.17636004098361</c:v>
                </c:pt>
                <c:pt idx="231">
                  <c:v>-43.290490245901637</c:v>
                </c:pt>
                <c:pt idx="232">
                  <c:v>-43.620490245901642</c:v>
                </c:pt>
                <c:pt idx="233">
                  <c:v>-42.910490245901642</c:v>
                </c:pt>
                <c:pt idx="234">
                  <c:v>-43.100490245901639</c:v>
                </c:pt>
                <c:pt idx="235">
                  <c:v>-42.160490245901642</c:v>
                </c:pt>
                <c:pt idx="236">
                  <c:v>-42.160490245901642</c:v>
                </c:pt>
                <c:pt idx="237">
                  <c:v>-42.160490245901642</c:v>
                </c:pt>
                <c:pt idx="238">
                  <c:v>-41.31049024590164</c:v>
                </c:pt>
                <c:pt idx="239">
                  <c:v>-40.88049024590164</c:v>
                </c:pt>
                <c:pt idx="240">
                  <c:v>-39.56049024590164</c:v>
                </c:pt>
                <c:pt idx="241">
                  <c:v>-37.870490245901642</c:v>
                </c:pt>
                <c:pt idx="242">
                  <c:v>-37.610490245901637</c:v>
                </c:pt>
                <c:pt idx="243">
                  <c:v>-37.610490245901637</c:v>
                </c:pt>
                <c:pt idx="244">
                  <c:v>-37.610490245901637</c:v>
                </c:pt>
                <c:pt idx="245">
                  <c:v>-39.436490245901638</c:v>
                </c:pt>
                <c:pt idx="246">
                  <c:v>-40.516490245901636</c:v>
                </c:pt>
                <c:pt idx="247">
                  <c:v>-41.456490245901641</c:v>
                </c:pt>
                <c:pt idx="248">
                  <c:v>-41.756490245901638</c:v>
                </c:pt>
                <c:pt idx="249">
                  <c:v>-40.896490245901639</c:v>
                </c:pt>
                <c:pt idx="250">
                  <c:v>-40.896490245901639</c:v>
                </c:pt>
                <c:pt idx="251">
                  <c:v>-40.896490245901639</c:v>
                </c:pt>
                <c:pt idx="252">
                  <c:v>-41.166490245901649</c:v>
                </c:pt>
                <c:pt idx="253">
                  <c:v>-40.396490245901646</c:v>
                </c:pt>
                <c:pt idx="254">
                  <c:v>-42.386490245901648</c:v>
                </c:pt>
                <c:pt idx="255">
                  <c:v>-42.426490245901647</c:v>
                </c:pt>
                <c:pt idx="256">
                  <c:v>-43.056490245901649</c:v>
                </c:pt>
                <c:pt idx="257">
                  <c:v>-43.056490245901649</c:v>
                </c:pt>
                <c:pt idx="258">
                  <c:v>-43.056490245901649</c:v>
                </c:pt>
                <c:pt idx="259">
                  <c:v>-42.033770368852466</c:v>
                </c:pt>
                <c:pt idx="260">
                  <c:v>-40.823770368852465</c:v>
                </c:pt>
                <c:pt idx="261">
                  <c:v>-40.823770368852465</c:v>
                </c:pt>
                <c:pt idx="262">
                  <c:v>-41.443770368852462</c:v>
                </c:pt>
                <c:pt idx="263">
                  <c:v>-41.573770368852465</c:v>
                </c:pt>
                <c:pt idx="264">
                  <c:v>-41.573770368852465</c:v>
                </c:pt>
                <c:pt idx="265">
                  <c:v>-41.573770368852465</c:v>
                </c:pt>
                <c:pt idx="266">
                  <c:v>-43.227770368852461</c:v>
                </c:pt>
                <c:pt idx="267">
                  <c:v>-42.977770368852461</c:v>
                </c:pt>
                <c:pt idx="268">
                  <c:v>-43.477770368852461</c:v>
                </c:pt>
                <c:pt idx="269">
                  <c:v>-43.067770368852464</c:v>
                </c:pt>
                <c:pt idx="270">
                  <c:v>-41.727770368852461</c:v>
                </c:pt>
                <c:pt idx="271">
                  <c:v>-41.727770368852461</c:v>
                </c:pt>
                <c:pt idx="272">
                  <c:v>-41.727770368852461</c:v>
                </c:pt>
                <c:pt idx="273">
                  <c:v>-40.40977036885247</c:v>
                </c:pt>
                <c:pt idx="274">
                  <c:v>-40.719770368852473</c:v>
                </c:pt>
                <c:pt idx="275">
                  <c:v>-40.329770368852472</c:v>
                </c:pt>
                <c:pt idx="276">
                  <c:v>-38.399770368852472</c:v>
                </c:pt>
                <c:pt idx="277">
                  <c:v>-38.749770368852474</c:v>
                </c:pt>
                <c:pt idx="278">
                  <c:v>-38.749770368852474</c:v>
                </c:pt>
                <c:pt idx="279">
                  <c:v>-38.749770368852474</c:v>
                </c:pt>
                <c:pt idx="280">
                  <c:v>-39.179770368852473</c:v>
                </c:pt>
                <c:pt idx="281">
                  <c:v>-39.099770368852475</c:v>
                </c:pt>
                <c:pt idx="282">
                  <c:v>-38.674524672131128</c:v>
                </c:pt>
                <c:pt idx="283">
                  <c:v>-38.174524672131128</c:v>
                </c:pt>
                <c:pt idx="284">
                  <c:v>-38.354524672131127</c:v>
                </c:pt>
                <c:pt idx="285">
                  <c:v>-38.354524672131127</c:v>
                </c:pt>
                <c:pt idx="286">
                  <c:v>-38.354524672131127</c:v>
                </c:pt>
                <c:pt idx="287">
                  <c:v>-42.553020450819659</c:v>
                </c:pt>
                <c:pt idx="288">
                  <c:v>-42.553020450819659</c:v>
                </c:pt>
                <c:pt idx="289">
                  <c:v>-42.553020450819659</c:v>
                </c:pt>
                <c:pt idx="290">
                  <c:v>-41.803020450819659</c:v>
                </c:pt>
                <c:pt idx="291">
                  <c:v>-40.633020450819657</c:v>
                </c:pt>
                <c:pt idx="292">
                  <c:v>-40.633020450819657</c:v>
                </c:pt>
                <c:pt idx="293">
                  <c:v>-40.633020450819657</c:v>
                </c:pt>
                <c:pt idx="294">
                  <c:v>-40.743020450819657</c:v>
                </c:pt>
                <c:pt idx="295">
                  <c:v>-40.743020450819657</c:v>
                </c:pt>
                <c:pt idx="296">
                  <c:v>-40.743020450819657</c:v>
                </c:pt>
                <c:pt idx="297">
                  <c:v>-41.423020450819656</c:v>
                </c:pt>
                <c:pt idx="298">
                  <c:v>-41.553020450819659</c:v>
                </c:pt>
                <c:pt idx="299">
                  <c:v>-41.553020450819659</c:v>
                </c:pt>
                <c:pt idx="300">
                  <c:v>-41.553020450819659</c:v>
                </c:pt>
                <c:pt idx="301">
                  <c:v>-42.529248934426221</c:v>
                </c:pt>
                <c:pt idx="302">
                  <c:v>-42.339248934426216</c:v>
                </c:pt>
                <c:pt idx="303">
                  <c:v>-42.699248934426215</c:v>
                </c:pt>
                <c:pt idx="304">
                  <c:v>-42.519248934426216</c:v>
                </c:pt>
                <c:pt idx="305">
                  <c:v>-41.989248934426215</c:v>
                </c:pt>
                <c:pt idx="306">
                  <c:v>-41.989248934426215</c:v>
                </c:pt>
                <c:pt idx="307">
                  <c:v>-41.989248934426215</c:v>
                </c:pt>
                <c:pt idx="308">
                  <c:v>-43.308592909836065</c:v>
                </c:pt>
                <c:pt idx="309">
                  <c:v>-41.758592909836061</c:v>
                </c:pt>
                <c:pt idx="310">
                  <c:v>-42.428592909836063</c:v>
                </c:pt>
                <c:pt idx="311">
                  <c:v>-41.958592909836064</c:v>
                </c:pt>
                <c:pt idx="312">
                  <c:v>-40.878592909836065</c:v>
                </c:pt>
                <c:pt idx="313">
                  <c:v>-40.878592909836065</c:v>
                </c:pt>
                <c:pt idx="314">
                  <c:v>-40.878592909836065</c:v>
                </c:pt>
                <c:pt idx="315">
                  <c:v>-40.110192909836059</c:v>
                </c:pt>
                <c:pt idx="316">
                  <c:v>-41.540192909836058</c:v>
                </c:pt>
                <c:pt idx="317">
                  <c:v>-38.670192909836061</c:v>
                </c:pt>
                <c:pt idx="318">
                  <c:v>-38.000192909836059</c:v>
                </c:pt>
                <c:pt idx="319">
                  <c:v>-38.800192909836056</c:v>
                </c:pt>
                <c:pt idx="320">
                  <c:v>-38.800192909836056</c:v>
                </c:pt>
                <c:pt idx="321">
                  <c:v>-38.800192909836056</c:v>
                </c:pt>
                <c:pt idx="322">
                  <c:v>-37.324192909836064</c:v>
                </c:pt>
                <c:pt idx="323">
                  <c:v>-36.644192909836065</c:v>
                </c:pt>
                <c:pt idx="324">
                  <c:v>-36.394192909836065</c:v>
                </c:pt>
                <c:pt idx="325">
                  <c:v>-35.754192909836064</c:v>
                </c:pt>
                <c:pt idx="326">
                  <c:v>-36.534192909836065</c:v>
                </c:pt>
                <c:pt idx="327">
                  <c:v>-36.534192909836065</c:v>
                </c:pt>
                <c:pt idx="328">
                  <c:v>-36.534192909836065</c:v>
                </c:pt>
                <c:pt idx="329">
                  <c:v>-44.879232663934431</c:v>
                </c:pt>
                <c:pt idx="330">
                  <c:v>-44.299232663934433</c:v>
                </c:pt>
                <c:pt idx="331">
                  <c:v>-45.119232663934426</c:v>
                </c:pt>
                <c:pt idx="332">
                  <c:v>-44.98923266393443</c:v>
                </c:pt>
                <c:pt idx="333">
                  <c:v>-44.659232663934432</c:v>
                </c:pt>
                <c:pt idx="334">
                  <c:v>-44.659232663934432</c:v>
                </c:pt>
                <c:pt idx="335">
                  <c:v>-44.659232663934432</c:v>
                </c:pt>
                <c:pt idx="336">
                  <c:v>-43.999232663934428</c:v>
                </c:pt>
                <c:pt idx="337">
                  <c:v>-45.559232663934431</c:v>
                </c:pt>
                <c:pt idx="338">
                  <c:v>-47.179232663934428</c:v>
                </c:pt>
                <c:pt idx="339">
                  <c:v>-45.479232663934432</c:v>
                </c:pt>
                <c:pt idx="340">
                  <c:v>-44.269232663934432</c:v>
                </c:pt>
                <c:pt idx="341">
                  <c:v>-44.269232663934432</c:v>
                </c:pt>
                <c:pt idx="342">
                  <c:v>-44.269232663934432</c:v>
                </c:pt>
                <c:pt idx="343">
                  <c:v>-46.020032663934415</c:v>
                </c:pt>
                <c:pt idx="344">
                  <c:v>-44.490032663934414</c:v>
                </c:pt>
                <c:pt idx="345">
                  <c:v>-46.010032663934417</c:v>
                </c:pt>
                <c:pt idx="346">
                  <c:v>-45.640032663934413</c:v>
                </c:pt>
                <c:pt idx="347">
                  <c:v>-45.840032663934416</c:v>
                </c:pt>
                <c:pt idx="348">
                  <c:v>-45.840032663934416</c:v>
                </c:pt>
                <c:pt idx="349">
                  <c:v>-45.840032663934416</c:v>
                </c:pt>
                <c:pt idx="350">
                  <c:v>-47.690032663934417</c:v>
                </c:pt>
                <c:pt idx="351">
                  <c:v>-45.570032663934413</c:v>
                </c:pt>
                <c:pt idx="352">
                  <c:v>-46.340032663934416</c:v>
                </c:pt>
                <c:pt idx="353">
                  <c:v>-46.360032663934419</c:v>
                </c:pt>
                <c:pt idx="354">
                  <c:v>-45.290032663934419</c:v>
                </c:pt>
                <c:pt idx="355">
                  <c:v>-45.290032663934419</c:v>
                </c:pt>
                <c:pt idx="356">
                  <c:v>-45.290032663934419</c:v>
                </c:pt>
                <c:pt idx="357">
                  <c:v>-44.796832663934424</c:v>
                </c:pt>
                <c:pt idx="358">
                  <c:v>-44.566832663934427</c:v>
                </c:pt>
                <c:pt idx="359">
                  <c:v>-43.386832663934428</c:v>
                </c:pt>
                <c:pt idx="360">
                  <c:v>-41.546832663934424</c:v>
                </c:pt>
                <c:pt idx="361">
                  <c:v>-41.416832663934422</c:v>
                </c:pt>
                <c:pt idx="362">
                  <c:v>-41.416832663934422</c:v>
                </c:pt>
                <c:pt idx="363">
                  <c:v>-41.416832663934422</c:v>
                </c:pt>
                <c:pt idx="364">
                  <c:v>-41.736832663934422</c:v>
                </c:pt>
                <c:pt idx="365">
                  <c:v>-41.506832663934425</c:v>
                </c:pt>
                <c:pt idx="366">
                  <c:v>-40.576832663934425</c:v>
                </c:pt>
                <c:pt idx="367">
                  <c:v>-41.506832663934425</c:v>
                </c:pt>
                <c:pt idx="368">
                  <c:v>-40.876832663934422</c:v>
                </c:pt>
                <c:pt idx="369">
                  <c:v>-40.876832663934422</c:v>
                </c:pt>
                <c:pt idx="370">
                  <c:v>-40.876832663934422</c:v>
                </c:pt>
                <c:pt idx="371">
                  <c:v>-40.519180081967207</c:v>
                </c:pt>
                <c:pt idx="372">
                  <c:v>-40.179180081967203</c:v>
                </c:pt>
                <c:pt idx="373">
                  <c:v>-40.589180081967207</c:v>
                </c:pt>
                <c:pt idx="374">
                  <c:v>-41.019180081967207</c:v>
                </c:pt>
                <c:pt idx="375">
                  <c:v>-41.069180081967204</c:v>
                </c:pt>
                <c:pt idx="376">
                  <c:v>-41.069180081967204</c:v>
                </c:pt>
                <c:pt idx="377">
                  <c:v>-41.069180081967204</c:v>
                </c:pt>
                <c:pt idx="378">
                  <c:v>-39.641863647540973</c:v>
                </c:pt>
                <c:pt idx="379">
                  <c:v>-39.751863647540972</c:v>
                </c:pt>
                <c:pt idx="380">
                  <c:v>-39.691863647540977</c:v>
                </c:pt>
                <c:pt idx="381">
                  <c:v>-39.791863647540978</c:v>
                </c:pt>
                <c:pt idx="382">
                  <c:v>-41.101863647540974</c:v>
                </c:pt>
                <c:pt idx="383">
                  <c:v>-41.101863647540974</c:v>
                </c:pt>
                <c:pt idx="384">
                  <c:v>-41.101863647540974</c:v>
                </c:pt>
                <c:pt idx="385">
                  <c:v>-43.414126557377038</c:v>
                </c:pt>
                <c:pt idx="386">
                  <c:v>-43.33412655737704</c:v>
                </c:pt>
                <c:pt idx="387">
                  <c:v>-41.484126557377039</c:v>
                </c:pt>
                <c:pt idx="388">
                  <c:v>-39.944126557377039</c:v>
                </c:pt>
                <c:pt idx="389">
                  <c:v>-39.474126557377041</c:v>
                </c:pt>
                <c:pt idx="390">
                  <c:v>-39.474126557377041</c:v>
                </c:pt>
                <c:pt idx="391">
                  <c:v>-39.474126557377041</c:v>
                </c:pt>
                <c:pt idx="392">
                  <c:v>-39.00252655737706</c:v>
                </c:pt>
                <c:pt idx="393">
                  <c:v>-39.25252655737706</c:v>
                </c:pt>
                <c:pt idx="394">
                  <c:v>-37.892526557377067</c:v>
                </c:pt>
                <c:pt idx="395">
                  <c:v>-37.312526557377055</c:v>
                </c:pt>
                <c:pt idx="396">
                  <c:v>-38.472526557377059</c:v>
                </c:pt>
                <c:pt idx="397">
                  <c:v>-38.472526557377059</c:v>
                </c:pt>
                <c:pt idx="398">
                  <c:v>-38.472526557377059</c:v>
                </c:pt>
                <c:pt idx="399">
                  <c:v>-37.794487745901648</c:v>
                </c:pt>
                <c:pt idx="400">
                  <c:v>-37.604487745901636</c:v>
                </c:pt>
                <c:pt idx="401">
                  <c:v>-38.724487745901648</c:v>
                </c:pt>
                <c:pt idx="402">
                  <c:v>-41.494487745901644</c:v>
                </c:pt>
                <c:pt idx="403">
                  <c:v>-42.874487745901646</c:v>
                </c:pt>
                <c:pt idx="404">
                  <c:v>-42.874487745901646</c:v>
                </c:pt>
                <c:pt idx="405">
                  <c:v>-42.874487745901646</c:v>
                </c:pt>
                <c:pt idx="406">
                  <c:v>-44.710487745901645</c:v>
                </c:pt>
                <c:pt idx="407">
                  <c:v>-43.510487745901642</c:v>
                </c:pt>
                <c:pt idx="408">
                  <c:v>-44.370487745901649</c:v>
                </c:pt>
                <c:pt idx="409">
                  <c:v>-45.990487745901646</c:v>
                </c:pt>
                <c:pt idx="410">
                  <c:v>-51.770487745901647</c:v>
                </c:pt>
                <c:pt idx="411">
                  <c:v>-51.770487745901647</c:v>
                </c:pt>
                <c:pt idx="412">
                  <c:v>-51.770487745901647</c:v>
                </c:pt>
                <c:pt idx="413">
                  <c:v>-48.751669590163942</c:v>
                </c:pt>
                <c:pt idx="414">
                  <c:v>-48.561669590163945</c:v>
                </c:pt>
                <c:pt idx="415">
                  <c:v>-47.931669590163942</c:v>
                </c:pt>
                <c:pt idx="416">
                  <c:v>-44.901669590163948</c:v>
                </c:pt>
                <c:pt idx="417">
                  <c:v>-44.901669590163948</c:v>
                </c:pt>
                <c:pt idx="418">
                  <c:v>-44.901669590163948</c:v>
                </c:pt>
                <c:pt idx="419">
                  <c:v>-44.901669590163948</c:v>
                </c:pt>
                <c:pt idx="420">
                  <c:v>-46.2583894672131</c:v>
                </c:pt>
                <c:pt idx="421">
                  <c:v>-45.238389467213096</c:v>
                </c:pt>
                <c:pt idx="422">
                  <c:v>-44.408389467213098</c:v>
                </c:pt>
                <c:pt idx="423">
                  <c:v>-43.348389467213096</c:v>
                </c:pt>
                <c:pt idx="424">
                  <c:v>-43.718389467213093</c:v>
                </c:pt>
                <c:pt idx="425">
                  <c:v>-43.718389467213093</c:v>
                </c:pt>
                <c:pt idx="426">
                  <c:v>-43.718389467213093</c:v>
                </c:pt>
                <c:pt idx="427">
                  <c:v>-47.507429221311469</c:v>
                </c:pt>
                <c:pt idx="428">
                  <c:v>-46.317429221311471</c:v>
                </c:pt>
                <c:pt idx="429">
                  <c:v>-45.817429221311471</c:v>
                </c:pt>
                <c:pt idx="430">
                  <c:v>-45.977429221311468</c:v>
                </c:pt>
                <c:pt idx="431">
                  <c:v>-45.96742922131147</c:v>
                </c:pt>
                <c:pt idx="432">
                  <c:v>-45.96742922131147</c:v>
                </c:pt>
                <c:pt idx="433">
                  <c:v>-45.96742922131147</c:v>
                </c:pt>
                <c:pt idx="434">
                  <c:v>-46.057429221311473</c:v>
                </c:pt>
                <c:pt idx="435">
                  <c:v>-45.947429221311474</c:v>
                </c:pt>
                <c:pt idx="436">
                  <c:v>-46.28742922131147</c:v>
                </c:pt>
                <c:pt idx="437">
                  <c:v>-44.847429221311472</c:v>
                </c:pt>
                <c:pt idx="438">
                  <c:v>-43.727429221311468</c:v>
                </c:pt>
                <c:pt idx="439">
                  <c:v>-43.727429221311468</c:v>
                </c:pt>
                <c:pt idx="440">
                  <c:v>-43.727429221311468</c:v>
                </c:pt>
                <c:pt idx="441">
                  <c:v>-42.152583524590156</c:v>
                </c:pt>
                <c:pt idx="442">
                  <c:v>-42.792583524590157</c:v>
                </c:pt>
                <c:pt idx="443">
                  <c:v>-42.502583524590158</c:v>
                </c:pt>
                <c:pt idx="444">
                  <c:v>-41.202583524590153</c:v>
                </c:pt>
                <c:pt idx="445">
                  <c:v>-40.432583524590157</c:v>
                </c:pt>
                <c:pt idx="446">
                  <c:v>-40.432583524590157</c:v>
                </c:pt>
                <c:pt idx="447">
                  <c:v>-40.432583524590157</c:v>
                </c:pt>
                <c:pt idx="448">
                  <c:v>-42.082183524590157</c:v>
                </c:pt>
                <c:pt idx="449">
                  <c:v>-41.262183524590156</c:v>
                </c:pt>
                <c:pt idx="450">
                  <c:v>-41.722183524590157</c:v>
                </c:pt>
                <c:pt idx="451">
                  <c:v>-41.342183524590162</c:v>
                </c:pt>
                <c:pt idx="452">
                  <c:v>-42.682183524590158</c:v>
                </c:pt>
                <c:pt idx="453">
                  <c:v>-42.682183524590158</c:v>
                </c:pt>
                <c:pt idx="454">
                  <c:v>-42.682183524590158</c:v>
                </c:pt>
                <c:pt idx="455">
                  <c:v>-33.689738442622946</c:v>
                </c:pt>
                <c:pt idx="456">
                  <c:v>-34.999738442622949</c:v>
                </c:pt>
                <c:pt idx="457">
                  <c:v>-35.159738442622952</c:v>
                </c:pt>
                <c:pt idx="458">
                  <c:v>-33.379738442622951</c:v>
                </c:pt>
                <c:pt idx="459">
                  <c:v>-33.41973844262295</c:v>
                </c:pt>
                <c:pt idx="460">
                  <c:v>-33.41973844262295</c:v>
                </c:pt>
                <c:pt idx="461">
                  <c:v>-33.41973844262295</c:v>
                </c:pt>
                <c:pt idx="462">
                  <c:v>-36.044883360655732</c:v>
                </c:pt>
                <c:pt idx="463">
                  <c:v>-38.144883360655733</c:v>
                </c:pt>
                <c:pt idx="464">
                  <c:v>-38.314883360655735</c:v>
                </c:pt>
                <c:pt idx="465">
                  <c:v>-36.724883360655738</c:v>
                </c:pt>
                <c:pt idx="466">
                  <c:v>-38.584883360655738</c:v>
                </c:pt>
                <c:pt idx="467">
                  <c:v>-38.584883360655738</c:v>
                </c:pt>
                <c:pt idx="468">
                  <c:v>-38.584883360655738</c:v>
                </c:pt>
                <c:pt idx="469">
                  <c:v>-40.240723360655736</c:v>
                </c:pt>
                <c:pt idx="470">
                  <c:v>-41.310723360655736</c:v>
                </c:pt>
                <c:pt idx="471">
                  <c:v>-42.850723360655735</c:v>
                </c:pt>
                <c:pt idx="472">
                  <c:v>-42.760723360655732</c:v>
                </c:pt>
                <c:pt idx="473">
                  <c:v>-47.210723360655734</c:v>
                </c:pt>
                <c:pt idx="474">
                  <c:v>-47.210723360655734</c:v>
                </c:pt>
                <c:pt idx="475">
                  <c:v>-47.210723360655734</c:v>
                </c:pt>
                <c:pt idx="476">
                  <c:v>-45.35048336065573</c:v>
                </c:pt>
                <c:pt idx="477">
                  <c:v>-45.120483360655733</c:v>
                </c:pt>
                <c:pt idx="478">
                  <c:v>-45.150483360655734</c:v>
                </c:pt>
                <c:pt idx="479">
                  <c:v>-44.820483360655729</c:v>
                </c:pt>
                <c:pt idx="480">
                  <c:v>-44.650483360655734</c:v>
                </c:pt>
                <c:pt idx="481">
                  <c:v>-44.650483360655734</c:v>
                </c:pt>
                <c:pt idx="482">
                  <c:v>-44.650483360655734</c:v>
                </c:pt>
                <c:pt idx="483">
                  <c:v>-41.150163483606562</c:v>
                </c:pt>
                <c:pt idx="484">
                  <c:v>-41.890163483606564</c:v>
                </c:pt>
                <c:pt idx="485">
                  <c:v>-41.140163483606564</c:v>
                </c:pt>
                <c:pt idx="486">
                  <c:v>-41.34016348360656</c:v>
                </c:pt>
                <c:pt idx="487">
                  <c:v>-40.700163483606559</c:v>
                </c:pt>
                <c:pt idx="488">
                  <c:v>-40.700163483606559</c:v>
                </c:pt>
                <c:pt idx="489">
                  <c:v>-40.700163483606559</c:v>
                </c:pt>
                <c:pt idx="490">
                  <c:v>-40.406163483606562</c:v>
                </c:pt>
                <c:pt idx="491">
                  <c:v>-39.716163483606564</c:v>
                </c:pt>
                <c:pt idx="492">
                  <c:v>-39.406163483606562</c:v>
                </c:pt>
                <c:pt idx="493">
                  <c:v>-38.426163483606558</c:v>
                </c:pt>
                <c:pt idx="494">
                  <c:v>-38.126163483606561</c:v>
                </c:pt>
                <c:pt idx="495">
                  <c:v>-38.126163483606561</c:v>
                </c:pt>
                <c:pt idx="496">
                  <c:v>-38.126163483606561</c:v>
                </c:pt>
                <c:pt idx="497">
                  <c:v>-39.626163483606561</c:v>
                </c:pt>
                <c:pt idx="498">
                  <c:v>-38.876163483606561</c:v>
                </c:pt>
                <c:pt idx="499">
                  <c:v>-38.48616348360656</c:v>
                </c:pt>
                <c:pt idx="500">
                  <c:v>-38.696163483606561</c:v>
                </c:pt>
                <c:pt idx="501">
                  <c:v>-39.926163483606558</c:v>
                </c:pt>
                <c:pt idx="502">
                  <c:v>-39.926163483606558</c:v>
                </c:pt>
                <c:pt idx="503">
                  <c:v>-39.926163483606558</c:v>
                </c:pt>
                <c:pt idx="504">
                  <c:v>-38.790563483606562</c:v>
                </c:pt>
                <c:pt idx="505">
                  <c:v>-37.470563483606561</c:v>
                </c:pt>
                <c:pt idx="506">
                  <c:v>-35.930563483606562</c:v>
                </c:pt>
                <c:pt idx="507">
                  <c:v>-35.240563483606564</c:v>
                </c:pt>
                <c:pt idx="508">
                  <c:v>-35.240563483606564</c:v>
                </c:pt>
                <c:pt idx="509">
                  <c:v>-35.240563483606564</c:v>
                </c:pt>
                <c:pt idx="510">
                  <c:v>-35.240563483606564</c:v>
                </c:pt>
                <c:pt idx="511">
                  <c:v>-39.775673975409845</c:v>
                </c:pt>
                <c:pt idx="512">
                  <c:v>-38.665673975409845</c:v>
                </c:pt>
                <c:pt idx="513">
                  <c:v>-39.275673975409845</c:v>
                </c:pt>
                <c:pt idx="514">
                  <c:v>-37.865673975409848</c:v>
                </c:pt>
                <c:pt idx="515">
                  <c:v>-37.345673975409845</c:v>
                </c:pt>
                <c:pt idx="516">
                  <c:v>-37.345673975409845</c:v>
                </c:pt>
                <c:pt idx="517">
                  <c:v>-37.345673975409845</c:v>
                </c:pt>
                <c:pt idx="518">
                  <c:v>-38.456393852459009</c:v>
                </c:pt>
                <c:pt idx="519">
                  <c:v>-38.146393852459013</c:v>
                </c:pt>
                <c:pt idx="520">
                  <c:v>-38.006393852459013</c:v>
                </c:pt>
                <c:pt idx="521">
                  <c:v>-37.496393852459008</c:v>
                </c:pt>
                <c:pt idx="522">
                  <c:v>-37.496393852459008</c:v>
                </c:pt>
                <c:pt idx="523">
                  <c:v>-37.496393852459008</c:v>
                </c:pt>
                <c:pt idx="524">
                  <c:v>-37.496393852459008</c:v>
                </c:pt>
                <c:pt idx="525">
                  <c:v>-39.115998237704915</c:v>
                </c:pt>
                <c:pt idx="526">
                  <c:v>-39.145998237704916</c:v>
                </c:pt>
                <c:pt idx="527">
                  <c:v>-39.705998237704918</c:v>
                </c:pt>
                <c:pt idx="528">
                  <c:v>-38.985998237704919</c:v>
                </c:pt>
                <c:pt idx="529">
                  <c:v>-38.985998237704919</c:v>
                </c:pt>
                <c:pt idx="530">
                  <c:v>-38.985998237704919</c:v>
                </c:pt>
                <c:pt idx="531">
                  <c:v>-38.985998237704919</c:v>
                </c:pt>
                <c:pt idx="532">
                  <c:v>-42.602718114754097</c:v>
                </c:pt>
                <c:pt idx="533">
                  <c:v>-43.282718114754097</c:v>
                </c:pt>
                <c:pt idx="534">
                  <c:v>-43.362718114754095</c:v>
                </c:pt>
                <c:pt idx="535">
                  <c:v>-42.472718114754095</c:v>
                </c:pt>
                <c:pt idx="536">
                  <c:v>-42.662718114754099</c:v>
                </c:pt>
                <c:pt idx="537">
                  <c:v>-42.662718114754099</c:v>
                </c:pt>
                <c:pt idx="538">
                  <c:v>-42.662718114754099</c:v>
                </c:pt>
                <c:pt idx="539">
                  <c:v>-44.006237991803275</c:v>
                </c:pt>
                <c:pt idx="540">
                  <c:v>-42.146237991803268</c:v>
                </c:pt>
                <c:pt idx="541">
                  <c:v>-41.396237991803268</c:v>
                </c:pt>
                <c:pt idx="542">
                  <c:v>-41.836237991803273</c:v>
                </c:pt>
                <c:pt idx="543">
                  <c:v>-41.836237991803273</c:v>
                </c:pt>
                <c:pt idx="544">
                  <c:v>-41.836237991803273</c:v>
                </c:pt>
                <c:pt idx="545">
                  <c:v>-41.836237991803273</c:v>
                </c:pt>
                <c:pt idx="546">
                  <c:v>-43.53255786885245</c:v>
                </c:pt>
                <c:pt idx="547">
                  <c:v>-43.432557868852449</c:v>
                </c:pt>
                <c:pt idx="548">
                  <c:v>-44.21255786885245</c:v>
                </c:pt>
                <c:pt idx="549">
                  <c:v>-43.78255786885245</c:v>
                </c:pt>
                <c:pt idx="550">
                  <c:v>-42.472557868852448</c:v>
                </c:pt>
                <c:pt idx="551">
                  <c:v>-42.472557868852448</c:v>
                </c:pt>
                <c:pt idx="552">
                  <c:v>-42.472557868852448</c:v>
                </c:pt>
                <c:pt idx="553">
                  <c:v>-48.50196319672132</c:v>
                </c:pt>
                <c:pt idx="554">
                  <c:v>-47.121963196721318</c:v>
                </c:pt>
                <c:pt idx="555">
                  <c:v>-49.101963196721321</c:v>
                </c:pt>
                <c:pt idx="556">
                  <c:v>-50.731963196721317</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numCache>
            </c:numRef>
          </c:val>
          <c:extLst>
            <c:ext xmlns:c16="http://schemas.microsoft.com/office/drawing/2014/chart" uri="{C3380CC4-5D6E-409C-BE32-E72D297353CC}">
              <c16:uniqueId val="{00000000-2CA1-4B2D-A6F2-BEEB85A56030}"/>
            </c:ext>
          </c:extLst>
        </c:ser>
        <c:dLbls>
          <c:showLegendKey val="0"/>
          <c:showVal val="0"/>
          <c:showCatName val="0"/>
          <c:showSerName val="0"/>
          <c:showPercent val="0"/>
          <c:showBubbleSize val="0"/>
        </c:dLbls>
        <c:gapWidth val="0"/>
        <c:overlap val="-35"/>
        <c:axId val="1013146528"/>
        <c:axId val="1013145744"/>
      </c:barChart>
      <c:lineChart>
        <c:grouping val="standard"/>
        <c:varyColors val="0"/>
        <c:ser>
          <c:idx val="0"/>
          <c:order val="0"/>
          <c:tx>
            <c:strRef>
              <c:f>ExportArbCAPP!$P$4</c:f>
              <c:strCache>
                <c:ptCount val="1"/>
                <c:pt idx="0">
                  <c:v>CAPP delivered</c:v>
                </c:pt>
              </c:strCache>
            </c:strRef>
          </c:tx>
          <c:spPr>
            <a:ln>
              <a:solidFill>
                <a:srgbClr val="00AB4E"/>
              </a:solidFill>
            </a:ln>
          </c:spPr>
          <c:marker>
            <c:symbol val="none"/>
          </c:marker>
          <c:cat>
            <c:numRef>
              <c:f>ExportArbCAPP!$O$5:$O$657</c:f>
              <c:numCache>
                <c:formatCode>m/d/yyyy</c:formatCode>
                <c:ptCount val="653"/>
                <c:pt idx="0">
                  <c:v>44119</c:v>
                </c:pt>
                <c:pt idx="1">
                  <c:v>44118</c:v>
                </c:pt>
                <c:pt idx="2">
                  <c:v>44117</c:v>
                </c:pt>
                <c:pt idx="3">
                  <c:v>44116</c:v>
                </c:pt>
                <c:pt idx="4">
                  <c:v>44115</c:v>
                </c:pt>
                <c:pt idx="5">
                  <c:v>44114</c:v>
                </c:pt>
                <c:pt idx="6">
                  <c:v>44113</c:v>
                </c:pt>
                <c:pt idx="7">
                  <c:v>44112</c:v>
                </c:pt>
                <c:pt idx="8">
                  <c:v>44111</c:v>
                </c:pt>
                <c:pt idx="9">
                  <c:v>44110</c:v>
                </c:pt>
                <c:pt idx="10">
                  <c:v>44109</c:v>
                </c:pt>
                <c:pt idx="11">
                  <c:v>44108</c:v>
                </c:pt>
                <c:pt idx="12">
                  <c:v>44107</c:v>
                </c:pt>
                <c:pt idx="13">
                  <c:v>44106</c:v>
                </c:pt>
                <c:pt idx="14">
                  <c:v>44105</c:v>
                </c:pt>
                <c:pt idx="15">
                  <c:v>44104</c:v>
                </c:pt>
                <c:pt idx="16">
                  <c:v>44103</c:v>
                </c:pt>
                <c:pt idx="17">
                  <c:v>44102</c:v>
                </c:pt>
                <c:pt idx="18">
                  <c:v>44101</c:v>
                </c:pt>
                <c:pt idx="19">
                  <c:v>44100</c:v>
                </c:pt>
                <c:pt idx="20">
                  <c:v>44099</c:v>
                </c:pt>
                <c:pt idx="21">
                  <c:v>44098</c:v>
                </c:pt>
                <c:pt idx="22">
                  <c:v>44097</c:v>
                </c:pt>
                <c:pt idx="23">
                  <c:v>44096</c:v>
                </c:pt>
                <c:pt idx="24">
                  <c:v>44095</c:v>
                </c:pt>
                <c:pt idx="25">
                  <c:v>44094</c:v>
                </c:pt>
                <c:pt idx="26">
                  <c:v>44093</c:v>
                </c:pt>
                <c:pt idx="27">
                  <c:v>44092</c:v>
                </c:pt>
                <c:pt idx="28">
                  <c:v>44091</c:v>
                </c:pt>
                <c:pt idx="29">
                  <c:v>44090</c:v>
                </c:pt>
                <c:pt idx="30">
                  <c:v>44089</c:v>
                </c:pt>
                <c:pt idx="31">
                  <c:v>44088</c:v>
                </c:pt>
                <c:pt idx="32">
                  <c:v>44087</c:v>
                </c:pt>
                <c:pt idx="33">
                  <c:v>44086</c:v>
                </c:pt>
                <c:pt idx="34">
                  <c:v>44085</c:v>
                </c:pt>
                <c:pt idx="35">
                  <c:v>44084</c:v>
                </c:pt>
                <c:pt idx="36">
                  <c:v>44083</c:v>
                </c:pt>
                <c:pt idx="37">
                  <c:v>44082</c:v>
                </c:pt>
                <c:pt idx="38">
                  <c:v>44081</c:v>
                </c:pt>
                <c:pt idx="39">
                  <c:v>44080</c:v>
                </c:pt>
                <c:pt idx="40">
                  <c:v>44079</c:v>
                </c:pt>
                <c:pt idx="41">
                  <c:v>44078</c:v>
                </c:pt>
                <c:pt idx="42">
                  <c:v>44077</c:v>
                </c:pt>
                <c:pt idx="43">
                  <c:v>44076</c:v>
                </c:pt>
                <c:pt idx="44">
                  <c:v>44075</c:v>
                </c:pt>
                <c:pt idx="45">
                  <c:v>44074</c:v>
                </c:pt>
                <c:pt idx="46">
                  <c:v>44073</c:v>
                </c:pt>
                <c:pt idx="47">
                  <c:v>44072</c:v>
                </c:pt>
                <c:pt idx="48">
                  <c:v>44071</c:v>
                </c:pt>
                <c:pt idx="49">
                  <c:v>44070</c:v>
                </c:pt>
                <c:pt idx="50">
                  <c:v>44069</c:v>
                </c:pt>
                <c:pt idx="51">
                  <c:v>44068</c:v>
                </c:pt>
                <c:pt idx="52">
                  <c:v>44067</c:v>
                </c:pt>
                <c:pt idx="53">
                  <c:v>44066</c:v>
                </c:pt>
                <c:pt idx="54">
                  <c:v>44065</c:v>
                </c:pt>
                <c:pt idx="55">
                  <c:v>44064</c:v>
                </c:pt>
                <c:pt idx="56">
                  <c:v>44063</c:v>
                </c:pt>
                <c:pt idx="57">
                  <c:v>44062</c:v>
                </c:pt>
                <c:pt idx="58">
                  <c:v>44061</c:v>
                </c:pt>
                <c:pt idx="59">
                  <c:v>44060</c:v>
                </c:pt>
                <c:pt idx="60">
                  <c:v>44059</c:v>
                </c:pt>
                <c:pt idx="61">
                  <c:v>44058</c:v>
                </c:pt>
                <c:pt idx="62">
                  <c:v>44057</c:v>
                </c:pt>
                <c:pt idx="63">
                  <c:v>44056</c:v>
                </c:pt>
                <c:pt idx="64">
                  <c:v>44055</c:v>
                </c:pt>
                <c:pt idx="65">
                  <c:v>44054</c:v>
                </c:pt>
                <c:pt idx="66">
                  <c:v>44053</c:v>
                </c:pt>
                <c:pt idx="67">
                  <c:v>44052</c:v>
                </c:pt>
                <c:pt idx="68">
                  <c:v>44051</c:v>
                </c:pt>
                <c:pt idx="69">
                  <c:v>44050</c:v>
                </c:pt>
                <c:pt idx="70">
                  <c:v>44049</c:v>
                </c:pt>
                <c:pt idx="71">
                  <c:v>44048</c:v>
                </c:pt>
                <c:pt idx="72">
                  <c:v>44047</c:v>
                </c:pt>
                <c:pt idx="73">
                  <c:v>44046</c:v>
                </c:pt>
                <c:pt idx="74">
                  <c:v>44045</c:v>
                </c:pt>
                <c:pt idx="75">
                  <c:v>44044</c:v>
                </c:pt>
                <c:pt idx="76">
                  <c:v>44043</c:v>
                </c:pt>
                <c:pt idx="77">
                  <c:v>44042</c:v>
                </c:pt>
                <c:pt idx="78">
                  <c:v>44041</c:v>
                </c:pt>
                <c:pt idx="79">
                  <c:v>44040</c:v>
                </c:pt>
                <c:pt idx="80">
                  <c:v>44039</c:v>
                </c:pt>
                <c:pt idx="81">
                  <c:v>44038</c:v>
                </c:pt>
                <c:pt idx="82">
                  <c:v>44037</c:v>
                </c:pt>
                <c:pt idx="83">
                  <c:v>44036</c:v>
                </c:pt>
                <c:pt idx="84">
                  <c:v>44035</c:v>
                </c:pt>
                <c:pt idx="85">
                  <c:v>44034</c:v>
                </c:pt>
                <c:pt idx="86">
                  <c:v>44033</c:v>
                </c:pt>
                <c:pt idx="87">
                  <c:v>44032</c:v>
                </c:pt>
                <c:pt idx="88">
                  <c:v>44031</c:v>
                </c:pt>
                <c:pt idx="89">
                  <c:v>44030</c:v>
                </c:pt>
                <c:pt idx="90">
                  <c:v>44029</c:v>
                </c:pt>
                <c:pt idx="91">
                  <c:v>44028</c:v>
                </c:pt>
                <c:pt idx="92">
                  <c:v>44027</c:v>
                </c:pt>
                <c:pt idx="93">
                  <c:v>44026</c:v>
                </c:pt>
                <c:pt idx="94">
                  <c:v>44025</c:v>
                </c:pt>
                <c:pt idx="95">
                  <c:v>44024</c:v>
                </c:pt>
                <c:pt idx="96">
                  <c:v>44023</c:v>
                </c:pt>
                <c:pt idx="97">
                  <c:v>44022</c:v>
                </c:pt>
                <c:pt idx="98">
                  <c:v>44021</c:v>
                </c:pt>
                <c:pt idx="99">
                  <c:v>44020</c:v>
                </c:pt>
                <c:pt idx="100">
                  <c:v>44019</c:v>
                </c:pt>
                <c:pt idx="101">
                  <c:v>44018</c:v>
                </c:pt>
                <c:pt idx="102">
                  <c:v>44017</c:v>
                </c:pt>
                <c:pt idx="103">
                  <c:v>44016</c:v>
                </c:pt>
                <c:pt idx="104">
                  <c:v>44015</c:v>
                </c:pt>
                <c:pt idx="105">
                  <c:v>44014</c:v>
                </c:pt>
                <c:pt idx="106">
                  <c:v>44013</c:v>
                </c:pt>
                <c:pt idx="107">
                  <c:v>44012</c:v>
                </c:pt>
                <c:pt idx="108">
                  <c:v>44011</c:v>
                </c:pt>
                <c:pt idx="109">
                  <c:v>44010</c:v>
                </c:pt>
                <c:pt idx="110">
                  <c:v>44009</c:v>
                </c:pt>
                <c:pt idx="111">
                  <c:v>44008</c:v>
                </c:pt>
                <c:pt idx="112">
                  <c:v>44007</c:v>
                </c:pt>
                <c:pt idx="113">
                  <c:v>44006</c:v>
                </c:pt>
                <c:pt idx="114">
                  <c:v>44005</c:v>
                </c:pt>
                <c:pt idx="115">
                  <c:v>44004</c:v>
                </c:pt>
                <c:pt idx="116">
                  <c:v>44003</c:v>
                </c:pt>
                <c:pt idx="117">
                  <c:v>44002</c:v>
                </c:pt>
                <c:pt idx="118">
                  <c:v>44001</c:v>
                </c:pt>
                <c:pt idx="119">
                  <c:v>44000</c:v>
                </c:pt>
                <c:pt idx="120">
                  <c:v>43999</c:v>
                </c:pt>
                <c:pt idx="121">
                  <c:v>43998</c:v>
                </c:pt>
                <c:pt idx="122">
                  <c:v>43997</c:v>
                </c:pt>
                <c:pt idx="123">
                  <c:v>43996</c:v>
                </c:pt>
                <c:pt idx="124">
                  <c:v>43995</c:v>
                </c:pt>
                <c:pt idx="125">
                  <c:v>43994</c:v>
                </c:pt>
                <c:pt idx="126">
                  <c:v>43993</c:v>
                </c:pt>
                <c:pt idx="127">
                  <c:v>43992</c:v>
                </c:pt>
                <c:pt idx="128">
                  <c:v>43991</c:v>
                </c:pt>
                <c:pt idx="129">
                  <c:v>43990</c:v>
                </c:pt>
                <c:pt idx="130">
                  <c:v>43989</c:v>
                </c:pt>
                <c:pt idx="131">
                  <c:v>43988</c:v>
                </c:pt>
                <c:pt idx="132">
                  <c:v>43987</c:v>
                </c:pt>
                <c:pt idx="133">
                  <c:v>43986</c:v>
                </c:pt>
                <c:pt idx="134">
                  <c:v>43985</c:v>
                </c:pt>
                <c:pt idx="135">
                  <c:v>43984</c:v>
                </c:pt>
                <c:pt idx="136">
                  <c:v>43983</c:v>
                </c:pt>
                <c:pt idx="137">
                  <c:v>43982</c:v>
                </c:pt>
                <c:pt idx="138">
                  <c:v>43981</c:v>
                </c:pt>
                <c:pt idx="139">
                  <c:v>43980</c:v>
                </c:pt>
                <c:pt idx="140">
                  <c:v>43979</c:v>
                </c:pt>
                <c:pt idx="141">
                  <c:v>43978</c:v>
                </c:pt>
                <c:pt idx="142">
                  <c:v>43977</c:v>
                </c:pt>
                <c:pt idx="143">
                  <c:v>43976</c:v>
                </c:pt>
                <c:pt idx="144">
                  <c:v>43975</c:v>
                </c:pt>
                <c:pt idx="145">
                  <c:v>43974</c:v>
                </c:pt>
                <c:pt idx="146">
                  <c:v>43973</c:v>
                </c:pt>
                <c:pt idx="147">
                  <c:v>43972</c:v>
                </c:pt>
                <c:pt idx="148">
                  <c:v>43971</c:v>
                </c:pt>
                <c:pt idx="149">
                  <c:v>43970</c:v>
                </c:pt>
                <c:pt idx="150">
                  <c:v>43969</c:v>
                </c:pt>
                <c:pt idx="151">
                  <c:v>43968</c:v>
                </c:pt>
                <c:pt idx="152">
                  <c:v>43967</c:v>
                </c:pt>
                <c:pt idx="153">
                  <c:v>43966</c:v>
                </c:pt>
                <c:pt idx="154">
                  <c:v>43965</c:v>
                </c:pt>
                <c:pt idx="155">
                  <c:v>43964</c:v>
                </c:pt>
                <c:pt idx="156">
                  <c:v>43963</c:v>
                </c:pt>
                <c:pt idx="157">
                  <c:v>43962</c:v>
                </c:pt>
                <c:pt idx="158">
                  <c:v>43961</c:v>
                </c:pt>
                <c:pt idx="159">
                  <c:v>43960</c:v>
                </c:pt>
                <c:pt idx="160">
                  <c:v>43959</c:v>
                </c:pt>
                <c:pt idx="161">
                  <c:v>43958</c:v>
                </c:pt>
                <c:pt idx="162">
                  <c:v>43957</c:v>
                </c:pt>
                <c:pt idx="163">
                  <c:v>43956</c:v>
                </c:pt>
                <c:pt idx="164">
                  <c:v>43955</c:v>
                </c:pt>
                <c:pt idx="165">
                  <c:v>43954</c:v>
                </c:pt>
                <c:pt idx="166">
                  <c:v>43953</c:v>
                </c:pt>
                <c:pt idx="167">
                  <c:v>43952</c:v>
                </c:pt>
                <c:pt idx="168">
                  <c:v>43951</c:v>
                </c:pt>
                <c:pt idx="169">
                  <c:v>43950</c:v>
                </c:pt>
                <c:pt idx="170">
                  <c:v>43949</c:v>
                </c:pt>
                <c:pt idx="171">
                  <c:v>43948</c:v>
                </c:pt>
                <c:pt idx="172">
                  <c:v>43947</c:v>
                </c:pt>
                <c:pt idx="173">
                  <c:v>43946</c:v>
                </c:pt>
                <c:pt idx="174">
                  <c:v>43945</c:v>
                </c:pt>
                <c:pt idx="175">
                  <c:v>43944</c:v>
                </c:pt>
                <c:pt idx="176">
                  <c:v>43943</c:v>
                </c:pt>
                <c:pt idx="177">
                  <c:v>43942</c:v>
                </c:pt>
                <c:pt idx="178">
                  <c:v>43941</c:v>
                </c:pt>
                <c:pt idx="179">
                  <c:v>43940</c:v>
                </c:pt>
                <c:pt idx="180">
                  <c:v>43939</c:v>
                </c:pt>
                <c:pt idx="181">
                  <c:v>43938</c:v>
                </c:pt>
                <c:pt idx="182">
                  <c:v>43937</c:v>
                </c:pt>
                <c:pt idx="183">
                  <c:v>43936</c:v>
                </c:pt>
                <c:pt idx="184">
                  <c:v>43935</c:v>
                </c:pt>
                <c:pt idx="185">
                  <c:v>43934</c:v>
                </c:pt>
                <c:pt idx="186">
                  <c:v>43933</c:v>
                </c:pt>
                <c:pt idx="187">
                  <c:v>43932</c:v>
                </c:pt>
                <c:pt idx="188">
                  <c:v>43931</c:v>
                </c:pt>
                <c:pt idx="189">
                  <c:v>43930</c:v>
                </c:pt>
                <c:pt idx="190">
                  <c:v>43929</c:v>
                </c:pt>
                <c:pt idx="191">
                  <c:v>43928</c:v>
                </c:pt>
                <c:pt idx="192">
                  <c:v>43927</c:v>
                </c:pt>
                <c:pt idx="193">
                  <c:v>43926</c:v>
                </c:pt>
                <c:pt idx="194">
                  <c:v>43925</c:v>
                </c:pt>
                <c:pt idx="195">
                  <c:v>43924</c:v>
                </c:pt>
                <c:pt idx="196">
                  <c:v>43923</c:v>
                </c:pt>
                <c:pt idx="197">
                  <c:v>43922</c:v>
                </c:pt>
                <c:pt idx="198">
                  <c:v>43921</c:v>
                </c:pt>
                <c:pt idx="199">
                  <c:v>43920</c:v>
                </c:pt>
                <c:pt idx="200">
                  <c:v>43919</c:v>
                </c:pt>
                <c:pt idx="201">
                  <c:v>43918</c:v>
                </c:pt>
                <c:pt idx="202">
                  <c:v>43917</c:v>
                </c:pt>
                <c:pt idx="203">
                  <c:v>43916</c:v>
                </c:pt>
                <c:pt idx="204">
                  <c:v>43915</c:v>
                </c:pt>
                <c:pt idx="205">
                  <c:v>43914</c:v>
                </c:pt>
                <c:pt idx="206">
                  <c:v>43913</c:v>
                </c:pt>
                <c:pt idx="207">
                  <c:v>43912</c:v>
                </c:pt>
                <c:pt idx="208">
                  <c:v>43911</c:v>
                </c:pt>
                <c:pt idx="209">
                  <c:v>43910</c:v>
                </c:pt>
                <c:pt idx="210">
                  <c:v>43909</c:v>
                </c:pt>
                <c:pt idx="211">
                  <c:v>43908</c:v>
                </c:pt>
                <c:pt idx="212">
                  <c:v>43907</c:v>
                </c:pt>
                <c:pt idx="213">
                  <c:v>43906</c:v>
                </c:pt>
                <c:pt idx="214">
                  <c:v>43905</c:v>
                </c:pt>
                <c:pt idx="215">
                  <c:v>43904</c:v>
                </c:pt>
                <c:pt idx="216">
                  <c:v>43903</c:v>
                </c:pt>
                <c:pt idx="217">
                  <c:v>43902</c:v>
                </c:pt>
                <c:pt idx="218">
                  <c:v>43901</c:v>
                </c:pt>
                <c:pt idx="219">
                  <c:v>43900</c:v>
                </c:pt>
                <c:pt idx="220">
                  <c:v>43899</c:v>
                </c:pt>
                <c:pt idx="221">
                  <c:v>43898</c:v>
                </c:pt>
                <c:pt idx="222">
                  <c:v>43897</c:v>
                </c:pt>
                <c:pt idx="223">
                  <c:v>43896</c:v>
                </c:pt>
                <c:pt idx="224">
                  <c:v>43895</c:v>
                </c:pt>
                <c:pt idx="225">
                  <c:v>43894</c:v>
                </c:pt>
                <c:pt idx="226">
                  <c:v>43893</c:v>
                </c:pt>
                <c:pt idx="227">
                  <c:v>43892</c:v>
                </c:pt>
                <c:pt idx="228">
                  <c:v>43891</c:v>
                </c:pt>
                <c:pt idx="229">
                  <c:v>43890</c:v>
                </c:pt>
                <c:pt idx="230">
                  <c:v>43889</c:v>
                </c:pt>
                <c:pt idx="231">
                  <c:v>43888</c:v>
                </c:pt>
                <c:pt idx="232">
                  <c:v>43887</c:v>
                </c:pt>
                <c:pt idx="233">
                  <c:v>43886</c:v>
                </c:pt>
                <c:pt idx="234">
                  <c:v>43885</c:v>
                </c:pt>
                <c:pt idx="235">
                  <c:v>43884</c:v>
                </c:pt>
                <c:pt idx="236">
                  <c:v>43883</c:v>
                </c:pt>
                <c:pt idx="237">
                  <c:v>43882</c:v>
                </c:pt>
                <c:pt idx="238">
                  <c:v>43881</c:v>
                </c:pt>
                <c:pt idx="239">
                  <c:v>43880</c:v>
                </c:pt>
                <c:pt idx="240">
                  <c:v>43879</c:v>
                </c:pt>
                <c:pt idx="241">
                  <c:v>43878</c:v>
                </c:pt>
                <c:pt idx="242">
                  <c:v>43877</c:v>
                </c:pt>
                <c:pt idx="243">
                  <c:v>43876</c:v>
                </c:pt>
                <c:pt idx="244">
                  <c:v>43875</c:v>
                </c:pt>
                <c:pt idx="245">
                  <c:v>43874</c:v>
                </c:pt>
                <c:pt idx="246">
                  <c:v>43873</c:v>
                </c:pt>
                <c:pt idx="247">
                  <c:v>43872</c:v>
                </c:pt>
                <c:pt idx="248">
                  <c:v>43871</c:v>
                </c:pt>
                <c:pt idx="249">
                  <c:v>43870</c:v>
                </c:pt>
                <c:pt idx="250">
                  <c:v>43869</c:v>
                </c:pt>
                <c:pt idx="251">
                  <c:v>43868</c:v>
                </c:pt>
                <c:pt idx="252">
                  <c:v>43867</c:v>
                </c:pt>
                <c:pt idx="253">
                  <c:v>43866</c:v>
                </c:pt>
                <c:pt idx="254">
                  <c:v>43865</c:v>
                </c:pt>
                <c:pt idx="255">
                  <c:v>43864</c:v>
                </c:pt>
                <c:pt idx="256">
                  <c:v>43863</c:v>
                </c:pt>
                <c:pt idx="257">
                  <c:v>43862</c:v>
                </c:pt>
                <c:pt idx="258">
                  <c:v>43861</c:v>
                </c:pt>
                <c:pt idx="259">
                  <c:v>43860</c:v>
                </c:pt>
                <c:pt idx="260">
                  <c:v>43859</c:v>
                </c:pt>
                <c:pt idx="261">
                  <c:v>43858</c:v>
                </c:pt>
                <c:pt idx="262">
                  <c:v>43857</c:v>
                </c:pt>
                <c:pt idx="263">
                  <c:v>43856</c:v>
                </c:pt>
                <c:pt idx="264">
                  <c:v>43855</c:v>
                </c:pt>
                <c:pt idx="265">
                  <c:v>43854</c:v>
                </c:pt>
                <c:pt idx="266">
                  <c:v>43853</c:v>
                </c:pt>
                <c:pt idx="267">
                  <c:v>43852</c:v>
                </c:pt>
                <c:pt idx="268">
                  <c:v>43851</c:v>
                </c:pt>
                <c:pt idx="269">
                  <c:v>43850</c:v>
                </c:pt>
                <c:pt idx="270">
                  <c:v>43849</c:v>
                </c:pt>
                <c:pt idx="271">
                  <c:v>43848</c:v>
                </c:pt>
                <c:pt idx="272">
                  <c:v>43847</c:v>
                </c:pt>
                <c:pt idx="273">
                  <c:v>43846</c:v>
                </c:pt>
                <c:pt idx="274">
                  <c:v>43845</c:v>
                </c:pt>
                <c:pt idx="275">
                  <c:v>43844</c:v>
                </c:pt>
                <c:pt idx="276">
                  <c:v>43843</c:v>
                </c:pt>
                <c:pt idx="277">
                  <c:v>43842</c:v>
                </c:pt>
                <c:pt idx="278">
                  <c:v>43841</c:v>
                </c:pt>
                <c:pt idx="279">
                  <c:v>43840</c:v>
                </c:pt>
                <c:pt idx="280">
                  <c:v>43839</c:v>
                </c:pt>
                <c:pt idx="281">
                  <c:v>43838</c:v>
                </c:pt>
                <c:pt idx="282">
                  <c:v>43837</c:v>
                </c:pt>
                <c:pt idx="283">
                  <c:v>43836</c:v>
                </c:pt>
                <c:pt idx="284">
                  <c:v>43835</c:v>
                </c:pt>
                <c:pt idx="285">
                  <c:v>43834</c:v>
                </c:pt>
                <c:pt idx="286">
                  <c:v>43833</c:v>
                </c:pt>
                <c:pt idx="287">
                  <c:v>43832</c:v>
                </c:pt>
                <c:pt idx="288">
                  <c:v>43831</c:v>
                </c:pt>
                <c:pt idx="289">
                  <c:v>43830</c:v>
                </c:pt>
                <c:pt idx="290">
                  <c:v>43829</c:v>
                </c:pt>
                <c:pt idx="291">
                  <c:v>43828</c:v>
                </c:pt>
                <c:pt idx="292">
                  <c:v>43827</c:v>
                </c:pt>
                <c:pt idx="293">
                  <c:v>43826</c:v>
                </c:pt>
                <c:pt idx="294">
                  <c:v>43825</c:v>
                </c:pt>
                <c:pt idx="295">
                  <c:v>43824</c:v>
                </c:pt>
                <c:pt idx="296">
                  <c:v>43823</c:v>
                </c:pt>
                <c:pt idx="297">
                  <c:v>43822</c:v>
                </c:pt>
                <c:pt idx="298">
                  <c:v>43821</c:v>
                </c:pt>
                <c:pt idx="299">
                  <c:v>43820</c:v>
                </c:pt>
                <c:pt idx="300">
                  <c:v>43819</c:v>
                </c:pt>
                <c:pt idx="301">
                  <c:v>43818</c:v>
                </c:pt>
                <c:pt idx="302">
                  <c:v>43817</c:v>
                </c:pt>
                <c:pt idx="303">
                  <c:v>43816</c:v>
                </c:pt>
                <c:pt idx="304">
                  <c:v>43815</c:v>
                </c:pt>
                <c:pt idx="305">
                  <c:v>43814</c:v>
                </c:pt>
                <c:pt idx="306">
                  <c:v>43813</c:v>
                </c:pt>
                <c:pt idx="307">
                  <c:v>43812</c:v>
                </c:pt>
                <c:pt idx="308">
                  <c:v>43811</c:v>
                </c:pt>
                <c:pt idx="309">
                  <c:v>43810</c:v>
                </c:pt>
                <c:pt idx="310">
                  <c:v>43809</c:v>
                </c:pt>
                <c:pt idx="311">
                  <c:v>43808</c:v>
                </c:pt>
                <c:pt idx="312">
                  <c:v>43807</c:v>
                </c:pt>
                <c:pt idx="313">
                  <c:v>43806</c:v>
                </c:pt>
                <c:pt idx="314">
                  <c:v>43805</c:v>
                </c:pt>
                <c:pt idx="315">
                  <c:v>43804</c:v>
                </c:pt>
                <c:pt idx="316">
                  <c:v>43803</c:v>
                </c:pt>
                <c:pt idx="317">
                  <c:v>43802</c:v>
                </c:pt>
                <c:pt idx="318">
                  <c:v>43801</c:v>
                </c:pt>
                <c:pt idx="319">
                  <c:v>43800</c:v>
                </c:pt>
                <c:pt idx="320">
                  <c:v>43799</c:v>
                </c:pt>
                <c:pt idx="321">
                  <c:v>43798</c:v>
                </c:pt>
                <c:pt idx="322">
                  <c:v>43797</c:v>
                </c:pt>
                <c:pt idx="323">
                  <c:v>43796</c:v>
                </c:pt>
                <c:pt idx="324">
                  <c:v>43795</c:v>
                </c:pt>
                <c:pt idx="325">
                  <c:v>43794</c:v>
                </c:pt>
                <c:pt idx="326">
                  <c:v>43793</c:v>
                </c:pt>
                <c:pt idx="327">
                  <c:v>43792</c:v>
                </c:pt>
                <c:pt idx="328">
                  <c:v>43791</c:v>
                </c:pt>
                <c:pt idx="329">
                  <c:v>43790</c:v>
                </c:pt>
                <c:pt idx="330">
                  <c:v>43789</c:v>
                </c:pt>
                <c:pt idx="331">
                  <c:v>43788</c:v>
                </c:pt>
                <c:pt idx="332">
                  <c:v>43787</c:v>
                </c:pt>
                <c:pt idx="333">
                  <c:v>43786</c:v>
                </c:pt>
                <c:pt idx="334">
                  <c:v>43785</c:v>
                </c:pt>
                <c:pt idx="335">
                  <c:v>43784</c:v>
                </c:pt>
                <c:pt idx="336">
                  <c:v>43783</c:v>
                </c:pt>
                <c:pt idx="337">
                  <c:v>43782</c:v>
                </c:pt>
                <c:pt idx="338">
                  <c:v>43781</c:v>
                </c:pt>
                <c:pt idx="339">
                  <c:v>43780</c:v>
                </c:pt>
                <c:pt idx="340">
                  <c:v>43779</c:v>
                </c:pt>
                <c:pt idx="341">
                  <c:v>43778</c:v>
                </c:pt>
                <c:pt idx="342">
                  <c:v>43777</c:v>
                </c:pt>
                <c:pt idx="343">
                  <c:v>43776</c:v>
                </c:pt>
                <c:pt idx="344">
                  <c:v>43775</c:v>
                </c:pt>
                <c:pt idx="345">
                  <c:v>43774</c:v>
                </c:pt>
                <c:pt idx="346">
                  <c:v>43773</c:v>
                </c:pt>
                <c:pt idx="347">
                  <c:v>43772</c:v>
                </c:pt>
                <c:pt idx="348">
                  <c:v>43771</c:v>
                </c:pt>
                <c:pt idx="349">
                  <c:v>43770</c:v>
                </c:pt>
                <c:pt idx="350">
                  <c:v>43769</c:v>
                </c:pt>
                <c:pt idx="351">
                  <c:v>43768</c:v>
                </c:pt>
                <c:pt idx="352">
                  <c:v>43767</c:v>
                </c:pt>
                <c:pt idx="353">
                  <c:v>43766</c:v>
                </c:pt>
                <c:pt idx="354">
                  <c:v>43765</c:v>
                </c:pt>
                <c:pt idx="355">
                  <c:v>43764</c:v>
                </c:pt>
                <c:pt idx="356">
                  <c:v>43763</c:v>
                </c:pt>
                <c:pt idx="357">
                  <c:v>43762</c:v>
                </c:pt>
                <c:pt idx="358">
                  <c:v>43761</c:v>
                </c:pt>
                <c:pt idx="359">
                  <c:v>43760</c:v>
                </c:pt>
                <c:pt idx="360">
                  <c:v>43759</c:v>
                </c:pt>
                <c:pt idx="361">
                  <c:v>43758</c:v>
                </c:pt>
                <c:pt idx="362">
                  <c:v>43757</c:v>
                </c:pt>
                <c:pt idx="363">
                  <c:v>43756</c:v>
                </c:pt>
                <c:pt idx="364">
                  <c:v>43755</c:v>
                </c:pt>
                <c:pt idx="365">
                  <c:v>43754</c:v>
                </c:pt>
                <c:pt idx="366">
                  <c:v>43753</c:v>
                </c:pt>
                <c:pt idx="367">
                  <c:v>43752</c:v>
                </c:pt>
                <c:pt idx="368">
                  <c:v>43751</c:v>
                </c:pt>
                <c:pt idx="369">
                  <c:v>43750</c:v>
                </c:pt>
                <c:pt idx="370">
                  <c:v>43749</c:v>
                </c:pt>
                <c:pt idx="371">
                  <c:v>43748</c:v>
                </c:pt>
                <c:pt idx="372">
                  <c:v>43747</c:v>
                </c:pt>
                <c:pt idx="373">
                  <c:v>43746</c:v>
                </c:pt>
                <c:pt idx="374">
                  <c:v>43745</c:v>
                </c:pt>
                <c:pt idx="375">
                  <c:v>43744</c:v>
                </c:pt>
                <c:pt idx="376">
                  <c:v>43743</c:v>
                </c:pt>
                <c:pt idx="377">
                  <c:v>43742</c:v>
                </c:pt>
                <c:pt idx="378">
                  <c:v>43741</c:v>
                </c:pt>
                <c:pt idx="379">
                  <c:v>43740</c:v>
                </c:pt>
                <c:pt idx="380">
                  <c:v>43739</c:v>
                </c:pt>
                <c:pt idx="381">
                  <c:v>43738</c:v>
                </c:pt>
                <c:pt idx="382">
                  <c:v>43737</c:v>
                </c:pt>
                <c:pt idx="383">
                  <c:v>43736</c:v>
                </c:pt>
                <c:pt idx="384">
                  <c:v>43735</c:v>
                </c:pt>
                <c:pt idx="385">
                  <c:v>43734</c:v>
                </c:pt>
                <c:pt idx="386">
                  <c:v>43733</c:v>
                </c:pt>
                <c:pt idx="387">
                  <c:v>43732</c:v>
                </c:pt>
                <c:pt idx="388">
                  <c:v>43731</c:v>
                </c:pt>
                <c:pt idx="389">
                  <c:v>43730</c:v>
                </c:pt>
                <c:pt idx="390">
                  <c:v>43729</c:v>
                </c:pt>
                <c:pt idx="391">
                  <c:v>43728</c:v>
                </c:pt>
                <c:pt idx="392">
                  <c:v>43727</c:v>
                </c:pt>
                <c:pt idx="393">
                  <c:v>43726</c:v>
                </c:pt>
                <c:pt idx="394">
                  <c:v>43725</c:v>
                </c:pt>
                <c:pt idx="395">
                  <c:v>43724</c:v>
                </c:pt>
                <c:pt idx="396">
                  <c:v>43723</c:v>
                </c:pt>
                <c:pt idx="397">
                  <c:v>43722</c:v>
                </c:pt>
                <c:pt idx="398">
                  <c:v>43721</c:v>
                </c:pt>
                <c:pt idx="399">
                  <c:v>43720</c:v>
                </c:pt>
                <c:pt idx="400">
                  <c:v>43719</c:v>
                </c:pt>
                <c:pt idx="401">
                  <c:v>43718</c:v>
                </c:pt>
                <c:pt idx="402">
                  <c:v>43717</c:v>
                </c:pt>
                <c:pt idx="403">
                  <c:v>43716</c:v>
                </c:pt>
                <c:pt idx="404">
                  <c:v>43715</c:v>
                </c:pt>
                <c:pt idx="405">
                  <c:v>43714</c:v>
                </c:pt>
                <c:pt idx="406">
                  <c:v>43713</c:v>
                </c:pt>
                <c:pt idx="407">
                  <c:v>43712</c:v>
                </c:pt>
                <c:pt idx="408">
                  <c:v>43711</c:v>
                </c:pt>
                <c:pt idx="409">
                  <c:v>43710</c:v>
                </c:pt>
                <c:pt idx="410">
                  <c:v>43709</c:v>
                </c:pt>
                <c:pt idx="411">
                  <c:v>43708</c:v>
                </c:pt>
                <c:pt idx="412">
                  <c:v>43707</c:v>
                </c:pt>
                <c:pt idx="413">
                  <c:v>43706</c:v>
                </c:pt>
                <c:pt idx="414">
                  <c:v>43705</c:v>
                </c:pt>
                <c:pt idx="415">
                  <c:v>43704</c:v>
                </c:pt>
                <c:pt idx="416">
                  <c:v>43703</c:v>
                </c:pt>
                <c:pt idx="417">
                  <c:v>43702</c:v>
                </c:pt>
                <c:pt idx="418">
                  <c:v>43701</c:v>
                </c:pt>
                <c:pt idx="419">
                  <c:v>43700</c:v>
                </c:pt>
                <c:pt idx="420">
                  <c:v>43699</c:v>
                </c:pt>
                <c:pt idx="421">
                  <c:v>43698</c:v>
                </c:pt>
                <c:pt idx="422">
                  <c:v>43697</c:v>
                </c:pt>
                <c:pt idx="423">
                  <c:v>43696</c:v>
                </c:pt>
                <c:pt idx="424">
                  <c:v>43695</c:v>
                </c:pt>
                <c:pt idx="425">
                  <c:v>43694</c:v>
                </c:pt>
                <c:pt idx="426">
                  <c:v>43693</c:v>
                </c:pt>
                <c:pt idx="427">
                  <c:v>43692</c:v>
                </c:pt>
                <c:pt idx="428">
                  <c:v>43691</c:v>
                </c:pt>
                <c:pt idx="429">
                  <c:v>43690</c:v>
                </c:pt>
                <c:pt idx="430">
                  <c:v>43689</c:v>
                </c:pt>
                <c:pt idx="431">
                  <c:v>43688</c:v>
                </c:pt>
                <c:pt idx="432">
                  <c:v>43687</c:v>
                </c:pt>
                <c:pt idx="433">
                  <c:v>43686</c:v>
                </c:pt>
                <c:pt idx="434">
                  <c:v>43685</c:v>
                </c:pt>
                <c:pt idx="435">
                  <c:v>43684</c:v>
                </c:pt>
                <c:pt idx="436">
                  <c:v>43683</c:v>
                </c:pt>
                <c:pt idx="437">
                  <c:v>43682</c:v>
                </c:pt>
                <c:pt idx="438">
                  <c:v>43681</c:v>
                </c:pt>
                <c:pt idx="439">
                  <c:v>43680</c:v>
                </c:pt>
                <c:pt idx="440">
                  <c:v>43679</c:v>
                </c:pt>
                <c:pt idx="441">
                  <c:v>43678</c:v>
                </c:pt>
                <c:pt idx="442">
                  <c:v>43677</c:v>
                </c:pt>
                <c:pt idx="443">
                  <c:v>43676</c:v>
                </c:pt>
                <c:pt idx="444">
                  <c:v>43675</c:v>
                </c:pt>
                <c:pt idx="445">
                  <c:v>43674</c:v>
                </c:pt>
                <c:pt idx="446">
                  <c:v>43673</c:v>
                </c:pt>
                <c:pt idx="447">
                  <c:v>43672</c:v>
                </c:pt>
                <c:pt idx="448">
                  <c:v>43671</c:v>
                </c:pt>
                <c:pt idx="449">
                  <c:v>43670</c:v>
                </c:pt>
                <c:pt idx="450">
                  <c:v>43669</c:v>
                </c:pt>
                <c:pt idx="451">
                  <c:v>43668</c:v>
                </c:pt>
                <c:pt idx="452">
                  <c:v>43667</c:v>
                </c:pt>
                <c:pt idx="453">
                  <c:v>43666</c:v>
                </c:pt>
                <c:pt idx="454">
                  <c:v>43665</c:v>
                </c:pt>
                <c:pt idx="455">
                  <c:v>43664</c:v>
                </c:pt>
                <c:pt idx="456">
                  <c:v>43663</c:v>
                </c:pt>
                <c:pt idx="457">
                  <c:v>43662</c:v>
                </c:pt>
                <c:pt idx="458">
                  <c:v>43661</c:v>
                </c:pt>
                <c:pt idx="459">
                  <c:v>43660</c:v>
                </c:pt>
                <c:pt idx="460">
                  <c:v>43659</c:v>
                </c:pt>
                <c:pt idx="461">
                  <c:v>43658</c:v>
                </c:pt>
                <c:pt idx="462">
                  <c:v>43657</c:v>
                </c:pt>
                <c:pt idx="463">
                  <c:v>43656</c:v>
                </c:pt>
                <c:pt idx="464">
                  <c:v>43655</c:v>
                </c:pt>
                <c:pt idx="465">
                  <c:v>43654</c:v>
                </c:pt>
                <c:pt idx="466">
                  <c:v>43653</c:v>
                </c:pt>
                <c:pt idx="467">
                  <c:v>43652</c:v>
                </c:pt>
                <c:pt idx="468">
                  <c:v>43651</c:v>
                </c:pt>
                <c:pt idx="469">
                  <c:v>43650</c:v>
                </c:pt>
                <c:pt idx="470">
                  <c:v>43649</c:v>
                </c:pt>
                <c:pt idx="471">
                  <c:v>43648</c:v>
                </c:pt>
                <c:pt idx="472">
                  <c:v>43647</c:v>
                </c:pt>
                <c:pt idx="473">
                  <c:v>43646</c:v>
                </c:pt>
                <c:pt idx="474">
                  <c:v>43645</c:v>
                </c:pt>
                <c:pt idx="475">
                  <c:v>43644</c:v>
                </c:pt>
                <c:pt idx="476">
                  <c:v>43643</c:v>
                </c:pt>
                <c:pt idx="477">
                  <c:v>43642</c:v>
                </c:pt>
                <c:pt idx="478">
                  <c:v>43641</c:v>
                </c:pt>
                <c:pt idx="479">
                  <c:v>43640</c:v>
                </c:pt>
                <c:pt idx="480">
                  <c:v>43639</c:v>
                </c:pt>
                <c:pt idx="481">
                  <c:v>43638</c:v>
                </c:pt>
                <c:pt idx="482">
                  <c:v>43637</c:v>
                </c:pt>
                <c:pt idx="483">
                  <c:v>43636</c:v>
                </c:pt>
                <c:pt idx="484">
                  <c:v>43635</c:v>
                </c:pt>
                <c:pt idx="485">
                  <c:v>43634</c:v>
                </c:pt>
                <c:pt idx="486">
                  <c:v>43633</c:v>
                </c:pt>
                <c:pt idx="487">
                  <c:v>43632</c:v>
                </c:pt>
                <c:pt idx="488">
                  <c:v>43631</c:v>
                </c:pt>
                <c:pt idx="489">
                  <c:v>43630</c:v>
                </c:pt>
                <c:pt idx="490">
                  <c:v>43629</c:v>
                </c:pt>
                <c:pt idx="491">
                  <c:v>43628</c:v>
                </c:pt>
                <c:pt idx="492">
                  <c:v>43627</c:v>
                </c:pt>
                <c:pt idx="493">
                  <c:v>43626</c:v>
                </c:pt>
                <c:pt idx="494">
                  <c:v>43625</c:v>
                </c:pt>
                <c:pt idx="495">
                  <c:v>43624</c:v>
                </c:pt>
                <c:pt idx="496">
                  <c:v>43623</c:v>
                </c:pt>
                <c:pt idx="497">
                  <c:v>43622</c:v>
                </c:pt>
                <c:pt idx="498">
                  <c:v>43621</c:v>
                </c:pt>
                <c:pt idx="499">
                  <c:v>43620</c:v>
                </c:pt>
                <c:pt idx="500">
                  <c:v>43619</c:v>
                </c:pt>
                <c:pt idx="501">
                  <c:v>43618</c:v>
                </c:pt>
                <c:pt idx="502">
                  <c:v>43617</c:v>
                </c:pt>
                <c:pt idx="503">
                  <c:v>43616</c:v>
                </c:pt>
                <c:pt idx="504">
                  <c:v>43615</c:v>
                </c:pt>
                <c:pt idx="505">
                  <c:v>43614</c:v>
                </c:pt>
                <c:pt idx="506">
                  <c:v>43613</c:v>
                </c:pt>
                <c:pt idx="507">
                  <c:v>43612</c:v>
                </c:pt>
                <c:pt idx="508">
                  <c:v>43611</c:v>
                </c:pt>
                <c:pt idx="509">
                  <c:v>43610</c:v>
                </c:pt>
                <c:pt idx="510">
                  <c:v>43609</c:v>
                </c:pt>
                <c:pt idx="511">
                  <c:v>43608</c:v>
                </c:pt>
                <c:pt idx="512">
                  <c:v>43607</c:v>
                </c:pt>
                <c:pt idx="513">
                  <c:v>43606</c:v>
                </c:pt>
                <c:pt idx="514">
                  <c:v>43605</c:v>
                </c:pt>
                <c:pt idx="515">
                  <c:v>43604</c:v>
                </c:pt>
                <c:pt idx="516">
                  <c:v>43603</c:v>
                </c:pt>
                <c:pt idx="517">
                  <c:v>43602</c:v>
                </c:pt>
                <c:pt idx="518">
                  <c:v>43601</c:v>
                </c:pt>
                <c:pt idx="519">
                  <c:v>43600</c:v>
                </c:pt>
                <c:pt idx="520">
                  <c:v>43599</c:v>
                </c:pt>
                <c:pt idx="521">
                  <c:v>43598</c:v>
                </c:pt>
                <c:pt idx="522">
                  <c:v>43597</c:v>
                </c:pt>
                <c:pt idx="523">
                  <c:v>43596</c:v>
                </c:pt>
                <c:pt idx="524">
                  <c:v>43595</c:v>
                </c:pt>
                <c:pt idx="525">
                  <c:v>43594</c:v>
                </c:pt>
                <c:pt idx="526">
                  <c:v>43593</c:v>
                </c:pt>
                <c:pt idx="527">
                  <c:v>43592</c:v>
                </c:pt>
                <c:pt idx="528">
                  <c:v>43591</c:v>
                </c:pt>
                <c:pt idx="529">
                  <c:v>43590</c:v>
                </c:pt>
                <c:pt idx="530">
                  <c:v>43589</c:v>
                </c:pt>
                <c:pt idx="531">
                  <c:v>43588</c:v>
                </c:pt>
                <c:pt idx="532">
                  <c:v>43587</c:v>
                </c:pt>
                <c:pt idx="533">
                  <c:v>43586</c:v>
                </c:pt>
                <c:pt idx="534">
                  <c:v>43585</c:v>
                </c:pt>
                <c:pt idx="535">
                  <c:v>43584</c:v>
                </c:pt>
                <c:pt idx="536">
                  <c:v>43583</c:v>
                </c:pt>
                <c:pt idx="537">
                  <c:v>43582</c:v>
                </c:pt>
                <c:pt idx="538">
                  <c:v>43581</c:v>
                </c:pt>
                <c:pt idx="539">
                  <c:v>43580</c:v>
                </c:pt>
                <c:pt idx="540">
                  <c:v>43579</c:v>
                </c:pt>
                <c:pt idx="541">
                  <c:v>43578</c:v>
                </c:pt>
                <c:pt idx="542">
                  <c:v>43577</c:v>
                </c:pt>
                <c:pt idx="543">
                  <c:v>43576</c:v>
                </c:pt>
                <c:pt idx="544">
                  <c:v>43575</c:v>
                </c:pt>
                <c:pt idx="545">
                  <c:v>43574</c:v>
                </c:pt>
                <c:pt idx="546">
                  <c:v>43573</c:v>
                </c:pt>
                <c:pt idx="547">
                  <c:v>43572</c:v>
                </c:pt>
                <c:pt idx="548">
                  <c:v>43571</c:v>
                </c:pt>
                <c:pt idx="549">
                  <c:v>43570</c:v>
                </c:pt>
                <c:pt idx="550">
                  <c:v>43569</c:v>
                </c:pt>
                <c:pt idx="551">
                  <c:v>43568</c:v>
                </c:pt>
                <c:pt idx="552">
                  <c:v>43567</c:v>
                </c:pt>
                <c:pt idx="553">
                  <c:v>43566</c:v>
                </c:pt>
                <c:pt idx="554">
                  <c:v>43565</c:v>
                </c:pt>
                <c:pt idx="555">
                  <c:v>43564</c:v>
                </c:pt>
                <c:pt idx="556">
                  <c:v>43563</c:v>
                </c:pt>
                <c:pt idx="557">
                  <c:v>43562</c:v>
                </c:pt>
                <c:pt idx="558">
                  <c:v>43561</c:v>
                </c:pt>
                <c:pt idx="559">
                  <c:v>43560</c:v>
                </c:pt>
                <c:pt idx="560">
                  <c:v>43559</c:v>
                </c:pt>
                <c:pt idx="561">
                  <c:v>43558</c:v>
                </c:pt>
                <c:pt idx="562">
                  <c:v>43557</c:v>
                </c:pt>
                <c:pt idx="563">
                  <c:v>43556</c:v>
                </c:pt>
                <c:pt idx="564">
                  <c:v>43555</c:v>
                </c:pt>
                <c:pt idx="565">
                  <c:v>43554</c:v>
                </c:pt>
                <c:pt idx="566">
                  <c:v>43553</c:v>
                </c:pt>
                <c:pt idx="567">
                  <c:v>43552</c:v>
                </c:pt>
                <c:pt idx="568">
                  <c:v>43551</c:v>
                </c:pt>
                <c:pt idx="569">
                  <c:v>43550</c:v>
                </c:pt>
                <c:pt idx="570">
                  <c:v>43549</c:v>
                </c:pt>
                <c:pt idx="571">
                  <c:v>43548</c:v>
                </c:pt>
                <c:pt idx="572">
                  <c:v>43547</c:v>
                </c:pt>
                <c:pt idx="573">
                  <c:v>43546</c:v>
                </c:pt>
                <c:pt idx="574">
                  <c:v>43545</c:v>
                </c:pt>
                <c:pt idx="575">
                  <c:v>43544</c:v>
                </c:pt>
                <c:pt idx="576">
                  <c:v>43543</c:v>
                </c:pt>
                <c:pt idx="577">
                  <c:v>43542</c:v>
                </c:pt>
                <c:pt idx="578">
                  <c:v>43541</c:v>
                </c:pt>
                <c:pt idx="579">
                  <c:v>43540</c:v>
                </c:pt>
                <c:pt idx="580">
                  <c:v>43539</c:v>
                </c:pt>
                <c:pt idx="581">
                  <c:v>43538</c:v>
                </c:pt>
                <c:pt idx="582">
                  <c:v>43537</c:v>
                </c:pt>
                <c:pt idx="583">
                  <c:v>43536</c:v>
                </c:pt>
                <c:pt idx="584">
                  <c:v>43535</c:v>
                </c:pt>
                <c:pt idx="585">
                  <c:v>43534</c:v>
                </c:pt>
                <c:pt idx="586">
                  <c:v>43533</c:v>
                </c:pt>
                <c:pt idx="587">
                  <c:v>43532</c:v>
                </c:pt>
                <c:pt idx="588">
                  <c:v>43531</c:v>
                </c:pt>
                <c:pt idx="589">
                  <c:v>43530</c:v>
                </c:pt>
                <c:pt idx="590">
                  <c:v>43529</c:v>
                </c:pt>
                <c:pt idx="591">
                  <c:v>43528</c:v>
                </c:pt>
                <c:pt idx="592">
                  <c:v>43527</c:v>
                </c:pt>
                <c:pt idx="593">
                  <c:v>43526</c:v>
                </c:pt>
                <c:pt idx="594">
                  <c:v>43525</c:v>
                </c:pt>
                <c:pt idx="595">
                  <c:v>43524</c:v>
                </c:pt>
                <c:pt idx="596">
                  <c:v>43523</c:v>
                </c:pt>
                <c:pt idx="597">
                  <c:v>43522</c:v>
                </c:pt>
                <c:pt idx="598">
                  <c:v>43521</c:v>
                </c:pt>
                <c:pt idx="599">
                  <c:v>43520</c:v>
                </c:pt>
                <c:pt idx="600">
                  <c:v>43519</c:v>
                </c:pt>
                <c:pt idx="601">
                  <c:v>43518</c:v>
                </c:pt>
                <c:pt idx="602">
                  <c:v>43517</c:v>
                </c:pt>
                <c:pt idx="603">
                  <c:v>43516</c:v>
                </c:pt>
                <c:pt idx="604">
                  <c:v>43515</c:v>
                </c:pt>
                <c:pt idx="605">
                  <c:v>43514</c:v>
                </c:pt>
                <c:pt idx="606">
                  <c:v>43513</c:v>
                </c:pt>
                <c:pt idx="607">
                  <c:v>43512</c:v>
                </c:pt>
                <c:pt idx="608">
                  <c:v>43511</c:v>
                </c:pt>
                <c:pt idx="609">
                  <c:v>43510</c:v>
                </c:pt>
                <c:pt idx="610">
                  <c:v>43509</c:v>
                </c:pt>
                <c:pt idx="611">
                  <c:v>43508</c:v>
                </c:pt>
                <c:pt idx="612">
                  <c:v>43507</c:v>
                </c:pt>
                <c:pt idx="613">
                  <c:v>43506</c:v>
                </c:pt>
                <c:pt idx="614">
                  <c:v>43505</c:v>
                </c:pt>
                <c:pt idx="615">
                  <c:v>43504</c:v>
                </c:pt>
                <c:pt idx="616">
                  <c:v>43503</c:v>
                </c:pt>
                <c:pt idx="617">
                  <c:v>43502</c:v>
                </c:pt>
                <c:pt idx="618">
                  <c:v>43501</c:v>
                </c:pt>
                <c:pt idx="619">
                  <c:v>43500</c:v>
                </c:pt>
                <c:pt idx="620">
                  <c:v>43499</c:v>
                </c:pt>
                <c:pt idx="621">
                  <c:v>43498</c:v>
                </c:pt>
                <c:pt idx="622">
                  <c:v>43497</c:v>
                </c:pt>
                <c:pt idx="623">
                  <c:v>43496</c:v>
                </c:pt>
                <c:pt idx="624">
                  <c:v>43495</c:v>
                </c:pt>
                <c:pt idx="625">
                  <c:v>43494</c:v>
                </c:pt>
                <c:pt idx="626">
                  <c:v>43493</c:v>
                </c:pt>
                <c:pt idx="627">
                  <c:v>43492</c:v>
                </c:pt>
                <c:pt idx="628">
                  <c:v>43491</c:v>
                </c:pt>
                <c:pt idx="629">
                  <c:v>43490</c:v>
                </c:pt>
                <c:pt idx="630">
                  <c:v>43489</c:v>
                </c:pt>
                <c:pt idx="631">
                  <c:v>43488</c:v>
                </c:pt>
                <c:pt idx="632">
                  <c:v>43487</c:v>
                </c:pt>
                <c:pt idx="633">
                  <c:v>43486</c:v>
                </c:pt>
                <c:pt idx="634">
                  <c:v>43485</c:v>
                </c:pt>
                <c:pt idx="635">
                  <c:v>43484</c:v>
                </c:pt>
                <c:pt idx="636">
                  <c:v>43483</c:v>
                </c:pt>
                <c:pt idx="637">
                  <c:v>43482</c:v>
                </c:pt>
                <c:pt idx="638">
                  <c:v>43481</c:v>
                </c:pt>
                <c:pt idx="639">
                  <c:v>43480</c:v>
                </c:pt>
                <c:pt idx="640">
                  <c:v>43479</c:v>
                </c:pt>
                <c:pt idx="641">
                  <c:v>43478</c:v>
                </c:pt>
                <c:pt idx="642">
                  <c:v>43477</c:v>
                </c:pt>
                <c:pt idx="643">
                  <c:v>43476</c:v>
                </c:pt>
                <c:pt idx="644">
                  <c:v>43475</c:v>
                </c:pt>
                <c:pt idx="645">
                  <c:v>43474</c:v>
                </c:pt>
                <c:pt idx="646">
                  <c:v>43473</c:v>
                </c:pt>
                <c:pt idx="647">
                  <c:v>43472</c:v>
                </c:pt>
                <c:pt idx="648">
                  <c:v>43471</c:v>
                </c:pt>
                <c:pt idx="649">
                  <c:v>43470</c:v>
                </c:pt>
                <c:pt idx="650">
                  <c:v>43469</c:v>
                </c:pt>
                <c:pt idx="651">
                  <c:v>43468</c:v>
                </c:pt>
                <c:pt idx="652">
                  <c:v>43467</c:v>
                </c:pt>
              </c:numCache>
            </c:numRef>
          </c:cat>
          <c:val>
            <c:numRef>
              <c:f>ExportArbCAPP!$P$5:$P$657</c:f>
              <c:numCache>
                <c:formatCode>#,##0.00</c:formatCode>
                <c:ptCount val="653"/>
                <c:pt idx="0">
                  <c:v>91.869903073770473</c:v>
                </c:pt>
                <c:pt idx="1">
                  <c:v>91.869903073770473</c:v>
                </c:pt>
                <c:pt idx="2">
                  <c:v>91.869903073770473</c:v>
                </c:pt>
                <c:pt idx="3">
                  <c:v>91.869903073770473</c:v>
                </c:pt>
                <c:pt idx="4">
                  <c:v>91.869903073770473</c:v>
                </c:pt>
                <c:pt idx="5">
                  <c:v>91.869903073770473</c:v>
                </c:pt>
                <c:pt idx="6">
                  <c:v>91.869903073770473</c:v>
                </c:pt>
                <c:pt idx="7">
                  <c:v>93.225903073770482</c:v>
                </c:pt>
                <c:pt idx="8">
                  <c:v>93.225903073770482</c:v>
                </c:pt>
                <c:pt idx="9">
                  <c:v>93.225903073770482</c:v>
                </c:pt>
                <c:pt idx="10">
                  <c:v>93.225903073770482</c:v>
                </c:pt>
                <c:pt idx="11">
                  <c:v>93.225903073770482</c:v>
                </c:pt>
                <c:pt idx="12">
                  <c:v>93.225903073770482</c:v>
                </c:pt>
                <c:pt idx="13">
                  <c:v>93.225903073770482</c:v>
                </c:pt>
                <c:pt idx="14">
                  <c:v>90.965903073770477</c:v>
                </c:pt>
                <c:pt idx="15">
                  <c:v>90.965903073770477</c:v>
                </c:pt>
                <c:pt idx="16">
                  <c:v>90.965903073770477</c:v>
                </c:pt>
                <c:pt idx="17">
                  <c:v>90.965903073770477</c:v>
                </c:pt>
                <c:pt idx="18">
                  <c:v>90.965903073770477</c:v>
                </c:pt>
                <c:pt idx="19">
                  <c:v>90.965903073770477</c:v>
                </c:pt>
                <c:pt idx="20">
                  <c:v>90.965903073770477</c:v>
                </c:pt>
                <c:pt idx="21">
                  <c:v>88.253903073770473</c:v>
                </c:pt>
                <c:pt idx="22">
                  <c:v>88.253903073770473</c:v>
                </c:pt>
                <c:pt idx="23">
                  <c:v>88.253903073770473</c:v>
                </c:pt>
                <c:pt idx="24">
                  <c:v>88.253903073770473</c:v>
                </c:pt>
                <c:pt idx="25">
                  <c:v>88.253903073770473</c:v>
                </c:pt>
                <c:pt idx="26">
                  <c:v>88.253903073770473</c:v>
                </c:pt>
                <c:pt idx="27">
                  <c:v>88.253903073770473</c:v>
                </c:pt>
                <c:pt idx="28">
                  <c:v>88.027903073770474</c:v>
                </c:pt>
                <c:pt idx="29">
                  <c:v>88.027903073770474</c:v>
                </c:pt>
                <c:pt idx="30">
                  <c:v>88.027903073770474</c:v>
                </c:pt>
                <c:pt idx="31">
                  <c:v>88.027903073770474</c:v>
                </c:pt>
                <c:pt idx="32">
                  <c:v>88.027903073770474</c:v>
                </c:pt>
                <c:pt idx="33">
                  <c:v>88.027903073770474</c:v>
                </c:pt>
                <c:pt idx="34">
                  <c:v>88.027903073770474</c:v>
                </c:pt>
                <c:pt idx="35">
                  <c:v>88.886703073770477</c:v>
                </c:pt>
                <c:pt idx="36">
                  <c:v>88.886703073770477</c:v>
                </c:pt>
                <c:pt idx="37">
                  <c:v>88.886703073770477</c:v>
                </c:pt>
                <c:pt idx="38">
                  <c:v>88.886703073770477</c:v>
                </c:pt>
                <c:pt idx="39">
                  <c:v>88.886703073770477</c:v>
                </c:pt>
                <c:pt idx="40">
                  <c:v>88.886703073770477</c:v>
                </c:pt>
                <c:pt idx="41">
                  <c:v>88.886703073770477</c:v>
                </c:pt>
                <c:pt idx="42">
                  <c:v>85.058017622950828</c:v>
                </c:pt>
                <c:pt idx="43">
                  <c:v>85.058017622950828</c:v>
                </c:pt>
                <c:pt idx="44">
                  <c:v>85.058017622950828</c:v>
                </c:pt>
                <c:pt idx="45">
                  <c:v>85.058017622950828</c:v>
                </c:pt>
                <c:pt idx="46">
                  <c:v>85.058017622950828</c:v>
                </c:pt>
                <c:pt idx="47">
                  <c:v>85.058017622950828</c:v>
                </c:pt>
                <c:pt idx="48">
                  <c:v>85.058017622950828</c:v>
                </c:pt>
                <c:pt idx="49">
                  <c:v>87.272817622950825</c:v>
                </c:pt>
                <c:pt idx="50">
                  <c:v>87.272817622950825</c:v>
                </c:pt>
                <c:pt idx="51">
                  <c:v>87.272817622950825</c:v>
                </c:pt>
                <c:pt idx="52">
                  <c:v>87.272817622950825</c:v>
                </c:pt>
                <c:pt idx="53">
                  <c:v>87.272817622950825</c:v>
                </c:pt>
                <c:pt idx="54">
                  <c:v>87.272817622950825</c:v>
                </c:pt>
                <c:pt idx="55">
                  <c:v>87.272817622950825</c:v>
                </c:pt>
                <c:pt idx="56">
                  <c:v>87.363217622950827</c:v>
                </c:pt>
                <c:pt idx="57">
                  <c:v>87.363217622950827</c:v>
                </c:pt>
                <c:pt idx="58">
                  <c:v>87.363217622950827</c:v>
                </c:pt>
                <c:pt idx="59">
                  <c:v>87.363217622950827</c:v>
                </c:pt>
                <c:pt idx="60">
                  <c:v>87.363217622950827</c:v>
                </c:pt>
                <c:pt idx="61">
                  <c:v>87.363217622950827</c:v>
                </c:pt>
                <c:pt idx="62">
                  <c:v>87.363217622950827</c:v>
                </c:pt>
                <c:pt idx="63">
                  <c:v>87.815217622950826</c:v>
                </c:pt>
                <c:pt idx="64">
                  <c:v>87.815217622950826</c:v>
                </c:pt>
                <c:pt idx="65">
                  <c:v>87.815217622950826</c:v>
                </c:pt>
                <c:pt idx="66">
                  <c:v>87.815217622950826</c:v>
                </c:pt>
                <c:pt idx="67">
                  <c:v>87.815217622950826</c:v>
                </c:pt>
                <c:pt idx="68">
                  <c:v>87.815217622950826</c:v>
                </c:pt>
                <c:pt idx="69">
                  <c:v>87.815217622950826</c:v>
                </c:pt>
                <c:pt idx="70">
                  <c:v>82.112598524590155</c:v>
                </c:pt>
                <c:pt idx="71">
                  <c:v>82.112598524590155</c:v>
                </c:pt>
                <c:pt idx="72">
                  <c:v>82.112598524590155</c:v>
                </c:pt>
                <c:pt idx="73">
                  <c:v>82.112598524590155</c:v>
                </c:pt>
                <c:pt idx="74">
                  <c:v>82.112598524590155</c:v>
                </c:pt>
                <c:pt idx="75">
                  <c:v>82.112598524590155</c:v>
                </c:pt>
                <c:pt idx="76">
                  <c:v>82.112598524590155</c:v>
                </c:pt>
                <c:pt idx="77">
                  <c:v>82.790598524590152</c:v>
                </c:pt>
                <c:pt idx="78">
                  <c:v>82.790598524590152</c:v>
                </c:pt>
                <c:pt idx="79">
                  <c:v>82.790598524590152</c:v>
                </c:pt>
                <c:pt idx="80">
                  <c:v>82.790598524590152</c:v>
                </c:pt>
                <c:pt idx="81">
                  <c:v>82.790598524590152</c:v>
                </c:pt>
                <c:pt idx="82">
                  <c:v>82.790598524590152</c:v>
                </c:pt>
                <c:pt idx="83">
                  <c:v>82.790598524590152</c:v>
                </c:pt>
                <c:pt idx="84">
                  <c:v>84.824598524590158</c:v>
                </c:pt>
                <c:pt idx="85">
                  <c:v>84.824598524590158</c:v>
                </c:pt>
                <c:pt idx="86">
                  <c:v>84.824598524590158</c:v>
                </c:pt>
                <c:pt idx="87">
                  <c:v>84.824598524590158</c:v>
                </c:pt>
                <c:pt idx="88">
                  <c:v>84.824598524590158</c:v>
                </c:pt>
                <c:pt idx="89">
                  <c:v>84.824598524590158</c:v>
                </c:pt>
                <c:pt idx="90">
                  <c:v>84.824598524590158</c:v>
                </c:pt>
                <c:pt idx="91">
                  <c:v>85.005398524590149</c:v>
                </c:pt>
                <c:pt idx="92">
                  <c:v>85.005398524590149</c:v>
                </c:pt>
                <c:pt idx="93">
                  <c:v>85.005398524590149</c:v>
                </c:pt>
                <c:pt idx="94">
                  <c:v>85.005398524590149</c:v>
                </c:pt>
                <c:pt idx="95">
                  <c:v>85.005398524590149</c:v>
                </c:pt>
                <c:pt idx="96">
                  <c:v>85.005398524590149</c:v>
                </c:pt>
                <c:pt idx="97">
                  <c:v>85.005398524590149</c:v>
                </c:pt>
                <c:pt idx="98">
                  <c:v>85.457398524590147</c:v>
                </c:pt>
                <c:pt idx="99">
                  <c:v>85.457398524590147</c:v>
                </c:pt>
                <c:pt idx="100">
                  <c:v>85.457398524590147</c:v>
                </c:pt>
                <c:pt idx="101">
                  <c:v>85.457398524590147</c:v>
                </c:pt>
                <c:pt idx="102">
                  <c:v>85.457398524590147</c:v>
                </c:pt>
                <c:pt idx="103">
                  <c:v>85.457398524590147</c:v>
                </c:pt>
                <c:pt idx="104">
                  <c:v>85.457398524590147</c:v>
                </c:pt>
                <c:pt idx="105">
                  <c:v>83.468598524590149</c:v>
                </c:pt>
                <c:pt idx="106">
                  <c:v>87.654627950819673</c:v>
                </c:pt>
                <c:pt idx="107">
                  <c:v>87.654627950819673</c:v>
                </c:pt>
                <c:pt idx="108">
                  <c:v>87.654627950819673</c:v>
                </c:pt>
                <c:pt idx="109">
                  <c:v>87.654627950819673</c:v>
                </c:pt>
                <c:pt idx="110">
                  <c:v>87.654627950819673</c:v>
                </c:pt>
                <c:pt idx="111">
                  <c:v>87.654627950819673</c:v>
                </c:pt>
                <c:pt idx="112">
                  <c:v>87.662593524590179</c:v>
                </c:pt>
                <c:pt idx="113">
                  <c:v>87.662593524590179</c:v>
                </c:pt>
                <c:pt idx="114">
                  <c:v>87.662593524590179</c:v>
                </c:pt>
                <c:pt idx="115">
                  <c:v>87.662593524590179</c:v>
                </c:pt>
                <c:pt idx="116">
                  <c:v>87.662593524590179</c:v>
                </c:pt>
                <c:pt idx="117">
                  <c:v>87.662593524590179</c:v>
                </c:pt>
                <c:pt idx="118">
                  <c:v>87.662593524590179</c:v>
                </c:pt>
                <c:pt idx="119">
                  <c:v>84.724593524590176</c:v>
                </c:pt>
                <c:pt idx="120">
                  <c:v>84.724593524590176</c:v>
                </c:pt>
                <c:pt idx="121">
                  <c:v>84.724593524590176</c:v>
                </c:pt>
                <c:pt idx="122">
                  <c:v>84.724593524590176</c:v>
                </c:pt>
                <c:pt idx="123">
                  <c:v>84.724593524590176</c:v>
                </c:pt>
                <c:pt idx="124">
                  <c:v>84.724593524590176</c:v>
                </c:pt>
                <c:pt idx="125">
                  <c:v>84.724593524590176</c:v>
                </c:pt>
                <c:pt idx="126">
                  <c:v>81.662168483606564</c:v>
                </c:pt>
                <c:pt idx="127">
                  <c:v>81.662168483606564</c:v>
                </c:pt>
                <c:pt idx="128">
                  <c:v>81.662168483606564</c:v>
                </c:pt>
                <c:pt idx="129">
                  <c:v>81.662168483606564</c:v>
                </c:pt>
                <c:pt idx="130">
                  <c:v>81.662168483606564</c:v>
                </c:pt>
                <c:pt idx="131">
                  <c:v>81.662168483606564</c:v>
                </c:pt>
                <c:pt idx="132">
                  <c:v>81.662168483606564</c:v>
                </c:pt>
                <c:pt idx="133">
                  <c:v>80.984168483606553</c:v>
                </c:pt>
                <c:pt idx="134">
                  <c:v>80.984168483606553</c:v>
                </c:pt>
                <c:pt idx="135">
                  <c:v>80.984168483606553</c:v>
                </c:pt>
                <c:pt idx="136">
                  <c:v>80.984168483606553</c:v>
                </c:pt>
                <c:pt idx="137">
                  <c:v>80.984168483606553</c:v>
                </c:pt>
                <c:pt idx="138">
                  <c:v>80.984168483606553</c:v>
                </c:pt>
                <c:pt idx="139">
                  <c:v>80.984168483606553</c:v>
                </c:pt>
                <c:pt idx="140">
                  <c:v>83.719018565573748</c:v>
                </c:pt>
                <c:pt idx="141">
                  <c:v>83.719018565573748</c:v>
                </c:pt>
                <c:pt idx="142">
                  <c:v>83.719018565573748</c:v>
                </c:pt>
                <c:pt idx="143">
                  <c:v>83.719018565573748</c:v>
                </c:pt>
                <c:pt idx="144">
                  <c:v>83.719018565573748</c:v>
                </c:pt>
                <c:pt idx="145">
                  <c:v>83.719018565573748</c:v>
                </c:pt>
                <c:pt idx="146">
                  <c:v>83.719018565573748</c:v>
                </c:pt>
                <c:pt idx="147">
                  <c:v>83.719018565573748</c:v>
                </c:pt>
                <c:pt idx="148">
                  <c:v>83.719018565573748</c:v>
                </c:pt>
                <c:pt idx="149">
                  <c:v>83.719018565573748</c:v>
                </c:pt>
                <c:pt idx="150">
                  <c:v>83.719018565573748</c:v>
                </c:pt>
                <c:pt idx="151">
                  <c:v>83.719018565573748</c:v>
                </c:pt>
                <c:pt idx="152">
                  <c:v>83.719018565573748</c:v>
                </c:pt>
                <c:pt idx="153">
                  <c:v>83.719018565573748</c:v>
                </c:pt>
                <c:pt idx="154">
                  <c:v>84.171018565573746</c:v>
                </c:pt>
                <c:pt idx="155">
                  <c:v>84.171018565573746</c:v>
                </c:pt>
                <c:pt idx="156">
                  <c:v>84.171018565573746</c:v>
                </c:pt>
                <c:pt idx="157">
                  <c:v>84.171018565573746</c:v>
                </c:pt>
                <c:pt idx="158">
                  <c:v>84.171018565573746</c:v>
                </c:pt>
                <c:pt idx="159">
                  <c:v>84.171018565573746</c:v>
                </c:pt>
                <c:pt idx="160">
                  <c:v>84.171018565573746</c:v>
                </c:pt>
                <c:pt idx="161">
                  <c:v>84.849018565573743</c:v>
                </c:pt>
                <c:pt idx="162">
                  <c:v>84.849018565573743</c:v>
                </c:pt>
                <c:pt idx="163">
                  <c:v>84.849018565573743</c:v>
                </c:pt>
                <c:pt idx="164">
                  <c:v>84.849018565573743</c:v>
                </c:pt>
                <c:pt idx="165">
                  <c:v>84.849018565573743</c:v>
                </c:pt>
                <c:pt idx="166">
                  <c:v>84.849018565573743</c:v>
                </c:pt>
                <c:pt idx="167">
                  <c:v>84.849018565573743</c:v>
                </c:pt>
                <c:pt idx="168">
                  <c:v>85.811509959016391</c:v>
                </c:pt>
                <c:pt idx="169">
                  <c:v>85.811509959016391</c:v>
                </c:pt>
                <c:pt idx="170">
                  <c:v>85.811509959016391</c:v>
                </c:pt>
                <c:pt idx="171">
                  <c:v>85.811509959016391</c:v>
                </c:pt>
                <c:pt idx="172">
                  <c:v>85.811509959016391</c:v>
                </c:pt>
                <c:pt idx="173">
                  <c:v>85.811509959016391</c:v>
                </c:pt>
                <c:pt idx="174">
                  <c:v>85.811509959016391</c:v>
                </c:pt>
                <c:pt idx="175">
                  <c:v>86.489509959016388</c:v>
                </c:pt>
                <c:pt idx="176">
                  <c:v>86.489509959016388</c:v>
                </c:pt>
                <c:pt idx="177">
                  <c:v>86.489509959016388</c:v>
                </c:pt>
                <c:pt idx="178">
                  <c:v>86.489509959016388</c:v>
                </c:pt>
                <c:pt idx="179">
                  <c:v>86.489509959016388</c:v>
                </c:pt>
                <c:pt idx="180">
                  <c:v>86.489509959016388</c:v>
                </c:pt>
                <c:pt idx="181">
                  <c:v>86.489509959016388</c:v>
                </c:pt>
                <c:pt idx="182">
                  <c:v>85.811509959016391</c:v>
                </c:pt>
                <c:pt idx="183">
                  <c:v>85.811509959016391</c:v>
                </c:pt>
                <c:pt idx="184">
                  <c:v>85.811509959016391</c:v>
                </c:pt>
                <c:pt idx="185">
                  <c:v>85.811509959016391</c:v>
                </c:pt>
                <c:pt idx="186">
                  <c:v>85.811509959016391</c:v>
                </c:pt>
                <c:pt idx="187">
                  <c:v>85.811509959016391</c:v>
                </c:pt>
                <c:pt idx="188">
                  <c:v>85.811509959016391</c:v>
                </c:pt>
                <c:pt idx="189">
                  <c:v>85.359509959016393</c:v>
                </c:pt>
                <c:pt idx="190">
                  <c:v>85.359509959016393</c:v>
                </c:pt>
                <c:pt idx="191">
                  <c:v>85.359509959016393</c:v>
                </c:pt>
                <c:pt idx="192">
                  <c:v>85.359509959016393</c:v>
                </c:pt>
                <c:pt idx="193">
                  <c:v>85.359509959016393</c:v>
                </c:pt>
                <c:pt idx="194">
                  <c:v>85.359509959016393</c:v>
                </c:pt>
                <c:pt idx="195">
                  <c:v>85.359509959016393</c:v>
                </c:pt>
                <c:pt idx="196">
                  <c:v>84.177937499999999</c:v>
                </c:pt>
                <c:pt idx="197">
                  <c:v>84.177937499999999</c:v>
                </c:pt>
                <c:pt idx="198">
                  <c:v>84.177937499999999</c:v>
                </c:pt>
                <c:pt idx="199">
                  <c:v>84.177937499999999</c:v>
                </c:pt>
                <c:pt idx="200">
                  <c:v>84.177937499999999</c:v>
                </c:pt>
                <c:pt idx="201">
                  <c:v>84.177937499999999</c:v>
                </c:pt>
                <c:pt idx="202">
                  <c:v>84.177937499999999</c:v>
                </c:pt>
                <c:pt idx="203">
                  <c:v>84.539537499999994</c:v>
                </c:pt>
                <c:pt idx="204">
                  <c:v>84.539537499999994</c:v>
                </c:pt>
                <c:pt idx="205">
                  <c:v>84.539537499999994</c:v>
                </c:pt>
                <c:pt idx="206">
                  <c:v>84.539537499999994</c:v>
                </c:pt>
                <c:pt idx="207">
                  <c:v>84.539537499999994</c:v>
                </c:pt>
                <c:pt idx="208">
                  <c:v>84.539537499999994</c:v>
                </c:pt>
                <c:pt idx="209">
                  <c:v>84.539537499999994</c:v>
                </c:pt>
                <c:pt idx="210">
                  <c:v>90.03796004098362</c:v>
                </c:pt>
                <c:pt idx="211">
                  <c:v>90.03796004098362</c:v>
                </c:pt>
                <c:pt idx="212">
                  <c:v>90.03796004098362</c:v>
                </c:pt>
                <c:pt idx="213">
                  <c:v>90.03796004098362</c:v>
                </c:pt>
                <c:pt idx="214">
                  <c:v>90.03796004098362</c:v>
                </c:pt>
                <c:pt idx="215">
                  <c:v>90.03796004098362</c:v>
                </c:pt>
                <c:pt idx="216">
                  <c:v>90.03796004098362</c:v>
                </c:pt>
                <c:pt idx="217">
                  <c:v>90.03796004098362</c:v>
                </c:pt>
                <c:pt idx="218">
                  <c:v>90.03796004098362</c:v>
                </c:pt>
                <c:pt idx="219">
                  <c:v>90.03796004098362</c:v>
                </c:pt>
                <c:pt idx="220">
                  <c:v>90.03796004098362</c:v>
                </c:pt>
                <c:pt idx="221">
                  <c:v>90.03796004098362</c:v>
                </c:pt>
                <c:pt idx="222">
                  <c:v>90.03796004098362</c:v>
                </c:pt>
                <c:pt idx="223">
                  <c:v>90.03796004098362</c:v>
                </c:pt>
                <c:pt idx="224">
                  <c:v>89.67636004098361</c:v>
                </c:pt>
                <c:pt idx="225">
                  <c:v>89.67636004098361</c:v>
                </c:pt>
                <c:pt idx="226">
                  <c:v>89.67636004098361</c:v>
                </c:pt>
                <c:pt idx="227">
                  <c:v>89.67636004098361</c:v>
                </c:pt>
                <c:pt idx="228">
                  <c:v>89.67636004098361</c:v>
                </c:pt>
                <c:pt idx="229">
                  <c:v>89.67636004098361</c:v>
                </c:pt>
                <c:pt idx="230">
                  <c:v>89.67636004098361</c:v>
                </c:pt>
                <c:pt idx="231">
                  <c:v>90.850490245901639</c:v>
                </c:pt>
                <c:pt idx="232">
                  <c:v>90.850490245901639</c:v>
                </c:pt>
                <c:pt idx="233">
                  <c:v>90.850490245901639</c:v>
                </c:pt>
                <c:pt idx="234">
                  <c:v>90.850490245901639</c:v>
                </c:pt>
                <c:pt idx="235">
                  <c:v>90.850490245901639</c:v>
                </c:pt>
                <c:pt idx="236">
                  <c:v>90.850490245901639</c:v>
                </c:pt>
                <c:pt idx="237">
                  <c:v>90.850490245901639</c:v>
                </c:pt>
                <c:pt idx="238">
                  <c:v>90.850490245901639</c:v>
                </c:pt>
                <c:pt idx="239">
                  <c:v>90.850490245901639</c:v>
                </c:pt>
                <c:pt idx="240">
                  <c:v>90.850490245901639</c:v>
                </c:pt>
                <c:pt idx="241">
                  <c:v>90.850490245901639</c:v>
                </c:pt>
                <c:pt idx="242">
                  <c:v>90.850490245901639</c:v>
                </c:pt>
                <c:pt idx="243">
                  <c:v>90.850490245901639</c:v>
                </c:pt>
                <c:pt idx="244">
                  <c:v>90.850490245901639</c:v>
                </c:pt>
                <c:pt idx="245">
                  <c:v>91.076490245901638</c:v>
                </c:pt>
                <c:pt idx="246">
                  <c:v>91.076490245901638</c:v>
                </c:pt>
                <c:pt idx="247">
                  <c:v>91.076490245901638</c:v>
                </c:pt>
                <c:pt idx="248">
                  <c:v>91.076490245901638</c:v>
                </c:pt>
                <c:pt idx="249">
                  <c:v>91.076490245901638</c:v>
                </c:pt>
                <c:pt idx="250">
                  <c:v>91.076490245901638</c:v>
                </c:pt>
                <c:pt idx="251">
                  <c:v>91.076490245901638</c:v>
                </c:pt>
                <c:pt idx="252">
                  <c:v>92.206490245901648</c:v>
                </c:pt>
                <c:pt idx="253">
                  <c:v>92.206490245901648</c:v>
                </c:pt>
                <c:pt idx="254">
                  <c:v>92.206490245901648</c:v>
                </c:pt>
                <c:pt idx="255">
                  <c:v>92.206490245901648</c:v>
                </c:pt>
                <c:pt idx="256">
                  <c:v>92.206490245901648</c:v>
                </c:pt>
                <c:pt idx="257">
                  <c:v>92.206490245901648</c:v>
                </c:pt>
                <c:pt idx="258">
                  <c:v>92.206490245901648</c:v>
                </c:pt>
                <c:pt idx="259">
                  <c:v>91.323770368852465</c:v>
                </c:pt>
                <c:pt idx="260">
                  <c:v>91.323770368852465</c:v>
                </c:pt>
                <c:pt idx="261">
                  <c:v>91.323770368852465</c:v>
                </c:pt>
                <c:pt idx="262">
                  <c:v>91.323770368852465</c:v>
                </c:pt>
                <c:pt idx="263">
                  <c:v>91.323770368852465</c:v>
                </c:pt>
                <c:pt idx="264">
                  <c:v>91.323770368852465</c:v>
                </c:pt>
                <c:pt idx="265">
                  <c:v>91.323770368852465</c:v>
                </c:pt>
                <c:pt idx="266">
                  <c:v>92.227770368852461</c:v>
                </c:pt>
                <c:pt idx="267">
                  <c:v>92.227770368852461</c:v>
                </c:pt>
                <c:pt idx="268">
                  <c:v>92.227770368852461</c:v>
                </c:pt>
                <c:pt idx="269">
                  <c:v>92.227770368852461</c:v>
                </c:pt>
                <c:pt idx="270">
                  <c:v>92.227770368852461</c:v>
                </c:pt>
                <c:pt idx="271">
                  <c:v>92.227770368852461</c:v>
                </c:pt>
                <c:pt idx="272">
                  <c:v>92.227770368852461</c:v>
                </c:pt>
                <c:pt idx="273">
                  <c:v>92.679770368852473</c:v>
                </c:pt>
                <c:pt idx="274">
                  <c:v>92.679770368852473</c:v>
                </c:pt>
                <c:pt idx="275">
                  <c:v>92.679770368852473</c:v>
                </c:pt>
                <c:pt idx="276">
                  <c:v>92.679770368852473</c:v>
                </c:pt>
                <c:pt idx="277">
                  <c:v>92.679770368852473</c:v>
                </c:pt>
                <c:pt idx="278">
                  <c:v>92.679770368852473</c:v>
                </c:pt>
                <c:pt idx="279">
                  <c:v>92.679770368852473</c:v>
                </c:pt>
                <c:pt idx="280">
                  <c:v>92.679770368852473</c:v>
                </c:pt>
                <c:pt idx="281">
                  <c:v>92.679770368852473</c:v>
                </c:pt>
                <c:pt idx="282">
                  <c:v>92.424524672131128</c:v>
                </c:pt>
                <c:pt idx="283">
                  <c:v>92.424524672131128</c:v>
                </c:pt>
                <c:pt idx="284">
                  <c:v>92.424524672131128</c:v>
                </c:pt>
                <c:pt idx="285">
                  <c:v>92.424524672131128</c:v>
                </c:pt>
                <c:pt idx="286">
                  <c:v>92.424524672131128</c:v>
                </c:pt>
                <c:pt idx="287">
                  <c:v>95.053020450819659</c:v>
                </c:pt>
                <c:pt idx="288">
                  <c:v>95.053020450819659</c:v>
                </c:pt>
                <c:pt idx="289">
                  <c:v>95.053020450819659</c:v>
                </c:pt>
                <c:pt idx="290">
                  <c:v>95.053020450819659</c:v>
                </c:pt>
                <c:pt idx="291">
                  <c:v>95.053020450819659</c:v>
                </c:pt>
                <c:pt idx="292">
                  <c:v>95.053020450819659</c:v>
                </c:pt>
                <c:pt idx="293">
                  <c:v>95.053020450819659</c:v>
                </c:pt>
                <c:pt idx="294">
                  <c:v>95.053020450819659</c:v>
                </c:pt>
                <c:pt idx="295">
                  <c:v>95.053020450819659</c:v>
                </c:pt>
                <c:pt idx="296">
                  <c:v>95.053020450819659</c:v>
                </c:pt>
                <c:pt idx="297">
                  <c:v>95.053020450819659</c:v>
                </c:pt>
                <c:pt idx="298">
                  <c:v>95.053020450819659</c:v>
                </c:pt>
                <c:pt idx="299">
                  <c:v>95.053020450819659</c:v>
                </c:pt>
                <c:pt idx="300">
                  <c:v>95.053020450819659</c:v>
                </c:pt>
                <c:pt idx="301">
                  <c:v>96.329248934426218</c:v>
                </c:pt>
                <c:pt idx="302">
                  <c:v>96.329248934426218</c:v>
                </c:pt>
                <c:pt idx="303">
                  <c:v>96.329248934426218</c:v>
                </c:pt>
                <c:pt idx="304">
                  <c:v>96.329248934426218</c:v>
                </c:pt>
                <c:pt idx="305">
                  <c:v>96.329248934426218</c:v>
                </c:pt>
                <c:pt idx="306">
                  <c:v>96.329248934426218</c:v>
                </c:pt>
                <c:pt idx="307">
                  <c:v>96.329248934426218</c:v>
                </c:pt>
                <c:pt idx="308">
                  <c:v>97.138592909836063</c:v>
                </c:pt>
                <c:pt idx="309">
                  <c:v>97.138592909836063</c:v>
                </c:pt>
                <c:pt idx="310">
                  <c:v>97.138592909836063</c:v>
                </c:pt>
                <c:pt idx="311">
                  <c:v>97.138592909836063</c:v>
                </c:pt>
                <c:pt idx="312">
                  <c:v>97.138592909836063</c:v>
                </c:pt>
                <c:pt idx="313">
                  <c:v>97.138592909836063</c:v>
                </c:pt>
                <c:pt idx="314">
                  <c:v>97.138592909836063</c:v>
                </c:pt>
                <c:pt idx="315">
                  <c:v>97.500192909836059</c:v>
                </c:pt>
                <c:pt idx="316">
                  <c:v>97.500192909836059</c:v>
                </c:pt>
                <c:pt idx="317">
                  <c:v>97.500192909836059</c:v>
                </c:pt>
                <c:pt idx="318">
                  <c:v>97.500192909836059</c:v>
                </c:pt>
                <c:pt idx="319">
                  <c:v>97.500192909836059</c:v>
                </c:pt>
                <c:pt idx="320">
                  <c:v>97.500192909836059</c:v>
                </c:pt>
                <c:pt idx="321">
                  <c:v>97.500192909836059</c:v>
                </c:pt>
                <c:pt idx="322">
                  <c:v>96.144192909836065</c:v>
                </c:pt>
                <c:pt idx="323">
                  <c:v>96.144192909836065</c:v>
                </c:pt>
                <c:pt idx="324">
                  <c:v>96.144192909836065</c:v>
                </c:pt>
                <c:pt idx="325">
                  <c:v>96.144192909836065</c:v>
                </c:pt>
                <c:pt idx="326">
                  <c:v>96.144192909836065</c:v>
                </c:pt>
                <c:pt idx="327">
                  <c:v>96.144192909836065</c:v>
                </c:pt>
                <c:pt idx="328">
                  <c:v>96.144192909836065</c:v>
                </c:pt>
                <c:pt idx="329">
                  <c:v>101.20923266393443</c:v>
                </c:pt>
                <c:pt idx="330">
                  <c:v>101.20923266393443</c:v>
                </c:pt>
                <c:pt idx="331">
                  <c:v>101.20923266393443</c:v>
                </c:pt>
                <c:pt idx="332">
                  <c:v>101.20923266393443</c:v>
                </c:pt>
                <c:pt idx="333">
                  <c:v>101.20923266393443</c:v>
                </c:pt>
                <c:pt idx="334">
                  <c:v>101.20923266393443</c:v>
                </c:pt>
                <c:pt idx="335">
                  <c:v>101.20923266393443</c:v>
                </c:pt>
                <c:pt idx="336">
                  <c:v>101.20923266393443</c:v>
                </c:pt>
                <c:pt idx="337">
                  <c:v>101.20923266393443</c:v>
                </c:pt>
                <c:pt idx="338">
                  <c:v>101.20923266393443</c:v>
                </c:pt>
                <c:pt idx="339">
                  <c:v>101.20923266393443</c:v>
                </c:pt>
                <c:pt idx="340">
                  <c:v>101.20923266393443</c:v>
                </c:pt>
                <c:pt idx="341">
                  <c:v>101.20923266393443</c:v>
                </c:pt>
                <c:pt idx="342">
                  <c:v>101.20923266393443</c:v>
                </c:pt>
                <c:pt idx="343">
                  <c:v>102.52003266393442</c:v>
                </c:pt>
                <c:pt idx="344">
                  <c:v>102.52003266393442</c:v>
                </c:pt>
                <c:pt idx="345">
                  <c:v>102.52003266393442</c:v>
                </c:pt>
                <c:pt idx="346">
                  <c:v>102.52003266393442</c:v>
                </c:pt>
                <c:pt idx="347">
                  <c:v>102.52003266393442</c:v>
                </c:pt>
                <c:pt idx="348">
                  <c:v>102.52003266393442</c:v>
                </c:pt>
                <c:pt idx="349">
                  <c:v>102.52003266393442</c:v>
                </c:pt>
                <c:pt idx="350">
                  <c:v>102.52003266393442</c:v>
                </c:pt>
                <c:pt idx="351">
                  <c:v>102.52003266393442</c:v>
                </c:pt>
                <c:pt idx="352">
                  <c:v>102.52003266393442</c:v>
                </c:pt>
                <c:pt idx="353">
                  <c:v>102.52003266393442</c:v>
                </c:pt>
                <c:pt idx="354">
                  <c:v>102.52003266393442</c:v>
                </c:pt>
                <c:pt idx="355">
                  <c:v>102.52003266393442</c:v>
                </c:pt>
                <c:pt idx="356">
                  <c:v>102.52003266393442</c:v>
                </c:pt>
                <c:pt idx="357">
                  <c:v>101.79683266393442</c:v>
                </c:pt>
                <c:pt idx="358">
                  <c:v>101.79683266393442</c:v>
                </c:pt>
                <c:pt idx="359">
                  <c:v>101.79683266393442</c:v>
                </c:pt>
                <c:pt idx="360">
                  <c:v>101.79683266393442</c:v>
                </c:pt>
                <c:pt idx="361">
                  <c:v>101.79683266393442</c:v>
                </c:pt>
                <c:pt idx="362">
                  <c:v>101.79683266393442</c:v>
                </c:pt>
                <c:pt idx="363">
                  <c:v>101.79683266393442</c:v>
                </c:pt>
                <c:pt idx="364">
                  <c:v>101.79683266393442</c:v>
                </c:pt>
                <c:pt idx="365">
                  <c:v>101.79683266393442</c:v>
                </c:pt>
                <c:pt idx="366">
                  <c:v>101.79683266393442</c:v>
                </c:pt>
                <c:pt idx="367">
                  <c:v>101.79683266393442</c:v>
                </c:pt>
                <c:pt idx="368">
                  <c:v>101.79683266393442</c:v>
                </c:pt>
                <c:pt idx="369">
                  <c:v>101.79683266393442</c:v>
                </c:pt>
                <c:pt idx="370">
                  <c:v>101.79683266393442</c:v>
                </c:pt>
                <c:pt idx="371">
                  <c:v>101.76918008196721</c:v>
                </c:pt>
                <c:pt idx="372">
                  <c:v>101.76918008196721</c:v>
                </c:pt>
                <c:pt idx="373">
                  <c:v>101.76918008196721</c:v>
                </c:pt>
                <c:pt idx="374">
                  <c:v>101.76918008196721</c:v>
                </c:pt>
                <c:pt idx="375">
                  <c:v>101.76918008196721</c:v>
                </c:pt>
                <c:pt idx="376">
                  <c:v>101.76918008196721</c:v>
                </c:pt>
                <c:pt idx="377">
                  <c:v>101.76918008196721</c:v>
                </c:pt>
                <c:pt idx="378">
                  <c:v>100.59186364754098</c:v>
                </c:pt>
                <c:pt idx="379">
                  <c:v>100.59186364754098</c:v>
                </c:pt>
                <c:pt idx="380">
                  <c:v>100.59186364754098</c:v>
                </c:pt>
                <c:pt idx="381">
                  <c:v>100.59186364754098</c:v>
                </c:pt>
                <c:pt idx="382">
                  <c:v>100.59186364754098</c:v>
                </c:pt>
                <c:pt idx="383">
                  <c:v>100.59186364754098</c:v>
                </c:pt>
                <c:pt idx="384">
                  <c:v>100.59186364754098</c:v>
                </c:pt>
                <c:pt idx="385">
                  <c:v>102.76412655737704</c:v>
                </c:pt>
                <c:pt idx="386">
                  <c:v>102.76412655737704</c:v>
                </c:pt>
                <c:pt idx="387">
                  <c:v>102.76412655737704</c:v>
                </c:pt>
                <c:pt idx="388">
                  <c:v>102.76412655737704</c:v>
                </c:pt>
                <c:pt idx="389">
                  <c:v>102.76412655737704</c:v>
                </c:pt>
                <c:pt idx="390">
                  <c:v>102.76412655737704</c:v>
                </c:pt>
                <c:pt idx="391">
                  <c:v>102.76412655737704</c:v>
                </c:pt>
                <c:pt idx="392">
                  <c:v>102.40252655737706</c:v>
                </c:pt>
                <c:pt idx="393">
                  <c:v>102.40252655737706</c:v>
                </c:pt>
                <c:pt idx="394">
                  <c:v>102.40252655737706</c:v>
                </c:pt>
                <c:pt idx="395">
                  <c:v>102.40252655737706</c:v>
                </c:pt>
                <c:pt idx="396">
                  <c:v>102.40252655737706</c:v>
                </c:pt>
                <c:pt idx="397">
                  <c:v>102.40252655737706</c:v>
                </c:pt>
                <c:pt idx="398">
                  <c:v>102.40252655737706</c:v>
                </c:pt>
                <c:pt idx="399">
                  <c:v>101.87448774590165</c:v>
                </c:pt>
                <c:pt idx="400">
                  <c:v>101.87448774590165</c:v>
                </c:pt>
                <c:pt idx="401">
                  <c:v>101.87448774590165</c:v>
                </c:pt>
                <c:pt idx="402">
                  <c:v>101.87448774590165</c:v>
                </c:pt>
                <c:pt idx="403">
                  <c:v>101.87448774590165</c:v>
                </c:pt>
                <c:pt idx="404">
                  <c:v>101.87448774590165</c:v>
                </c:pt>
                <c:pt idx="405">
                  <c:v>101.87448774590165</c:v>
                </c:pt>
                <c:pt idx="406">
                  <c:v>102.10048774590165</c:v>
                </c:pt>
                <c:pt idx="407">
                  <c:v>102.10048774590165</c:v>
                </c:pt>
                <c:pt idx="408">
                  <c:v>102.10048774590165</c:v>
                </c:pt>
                <c:pt idx="409">
                  <c:v>102.10048774590165</c:v>
                </c:pt>
                <c:pt idx="410">
                  <c:v>102.10048774590165</c:v>
                </c:pt>
                <c:pt idx="411">
                  <c:v>102.10048774590165</c:v>
                </c:pt>
                <c:pt idx="412">
                  <c:v>102.10048774590165</c:v>
                </c:pt>
                <c:pt idx="413">
                  <c:v>97.951669590163945</c:v>
                </c:pt>
                <c:pt idx="414">
                  <c:v>97.951669590163945</c:v>
                </c:pt>
                <c:pt idx="415">
                  <c:v>97.951669590163945</c:v>
                </c:pt>
                <c:pt idx="416">
                  <c:v>97.951669590163945</c:v>
                </c:pt>
                <c:pt idx="417">
                  <c:v>97.951669590163945</c:v>
                </c:pt>
                <c:pt idx="418">
                  <c:v>97.951669590163945</c:v>
                </c:pt>
                <c:pt idx="419">
                  <c:v>97.951669590163945</c:v>
                </c:pt>
                <c:pt idx="420">
                  <c:v>99.738389467213096</c:v>
                </c:pt>
                <c:pt idx="421">
                  <c:v>99.738389467213096</c:v>
                </c:pt>
                <c:pt idx="422">
                  <c:v>99.738389467213096</c:v>
                </c:pt>
                <c:pt idx="423">
                  <c:v>99.738389467213096</c:v>
                </c:pt>
                <c:pt idx="424">
                  <c:v>99.738389467213096</c:v>
                </c:pt>
                <c:pt idx="425">
                  <c:v>99.738389467213096</c:v>
                </c:pt>
                <c:pt idx="426">
                  <c:v>99.738389467213096</c:v>
                </c:pt>
                <c:pt idx="427">
                  <c:v>102.31742922131147</c:v>
                </c:pt>
                <c:pt idx="428">
                  <c:v>102.31742922131147</c:v>
                </c:pt>
                <c:pt idx="429">
                  <c:v>102.31742922131147</c:v>
                </c:pt>
                <c:pt idx="430">
                  <c:v>102.31742922131147</c:v>
                </c:pt>
                <c:pt idx="431">
                  <c:v>102.31742922131147</c:v>
                </c:pt>
                <c:pt idx="432">
                  <c:v>102.31742922131147</c:v>
                </c:pt>
                <c:pt idx="433">
                  <c:v>102.31742922131147</c:v>
                </c:pt>
                <c:pt idx="434">
                  <c:v>102.31742922131147</c:v>
                </c:pt>
                <c:pt idx="435">
                  <c:v>102.31742922131147</c:v>
                </c:pt>
                <c:pt idx="436">
                  <c:v>102.31742922131147</c:v>
                </c:pt>
                <c:pt idx="437">
                  <c:v>102.31742922131147</c:v>
                </c:pt>
                <c:pt idx="438">
                  <c:v>102.31742922131147</c:v>
                </c:pt>
                <c:pt idx="439">
                  <c:v>102.31742922131147</c:v>
                </c:pt>
                <c:pt idx="440">
                  <c:v>102.31742922131147</c:v>
                </c:pt>
                <c:pt idx="441">
                  <c:v>102.15258352459016</c:v>
                </c:pt>
                <c:pt idx="442">
                  <c:v>102.15258352459016</c:v>
                </c:pt>
                <c:pt idx="443">
                  <c:v>102.15258352459016</c:v>
                </c:pt>
                <c:pt idx="444">
                  <c:v>102.15258352459016</c:v>
                </c:pt>
                <c:pt idx="445">
                  <c:v>102.15258352459016</c:v>
                </c:pt>
                <c:pt idx="446">
                  <c:v>102.15258352459016</c:v>
                </c:pt>
                <c:pt idx="447">
                  <c:v>102.15258352459016</c:v>
                </c:pt>
                <c:pt idx="448">
                  <c:v>104.32218352459016</c:v>
                </c:pt>
                <c:pt idx="449">
                  <c:v>104.32218352459016</c:v>
                </c:pt>
                <c:pt idx="450">
                  <c:v>104.32218352459016</c:v>
                </c:pt>
                <c:pt idx="451">
                  <c:v>104.32218352459016</c:v>
                </c:pt>
                <c:pt idx="452">
                  <c:v>104.32218352459016</c:v>
                </c:pt>
                <c:pt idx="453">
                  <c:v>104.32218352459016</c:v>
                </c:pt>
                <c:pt idx="454">
                  <c:v>104.32218352459016</c:v>
                </c:pt>
                <c:pt idx="455">
                  <c:v>94.319738442622949</c:v>
                </c:pt>
                <c:pt idx="456">
                  <c:v>94.319738442622949</c:v>
                </c:pt>
                <c:pt idx="457">
                  <c:v>94.319738442622949</c:v>
                </c:pt>
                <c:pt idx="458">
                  <c:v>94.319738442622949</c:v>
                </c:pt>
                <c:pt idx="459">
                  <c:v>94.319738442622949</c:v>
                </c:pt>
                <c:pt idx="460">
                  <c:v>94.319738442622949</c:v>
                </c:pt>
                <c:pt idx="461">
                  <c:v>94.319738442622949</c:v>
                </c:pt>
                <c:pt idx="462">
                  <c:v>97.134883360655735</c:v>
                </c:pt>
                <c:pt idx="463">
                  <c:v>97.134883360655735</c:v>
                </c:pt>
                <c:pt idx="464">
                  <c:v>97.134883360655735</c:v>
                </c:pt>
                <c:pt idx="465">
                  <c:v>97.134883360655735</c:v>
                </c:pt>
                <c:pt idx="466">
                  <c:v>97.134883360655735</c:v>
                </c:pt>
                <c:pt idx="467">
                  <c:v>97.134883360655735</c:v>
                </c:pt>
                <c:pt idx="468">
                  <c:v>97.134883360655735</c:v>
                </c:pt>
                <c:pt idx="469">
                  <c:v>95.290723360655733</c:v>
                </c:pt>
                <c:pt idx="470">
                  <c:v>95.290723360655733</c:v>
                </c:pt>
                <c:pt idx="471">
                  <c:v>95.290723360655733</c:v>
                </c:pt>
                <c:pt idx="472">
                  <c:v>95.290723360655733</c:v>
                </c:pt>
                <c:pt idx="473">
                  <c:v>95.290723360655733</c:v>
                </c:pt>
                <c:pt idx="474">
                  <c:v>95.290723360655733</c:v>
                </c:pt>
                <c:pt idx="475">
                  <c:v>95.290723360655733</c:v>
                </c:pt>
                <c:pt idx="476">
                  <c:v>93.880483360655731</c:v>
                </c:pt>
                <c:pt idx="477">
                  <c:v>93.880483360655731</c:v>
                </c:pt>
                <c:pt idx="478">
                  <c:v>93.880483360655731</c:v>
                </c:pt>
                <c:pt idx="479">
                  <c:v>93.880483360655731</c:v>
                </c:pt>
                <c:pt idx="480">
                  <c:v>93.880483360655731</c:v>
                </c:pt>
                <c:pt idx="481">
                  <c:v>93.880483360655731</c:v>
                </c:pt>
                <c:pt idx="482">
                  <c:v>93.880483360655731</c:v>
                </c:pt>
                <c:pt idx="483">
                  <c:v>90.150163483606562</c:v>
                </c:pt>
                <c:pt idx="484">
                  <c:v>90.150163483606562</c:v>
                </c:pt>
                <c:pt idx="485">
                  <c:v>90.150163483606562</c:v>
                </c:pt>
                <c:pt idx="486">
                  <c:v>90.150163483606562</c:v>
                </c:pt>
                <c:pt idx="487">
                  <c:v>90.150163483606562</c:v>
                </c:pt>
                <c:pt idx="488">
                  <c:v>90.150163483606562</c:v>
                </c:pt>
                <c:pt idx="489">
                  <c:v>90.150163483606562</c:v>
                </c:pt>
                <c:pt idx="490">
                  <c:v>90.376163483606561</c:v>
                </c:pt>
                <c:pt idx="491">
                  <c:v>90.376163483606561</c:v>
                </c:pt>
                <c:pt idx="492">
                  <c:v>90.376163483606561</c:v>
                </c:pt>
                <c:pt idx="493">
                  <c:v>90.376163483606561</c:v>
                </c:pt>
                <c:pt idx="494">
                  <c:v>90.376163483606561</c:v>
                </c:pt>
                <c:pt idx="495">
                  <c:v>90.376163483606561</c:v>
                </c:pt>
                <c:pt idx="496">
                  <c:v>90.376163483606561</c:v>
                </c:pt>
                <c:pt idx="497">
                  <c:v>90.376163483606561</c:v>
                </c:pt>
                <c:pt idx="498">
                  <c:v>90.376163483606561</c:v>
                </c:pt>
                <c:pt idx="499">
                  <c:v>90.376163483606561</c:v>
                </c:pt>
                <c:pt idx="500">
                  <c:v>90.376163483606561</c:v>
                </c:pt>
                <c:pt idx="501">
                  <c:v>90.376163483606561</c:v>
                </c:pt>
                <c:pt idx="502">
                  <c:v>90.376163483606561</c:v>
                </c:pt>
                <c:pt idx="503">
                  <c:v>90.376163483606561</c:v>
                </c:pt>
                <c:pt idx="504">
                  <c:v>90.240563483606564</c:v>
                </c:pt>
                <c:pt idx="505">
                  <c:v>90.240563483606564</c:v>
                </c:pt>
                <c:pt idx="506">
                  <c:v>90.240563483606564</c:v>
                </c:pt>
                <c:pt idx="507">
                  <c:v>90.240563483606564</c:v>
                </c:pt>
                <c:pt idx="508">
                  <c:v>90.240563483606564</c:v>
                </c:pt>
                <c:pt idx="509">
                  <c:v>90.240563483606564</c:v>
                </c:pt>
                <c:pt idx="510">
                  <c:v>90.240563483606564</c:v>
                </c:pt>
                <c:pt idx="511">
                  <c:v>95.775673975409845</c:v>
                </c:pt>
                <c:pt idx="512">
                  <c:v>95.775673975409845</c:v>
                </c:pt>
                <c:pt idx="513">
                  <c:v>95.775673975409845</c:v>
                </c:pt>
                <c:pt idx="514">
                  <c:v>95.775673975409845</c:v>
                </c:pt>
                <c:pt idx="515">
                  <c:v>95.775673975409845</c:v>
                </c:pt>
                <c:pt idx="516">
                  <c:v>95.775673975409845</c:v>
                </c:pt>
                <c:pt idx="517">
                  <c:v>95.775673975409845</c:v>
                </c:pt>
                <c:pt idx="518">
                  <c:v>97.336393852459011</c:v>
                </c:pt>
                <c:pt idx="519">
                  <c:v>97.336393852459011</c:v>
                </c:pt>
                <c:pt idx="520">
                  <c:v>97.336393852459011</c:v>
                </c:pt>
                <c:pt idx="521">
                  <c:v>97.336393852459011</c:v>
                </c:pt>
                <c:pt idx="522">
                  <c:v>97.336393852459011</c:v>
                </c:pt>
                <c:pt idx="523">
                  <c:v>97.336393852459011</c:v>
                </c:pt>
                <c:pt idx="524">
                  <c:v>97.336393852459011</c:v>
                </c:pt>
                <c:pt idx="525">
                  <c:v>99.815998237704918</c:v>
                </c:pt>
                <c:pt idx="526">
                  <c:v>99.815998237704918</c:v>
                </c:pt>
                <c:pt idx="527">
                  <c:v>99.815998237704918</c:v>
                </c:pt>
                <c:pt idx="528">
                  <c:v>99.815998237704918</c:v>
                </c:pt>
                <c:pt idx="529">
                  <c:v>99.815998237704918</c:v>
                </c:pt>
                <c:pt idx="530">
                  <c:v>99.815998237704918</c:v>
                </c:pt>
                <c:pt idx="531">
                  <c:v>99.815998237704918</c:v>
                </c:pt>
                <c:pt idx="532">
                  <c:v>101.6027181147541</c:v>
                </c:pt>
                <c:pt idx="533">
                  <c:v>101.6027181147541</c:v>
                </c:pt>
                <c:pt idx="534">
                  <c:v>101.6027181147541</c:v>
                </c:pt>
                <c:pt idx="535">
                  <c:v>101.6027181147541</c:v>
                </c:pt>
                <c:pt idx="536">
                  <c:v>101.6027181147541</c:v>
                </c:pt>
                <c:pt idx="537">
                  <c:v>101.6027181147541</c:v>
                </c:pt>
                <c:pt idx="538">
                  <c:v>101.6027181147541</c:v>
                </c:pt>
                <c:pt idx="539">
                  <c:v>102.66623799180327</c:v>
                </c:pt>
                <c:pt idx="540">
                  <c:v>102.66623799180327</c:v>
                </c:pt>
                <c:pt idx="541">
                  <c:v>102.66623799180327</c:v>
                </c:pt>
                <c:pt idx="542">
                  <c:v>102.66623799180327</c:v>
                </c:pt>
                <c:pt idx="543">
                  <c:v>102.66623799180327</c:v>
                </c:pt>
                <c:pt idx="544">
                  <c:v>102.66623799180327</c:v>
                </c:pt>
                <c:pt idx="545">
                  <c:v>102.66623799180327</c:v>
                </c:pt>
                <c:pt idx="546">
                  <c:v>104.36255786885245</c:v>
                </c:pt>
                <c:pt idx="547">
                  <c:v>104.36255786885245</c:v>
                </c:pt>
                <c:pt idx="548">
                  <c:v>104.36255786885245</c:v>
                </c:pt>
                <c:pt idx="549">
                  <c:v>104.36255786885245</c:v>
                </c:pt>
                <c:pt idx="550">
                  <c:v>104.36255786885245</c:v>
                </c:pt>
                <c:pt idx="551">
                  <c:v>104.36255786885245</c:v>
                </c:pt>
                <c:pt idx="552">
                  <c:v>104.36255786885245</c:v>
                </c:pt>
                <c:pt idx="553">
                  <c:v>109.75196319672132</c:v>
                </c:pt>
                <c:pt idx="554">
                  <c:v>109.75196319672132</c:v>
                </c:pt>
                <c:pt idx="555">
                  <c:v>109.75196319672132</c:v>
                </c:pt>
                <c:pt idx="556">
                  <c:v>109.75196319672132</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numCache>
            </c:numRef>
          </c:val>
          <c:smooth val="0"/>
          <c:extLst>
            <c:ext xmlns:c16="http://schemas.microsoft.com/office/drawing/2014/chart" uri="{C3380CC4-5D6E-409C-BE32-E72D297353CC}">
              <c16:uniqueId val="{00000001-2CA1-4B2D-A6F2-BEEB85A56030}"/>
            </c:ext>
          </c:extLst>
        </c:ser>
        <c:ser>
          <c:idx val="1"/>
          <c:order val="1"/>
          <c:tx>
            <c:strRef>
              <c:f>ExportArbCAPP!$Q$4</c:f>
              <c:strCache>
                <c:ptCount val="1"/>
                <c:pt idx="0">
                  <c:v>IHS McCloskey NW Europe Marker</c:v>
                </c:pt>
              </c:strCache>
            </c:strRef>
          </c:tx>
          <c:spPr>
            <a:ln>
              <a:solidFill>
                <a:srgbClr val="B1B3B6"/>
              </a:solidFill>
            </a:ln>
          </c:spPr>
          <c:marker>
            <c:symbol val="none"/>
          </c:marker>
          <c:cat>
            <c:numRef>
              <c:f>ExportArbCAPP!$O$5:$O$657</c:f>
              <c:numCache>
                <c:formatCode>m/d/yyyy</c:formatCode>
                <c:ptCount val="653"/>
                <c:pt idx="0">
                  <c:v>44119</c:v>
                </c:pt>
                <c:pt idx="1">
                  <c:v>44118</c:v>
                </c:pt>
                <c:pt idx="2">
                  <c:v>44117</c:v>
                </c:pt>
                <c:pt idx="3">
                  <c:v>44116</c:v>
                </c:pt>
                <c:pt idx="4">
                  <c:v>44115</c:v>
                </c:pt>
                <c:pt idx="5">
                  <c:v>44114</c:v>
                </c:pt>
                <c:pt idx="6">
                  <c:v>44113</c:v>
                </c:pt>
                <c:pt idx="7">
                  <c:v>44112</c:v>
                </c:pt>
                <c:pt idx="8">
                  <c:v>44111</c:v>
                </c:pt>
                <c:pt idx="9">
                  <c:v>44110</c:v>
                </c:pt>
                <c:pt idx="10">
                  <c:v>44109</c:v>
                </c:pt>
                <c:pt idx="11">
                  <c:v>44108</c:v>
                </c:pt>
                <c:pt idx="12">
                  <c:v>44107</c:v>
                </c:pt>
                <c:pt idx="13">
                  <c:v>44106</c:v>
                </c:pt>
                <c:pt idx="14">
                  <c:v>44105</c:v>
                </c:pt>
                <c:pt idx="15">
                  <c:v>44104</c:v>
                </c:pt>
                <c:pt idx="16">
                  <c:v>44103</c:v>
                </c:pt>
                <c:pt idx="17">
                  <c:v>44102</c:v>
                </c:pt>
                <c:pt idx="18">
                  <c:v>44101</c:v>
                </c:pt>
                <c:pt idx="19">
                  <c:v>44100</c:v>
                </c:pt>
                <c:pt idx="20">
                  <c:v>44099</c:v>
                </c:pt>
                <c:pt idx="21">
                  <c:v>44098</c:v>
                </c:pt>
                <c:pt idx="22">
                  <c:v>44097</c:v>
                </c:pt>
                <c:pt idx="23">
                  <c:v>44096</c:v>
                </c:pt>
                <c:pt idx="24">
                  <c:v>44095</c:v>
                </c:pt>
                <c:pt idx="25">
                  <c:v>44094</c:v>
                </c:pt>
                <c:pt idx="26">
                  <c:v>44093</c:v>
                </c:pt>
                <c:pt idx="27">
                  <c:v>44092</c:v>
                </c:pt>
                <c:pt idx="28">
                  <c:v>44091</c:v>
                </c:pt>
                <c:pt idx="29">
                  <c:v>44090</c:v>
                </c:pt>
                <c:pt idx="30">
                  <c:v>44089</c:v>
                </c:pt>
                <c:pt idx="31">
                  <c:v>44088</c:v>
                </c:pt>
                <c:pt idx="32">
                  <c:v>44087</c:v>
                </c:pt>
                <c:pt idx="33">
                  <c:v>44086</c:v>
                </c:pt>
                <c:pt idx="34">
                  <c:v>44085</c:v>
                </c:pt>
                <c:pt idx="35">
                  <c:v>44084</c:v>
                </c:pt>
                <c:pt idx="36">
                  <c:v>44083</c:v>
                </c:pt>
                <c:pt idx="37">
                  <c:v>44082</c:v>
                </c:pt>
                <c:pt idx="38">
                  <c:v>44081</c:v>
                </c:pt>
                <c:pt idx="39">
                  <c:v>44080</c:v>
                </c:pt>
                <c:pt idx="40">
                  <c:v>44079</c:v>
                </c:pt>
                <c:pt idx="41">
                  <c:v>44078</c:v>
                </c:pt>
                <c:pt idx="42">
                  <c:v>44077</c:v>
                </c:pt>
                <c:pt idx="43">
                  <c:v>44076</c:v>
                </c:pt>
                <c:pt idx="44">
                  <c:v>44075</c:v>
                </c:pt>
                <c:pt idx="45">
                  <c:v>44074</c:v>
                </c:pt>
                <c:pt idx="46">
                  <c:v>44073</c:v>
                </c:pt>
                <c:pt idx="47">
                  <c:v>44072</c:v>
                </c:pt>
                <c:pt idx="48">
                  <c:v>44071</c:v>
                </c:pt>
                <c:pt idx="49">
                  <c:v>44070</c:v>
                </c:pt>
                <c:pt idx="50">
                  <c:v>44069</c:v>
                </c:pt>
                <c:pt idx="51">
                  <c:v>44068</c:v>
                </c:pt>
                <c:pt idx="52">
                  <c:v>44067</c:v>
                </c:pt>
                <c:pt idx="53">
                  <c:v>44066</c:v>
                </c:pt>
                <c:pt idx="54">
                  <c:v>44065</c:v>
                </c:pt>
                <c:pt idx="55">
                  <c:v>44064</c:v>
                </c:pt>
                <c:pt idx="56">
                  <c:v>44063</c:v>
                </c:pt>
                <c:pt idx="57">
                  <c:v>44062</c:v>
                </c:pt>
                <c:pt idx="58">
                  <c:v>44061</c:v>
                </c:pt>
                <c:pt idx="59">
                  <c:v>44060</c:v>
                </c:pt>
                <c:pt idx="60">
                  <c:v>44059</c:v>
                </c:pt>
                <c:pt idx="61">
                  <c:v>44058</c:v>
                </c:pt>
                <c:pt idx="62">
                  <c:v>44057</c:v>
                </c:pt>
                <c:pt idx="63">
                  <c:v>44056</c:v>
                </c:pt>
                <c:pt idx="64">
                  <c:v>44055</c:v>
                </c:pt>
                <c:pt idx="65">
                  <c:v>44054</c:v>
                </c:pt>
                <c:pt idx="66">
                  <c:v>44053</c:v>
                </c:pt>
                <c:pt idx="67">
                  <c:v>44052</c:v>
                </c:pt>
                <c:pt idx="68">
                  <c:v>44051</c:v>
                </c:pt>
                <c:pt idx="69">
                  <c:v>44050</c:v>
                </c:pt>
                <c:pt idx="70">
                  <c:v>44049</c:v>
                </c:pt>
                <c:pt idx="71">
                  <c:v>44048</c:v>
                </c:pt>
                <c:pt idx="72">
                  <c:v>44047</c:v>
                </c:pt>
                <c:pt idx="73">
                  <c:v>44046</c:v>
                </c:pt>
                <c:pt idx="74">
                  <c:v>44045</c:v>
                </c:pt>
                <c:pt idx="75">
                  <c:v>44044</c:v>
                </c:pt>
                <c:pt idx="76">
                  <c:v>44043</c:v>
                </c:pt>
                <c:pt idx="77">
                  <c:v>44042</c:v>
                </c:pt>
                <c:pt idx="78">
                  <c:v>44041</c:v>
                </c:pt>
                <c:pt idx="79">
                  <c:v>44040</c:v>
                </c:pt>
                <c:pt idx="80">
                  <c:v>44039</c:v>
                </c:pt>
                <c:pt idx="81">
                  <c:v>44038</c:v>
                </c:pt>
                <c:pt idx="82">
                  <c:v>44037</c:v>
                </c:pt>
                <c:pt idx="83">
                  <c:v>44036</c:v>
                </c:pt>
                <c:pt idx="84">
                  <c:v>44035</c:v>
                </c:pt>
                <c:pt idx="85">
                  <c:v>44034</c:v>
                </c:pt>
                <c:pt idx="86">
                  <c:v>44033</c:v>
                </c:pt>
                <c:pt idx="87">
                  <c:v>44032</c:v>
                </c:pt>
                <c:pt idx="88">
                  <c:v>44031</c:v>
                </c:pt>
                <c:pt idx="89">
                  <c:v>44030</c:v>
                </c:pt>
                <c:pt idx="90">
                  <c:v>44029</c:v>
                </c:pt>
                <c:pt idx="91">
                  <c:v>44028</c:v>
                </c:pt>
                <c:pt idx="92">
                  <c:v>44027</c:v>
                </c:pt>
                <c:pt idx="93">
                  <c:v>44026</c:v>
                </c:pt>
                <c:pt idx="94">
                  <c:v>44025</c:v>
                </c:pt>
                <c:pt idx="95">
                  <c:v>44024</c:v>
                </c:pt>
                <c:pt idx="96">
                  <c:v>44023</c:v>
                </c:pt>
                <c:pt idx="97">
                  <c:v>44022</c:v>
                </c:pt>
                <c:pt idx="98">
                  <c:v>44021</c:v>
                </c:pt>
                <c:pt idx="99">
                  <c:v>44020</c:v>
                </c:pt>
                <c:pt idx="100">
                  <c:v>44019</c:v>
                </c:pt>
                <c:pt idx="101">
                  <c:v>44018</c:v>
                </c:pt>
                <c:pt idx="102">
                  <c:v>44017</c:v>
                </c:pt>
                <c:pt idx="103">
                  <c:v>44016</c:v>
                </c:pt>
                <c:pt idx="104">
                  <c:v>44015</c:v>
                </c:pt>
                <c:pt idx="105">
                  <c:v>44014</c:v>
                </c:pt>
                <c:pt idx="106">
                  <c:v>44013</c:v>
                </c:pt>
                <c:pt idx="107">
                  <c:v>44012</c:v>
                </c:pt>
                <c:pt idx="108">
                  <c:v>44011</c:v>
                </c:pt>
                <c:pt idx="109">
                  <c:v>44010</c:v>
                </c:pt>
                <c:pt idx="110">
                  <c:v>44009</c:v>
                </c:pt>
                <c:pt idx="111">
                  <c:v>44008</c:v>
                </c:pt>
                <c:pt idx="112">
                  <c:v>44007</c:v>
                </c:pt>
                <c:pt idx="113">
                  <c:v>44006</c:v>
                </c:pt>
                <c:pt idx="114">
                  <c:v>44005</c:v>
                </c:pt>
                <c:pt idx="115">
                  <c:v>44004</c:v>
                </c:pt>
                <c:pt idx="116">
                  <c:v>44003</c:v>
                </c:pt>
                <c:pt idx="117">
                  <c:v>44002</c:v>
                </c:pt>
                <c:pt idx="118">
                  <c:v>44001</c:v>
                </c:pt>
                <c:pt idx="119">
                  <c:v>44000</c:v>
                </c:pt>
                <c:pt idx="120">
                  <c:v>43999</c:v>
                </c:pt>
                <c:pt idx="121">
                  <c:v>43998</c:v>
                </c:pt>
                <c:pt idx="122">
                  <c:v>43997</c:v>
                </c:pt>
                <c:pt idx="123">
                  <c:v>43996</c:v>
                </c:pt>
                <c:pt idx="124">
                  <c:v>43995</c:v>
                </c:pt>
                <c:pt idx="125">
                  <c:v>43994</c:v>
                </c:pt>
                <c:pt idx="126">
                  <c:v>43993</c:v>
                </c:pt>
                <c:pt idx="127">
                  <c:v>43992</c:v>
                </c:pt>
                <c:pt idx="128">
                  <c:v>43991</c:v>
                </c:pt>
                <c:pt idx="129">
                  <c:v>43990</c:v>
                </c:pt>
                <c:pt idx="130">
                  <c:v>43989</c:v>
                </c:pt>
                <c:pt idx="131">
                  <c:v>43988</c:v>
                </c:pt>
                <c:pt idx="132">
                  <c:v>43987</c:v>
                </c:pt>
                <c:pt idx="133">
                  <c:v>43986</c:v>
                </c:pt>
                <c:pt idx="134">
                  <c:v>43985</c:v>
                </c:pt>
                <c:pt idx="135">
                  <c:v>43984</c:v>
                </c:pt>
                <c:pt idx="136">
                  <c:v>43983</c:v>
                </c:pt>
                <c:pt idx="137">
                  <c:v>43982</c:v>
                </c:pt>
                <c:pt idx="138">
                  <c:v>43981</c:v>
                </c:pt>
                <c:pt idx="139">
                  <c:v>43980</c:v>
                </c:pt>
                <c:pt idx="140">
                  <c:v>43979</c:v>
                </c:pt>
                <c:pt idx="141">
                  <c:v>43978</c:v>
                </c:pt>
                <c:pt idx="142">
                  <c:v>43977</c:v>
                </c:pt>
                <c:pt idx="143">
                  <c:v>43976</c:v>
                </c:pt>
                <c:pt idx="144">
                  <c:v>43975</c:v>
                </c:pt>
                <c:pt idx="145">
                  <c:v>43974</c:v>
                </c:pt>
                <c:pt idx="146">
                  <c:v>43973</c:v>
                </c:pt>
                <c:pt idx="147">
                  <c:v>43972</c:v>
                </c:pt>
                <c:pt idx="148">
                  <c:v>43971</c:v>
                </c:pt>
                <c:pt idx="149">
                  <c:v>43970</c:v>
                </c:pt>
                <c:pt idx="150">
                  <c:v>43969</c:v>
                </c:pt>
                <c:pt idx="151">
                  <c:v>43968</c:v>
                </c:pt>
                <c:pt idx="152">
                  <c:v>43967</c:v>
                </c:pt>
                <c:pt idx="153">
                  <c:v>43966</c:v>
                </c:pt>
                <c:pt idx="154">
                  <c:v>43965</c:v>
                </c:pt>
                <c:pt idx="155">
                  <c:v>43964</c:v>
                </c:pt>
                <c:pt idx="156">
                  <c:v>43963</c:v>
                </c:pt>
                <c:pt idx="157">
                  <c:v>43962</c:v>
                </c:pt>
                <c:pt idx="158">
                  <c:v>43961</c:v>
                </c:pt>
                <c:pt idx="159">
                  <c:v>43960</c:v>
                </c:pt>
                <c:pt idx="160">
                  <c:v>43959</c:v>
                </c:pt>
                <c:pt idx="161">
                  <c:v>43958</c:v>
                </c:pt>
                <c:pt idx="162">
                  <c:v>43957</c:v>
                </c:pt>
                <c:pt idx="163">
                  <c:v>43956</c:v>
                </c:pt>
                <c:pt idx="164">
                  <c:v>43955</c:v>
                </c:pt>
                <c:pt idx="165">
                  <c:v>43954</c:v>
                </c:pt>
                <c:pt idx="166">
                  <c:v>43953</c:v>
                </c:pt>
                <c:pt idx="167">
                  <c:v>43952</c:v>
                </c:pt>
                <c:pt idx="168">
                  <c:v>43951</c:v>
                </c:pt>
                <c:pt idx="169">
                  <c:v>43950</c:v>
                </c:pt>
                <c:pt idx="170">
                  <c:v>43949</c:v>
                </c:pt>
                <c:pt idx="171">
                  <c:v>43948</c:v>
                </c:pt>
                <c:pt idx="172">
                  <c:v>43947</c:v>
                </c:pt>
                <c:pt idx="173">
                  <c:v>43946</c:v>
                </c:pt>
                <c:pt idx="174">
                  <c:v>43945</c:v>
                </c:pt>
                <c:pt idx="175">
                  <c:v>43944</c:v>
                </c:pt>
                <c:pt idx="176">
                  <c:v>43943</c:v>
                </c:pt>
                <c:pt idx="177">
                  <c:v>43942</c:v>
                </c:pt>
                <c:pt idx="178">
                  <c:v>43941</c:v>
                </c:pt>
                <c:pt idx="179">
                  <c:v>43940</c:v>
                </c:pt>
                <c:pt idx="180">
                  <c:v>43939</c:v>
                </c:pt>
                <c:pt idx="181">
                  <c:v>43938</c:v>
                </c:pt>
                <c:pt idx="182">
                  <c:v>43937</c:v>
                </c:pt>
                <c:pt idx="183">
                  <c:v>43936</c:v>
                </c:pt>
                <c:pt idx="184">
                  <c:v>43935</c:v>
                </c:pt>
                <c:pt idx="185">
                  <c:v>43934</c:v>
                </c:pt>
                <c:pt idx="186">
                  <c:v>43933</c:v>
                </c:pt>
                <c:pt idx="187">
                  <c:v>43932</c:v>
                </c:pt>
                <c:pt idx="188">
                  <c:v>43931</c:v>
                </c:pt>
                <c:pt idx="189">
                  <c:v>43930</c:v>
                </c:pt>
                <c:pt idx="190">
                  <c:v>43929</c:v>
                </c:pt>
                <c:pt idx="191">
                  <c:v>43928</c:v>
                </c:pt>
                <c:pt idx="192">
                  <c:v>43927</c:v>
                </c:pt>
                <c:pt idx="193">
                  <c:v>43926</c:v>
                </c:pt>
                <c:pt idx="194">
                  <c:v>43925</c:v>
                </c:pt>
                <c:pt idx="195">
                  <c:v>43924</c:v>
                </c:pt>
                <c:pt idx="196">
                  <c:v>43923</c:v>
                </c:pt>
                <c:pt idx="197">
                  <c:v>43922</c:v>
                </c:pt>
                <c:pt idx="198">
                  <c:v>43921</c:v>
                </c:pt>
                <c:pt idx="199">
                  <c:v>43920</c:v>
                </c:pt>
                <c:pt idx="200">
                  <c:v>43919</c:v>
                </c:pt>
                <c:pt idx="201">
                  <c:v>43918</c:v>
                </c:pt>
                <c:pt idx="202">
                  <c:v>43917</c:v>
                </c:pt>
                <c:pt idx="203">
                  <c:v>43916</c:v>
                </c:pt>
                <c:pt idx="204">
                  <c:v>43915</c:v>
                </c:pt>
                <c:pt idx="205">
                  <c:v>43914</c:v>
                </c:pt>
                <c:pt idx="206">
                  <c:v>43913</c:v>
                </c:pt>
                <c:pt idx="207">
                  <c:v>43912</c:v>
                </c:pt>
                <c:pt idx="208">
                  <c:v>43911</c:v>
                </c:pt>
                <c:pt idx="209">
                  <c:v>43910</c:v>
                </c:pt>
                <c:pt idx="210">
                  <c:v>43909</c:v>
                </c:pt>
                <c:pt idx="211">
                  <c:v>43908</c:v>
                </c:pt>
                <c:pt idx="212">
                  <c:v>43907</c:v>
                </c:pt>
                <c:pt idx="213">
                  <c:v>43906</c:v>
                </c:pt>
                <c:pt idx="214">
                  <c:v>43905</c:v>
                </c:pt>
                <c:pt idx="215">
                  <c:v>43904</c:v>
                </c:pt>
                <c:pt idx="216">
                  <c:v>43903</c:v>
                </c:pt>
                <c:pt idx="217">
                  <c:v>43902</c:v>
                </c:pt>
                <c:pt idx="218">
                  <c:v>43901</c:v>
                </c:pt>
                <c:pt idx="219">
                  <c:v>43900</c:v>
                </c:pt>
                <c:pt idx="220">
                  <c:v>43899</c:v>
                </c:pt>
                <c:pt idx="221">
                  <c:v>43898</c:v>
                </c:pt>
                <c:pt idx="222">
                  <c:v>43897</c:v>
                </c:pt>
                <c:pt idx="223">
                  <c:v>43896</c:v>
                </c:pt>
                <c:pt idx="224">
                  <c:v>43895</c:v>
                </c:pt>
                <c:pt idx="225">
                  <c:v>43894</c:v>
                </c:pt>
                <c:pt idx="226">
                  <c:v>43893</c:v>
                </c:pt>
                <c:pt idx="227">
                  <c:v>43892</c:v>
                </c:pt>
                <c:pt idx="228">
                  <c:v>43891</c:v>
                </c:pt>
                <c:pt idx="229">
                  <c:v>43890</c:v>
                </c:pt>
                <c:pt idx="230">
                  <c:v>43889</c:v>
                </c:pt>
                <c:pt idx="231">
                  <c:v>43888</c:v>
                </c:pt>
                <c:pt idx="232">
                  <c:v>43887</c:v>
                </c:pt>
                <c:pt idx="233">
                  <c:v>43886</c:v>
                </c:pt>
                <c:pt idx="234">
                  <c:v>43885</c:v>
                </c:pt>
                <c:pt idx="235">
                  <c:v>43884</c:v>
                </c:pt>
                <c:pt idx="236">
                  <c:v>43883</c:v>
                </c:pt>
                <c:pt idx="237">
                  <c:v>43882</c:v>
                </c:pt>
                <c:pt idx="238">
                  <c:v>43881</c:v>
                </c:pt>
                <c:pt idx="239">
                  <c:v>43880</c:v>
                </c:pt>
                <c:pt idx="240">
                  <c:v>43879</c:v>
                </c:pt>
                <c:pt idx="241">
                  <c:v>43878</c:v>
                </c:pt>
                <c:pt idx="242">
                  <c:v>43877</c:v>
                </c:pt>
                <c:pt idx="243">
                  <c:v>43876</c:v>
                </c:pt>
                <c:pt idx="244">
                  <c:v>43875</c:v>
                </c:pt>
                <c:pt idx="245">
                  <c:v>43874</c:v>
                </c:pt>
                <c:pt idx="246">
                  <c:v>43873</c:v>
                </c:pt>
                <c:pt idx="247">
                  <c:v>43872</c:v>
                </c:pt>
                <c:pt idx="248">
                  <c:v>43871</c:v>
                </c:pt>
                <c:pt idx="249">
                  <c:v>43870</c:v>
                </c:pt>
                <c:pt idx="250">
                  <c:v>43869</c:v>
                </c:pt>
                <c:pt idx="251">
                  <c:v>43868</c:v>
                </c:pt>
                <c:pt idx="252">
                  <c:v>43867</c:v>
                </c:pt>
                <c:pt idx="253">
                  <c:v>43866</c:v>
                </c:pt>
                <c:pt idx="254">
                  <c:v>43865</c:v>
                </c:pt>
                <c:pt idx="255">
                  <c:v>43864</c:v>
                </c:pt>
                <c:pt idx="256">
                  <c:v>43863</c:v>
                </c:pt>
                <c:pt idx="257">
                  <c:v>43862</c:v>
                </c:pt>
                <c:pt idx="258">
                  <c:v>43861</c:v>
                </c:pt>
                <c:pt idx="259">
                  <c:v>43860</c:v>
                </c:pt>
                <c:pt idx="260">
                  <c:v>43859</c:v>
                </c:pt>
                <c:pt idx="261">
                  <c:v>43858</c:v>
                </c:pt>
                <c:pt idx="262">
                  <c:v>43857</c:v>
                </c:pt>
                <c:pt idx="263">
                  <c:v>43856</c:v>
                </c:pt>
                <c:pt idx="264">
                  <c:v>43855</c:v>
                </c:pt>
                <c:pt idx="265">
                  <c:v>43854</c:v>
                </c:pt>
                <c:pt idx="266">
                  <c:v>43853</c:v>
                </c:pt>
                <c:pt idx="267">
                  <c:v>43852</c:v>
                </c:pt>
                <c:pt idx="268">
                  <c:v>43851</c:v>
                </c:pt>
                <c:pt idx="269">
                  <c:v>43850</c:v>
                </c:pt>
                <c:pt idx="270">
                  <c:v>43849</c:v>
                </c:pt>
                <c:pt idx="271">
                  <c:v>43848</c:v>
                </c:pt>
                <c:pt idx="272">
                  <c:v>43847</c:v>
                </c:pt>
                <c:pt idx="273">
                  <c:v>43846</c:v>
                </c:pt>
                <c:pt idx="274">
                  <c:v>43845</c:v>
                </c:pt>
                <c:pt idx="275">
                  <c:v>43844</c:v>
                </c:pt>
                <c:pt idx="276">
                  <c:v>43843</c:v>
                </c:pt>
                <c:pt idx="277">
                  <c:v>43842</c:v>
                </c:pt>
                <c:pt idx="278">
                  <c:v>43841</c:v>
                </c:pt>
                <c:pt idx="279">
                  <c:v>43840</c:v>
                </c:pt>
                <c:pt idx="280">
                  <c:v>43839</c:v>
                </c:pt>
                <c:pt idx="281">
                  <c:v>43838</c:v>
                </c:pt>
                <c:pt idx="282">
                  <c:v>43837</c:v>
                </c:pt>
                <c:pt idx="283">
                  <c:v>43836</c:v>
                </c:pt>
                <c:pt idx="284">
                  <c:v>43835</c:v>
                </c:pt>
                <c:pt idx="285">
                  <c:v>43834</c:v>
                </c:pt>
                <c:pt idx="286">
                  <c:v>43833</c:v>
                </c:pt>
                <c:pt idx="287">
                  <c:v>43832</c:v>
                </c:pt>
                <c:pt idx="288">
                  <c:v>43831</c:v>
                </c:pt>
                <c:pt idx="289">
                  <c:v>43830</c:v>
                </c:pt>
                <c:pt idx="290">
                  <c:v>43829</c:v>
                </c:pt>
                <c:pt idx="291">
                  <c:v>43828</c:v>
                </c:pt>
                <c:pt idx="292">
                  <c:v>43827</c:v>
                </c:pt>
                <c:pt idx="293">
                  <c:v>43826</c:v>
                </c:pt>
                <c:pt idx="294">
                  <c:v>43825</c:v>
                </c:pt>
                <c:pt idx="295">
                  <c:v>43824</c:v>
                </c:pt>
                <c:pt idx="296">
                  <c:v>43823</c:v>
                </c:pt>
                <c:pt idx="297">
                  <c:v>43822</c:v>
                </c:pt>
                <c:pt idx="298">
                  <c:v>43821</c:v>
                </c:pt>
                <c:pt idx="299">
                  <c:v>43820</c:v>
                </c:pt>
                <c:pt idx="300">
                  <c:v>43819</c:v>
                </c:pt>
                <c:pt idx="301">
                  <c:v>43818</c:v>
                </c:pt>
                <c:pt idx="302">
                  <c:v>43817</c:v>
                </c:pt>
                <c:pt idx="303">
                  <c:v>43816</c:v>
                </c:pt>
                <c:pt idx="304">
                  <c:v>43815</c:v>
                </c:pt>
                <c:pt idx="305">
                  <c:v>43814</c:v>
                </c:pt>
                <c:pt idx="306">
                  <c:v>43813</c:v>
                </c:pt>
                <c:pt idx="307">
                  <c:v>43812</c:v>
                </c:pt>
                <c:pt idx="308">
                  <c:v>43811</c:v>
                </c:pt>
                <c:pt idx="309">
                  <c:v>43810</c:v>
                </c:pt>
                <c:pt idx="310">
                  <c:v>43809</c:v>
                </c:pt>
                <c:pt idx="311">
                  <c:v>43808</c:v>
                </c:pt>
                <c:pt idx="312">
                  <c:v>43807</c:v>
                </c:pt>
                <c:pt idx="313">
                  <c:v>43806</c:v>
                </c:pt>
                <c:pt idx="314">
                  <c:v>43805</c:v>
                </c:pt>
                <c:pt idx="315">
                  <c:v>43804</c:v>
                </c:pt>
                <c:pt idx="316">
                  <c:v>43803</c:v>
                </c:pt>
                <c:pt idx="317">
                  <c:v>43802</c:v>
                </c:pt>
                <c:pt idx="318">
                  <c:v>43801</c:v>
                </c:pt>
                <c:pt idx="319">
                  <c:v>43800</c:v>
                </c:pt>
                <c:pt idx="320">
                  <c:v>43799</c:v>
                </c:pt>
                <c:pt idx="321">
                  <c:v>43798</c:v>
                </c:pt>
                <c:pt idx="322">
                  <c:v>43797</c:v>
                </c:pt>
                <c:pt idx="323">
                  <c:v>43796</c:v>
                </c:pt>
                <c:pt idx="324">
                  <c:v>43795</c:v>
                </c:pt>
                <c:pt idx="325">
                  <c:v>43794</c:v>
                </c:pt>
                <c:pt idx="326">
                  <c:v>43793</c:v>
                </c:pt>
                <c:pt idx="327">
                  <c:v>43792</c:v>
                </c:pt>
                <c:pt idx="328">
                  <c:v>43791</c:v>
                </c:pt>
                <c:pt idx="329">
                  <c:v>43790</c:v>
                </c:pt>
                <c:pt idx="330">
                  <c:v>43789</c:v>
                </c:pt>
                <c:pt idx="331">
                  <c:v>43788</c:v>
                </c:pt>
                <c:pt idx="332">
                  <c:v>43787</c:v>
                </c:pt>
                <c:pt idx="333">
                  <c:v>43786</c:v>
                </c:pt>
                <c:pt idx="334">
                  <c:v>43785</c:v>
                </c:pt>
                <c:pt idx="335">
                  <c:v>43784</c:v>
                </c:pt>
                <c:pt idx="336">
                  <c:v>43783</c:v>
                </c:pt>
                <c:pt idx="337">
                  <c:v>43782</c:v>
                </c:pt>
                <c:pt idx="338">
                  <c:v>43781</c:v>
                </c:pt>
                <c:pt idx="339">
                  <c:v>43780</c:v>
                </c:pt>
                <c:pt idx="340">
                  <c:v>43779</c:v>
                </c:pt>
                <c:pt idx="341">
                  <c:v>43778</c:v>
                </c:pt>
                <c:pt idx="342">
                  <c:v>43777</c:v>
                </c:pt>
                <c:pt idx="343">
                  <c:v>43776</c:v>
                </c:pt>
                <c:pt idx="344">
                  <c:v>43775</c:v>
                </c:pt>
                <c:pt idx="345">
                  <c:v>43774</c:v>
                </c:pt>
                <c:pt idx="346">
                  <c:v>43773</c:v>
                </c:pt>
                <c:pt idx="347">
                  <c:v>43772</c:v>
                </c:pt>
                <c:pt idx="348">
                  <c:v>43771</c:v>
                </c:pt>
                <c:pt idx="349">
                  <c:v>43770</c:v>
                </c:pt>
                <c:pt idx="350">
                  <c:v>43769</c:v>
                </c:pt>
                <c:pt idx="351">
                  <c:v>43768</c:v>
                </c:pt>
                <c:pt idx="352">
                  <c:v>43767</c:v>
                </c:pt>
                <c:pt idx="353">
                  <c:v>43766</c:v>
                </c:pt>
                <c:pt idx="354">
                  <c:v>43765</c:v>
                </c:pt>
                <c:pt idx="355">
                  <c:v>43764</c:v>
                </c:pt>
                <c:pt idx="356">
                  <c:v>43763</c:v>
                </c:pt>
                <c:pt idx="357">
                  <c:v>43762</c:v>
                </c:pt>
                <c:pt idx="358">
                  <c:v>43761</c:v>
                </c:pt>
                <c:pt idx="359">
                  <c:v>43760</c:v>
                </c:pt>
                <c:pt idx="360">
                  <c:v>43759</c:v>
                </c:pt>
                <c:pt idx="361">
                  <c:v>43758</c:v>
                </c:pt>
                <c:pt idx="362">
                  <c:v>43757</c:v>
                </c:pt>
                <c:pt idx="363">
                  <c:v>43756</c:v>
                </c:pt>
                <c:pt idx="364">
                  <c:v>43755</c:v>
                </c:pt>
                <c:pt idx="365">
                  <c:v>43754</c:v>
                </c:pt>
                <c:pt idx="366">
                  <c:v>43753</c:v>
                </c:pt>
                <c:pt idx="367">
                  <c:v>43752</c:v>
                </c:pt>
                <c:pt idx="368">
                  <c:v>43751</c:v>
                </c:pt>
                <c:pt idx="369">
                  <c:v>43750</c:v>
                </c:pt>
                <c:pt idx="370">
                  <c:v>43749</c:v>
                </c:pt>
                <c:pt idx="371">
                  <c:v>43748</c:v>
                </c:pt>
                <c:pt idx="372">
                  <c:v>43747</c:v>
                </c:pt>
                <c:pt idx="373">
                  <c:v>43746</c:v>
                </c:pt>
                <c:pt idx="374">
                  <c:v>43745</c:v>
                </c:pt>
                <c:pt idx="375">
                  <c:v>43744</c:v>
                </c:pt>
                <c:pt idx="376">
                  <c:v>43743</c:v>
                </c:pt>
                <c:pt idx="377">
                  <c:v>43742</c:v>
                </c:pt>
                <c:pt idx="378">
                  <c:v>43741</c:v>
                </c:pt>
                <c:pt idx="379">
                  <c:v>43740</c:v>
                </c:pt>
                <c:pt idx="380">
                  <c:v>43739</c:v>
                </c:pt>
                <c:pt idx="381">
                  <c:v>43738</c:v>
                </c:pt>
                <c:pt idx="382">
                  <c:v>43737</c:v>
                </c:pt>
                <c:pt idx="383">
                  <c:v>43736</c:v>
                </c:pt>
                <c:pt idx="384">
                  <c:v>43735</c:v>
                </c:pt>
                <c:pt idx="385">
                  <c:v>43734</c:v>
                </c:pt>
                <c:pt idx="386">
                  <c:v>43733</c:v>
                </c:pt>
                <c:pt idx="387">
                  <c:v>43732</c:v>
                </c:pt>
                <c:pt idx="388">
                  <c:v>43731</c:v>
                </c:pt>
                <c:pt idx="389">
                  <c:v>43730</c:v>
                </c:pt>
                <c:pt idx="390">
                  <c:v>43729</c:v>
                </c:pt>
                <c:pt idx="391">
                  <c:v>43728</c:v>
                </c:pt>
                <c:pt idx="392">
                  <c:v>43727</c:v>
                </c:pt>
                <c:pt idx="393">
                  <c:v>43726</c:v>
                </c:pt>
                <c:pt idx="394">
                  <c:v>43725</c:v>
                </c:pt>
                <c:pt idx="395">
                  <c:v>43724</c:v>
                </c:pt>
                <c:pt idx="396">
                  <c:v>43723</c:v>
                </c:pt>
                <c:pt idx="397">
                  <c:v>43722</c:v>
                </c:pt>
                <c:pt idx="398">
                  <c:v>43721</c:v>
                </c:pt>
                <c:pt idx="399">
                  <c:v>43720</c:v>
                </c:pt>
                <c:pt idx="400">
                  <c:v>43719</c:v>
                </c:pt>
                <c:pt idx="401">
                  <c:v>43718</c:v>
                </c:pt>
                <c:pt idx="402">
                  <c:v>43717</c:v>
                </c:pt>
                <c:pt idx="403">
                  <c:v>43716</c:v>
                </c:pt>
                <c:pt idx="404">
                  <c:v>43715</c:v>
                </c:pt>
                <c:pt idx="405">
                  <c:v>43714</c:v>
                </c:pt>
                <c:pt idx="406">
                  <c:v>43713</c:v>
                </c:pt>
                <c:pt idx="407">
                  <c:v>43712</c:v>
                </c:pt>
                <c:pt idx="408">
                  <c:v>43711</c:v>
                </c:pt>
                <c:pt idx="409">
                  <c:v>43710</c:v>
                </c:pt>
                <c:pt idx="410">
                  <c:v>43709</c:v>
                </c:pt>
                <c:pt idx="411">
                  <c:v>43708</c:v>
                </c:pt>
                <c:pt idx="412">
                  <c:v>43707</c:v>
                </c:pt>
                <c:pt idx="413">
                  <c:v>43706</c:v>
                </c:pt>
                <c:pt idx="414">
                  <c:v>43705</c:v>
                </c:pt>
                <c:pt idx="415">
                  <c:v>43704</c:v>
                </c:pt>
                <c:pt idx="416">
                  <c:v>43703</c:v>
                </c:pt>
                <c:pt idx="417">
                  <c:v>43702</c:v>
                </c:pt>
                <c:pt idx="418">
                  <c:v>43701</c:v>
                </c:pt>
                <c:pt idx="419">
                  <c:v>43700</c:v>
                </c:pt>
                <c:pt idx="420">
                  <c:v>43699</c:v>
                </c:pt>
                <c:pt idx="421">
                  <c:v>43698</c:v>
                </c:pt>
                <c:pt idx="422">
                  <c:v>43697</c:v>
                </c:pt>
                <c:pt idx="423">
                  <c:v>43696</c:v>
                </c:pt>
                <c:pt idx="424">
                  <c:v>43695</c:v>
                </c:pt>
                <c:pt idx="425">
                  <c:v>43694</c:v>
                </c:pt>
                <c:pt idx="426">
                  <c:v>43693</c:v>
                </c:pt>
                <c:pt idx="427">
                  <c:v>43692</c:v>
                </c:pt>
                <c:pt idx="428">
                  <c:v>43691</c:v>
                </c:pt>
                <c:pt idx="429">
                  <c:v>43690</c:v>
                </c:pt>
                <c:pt idx="430">
                  <c:v>43689</c:v>
                </c:pt>
                <c:pt idx="431">
                  <c:v>43688</c:v>
                </c:pt>
                <c:pt idx="432">
                  <c:v>43687</c:v>
                </c:pt>
                <c:pt idx="433">
                  <c:v>43686</c:v>
                </c:pt>
                <c:pt idx="434">
                  <c:v>43685</c:v>
                </c:pt>
                <c:pt idx="435">
                  <c:v>43684</c:v>
                </c:pt>
                <c:pt idx="436">
                  <c:v>43683</c:v>
                </c:pt>
                <c:pt idx="437">
                  <c:v>43682</c:v>
                </c:pt>
                <c:pt idx="438">
                  <c:v>43681</c:v>
                </c:pt>
                <c:pt idx="439">
                  <c:v>43680</c:v>
                </c:pt>
                <c:pt idx="440">
                  <c:v>43679</c:v>
                </c:pt>
                <c:pt idx="441">
                  <c:v>43678</c:v>
                </c:pt>
                <c:pt idx="442">
                  <c:v>43677</c:v>
                </c:pt>
                <c:pt idx="443">
                  <c:v>43676</c:v>
                </c:pt>
                <c:pt idx="444">
                  <c:v>43675</c:v>
                </c:pt>
                <c:pt idx="445">
                  <c:v>43674</c:v>
                </c:pt>
                <c:pt idx="446">
                  <c:v>43673</c:v>
                </c:pt>
                <c:pt idx="447">
                  <c:v>43672</c:v>
                </c:pt>
                <c:pt idx="448">
                  <c:v>43671</c:v>
                </c:pt>
                <c:pt idx="449">
                  <c:v>43670</c:v>
                </c:pt>
                <c:pt idx="450">
                  <c:v>43669</c:v>
                </c:pt>
                <c:pt idx="451">
                  <c:v>43668</c:v>
                </c:pt>
                <c:pt idx="452">
                  <c:v>43667</c:v>
                </c:pt>
                <c:pt idx="453">
                  <c:v>43666</c:v>
                </c:pt>
                <c:pt idx="454">
                  <c:v>43665</c:v>
                </c:pt>
                <c:pt idx="455">
                  <c:v>43664</c:v>
                </c:pt>
                <c:pt idx="456">
                  <c:v>43663</c:v>
                </c:pt>
                <c:pt idx="457">
                  <c:v>43662</c:v>
                </c:pt>
                <c:pt idx="458">
                  <c:v>43661</c:v>
                </c:pt>
                <c:pt idx="459">
                  <c:v>43660</c:v>
                </c:pt>
                <c:pt idx="460">
                  <c:v>43659</c:v>
                </c:pt>
                <c:pt idx="461">
                  <c:v>43658</c:v>
                </c:pt>
                <c:pt idx="462">
                  <c:v>43657</c:v>
                </c:pt>
                <c:pt idx="463">
                  <c:v>43656</c:v>
                </c:pt>
                <c:pt idx="464">
                  <c:v>43655</c:v>
                </c:pt>
                <c:pt idx="465">
                  <c:v>43654</c:v>
                </c:pt>
                <c:pt idx="466">
                  <c:v>43653</c:v>
                </c:pt>
                <c:pt idx="467">
                  <c:v>43652</c:v>
                </c:pt>
                <c:pt idx="468">
                  <c:v>43651</c:v>
                </c:pt>
                <c:pt idx="469">
                  <c:v>43650</c:v>
                </c:pt>
                <c:pt idx="470">
                  <c:v>43649</c:v>
                </c:pt>
                <c:pt idx="471">
                  <c:v>43648</c:v>
                </c:pt>
                <c:pt idx="472">
                  <c:v>43647</c:v>
                </c:pt>
                <c:pt idx="473">
                  <c:v>43646</c:v>
                </c:pt>
                <c:pt idx="474">
                  <c:v>43645</c:v>
                </c:pt>
                <c:pt idx="475">
                  <c:v>43644</c:v>
                </c:pt>
                <c:pt idx="476">
                  <c:v>43643</c:v>
                </c:pt>
                <c:pt idx="477">
                  <c:v>43642</c:v>
                </c:pt>
                <c:pt idx="478">
                  <c:v>43641</c:v>
                </c:pt>
                <c:pt idx="479">
                  <c:v>43640</c:v>
                </c:pt>
                <c:pt idx="480">
                  <c:v>43639</c:v>
                </c:pt>
                <c:pt idx="481">
                  <c:v>43638</c:v>
                </c:pt>
                <c:pt idx="482">
                  <c:v>43637</c:v>
                </c:pt>
                <c:pt idx="483">
                  <c:v>43636</c:v>
                </c:pt>
                <c:pt idx="484">
                  <c:v>43635</c:v>
                </c:pt>
                <c:pt idx="485">
                  <c:v>43634</c:v>
                </c:pt>
                <c:pt idx="486">
                  <c:v>43633</c:v>
                </c:pt>
                <c:pt idx="487">
                  <c:v>43632</c:v>
                </c:pt>
                <c:pt idx="488">
                  <c:v>43631</c:v>
                </c:pt>
                <c:pt idx="489">
                  <c:v>43630</c:v>
                </c:pt>
                <c:pt idx="490">
                  <c:v>43629</c:v>
                </c:pt>
                <c:pt idx="491">
                  <c:v>43628</c:v>
                </c:pt>
                <c:pt idx="492">
                  <c:v>43627</c:v>
                </c:pt>
                <c:pt idx="493">
                  <c:v>43626</c:v>
                </c:pt>
                <c:pt idx="494">
                  <c:v>43625</c:v>
                </c:pt>
                <c:pt idx="495">
                  <c:v>43624</c:v>
                </c:pt>
                <c:pt idx="496">
                  <c:v>43623</c:v>
                </c:pt>
                <c:pt idx="497">
                  <c:v>43622</c:v>
                </c:pt>
                <c:pt idx="498">
                  <c:v>43621</c:v>
                </c:pt>
                <c:pt idx="499">
                  <c:v>43620</c:v>
                </c:pt>
                <c:pt idx="500">
                  <c:v>43619</c:v>
                </c:pt>
                <c:pt idx="501">
                  <c:v>43618</c:v>
                </c:pt>
                <c:pt idx="502">
                  <c:v>43617</c:v>
                </c:pt>
                <c:pt idx="503">
                  <c:v>43616</c:v>
                </c:pt>
                <c:pt idx="504">
                  <c:v>43615</c:v>
                </c:pt>
                <c:pt idx="505">
                  <c:v>43614</c:v>
                </c:pt>
                <c:pt idx="506">
                  <c:v>43613</c:v>
                </c:pt>
                <c:pt idx="507">
                  <c:v>43612</c:v>
                </c:pt>
                <c:pt idx="508">
                  <c:v>43611</c:v>
                </c:pt>
                <c:pt idx="509">
                  <c:v>43610</c:v>
                </c:pt>
                <c:pt idx="510">
                  <c:v>43609</c:v>
                </c:pt>
                <c:pt idx="511">
                  <c:v>43608</c:v>
                </c:pt>
                <c:pt idx="512">
                  <c:v>43607</c:v>
                </c:pt>
                <c:pt idx="513">
                  <c:v>43606</c:v>
                </c:pt>
                <c:pt idx="514">
                  <c:v>43605</c:v>
                </c:pt>
                <c:pt idx="515">
                  <c:v>43604</c:v>
                </c:pt>
                <c:pt idx="516">
                  <c:v>43603</c:v>
                </c:pt>
                <c:pt idx="517">
                  <c:v>43602</c:v>
                </c:pt>
                <c:pt idx="518">
                  <c:v>43601</c:v>
                </c:pt>
                <c:pt idx="519">
                  <c:v>43600</c:v>
                </c:pt>
                <c:pt idx="520">
                  <c:v>43599</c:v>
                </c:pt>
                <c:pt idx="521">
                  <c:v>43598</c:v>
                </c:pt>
                <c:pt idx="522">
                  <c:v>43597</c:v>
                </c:pt>
                <c:pt idx="523">
                  <c:v>43596</c:v>
                </c:pt>
                <c:pt idx="524">
                  <c:v>43595</c:v>
                </c:pt>
                <c:pt idx="525">
                  <c:v>43594</c:v>
                </c:pt>
                <c:pt idx="526">
                  <c:v>43593</c:v>
                </c:pt>
                <c:pt idx="527">
                  <c:v>43592</c:v>
                </c:pt>
                <c:pt idx="528">
                  <c:v>43591</c:v>
                </c:pt>
                <c:pt idx="529">
                  <c:v>43590</c:v>
                </c:pt>
                <c:pt idx="530">
                  <c:v>43589</c:v>
                </c:pt>
                <c:pt idx="531">
                  <c:v>43588</c:v>
                </c:pt>
                <c:pt idx="532">
                  <c:v>43587</c:v>
                </c:pt>
                <c:pt idx="533">
                  <c:v>43586</c:v>
                </c:pt>
                <c:pt idx="534">
                  <c:v>43585</c:v>
                </c:pt>
                <c:pt idx="535">
                  <c:v>43584</c:v>
                </c:pt>
                <c:pt idx="536">
                  <c:v>43583</c:v>
                </c:pt>
                <c:pt idx="537">
                  <c:v>43582</c:v>
                </c:pt>
                <c:pt idx="538">
                  <c:v>43581</c:v>
                </c:pt>
                <c:pt idx="539">
                  <c:v>43580</c:v>
                </c:pt>
                <c:pt idx="540">
                  <c:v>43579</c:v>
                </c:pt>
                <c:pt idx="541">
                  <c:v>43578</c:v>
                </c:pt>
                <c:pt idx="542">
                  <c:v>43577</c:v>
                </c:pt>
                <c:pt idx="543">
                  <c:v>43576</c:v>
                </c:pt>
                <c:pt idx="544">
                  <c:v>43575</c:v>
                </c:pt>
                <c:pt idx="545">
                  <c:v>43574</c:v>
                </c:pt>
                <c:pt idx="546">
                  <c:v>43573</c:v>
                </c:pt>
                <c:pt idx="547">
                  <c:v>43572</c:v>
                </c:pt>
                <c:pt idx="548">
                  <c:v>43571</c:v>
                </c:pt>
                <c:pt idx="549">
                  <c:v>43570</c:v>
                </c:pt>
                <c:pt idx="550">
                  <c:v>43569</c:v>
                </c:pt>
                <c:pt idx="551">
                  <c:v>43568</c:v>
                </c:pt>
                <c:pt idx="552">
                  <c:v>43567</c:v>
                </c:pt>
                <c:pt idx="553">
                  <c:v>43566</c:v>
                </c:pt>
                <c:pt idx="554">
                  <c:v>43565</c:v>
                </c:pt>
                <c:pt idx="555">
                  <c:v>43564</c:v>
                </c:pt>
                <c:pt idx="556">
                  <c:v>43563</c:v>
                </c:pt>
                <c:pt idx="557">
                  <c:v>43562</c:v>
                </c:pt>
                <c:pt idx="558">
                  <c:v>43561</c:v>
                </c:pt>
                <c:pt idx="559">
                  <c:v>43560</c:v>
                </c:pt>
                <c:pt idx="560">
                  <c:v>43559</c:v>
                </c:pt>
                <c:pt idx="561">
                  <c:v>43558</c:v>
                </c:pt>
                <c:pt idx="562">
                  <c:v>43557</c:v>
                </c:pt>
                <c:pt idx="563">
                  <c:v>43556</c:v>
                </c:pt>
                <c:pt idx="564">
                  <c:v>43555</c:v>
                </c:pt>
                <c:pt idx="565">
                  <c:v>43554</c:v>
                </c:pt>
                <c:pt idx="566">
                  <c:v>43553</c:v>
                </c:pt>
                <c:pt idx="567">
                  <c:v>43552</c:v>
                </c:pt>
                <c:pt idx="568">
                  <c:v>43551</c:v>
                </c:pt>
                <c:pt idx="569">
                  <c:v>43550</c:v>
                </c:pt>
                <c:pt idx="570">
                  <c:v>43549</c:v>
                </c:pt>
                <c:pt idx="571">
                  <c:v>43548</c:v>
                </c:pt>
                <c:pt idx="572">
                  <c:v>43547</c:v>
                </c:pt>
                <c:pt idx="573">
                  <c:v>43546</c:v>
                </c:pt>
                <c:pt idx="574">
                  <c:v>43545</c:v>
                </c:pt>
                <c:pt idx="575">
                  <c:v>43544</c:v>
                </c:pt>
                <c:pt idx="576">
                  <c:v>43543</c:v>
                </c:pt>
                <c:pt idx="577">
                  <c:v>43542</c:v>
                </c:pt>
                <c:pt idx="578">
                  <c:v>43541</c:v>
                </c:pt>
                <c:pt idx="579">
                  <c:v>43540</c:v>
                </c:pt>
                <c:pt idx="580">
                  <c:v>43539</c:v>
                </c:pt>
                <c:pt idx="581">
                  <c:v>43538</c:v>
                </c:pt>
                <c:pt idx="582">
                  <c:v>43537</c:v>
                </c:pt>
                <c:pt idx="583">
                  <c:v>43536</c:v>
                </c:pt>
                <c:pt idx="584">
                  <c:v>43535</c:v>
                </c:pt>
                <c:pt idx="585">
                  <c:v>43534</c:v>
                </c:pt>
                <c:pt idx="586">
                  <c:v>43533</c:v>
                </c:pt>
                <c:pt idx="587">
                  <c:v>43532</c:v>
                </c:pt>
                <c:pt idx="588">
                  <c:v>43531</c:v>
                </c:pt>
                <c:pt idx="589">
                  <c:v>43530</c:v>
                </c:pt>
                <c:pt idx="590">
                  <c:v>43529</c:v>
                </c:pt>
                <c:pt idx="591">
                  <c:v>43528</c:v>
                </c:pt>
                <c:pt idx="592">
                  <c:v>43527</c:v>
                </c:pt>
                <c:pt idx="593">
                  <c:v>43526</c:v>
                </c:pt>
                <c:pt idx="594">
                  <c:v>43525</c:v>
                </c:pt>
                <c:pt idx="595">
                  <c:v>43524</c:v>
                </c:pt>
                <c:pt idx="596">
                  <c:v>43523</c:v>
                </c:pt>
                <c:pt idx="597">
                  <c:v>43522</c:v>
                </c:pt>
                <c:pt idx="598">
                  <c:v>43521</c:v>
                </c:pt>
                <c:pt idx="599">
                  <c:v>43520</c:v>
                </c:pt>
                <c:pt idx="600">
                  <c:v>43519</c:v>
                </c:pt>
                <c:pt idx="601">
                  <c:v>43518</c:v>
                </c:pt>
                <c:pt idx="602">
                  <c:v>43517</c:v>
                </c:pt>
                <c:pt idx="603">
                  <c:v>43516</c:v>
                </c:pt>
                <c:pt idx="604">
                  <c:v>43515</c:v>
                </c:pt>
                <c:pt idx="605">
                  <c:v>43514</c:v>
                </c:pt>
                <c:pt idx="606">
                  <c:v>43513</c:v>
                </c:pt>
                <c:pt idx="607">
                  <c:v>43512</c:v>
                </c:pt>
                <c:pt idx="608">
                  <c:v>43511</c:v>
                </c:pt>
                <c:pt idx="609">
                  <c:v>43510</c:v>
                </c:pt>
                <c:pt idx="610">
                  <c:v>43509</c:v>
                </c:pt>
                <c:pt idx="611">
                  <c:v>43508</c:v>
                </c:pt>
                <c:pt idx="612">
                  <c:v>43507</c:v>
                </c:pt>
                <c:pt idx="613">
                  <c:v>43506</c:v>
                </c:pt>
                <c:pt idx="614">
                  <c:v>43505</c:v>
                </c:pt>
                <c:pt idx="615">
                  <c:v>43504</c:v>
                </c:pt>
                <c:pt idx="616">
                  <c:v>43503</c:v>
                </c:pt>
                <c:pt idx="617">
                  <c:v>43502</c:v>
                </c:pt>
                <c:pt idx="618">
                  <c:v>43501</c:v>
                </c:pt>
                <c:pt idx="619">
                  <c:v>43500</c:v>
                </c:pt>
                <c:pt idx="620">
                  <c:v>43499</c:v>
                </c:pt>
                <c:pt idx="621">
                  <c:v>43498</c:v>
                </c:pt>
                <c:pt idx="622">
                  <c:v>43497</c:v>
                </c:pt>
                <c:pt idx="623">
                  <c:v>43496</c:v>
                </c:pt>
                <c:pt idx="624">
                  <c:v>43495</c:v>
                </c:pt>
                <c:pt idx="625">
                  <c:v>43494</c:v>
                </c:pt>
                <c:pt idx="626">
                  <c:v>43493</c:v>
                </c:pt>
                <c:pt idx="627">
                  <c:v>43492</c:v>
                </c:pt>
                <c:pt idx="628">
                  <c:v>43491</c:v>
                </c:pt>
                <c:pt idx="629">
                  <c:v>43490</c:v>
                </c:pt>
                <c:pt idx="630">
                  <c:v>43489</c:v>
                </c:pt>
                <c:pt idx="631">
                  <c:v>43488</c:v>
                </c:pt>
                <c:pt idx="632">
                  <c:v>43487</c:v>
                </c:pt>
                <c:pt idx="633">
                  <c:v>43486</c:v>
                </c:pt>
                <c:pt idx="634">
                  <c:v>43485</c:v>
                </c:pt>
                <c:pt idx="635">
                  <c:v>43484</c:v>
                </c:pt>
                <c:pt idx="636">
                  <c:v>43483</c:v>
                </c:pt>
                <c:pt idx="637">
                  <c:v>43482</c:v>
                </c:pt>
                <c:pt idx="638">
                  <c:v>43481</c:v>
                </c:pt>
                <c:pt idx="639">
                  <c:v>43480</c:v>
                </c:pt>
                <c:pt idx="640">
                  <c:v>43479</c:v>
                </c:pt>
                <c:pt idx="641">
                  <c:v>43478</c:v>
                </c:pt>
                <c:pt idx="642">
                  <c:v>43477</c:v>
                </c:pt>
                <c:pt idx="643">
                  <c:v>43476</c:v>
                </c:pt>
                <c:pt idx="644">
                  <c:v>43475</c:v>
                </c:pt>
                <c:pt idx="645">
                  <c:v>43474</c:v>
                </c:pt>
                <c:pt idx="646">
                  <c:v>43473</c:v>
                </c:pt>
                <c:pt idx="647">
                  <c:v>43472</c:v>
                </c:pt>
                <c:pt idx="648">
                  <c:v>43471</c:v>
                </c:pt>
                <c:pt idx="649">
                  <c:v>43470</c:v>
                </c:pt>
                <c:pt idx="650">
                  <c:v>43469</c:v>
                </c:pt>
                <c:pt idx="651">
                  <c:v>43468</c:v>
                </c:pt>
                <c:pt idx="652">
                  <c:v>43467</c:v>
                </c:pt>
              </c:numCache>
            </c:numRef>
          </c:cat>
          <c:val>
            <c:numRef>
              <c:f>ExportArbCAPP!$Q$5:$Q$657</c:f>
              <c:numCache>
                <c:formatCode>#,##0.00</c:formatCode>
                <c:ptCount val="653"/>
                <c:pt idx="0">
                  <c:v>56.900000000000006</c:v>
                </c:pt>
                <c:pt idx="1">
                  <c:v>56.980000000000004</c:v>
                </c:pt>
                <c:pt idx="2">
                  <c:v>56.02</c:v>
                </c:pt>
                <c:pt idx="3">
                  <c:v>57.63</c:v>
                </c:pt>
                <c:pt idx="4">
                  <c:v>58.13</c:v>
                </c:pt>
                <c:pt idx="5">
                  <c:v>58.13</c:v>
                </c:pt>
                <c:pt idx="6">
                  <c:v>58.13</c:v>
                </c:pt>
                <c:pt idx="7">
                  <c:v>58.58</c:v>
                </c:pt>
                <c:pt idx="8">
                  <c:v>58.6</c:v>
                </c:pt>
                <c:pt idx="9">
                  <c:v>58.6</c:v>
                </c:pt>
                <c:pt idx="10">
                  <c:v>57.93</c:v>
                </c:pt>
                <c:pt idx="11">
                  <c:v>57.45</c:v>
                </c:pt>
                <c:pt idx="12">
                  <c:v>57.45</c:v>
                </c:pt>
                <c:pt idx="13">
                  <c:v>57.45</c:v>
                </c:pt>
                <c:pt idx="14">
                  <c:v>58.25</c:v>
                </c:pt>
                <c:pt idx="15">
                  <c:v>58.03</c:v>
                </c:pt>
                <c:pt idx="16">
                  <c:v>58.47</c:v>
                </c:pt>
                <c:pt idx="17">
                  <c:v>57.919999999999995</c:v>
                </c:pt>
                <c:pt idx="18">
                  <c:v>55.75</c:v>
                </c:pt>
                <c:pt idx="19">
                  <c:v>55.75</c:v>
                </c:pt>
                <c:pt idx="20">
                  <c:v>55.75</c:v>
                </c:pt>
                <c:pt idx="21">
                  <c:v>54.620000000000005</c:v>
                </c:pt>
                <c:pt idx="22">
                  <c:v>54.18</c:v>
                </c:pt>
                <c:pt idx="23">
                  <c:v>52.82</c:v>
                </c:pt>
                <c:pt idx="24">
                  <c:v>53.13</c:v>
                </c:pt>
                <c:pt idx="25">
                  <c:v>53.06</c:v>
                </c:pt>
                <c:pt idx="26">
                  <c:v>53.06</c:v>
                </c:pt>
                <c:pt idx="27">
                  <c:v>53.06</c:v>
                </c:pt>
                <c:pt idx="28">
                  <c:v>53.580000000000005</c:v>
                </c:pt>
                <c:pt idx="29">
                  <c:v>53.050000000000004</c:v>
                </c:pt>
                <c:pt idx="30">
                  <c:v>53.36</c:v>
                </c:pt>
                <c:pt idx="31">
                  <c:v>53.199999999999996</c:v>
                </c:pt>
                <c:pt idx="32">
                  <c:v>52.93</c:v>
                </c:pt>
                <c:pt idx="33">
                  <c:v>52.93</c:v>
                </c:pt>
                <c:pt idx="34">
                  <c:v>52.93</c:v>
                </c:pt>
                <c:pt idx="35">
                  <c:v>52.58</c:v>
                </c:pt>
                <c:pt idx="36">
                  <c:v>52.44</c:v>
                </c:pt>
                <c:pt idx="37">
                  <c:v>51.09</c:v>
                </c:pt>
                <c:pt idx="38">
                  <c:v>51.73</c:v>
                </c:pt>
                <c:pt idx="39">
                  <c:v>52.59</c:v>
                </c:pt>
                <c:pt idx="40">
                  <c:v>52.59</c:v>
                </c:pt>
                <c:pt idx="41">
                  <c:v>52.59</c:v>
                </c:pt>
                <c:pt idx="42">
                  <c:v>51.68</c:v>
                </c:pt>
                <c:pt idx="43">
                  <c:v>52.21</c:v>
                </c:pt>
                <c:pt idx="44">
                  <c:v>53.31</c:v>
                </c:pt>
                <c:pt idx="45">
                  <c:v>50.480000000000004</c:v>
                </c:pt>
                <c:pt idx="46">
                  <c:v>50.480000000000004</c:v>
                </c:pt>
                <c:pt idx="47">
                  <c:v>50.480000000000004</c:v>
                </c:pt>
                <c:pt idx="48">
                  <c:v>50.480000000000004</c:v>
                </c:pt>
                <c:pt idx="49">
                  <c:v>48.220000000000006</c:v>
                </c:pt>
                <c:pt idx="50">
                  <c:v>48.63</c:v>
                </c:pt>
                <c:pt idx="51">
                  <c:v>47.82</c:v>
                </c:pt>
                <c:pt idx="52">
                  <c:v>47.92</c:v>
                </c:pt>
                <c:pt idx="53">
                  <c:v>47.63</c:v>
                </c:pt>
                <c:pt idx="54">
                  <c:v>47.63</c:v>
                </c:pt>
                <c:pt idx="55">
                  <c:v>47.63</c:v>
                </c:pt>
                <c:pt idx="56">
                  <c:v>48.56</c:v>
                </c:pt>
                <c:pt idx="57">
                  <c:v>49.69</c:v>
                </c:pt>
                <c:pt idx="58">
                  <c:v>49.279999999999994</c:v>
                </c:pt>
                <c:pt idx="59">
                  <c:v>49.98</c:v>
                </c:pt>
                <c:pt idx="60">
                  <c:v>50.22</c:v>
                </c:pt>
                <c:pt idx="61">
                  <c:v>50.22</c:v>
                </c:pt>
                <c:pt idx="62">
                  <c:v>50.22</c:v>
                </c:pt>
                <c:pt idx="63">
                  <c:v>50.489999999999995</c:v>
                </c:pt>
                <c:pt idx="64">
                  <c:v>50.79</c:v>
                </c:pt>
                <c:pt idx="65">
                  <c:v>52.23</c:v>
                </c:pt>
                <c:pt idx="66">
                  <c:v>53.24</c:v>
                </c:pt>
                <c:pt idx="67">
                  <c:v>53</c:v>
                </c:pt>
                <c:pt idx="68">
                  <c:v>53</c:v>
                </c:pt>
                <c:pt idx="69">
                  <c:v>53</c:v>
                </c:pt>
                <c:pt idx="70">
                  <c:v>52.83</c:v>
                </c:pt>
                <c:pt idx="71">
                  <c:v>53.49</c:v>
                </c:pt>
                <c:pt idx="72">
                  <c:v>54.99</c:v>
                </c:pt>
                <c:pt idx="73">
                  <c:v>55.58</c:v>
                </c:pt>
                <c:pt idx="74">
                  <c:v>54.3</c:v>
                </c:pt>
                <c:pt idx="75">
                  <c:v>54.3</c:v>
                </c:pt>
                <c:pt idx="76">
                  <c:v>54.3</c:v>
                </c:pt>
                <c:pt idx="77">
                  <c:v>53.769999999999996</c:v>
                </c:pt>
                <c:pt idx="78">
                  <c:v>53.6</c:v>
                </c:pt>
                <c:pt idx="79">
                  <c:v>53.260000000000005</c:v>
                </c:pt>
                <c:pt idx="80">
                  <c:v>53.2</c:v>
                </c:pt>
                <c:pt idx="81">
                  <c:v>53.94</c:v>
                </c:pt>
                <c:pt idx="82">
                  <c:v>53.94</c:v>
                </c:pt>
                <c:pt idx="83">
                  <c:v>53.94</c:v>
                </c:pt>
                <c:pt idx="84">
                  <c:v>54.62</c:v>
                </c:pt>
                <c:pt idx="85">
                  <c:v>55.019999999999996</c:v>
                </c:pt>
                <c:pt idx="86">
                  <c:v>54.04</c:v>
                </c:pt>
                <c:pt idx="87">
                  <c:v>53.16</c:v>
                </c:pt>
                <c:pt idx="88">
                  <c:v>53.53</c:v>
                </c:pt>
                <c:pt idx="89">
                  <c:v>53.53</c:v>
                </c:pt>
                <c:pt idx="90">
                  <c:v>53.53</c:v>
                </c:pt>
                <c:pt idx="91">
                  <c:v>53.46</c:v>
                </c:pt>
                <c:pt idx="92">
                  <c:v>52.230000000000004</c:v>
                </c:pt>
                <c:pt idx="93">
                  <c:v>50.760000000000005</c:v>
                </c:pt>
                <c:pt idx="94">
                  <c:v>51.410000000000004</c:v>
                </c:pt>
                <c:pt idx="95">
                  <c:v>51.53</c:v>
                </c:pt>
                <c:pt idx="96">
                  <c:v>51.53</c:v>
                </c:pt>
                <c:pt idx="97">
                  <c:v>51.53</c:v>
                </c:pt>
                <c:pt idx="98">
                  <c:v>52.160000000000004</c:v>
                </c:pt>
                <c:pt idx="99">
                  <c:v>52.1</c:v>
                </c:pt>
                <c:pt idx="100">
                  <c:v>52.88</c:v>
                </c:pt>
                <c:pt idx="101">
                  <c:v>53.44</c:v>
                </c:pt>
                <c:pt idx="102">
                  <c:v>52.88</c:v>
                </c:pt>
                <c:pt idx="103">
                  <c:v>52.88</c:v>
                </c:pt>
                <c:pt idx="104">
                  <c:v>52.88</c:v>
                </c:pt>
                <c:pt idx="105">
                  <c:v>53.46</c:v>
                </c:pt>
                <c:pt idx="106">
                  <c:v>52.68</c:v>
                </c:pt>
                <c:pt idx="107">
                  <c:v>51.83</c:v>
                </c:pt>
                <c:pt idx="108">
                  <c:v>51.01</c:v>
                </c:pt>
                <c:pt idx="109">
                  <c:v>49.879999999999995</c:v>
                </c:pt>
                <c:pt idx="110">
                  <c:v>49.879999999999995</c:v>
                </c:pt>
                <c:pt idx="111">
                  <c:v>49.879999999999995</c:v>
                </c:pt>
                <c:pt idx="112">
                  <c:v>48.29</c:v>
                </c:pt>
                <c:pt idx="113">
                  <c:v>48.67</c:v>
                </c:pt>
                <c:pt idx="114">
                  <c:v>47.53</c:v>
                </c:pt>
                <c:pt idx="115">
                  <c:v>45.48</c:v>
                </c:pt>
                <c:pt idx="116">
                  <c:v>46.17</c:v>
                </c:pt>
                <c:pt idx="117">
                  <c:v>46.17</c:v>
                </c:pt>
                <c:pt idx="118">
                  <c:v>46.17</c:v>
                </c:pt>
                <c:pt idx="119">
                  <c:v>45.58</c:v>
                </c:pt>
                <c:pt idx="120">
                  <c:v>44.5</c:v>
                </c:pt>
                <c:pt idx="121">
                  <c:v>46.42</c:v>
                </c:pt>
                <c:pt idx="122">
                  <c:v>45.81</c:v>
                </c:pt>
                <c:pt idx="123">
                  <c:v>45.42</c:v>
                </c:pt>
                <c:pt idx="124">
                  <c:v>45.42</c:v>
                </c:pt>
                <c:pt idx="125">
                  <c:v>45.42</c:v>
                </c:pt>
                <c:pt idx="126">
                  <c:v>44.46</c:v>
                </c:pt>
                <c:pt idx="127">
                  <c:v>45.51</c:v>
                </c:pt>
                <c:pt idx="128">
                  <c:v>46.51</c:v>
                </c:pt>
                <c:pt idx="129">
                  <c:v>47.160000000000004</c:v>
                </c:pt>
                <c:pt idx="130">
                  <c:v>47.06</c:v>
                </c:pt>
                <c:pt idx="131">
                  <c:v>47.06</c:v>
                </c:pt>
                <c:pt idx="132">
                  <c:v>47.06</c:v>
                </c:pt>
                <c:pt idx="133">
                  <c:v>47.03</c:v>
                </c:pt>
                <c:pt idx="134">
                  <c:v>50.739999999999995</c:v>
                </c:pt>
                <c:pt idx="135">
                  <c:v>49.32</c:v>
                </c:pt>
                <c:pt idx="136">
                  <c:v>45.8</c:v>
                </c:pt>
                <c:pt idx="137">
                  <c:v>41.11</c:v>
                </c:pt>
                <c:pt idx="138">
                  <c:v>41.11</c:v>
                </c:pt>
                <c:pt idx="139">
                  <c:v>41.11</c:v>
                </c:pt>
                <c:pt idx="140">
                  <c:v>40.58</c:v>
                </c:pt>
                <c:pt idx="141">
                  <c:v>41.11</c:v>
                </c:pt>
                <c:pt idx="142">
                  <c:v>41.61</c:v>
                </c:pt>
                <c:pt idx="143">
                  <c:v>41.769999999999996</c:v>
                </c:pt>
                <c:pt idx="144">
                  <c:v>41.769999999999996</c:v>
                </c:pt>
                <c:pt idx="145">
                  <c:v>41.769999999999996</c:v>
                </c:pt>
                <c:pt idx="146">
                  <c:v>41.769999999999996</c:v>
                </c:pt>
                <c:pt idx="147">
                  <c:v>42.1</c:v>
                </c:pt>
                <c:pt idx="148">
                  <c:v>41.45</c:v>
                </c:pt>
                <c:pt idx="149">
                  <c:v>41.65</c:v>
                </c:pt>
                <c:pt idx="150">
                  <c:v>40.83</c:v>
                </c:pt>
                <c:pt idx="151">
                  <c:v>41.43</c:v>
                </c:pt>
                <c:pt idx="152">
                  <c:v>41.43</c:v>
                </c:pt>
                <c:pt idx="153">
                  <c:v>41.43</c:v>
                </c:pt>
                <c:pt idx="154">
                  <c:v>40.81</c:v>
                </c:pt>
                <c:pt idx="155">
                  <c:v>40.86</c:v>
                </c:pt>
                <c:pt idx="156">
                  <c:v>40.35</c:v>
                </c:pt>
                <c:pt idx="157">
                  <c:v>40.56</c:v>
                </c:pt>
                <c:pt idx="158">
                  <c:v>40.880000000000003</c:v>
                </c:pt>
                <c:pt idx="159">
                  <c:v>40.880000000000003</c:v>
                </c:pt>
                <c:pt idx="160">
                  <c:v>40.880000000000003</c:v>
                </c:pt>
                <c:pt idx="161">
                  <c:v>40.880000000000003</c:v>
                </c:pt>
                <c:pt idx="162">
                  <c:v>42.410000000000004</c:v>
                </c:pt>
                <c:pt idx="163">
                  <c:v>41.790000000000006</c:v>
                </c:pt>
                <c:pt idx="164">
                  <c:v>41.67</c:v>
                </c:pt>
                <c:pt idx="165">
                  <c:v>41.74</c:v>
                </c:pt>
                <c:pt idx="166">
                  <c:v>41.74</c:v>
                </c:pt>
                <c:pt idx="167">
                  <c:v>41.74</c:v>
                </c:pt>
                <c:pt idx="168">
                  <c:v>40.99</c:v>
                </c:pt>
                <c:pt idx="169">
                  <c:v>40.090000000000003</c:v>
                </c:pt>
                <c:pt idx="170">
                  <c:v>38.700000000000003</c:v>
                </c:pt>
                <c:pt idx="171">
                  <c:v>40.15</c:v>
                </c:pt>
                <c:pt idx="172">
                  <c:v>40.98</c:v>
                </c:pt>
                <c:pt idx="173">
                  <c:v>40.98</c:v>
                </c:pt>
                <c:pt idx="174">
                  <c:v>40.98</c:v>
                </c:pt>
                <c:pt idx="175">
                  <c:v>41.4</c:v>
                </c:pt>
                <c:pt idx="176">
                  <c:v>42.67</c:v>
                </c:pt>
                <c:pt idx="177">
                  <c:v>44.07</c:v>
                </c:pt>
                <c:pt idx="178">
                  <c:v>46.51</c:v>
                </c:pt>
                <c:pt idx="179">
                  <c:v>46.550000000000004</c:v>
                </c:pt>
                <c:pt idx="180">
                  <c:v>46.550000000000004</c:v>
                </c:pt>
                <c:pt idx="181">
                  <c:v>46.550000000000004</c:v>
                </c:pt>
                <c:pt idx="182">
                  <c:v>46.32</c:v>
                </c:pt>
                <c:pt idx="183">
                  <c:v>46.190000000000005</c:v>
                </c:pt>
                <c:pt idx="184">
                  <c:v>46.57</c:v>
                </c:pt>
                <c:pt idx="185">
                  <c:v>48.11</c:v>
                </c:pt>
                <c:pt idx="186">
                  <c:v>48.11</c:v>
                </c:pt>
                <c:pt idx="187">
                  <c:v>48.11</c:v>
                </c:pt>
                <c:pt idx="188">
                  <c:v>48.11</c:v>
                </c:pt>
                <c:pt idx="189">
                  <c:v>48.11</c:v>
                </c:pt>
                <c:pt idx="190">
                  <c:v>47.730000000000004</c:v>
                </c:pt>
                <c:pt idx="191">
                  <c:v>46.940000000000005</c:v>
                </c:pt>
                <c:pt idx="192">
                  <c:v>44.85</c:v>
                </c:pt>
                <c:pt idx="193">
                  <c:v>45.96</c:v>
                </c:pt>
                <c:pt idx="194">
                  <c:v>45.96</c:v>
                </c:pt>
                <c:pt idx="195">
                  <c:v>45.96</c:v>
                </c:pt>
                <c:pt idx="196">
                  <c:v>47.35</c:v>
                </c:pt>
                <c:pt idx="197">
                  <c:v>48.54</c:v>
                </c:pt>
                <c:pt idx="198">
                  <c:v>50.33</c:v>
                </c:pt>
                <c:pt idx="199">
                  <c:v>51.95</c:v>
                </c:pt>
                <c:pt idx="200">
                  <c:v>48.95</c:v>
                </c:pt>
                <c:pt idx="201">
                  <c:v>48.95</c:v>
                </c:pt>
                <c:pt idx="202">
                  <c:v>48.95</c:v>
                </c:pt>
                <c:pt idx="203">
                  <c:v>52.84</c:v>
                </c:pt>
                <c:pt idx="204">
                  <c:v>53.79</c:v>
                </c:pt>
                <c:pt idx="205">
                  <c:v>48.89</c:v>
                </c:pt>
                <c:pt idx="206">
                  <c:v>48.31</c:v>
                </c:pt>
                <c:pt idx="207">
                  <c:v>48.49</c:v>
                </c:pt>
                <c:pt idx="208">
                  <c:v>48.49</c:v>
                </c:pt>
                <c:pt idx="209">
                  <c:v>48.49</c:v>
                </c:pt>
                <c:pt idx="210">
                  <c:v>48.68</c:v>
                </c:pt>
                <c:pt idx="211">
                  <c:v>49.19</c:v>
                </c:pt>
                <c:pt idx="212">
                  <c:v>48</c:v>
                </c:pt>
                <c:pt idx="213">
                  <c:v>47.19</c:v>
                </c:pt>
                <c:pt idx="214">
                  <c:v>47.12</c:v>
                </c:pt>
                <c:pt idx="215">
                  <c:v>47.12</c:v>
                </c:pt>
                <c:pt idx="216">
                  <c:v>47.12</c:v>
                </c:pt>
                <c:pt idx="217">
                  <c:v>46.75</c:v>
                </c:pt>
                <c:pt idx="218">
                  <c:v>47.26</c:v>
                </c:pt>
                <c:pt idx="219">
                  <c:v>46.97</c:v>
                </c:pt>
                <c:pt idx="220">
                  <c:v>46.75</c:v>
                </c:pt>
                <c:pt idx="221">
                  <c:v>48.83</c:v>
                </c:pt>
                <c:pt idx="222">
                  <c:v>48.83</c:v>
                </c:pt>
                <c:pt idx="223">
                  <c:v>48.83</c:v>
                </c:pt>
                <c:pt idx="224">
                  <c:v>49.31</c:v>
                </c:pt>
                <c:pt idx="225">
                  <c:v>48.58</c:v>
                </c:pt>
                <c:pt idx="226">
                  <c:v>48.82</c:v>
                </c:pt>
                <c:pt idx="227">
                  <c:v>48.25</c:v>
                </c:pt>
                <c:pt idx="228">
                  <c:v>47.5</c:v>
                </c:pt>
                <c:pt idx="229">
                  <c:v>47.5</c:v>
                </c:pt>
                <c:pt idx="230">
                  <c:v>47.5</c:v>
                </c:pt>
                <c:pt idx="231">
                  <c:v>47.56</c:v>
                </c:pt>
                <c:pt idx="232">
                  <c:v>47.23</c:v>
                </c:pt>
                <c:pt idx="233">
                  <c:v>47.94</c:v>
                </c:pt>
                <c:pt idx="234">
                  <c:v>47.75</c:v>
                </c:pt>
                <c:pt idx="235">
                  <c:v>48.69</c:v>
                </c:pt>
                <c:pt idx="236">
                  <c:v>48.69</c:v>
                </c:pt>
                <c:pt idx="237">
                  <c:v>48.69</c:v>
                </c:pt>
                <c:pt idx="238">
                  <c:v>49.54</c:v>
                </c:pt>
                <c:pt idx="239">
                  <c:v>49.97</c:v>
                </c:pt>
                <c:pt idx="240">
                  <c:v>51.29</c:v>
                </c:pt>
                <c:pt idx="241">
                  <c:v>52.98</c:v>
                </c:pt>
                <c:pt idx="242">
                  <c:v>53.24</c:v>
                </c:pt>
                <c:pt idx="243">
                  <c:v>53.24</c:v>
                </c:pt>
                <c:pt idx="244">
                  <c:v>53.24</c:v>
                </c:pt>
                <c:pt idx="245">
                  <c:v>51.64</c:v>
                </c:pt>
                <c:pt idx="246">
                  <c:v>50.56</c:v>
                </c:pt>
                <c:pt idx="247">
                  <c:v>49.62</c:v>
                </c:pt>
                <c:pt idx="248">
                  <c:v>49.32</c:v>
                </c:pt>
                <c:pt idx="249">
                  <c:v>50.18</c:v>
                </c:pt>
                <c:pt idx="250">
                  <c:v>50.18</c:v>
                </c:pt>
                <c:pt idx="251">
                  <c:v>50.18</c:v>
                </c:pt>
                <c:pt idx="252">
                  <c:v>51.04</c:v>
                </c:pt>
                <c:pt idx="253">
                  <c:v>51.81</c:v>
                </c:pt>
                <c:pt idx="254">
                  <c:v>49.82</c:v>
                </c:pt>
                <c:pt idx="255">
                  <c:v>49.78</c:v>
                </c:pt>
                <c:pt idx="256">
                  <c:v>49.15</c:v>
                </c:pt>
                <c:pt idx="257">
                  <c:v>49.15</c:v>
                </c:pt>
                <c:pt idx="258">
                  <c:v>49.15</c:v>
                </c:pt>
                <c:pt idx="259">
                  <c:v>49.29</c:v>
                </c:pt>
                <c:pt idx="260">
                  <c:v>50.5</c:v>
                </c:pt>
                <c:pt idx="261">
                  <c:v>50.5</c:v>
                </c:pt>
                <c:pt idx="262">
                  <c:v>49.88</c:v>
                </c:pt>
                <c:pt idx="263">
                  <c:v>49.75</c:v>
                </c:pt>
                <c:pt idx="264">
                  <c:v>49.75</c:v>
                </c:pt>
                <c:pt idx="265">
                  <c:v>49.75</c:v>
                </c:pt>
                <c:pt idx="266">
                  <c:v>49</c:v>
                </c:pt>
                <c:pt idx="267">
                  <c:v>49.25</c:v>
                </c:pt>
                <c:pt idx="268">
                  <c:v>48.75</c:v>
                </c:pt>
                <c:pt idx="269">
                  <c:v>49.16</c:v>
                </c:pt>
                <c:pt idx="270">
                  <c:v>50.5</c:v>
                </c:pt>
                <c:pt idx="271">
                  <c:v>50.5</c:v>
                </c:pt>
                <c:pt idx="272">
                  <c:v>50.5</c:v>
                </c:pt>
                <c:pt idx="273">
                  <c:v>52.27</c:v>
                </c:pt>
                <c:pt idx="274">
                  <c:v>51.96</c:v>
                </c:pt>
                <c:pt idx="275">
                  <c:v>52.35</c:v>
                </c:pt>
                <c:pt idx="276">
                  <c:v>54.28</c:v>
                </c:pt>
                <c:pt idx="277">
                  <c:v>53.93</c:v>
                </c:pt>
                <c:pt idx="278">
                  <c:v>53.93</c:v>
                </c:pt>
                <c:pt idx="279">
                  <c:v>53.93</c:v>
                </c:pt>
                <c:pt idx="280">
                  <c:v>53.5</c:v>
                </c:pt>
                <c:pt idx="281">
                  <c:v>53.58</c:v>
                </c:pt>
                <c:pt idx="282">
                  <c:v>53.75</c:v>
                </c:pt>
                <c:pt idx="283">
                  <c:v>54.25</c:v>
                </c:pt>
                <c:pt idx="284">
                  <c:v>54.07</c:v>
                </c:pt>
                <c:pt idx="285">
                  <c:v>54.07</c:v>
                </c:pt>
                <c:pt idx="286">
                  <c:v>54.07</c:v>
                </c:pt>
                <c:pt idx="287">
                  <c:v>52.5</c:v>
                </c:pt>
                <c:pt idx="288">
                  <c:v>52.5</c:v>
                </c:pt>
                <c:pt idx="289">
                  <c:v>52.5</c:v>
                </c:pt>
                <c:pt idx="290">
                  <c:v>53.25</c:v>
                </c:pt>
                <c:pt idx="291">
                  <c:v>54.42</c:v>
                </c:pt>
                <c:pt idx="292">
                  <c:v>54.42</c:v>
                </c:pt>
                <c:pt idx="293">
                  <c:v>54.42</c:v>
                </c:pt>
                <c:pt idx="294">
                  <c:v>54.31</c:v>
                </c:pt>
                <c:pt idx="295">
                  <c:v>54.31</c:v>
                </c:pt>
                <c:pt idx="296">
                  <c:v>54.31</c:v>
                </c:pt>
                <c:pt idx="297">
                  <c:v>53.63</c:v>
                </c:pt>
                <c:pt idx="298">
                  <c:v>53.5</c:v>
                </c:pt>
                <c:pt idx="299">
                  <c:v>53.5</c:v>
                </c:pt>
                <c:pt idx="300">
                  <c:v>53.5</c:v>
                </c:pt>
                <c:pt idx="301">
                  <c:v>53.8</c:v>
                </c:pt>
                <c:pt idx="302">
                  <c:v>53.99</c:v>
                </c:pt>
                <c:pt idx="303">
                  <c:v>53.63</c:v>
                </c:pt>
                <c:pt idx="304">
                  <c:v>53.81</c:v>
                </c:pt>
                <c:pt idx="305">
                  <c:v>54.34</c:v>
                </c:pt>
                <c:pt idx="306">
                  <c:v>54.34</c:v>
                </c:pt>
                <c:pt idx="307">
                  <c:v>54.34</c:v>
                </c:pt>
                <c:pt idx="308">
                  <c:v>53.83</c:v>
                </c:pt>
                <c:pt idx="309">
                  <c:v>55.38</c:v>
                </c:pt>
                <c:pt idx="310">
                  <c:v>54.71</c:v>
                </c:pt>
                <c:pt idx="311">
                  <c:v>55.18</c:v>
                </c:pt>
                <c:pt idx="312">
                  <c:v>56.26</c:v>
                </c:pt>
                <c:pt idx="313">
                  <c:v>56.26</c:v>
                </c:pt>
                <c:pt idx="314">
                  <c:v>56.26</c:v>
                </c:pt>
                <c:pt idx="315">
                  <c:v>57.39</c:v>
                </c:pt>
                <c:pt idx="316">
                  <c:v>55.96</c:v>
                </c:pt>
                <c:pt idx="317">
                  <c:v>58.83</c:v>
                </c:pt>
                <c:pt idx="318">
                  <c:v>59.5</c:v>
                </c:pt>
                <c:pt idx="319">
                  <c:v>58.7</c:v>
                </c:pt>
                <c:pt idx="320">
                  <c:v>58.7</c:v>
                </c:pt>
                <c:pt idx="321">
                  <c:v>58.7</c:v>
                </c:pt>
                <c:pt idx="322">
                  <c:v>58.82</c:v>
                </c:pt>
                <c:pt idx="323">
                  <c:v>59.5</c:v>
                </c:pt>
                <c:pt idx="324">
                  <c:v>59.75</c:v>
                </c:pt>
                <c:pt idx="325">
                  <c:v>60.39</c:v>
                </c:pt>
                <c:pt idx="326">
                  <c:v>59.61</c:v>
                </c:pt>
                <c:pt idx="327">
                  <c:v>59.61</c:v>
                </c:pt>
                <c:pt idx="328">
                  <c:v>59.61</c:v>
                </c:pt>
                <c:pt idx="329">
                  <c:v>56.33</c:v>
                </c:pt>
                <c:pt idx="330">
                  <c:v>56.91</c:v>
                </c:pt>
                <c:pt idx="331">
                  <c:v>56.09</c:v>
                </c:pt>
                <c:pt idx="332">
                  <c:v>56.22</c:v>
                </c:pt>
                <c:pt idx="333">
                  <c:v>56.55</c:v>
                </c:pt>
                <c:pt idx="334">
                  <c:v>56.55</c:v>
                </c:pt>
                <c:pt idx="335">
                  <c:v>56.55</c:v>
                </c:pt>
                <c:pt idx="336">
                  <c:v>57.21</c:v>
                </c:pt>
                <c:pt idx="337">
                  <c:v>55.65</c:v>
                </c:pt>
                <c:pt idx="338">
                  <c:v>54.03</c:v>
                </c:pt>
                <c:pt idx="339">
                  <c:v>55.73</c:v>
                </c:pt>
                <c:pt idx="340">
                  <c:v>56.94</c:v>
                </c:pt>
                <c:pt idx="341">
                  <c:v>56.94</c:v>
                </c:pt>
                <c:pt idx="342">
                  <c:v>56.94</c:v>
                </c:pt>
                <c:pt idx="343">
                  <c:v>56.5</c:v>
                </c:pt>
                <c:pt idx="344">
                  <c:v>58.03</c:v>
                </c:pt>
                <c:pt idx="345">
                  <c:v>56.51</c:v>
                </c:pt>
                <c:pt idx="346">
                  <c:v>56.88</c:v>
                </c:pt>
                <c:pt idx="347">
                  <c:v>56.68</c:v>
                </c:pt>
                <c:pt idx="348">
                  <c:v>56.68</c:v>
                </c:pt>
                <c:pt idx="349">
                  <c:v>56.68</c:v>
                </c:pt>
                <c:pt idx="350">
                  <c:v>54.83</c:v>
                </c:pt>
                <c:pt idx="351">
                  <c:v>56.95</c:v>
                </c:pt>
                <c:pt idx="352">
                  <c:v>56.18</c:v>
                </c:pt>
                <c:pt idx="353">
                  <c:v>56.16</c:v>
                </c:pt>
                <c:pt idx="354">
                  <c:v>57.23</c:v>
                </c:pt>
                <c:pt idx="355">
                  <c:v>57.23</c:v>
                </c:pt>
                <c:pt idx="356">
                  <c:v>57.23</c:v>
                </c:pt>
                <c:pt idx="357">
                  <c:v>57</c:v>
                </c:pt>
                <c:pt idx="358">
                  <c:v>57.23</c:v>
                </c:pt>
                <c:pt idx="359">
                  <c:v>58.41</c:v>
                </c:pt>
                <c:pt idx="360">
                  <c:v>60.25</c:v>
                </c:pt>
                <c:pt idx="361">
                  <c:v>60.38</c:v>
                </c:pt>
                <c:pt idx="362">
                  <c:v>60.38</c:v>
                </c:pt>
                <c:pt idx="363">
                  <c:v>60.38</c:v>
                </c:pt>
                <c:pt idx="364">
                  <c:v>60.06</c:v>
                </c:pt>
                <c:pt idx="365">
                  <c:v>60.29</c:v>
                </c:pt>
                <c:pt idx="366">
                  <c:v>61.22</c:v>
                </c:pt>
                <c:pt idx="367">
                  <c:v>60.29</c:v>
                </c:pt>
                <c:pt idx="368">
                  <c:v>60.92</c:v>
                </c:pt>
                <c:pt idx="369">
                  <c:v>60.92</c:v>
                </c:pt>
                <c:pt idx="370">
                  <c:v>60.92</c:v>
                </c:pt>
                <c:pt idx="371">
                  <c:v>61.25</c:v>
                </c:pt>
                <c:pt idx="372">
                  <c:v>61.59</c:v>
                </c:pt>
                <c:pt idx="373">
                  <c:v>61.18</c:v>
                </c:pt>
                <c:pt idx="374">
                  <c:v>60.75</c:v>
                </c:pt>
                <c:pt idx="375">
                  <c:v>60.7</c:v>
                </c:pt>
                <c:pt idx="376">
                  <c:v>60.7</c:v>
                </c:pt>
                <c:pt idx="377">
                  <c:v>60.7</c:v>
                </c:pt>
                <c:pt idx="378">
                  <c:v>60.95</c:v>
                </c:pt>
                <c:pt idx="379">
                  <c:v>60.84</c:v>
                </c:pt>
                <c:pt idx="380">
                  <c:v>60.9</c:v>
                </c:pt>
                <c:pt idx="381">
                  <c:v>60.8</c:v>
                </c:pt>
                <c:pt idx="382">
                  <c:v>59.49</c:v>
                </c:pt>
                <c:pt idx="383">
                  <c:v>59.49</c:v>
                </c:pt>
                <c:pt idx="384">
                  <c:v>59.49</c:v>
                </c:pt>
                <c:pt idx="385">
                  <c:v>59.35</c:v>
                </c:pt>
                <c:pt idx="386">
                  <c:v>59.43</c:v>
                </c:pt>
                <c:pt idx="387">
                  <c:v>61.28</c:v>
                </c:pt>
                <c:pt idx="388">
                  <c:v>62.82</c:v>
                </c:pt>
                <c:pt idx="389">
                  <c:v>63.29</c:v>
                </c:pt>
                <c:pt idx="390">
                  <c:v>63.29</c:v>
                </c:pt>
                <c:pt idx="391">
                  <c:v>63.29</c:v>
                </c:pt>
                <c:pt idx="392">
                  <c:v>63.4</c:v>
                </c:pt>
                <c:pt idx="393">
                  <c:v>63.15</c:v>
                </c:pt>
                <c:pt idx="394">
                  <c:v>64.509999999999991</c:v>
                </c:pt>
                <c:pt idx="395">
                  <c:v>65.09</c:v>
                </c:pt>
                <c:pt idx="396">
                  <c:v>63.93</c:v>
                </c:pt>
                <c:pt idx="397">
                  <c:v>63.93</c:v>
                </c:pt>
                <c:pt idx="398">
                  <c:v>63.93</c:v>
                </c:pt>
                <c:pt idx="399">
                  <c:v>64.08</c:v>
                </c:pt>
                <c:pt idx="400">
                  <c:v>64.27000000000001</c:v>
                </c:pt>
                <c:pt idx="401">
                  <c:v>63.15</c:v>
                </c:pt>
                <c:pt idx="402">
                  <c:v>60.38</c:v>
                </c:pt>
                <c:pt idx="403">
                  <c:v>59</c:v>
                </c:pt>
                <c:pt idx="404">
                  <c:v>59</c:v>
                </c:pt>
                <c:pt idx="405">
                  <c:v>59</c:v>
                </c:pt>
                <c:pt idx="406">
                  <c:v>57.39</c:v>
                </c:pt>
                <c:pt idx="407">
                  <c:v>58.59</c:v>
                </c:pt>
                <c:pt idx="408">
                  <c:v>57.73</c:v>
                </c:pt>
                <c:pt idx="409">
                  <c:v>56.11</c:v>
                </c:pt>
                <c:pt idx="410">
                  <c:v>50.33</c:v>
                </c:pt>
                <c:pt idx="411">
                  <c:v>50.33</c:v>
                </c:pt>
                <c:pt idx="412">
                  <c:v>50.33</c:v>
                </c:pt>
                <c:pt idx="413">
                  <c:v>49.2</c:v>
                </c:pt>
                <c:pt idx="414">
                  <c:v>49.39</c:v>
                </c:pt>
                <c:pt idx="415">
                  <c:v>50.02</c:v>
                </c:pt>
                <c:pt idx="416">
                  <c:v>53.05</c:v>
                </c:pt>
                <c:pt idx="417">
                  <c:v>53.05</c:v>
                </c:pt>
                <c:pt idx="418">
                  <c:v>53.05</c:v>
                </c:pt>
                <c:pt idx="419">
                  <c:v>53.05</c:v>
                </c:pt>
                <c:pt idx="420">
                  <c:v>53.48</c:v>
                </c:pt>
                <c:pt idx="421">
                  <c:v>54.5</c:v>
                </c:pt>
                <c:pt idx="422">
                  <c:v>55.33</c:v>
                </c:pt>
                <c:pt idx="423">
                  <c:v>56.39</c:v>
                </c:pt>
                <c:pt idx="424">
                  <c:v>56.02</c:v>
                </c:pt>
                <c:pt idx="425">
                  <c:v>56.02</c:v>
                </c:pt>
                <c:pt idx="426">
                  <c:v>56.02</c:v>
                </c:pt>
                <c:pt idx="427">
                  <c:v>54.81</c:v>
                </c:pt>
                <c:pt idx="428">
                  <c:v>56</c:v>
                </c:pt>
                <c:pt idx="429">
                  <c:v>56.5</c:v>
                </c:pt>
                <c:pt idx="430">
                  <c:v>56.34</c:v>
                </c:pt>
                <c:pt idx="431">
                  <c:v>56.35</c:v>
                </c:pt>
                <c:pt idx="432">
                  <c:v>56.35</c:v>
                </c:pt>
                <c:pt idx="433">
                  <c:v>56.35</c:v>
                </c:pt>
                <c:pt idx="434">
                  <c:v>56.26</c:v>
                </c:pt>
                <c:pt idx="435">
                  <c:v>56.37</c:v>
                </c:pt>
                <c:pt idx="436">
                  <c:v>56.03</c:v>
                </c:pt>
                <c:pt idx="437">
                  <c:v>57.47</c:v>
                </c:pt>
                <c:pt idx="438">
                  <c:v>58.59</c:v>
                </c:pt>
                <c:pt idx="439">
                  <c:v>58.59</c:v>
                </c:pt>
                <c:pt idx="440">
                  <c:v>58.59</c:v>
                </c:pt>
                <c:pt idx="441">
                  <c:v>60</c:v>
                </c:pt>
                <c:pt idx="442">
                  <c:v>59.36</c:v>
                </c:pt>
                <c:pt idx="443">
                  <c:v>59.65</c:v>
                </c:pt>
                <c:pt idx="444">
                  <c:v>60.95</c:v>
                </c:pt>
                <c:pt idx="445">
                  <c:v>61.72</c:v>
                </c:pt>
                <c:pt idx="446">
                  <c:v>61.72</c:v>
                </c:pt>
                <c:pt idx="447">
                  <c:v>61.72</c:v>
                </c:pt>
                <c:pt idx="448">
                  <c:v>62.24</c:v>
                </c:pt>
                <c:pt idx="449">
                  <c:v>63.06</c:v>
                </c:pt>
                <c:pt idx="450">
                  <c:v>62.6</c:v>
                </c:pt>
                <c:pt idx="451">
                  <c:v>62.98</c:v>
                </c:pt>
                <c:pt idx="452">
                  <c:v>61.64</c:v>
                </c:pt>
                <c:pt idx="453">
                  <c:v>61.64</c:v>
                </c:pt>
                <c:pt idx="454">
                  <c:v>61.64</c:v>
                </c:pt>
                <c:pt idx="455">
                  <c:v>60.63</c:v>
                </c:pt>
                <c:pt idx="456">
                  <c:v>59.32</c:v>
                </c:pt>
                <c:pt idx="457">
                  <c:v>59.16</c:v>
                </c:pt>
                <c:pt idx="458">
                  <c:v>60.94</c:v>
                </c:pt>
                <c:pt idx="459">
                  <c:v>60.9</c:v>
                </c:pt>
                <c:pt idx="460">
                  <c:v>60.9</c:v>
                </c:pt>
                <c:pt idx="461">
                  <c:v>60.9</c:v>
                </c:pt>
                <c:pt idx="462">
                  <c:v>61.09</c:v>
                </c:pt>
                <c:pt idx="463">
                  <c:v>58.99</c:v>
                </c:pt>
                <c:pt idx="464">
                  <c:v>58.82</c:v>
                </c:pt>
                <c:pt idx="465">
                  <c:v>60.41</c:v>
                </c:pt>
                <c:pt idx="466">
                  <c:v>58.55</c:v>
                </c:pt>
                <c:pt idx="467">
                  <c:v>58.55</c:v>
                </c:pt>
                <c:pt idx="468">
                  <c:v>58.55</c:v>
                </c:pt>
                <c:pt idx="469">
                  <c:v>55.05</c:v>
                </c:pt>
                <c:pt idx="470">
                  <c:v>53.98</c:v>
                </c:pt>
                <c:pt idx="471">
                  <c:v>52.44</c:v>
                </c:pt>
                <c:pt idx="472">
                  <c:v>52.53</c:v>
                </c:pt>
                <c:pt idx="473">
                  <c:v>48.08</c:v>
                </c:pt>
                <c:pt idx="474">
                  <c:v>48.08</c:v>
                </c:pt>
                <c:pt idx="475">
                  <c:v>48.08</c:v>
                </c:pt>
                <c:pt idx="476">
                  <c:v>48.53</c:v>
                </c:pt>
                <c:pt idx="477">
                  <c:v>48.76</c:v>
                </c:pt>
                <c:pt idx="478">
                  <c:v>48.73</c:v>
                </c:pt>
                <c:pt idx="479">
                  <c:v>49.06</c:v>
                </c:pt>
                <c:pt idx="480">
                  <c:v>49.23</c:v>
                </c:pt>
                <c:pt idx="481">
                  <c:v>49.23</c:v>
                </c:pt>
                <c:pt idx="482">
                  <c:v>49.23</c:v>
                </c:pt>
                <c:pt idx="483">
                  <c:v>49</c:v>
                </c:pt>
                <c:pt idx="484">
                  <c:v>48.26</c:v>
                </c:pt>
                <c:pt idx="485">
                  <c:v>49.01</c:v>
                </c:pt>
                <c:pt idx="486">
                  <c:v>48.81</c:v>
                </c:pt>
                <c:pt idx="487">
                  <c:v>49.45</c:v>
                </c:pt>
                <c:pt idx="488">
                  <c:v>49.45</c:v>
                </c:pt>
                <c:pt idx="489">
                  <c:v>49.45</c:v>
                </c:pt>
                <c:pt idx="490">
                  <c:v>49.97</c:v>
                </c:pt>
                <c:pt idx="491">
                  <c:v>50.66</c:v>
                </c:pt>
                <c:pt idx="492">
                  <c:v>50.97</c:v>
                </c:pt>
                <c:pt idx="493">
                  <c:v>51.95</c:v>
                </c:pt>
                <c:pt idx="494">
                  <c:v>52.25</c:v>
                </c:pt>
                <c:pt idx="495">
                  <c:v>52.25</c:v>
                </c:pt>
                <c:pt idx="496">
                  <c:v>52.25</c:v>
                </c:pt>
                <c:pt idx="497">
                  <c:v>50.75</c:v>
                </c:pt>
                <c:pt idx="498">
                  <c:v>51.5</c:v>
                </c:pt>
                <c:pt idx="499">
                  <c:v>51.89</c:v>
                </c:pt>
                <c:pt idx="500">
                  <c:v>51.68</c:v>
                </c:pt>
                <c:pt idx="501">
                  <c:v>50.45</c:v>
                </c:pt>
                <c:pt idx="502">
                  <c:v>50.45</c:v>
                </c:pt>
                <c:pt idx="503">
                  <c:v>50.45</c:v>
                </c:pt>
                <c:pt idx="504">
                  <c:v>51.45</c:v>
                </c:pt>
                <c:pt idx="505">
                  <c:v>52.77</c:v>
                </c:pt>
                <c:pt idx="506">
                  <c:v>54.31</c:v>
                </c:pt>
                <c:pt idx="507">
                  <c:v>55</c:v>
                </c:pt>
                <c:pt idx="508">
                  <c:v>55</c:v>
                </c:pt>
                <c:pt idx="509">
                  <c:v>55</c:v>
                </c:pt>
                <c:pt idx="510">
                  <c:v>55</c:v>
                </c:pt>
                <c:pt idx="511">
                  <c:v>56</c:v>
                </c:pt>
                <c:pt idx="512">
                  <c:v>57.11</c:v>
                </c:pt>
                <c:pt idx="513">
                  <c:v>56.5</c:v>
                </c:pt>
                <c:pt idx="514">
                  <c:v>57.91</c:v>
                </c:pt>
                <c:pt idx="515">
                  <c:v>58.43</c:v>
                </c:pt>
                <c:pt idx="516">
                  <c:v>58.43</c:v>
                </c:pt>
                <c:pt idx="517">
                  <c:v>58.43</c:v>
                </c:pt>
                <c:pt idx="518">
                  <c:v>58.88</c:v>
                </c:pt>
                <c:pt idx="519">
                  <c:v>59.19</c:v>
                </c:pt>
                <c:pt idx="520">
                  <c:v>59.33</c:v>
                </c:pt>
                <c:pt idx="521">
                  <c:v>59.84</c:v>
                </c:pt>
                <c:pt idx="522">
                  <c:v>59.84</c:v>
                </c:pt>
                <c:pt idx="523">
                  <c:v>59.84</c:v>
                </c:pt>
                <c:pt idx="524">
                  <c:v>59.84</c:v>
                </c:pt>
                <c:pt idx="525">
                  <c:v>60.7</c:v>
                </c:pt>
                <c:pt idx="526">
                  <c:v>60.67</c:v>
                </c:pt>
                <c:pt idx="527">
                  <c:v>60.11</c:v>
                </c:pt>
                <c:pt idx="528">
                  <c:v>60.83</c:v>
                </c:pt>
                <c:pt idx="529">
                  <c:v>60.83</c:v>
                </c:pt>
                <c:pt idx="530">
                  <c:v>60.83</c:v>
                </c:pt>
                <c:pt idx="531">
                  <c:v>60.83</c:v>
                </c:pt>
                <c:pt idx="532">
                  <c:v>59</c:v>
                </c:pt>
                <c:pt idx="533">
                  <c:v>58.32</c:v>
                </c:pt>
                <c:pt idx="534">
                  <c:v>58.24</c:v>
                </c:pt>
                <c:pt idx="535">
                  <c:v>59.13</c:v>
                </c:pt>
                <c:pt idx="536">
                  <c:v>58.94</c:v>
                </c:pt>
                <c:pt idx="537">
                  <c:v>58.94</c:v>
                </c:pt>
                <c:pt idx="538">
                  <c:v>58.94</c:v>
                </c:pt>
                <c:pt idx="539">
                  <c:v>58.66</c:v>
                </c:pt>
                <c:pt idx="540">
                  <c:v>60.52</c:v>
                </c:pt>
                <c:pt idx="541">
                  <c:v>61.27</c:v>
                </c:pt>
                <c:pt idx="542">
                  <c:v>60.83</c:v>
                </c:pt>
                <c:pt idx="543">
                  <c:v>60.83</c:v>
                </c:pt>
                <c:pt idx="544">
                  <c:v>60.83</c:v>
                </c:pt>
                <c:pt idx="545">
                  <c:v>60.83</c:v>
                </c:pt>
                <c:pt idx="546">
                  <c:v>60.83</c:v>
                </c:pt>
                <c:pt idx="547">
                  <c:v>60.93</c:v>
                </c:pt>
                <c:pt idx="548">
                  <c:v>60.15</c:v>
                </c:pt>
                <c:pt idx="549">
                  <c:v>60.58</c:v>
                </c:pt>
                <c:pt idx="550">
                  <c:v>61.89</c:v>
                </c:pt>
                <c:pt idx="551">
                  <c:v>61.89</c:v>
                </c:pt>
                <c:pt idx="552">
                  <c:v>61.89</c:v>
                </c:pt>
                <c:pt idx="553">
                  <c:v>61.25</c:v>
                </c:pt>
                <c:pt idx="554">
                  <c:v>62.63</c:v>
                </c:pt>
                <c:pt idx="555">
                  <c:v>60.65</c:v>
                </c:pt>
                <c:pt idx="556">
                  <c:v>59.02</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numCache>
            </c:numRef>
          </c:val>
          <c:smooth val="0"/>
          <c:extLst>
            <c:ext xmlns:c16="http://schemas.microsoft.com/office/drawing/2014/chart" uri="{C3380CC4-5D6E-409C-BE32-E72D297353CC}">
              <c16:uniqueId val="{00000002-2CA1-4B2D-A6F2-BEEB85A56030}"/>
            </c:ext>
          </c:extLst>
        </c:ser>
        <c:dLbls>
          <c:showLegendKey val="0"/>
          <c:showVal val="0"/>
          <c:showCatName val="0"/>
          <c:showSerName val="0"/>
          <c:showPercent val="0"/>
          <c:showBubbleSize val="0"/>
        </c:dLbls>
        <c:marker val="1"/>
        <c:smooth val="0"/>
        <c:axId val="1081249952"/>
        <c:axId val="1081250736"/>
      </c:lineChart>
      <c:dateAx>
        <c:axId val="1081249952"/>
        <c:scaling>
          <c:orientation val="minMax"/>
          <c:min val="43739"/>
        </c:scaling>
        <c:delete val="0"/>
        <c:axPos val="b"/>
        <c:numFmt formatCode="[$-409]mmm\-yy;@" sourceLinked="0"/>
        <c:majorTickMark val="out"/>
        <c:minorTickMark val="out"/>
        <c:tickLblPos val="nextTo"/>
        <c:spPr>
          <a:ln>
            <a:solidFill>
              <a:srgbClr val="7F8080"/>
            </a:solidFill>
            <a:prstDash val="solid"/>
          </a:ln>
        </c:spPr>
        <c:txPr>
          <a:bodyPr rot="0" vert="horz"/>
          <a:lstStyle/>
          <a:p>
            <a:pPr>
              <a:defRPr sz="700" b="0">
                <a:solidFill>
                  <a:srgbClr val="000000"/>
                </a:solidFill>
                <a:latin typeface="Arial"/>
                <a:ea typeface="Arial"/>
                <a:cs typeface="Arial"/>
              </a:defRPr>
            </a:pPr>
            <a:endParaRPr lang="en-US"/>
          </a:p>
        </c:txPr>
        <c:crossAx val="1081250736"/>
        <c:crosses val="autoZero"/>
        <c:auto val="1"/>
        <c:lblOffset val="100"/>
        <c:baseTimeUnit val="days"/>
      </c:dateAx>
      <c:valAx>
        <c:axId val="1081250736"/>
        <c:scaling>
          <c:orientation val="minMax"/>
          <c:max val="120"/>
          <c:min val="30"/>
        </c:scaling>
        <c:delete val="0"/>
        <c:axPos val="l"/>
        <c:majorGridlines>
          <c:spPr>
            <a:ln w="3175">
              <a:solidFill>
                <a:srgbClr val="7F8080"/>
              </a:solidFill>
              <a:prstDash val="solid"/>
            </a:ln>
          </c:spPr>
        </c:majorGridlines>
        <c:numFmt formatCode="General" sourceLinked="0"/>
        <c:majorTickMark val="out"/>
        <c:minorTickMark val="none"/>
        <c:tickLblPos val="nextTo"/>
        <c:spPr>
          <a:ln>
            <a:solidFill>
              <a:srgbClr val="7F8080"/>
            </a:solidFill>
            <a:prstDash val="solid"/>
          </a:ln>
        </c:spPr>
        <c:txPr>
          <a:bodyPr/>
          <a:lstStyle/>
          <a:p>
            <a:pPr>
              <a:defRPr sz="700" b="0">
                <a:solidFill>
                  <a:srgbClr val="000000"/>
                </a:solidFill>
                <a:latin typeface="Arial"/>
                <a:ea typeface="Arial"/>
                <a:cs typeface="Arial"/>
              </a:defRPr>
            </a:pPr>
            <a:endParaRPr lang="en-US"/>
          </a:p>
        </c:txPr>
        <c:crossAx val="1081249952"/>
        <c:crosses val="autoZero"/>
        <c:crossBetween val="between"/>
        <c:majorUnit val="10"/>
      </c:valAx>
      <c:valAx>
        <c:axId val="1013145744"/>
        <c:scaling>
          <c:orientation val="minMax"/>
          <c:max val="30"/>
          <c:min val="-60"/>
        </c:scaling>
        <c:delete val="0"/>
        <c:axPos val="r"/>
        <c:title>
          <c:tx>
            <c:rich>
              <a:bodyPr rot="-5400000" vert="horz"/>
              <a:lstStyle/>
              <a:p>
                <a:pPr>
                  <a:defRPr sz="700" b="1"/>
                </a:pPr>
                <a:r>
                  <a:rPr lang="en-US" sz="700" b="1"/>
                  <a:t>Arbitrage (US dollars </a:t>
                </a:r>
                <a:br>
                  <a:rPr lang="en-US" sz="700" b="1"/>
                </a:br>
                <a:r>
                  <a:rPr lang="en-US" sz="700" b="1"/>
                  <a:t>per short ton)</a:t>
                </a:r>
              </a:p>
            </c:rich>
          </c:tx>
          <c:layout>
            <c:manualLayout>
              <c:xMode val="edge"/>
              <c:yMode val="edge"/>
              <c:x val="0.90979057767055349"/>
              <c:y val="0.25676564495530013"/>
            </c:manualLayout>
          </c:layout>
          <c:overlay val="0"/>
        </c:title>
        <c:numFmt formatCode="#,##0" sourceLinked="0"/>
        <c:majorTickMark val="out"/>
        <c:minorTickMark val="none"/>
        <c:tickLblPos val="nextTo"/>
        <c:spPr>
          <a:ln>
            <a:solidFill>
              <a:srgbClr val="7F8080"/>
            </a:solidFill>
            <a:prstDash val="solid"/>
          </a:ln>
        </c:spPr>
        <c:txPr>
          <a:bodyPr/>
          <a:lstStyle/>
          <a:p>
            <a:pPr>
              <a:defRPr sz="700" b="0">
                <a:solidFill>
                  <a:srgbClr val="000000"/>
                </a:solidFill>
                <a:latin typeface="Arial"/>
                <a:ea typeface="Arial"/>
                <a:cs typeface="Arial"/>
              </a:defRPr>
            </a:pPr>
            <a:endParaRPr lang="en-US"/>
          </a:p>
        </c:txPr>
        <c:crossAx val="1013146528"/>
        <c:crosses val="max"/>
        <c:crossBetween val="between"/>
      </c:valAx>
      <c:dateAx>
        <c:axId val="1013146528"/>
        <c:scaling>
          <c:orientation val="minMax"/>
        </c:scaling>
        <c:delete val="1"/>
        <c:axPos val="b"/>
        <c:numFmt formatCode="m/d/yyyy" sourceLinked="1"/>
        <c:majorTickMark val="out"/>
        <c:minorTickMark val="none"/>
        <c:tickLblPos val="none"/>
        <c:crossAx val="1013145744"/>
        <c:crosses val="autoZero"/>
        <c:auto val="1"/>
        <c:lblOffset val="100"/>
        <c:baseTimeUnit val="days"/>
      </c:dateAx>
      <c:spPr>
        <a:noFill/>
        <a:ln>
          <a:noFill/>
        </a:ln>
      </c:spPr>
    </c:plotArea>
    <c:legend>
      <c:legendPos val="b"/>
      <c:layout>
        <c:manualLayout>
          <c:xMode val="edge"/>
          <c:yMode val="edge"/>
          <c:x val="0"/>
          <c:y val="0.81098339719029378"/>
          <c:w val="1"/>
          <c:h val="0.12975734355044699"/>
        </c:manualLayout>
      </c:layout>
      <c:overlay val="0"/>
      <c:txPr>
        <a:bodyPr/>
        <a:lstStyle/>
        <a:p>
          <a:pPr>
            <a:defRPr sz="700" b="0">
              <a:solidFill>
                <a:srgbClr val="000000"/>
              </a:solidFill>
              <a:latin typeface="Arial" panose="020B0604020202020204" pitchFamily="34" charset="0"/>
            </a:defRPr>
          </a:pPr>
          <a:endParaRPr lang="en-US"/>
        </a:p>
      </c:txPr>
    </c:legend>
    <c:plotVisOnly val="1"/>
    <c:dispBlanksAs val="gap"/>
    <c:showDLblsOverMax val="0"/>
  </c:chart>
  <c:spPr>
    <a:noFill/>
    <a:ln w="6350" cmpd="sng">
      <a:solidFill>
        <a:srgbClr val="7F8080"/>
      </a:solidFill>
      <a:prstDash val="solid"/>
    </a:ln>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5153256704980834E-2"/>
          <c:y val="8.9364696421391235E-2"/>
          <c:w val="0.89208173690932313"/>
          <c:h val="0.74896126524594553"/>
        </c:manualLayout>
      </c:layout>
      <c:areaChart>
        <c:grouping val="stacked"/>
        <c:varyColors val="0"/>
        <c:ser>
          <c:idx val="4"/>
          <c:order val="0"/>
          <c:tx>
            <c:strRef>
              <c:f>HamptonRoadsLoadings!$O$4</c:f>
              <c:strCache>
                <c:ptCount val="1"/>
              </c:strCache>
            </c:strRef>
          </c:tx>
          <c:spPr>
            <a:noFill/>
            <a:ln>
              <a:noFill/>
            </a:ln>
          </c:spPr>
          <c:cat>
            <c:numRef>
              <c:f>HamptonRoadsLoadings!$J$5:$J$75</c:f>
              <c:numCache>
                <c:formatCode>[$-409]mmm\-yy;@</c:formatCode>
                <c:ptCount val="71"/>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pt idx="66">
                  <c:v>42552</c:v>
                </c:pt>
                <c:pt idx="67">
                  <c:v>42583</c:v>
                </c:pt>
                <c:pt idx="68">
                  <c:v>42614</c:v>
                </c:pt>
                <c:pt idx="69">
                  <c:v>42644</c:v>
                </c:pt>
                <c:pt idx="70">
                  <c:v>42675</c:v>
                </c:pt>
              </c:numCache>
            </c:numRef>
          </c:cat>
          <c:val>
            <c:numRef>
              <c:f>HamptonRoadsLoadings!$O$5:$O$75</c:f>
              <c:numCache>
                <c:formatCode>#,##0</c:formatCode>
                <c:ptCount val="71"/>
                <c:pt idx="0">
                  <c:v>0</c:v>
                </c:pt>
                <c:pt idx="1">
                  <c:v>0</c:v>
                </c:pt>
                <c:pt idx="2">
                  <c:v>119415.72299603892</c:v>
                </c:pt>
                <c:pt idx="3">
                  <c:v>116611.04375542697</c:v>
                </c:pt>
                <c:pt idx="4">
                  <c:v>119069.96020924531</c:v>
                </c:pt>
                <c:pt idx="5">
                  <c:v>116238.94980759654</c:v>
                </c:pt>
                <c:pt idx="6">
                  <c:v>112592.2454439016</c:v>
                </c:pt>
                <c:pt idx="7">
                  <c:v>102722.75108871101</c:v>
                </c:pt>
                <c:pt idx="8">
                  <c:v>97279.421716854325</c:v>
                </c:pt>
                <c:pt idx="9">
                  <c:v>97854.08022525601</c:v>
                </c:pt>
                <c:pt idx="10">
                  <c:v>98150.352069214903</c:v>
                </c:pt>
                <c:pt idx="11">
                  <c:v>98421.11370587672</c:v>
                </c:pt>
                <c:pt idx="12">
                  <c:v>98425.919299200148</c:v>
                </c:pt>
                <c:pt idx="13">
                  <c:v>101980.27064788056</c:v>
                </c:pt>
                <c:pt idx="14">
                  <c:v>104410.01994049714</c:v>
                </c:pt>
                <c:pt idx="15">
                  <c:v>101903.45020568575</c:v>
                </c:pt>
                <c:pt idx="16">
                  <c:v>103093.33949600771</c:v>
                </c:pt>
                <c:pt idx="17">
                  <c:v>105015.50024588748</c:v>
                </c:pt>
                <c:pt idx="18">
                  <c:v>113894.8731625033</c:v>
                </c:pt>
                <c:pt idx="19">
                  <c:v>112306.2809277339</c:v>
                </c:pt>
                <c:pt idx="20">
                  <c:v>124974.9750135357</c:v>
                </c:pt>
                <c:pt idx="21">
                  <c:v>111547.24450245894</c:v>
                </c:pt>
                <c:pt idx="22">
                  <c:v>103040.89809267182</c:v>
                </c:pt>
                <c:pt idx="23">
                  <c:v>94951.760087387462</c:v>
                </c:pt>
                <c:pt idx="24">
                  <c:v>95557.09543246172</c:v>
                </c:pt>
                <c:pt idx="25">
                  <c:v>96192.129584923241</c:v>
                </c:pt>
                <c:pt idx="26">
                  <c:v>97569.019315038749</c:v>
                </c:pt>
                <c:pt idx="27">
                  <c:v>97224.565112349781</c:v>
                </c:pt>
                <c:pt idx="28">
                  <c:v>107572.37491895839</c:v>
                </c:pt>
                <c:pt idx="29">
                  <c:v>124855.55872760518</c:v>
                </c:pt>
                <c:pt idx="30">
                  <c:v>125300.44042533968</c:v>
                </c:pt>
                <c:pt idx="31">
                  <c:v>121185.82917769397</c:v>
                </c:pt>
                <c:pt idx="32">
                  <c:v>118155.53424678597</c:v>
                </c:pt>
                <c:pt idx="33">
                  <c:v>121966.23540861502</c:v>
                </c:pt>
                <c:pt idx="34">
                  <c:v>118590.92801780751</c:v>
                </c:pt>
                <c:pt idx="35">
                  <c:v>119789.00826565697</c:v>
                </c:pt>
                <c:pt idx="36">
                  <c:v>115561.20027930838</c:v>
                </c:pt>
                <c:pt idx="37">
                  <c:v>113062.34156307013</c:v>
                </c:pt>
                <c:pt idx="38">
                  <c:v>111665.12829051894</c:v>
                </c:pt>
                <c:pt idx="39">
                  <c:v>112194.40871531868</c:v>
                </c:pt>
                <c:pt idx="40">
                  <c:v>115195.73564275037</c:v>
                </c:pt>
                <c:pt idx="41">
                  <c:v>110647.13147939289</c:v>
                </c:pt>
                <c:pt idx="42">
                  <c:v>115453.17812012078</c:v>
                </c:pt>
                <c:pt idx="43">
                  <c:v>107966.50029319362</c:v>
                </c:pt>
                <c:pt idx="44">
                  <c:v>99001.100205234587</c:v>
                </c:pt>
                <c:pt idx="45">
                  <c:v>97545.96572457072</c:v>
                </c:pt>
                <c:pt idx="46">
                  <c:v>89339.234528811328</c:v>
                </c:pt>
                <c:pt idx="47">
                  <c:v>86663.101359045279</c:v>
                </c:pt>
                <c:pt idx="48">
                  <c:v>87666.736685834083</c:v>
                </c:pt>
                <c:pt idx="49">
                  <c:v>88099.694623266347</c:v>
                </c:pt>
                <c:pt idx="50">
                  <c:v>75482.343698394485</c:v>
                </c:pt>
                <c:pt idx="51">
                  <c:v>74945.636215093895</c:v>
                </c:pt>
                <c:pt idx="52">
                  <c:v>73968.132129962425</c:v>
                </c:pt>
                <c:pt idx="53">
                  <c:v>71740.626107323318</c:v>
                </c:pt>
                <c:pt idx="54">
                  <c:v>64383.032412676606</c:v>
                </c:pt>
                <c:pt idx="55">
                  <c:v>55933.800323578478</c:v>
                </c:pt>
                <c:pt idx="56">
                  <c:v>56028.376254494455</c:v>
                </c:pt>
                <c:pt idx="57">
                  <c:v>58372.184680752805</c:v>
                </c:pt>
                <c:pt idx="58">
                  <c:v>56748.500070579321</c:v>
                </c:pt>
                <c:pt idx="59">
                  <c:v>59144.080847886762</c:v>
                </c:pt>
                <c:pt idx="60">
                  <c:v>58521.438433823678</c:v>
                </c:pt>
                <c:pt idx="61">
                  <c:v>58806.699432275447</c:v>
                </c:pt>
                <c:pt idx="62">
                  <c:v>58582.087669928238</c:v>
                </c:pt>
                <c:pt idx="63">
                  <c:v>55312.430059839287</c:v>
                </c:pt>
                <c:pt idx="64">
                  <c:v>52547.489075728132</c:v>
                </c:pt>
                <c:pt idx="65">
                  <c:v>52554.936801479198</c:v>
                </c:pt>
                <c:pt idx="66">
                  <c:v>51481.382409475038</c:v>
                </c:pt>
                <c:pt idx="67">
                  <c:v>51763.790435238778</c:v>
                </c:pt>
                <c:pt idx="68">
                  <c:v>51518.470845675161</c:v>
                </c:pt>
                <c:pt idx="69">
                  <c:v>50409.467436115941</c:v>
                </c:pt>
                <c:pt idx="70">
                  <c:v>51701.409904409069</c:v>
                </c:pt>
              </c:numCache>
            </c:numRef>
          </c:val>
          <c:extLst>
            <c:ext xmlns:c16="http://schemas.microsoft.com/office/drawing/2014/chart" uri="{C3380CC4-5D6E-409C-BE32-E72D297353CC}">
              <c16:uniqueId val="{00000000-6CC1-4AB1-AB0C-8062C70CD83C}"/>
            </c:ext>
          </c:extLst>
        </c:ser>
        <c:ser>
          <c:idx val="5"/>
          <c:order val="1"/>
          <c:tx>
            <c:strRef>
              <c:f>HamptonRoadsLoadings!$P$4</c:f>
              <c:strCache>
                <c:ptCount val="1"/>
                <c:pt idx="0">
                  <c:v>6MoAv ± 1SD</c:v>
                </c:pt>
              </c:strCache>
            </c:strRef>
          </c:tx>
          <c:spPr>
            <a:solidFill>
              <a:srgbClr val="A1ABB2"/>
            </a:solidFill>
          </c:spPr>
          <c:cat>
            <c:numRef>
              <c:f>HamptonRoadsLoadings!$J$5:$J$75</c:f>
              <c:numCache>
                <c:formatCode>[$-409]mmm\-yy;@</c:formatCode>
                <c:ptCount val="71"/>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pt idx="66">
                  <c:v>42552</c:v>
                </c:pt>
                <c:pt idx="67">
                  <c:v>42583</c:v>
                </c:pt>
                <c:pt idx="68">
                  <c:v>42614</c:v>
                </c:pt>
                <c:pt idx="69">
                  <c:v>42644</c:v>
                </c:pt>
                <c:pt idx="70">
                  <c:v>42675</c:v>
                </c:pt>
              </c:numCache>
            </c:numRef>
          </c:cat>
          <c:val>
            <c:numRef>
              <c:f>HamptonRoadsLoadings!$P$5:$P$75</c:f>
              <c:numCache>
                <c:formatCode>#,##0</c:formatCode>
                <c:ptCount val="71"/>
                <c:pt idx="0">
                  <c:v>0</c:v>
                </c:pt>
                <c:pt idx="1">
                  <c:v>0</c:v>
                </c:pt>
                <c:pt idx="2">
                  <c:v>6180.9572337286081</c:v>
                </c:pt>
                <c:pt idx="3">
                  <c:v>27417.256575167557</c:v>
                </c:pt>
                <c:pt idx="4">
                  <c:v>22387.220979358841</c:v>
                </c:pt>
                <c:pt idx="5">
                  <c:v>22737.19414824777</c:v>
                </c:pt>
                <c:pt idx="6">
                  <c:v>24472.809470619715</c:v>
                </c:pt>
                <c:pt idx="7">
                  <c:v>35411.647643366494</c:v>
                </c:pt>
                <c:pt idx="8">
                  <c:v>38347.870903208939</c:v>
                </c:pt>
                <c:pt idx="9">
                  <c:v>25213.349585330259</c:v>
                </c:pt>
                <c:pt idx="10">
                  <c:v>16332.544965512847</c:v>
                </c:pt>
                <c:pt idx="11">
                  <c:v>14437.271154554823</c:v>
                </c:pt>
                <c:pt idx="12">
                  <c:v>15022.862476868526</c:v>
                </c:pt>
                <c:pt idx="13">
                  <c:v>19893.912467679736</c:v>
                </c:pt>
                <c:pt idx="14">
                  <c:v>17411.625228386576</c:v>
                </c:pt>
                <c:pt idx="15">
                  <c:v>37113.64641843937</c:v>
                </c:pt>
                <c:pt idx="16">
                  <c:v>61993.55099191732</c:v>
                </c:pt>
                <c:pt idx="17">
                  <c:v>60383.345621190048</c:v>
                </c:pt>
                <c:pt idx="18">
                  <c:v>59230.463945664524</c:v>
                </c:pt>
                <c:pt idx="19">
                  <c:v>60475.304329181788</c:v>
                </c:pt>
                <c:pt idx="20">
                  <c:v>50187.468252498482</c:v>
                </c:pt>
                <c:pt idx="21">
                  <c:v>61118.269776444082</c:v>
                </c:pt>
                <c:pt idx="22">
                  <c:v>49644.075140821195</c:v>
                </c:pt>
                <c:pt idx="23">
                  <c:v>57121.368355690996</c:v>
                </c:pt>
                <c:pt idx="24">
                  <c:v>42917.44641106225</c:v>
                </c:pt>
                <c:pt idx="25">
                  <c:v>44864.614665278961</c:v>
                </c:pt>
                <c:pt idx="26">
                  <c:v>38251.721533773001</c:v>
                </c:pt>
                <c:pt idx="27">
                  <c:v>64921.020620154508</c:v>
                </c:pt>
                <c:pt idx="28">
                  <c:v>59664.099573245519</c:v>
                </c:pt>
                <c:pt idx="29">
                  <c:v>41467.284644123982</c:v>
                </c:pt>
                <c:pt idx="30">
                  <c:v>40972.261392024171</c:v>
                </c:pt>
                <c:pt idx="31">
                  <c:v>45015.645177638202</c:v>
                </c:pt>
                <c:pt idx="32">
                  <c:v>46735.886345137784</c:v>
                </c:pt>
                <c:pt idx="33">
                  <c:v>20985.082229364911</c:v>
                </c:pt>
                <c:pt idx="34">
                  <c:v>17569.600595209311</c:v>
                </c:pt>
                <c:pt idx="35">
                  <c:v>12526.387411338335</c:v>
                </c:pt>
                <c:pt idx="36">
                  <c:v>16865.843885827708</c:v>
                </c:pt>
                <c:pt idx="37">
                  <c:v>19136.636587121408</c:v>
                </c:pt>
                <c:pt idx="38">
                  <c:v>28527.292778921168</c:v>
                </c:pt>
                <c:pt idx="39">
                  <c:v>32197.875656920194</c:v>
                </c:pt>
                <c:pt idx="40">
                  <c:v>30369.684884494141</c:v>
                </c:pt>
                <c:pt idx="41">
                  <c:v>32603.699877875813</c:v>
                </c:pt>
                <c:pt idx="42">
                  <c:v>28598.652976348327</c:v>
                </c:pt>
                <c:pt idx="43">
                  <c:v>38039.707554933848</c:v>
                </c:pt>
                <c:pt idx="44">
                  <c:v>38542.632922864097</c:v>
                </c:pt>
                <c:pt idx="45">
                  <c:v>29437.358156593313</c:v>
                </c:pt>
                <c:pt idx="46">
                  <c:v>30823.819831266243</c:v>
                </c:pt>
                <c:pt idx="47">
                  <c:v>29307.825955744571</c:v>
                </c:pt>
                <c:pt idx="48">
                  <c:v>15246.486126539705</c:v>
                </c:pt>
                <c:pt idx="49">
                  <c:v>16095.83906887949</c:v>
                </c:pt>
                <c:pt idx="50">
                  <c:v>30704.130012325215</c:v>
                </c:pt>
                <c:pt idx="51">
                  <c:v>34018.088706524955</c:v>
                </c:pt>
                <c:pt idx="52">
                  <c:v>34755.019815856009</c:v>
                </c:pt>
                <c:pt idx="53">
                  <c:v>35053.528635327762</c:v>
                </c:pt>
                <c:pt idx="54">
                  <c:v>40634.629644692875</c:v>
                </c:pt>
                <c:pt idx="55">
                  <c:v>42428.857263749371</c:v>
                </c:pt>
                <c:pt idx="56">
                  <c:v>42349.148566279931</c:v>
                </c:pt>
                <c:pt idx="57">
                  <c:v>21320.187986164645</c:v>
                </c:pt>
                <c:pt idx="58">
                  <c:v>18128.483729809086</c:v>
                </c:pt>
                <c:pt idx="59">
                  <c:v>6665.5698454451122</c:v>
                </c:pt>
                <c:pt idx="60">
                  <c:v>6769.6829889834626</c:v>
                </c:pt>
                <c:pt idx="61">
                  <c:v>6389.9781963809946</c:v>
                </c:pt>
                <c:pt idx="62">
                  <c:v>5914.2651248574111</c:v>
                </c:pt>
                <c:pt idx="63">
                  <c:v>8031.8165457521536</c:v>
                </c:pt>
                <c:pt idx="64">
                  <c:v>9955.3275462325255</c:v>
                </c:pt>
                <c:pt idx="65">
                  <c:v>8696.8618438343401</c:v>
                </c:pt>
                <c:pt idx="66">
                  <c:v>14371.864534652697</c:v>
                </c:pt>
                <c:pt idx="67">
                  <c:v>14270.629128286491</c:v>
                </c:pt>
                <c:pt idx="68">
                  <c:v>14037.796301481219</c:v>
                </c:pt>
                <c:pt idx="69">
                  <c:v>15252.089142105033</c:v>
                </c:pt>
                <c:pt idx="70">
                  <c:v>14053.069796916636</c:v>
                </c:pt>
              </c:numCache>
            </c:numRef>
          </c:val>
          <c:extLst>
            <c:ext xmlns:c16="http://schemas.microsoft.com/office/drawing/2014/chart" uri="{C3380CC4-5D6E-409C-BE32-E72D297353CC}">
              <c16:uniqueId val="{00000001-6CC1-4AB1-AB0C-8062C70CD83C}"/>
            </c:ext>
          </c:extLst>
        </c:ser>
        <c:dLbls>
          <c:showLegendKey val="0"/>
          <c:showVal val="0"/>
          <c:showCatName val="0"/>
          <c:showSerName val="0"/>
          <c:showPercent val="0"/>
          <c:showBubbleSize val="0"/>
        </c:dLbls>
        <c:axId val="938267432"/>
        <c:axId val="1085097088"/>
      </c:areaChart>
      <c:lineChart>
        <c:grouping val="standard"/>
        <c:varyColors val="0"/>
        <c:ser>
          <c:idx val="0"/>
          <c:order val="2"/>
          <c:tx>
            <c:strRef>
              <c:f>HamptonRoadsLoadings!$K$4</c:f>
              <c:strCache>
                <c:ptCount val="1"/>
                <c:pt idx="0">
                  <c:v>Hampton Roads Average Daily Loadings</c:v>
                </c:pt>
              </c:strCache>
            </c:strRef>
          </c:tx>
          <c:spPr>
            <a:ln>
              <a:solidFill>
                <a:srgbClr val="103C68"/>
              </a:solidFill>
            </a:ln>
          </c:spPr>
          <c:marker>
            <c:symbol val="none"/>
          </c:marker>
          <c:cat>
            <c:numRef>
              <c:f>HamptonRoadsLoadings!$J$5:$J$75</c:f>
              <c:numCache>
                <c:formatCode>[$-409]mmm\-yy;@</c:formatCode>
                <c:ptCount val="71"/>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pt idx="60">
                  <c:v>42370</c:v>
                </c:pt>
                <c:pt idx="61">
                  <c:v>42401</c:v>
                </c:pt>
                <c:pt idx="62">
                  <c:v>42430</c:v>
                </c:pt>
                <c:pt idx="63">
                  <c:v>42461</c:v>
                </c:pt>
                <c:pt idx="64">
                  <c:v>42491</c:v>
                </c:pt>
                <c:pt idx="65">
                  <c:v>42522</c:v>
                </c:pt>
                <c:pt idx="66">
                  <c:v>42552</c:v>
                </c:pt>
                <c:pt idx="67">
                  <c:v>42583</c:v>
                </c:pt>
                <c:pt idx="68">
                  <c:v>42614</c:v>
                </c:pt>
                <c:pt idx="69">
                  <c:v>42644</c:v>
                </c:pt>
                <c:pt idx="70">
                  <c:v>42675</c:v>
                </c:pt>
              </c:numCache>
            </c:numRef>
          </c:cat>
          <c:val>
            <c:numRef>
              <c:f>HamptonRoadsLoadings!$K$5:$K$75</c:f>
              <c:numCache>
                <c:formatCode>#,##0</c:formatCode>
                <c:ptCount val="71"/>
                <c:pt idx="0">
                  <c:v>120320.90322580645</c:v>
                </c:pt>
                <c:pt idx="1">
                  <c:v>124691.5</c:v>
                </c:pt>
                <c:pt idx="2">
                  <c:v>145946.61290322582</c:v>
                </c:pt>
                <c:pt idx="3">
                  <c:v>130095.26666666666</c:v>
                </c:pt>
                <c:pt idx="4">
                  <c:v>116983.45161290323</c:v>
                </c:pt>
                <c:pt idx="5">
                  <c:v>110934.16666666667</c:v>
                </c:pt>
                <c:pt idx="6">
                  <c:v>93920.451612903227</c:v>
                </c:pt>
                <c:pt idx="7">
                  <c:v>100840.19354838709</c:v>
                </c:pt>
                <c:pt idx="8">
                  <c:v>109991</c:v>
                </c:pt>
                <c:pt idx="9">
                  <c:v>105230.48387096774</c:v>
                </c:pt>
                <c:pt idx="10">
                  <c:v>112922.2</c:v>
                </c:pt>
                <c:pt idx="11">
                  <c:v>112719.77419354839</c:v>
                </c:pt>
                <c:pt idx="12">
                  <c:v>129859.70967741935</c:v>
                </c:pt>
                <c:pt idx="13">
                  <c:v>107971.8275862069</c:v>
                </c:pt>
                <c:pt idx="14">
                  <c:v>154057.64516129033</c:v>
                </c:pt>
                <c:pt idx="15">
                  <c:v>187009.53333333333</c:v>
                </c:pt>
                <c:pt idx="16">
                  <c:v>119624.54838709677</c:v>
                </c:pt>
                <c:pt idx="17">
                  <c:v>162537.36666666667</c:v>
                </c:pt>
                <c:pt idx="18">
                  <c:v>124062.67741935483</c:v>
                </c:pt>
                <c:pt idx="19">
                  <c:v>153120.48387096773</c:v>
                </c:pt>
                <c:pt idx="20">
                  <c:v>106283.66666666667</c:v>
                </c:pt>
                <c:pt idx="21">
                  <c:v>101548.87096774194</c:v>
                </c:pt>
                <c:pt idx="22">
                  <c:v>93521.600000000006</c:v>
                </c:pt>
                <c:pt idx="23">
                  <c:v>123557.6129032258</c:v>
                </c:pt>
                <c:pt idx="24">
                  <c:v>133714.38709677418</c:v>
                </c:pt>
                <c:pt idx="25">
                  <c:v>141543.14285714287</c:v>
                </c:pt>
                <c:pt idx="26">
                  <c:v>184224.83870967742</c:v>
                </c:pt>
                <c:pt idx="27">
                  <c:v>147864.96666666667</c:v>
                </c:pt>
                <c:pt idx="28">
                  <c:v>142630.25806451612</c:v>
                </c:pt>
                <c:pt idx="29">
                  <c:v>124741.83333333333</c:v>
                </c:pt>
                <c:pt idx="30">
                  <c:v>121156.87096774194</c:v>
                </c:pt>
                <c:pt idx="31">
                  <c:v>128522.09677419355</c:v>
                </c:pt>
                <c:pt idx="32">
                  <c:v>129836.63333333333</c:v>
                </c:pt>
                <c:pt idx="33">
                  <c:v>117366.67741935483</c:v>
                </c:pt>
                <c:pt idx="34">
                  <c:v>134689.1</c:v>
                </c:pt>
                <c:pt idx="35">
                  <c:v>112393.35483870968</c:v>
                </c:pt>
                <c:pt idx="36">
                  <c:v>112976.09677419355</c:v>
                </c:pt>
                <c:pt idx="37">
                  <c:v>148310.78571428571</c:v>
                </c:pt>
                <c:pt idx="38">
                  <c:v>144024.06451612903</c:v>
                </c:pt>
                <c:pt idx="39">
                  <c:v>129890.06666666667</c:v>
                </c:pt>
                <c:pt idx="40">
                  <c:v>112476.94736842105</c:v>
                </c:pt>
                <c:pt idx="41">
                  <c:v>122112.73913043478</c:v>
                </c:pt>
                <c:pt idx="42">
                  <c:v>96379.193548387091</c:v>
                </c:pt>
                <c:pt idx="43">
                  <c:v>96027.161290322576</c:v>
                </c:pt>
                <c:pt idx="44">
                  <c:v>107977.43333333333</c:v>
                </c:pt>
                <c:pt idx="45">
                  <c:v>84809.06451612903</c:v>
                </c:pt>
                <c:pt idx="46">
                  <c:v>95496.8</c:v>
                </c:pt>
                <c:pt idx="47">
                  <c:v>91050.225806451606</c:v>
                </c:pt>
                <c:pt idx="48">
                  <c:v>101525</c:v>
                </c:pt>
                <c:pt idx="49">
                  <c:v>64147.928571428572</c:v>
                </c:pt>
                <c:pt idx="50">
                  <c:v>114699.06451612903</c:v>
                </c:pt>
                <c:pt idx="51">
                  <c:v>81154.833333333328</c:v>
                </c:pt>
                <c:pt idx="52">
                  <c:v>83027.290322580651</c:v>
                </c:pt>
                <c:pt idx="53">
                  <c:v>63647.966666666667</c:v>
                </c:pt>
                <c:pt idx="54">
                  <c:v>56212.290322580644</c:v>
                </c:pt>
                <c:pt idx="55">
                  <c:v>64476.258064516129</c:v>
                </c:pt>
                <c:pt idx="56">
                  <c:v>65675.03333333334</c:v>
                </c:pt>
                <c:pt idx="57">
                  <c:v>61837.612903225803</c:v>
                </c:pt>
                <c:pt idx="58">
                  <c:v>63012.033333333333</c:v>
                </c:pt>
                <c:pt idx="59">
                  <c:v>60224.451612903227</c:v>
                </c:pt>
                <c:pt idx="60">
                  <c:v>56784.741935483871</c:v>
                </c:pt>
                <c:pt idx="61">
                  <c:v>61701.448275862072</c:v>
                </c:pt>
                <c:pt idx="62">
                  <c:v>52409.741935483871</c:v>
                </c:pt>
                <c:pt idx="63">
                  <c:v>51018.5</c:v>
                </c:pt>
                <c:pt idx="64">
                  <c:v>59281.322580645159</c:v>
                </c:pt>
                <c:pt idx="65">
                  <c:v>70808.133333333331</c:v>
                </c:pt>
                <c:pt idx="66">
                  <c:v>58175.483870967742</c:v>
                </c:pt>
                <c:pt idx="67">
                  <c:v>59531.032258064515</c:v>
                </c:pt>
                <c:pt idx="68">
                  <c:v>49398.6</c:v>
                </c:pt>
                <c:pt idx="69">
                  <c:v>55173.096774193546</c:v>
                </c:pt>
                <c:pt idx="70">
                  <c:v>64474.55</c:v>
                </c:pt>
              </c:numCache>
            </c:numRef>
          </c:val>
          <c:smooth val="0"/>
          <c:extLst>
            <c:ext xmlns:c16="http://schemas.microsoft.com/office/drawing/2014/chart" uri="{C3380CC4-5D6E-409C-BE32-E72D297353CC}">
              <c16:uniqueId val="{00000002-6CC1-4AB1-AB0C-8062C70CD83C}"/>
            </c:ext>
          </c:extLst>
        </c:ser>
        <c:dLbls>
          <c:showLegendKey val="0"/>
          <c:showVal val="0"/>
          <c:showCatName val="0"/>
          <c:showSerName val="0"/>
          <c:showPercent val="0"/>
          <c:showBubbleSize val="0"/>
        </c:dLbls>
        <c:marker val="1"/>
        <c:smooth val="0"/>
        <c:axId val="938267432"/>
        <c:axId val="1085097088"/>
      </c:lineChart>
      <c:dateAx>
        <c:axId val="938267432"/>
        <c:scaling>
          <c:orientation val="minMax"/>
          <c:min val="42005"/>
        </c:scaling>
        <c:delete val="0"/>
        <c:axPos val="b"/>
        <c:numFmt formatCode="[$-409]mmm\-yy;@" sourceLinked="0"/>
        <c:majorTickMark val="in"/>
        <c:minorTickMark val="none"/>
        <c:tickLblPos val="nextTo"/>
        <c:spPr>
          <a:ln>
            <a:solidFill>
              <a:srgbClr val="707C8A"/>
            </a:solidFill>
            <a:prstDash val="solid"/>
          </a:ln>
        </c:spPr>
        <c:txPr>
          <a:bodyPr rot="0" vert="horz"/>
          <a:lstStyle/>
          <a:p>
            <a:pPr>
              <a:defRPr sz="700" b="0">
                <a:latin typeface="Arial"/>
                <a:ea typeface="Arial"/>
                <a:cs typeface="Arial"/>
              </a:defRPr>
            </a:pPr>
            <a:endParaRPr lang="en-US"/>
          </a:p>
        </c:txPr>
        <c:crossAx val="1085097088"/>
        <c:crosses val="autoZero"/>
        <c:auto val="1"/>
        <c:lblOffset val="100"/>
        <c:baseTimeUnit val="months"/>
        <c:majorUnit val="3"/>
        <c:majorTimeUnit val="months"/>
      </c:dateAx>
      <c:valAx>
        <c:axId val="1085097088"/>
        <c:scaling>
          <c:orientation val="minMax"/>
          <c:max val="120000"/>
        </c:scaling>
        <c:delete val="0"/>
        <c:axPos val="l"/>
        <c:majorGridlines>
          <c:spPr>
            <a:ln w="3175">
              <a:solidFill>
                <a:srgbClr val="707C8A"/>
              </a:solidFill>
              <a:prstDash val="solid"/>
            </a:ln>
          </c:spPr>
        </c:majorGridlines>
        <c:numFmt formatCode="#,##0" sourceLinked="0"/>
        <c:majorTickMark val="none"/>
        <c:minorTickMark val="none"/>
        <c:tickLblPos val="nextTo"/>
        <c:spPr>
          <a:ln>
            <a:solidFill>
              <a:srgbClr val="707C8A"/>
            </a:solidFill>
            <a:prstDash val="solid"/>
          </a:ln>
        </c:spPr>
        <c:txPr>
          <a:bodyPr/>
          <a:lstStyle/>
          <a:p>
            <a:pPr>
              <a:defRPr sz="700" b="0">
                <a:latin typeface="Arial"/>
                <a:ea typeface="Arial"/>
                <a:cs typeface="Arial"/>
              </a:defRPr>
            </a:pPr>
            <a:endParaRPr lang="en-US"/>
          </a:p>
        </c:txPr>
        <c:crossAx val="938267432"/>
        <c:crosses val="autoZero"/>
        <c:crossBetween val="midCat"/>
      </c:valAx>
      <c:spPr>
        <a:noFill/>
        <a:ln>
          <a:noFill/>
        </a:ln>
      </c:spPr>
    </c:plotArea>
    <c:legend>
      <c:legendPos val="b"/>
      <c:layout>
        <c:manualLayout>
          <c:xMode val="edge"/>
          <c:yMode val="edge"/>
          <c:x val="5.1313131313131428E-2"/>
          <c:y val="0.8480327704061118"/>
          <c:w val="0.91292848020434225"/>
          <c:h val="8.8135303578608881E-2"/>
        </c:manualLayout>
      </c:layout>
      <c:overlay val="0"/>
      <c:txPr>
        <a:bodyPr/>
        <a:lstStyle/>
        <a:p>
          <a:pPr>
            <a:defRPr sz="700" b="0">
              <a:solidFill>
                <a:srgbClr val="000000"/>
              </a:solidFill>
              <a:latin typeface="Arial"/>
            </a:defRPr>
          </a:pPr>
          <a:endParaRPr lang="en-US"/>
        </a:p>
      </c:txPr>
    </c:legend>
    <c:plotVisOnly val="1"/>
    <c:dispBlanksAs val="gap"/>
    <c:showDLblsOverMax val="0"/>
  </c:chart>
  <c:spPr>
    <a:noFill/>
    <a:ln w="6350" cmpd="sng">
      <a:solidFill>
        <a:srgbClr val="707C8A"/>
      </a:solidFill>
      <a:prstDash val="solid"/>
    </a:ln>
  </c:spPr>
  <c:txPr>
    <a:bodyPr/>
    <a:lstStyle/>
    <a:p>
      <a:pPr>
        <a:defRPr sz="700">
          <a:latin typeface="Arial" pitchFamily="34" charset="0"/>
          <a:cs typeface="Arial" pitchFamily="34" charset="0"/>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127194</xdr:colOff>
      <xdr:row>13</xdr:row>
      <xdr:rowOff>136712</xdr:rowOff>
    </xdr:from>
    <xdr:to>
      <xdr:col>4</xdr:col>
      <xdr:colOff>295596</xdr:colOff>
      <xdr:row>26</xdr:row>
      <xdr:rowOff>70037</xdr:rowOff>
    </xdr:to>
    <xdr:graphicFrame macro="">
      <xdr:nvGraphicFramePr>
        <xdr:cNvPr id="2" name="Chart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rot="16200000">
          <a:off x="3369252" y="90233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300-000004000000}"/>
            </a:ext>
          </a:extLst>
        </xdr:cNvPr>
        <xdr:cNvSpPr txBox="1"/>
      </xdr:nvSpPr>
      <xdr:spPr>
        <a:xfrm>
          <a:off x="313203" y="103279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300-000005000000}"/>
            </a:ext>
          </a:extLst>
        </xdr:cNvPr>
        <xdr:cNvSpPr/>
      </xdr:nvSpPr>
      <xdr:spPr>
        <a:xfrm>
          <a:off x="2738130" y="106226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300-000006000000}"/>
            </a:ext>
          </a:extLst>
        </xdr:cNvPr>
        <xdr:cNvSpPr txBox="1"/>
      </xdr:nvSpPr>
      <xdr:spPr>
        <a:xfrm>
          <a:off x="313203" y="94392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300-0000019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236546" name="Button 2" hidden="1">
              <a:extLst>
                <a:ext uri="{63B3BB69-23CF-44E3-9099-C40C66FF867C}">
                  <a14:compatExt spid="_x0000_s236546"/>
                </a:ext>
                <a:ext uri="{FF2B5EF4-FFF2-40B4-BE49-F238E27FC236}">
                  <a16:creationId xmlns:a16="http://schemas.microsoft.com/office/drawing/2014/main" id="{00000000-0008-0000-0300-0000029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236547" name="Button 3" hidden="1">
              <a:extLst>
                <a:ext uri="{63B3BB69-23CF-44E3-9099-C40C66FF867C}">
                  <a14:compatExt spid="_x0000_s236547"/>
                </a:ext>
                <a:ext uri="{FF2B5EF4-FFF2-40B4-BE49-F238E27FC236}">
                  <a16:creationId xmlns:a16="http://schemas.microsoft.com/office/drawing/2014/main" id="{00000000-0008-0000-0300-0000039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236548" name="Button 4" hidden="1">
              <a:extLst>
                <a:ext uri="{63B3BB69-23CF-44E3-9099-C40C66FF867C}">
                  <a14:compatExt spid="_x0000_s236548"/>
                </a:ext>
                <a:ext uri="{FF2B5EF4-FFF2-40B4-BE49-F238E27FC236}">
                  <a16:creationId xmlns:a16="http://schemas.microsoft.com/office/drawing/2014/main" id="{00000000-0008-0000-0300-0000049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7</xdr:col>
          <xdr:colOff>0</xdr:colOff>
          <xdr:row>17</xdr:row>
          <xdr:rowOff>60960</xdr:rowOff>
        </xdr:to>
        <xdr:sp macro="" textlink="">
          <xdr:nvSpPr>
            <xdr:cNvPr id="236549" name="Button 5" hidden="1">
              <a:extLst>
                <a:ext uri="{63B3BB69-23CF-44E3-9099-C40C66FF867C}">
                  <a14:compatExt spid="_x0000_s236549"/>
                </a:ext>
                <a:ext uri="{FF2B5EF4-FFF2-40B4-BE49-F238E27FC236}">
                  <a16:creationId xmlns:a16="http://schemas.microsoft.com/office/drawing/2014/main" id="{00000000-0008-0000-0300-0000059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106680</xdr:rowOff>
        </xdr:from>
        <xdr:to>
          <xdr:col>7</xdr:col>
          <xdr:colOff>0</xdr:colOff>
          <xdr:row>21</xdr:row>
          <xdr:rowOff>0</xdr:rowOff>
        </xdr:to>
        <xdr:sp macro="" textlink="">
          <xdr:nvSpPr>
            <xdr:cNvPr id="236550" name="Button 6" hidden="1">
              <a:extLst>
                <a:ext uri="{63B3BB69-23CF-44E3-9099-C40C66FF867C}">
                  <a14:compatExt spid="_x0000_s236550"/>
                </a:ext>
                <a:ext uri="{FF2B5EF4-FFF2-40B4-BE49-F238E27FC236}">
                  <a16:creationId xmlns:a16="http://schemas.microsoft.com/office/drawing/2014/main" id="{00000000-0008-0000-0300-0000069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Next page</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5.42568E-6</cdr:y>
    </cdr:from>
    <cdr:to>
      <cdr:x>1</cdr:x>
      <cdr:y>0.09762</cdr:y>
    </cdr:to>
    <cdr:sp macro="" textlink="'Natural Gas'!$C$4">
      <cdr:nvSpPr>
        <cdr:cNvPr id="2" name="txtboxChartTitle"/>
        <cdr:cNvSpPr txBox="1"/>
      </cdr:nvSpPr>
      <cdr:spPr>
        <a:xfrm xmlns:a="http://schemas.openxmlformats.org/drawingml/2006/main">
          <a:off x="0" y="12"/>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Henry Hub natural gas futures</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Natural Gas'!$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CME,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0.56007</cdr:x>
      <cdr:y>0.91961</cdr:y>
    </cdr:from>
    <cdr:to>
      <cdr:x>1</cdr:x>
      <cdr:y>1</cdr:y>
    </cdr:to>
    <cdr:sp macro="" textlink="'Natural Gas'!$C$12">
      <cdr:nvSpPr>
        <cdr:cNvPr id="4" name="txtboxCopyrightLine"/>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9E5077ED-46E9-473A-9F30-30C75E2FF10E}" type="TxLink">
            <a:rPr lang="en-US" sz="600" b="0" i="0" u="none" strike="noStrike" baseline="0">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0.35985</cdr:x>
      <cdr:y>0.29328</cdr:y>
    </cdr:from>
    <cdr:to>
      <cdr:x>0.64015</cdr:x>
      <cdr:y>0.70672</cdr:y>
    </cdr:to>
    <cdr:sp macro="" textlink="">
      <cdr:nvSpPr>
        <cdr:cNvPr id="3" name="TextBox 2">
          <a:extLst xmlns:a="http://schemas.openxmlformats.org/drawingml/2006/main">
            <a:ext uri="{FF2B5EF4-FFF2-40B4-BE49-F238E27FC236}">
              <a16:creationId xmlns:a16="http://schemas.microsoft.com/office/drawing/2014/main" id="{34F41EE9-5FC2-4320-B291-FD38AB28AFFC}"/>
            </a:ext>
          </a:extLst>
        </cdr:cNvPr>
        <cdr:cNvSpPr txBox="1"/>
      </cdr:nvSpPr>
      <cdr:spPr>
        <a:xfrm xmlns:a="http://schemas.openxmlformats.org/drawingml/2006/main">
          <a:off x="1173861" y="648652"/>
          <a:ext cx="914400" cy="9144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lIns="72000" tIns="72000" rIns="72000" bIns="72000" rtlCol="0">
          <a:noAutofit/>
        </a:bodyPr>
        <a:lstStyle xmlns:a="http://schemas.openxmlformats.org/drawingml/2006/main"/>
        <a:p xmlns:a="http://schemas.openxmlformats.org/drawingml/2006/main">
          <a:endParaRPr lang="en-US" sz="700" dirty="0" err="1">
            <a:solidFill>
              <a:srgbClr val="000000"/>
            </a:solidFill>
            <a:latin typeface="Arial" panose="020B0604020202020204" pitchFamily="34" charset="0"/>
          </a:endParaRPr>
        </a:p>
      </cdr:txBody>
    </cdr:sp>
  </cdr:relSizeAnchor>
  <cdr:relSizeAnchor xmlns:cdr="http://schemas.openxmlformats.org/drawingml/2006/chartDrawing">
    <cdr:from>
      <cdr:x>0</cdr:x>
      <cdr:y>0.15504</cdr:y>
    </cdr:from>
    <cdr:to>
      <cdr:x>0.06618</cdr:x>
      <cdr:y>0.6948</cdr:y>
    </cdr:to>
    <cdr:sp macro="" textlink="">
      <cdr:nvSpPr>
        <cdr:cNvPr id="5" name="txtBoxPrimaryYAxisLabel">
          <a:extLst xmlns:a="http://schemas.openxmlformats.org/drawingml/2006/main">
            <a:ext uri="{FF2B5EF4-FFF2-40B4-BE49-F238E27FC236}">
              <a16:creationId xmlns:a16="http://schemas.microsoft.com/office/drawing/2014/main" id="{AF4767B0-AE24-4DFF-9C3C-978BBEBD4593}"/>
            </a:ext>
          </a:extLst>
        </cdr:cNvPr>
        <cdr:cNvSpPr txBox="1"/>
      </cdr:nvSpPr>
      <cdr:spPr>
        <a:xfrm xmlns:a="http://schemas.openxmlformats.org/drawingml/2006/main" rot="16200000">
          <a:off x="-488950" y="831850"/>
          <a:ext cx="1193800" cy="215900"/>
        </a:xfrm>
        <a:prstGeom xmlns:a="http://schemas.openxmlformats.org/drawingml/2006/main" prst="rect">
          <a:avLst/>
        </a:prstGeom>
      </cdr:spPr>
      <cdr:txBody>
        <a:bodyPr xmlns:a="http://schemas.openxmlformats.org/drawingml/2006/main" vertOverflow="clip" vert="horz" lIns="76200" tIns="76200" rIns="76200" bIns="76200" rtlCol="0" anchor="t"/>
        <a:lstStyle xmlns:a="http://schemas.openxmlformats.org/drawingml/2006/main"/>
        <a:p xmlns:a="http://schemas.openxmlformats.org/drawingml/2006/main">
          <a:pPr algn="ctr" eaLnBrk="1"/>
          <a:r>
            <a:rPr lang="en-US" sz="700" b="0">
              <a:solidFill>
                <a:srgbClr val="000000"/>
              </a:solidFill>
              <a:latin typeface="Arial" panose="020B0604020202020204" pitchFamily="34" charset="0"/>
            </a:rPr>
            <a:t>$US/mm</a:t>
          </a:r>
          <a:r>
            <a:rPr lang="en-US" sz="700" b="0" baseline="0">
              <a:solidFill>
                <a:srgbClr val="000000"/>
              </a:solidFill>
              <a:latin typeface="Arial" panose="020B0604020202020204" pitchFamily="34" charset="0"/>
            </a:rPr>
            <a:t>Btu</a:t>
          </a:r>
          <a:r>
            <a:rPr lang="en-US" sz="700" b="0">
              <a:solidFill>
                <a:srgbClr val="000000"/>
              </a:solidFill>
              <a:latin typeface="Arial" panose="020B0604020202020204" pitchFamily="34" charset="0"/>
            </a:rPr>
            <a:t> </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66234</xdr:colOff>
      <xdr:row>13</xdr:row>
      <xdr:rowOff>113852</xdr:rowOff>
    </xdr:from>
    <xdr:to>
      <xdr:col>4</xdr:col>
      <xdr:colOff>234636</xdr:colOff>
      <xdr:row>26</xdr:row>
      <xdr:rowOff>47177</xdr:rowOff>
    </xdr:to>
    <xdr:graphicFrame macro="">
      <xdr:nvGraphicFramePr>
        <xdr:cNvPr id="2" name="Chart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400-000003000000}"/>
            </a:ext>
          </a:extLst>
        </xdr:cNvPr>
        <xdr:cNvCxnSpPr/>
      </xdr:nvCxnSpPr>
      <xdr:spPr>
        <a:xfrm rot="16200000">
          <a:off x="3369252" y="8956675"/>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400-000004000000}"/>
            </a:ext>
          </a:extLst>
        </xdr:cNvPr>
        <xdr:cNvSpPr txBox="1"/>
      </xdr:nvSpPr>
      <xdr:spPr>
        <a:xfrm>
          <a:off x="313203" y="10261226"/>
          <a:ext cx="2047315" cy="464484"/>
        </a:xfrm>
        <a:prstGeom prst="rect">
          <a:avLst/>
        </a:prstGeom>
        <a:noFill/>
        <a:ln w="19050" cmpd="sng">
          <a:no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b="0" i="0" baseline="0">
              <a:solidFill>
                <a:schemeClr val="accent5"/>
              </a:solidFill>
              <a:latin typeface="+mn-lt"/>
              <a:ea typeface="+mn-ea"/>
              <a:cs typeface="+mn-cs"/>
            </a:rPr>
            <a:t>ILB 11,500 Btu, 5.2 SO2, barge</a:t>
          </a:r>
        </a:p>
        <a:p>
          <a:endParaRPr lang="en-US" sz="1200">
            <a:solidFill>
              <a:schemeClr val="accent5"/>
            </a:solidFill>
          </a:endParaRPr>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400-000005000000}"/>
            </a:ext>
          </a:extLst>
        </xdr:cNvPr>
        <xdr:cNvSpPr/>
      </xdr:nvSpPr>
      <xdr:spPr>
        <a:xfrm>
          <a:off x="2738130" y="10555942"/>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400-000006000000}"/>
            </a:ext>
          </a:extLst>
        </xdr:cNvPr>
        <xdr:cNvSpPr txBox="1"/>
      </xdr:nvSpPr>
      <xdr:spPr>
        <a:xfrm>
          <a:off x="313203" y="9372600"/>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0400-000001A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45720</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0400-000002A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7620</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0400-000003A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22860</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0400-000004A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xdr:twoCellAnchor>
    <xdr:from>
      <xdr:col>1</xdr:col>
      <xdr:colOff>0</xdr:colOff>
      <xdr:row>31</xdr:row>
      <xdr:rowOff>0</xdr:rowOff>
    </xdr:from>
    <xdr:to>
      <xdr:col>4</xdr:col>
      <xdr:colOff>26850</xdr:colOff>
      <xdr:row>47</xdr:row>
      <xdr:rowOff>50700</xdr:rowOff>
    </xdr:to>
    <xdr:graphicFrame macro="">
      <xdr:nvGraphicFramePr>
        <xdr:cNvPr id="11" name="Chart1">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31</xdr:row>
      <xdr:rowOff>0</xdr:rowOff>
    </xdr:from>
    <xdr:to>
      <xdr:col>7</xdr:col>
      <xdr:colOff>1636575</xdr:colOff>
      <xdr:row>47</xdr:row>
      <xdr:rowOff>50700</xdr:rowOff>
    </xdr:to>
    <xdr:graphicFrame macro="">
      <xdr:nvGraphicFramePr>
        <xdr:cNvPr id="12" name="Chart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15</xdr:row>
          <xdr:rowOff>0</xdr:rowOff>
        </xdr:from>
        <xdr:to>
          <xdr:col>7</xdr:col>
          <xdr:colOff>0</xdr:colOff>
          <xdr:row>17</xdr:row>
          <xdr:rowOff>60960</xdr:rowOff>
        </xdr:to>
        <xdr:sp macro="" textlink="">
          <xdr:nvSpPr>
            <xdr:cNvPr id="239623" name="Button 7" hidden="1">
              <a:extLst>
                <a:ext uri="{63B3BB69-23CF-44E3-9099-C40C66FF867C}">
                  <a14:compatExt spid="_x0000_s239623"/>
                </a:ext>
                <a:ext uri="{FF2B5EF4-FFF2-40B4-BE49-F238E27FC236}">
                  <a16:creationId xmlns:a16="http://schemas.microsoft.com/office/drawing/2014/main" id="{00000000-0008-0000-0400-000007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106680</xdr:rowOff>
        </xdr:from>
        <xdr:to>
          <xdr:col>7</xdr:col>
          <xdr:colOff>0</xdr:colOff>
          <xdr:row>21</xdr:row>
          <xdr:rowOff>0</xdr:rowOff>
        </xdr:to>
        <xdr:sp macro="" textlink="">
          <xdr:nvSpPr>
            <xdr:cNvPr id="239624" name="Button 8" hidden="1">
              <a:extLst>
                <a:ext uri="{63B3BB69-23CF-44E3-9099-C40C66FF867C}">
                  <a14:compatExt spid="_x0000_s239624"/>
                </a:ext>
                <a:ext uri="{FF2B5EF4-FFF2-40B4-BE49-F238E27FC236}">
                  <a16:creationId xmlns:a16="http://schemas.microsoft.com/office/drawing/2014/main" id="{00000000-0008-0000-0400-000008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Next page</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5.42568E-6</cdr:y>
    </cdr:from>
    <cdr:to>
      <cdr:x>1</cdr:x>
      <cdr:y>0.09762</cdr:y>
    </cdr:to>
    <cdr:sp macro="" textlink="PRB_ILB_NAPP!$C$4">
      <cdr:nvSpPr>
        <cdr:cNvPr id="2" name="txtboxChartTitle"/>
        <cdr:cNvSpPr txBox="1"/>
      </cdr:nvSpPr>
      <cdr:spPr>
        <a:xfrm xmlns:a="http://schemas.openxmlformats.org/drawingml/2006/main">
          <a:off x="0" y="12"/>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Financial forwards</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PRB_ILB_NAPP!$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Coaldesk, LLC,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6.13098E-7</cdr:x>
      <cdr:y>0.09478</cdr:y>
    </cdr:from>
    <cdr:to>
      <cdr:x>0.06618</cdr:x>
      <cdr:y>0.75162</cdr:y>
    </cdr:to>
    <cdr:sp macro="" textlink="PRB_ILB_NAPP!$C$10">
      <cdr:nvSpPr>
        <cdr:cNvPr id="5" name="txtBoxPrimaryYAxisLabel"/>
        <cdr:cNvSpPr txBox="1"/>
      </cdr:nvSpPr>
      <cdr:spPr>
        <a:xfrm xmlns:a="http://schemas.openxmlformats.org/drawingml/2006/main" rot="16200000">
          <a:off x="-618417" y="828043"/>
          <a:ext cx="1452737"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0" i="0" u="none" strike="noStrike" dirty="0" err="1" smtClean="0">
              <a:solidFill>
                <a:srgbClr val="000000"/>
              </a:solidFill>
              <a:latin typeface="Arial" panose="020B0604020202020204" pitchFamily="34" charset="0"/>
              <a:cs typeface="Arial"/>
            </a:rPr>
            <a:pPr algn="ctr"/>
            <a:t>$US/short ton</a:t>
          </a:fld>
          <a:endParaRPr lang="en-US" sz="700" b="0" dirty="0" err="1">
            <a:solidFill>
              <a:srgbClr val="000000"/>
            </a:solidFill>
            <a:latin typeface="Arial" panose="020B0604020202020204" pitchFamily="34" charset="0"/>
          </a:endParaRPr>
        </a:p>
      </cdr:txBody>
    </cdr:sp>
  </cdr:relSizeAnchor>
  <cdr:relSizeAnchor xmlns:cdr="http://schemas.openxmlformats.org/drawingml/2006/chartDrawing">
    <cdr:from>
      <cdr:x>0.39548</cdr:x>
      <cdr:y>0.13457</cdr:y>
    </cdr:from>
    <cdr:to>
      <cdr:x>0.95142</cdr:x>
      <cdr:y>0.25212</cdr:y>
    </cdr:to>
    <cdr:sp macro="" textlink="">
      <cdr:nvSpPr>
        <cdr:cNvPr id="7" name="TextBox 1">
          <a:extLst xmlns:a="http://schemas.openxmlformats.org/drawingml/2006/main">
            <a:ext uri="{FF2B5EF4-FFF2-40B4-BE49-F238E27FC236}">
              <a16:creationId xmlns:a16="http://schemas.microsoft.com/office/drawing/2014/main" id="{00000000-0008-0000-0400-000004000000}"/>
            </a:ext>
          </a:extLst>
        </cdr:cNvPr>
        <cdr:cNvSpPr txBox="1"/>
      </cdr:nvSpPr>
      <cdr:spPr>
        <a:xfrm xmlns:a="http://schemas.openxmlformats.org/drawingml/2006/main">
          <a:off x="1290117" y="297629"/>
          <a:ext cx="1813544" cy="259986"/>
        </a:xfrm>
        <a:prstGeom xmlns:a="http://schemas.openxmlformats.org/drawingml/2006/main" prst="rect">
          <a:avLst/>
        </a:prstGeom>
        <a:noFill xmlns:a="http://schemas.openxmlformats.org/drawingml/2006/main"/>
        <a:ln xmlns:a="http://schemas.openxmlformats.org/drawingml/2006/main" w="19050" cmpd="sng">
          <a:noFill/>
          <a:prstDash val="solid"/>
        </a:ln>
      </cdr:spPr>
      <cdr:txBody>
        <a:bodyPr xmlns:a="http://schemas.openxmlformats.org/drawingml/2006/main" vert="horz"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1" i="0" baseline="0">
              <a:solidFill>
                <a:srgbClr val="000000"/>
              </a:solidFill>
              <a:latin typeface="Arial" panose="020B0604020202020204" pitchFamily="34" charset="0"/>
              <a:ea typeface="+mn-ea"/>
              <a:cs typeface="+mn-cs"/>
            </a:rPr>
            <a:t>Napp 13,000 Btu, 4.0 SO2, rail </a:t>
          </a:r>
        </a:p>
        <a:p xmlns:a="http://schemas.openxmlformats.org/drawingml/2006/main">
          <a:endParaRPr lang="en-US" sz="700" b="1">
            <a:solidFill>
              <a:srgbClr val="000000"/>
            </a:solidFill>
            <a:latin typeface="Arial" panose="020B0604020202020204" pitchFamily="34" charset="0"/>
          </a:endParaRPr>
        </a:p>
      </cdr:txBody>
    </cdr:sp>
  </cdr:relSizeAnchor>
  <cdr:relSizeAnchor xmlns:cdr="http://schemas.openxmlformats.org/drawingml/2006/chartDrawing">
    <cdr:from>
      <cdr:x>0.17908</cdr:x>
      <cdr:y>0.58069</cdr:y>
    </cdr:from>
    <cdr:to>
      <cdr:x>0.70616</cdr:x>
      <cdr:y>0.67871</cdr:y>
    </cdr:to>
    <cdr:sp macro="" textlink="">
      <cdr:nvSpPr>
        <cdr:cNvPr id="8" name="TextBox 1">
          <a:extLst xmlns:a="http://schemas.openxmlformats.org/drawingml/2006/main">
            <a:ext uri="{FF2B5EF4-FFF2-40B4-BE49-F238E27FC236}">
              <a16:creationId xmlns:a16="http://schemas.microsoft.com/office/drawing/2014/main" id="{00000000-0008-0000-0400-000004000000}"/>
            </a:ext>
          </a:extLst>
        </cdr:cNvPr>
        <cdr:cNvSpPr txBox="1"/>
      </cdr:nvSpPr>
      <cdr:spPr>
        <a:xfrm xmlns:a="http://schemas.openxmlformats.org/drawingml/2006/main">
          <a:off x="584185" y="1284307"/>
          <a:ext cx="1719399" cy="216791"/>
        </a:xfrm>
        <a:prstGeom xmlns:a="http://schemas.openxmlformats.org/drawingml/2006/main" prst="rect">
          <a:avLst/>
        </a:prstGeom>
        <a:noFill xmlns:a="http://schemas.openxmlformats.org/drawingml/2006/main"/>
        <a:ln xmlns:a="http://schemas.openxmlformats.org/drawingml/2006/main" w="19050" cmpd="sng">
          <a:noFill/>
          <a:prstDash val="solid"/>
        </a:ln>
      </cdr:spPr>
      <cdr:txBody>
        <a:bodyPr xmlns:a="http://schemas.openxmlformats.org/drawingml/2006/main" vert="horz"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1" i="0" baseline="0">
              <a:solidFill>
                <a:srgbClr val="000000"/>
              </a:solidFill>
              <a:latin typeface="Arial" panose="020B0604020202020204" pitchFamily="34" charset="0"/>
              <a:ea typeface="+mn-ea"/>
              <a:cs typeface="+mn-cs"/>
            </a:rPr>
            <a:t>ILB 11,500 Btu, 5.2 SO2, barge</a:t>
          </a:r>
        </a:p>
        <a:p xmlns:a="http://schemas.openxmlformats.org/drawingml/2006/main">
          <a:endParaRPr lang="en-US" sz="700">
            <a:solidFill>
              <a:srgbClr val="000000"/>
            </a:solidFill>
            <a:latin typeface="Arial" panose="020B0604020202020204" pitchFamily="34" charset="0"/>
          </a:endParaRPr>
        </a:p>
      </cdr:txBody>
    </cdr:sp>
  </cdr:relSizeAnchor>
  <cdr:relSizeAnchor xmlns:cdr="http://schemas.openxmlformats.org/drawingml/2006/chartDrawing">
    <cdr:from>
      <cdr:x>0.56007</cdr:x>
      <cdr:y>0.91961</cdr:y>
    </cdr:from>
    <cdr:to>
      <cdr:x>1</cdr:x>
      <cdr:y>1</cdr:y>
    </cdr:to>
    <cdr:sp macro="" textlink="">
      <cdr:nvSpPr>
        <cdr:cNvPr id="10" name="txtboxCopyrightLine">
          <a:extLst xmlns:a="http://schemas.openxmlformats.org/drawingml/2006/main">
            <a:ext uri="{FF2B5EF4-FFF2-40B4-BE49-F238E27FC236}">
              <a16:creationId xmlns:a16="http://schemas.microsoft.com/office/drawing/2014/main" id="{58DD1390-8718-40DA-A4E0-D6D25C3C078D}"/>
            </a:ext>
          </a:extLst>
        </cdr:cNvPr>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9E5077ED-46E9-473A-9F30-30C75E2FF10E}" type="TxLink">
            <a:rPr lang="en-US" sz="600" b="0" i="0" u="none" strike="noStrike" baseline="0">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cdr:x>
      <cdr:y>5.69629E-6</cdr:y>
    </cdr:from>
    <cdr:to>
      <cdr:x>1</cdr:x>
      <cdr:y>0.07235</cdr:y>
    </cdr:to>
    <cdr:sp macro="" textlink="PRB_ILB_NAPP!$C$4">
      <cdr:nvSpPr>
        <cdr:cNvPr id="2" name="txtboxChartTitle"/>
        <cdr:cNvSpPr txBox="1"/>
      </cdr:nvSpPr>
      <cdr:spPr>
        <a:xfrm xmlns:a="http://schemas.openxmlformats.org/drawingml/2006/main">
          <a:off x="0" y="17"/>
          <a:ext cx="3132000" cy="215900"/>
        </a:xfrm>
        <a:prstGeom xmlns:a="http://schemas.openxmlformats.org/drawingml/2006/main" prst="rect">
          <a:avLst/>
        </a:prstGeom>
        <a:solidFill xmlns:a="http://schemas.openxmlformats.org/drawingml/2006/main">
          <a:srgbClr val="707C8A"/>
        </a:solidFill>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FFFFFF"/>
              </a:solidFill>
              <a:latin typeface="Arial"/>
              <a:cs typeface="Arial" pitchFamily="34" charset="0"/>
            </a:rPr>
            <a:pPr algn="l"/>
            <a:t>Financial forwards</a:t>
          </a:fld>
          <a:endParaRPr lang="en-US" sz="900" b="1">
            <a:solidFill>
              <a:srgbClr val="FFFFFF"/>
            </a:solidFill>
            <a:latin typeface="Arial"/>
            <a:cs typeface="Arial" pitchFamily="34" charset="0"/>
          </a:endParaRPr>
        </a:p>
      </cdr:txBody>
    </cdr:sp>
  </cdr:relSizeAnchor>
  <cdr:relSizeAnchor xmlns:cdr="http://schemas.openxmlformats.org/drawingml/2006/chartDrawing">
    <cdr:from>
      <cdr:x>0</cdr:x>
      <cdr:y>0.94042</cdr:y>
    </cdr:from>
    <cdr:to>
      <cdr:x>0.62644</cdr:x>
      <cdr:y>1</cdr:y>
    </cdr:to>
    <cdr:sp macro="" textlink="PRB_ILB_NAPP!$C$65">
      <cdr:nvSpPr>
        <cdr:cNvPr id="6" name="txtBoxSourceLine"/>
        <cdr:cNvSpPr txBox="1"/>
      </cdr:nvSpPr>
      <cdr:spPr>
        <a:xfrm xmlns:a="http://schemas.openxmlformats.org/drawingml/2006/main">
          <a:off x="0" y="2971800"/>
          <a:ext cx="196201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76200" rIns="76200" bIns="76200" rtlCol="0" anchor="b"/>
        <a:lstStyle xmlns:a="http://schemas.openxmlformats.org/drawingml/2006/main"/>
        <a:p xmlns:a="http://schemas.openxmlformats.org/drawingml/2006/main">
          <a:pPr algn="l"/>
          <a:fld id="{24DBBAD9-A3B3-432A-B356-912AD33ACA4E}" type="TxLink">
            <a:rPr lang="en-US" sz="500" b="0" i="0" u="none" strike="noStrike">
              <a:solidFill>
                <a:srgbClr val="707C8A"/>
              </a:solidFill>
              <a:latin typeface="Arial"/>
              <a:cs typeface="Arial" pitchFamily="34" charset="0"/>
            </a:rPr>
            <a:pPr algn="l"/>
            <a:t>Source: Coaldesk, LLC, McCloskey by OPIS</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0.54023</cdr:x>
      <cdr:y>0.93293</cdr:y>
    </cdr:from>
    <cdr:to>
      <cdr:x>1</cdr:x>
      <cdr:y>1</cdr:y>
    </cdr:to>
    <cdr:sp macro="" textlink="PRB_ILB_NAPP!$C$66">
      <cdr:nvSpPr>
        <cdr:cNvPr id="4" name="txtboxCopyrightLine"/>
        <cdr:cNvSpPr txBox="1"/>
      </cdr:nvSpPr>
      <cdr:spPr>
        <a:xfrm xmlns:a="http://schemas.openxmlformats.org/drawingml/2006/main">
          <a:off x="1727999" y="2784236"/>
          <a:ext cx="1440000" cy="200164"/>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7620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21CE0499-9908-4CFC-A76D-C993581CAE13}" type="TxLink">
            <a:rPr lang="en-US" sz="500" b="0" i="0" u="none" strike="noStrike">
              <a:solidFill>
                <a:srgbClr val="707C8A"/>
              </a:solidFill>
              <a:latin typeface="Arial"/>
              <a:cs typeface="Arial" pitchFamily="34" charset="0"/>
            </a:rPr>
            <a:pPr algn="r"/>
            <a:t>© 2022 McCloskey   </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3.19285E-7</cdr:x>
      <cdr:y>0.09478</cdr:y>
    </cdr:from>
    <cdr:to>
      <cdr:x>0.06893</cdr:x>
      <cdr:y>0.75162</cdr:y>
    </cdr:to>
    <cdr:sp macro="" textlink="PRB_ILB_NAPP!$C$10">
      <cdr:nvSpPr>
        <cdr:cNvPr id="5" name="txtBoxPrimaryYAxisLabel"/>
        <cdr:cNvSpPr txBox="1"/>
      </cdr:nvSpPr>
      <cdr:spPr>
        <a:xfrm xmlns:a="http://schemas.openxmlformats.org/drawingml/2006/main" rot="16200000">
          <a:off x="-872186" y="1155048"/>
          <a:ext cx="1960274"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1" i="0" u="none" strike="noStrike" dirty="0" err="1" smtClean="0">
              <a:solidFill>
                <a:srgbClr val="000000"/>
              </a:solidFill>
              <a:latin typeface="Arial"/>
              <a:cs typeface="Arial"/>
            </a:rPr>
            <a:pPr algn="ctr"/>
            <a:t>$US/short ton</a:t>
          </a:fld>
          <a:endParaRPr lang="en-US" sz="700" b="1" dirty="0" err="1">
            <a:solidFill>
              <a:srgbClr val="000000"/>
            </a:solidFill>
            <a:latin typeface="Aria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cdr:x>
      <cdr:y>5.69629E-6</cdr:y>
    </cdr:from>
    <cdr:to>
      <cdr:x>1</cdr:x>
      <cdr:y>0.07235</cdr:y>
    </cdr:to>
    <cdr:sp macro="" textlink="PRB_ILB_NAPP!$C$4">
      <cdr:nvSpPr>
        <cdr:cNvPr id="2" name="txtboxChartTitle"/>
        <cdr:cNvSpPr txBox="1"/>
      </cdr:nvSpPr>
      <cdr:spPr>
        <a:xfrm xmlns:a="http://schemas.openxmlformats.org/drawingml/2006/main">
          <a:off x="0" y="17"/>
          <a:ext cx="3132000" cy="215900"/>
        </a:xfrm>
        <a:prstGeom xmlns:a="http://schemas.openxmlformats.org/drawingml/2006/main" prst="rect">
          <a:avLst/>
        </a:prstGeom>
        <a:solidFill xmlns:a="http://schemas.openxmlformats.org/drawingml/2006/main">
          <a:srgbClr val="707C8A"/>
        </a:solidFill>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FFFFFF"/>
              </a:solidFill>
              <a:latin typeface="Arial"/>
              <a:cs typeface="Arial" pitchFamily="34" charset="0"/>
            </a:rPr>
            <a:pPr algn="l"/>
            <a:t>Financial forwards</a:t>
          </a:fld>
          <a:endParaRPr lang="en-US" sz="900" b="1">
            <a:solidFill>
              <a:srgbClr val="FFFFFF"/>
            </a:solidFill>
            <a:latin typeface="Arial"/>
            <a:cs typeface="Arial" pitchFamily="34" charset="0"/>
          </a:endParaRPr>
        </a:p>
      </cdr:txBody>
    </cdr:sp>
  </cdr:relSizeAnchor>
  <cdr:relSizeAnchor xmlns:cdr="http://schemas.openxmlformats.org/drawingml/2006/chartDrawing">
    <cdr:from>
      <cdr:x>0</cdr:x>
      <cdr:y>0.94042</cdr:y>
    </cdr:from>
    <cdr:to>
      <cdr:x>0.62644</cdr:x>
      <cdr:y>1</cdr:y>
    </cdr:to>
    <cdr:sp macro="" textlink="PRB_ILB_NAPP!$C$65">
      <cdr:nvSpPr>
        <cdr:cNvPr id="6" name="txtBoxSourceLine"/>
        <cdr:cNvSpPr txBox="1"/>
      </cdr:nvSpPr>
      <cdr:spPr>
        <a:xfrm xmlns:a="http://schemas.openxmlformats.org/drawingml/2006/main">
          <a:off x="0" y="2971800"/>
          <a:ext cx="196201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76200" rIns="76200" bIns="76200" rtlCol="0" anchor="b"/>
        <a:lstStyle xmlns:a="http://schemas.openxmlformats.org/drawingml/2006/main"/>
        <a:p xmlns:a="http://schemas.openxmlformats.org/drawingml/2006/main">
          <a:pPr algn="l"/>
          <a:fld id="{24DBBAD9-A3B3-432A-B356-912AD33ACA4E}" type="TxLink">
            <a:rPr lang="en-US" sz="500" b="0" i="0" u="none" strike="noStrike">
              <a:solidFill>
                <a:srgbClr val="707C8A"/>
              </a:solidFill>
              <a:latin typeface="Arial"/>
              <a:cs typeface="Arial" pitchFamily="34" charset="0"/>
            </a:rPr>
            <a:pPr algn="l"/>
            <a:t>Source: Coaldesk, LLC, McCloskey by OPIS</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0.54023</cdr:x>
      <cdr:y>0.93293</cdr:y>
    </cdr:from>
    <cdr:to>
      <cdr:x>1</cdr:x>
      <cdr:y>1</cdr:y>
    </cdr:to>
    <cdr:sp macro="" textlink="PRB_ILB_NAPP!$C$66">
      <cdr:nvSpPr>
        <cdr:cNvPr id="4" name="txtboxCopyrightLine"/>
        <cdr:cNvSpPr txBox="1"/>
      </cdr:nvSpPr>
      <cdr:spPr>
        <a:xfrm xmlns:a="http://schemas.openxmlformats.org/drawingml/2006/main">
          <a:off x="1727999" y="2784236"/>
          <a:ext cx="1440000" cy="200164"/>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7620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21CE0499-9908-4CFC-A76D-C993581CAE13}" type="TxLink">
            <a:rPr lang="en-US" sz="500" b="0" i="0" u="none" strike="noStrike">
              <a:solidFill>
                <a:srgbClr val="707C8A"/>
              </a:solidFill>
              <a:latin typeface="Arial"/>
              <a:cs typeface="Arial" pitchFamily="34" charset="0"/>
            </a:rPr>
            <a:pPr algn="r"/>
            <a:t>© 2022 McCloskey   </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3.19285E-7</cdr:x>
      <cdr:y>0.09478</cdr:y>
    </cdr:from>
    <cdr:to>
      <cdr:x>0.06893</cdr:x>
      <cdr:y>0.75162</cdr:y>
    </cdr:to>
    <cdr:sp macro="" textlink="PRB_ILB_NAPP!$C$10">
      <cdr:nvSpPr>
        <cdr:cNvPr id="5" name="txtBoxPrimaryYAxisLabel"/>
        <cdr:cNvSpPr txBox="1"/>
      </cdr:nvSpPr>
      <cdr:spPr>
        <a:xfrm xmlns:a="http://schemas.openxmlformats.org/drawingml/2006/main" rot="16200000">
          <a:off x="-872186" y="1155048"/>
          <a:ext cx="1960274"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1" i="0" u="none" strike="noStrike" dirty="0" err="1" smtClean="0">
              <a:solidFill>
                <a:srgbClr val="000000"/>
              </a:solidFill>
              <a:latin typeface="Arial"/>
              <a:cs typeface="Arial"/>
            </a:rPr>
            <a:pPr algn="ctr"/>
            <a:t>$US/short ton</a:t>
          </a:fld>
          <a:endParaRPr lang="en-US" sz="700" b="1" dirty="0" err="1">
            <a:solidFill>
              <a:srgbClr val="000000"/>
            </a:solidFill>
            <a:latin typeface="Aria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1</xdr:col>
      <xdr:colOff>127194</xdr:colOff>
      <xdr:row>13</xdr:row>
      <xdr:rowOff>136711</xdr:rowOff>
    </xdr:from>
    <xdr:to>
      <xdr:col>4</xdr:col>
      <xdr:colOff>295596</xdr:colOff>
      <xdr:row>26</xdr:row>
      <xdr:rowOff>70036</xdr:rowOff>
    </xdr:to>
    <xdr:graphicFrame macro="">
      <xdr:nvGraphicFramePr>
        <xdr:cNvPr id="2" name="Chart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rot="16200000">
          <a:off x="3369252" y="89471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500-000004000000}"/>
            </a:ext>
          </a:extLst>
        </xdr:cNvPr>
        <xdr:cNvSpPr txBox="1"/>
      </xdr:nvSpPr>
      <xdr:spPr>
        <a:xfrm>
          <a:off x="313203" y="102517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500-000005000000}"/>
            </a:ext>
          </a:extLst>
        </xdr:cNvPr>
        <xdr:cNvSpPr/>
      </xdr:nvSpPr>
      <xdr:spPr>
        <a:xfrm>
          <a:off x="2738130" y="105464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500-000006000000}"/>
            </a:ext>
          </a:extLst>
        </xdr:cNvPr>
        <xdr:cNvSpPr txBox="1"/>
      </xdr:nvSpPr>
      <xdr:spPr>
        <a:xfrm>
          <a:off x="313203" y="93630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296961" name="Button 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296962" name="Button 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296963" name="Button 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296964" name="Button 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121920</xdr:rowOff>
        </xdr:from>
        <xdr:to>
          <xdr:col>7</xdr:col>
          <xdr:colOff>0</xdr:colOff>
          <xdr:row>17</xdr:row>
          <xdr:rowOff>0</xdr:rowOff>
        </xdr:to>
        <xdr:sp macro="" textlink="">
          <xdr:nvSpPr>
            <xdr:cNvPr id="296965" name="Button 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106680</xdr:rowOff>
        </xdr:from>
        <xdr:to>
          <xdr:col>7</xdr:col>
          <xdr:colOff>0</xdr:colOff>
          <xdr:row>26</xdr:row>
          <xdr:rowOff>0</xdr:rowOff>
        </xdr:to>
        <xdr:sp macro="" textlink="">
          <xdr:nvSpPr>
            <xdr:cNvPr id="296966" name="Button 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Next page</a:t>
              </a:r>
            </a:p>
          </xdr:txBody>
        </xdr:sp>
        <xdr:clientData fPrintsWithSheet="0"/>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cdr:x>
      <cdr:y>0.00137</cdr:y>
    </cdr:from>
    <cdr:to>
      <cdr:x>1</cdr:x>
      <cdr:y>0.09899</cdr:y>
    </cdr:to>
    <cdr:sp macro="" textlink="Correlations!$C$4">
      <cdr:nvSpPr>
        <cdr:cNvPr id="2" name="txtboxChartTitle"/>
        <cdr:cNvSpPr txBox="1"/>
      </cdr:nvSpPr>
      <cdr:spPr>
        <a:xfrm xmlns:a="http://schemas.openxmlformats.org/drawingml/2006/main">
          <a:off x="0" y="3030"/>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Coal and gas correlations (90-day)</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Correlations!$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0.56007</cdr:x>
      <cdr:y>0.91961</cdr:y>
    </cdr:from>
    <cdr:to>
      <cdr:x>1</cdr:x>
      <cdr:y>1</cdr:y>
    </cdr:to>
    <cdr:sp macro="" textlink="Correlations!$C$12">
      <cdr:nvSpPr>
        <cdr:cNvPr id="4" name="txtboxCopyrightLine"/>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75A1959D-B6E2-4341-B48A-EE5A7B18EC14}" type="TxLink">
            <a:rPr lang="en-US" sz="600" b="0" i="0" u="none" strike="noStrike">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6.13098E-7</cdr:x>
      <cdr:y>0.10815</cdr:y>
    </cdr:from>
    <cdr:to>
      <cdr:x>0.06618</cdr:x>
      <cdr:y>0.64861</cdr:y>
    </cdr:to>
    <cdr:sp macro="" textlink="Correlations!$C$10">
      <cdr:nvSpPr>
        <cdr:cNvPr id="5" name="txtBoxPrimaryYAxisLabel"/>
        <cdr:cNvSpPr txBox="1"/>
      </cdr:nvSpPr>
      <cdr:spPr>
        <a:xfrm xmlns:a="http://schemas.openxmlformats.org/drawingml/2006/main" rot="16200000">
          <a:off x="-489717" y="728915"/>
          <a:ext cx="1195338"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8DE9DE16-7873-44DF-8001-F4C065BA32FC}" type="TxLink">
            <a:rPr lang="en-US" sz="700" b="0" i="0" u="none" strike="noStrike" dirty="0" err="1" smtClean="0">
              <a:solidFill>
                <a:srgbClr val="000000"/>
              </a:solidFill>
              <a:latin typeface="Arial" panose="020B0604020202020204" pitchFamily="34" charset="0"/>
              <a:cs typeface="Arial"/>
            </a:rPr>
            <a:pPr algn="ctr"/>
            <a:t>Correlation</a:t>
          </a:fld>
          <a:endParaRPr lang="en-US" sz="700" b="0" dirty="0" err="1">
            <a:solidFill>
              <a:srgbClr val="000000"/>
            </a:solidFill>
            <a:latin typeface="Arial" panose="020B0604020202020204"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150054</xdr:colOff>
      <xdr:row>13</xdr:row>
      <xdr:rowOff>14792</xdr:rowOff>
    </xdr:from>
    <xdr:to>
      <xdr:col>4</xdr:col>
      <xdr:colOff>318456</xdr:colOff>
      <xdr:row>25</xdr:row>
      <xdr:rowOff>123377</xdr:rowOff>
    </xdr:to>
    <xdr:graphicFrame macro="">
      <xdr:nvGraphicFramePr>
        <xdr:cNvPr id="2" name="Chart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rot="16200000">
          <a:off x="3359727" y="9337675"/>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600-000004000000}"/>
            </a:ext>
          </a:extLst>
        </xdr:cNvPr>
        <xdr:cNvSpPr txBox="1"/>
      </xdr:nvSpPr>
      <xdr:spPr>
        <a:xfrm>
          <a:off x="313203" y="10642226"/>
          <a:ext cx="2037790"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600-000005000000}"/>
            </a:ext>
          </a:extLst>
        </xdr:cNvPr>
        <xdr:cNvSpPr/>
      </xdr:nvSpPr>
      <xdr:spPr>
        <a:xfrm>
          <a:off x="2728605" y="10936942"/>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600-000006000000}"/>
            </a:ext>
          </a:extLst>
        </xdr:cNvPr>
        <xdr:cNvSpPr txBox="1"/>
      </xdr:nvSpPr>
      <xdr:spPr>
        <a:xfrm>
          <a:off x="313203" y="9753600"/>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305153" name="Button 1" hidden="1">
              <a:extLst>
                <a:ext uri="{63B3BB69-23CF-44E3-9099-C40C66FF867C}">
                  <a14:compatExt spid="_x0000_s305153"/>
                </a:ext>
                <a:ext uri="{FF2B5EF4-FFF2-40B4-BE49-F238E27FC236}">
                  <a16:creationId xmlns:a16="http://schemas.microsoft.com/office/drawing/2014/main" id="{00000000-0008-0000-0600-000001A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305154" name="Button 2" hidden="1">
              <a:extLst>
                <a:ext uri="{63B3BB69-23CF-44E3-9099-C40C66FF867C}">
                  <a14:compatExt spid="_x0000_s305154"/>
                </a:ext>
                <a:ext uri="{FF2B5EF4-FFF2-40B4-BE49-F238E27FC236}">
                  <a16:creationId xmlns:a16="http://schemas.microsoft.com/office/drawing/2014/main" id="{00000000-0008-0000-0600-000002A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305155" name="Button 3" hidden="1">
              <a:extLst>
                <a:ext uri="{63B3BB69-23CF-44E3-9099-C40C66FF867C}">
                  <a14:compatExt spid="_x0000_s305155"/>
                </a:ext>
                <a:ext uri="{FF2B5EF4-FFF2-40B4-BE49-F238E27FC236}">
                  <a16:creationId xmlns:a16="http://schemas.microsoft.com/office/drawing/2014/main" id="{00000000-0008-0000-0600-000003A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305156" name="Button 4" hidden="1">
              <a:extLst>
                <a:ext uri="{63B3BB69-23CF-44E3-9099-C40C66FF867C}">
                  <a14:compatExt spid="_x0000_s305156"/>
                </a:ext>
                <a:ext uri="{FF2B5EF4-FFF2-40B4-BE49-F238E27FC236}">
                  <a16:creationId xmlns:a16="http://schemas.microsoft.com/office/drawing/2014/main" id="{00000000-0008-0000-0600-000004A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121920</xdr:rowOff>
        </xdr:from>
        <xdr:to>
          <xdr:col>7</xdr:col>
          <xdr:colOff>0</xdr:colOff>
          <xdr:row>17</xdr:row>
          <xdr:rowOff>0</xdr:rowOff>
        </xdr:to>
        <xdr:sp macro="" textlink="">
          <xdr:nvSpPr>
            <xdr:cNvPr id="305159" name="Button 7" hidden="1">
              <a:extLst>
                <a:ext uri="{63B3BB69-23CF-44E3-9099-C40C66FF867C}">
                  <a14:compatExt spid="_x0000_s305159"/>
                </a:ext>
                <a:ext uri="{FF2B5EF4-FFF2-40B4-BE49-F238E27FC236}">
                  <a16:creationId xmlns:a16="http://schemas.microsoft.com/office/drawing/2014/main" id="{00000000-0008-0000-0600-000007A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106680</xdr:rowOff>
        </xdr:from>
        <xdr:to>
          <xdr:col>7</xdr:col>
          <xdr:colOff>0</xdr:colOff>
          <xdr:row>26</xdr:row>
          <xdr:rowOff>0</xdr:rowOff>
        </xdr:to>
        <xdr:sp macro="" textlink="">
          <xdr:nvSpPr>
            <xdr:cNvPr id="305160" name="Button 8" hidden="1">
              <a:extLst>
                <a:ext uri="{63B3BB69-23CF-44E3-9099-C40C66FF867C}">
                  <a14:compatExt spid="_x0000_s305160"/>
                </a:ext>
                <a:ext uri="{FF2B5EF4-FFF2-40B4-BE49-F238E27FC236}">
                  <a16:creationId xmlns:a16="http://schemas.microsoft.com/office/drawing/2014/main" id="{00000000-0008-0000-0600-000008A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Next page</a:t>
              </a:r>
            </a:p>
          </xdr:txBody>
        </xdr:sp>
        <xdr:clientData fPrintsWithSheet="0"/>
      </xdr:twoCellAnchor>
    </mc:Choice>
    <mc:Fallback/>
  </mc:AlternateContent>
</xdr:wsDr>
</file>

<file path=xl/drawings/drawing10.xml><?xml version="1.0" encoding="utf-8"?>
<c:userShapes xmlns:c="http://schemas.openxmlformats.org/drawingml/2006/chart">
  <cdr:relSizeAnchor xmlns:cdr="http://schemas.openxmlformats.org/drawingml/2006/chartDrawing">
    <cdr:from>
      <cdr:x>0</cdr:x>
      <cdr:y>5.42568E-6</cdr:y>
    </cdr:from>
    <cdr:to>
      <cdr:x>1</cdr:x>
      <cdr:y>0.09762</cdr:y>
    </cdr:to>
    <cdr:sp macro="" textlink="ExportArbNAPP!$C$4">
      <cdr:nvSpPr>
        <cdr:cNvPr id="2" name="txtboxChartTitle"/>
        <cdr:cNvSpPr txBox="1"/>
      </cdr:nvSpPr>
      <cdr:spPr>
        <a:xfrm xmlns:a="http://schemas.openxmlformats.org/drawingml/2006/main">
          <a:off x="0" y="12"/>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NAPP delivered to Europe via East Coast (undiscounted)</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ExportArbNAPP!$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0.56007</cdr:x>
      <cdr:y>0.91961</cdr:y>
    </cdr:from>
    <cdr:to>
      <cdr:x>1</cdr:x>
      <cdr:y>1</cdr:y>
    </cdr:to>
    <cdr:sp macro="" textlink="ExportArbNAPP!$C$12">
      <cdr:nvSpPr>
        <cdr:cNvPr id="4" name="txtboxCopyrightLine"/>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658E985E-38A1-459E-A76F-E1C4935BB862}" type="TxLink">
            <a:rPr lang="en-US" sz="600" b="0" i="0" u="none" strike="noStrike">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1.2262E-6</cdr:x>
      <cdr:y>0.09478</cdr:y>
    </cdr:from>
    <cdr:to>
      <cdr:x>0.06619</cdr:x>
      <cdr:y>0.75162</cdr:y>
    </cdr:to>
    <cdr:sp macro="" textlink="ExportArbNAPP!$C$10">
      <cdr:nvSpPr>
        <cdr:cNvPr id="5" name="txtBoxPrimaryYAxisLabel"/>
        <cdr:cNvSpPr txBox="1"/>
      </cdr:nvSpPr>
      <cdr:spPr>
        <a:xfrm xmlns:a="http://schemas.openxmlformats.org/drawingml/2006/main" rot="16200000">
          <a:off x="-618415" y="828043"/>
          <a:ext cx="1452737"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0" i="0" u="none" strike="noStrike" dirty="0" err="1" smtClean="0">
              <a:solidFill>
                <a:srgbClr val="000000"/>
              </a:solidFill>
              <a:latin typeface="Arial" panose="020B0604020202020204" pitchFamily="34" charset="0"/>
              <a:cs typeface="Arial"/>
            </a:rPr>
            <a:pPr algn="ctr"/>
            <a:t>$US/short ton</a:t>
          </a:fld>
          <a:endParaRPr lang="en-US" sz="700" b="0" dirty="0" err="1">
            <a:solidFill>
              <a:srgbClr val="000000"/>
            </a:solidFill>
            <a:latin typeface="Arial" panose="020B0604020202020204"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xdr:col>
      <xdr:colOff>127194</xdr:colOff>
      <xdr:row>13</xdr:row>
      <xdr:rowOff>136712</xdr:rowOff>
    </xdr:from>
    <xdr:to>
      <xdr:col>4</xdr:col>
      <xdr:colOff>295596</xdr:colOff>
      <xdr:row>26</xdr:row>
      <xdr:rowOff>70037</xdr:rowOff>
    </xdr:to>
    <xdr:graphicFrame macro="">
      <xdr:nvGraphicFramePr>
        <xdr:cNvPr id="2" name="Chart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rot="16200000">
          <a:off x="3369252" y="89471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700-000004000000}"/>
            </a:ext>
          </a:extLst>
        </xdr:cNvPr>
        <xdr:cNvSpPr txBox="1"/>
      </xdr:nvSpPr>
      <xdr:spPr>
        <a:xfrm>
          <a:off x="313203" y="102517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700-000005000000}"/>
            </a:ext>
          </a:extLst>
        </xdr:cNvPr>
        <xdr:cNvSpPr/>
      </xdr:nvSpPr>
      <xdr:spPr>
        <a:xfrm>
          <a:off x="2738130" y="105464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700-000006000000}"/>
            </a:ext>
          </a:extLst>
        </xdr:cNvPr>
        <xdr:cNvSpPr txBox="1"/>
      </xdr:nvSpPr>
      <xdr:spPr>
        <a:xfrm>
          <a:off x="313203" y="93630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0700-0000019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00000000-0008-0000-0700-0000029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00000000-0008-0000-0700-0000039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00000000-0008-0000-0700-0000049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121920</xdr:rowOff>
        </xdr:from>
        <xdr:to>
          <xdr:col>7</xdr:col>
          <xdr:colOff>0</xdr:colOff>
          <xdr:row>17</xdr:row>
          <xdr:rowOff>0</xdr:rowOff>
        </xdr:to>
        <xdr:sp macro="" textlink="">
          <xdr:nvSpPr>
            <xdr:cNvPr id="301063" name="Button 7" hidden="1">
              <a:extLst>
                <a:ext uri="{63B3BB69-23CF-44E3-9099-C40C66FF867C}">
                  <a14:compatExt spid="_x0000_s301063"/>
                </a:ext>
                <a:ext uri="{FF2B5EF4-FFF2-40B4-BE49-F238E27FC236}">
                  <a16:creationId xmlns:a16="http://schemas.microsoft.com/office/drawing/2014/main" id="{00000000-0008-0000-0700-0000079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106680</xdr:rowOff>
        </xdr:from>
        <xdr:to>
          <xdr:col>7</xdr:col>
          <xdr:colOff>0</xdr:colOff>
          <xdr:row>26</xdr:row>
          <xdr:rowOff>0</xdr:rowOff>
        </xdr:to>
        <xdr:sp macro="" textlink="">
          <xdr:nvSpPr>
            <xdr:cNvPr id="301064" name="Button 8" hidden="1">
              <a:extLst>
                <a:ext uri="{63B3BB69-23CF-44E3-9099-C40C66FF867C}">
                  <a14:compatExt spid="_x0000_s301064"/>
                </a:ext>
                <a:ext uri="{FF2B5EF4-FFF2-40B4-BE49-F238E27FC236}">
                  <a16:creationId xmlns:a16="http://schemas.microsoft.com/office/drawing/2014/main" id="{00000000-0008-0000-0700-0000089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Next page</a:t>
              </a:r>
            </a:p>
          </xdr:txBody>
        </xdr:sp>
        <xdr:clientData fPrintsWithSheet="0"/>
      </xdr:twoCellAnchor>
    </mc:Choice>
    <mc:Fallback/>
  </mc:AlternateContent>
</xdr:wsDr>
</file>

<file path=xl/drawings/drawing12.xml><?xml version="1.0" encoding="utf-8"?>
<c:userShapes xmlns:c="http://schemas.openxmlformats.org/drawingml/2006/chart">
  <cdr:relSizeAnchor xmlns:cdr="http://schemas.openxmlformats.org/drawingml/2006/chartDrawing">
    <cdr:from>
      <cdr:x>0</cdr:x>
      <cdr:y>5.42568E-6</cdr:y>
    </cdr:from>
    <cdr:to>
      <cdr:x>1</cdr:x>
      <cdr:y>0.09762</cdr:y>
    </cdr:to>
    <cdr:sp macro="" textlink="ImportArb!$C$4">
      <cdr:nvSpPr>
        <cdr:cNvPr id="2" name="txtboxChartTitle"/>
        <cdr:cNvSpPr txBox="1"/>
      </cdr:nvSpPr>
      <cdr:spPr>
        <a:xfrm xmlns:a="http://schemas.openxmlformats.org/drawingml/2006/main">
          <a:off x="0" y="12"/>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CAPP/ILB vs Colombian, delivered to Florida</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ImportArb!$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0.56007</cdr:x>
      <cdr:y>0.91961</cdr:y>
    </cdr:from>
    <cdr:to>
      <cdr:x>1</cdr:x>
      <cdr:y>1</cdr:y>
    </cdr:to>
    <cdr:sp macro="" textlink="ImportArb!$C$12">
      <cdr:nvSpPr>
        <cdr:cNvPr id="4" name="txtboxCopyrightLine"/>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8D28ED4A-27A1-4539-91DB-5098EC6C7063}" type="TxLink">
            <a:rPr lang="en-US" sz="600" b="0" i="0" u="none" strike="noStrike">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1.2262E-6</cdr:x>
      <cdr:y>0.09478</cdr:y>
    </cdr:from>
    <cdr:to>
      <cdr:x>0.06619</cdr:x>
      <cdr:y>0.75162</cdr:y>
    </cdr:to>
    <cdr:sp macro="" textlink="ImportArb!$C$10">
      <cdr:nvSpPr>
        <cdr:cNvPr id="5" name="txtBoxPrimaryYAxisLabel"/>
        <cdr:cNvSpPr txBox="1"/>
      </cdr:nvSpPr>
      <cdr:spPr>
        <a:xfrm xmlns:a="http://schemas.openxmlformats.org/drawingml/2006/main" rot="16200000">
          <a:off x="-618415" y="828043"/>
          <a:ext cx="1452737"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0" i="0" u="none" strike="noStrike" dirty="0" err="1" smtClean="0">
              <a:solidFill>
                <a:srgbClr val="000000"/>
              </a:solidFill>
              <a:latin typeface="Arial" panose="020B0604020202020204" pitchFamily="34" charset="0"/>
              <a:cs typeface="Arial"/>
            </a:rPr>
            <a:pPr algn="ctr"/>
            <a:t>$US/short ton</a:t>
          </a:fld>
          <a:endParaRPr lang="en-US" sz="700" b="0" dirty="0" err="1">
            <a:solidFill>
              <a:srgbClr val="000000"/>
            </a:solidFill>
            <a:latin typeface="Arial" panose="020B0604020202020204" pitchFamily="34"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1</xdr:col>
      <xdr:colOff>287214</xdr:colOff>
      <xdr:row>13</xdr:row>
      <xdr:rowOff>144332</xdr:rowOff>
    </xdr:from>
    <xdr:to>
      <xdr:col>4</xdr:col>
      <xdr:colOff>455616</xdr:colOff>
      <xdr:row>26</xdr:row>
      <xdr:rowOff>77657</xdr:rowOff>
    </xdr:to>
    <xdr:graphicFrame macro="">
      <xdr:nvGraphicFramePr>
        <xdr:cNvPr id="2" name="Chart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800-000003000000}"/>
            </a:ext>
          </a:extLst>
        </xdr:cNvPr>
        <xdr:cNvCxnSpPr/>
      </xdr:nvCxnSpPr>
      <xdr:spPr>
        <a:xfrm rot="16200000">
          <a:off x="3369252" y="89471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800-000004000000}"/>
            </a:ext>
          </a:extLst>
        </xdr:cNvPr>
        <xdr:cNvSpPr txBox="1"/>
      </xdr:nvSpPr>
      <xdr:spPr>
        <a:xfrm>
          <a:off x="313203" y="102517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800-000005000000}"/>
            </a:ext>
          </a:extLst>
        </xdr:cNvPr>
        <xdr:cNvSpPr/>
      </xdr:nvSpPr>
      <xdr:spPr>
        <a:xfrm>
          <a:off x="2738130" y="105464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800-000006000000}"/>
            </a:ext>
          </a:extLst>
        </xdr:cNvPr>
        <xdr:cNvSpPr txBox="1"/>
      </xdr:nvSpPr>
      <xdr:spPr>
        <a:xfrm>
          <a:off x="313203" y="93630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303105" name="Button 1" hidden="1">
              <a:extLst>
                <a:ext uri="{63B3BB69-23CF-44E3-9099-C40C66FF867C}">
                  <a14:compatExt spid="_x0000_s303105"/>
                </a:ext>
                <a:ext uri="{FF2B5EF4-FFF2-40B4-BE49-F238E27FC236}">
                  <a16:creationId xmlns:a16="http://schemas.microsoft.com/office/drawing/2014/main" id="{00000000-0008-0000-0800-000001A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303106" name="Button 2" hidden="1">
              <a:extLst>
                <a:ext uri="{63B3BB69-23CF-44E3-9099-C40C66FF867C}">
                  <a14:compatExt spid="_x0000_s303106"/>
                </a:ext>
                <a:ext uri="{FF2B5EF4-FFF2-40B4-BE49-F238E27FC236}">
                  <a16:creationId xmlns:a16="http://schemas.microsoft.com/office/drawing/2014/main" id="{00000000-0008-0000-0800-000002A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303107" name="Button 3" hidden="1">
              <a:extLst>
                <a:ext uri="{63B3BB69-23CF-44E3-9099-C40C66FF867C}">
                  <a14:compatExt spid="_x0000_s303107"/>
                </a:ext>
                <a:ext uri="{FF2B5EF4-FFF2-40B4-BE49-F238E27FC236}">
                  <a16:creationId xmlns:a16="http://schemas.microsoft.com/office/drawing/2014/main" id="{00000000-0008-0000-0800-000003A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303108" name="Button 4" hidden="1">
              <a:extLst>
                <a:ext uri="{63B3BB69-23CF-44E3-9099-C40C66FF867C}">
                  <a14:compatExt spid="_x0000_s303108"/>
                </a:ext>
                <a:ext uri="{FF2B5EF4-FFF2-40B4-BE49-F238E27FC236}">
                  <a16:creationId xmlns:a16="http://schemas.microsoft.com/office/drawing/2014/main" id="{00000000-0008-0000-0800-000004A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121920</xdr:rowOff>
        </xdr:from>
        <xdr:to>
          <xdr:col>7</xdr:col>
          <xdr:colOff>0</xdr:colOff>
          <xdr:row>17</xdr:row>
          <xdr:rowOff>0</xdr:rowOff>
        </xdr:to>
        <xdr:sp macro="" textlink="">
          <xdr:nvSpPr>
            <xdr:cNvPr id="303111" name="Button 7" hidden="1">
              <a:extLst>
                <a:ext uri="{63B3BB69-23CF-44E3-9099-C40C66FF867C}">
                  <a14:compatExt spid="_x0000_s303111"/>
                </a:ext>
                <a:ext uri="{FF2B5EF4-FFF2-40B4-BE49-F238E27FC236}">
                  <a16:creationId xmlns:a16="http://schemas.microsoft.com/office/drawing/2014/main" id="{00000000-0008-0000-0800-000007A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Get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106680</xdr:rowOff>
        </xdr:from>
        <xdr:to>
          <xdr:col>7</xdr:col>
          <xdr:colOff>0</xdr:colOff>
          <xdr:row>26</xdr:row>
          <xdr:rowOff>0</xdr:rowOff>
        </xdr:to>
        <xdr:sp macro="" textlink="">
          <xdr:nvSpPr>
            <xdr:cNvPr id="303112" name="Button 8" hidden="1">
              <a:extLst>
                <a:ext uri="{63B3BB69-23CF-44E3-9099-C40C66FF867C}">
                  <a14:compatExt spid="_x0000_s303112"/>
                </a:ext>
                <a:ext uri="{FF2B5EF4-FFF2-40B4-BE49-F238E27FC236}">
                  <a16:creationId xmlns:a16="http://schemas.microsoft.com/office/drawing/2014/main" id="{00000000-0008-0000-0800-000008A0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Save and close</a:t>
              </a:r>
            </a:p>
          </xdr:txBody>
        </xdr:sp>
        <xdr:clientData fPrintsWithSheet="0"/>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cdr:x>
      <cdr:y>5.42568E-6</cdr:y>
    </cdr:from>
    <cdr:to>
      <cdr:x>1</cdr:x>
      <cdr:y>0.09762</cdr:y>
    </cdr:to>
    <cdr:sp macro="" textlink="ExportArbILB!$C$4">
      <cdr:nvSpPr>
        <cdr:cNvPr id="2" name="txtboxChartTitle"/>
        <cdr:cNvSpPr txBox="1"/>
      </cdr:nvSpPr>
      <cdr:spPr>
        <a:xfrm xmlns:a="http://schemas.openxmlformats.org/drawingml/2006/main">
          <a:off x="0" y="12"/>
          <a:ext cx="3262122" cy="215900"/>
        </a:xfrm>
        <a:prstGeom xmlns:a="http://schemas.openxmlformats.org/drawingml/2006/main" prst="rect">
          <a:avLst/>
        </a:prstGeom>
        <a:noFill xmlns:a="http://schemas.openxmlformats.org/drawingml/2006/main"/>
        <a:ln xmlns:a="http://schemas.openxmlformats.org/drawingml/2006/main" w="9525" cmpd="sng">
          <a:noFill/>
          <a:prstDash val="solid"/>
          <a:headEnd type="none" w="med" len="med"/>
          <a:tailEnd type="triangle" w="med" len="med"/>
        </a:ln>
        <a:extLst xmlns:a="http://schemas.openxmlformats.org/drawingml/2006/main">
          <a:ext uri="{909E8E84-426E-40DD-AFC4-6F175D3DCCD1}">
            <a14:hiddenFill xmlns:a14="http://schemas.microsoft.com/office/drawing/2010/main">
              <a:solidFill>
                <a:srgbClr val="7F8080"/>
              </a:solidFill>
            </a14:hiddenFill>
          </a:ext>
        </a:extLst>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02A3D5"/>
              </a:solidFill>
              <a:latin typeface="Arial" panose="020B0604020202020204" pitchFamily="34" charset="0"/>
              <a:cs typeface="Arial" pitchFamily="34" charset="0"/>
            </a:rPr>
            <a:pPr algn="l"/>
            <a:t>ILB delivered to Europe via NOLA (undiscounted)</a:t>
          </a:fld>
          <a:endParaRPr lang="en-US" sz="900" b="1">
            <a:solidFill>
              <a:srgbClr val="02A3D5"/>
            </a:solidFill>
            <a:latin typeface="Arial" panose="020B0604020202020204" pitchFamily="34" charset="0"/>
            <a:cs typeface="Arial" pitchFamily="34" charset="0"/>
          </a:endParaRPr>
        </a:p>
      </cdr:txBody>
    </cdr:sp>
  </cdr:relSizeAnchor>
  <cdr:relSizeAnchor xmlns:cdr="http://schemas.openxmlformats.org/drawingml/2006/chartDrawing">
    <cdr:from>
      <cdr:x>0</cdr:x>
      <cdr:y>0.91961</cdr:y>
    </cdr:from>
    <cdr:to>
      <cdr:x>0.54115</cdr:x>
      <cdr:y>1</cdr:y>
    </cdr:to>
    <cdr:sp macro="" textlink="ExportArbILB!$C$65">
      <cdr:nvSpPr>
        <cdr:cNvPr id="6" name="txtBoxSourceLine"/>
        <cdr:cNvSpPr txBox="1"/>
      </cdr:nvSpPr>
      <cdr:spPr>
        <a:xfrm xmlns:a="http://schemas.openxmlformats.org/drawingml/2006/main">
          <a:off x="0" y="2197100"/>
          <a:ext cx="17653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McCloskey by OPIS</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0.56007</cdr:x>
      <cdr:y>0.91961</cdr:y>
    </cdr:from>
    <cdr:to>
      <cdr:x>1</cdr:x>
      <cdr:y>1</cdr:y>
    </cdr:to>
    <cdr:sp macro="" textlink="ExportArbILB!$C$12">
      <cdr:nvSpPr>
        <cdr:cNvPr id="4" name="txtboxCopyrightLine"/>
        <cdr:cNvSpPr txBox="1"/>
      </cdr:nvSpPr>
      <cdr:spPr>
        <a:xfrm xmlns:a="http://schemas.openxmlformats.org/drawingml/2006/main">
          <a:off x="1827022" y="21971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65F4A750-2F71-4B5F-B858-7FC57BE9F4A9}" type="TxLink">
            <a:rPr lang="en-US" sz="600" b="0" i="0" u="none" strike="noStrike">
              <a:solidFill>
                <a:srgbClr val="000000"/>
              </a:solidFill>
              <a:latin typeface="Arial" panose="020B0604020202020204" pitchFamily="34" charset="0"/>
              <a:cs typeface="Arial"/>
            </a:rPr>
            <a:pPr algn="r"/>
            <a:t>© 2022 Dow Jones Energy Limited</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1.2262E-6</cdr:x>
      <cdr:y>0.09478</cdr:y>
    </cdr:from>
    <cdr:to>
      <cdr:x>0.06619</cdr:x>
      <cdr:y>0.75162</cdr:y>
    </cdr:to>
    <cdr:sp macro="" textlink="ExportArbILB!$C$10">
      <cdr:nvSpPr>
        <cdr:cNvPr id="5" name="txtBoxPrimaryYAxisLabel"/>
        <cdr:cNvSpPr txBox="1"/>
      </cdr:nvSpPr>
      <cdr:spPr>
        <a:xfrm xmlns:a="http://schemas.openxmlformats.org/drawingml/2006/main" rot="16200000">
          <a:off x="-618415" y="828043"/>
          <a:ext cx="1452737"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0" i="0" u="none" strike="noStrike" dirty="0" err="1" smtClean="0">
              <a:solidFill>
                <a:srgbClr val="000000"/>
              </a:solidFill>
              <a:latin typeface="Arial" panose="020B0604020202020204" pitchFamily="34" charset="0"/>
              <a:cs typeface="Arial"/>
            </a:rPr>
            <a:pPr algn="ctr"/>
            <a:t>$US/short ton</a:t>
          </a:fld>
          <a:endParaRPr lang="en-US" sz="700" b="0" dirty="0" err="1">
            <a:solidFill>
              <a:srgbClr val="000000"/>
            </a:solidFill>
            <a:latin typeface="Arial" panose="020B0604020202020204" pitchFamily="34" charset="0"/>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1</xdr:col>
      <xdr:colOff>127194</xdr:colOff>
      <xdr:row>13</xdr:row>
      <xdr:rowOff>136712</xdr:rowOff>
    </xdr:from>
    <xdr:to>
      <xdr:col>4</xdr:col>
      <xdr:colOff>295596</xdr:colOff>
      <xdr:row>28</xdr:row>
      <xdr:rowOff>37271</xdr:rowOff>
    </xdr:to>
    <xdr:graphicFrame macro="">
      <xdr:nvGraphicFramePr>
        <xdr:cNvPr id="2" name="Chart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900-000003000000}"/>
            </a:ext>
          </a:extLst>
        </xdr:cNvPr>
        <xdr:cNvCxnSpPr/>
      </xdr:nvCxnSpPr>
      <xdr:spPr>
        <a:xfrm rot="16200000">
          <a:off x="3369252" y="89471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900-000004000000}"/>
            </a:ext>
          </a:extLst>
        </xdr:cNvPr>
        <xdr:cNvSpPr txBox="1"/>
      </xdr:nvSpPr>
      <xdr:spPr>
        <a:xfrm>
          <a:off x="313203" y="102517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900-000005000000}"/>
            </a:ext>
          </a:extLst>
        </xdr:cNvPr>
        <xdr:cNvSpPr/>
      </xdr:nvSpPr>
      <xdr:spPr>
        <a:xfrm>
          <a:off x="2738130" y="105464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900-000006000000}"/>
            </a:ext>
          </a:extLst>
        </xdr:cNvPr>
        <xdr:cNvSpPr txBox="1"/>
      </xdr:nvSpPr>
      <xdr:spPr>
        <a:xfrm>
          <a:off x="313203" y="93630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900-0000019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00000000-0008-0000-0900-0000029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00000000-0008-0000-0900-0000039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0900-0000049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xdr:wsDr>
</file>

<file path=xl/drawings/drawing16.xml><?xml version="1.0" encoding="utf-8"?>
<c:userShapes xmlns:c="http://schemas.openxmlformats.org/drawingml/2006/chart">
  <cdr:relSizeAnchor xmlns:cdr="http://schemas.openxmlformats.org/drawingml/2006/chartDrawing">
    <cdr:from>
      <cdr:x>0</cdr:x>
      <cdr:y>5.35335E-6</cdr:y>
    </cdr:from>
    <cdr:to>
      <cdr:x>1</cdr:x>
      <cdr:y>0.08256</cdr:y>
    </cdr:to>
    <cdr:sp macro="" textlink="ExportArbCAPP!$C$4">
      <cdr:nvSpPr>
        <cdr:cNvPr id="2" name="txtboxChartTitle"/>
        <cdr:cNvSpPr txBox="1"/>
      </cdr:nvSpPr>
      <cdr:spPr>
        <a:xfrm xmlns:a="http://schemas.openxmlformats.org/drawingml/2006/main">
          <a:off x="0" y="14"/>
          <a:ext cx="3264027" cy="215900"/>
        </a:xfrm>
        <a:prstGeom xmlns:a="http://schemas.openxmlformats.org/drawingml/2006/main" prst="rect">
          <a:avLst/>
        </a:prstGeom>
        <a:solidFill xmlns:a="http://schemas.openxmlformats.org/drawingml/2006/main">
          <a:srgbClr val="7F8080"/>
        </a:solidFill>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FFFFFF"/>
              </a:solidFill>
              <a:latin typeface="Arial" panose="020B0604020202020204" pitchFamily="34" charset="0"/>
              <a:cs typeface="Arial" pitchFamily="34" charset="0"/>
            </a:rPr>
            <a:pPr algn="l"/>
            <a:t>CAPP delivered to Europe via East Coast</a:t>
          </a:fld>
          <a:endParaRPr lang="en-US" sz="900" b="1">
            <a:solidFill>
              <a:srgbClr val="FFFFFF"/>
            </a:solidFill>
            <a:latin typeface="Arial" panose="020B0604020202020204" pitchFamily="34" charset="0"/>
            <a:cs typeface="Arial" pitchFamily="34" charset="0"/>
          </a:endParaRPr>
        </a:p>
      </cdr:txBody>
    </cdr:sp>
  </cdr:relSizeAnchor>
  <cdr:relSizeAnchor xmlns:cdr="http://schemas.openxmlformats.org/drawingml/2006/chartDrawing">
    <cdr:from>
      <cdr:x>0</cdr:x>
      <cdr:y>0.94323</cdr:y>
    </cdr:from>
    <cdr:to>
      <cdr:x>0.49789</cdr:x>
      <cdr:y>1</cdr:y>
    </cdr:to>
    <cdr:sp macro="" textlink="ExportArbCAPP!$C$65">
      <cdr:nvSpPr>
        <cdr:cNvPr id="6" name="txtBoxSourceLine"/>
        <cdr:cNvSpPr txBox="1"/>
      </cdr:nvSpPr>
      <cdr:spPr>
        <a:xfrm xmlns:a="http://schemas.openxmlformats.org/drawingml/2006/main">
          <a:off x="0" y="3124200"/>
          <a:ext cx="14859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0" rIns="76200" bIns="76200" rtlCol="0" anchor="b"/>
        <a:lstStyle xmlns:a="http://schemas.openxmlformats.org/drawingml/2006/main"/>
        <a:p xmlns:a="http://schemas.openxmlformats.org/drawingml/2006/main">
          <a:pPr algn="l"/>
          <a:fld id="{24DBBAD9-A3B3-432A-B356-912AD33ACA4E}" type="TxLink">
            <a:rPr lang="en-US" sz="600" b="0" i="0" u="none" strike="noStrike">
              <a:solidFill>
                <a:srgbClr val="000000"/>
              </a:solidFill>
              <a:latin typeface="Arial" panose="020B0604020202020204" pitchFamily="34" charset="0"/>
              <a:cs typeface="Arial" pitchFamily="34" charset="0"/>
            </a:rPr>
            <a:pPr algn="l"/>
            <a:t>Source: IHS Markit</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0.51913</cdr:x>
      <cdr:y>0.94323</cdr:y>
    </cdr:from>
    <cdr:to>
      <cdr:x>1</cdr:x>
      <cdr:y>1</cdr:y>
    </cdr:to>
    <cdr:sp macro="" textlink="ExportArbCAPP!$C$66">
      <cdr:nvSpPr>
        <cdr:cNvPr id="4" name="txtboxCopyrightLine"/>
        <cdr:cNvSpPr txBox="1"/>
      </cdr:nvSpPr>
      <cdr:spPr>
        <a:xfrm xmlns:a="http://schemas.openxmlformats.org/drawingml/2006/main">
          <a:off x="1549300" y="3124200"/>
          <a:ext cx="1435100" cy="177800"/>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21CE0499-9908-4CFC-A76D-C993581CAE13}" type="TxLink">
            <a:rPr lang="en-US" sz="600" b="0" i="0" u="none" strike="noStrike">
              <a:solidFill>
                <a:srgbClr val="000000"/>
              </a:solidFill>
              <a:latin typeface="Arial" panose="020B0604020202020204" pitchFamily="34" charset="0"/>
              <a:cs typeface="Arial" pitchFamily="34" charset="0"/>
            </a:rPr>
            <a:pPr algn="r"/>
            <a:t>© 2020 IHS Markit</a:t>
          </a:fld>
          <a:endParaRPr lang="en-US" sz="600" b="0">
            <a:solidFill>
              <a:srgbClr val="000000"/>
            </a:solidFill>
            <a:latin typeface="Arial" panose="020B0604020202020204" pitchFamily="34" charset="0"/>
            <a:cs typeface="Arial" pitchFamily="34" charset="0"/>
          </a:endParaRPr>
        </a:p>
      </cdr:txBody>
    </cdr:sp>
  </cdr:relSizeAnchor>
  <cdr:relSizeAnchor xmlns:cdr="http://schemas.openxmlformats.org/drawingml/2006/chartDrawing">
    <cdr:from>
      <cdr:x>1.00523E-6</cdr:x>
      <cdr:y>0.09478</cdr:y>
    </cdr:from>
    <cdr:to>
      <cdr:x>0.07234</cdr:x>
      <cdr:y>0.75162</cdr:y>
    </cdr:to>
    <cdr:sp macro="" textlink="ExportArbCAPP!$C$10">
      <cdr:nvSpPr>
        <cdr:cNvPr id="5" name="txtBoxPrimaryYAxisLabel"/>
        <cdr:cNvSpPr txBox="1"/>
      </cdr:nvSpPr>
      <cdr:spPr>
        <a:xfrm xmlns:a="http://schemas.openxmlformats.org/drawingml/2006/main" rot="16200000">
          <a:off x="-920659" y="1217512"/>
          <a:ext cx="2057223"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1" i="0" u="none" strike="noStrike" dirty="0" err="1" smtClean="0">
              <a:solidFill>
                <a:srgbClr val="000000"/>
              </a:solidFill>
              <a:latin typeface="Arial" panose="020B0604020202020204" pitchFamily="34" charset="0"/>
              <a:cs typeface="Arial"/>
            </a:rPr>
            <a:pPr algn="ctr"/>
            <a:t>US dollars per short ton</a:t>
          </a:fld>
          <a:endParaRPr lang="en-US" sz="700" b="1" dirty="0" err="1">
            <a:solidFill>
              <a:srgbClr val="000000"/>
            </a:solidFill>
            <a:latin typeface="Arial" panose="020B0604020202020204" pitchFamily="34" charset="0"/>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1</xdr:col>
      <xdr:colOff>127194</xdr:colOff>
      <xdr:row>13</xdr:row>
      <xdr:rowOff>136712</xdr:rowOff>
    </xdr:from>
    <xdr:to>
      <xdr:col>4</xdr:col>
      <xdr:colOff>154044</xdr:colOff>
      <xdr:row>30</xdr:row>
      <xdr:rowOff>44537</xdr:rowOff>
    </xdr:to>
    <xdr:graphicFrame macro="">
      <xdr:nvGraphicFramePr>
        <xdr:cNvPr id="2" name="Chart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61606</xdr:colOff>
      <xdr:row>52</xdr:row>
      <xdr:rowOff>24696</xdr:rowOff>
    </xdr:from>
    <xdr:to>
      <xdr:col>4</xdr:col>
      <xdr:colOff>638047</xdr:colOff>
      <xdr:row>52</xdr:row>
      <xdr:rowOff>24696</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rot="16200000">
          <a:off x="3369252" y="8947150"/>
          <a:ext cx="0" cy="1262241"/>
        </a:xfrm>
        <a:prstGeom prst="straightConnector1">
          <a:avLst/>
        </a:prstGeom>
        <a:ln w="63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56028</xdr:colOff>
      <xdr:row>55</xdr:row>
      <xdr:rowOff>145676</xdr:rowOff>
    </xdr:from>
    <xdr:to>
      <xdr:col>2</xdr:col>
      <xdr:colOff>369793</xdr:colOff>
      <xdr:row>58</xdr:row>
      <xdr:rowOff>67235</xdr:rowOff>
    </xdr:to>
    <xdr:sp macro="" textlink="">
      <xdr:nvSpPr>
        <xdr:cNvPr id="4" name="TextBox 1">
          <a:extLst>
            <a:ext uri="{FF2B5EF4-FFF2-40B4-BE49-F238E27FC236}">
              <a16:creationId xmlns:a16="http://schemas.microsoft.com/office/drawing/2014/main" id="{00000000-0008-0000-0A00-000004000000}"/>
            </a:ext>
          </a:extLst>
        </xdr:cNvPr>
        <xdr:cNvSpPr txBox="1"/>
      </xdr:nvSpPr>
      <xdr:spPr>
        <a:xfrm>
          <a:off x="313203" y="10251701"/>
          <a:ext cx="2047315" cy="464484"/>
        </a:xfrm>
        <a:prstGeom prst="rect">
          <a:avLst/>
        </a:prstGeom>
        <a:solidFill>
          <a:srgbClr val="FAFAFA"/>
        </a:solidFill>
        <a:ln w="19050"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b="0" i="0" baseline="0">
              <a:latin typeface="+mn-lt"/>
              <a:ea typeface="+mn-ea"/>
              <a:cs typeface="+mn-cs"/>
            </a:rPr>
            <a:t>Type your text here. Type your text here. Type your text </a:t>
          </a:r>
          <a:endParaRPr lang="en-US" sz="1200"/>
        </a:p>
      </xdr:txBody>
    </xdr:sp>
    <xdr:clientData/>
  </xdr:twoCellAnchor>
  <xdr:twoCellAnchor>
    <xdr:from>
      <xdr:col>3</xdr:col>
      <xdr:colOff>61605</xdr:colOff>
      <xdr:row>57</xdr:row>
      <xdr:rowOff>78442</xdr:rowOff>
    </xdr:from>
    <xdr:to>
      <xdr:col>4</xdr:col>
      <xdr:colOff>638046</xdr:colOff>
      <xdr:row>57</xdr:row>
      <xdr:rowOff>78442</xdr:rowOff>
    </xdr:to>
    <xdr:sp macro="" textlink="">
      <xdr:nvSpPr>
        <xdr:cNvPr id="5" name="Straight Connector 4">
          <a:extLst>
            <a:ext uri="{FF2B5EF4-FFF2-40B4-BE49-F238E27FC236}">
              <a16:creationId xmlns:a16="http://schemas.microsoft.com/office/drawing/2014/main" id="{00000000-0008-0000-0A00-000005000000}"/>
            </a:ext>
          </a:extLst>
        </xdr:cNvPr>
        <xdr:cNvSpPr/>
      </xdr:nvSpPr>
      <xdr:spPr>
        <a:xfrm>
          <a:off x="2738130" y="10546417"/>
          <a:ext cx="1262241" cy="0"/>
        </a:xfrm>
        <a:prstGeom prst="line">
          <a:avLst/>
        </a:prstGeom>
        <a:ln w="19050" cap="rnd" cmpd="sng">
          <a:solidFill>
            <a:srgbClr val="000000"/>
          </a:solidFill>
          <a:prstDash val="solid"/>
          <a:headEnd type="none" w="lg" len="lg"/>
          <a:tailEnd type="triangle" w="lg" len="lg"/>
        </a:ln>
      </xdr:spPr>
      <xdr:style>
        <a:lnRef idx="1">
          <a:schemeClr val="accent1"/>
        </a:lnRef>
        <a:fillRef idx="0">
          <a:schemeClr val="accent1"/>
        </a:fillRef>
        <a:effectRef idx="0">
          <a:schemeClr val="accent1"/>
        </a:effectRef>
        <a:fontRef idx="minor">
          <a:schemeClr val="tx1"/>
        </a:fontRef>
      </xdr:style>
      <xdr:txBody>
        <a:bodyPr wrap="square"/>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a:p>
      </xdr:txBody>
    </xdr:sp>
    <xdr:clientData/>
  </xdr:twoCellAnchor>
  <xdr:twoCellAnchor>
    <xdr:from>
      <xdr:col>1</xdr:col>
      <xdr:colOff>56028</xdr:colOff>
      <xdr:row>51</xdr:row>
      <xdr:rowOff>0</xdr:rowOff>
    </xdr:from>
    <xdr:to>
      <xdr:col>1</xdr:col>
      <xdr:colOff>1325574</xdr:colOff>
      <xdr:row>53</xdr:row>
      <xdr:rowOff>8846</xdr:rowOff>
    </xdr:to>
    <xdr:sp macro="" textlink="">
      <xdr:nvSpPr>
        <xdr:cNvPr id="6" name="TextBox 1">
          <a:extLst>
            <a:ext uri="{FF2B5EF4-FFF2-40B4-BE49-F238E27FC236}">
              <a16:creationId xmlns:a16="http://schemas.microsoft.com/office/drawing/2014/main" id="{00000000-0008-0000-0A00-000006000000}"/>
            </a:ext>
          </a:extLst>
        </xdr:cNvPr>
        <xdr:cNvSpPr txBox="1"/>
      </xdr:nvSpPr>
      <xdr:spPr>
        <a:xfrm>
          <a:off x="313203" y="9363075"/>
          <a:ext cx="1269546" cy="380321"/>
        </a:xfrm>
        <a:prstGeom prst="rect">
          <a:avLst/>
        </a:prstGeom>
        <a:solidFill>
          <a:srgbClr val="FAFAFA"/>
        </a:solidFill>
        <a:ln w="9525" cmpd="sng">
          <a:solidFill>
            <a:srgbClr val="000000"/>
          </a:solidFill>
          <a:prstDash val="solid"/>
        </a:ln>
      </xdr:spPr>
      <xdr:txBody>
        <a:bodyPr vert="horz"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600" b="0" i="0" u="none" strike="noStrike" baseline="0">
              <a:solidFill>
                <a:srgbClr val="000000"/>
              </a:solidFill>
              <a:effectLst/>
              <a:latin typeface="Arial"/>
            </a:rPr>
            <a:t>Type your text here. Type your text here. Type your text here. Type your text here</a:t>
          </a: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A00-000001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299010" name="Button 2" hidden="1">
              <a:extLst>
                <a:ext uri="{63B3BB69-23CF-44E3-9099-C40C66FF867C}">
                  <a14:compatExt spid="_x0000_s299010"/>
                </a:ext>
                <a:ext uri="{FF2B5EF4-FFF2-40B4-BE49-F238E27FC236}">
                  <a16:creationId xmlns:a16="http://schemas.microsoft.com/office/drawing/2014/main" id="{00000000-0008-0000-0A00-000002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299011" name="Button 3" hidden="1">
              <a:extLst>
                <a:ext uri="{63B3BB69-23CF-44E3-9099-C40C66FF867C}">
                  <a14:compatExt spid="_x0000_s299011"/>
                </a:ext>
                <a:ext uri="{FF2B5EF4-FFF2-40B4-BE49-F238E27FC236}">
                  <a16:creationId xmlns:a16="http://schemas.microsoft.com/office/drawing/2014/main" id="{00000000-0008-0000-0A00-000003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299012" name="Button 4" hidden="1">
              <a:extLst>
                <a:ext uri="{63B3BB69-23CF-44E3-9099-C40C66FF867C}">
                  <a14:compatExt spid="_x0000_s299012"/>
                </a:ext>
                <a:ext uri="{FF2B5EF4-FFF2-40B4-BE49-F238E27FC236}">
                  <a16:creationId xmlns:a16="http://schemas.microsoft.com/office/drawing/2014/main" id="{00000000-0008-0000-0A00-000004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1</xdr:col>
          <xdr:colOff>1104900</xdr:colOff>
          <xdr:row>6</xdr:row>
          <xdr:rowOff>45720</xdr:rowOff>
        </xdr:to>
        <xdr:sp macro="" textlink="">
          <xdr:nvSpPr>
            <xdr:cNvPr id="299013" name="Button 5" hidden="1">
              <a:extLst>
                <a:ext uri="{63B3BB69-23CF-44E3-9099-C40C66FF867C}">
                  <a14:compatExt spid="_x0000_s299013"/>
                </a:ext>
                <a:ext uri="{FF2B5EF4-FFF2-40B4-BE49-F238E27FC236}">
                  <a16:creationId xmlns:a16="http://schemas.microsoft.com/office/drawing/2014/main" id="{00000000-0008-0000-0A00-000005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Size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6</xdr:row>
          <xdr:rowOff>182880</xdr:rowOff>
        </xdr:from>
        <xdr:to>
          <xdr:col>1</xdr:col>
          <xdr:colOff>1104900</xdr:colOff>
          <xdr:row>8</xdr:row>
          <xdr:rowOff>38100</xdr:rowOff>
        </xdr:to>
        <xdr:sp macro="" textlink="">
          <xdr:nvSpPr>
            <xdr:cNvPr id="299014" name="Button 6" hidden="1">
              <a:extLst>
                <a:ext uri="{63B3BB69-23CF-44E3-9099-C40C66FF867C}">
                  <a14:compatExt spid="_x0000_s299014"/>
                </a:ext>
                <a:ext uri="{FF2B5EF4-FFF2-40B4-BE49-F238E27FC236}">
                  <a16:creationId xmlns:a16="http://schemas.microsoft.com/office/drawing/2014/main" id="{00000000-0008-0000-0A00-000006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Fix title bar height(s)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160020</xdr:rowOff>
        </xdr:from>
        <xdr:to>
          <xdr:col>1</xdr:col>
          <xdr:colOff>1104900</xdr:colOff>
          <xdr:row>10</xdr:row>
          <xdr:rowOff>0</xdr:rowOff>
        </xdr:to>
        <xdr:sp macro="" textlink="">
          <xdr:nvSpPr>
            <xdr:cNvPr id="299015" name="Button 7" hidden="1">
              <a:extLst>
                <a:ext uri="{63B3BB69-23CF-44E3-9099-C40C66FF867C}">
                  <a14:compatExt spid="_x0000_s299015"/>
                </a:ext>
                <a:ext uri="{FF2B5EF4-FFF2-40B4-BE49-F238E27FC236}">
                  <a16:creationId xmlns:a16="http://schemas.microsoft.com/office/drawing/2014/main" id="{00000000-0008-0000-0A00-000007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arrow 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10</xdr:row>
          <xdr:rowOff>144780</xdr:rowOff>
        </xdr:from>
        <xdr:to>
          <xdr:col>1</xdr:col>
          <xdr:colOff>1104900</xdr:colOff>
          <xdr:row>12</xdr:row>
          <xdr:rowOff>0</xdr:rowOff>
        </xdr:to>
        <xdr:sp macro="" textlink="">
          <xdr:nvSpPr>
            <xdr:cNvPr id="299016" name="Button 8" hidden="1">
              <a:extLst>
                <a:ext uri="{63B3BB69-23CF-44E3-9099-C40C66FF867C}">
                  <a14:compatExt spid="_x0000_s299016"/>
                </a:ext>
                <a:ext uri="{FF2B5EF4-FFF2-40B4-BE49-F238E27FC236}">
                  <a16:creationId xmlns:a16="http://schemas.microsoft.com/office/drawing/2014/main" id="{00000000-0008-0000-0A00-0000089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Add textbox to chart</a:t>
              </a:r>
            </a:p>
          </xdr:txBody>
        </xdr:sp>
        <xdr:clientData fPrintsWithSheet="0"/>
      </xdr:twoCellAnchor>
    </mc:Choice>
    <mc:Fallback/>
  </mc:AlternateContent>
</xdr:wsDr>
</file>

<file path=xl/drawings/drawing18.xml><?xml version="1.0" encoding="utf-8"?>
<c:userShapes xmlns:c="http://schemas.openxmlformats.org/drawingml/2006/chart">
  <cdr:relSizeAnchor xmlns:cdr="http://schemas.openxmlformats.org/drawingml/2006/chartDrawing">
    <cdr:from>
      <cdr:x>0</cdr:x>
      <cdr:y>6.03136E-6</cdr:y>
    </cdr:from>
    <cdr:to>
      <cdr:x>1</cdr:x>
      <cdr:y>0.07235</cdr:y>
    </cdr:to>
    <cdr:sp macro="" textlink="HamptonRoadsLoadings!$C$4">
      <cdr:nvSpPr>
        <cdr:cNvPr id="2" name="txtboxChartTitle"/>
        <cdr:cNvSpPr txBox="1"/>
      </cdr:nvSpPr>
      <cdr:spPr>
        <a:xfrm xmlns:a="http://schemas.openxmlformats.org/drawingml/2006/main">
          <a:off x="0" y="18"/>
          <a:ext cx="3132000" cy="215900"/>
        </a:xfrm>
        <a:prstGeom xmlns:a="http://schemas.openxmlformats.org/drawingml/2006/main" prst="rect">
          <a:avLst/>
        </a:prstGeom>
        <a:solidFill xmlns:a="http://schemas.openxmlformats.org/drawingml/2006/main">
          <a:srgbClr val="707C8A"/>
        </a:solidFill>
        <a:ln xmlns:a="http://schemas.openxmlformats.org/drawingml/2006/main" w="9525" cmpd="sng">
          <a:noFill/>
          <a:prstDash val="solid"/>
          <a:headEnd type="none" w="med" len="med"/>
          <a:tailEnd type="triangle" w="med" len="med"/>
        </a:ln>
      </cdr:spPr>
      <cdr:txBody>
        <a:bodyPr xmlns:a="http://schemas.openxmlformats.org/drawingml/2006/main" wrap="square" lIns="76200" tIns="0" rIns="76200" bIns="0" rtlCol="0" anchor="ctr" anchorCtr="0"/>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l"/>
          <a:fld id="{EDAB6957-F497-4B5A-8DBB-8D474499DEA6}" type="TxLink">
            <a:rPr lang="en-US" sz="900" b="1" i="0" u="none" strike="noStrike">
              <a:solidFill>
                <a:srgbClr val="FFFFFF"/>
              </a:solidFill>
              <a:latin typeface="Arial"/>
              <a:cs typeface="Arial" pitchFamily="34" charset="0"/>
            </a:rPr>
            <a:pPr algn="l"/>
            <a:t>Hampton Roads: Average Daily Loadings</a:t>
          </a:fld>
          <a:endParaRPr lang="en-US" sz="900" b="1">
            <a:solidFill>
              <a:srgbClr val="FFFFFF"/>
            </a:solidFill>
            <a:latin typeface="Arial"/>
            <a:cs typeface="Arial" pitchFamily="34" charset="0"/>
          </a:endParaRPr>
        </a:p>
      </cdr:txBody>
    </cdr:sp>
  </cdr:relSizeAnchor>
  <cdr:relSizeAnchor xmlns:cdr="http://schemas.openxmlformats.org/drawingml/2006/chartDrawing">
    <cdr:from>
      <cdr:x>0</cdr:x>
      <cdr:y>0.94039</cdr:y>
    </cdr:from>
    <cdr:to>
      <cdr:x>0.83829</cdr:x>
      <cdr:y>1</cdr:y>
    </cdr:to>
    <cdr:sp macro="" textlink="HamptonRoadsLoadings!$C$65">
      <cdr:nvSpPr>
        <cdr:cNvPr id="6" name="txtBoxSourceLine"/>
        <cdr:cNvSpPr txBox="1"/>
      </cdr:nvSpPr>
      <cdr:spPr>
        <a:xfrm xmlns:a="http://schemas.openxmlformats.org/drawingml/2006/main">
          <a:off x="0" y="2806513"/>
          <a:ext cx="2625530" cy="177887"/>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vertOverflow="clip" wrap="square" lIns="76200" tIns="76200" rIns="76200" bIns="76200" rtlCol="0" anchor="b"/>
        <a:lstStyle xmlns:a="http://schemas.openxmlformats.org/drawingml/2006/main"/>
        <a:p xmlns:a="http://schemas.openxmlformats.org/drawingml/2006/main">
          <a:pPr algn="l"/>
          <a:fld id="{24DBBAD9-A3B3-432A-B356-912AD33ACA4E}" type="TxLink">
            <a:rPr lang="en-US" sz="500" b="0" i="0" u="none" strike="noStrike">
              <a:solidFill>
                <a:srgbClr val="707C8A"/>
              </a:solidFill>
              <a:latin typeface="Arial"/>
              <a:cs typeface="Arial" pitchFamily="34" charset="0"/>
            </a:rPr>
            <a:pPr algn="l"/>
            <a:t>Source:  IHS Energy</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0.54023</cdr:x>
      <cdr:y>0.93293</cdr:y>
    </cdr:from>
    <cdr:to>
      <cdr:x>1</cdr:x>
      <cdr:y>1</cdr:y>
    </cdr:to>
    <cdr:sp macro="" textlink="HamptonRoadsLoadings!$C$66">
      <cdr:nvSpPr>
        <cdr:cNvPr id="4" name="txtboxCopyrightLine"/>
        <cdr:cNvSpPr txBox="1"/>
      </cdr:nvSpPr>
      <cdr:spPr>
        <a:xfrm xmlns:a="http://schemas.openxmlformats.org/drawingml/2006/main">
          <a:off x="1727999" y="2784236"/>
          <a:ext cx="1440000" cy="200164"/>
        </a:xfrm>
        <a:prstGeom xmlns:a="http://schemas.openxmlformats.org/drawingml/2006/main" prst="rect">
          <a:avLst/>
        </a:prstGeom>
        <a:ln xmlns:a="http://schemas.openxmlformats.org/drawingml/2006/main" w="9525" cmpd="sng">
          <a:noFill/>
          <a:prstDash val="solid"/>
          <a:headEnd type="none" w="med" len="med"/>
          <a:tailEnd type="triangle" w="med" len="med"/>
        </a:ln>
      </cdr:spPr>
      <cdr:txBody>
        <a:bodyPr xmlns:a="http://schemas.openxmlformats.org/drawingml/2006/main" wrap="square" lIns="76200" tIns="76200" rIns="76200" bIns="76200" rtlCol="0" anchor="b"/>
        <a:lstStyle xmlns:a="http://schemas.openxmlformats.org/drawingml/2006/main">
          <a:lvl1pPr marL="0" indent="0">
            <a:defRPr sz="1100">
              <a:latin typeface="Tahoma"/>
            </a:defRPr>
          </a:lvl1pPr>
          <a:lvl2pPr marL="457200" indent="0">
            <a:defRPr sz="1100">
              <a:latin typeface="Tahoma"/>
            </a:defRPr>
          </a:lvl2pPr>
          <a:lvl3pPr marL="914400" indent="0">
            <a:defRPr sz="1100">
              <a:latin typeface="Tahoma"/>
            </a:defRPr>
          </a:lvl3pPr>
          <a:lvl4pPr marL="1371600" indent="0">
            <a:defRPr sz="1100">
              <a:latin typeface="Tahoma"/>
            </a:defRPr>
          </a:lvl4pPr>
          <a:lvl5pPr marL="1828800" indent="0">
            <a:defRPr sz="1100">
              <a:latin typeface="Tahoma"/>
            </a:defRPr>
          </a:lvl5pPr>
          <a:lvl6pPr marL="2286000" indent="0">
            <a:defRPr sz="1100">
              <a:latin typeface="Tahoma"/>
            </a:defRPr>
          </a:lvl6pPr>
          <a:lvl7pPr marL="2743200" indent="0">
            <a:defRPr sz="1100">
              <a:latin typeface="Tahoma"/>
            </a:defRPr>
          </a:lvl7pPr>
          <a:lvl8pPr marL="3200400" indent="0">
            <a:defRPr sz="1100">
              <a:latin typeface="Tahoma"/>
            </a:defRPr>
          </a:lvl8pPr>
          <a:lvl9pPr marL="3657600" indent="0">
            <a:defRPr sz="1100">
              <a:latin typeface="Tahoma"/>
            </a:defRPr>
          </a:lvl9pPr>
        </a:lstStyle>
        <a:p xmlns:a="http://schemas.openxmlformats.org/drawingml/2006/main">
          <a:pPr algn="r"/>
          <a:fld id="{21CE0499-9908-4CFC-A76D-C993581CAE13}" type="TxLink">
            <a:rPr lang="en-US" sz="500" b="0" i="0" u="none" strike="noStrike">
              <a:solidFill>
                <a:srgbClr val="707C8A"/>
              </a:solidFill>
              <a:latin typeface="Arial"/>
              <a:cs typeface="Arial" pitchFamily="34" charset="0"/>
            </a:rPr>
            <a:pPr algn="r"/>
            <a:t>© 2022 IHS Energy</a:t>
          </a:fld>
          <a:endParaRPr lang="en-US" sz="500" b="0">
            <a:solidFill>
              <a:srgbClr val="707C8A"/>
            </a:solidFill>
            <a:latin typeface="Arial"/>
            <a:cs typeface="Arial" pitchFamily="34" charset="0"/>
          </a:endParaRPr>
        </a:p>
      </cdr:txBody>
    </cdr:sp>
  </cdr:relSizeAnchor>
  <cdr:relSizeAnchor xmlns:cdr="http://schemas.openxmlformats.org/drawingml/2006/chartDrawing">
    <cdr:from>
      <cdr:x>0.00241</cdr:x>
      <cdr:y>0.22329</cdr:y>
    </cdr:from>
    <cdr:to>
      <cdr:x>0.07134</cdr:x>
      <cdr:y>0.64897</cdr:y>
    </cdr:to>
    <cdr:sp macro="" textlink="HamptonRoadsLoadings!$C$10">
      <cdr:nvSpPr>
        <cdr:cNvPr id="5" name="txtBoxPrimaryYAxisLabel"/>
        <cdr:cNvSpPr txBox="1"/>
      </cdr:nvSpPr>
      <cdr:spPr>
        <a:xfrm xmlns:a="http://schemas.openxmlformats.org/drawingml/2006/main" rot="16200000">
          <a:off x="-519702" y="1193636"/>
          <a:ext cx="1270399" cy="21590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horz" wrap="square" lIns="76200" tIns="76200" rIns="76200" bIns="76200" rtlCol="0" anchor="t">
          <a:noAutofit/>
        </a:bodyPr>
        <a:lstStyle xmlns:a="http://schemas.openxmlformats.org/drawingml/2006/main">
          <a:lvl1pPr marL="0" indent="0">
            <a:defRPr sz="1100">
              <a:latin typeface="Arial"/>
            </a:defRPr>
          </a:lvl1pPr>
          <a:lvl2pPr marL="457200" indent="0">
            <a:defRPr sz="1100">
              <a:latin typeface="Arial"/>
            </a:defRPr>
          </a:lvl2pPr>
          <a:lvl3pPr marL="914400" indent="0">
            <a:defRPr sz="1100">
              <a:latin typeface="Arial"/>
            </a:defRPr>
          </a:lvl3pPr>
          <a:lvl4pPr marL="1371600" indent="0">
            <a:defRPr sz="1100">
              <a:latin typeface="Arial"/>
            </a:defRPr>
          </a:lvl4pPr>
          <a:lvl5pPr marL="1828800" indent="0">
            <a:defRPr sz="1100">
              <a:latin typeface="Arial"/>
            </a:defRPr>
          </a:lvl5pPr>
          <a:lvl6pPr marL="2286000" indent="0">
            <a:defRPr sz="1100">
              <a:latin typeface="Arial"/>
            </a:defRPr>
          </a:lvl6pPr>
          <a:lvl7pPr marL="2743200" indent="0">
            <a:defRPr sz="1100">
              <a:latin typeface="Arial"/>
            </a:defRPr>
          </a:lvl7pPr>
          <a:lvl8pPr marL="3200400" indent="0">
            <a:defRPr sz="1100">
              <a:latin typeface="Arial"/>
            </a:defRPr>
          </a:lvl8pPr>
          <a:lvl9pPr marL="3657600" indent="0">
            <a:defRPr sz="1100">
              <a:latin typeface="Arial"/>
            </a:defRPr>
          </a:lvl9pPr>
        </a:lstStyle>
        <a:p xmlns:a="http://schemas.openxmlformats.org/drawingml/2006/main">
          <a:pPr algn="ctr"/>
          <a:fld id="{A4A59FD9-C412-488E-AFE8-CBE671AF67DB}" type="TxLink">
            <a:rPr lang="en-US" sz="700" b="1" i="0" u="none" strike="noStrike" dirty="0" err="1" smtClean="0">
              <a:solidFill>
                <a:srgbClr val="000000"/>
              </a:solidFill>
              <a:latin typeface="Arial"/>
              <a:cs typeface="Arial"/>
            </a:rPr>
            <a:pPr algn="ctr"/>
            <a:t>Short tons</a:t>
          </a:fld>
          <a:endParaRPr lang="en-US" sz="700" b="1" dirty="0" err="1">
            <a:solidFill>
              <a:srgbClr val="000000"/>
            </a:solidFill>
            <a:latin typeface="Aria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ites/DTC/Shared%20Documents/General/DTC%20Data/Daily%20Flash%20Data/Daily%20Price%20Sheet%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frame"/>
      <sheetName val="Holidays"/>
      <sheetName val="NewDPS"/>
      <sheetName val="Analytics"/>
      <sheetName val="PhoenixTbls"/>
      <sheetName val="Price Sheet"/>
      <sheetName val="Texts"/>
      <sheetName val="GCC"/>
      <sheetName val="TulletInput"/>
      <sheetName val="SwapsInput"/>
      <sheetName val="Forex Exch"/>
      <sheetName val="SGXInput"/>
      <sheetName val="Global"/>
      <sheetName val="OceanFrieght"/>
      <sheetName val="EvoSSInput"/>
      <sheetName val="EvoCoalInput"/>
      <sheetName val="EVONEW"/>
      <sheetName val="PRB"/>
      <sheetName val="Nymex"/>
      <sheetName val="CSX"/>
      <sheetName val="NSThacker"/>
      <sheetName val="NatgasInput"/>
      <sheetName val="EvoEmissionsInput"/>
      <sheetName val="Natgas"/>
      <sheetName val="SO2"/>
      <sheetName val="NOx"/>
      <sheetName val="EquityInput"/>
      <sheetName val="EquityPrices"/>
      <sheetName val="EquityVolume"/>
      <sheetName val="ICAPInput"/>
      <sheetName val="NappRail"/>
      <sheetName val="NappBarge"/>
      <sheetName val="IllBasin"/>
      <sheetName val="COUT"/>
      <sheetName val="AnalyticsDataPage"/>
      <sheetName val="ICAPVolume"/>
      <sheetName val="NetBackOutput"/>
      <sheetName val="GCCOutput"/>
      <sheetName val="ComIdOutput"/>
    </sheetNames>
    <sheetDataSet>
      <sheetData sheetId="0" refreshError="1"/>
      <sheetData sheetId="1">
        <row r="2">
          <cell r="B2">
            <v>37257</v>
          </cell>
          <cell r="C2">
            <v>37622</v>
          </cell>
          <cell r="D2">
            <v>37987</v>
          </cell>
          <cell r="E2">
            <v>37987</v>
          </cell>
          <cell r="F2">
            <v>38719</v>
          </cell>
          <cell r="G2">
            <v>39083</v>
          </cell>
          <cell r="H2">
            <v>39448</v>
          </cell>
          <cell r="I2">
            <v>39814</v>
          </cell>
          <cell r="J2">
            <v>40179</v>
          </cell>
          <cell r="K2">
            <v>40544</v>
          </cell>
          <cell r="L2">
            <v>40910</v>
          </cell>
          <cell r="M2">
            <v>41275</v>
          </cell>
          <cell r="N2">
            <v>41640</v>
          </cell>
          <cell r="O2">
            <v>42005</v>
          </cell>
          <cell r="P2">
            <v>42370</v>
          </cell>
          <cell r="Q2">
            <v>42737</v>
          </cell>
          <cell r="R2">
            <v>43101</v>
          </cell>
          <cell r="S2">
            <v>43466</v>
          </cell>
          <cell r="T2">
            <v>43831</v>
          </cell>
          <cell r="U2">
            <v>44197</v>
          </cell>
        </row>
        <row r="3">
          <cell r="B3">
            <v>37277</v>
          </cell>
          <cell r="C3">
            <v>37641</v>
          </cell>
          <cell r="D3">
            <v>38005</v>
          </cell>
          <cell r="E3">
            <v>38369</v>
          </cell>
          <cell r="F3">
            <v>38733</v>
          </cell>
          <cell r="G3">
            <v>39097</v>
          </cell>
          <cell r="H3">
            <v>39468</v>
          </cell>
          <cell r="I3">
            <v>39832</v>
          </cell>
          <cell r="J3">
            <v>40196</v>
          </cell>
          <cell r="K3">
            <v>40560</v>
          </cell>
          <cell r="L3">
            <v>40924</v>
          </cell>
          <cell r="M3">
            <v>41295</v>
          </cell>
          <cell r="N3">
            <v>41659</v>
          </cell>
          <cell r="O3">
            <v>42023</v>
          </cell>
          <cell r="P3">
            <v>42387</v>
          </cell>
          <cell r="Q3">
            <v>42751</v>
          </cell>
          <cell r="R3">
            <v>43115</v>
          </cell>
          <cell r="S3">
            <v>43486</v>
          </cell>
          <cell r="T3">
            <v>43850</v>
          </cell>
          <cell r="U3">
            <v>44214</v>
          </cell>
        </row>
        <row r="4">
          <cell r="B4">
            <v>37305</v>
          </cell>
          <cell r="C4">
            <v>37669</v>
          </cell>
          <cell r="D4">
            <v>38033</v>
          </cell>
          <cell r="E4">
            <v>38404</v>
          </cell>
          <cell r="F4">
            <v>38768</v>
          </cell>
          <cell r="G4">
            <v>39132</v>
          </cell>
          <cell r="H4">
            <v>39496</v>
          </cell>
          <cell r="I4">
            <v>39860</v>
          </cell>
          <cell r="J4">
            <v>40224</v>
          </cell>
          <cell r="K4">
            <v>40595</v>
          </cell>
          <cell r="L4">
            <v>40959</v>
          </cell>
          <cell r="M4">
            <v>41323</v>
          </cell>
          <cell r="N4">
            <v>41687</v>
          </cell>
          <cell r="O4">
            <v>42051</v>
          </cell>
          <cell r="P4">
            <v>42415</v>
          </cell>
          <cell r="Q4">
            <v>42786</v>
          </cell>
          <cell r="R4">
            <v>43150</v>
          </cell>
          <cell r="S4">
            <v>43514</v>
          </cell>
          <cell r="T4">
            <v>43878</v>
          </cell>
          <cell r="U4">
            <v>44242</v>
          </cell>
        </row>
        <row r="5">
          <cell r="B5">
            <v>37344</v>
          </cell>
          <cell r="C5">
            <v>37729</v>
          </cell>
          <cell r="D5">
            <v>38086</v>
          </cell>
          <cell r="E5">
            <v>38436</v>
          </cell>
          <cell r="F5">
            <v>38821</v>
          </cell>
          <cell r="G5">
            <v>39178</v>
          </cell>
          <cell r="H5">
            <v>39528</v>
          </cell>
          <cell r="I5">
            <v>39913</v>
          </cell>
          <cell r="J5">
            <v>40270</v>
          </cell>
          <cell r="K5">
            <v>40655</v>
          </cell>
          <cell r="L5">
            <v>41005</v>
          </cell>
          <cell r="M5">
            <v>41362</v>
          </cell>
          <cell r="N5">
            <v>41747</v>
          </cell>
          <cell r="O5">
            <v>42097</v>
          </cell>
          <cell r="P5">
            <v>42454</v>
          </cell>
          <cell r="Q5">
            <v>42884</v>
          </cell>
          <cell r="R5">
            <v>43189</v>
          </cell>
          <cell r="S5">
            <v>43574</v>
          </cell>
          <cell r="T5">
            <v>43931</v>
          </cell>
          <cell r="U5">
            <v>44288</v>
          </cell>
        </row>
        <row r="6">
          <cell r="B6">
            <v>37403</v>
          </cell>
          <cell r="C6">
            <v>37767</v>
          </cell>
          <cell r="D6">
            <v>38138</v>
          </cell>
          <cell r="E6">
            <v>38502</v>
          </cell>
          <cell r="F6">
            <v>38866</v>
          </cell>
          <cell r="G6">
            <v>39230</v>
          </cell>
          <cell r="H6">
            <v>39594</v>
          </cell>
          <cell r="I6">
            <v>39958</v>
          </cell>
          <cell r="J6">
            <v>40329</v>
          </cell>
          <cell r="K6">
            <v>40693</v>
          </cell>
          <cell r="L6">
            <v>41057</v>
          </cell>
          <cell r="M6">
            <v>41421</v>
          </cell>
          <cell r="N6">
            <v>41785</v>
          </cell>
          <cell r="O6">
            <v>42149</v>
          </cell>
          <cell r="P6">
            <v>42520</v>
          </cell>
          <cell r="Q6">
            <v>42920</v>
          </cell>
          <cell r="R6">
            <v>43248</v>
          </cell>
          <cell r="S6">
            <v>43612</v>
          </cell>
          <cell r="T6">
            <v>43976</v>
          </cell>
          <cell r="U6">
            <v>44347</v>
          </cell>
        </row>
        <row r="7">
          <cell r="B7">
            <v>37441</v>
          </cell>
          <cell r="C7">
            <v>37806</v>
          </cell>
          <cell r="D7">
            <v>38173</v>
          </cell>
          <cell r="E7">
            <v>38537</v>
          </cell>
          <cell r="F7">
            <v>38902</v>
          </cell>
          <cell r="G7">
            <v>39267</v>
          </cell>
          <cell r="H7">
            <v>39633</v>
          </cell>
          <cell r="I7">
            <v>39997</v>
          </cell>
          <cell r="J7">
            <v>40364</v>
          </cell>
          <cell r="K7">
            <v>40728</v>
          </cell>
          <cell r="L7">
            <v>41094</v>
          </cell>
          <cell r="M7">
            <v>41459</v>
          </cell>
          <cell r="N7">
            <v>41824</v>
          </cell>
          <cell r="O7">
            <v>42188</v>
          </cell>
          <cell r="P7">
            <v>42555</v>
          </cell>
          <cell r="Q7">
            <v>42982</v>
          </cell>
          <cell r="R7">
            <v>43285</v>
          </cell>
          <cell r="S7">
            <v>43650</v>
          </cell>
          <cell r="T7">
            <v>44015</v>
          </cell>
          <cell r="U7">
            <v>44382</v>
          </cell>
        </row>
        <row r="8">
          <cell r="B8">
            <v>37501</v>
          </cell>
          <cell r="C8">
            <v>37865</v>
          </cell>
          <cell r="D8">
            <v>38236</v>
          </cell>
          <cell r="E8">
            <v>38600</v>
          </cell>
          <cell r="F8">
            <v>38964</v>
          </cell>
          <cell r="G8">
            <v>39328</v>
          </cell>
          <cell r="H8">
            <v>39692</v>
          </cell>
          <cell r="I8">
            <v>40063</v>
          </cell>
          <cell r="J8">
            <v>40427</v>
          </cell>
          <cell r="K8">
            <v>40791</v>
          </cell>
          <cell r="L8">
            <v>41155</v>
          </cell>
          <cell r="M8">
            <v>41519</v>
          </cell>
          <cell r="N8">
            <v>41883</v>
          </cell>
          <cell r="O8">
            <v>42254</v>
          </cell>
          <cell r="P8">
            <v>42618</v>
          </cell>
          <cell r="Q8">
            <v>43062</v>
          </cell>
          <cell r="R8">
            <v>43346</v>
          </cell>
          <cell r="S8">
            <v>43710</v>
          </cell>
          <cell r="T8">
            <v>44081</v>
          </cell>
          <cell r="U8">
            <v>44445</v>
          </cell>
        </row>
        <row r="9">
          <cell r="B9">
            <v>37588</v>
          </cell>
          <cell r="C9">
            <v>37952</v>
          </cell>
          <cell r="D9">
            <v>38316</v>
          </cell>
          <cell r="E9">
            <v>38680</v>
          </cell>
          <cell r="F9">
            <v>39044</v>
          </cell>
          <cell r="G9">
            <v>39408</v>
          </cell>
          <cell r="H9">
            <v>39779</v>
          </cell>
          <cell r="I9">
            <v>40143</v>
          </cell>
          <cell r="J9">
            <v>40507</v>
          </cell>
          <cell r="K9">
            <v>40871</v>
          </cell>
          <cell r="L9">
            <v>41235</v>
          </cell>
          <cell r="M9">
            <v>41606</v>
          </cell>
          <cell r="N9">
            <v>41970</v>
          </cell>
          <cell r="O9">
            <v>42334</v>
          </cell>
          <cell r="P9">
            <v>42698</v>
          </cell>
          <cell r="Q9">
            <v>43094</v>
          </cell>
          <cell r="R9">
            <v>43426</v>
          </cell>
          <cell r="S9">
            <v>43797</v>
          </cell>
          <cell r="T9">
            <v>44161</v>
          </cell>
          <cell r="U9">
            <v>44525</v>
          </cell>
        </row>
        <row r="10">
          <cell r="B10">
            <v>37615</v>
          </cell>
          <cell r="C10">
            <v>37980</v>
          </cell>
          <cell r="D10">
            <v>38345</v>
          </cell>
          <cell r="E10">
            <v>38712</v>
          </cell>
          <cell r="F10">
            <v>39076</v>
          </cell>
          <cell r="G10">
            <v>39441</v>
          </cell>
          <cell r="H10">
            <v>39807</v>
          </cell>
          <cell r="I10">
            <v>40172</v>
          </cell>
          <cell r="J10">
            <v>40536</v>
          </cell>
          <cell r="K10">
            <v>40903</v>
          </cell>
          <cell r="L10">
            <v>41268</v>
          </cell>
          <cell r="M10">
            <v>41633</v>
          </cell>
          <cell r="N10">
            <v>41998</v>
          </cell>
          <cell r="O10">
            <v>42363</v>
          </cell>
          <cell r="P10">
            <v>42729</v>
          </cell>
          <cell r="Q10">
            <v>42839</v>
          </cell>
          <cell r="R10">
            <v>43459</v>
          </cell>
          <cell r="S10">
            <v>43824</v>
          </cell>
          <cell r="T10">
            <v>44190</v>
          </cell>
          <cell r="U10">
            <v>44555</v>
          </cell>
        </row>
        <row r="11">
          <cell r="B11">
            <v>37288</v>
          </cell>
          <cell r="D11">
            <v>38149</v>
          </cell>
          <cell r="G11">
            <v>39084</v>
          </cell>
          <cell r="L11">
            <v>41236</v>
          </cell>
          <cell r="O11">
            <v>42335</v>
          </cell>
          <cell r="P11">
            <v>42699</v>
          </cell>
        </row>
        <row r="12">
          <cell r="P12">
            <v>42730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theme/theme1.xml><?xml version="1.0" encoding="utf-8"?>
<a:theme xmlns:a="http://schemas.openxmlformats.org/drawingml/2006/main" name="IHS Generic Report PPT Template v37">
  <a:themeElements>
    <a:clrScheme name="CERA, Electronics and Media, Herold, Automotive">
      <a:dk1>
        <a:sysClr val="windowText" lastClr="000000"/>
      </a:dk1>
      <a:lt1>
        <a:sysClr val="window" lastClr="FFFFFF"/>
      </a:lt1>
      <a:dk2>
        <a:srgbClr val="009DDC"/>
      </a:dk2>
      <a:lt2>
        <a:srgbClr val="DAE3E7"/>
      </a:lt2>
      <a:accent1>
        <a:srgbClr val="009DDC"/>
      </a:accent1>
      <a:accent2>
        <a:srgbClr val="71D0F6"/>
      </a:accent2>
      <a:accent3>
        <a:srgbClr val="49A942"/>
      </a:accent3>
      <a:accent4>
        <a:srgbClr val="8DC63F"/>
      </a:accent4>
      <a:accent5>
        <a:srgbClr val="F58025"/>
      </a:accent5>
      <a:accent6>
        <a:srgbClr val="FDB913"/>
      </a:accent6>
      <a:hlink>
        <a:srgbClr val="0066B3"/>
      </a:hlink>
      <a:folHlink>
        <a:srgbClr val="133D8D"/>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E5EAEC"/>
        </a:solidFill>
        <a:ln w="3175">
          <a:noFill/>
        </a:ln>
      </a:spPr>
      <a:bodyPr wrap="square" lIns="108000" tIns="72000" rIns="108000" bIns="72000" rtlCol="0" anchor="ctr">
        <a:noAutofit/>
      </a:bodyPr>
      <a:lstStyle>
        <a:defPPr algn="ctr">
          <a:defRPr sz="1300" dirty="0" err="1"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3175" cap="rnd">
          <a:solidFill>
            <a:schemeClr val="tx2"/>
          </a:solidFill>
        </a:ln>
      </a:spPr>
      <a:bodyPr/>
      <a:lstStyle/>
      <a:style>
        <a:lnRef idx="1">
          <a:schemeClr val="accent1"/>
        </a:lnRef>
        <a:fillRef idx="0">
          <a:schemeClr val="accent1"/>
        </a:fillRef>
        <a:effectRef idx="0">
          <a:schemeClr val="accent1"/>
        </a:effectRef>
        <a:fontRef idx="minor">
          <a:schemeClr val="tx1"/>
        </a:fontRef>
      </a:style>
    </a:lnDef>
    <a:txDef>
      <a:spPr>
        <a:noFill/>
        <a:ln>
          <a:noFill/>
        </a:ln>
      </a:spPr>
      <a:bodyPr wrap="square" lIns="72000" tIns="72000" rIns="72000" bIns="72000" rtlCol="0">
        <a:noAutofit/>
      </a:bodyPr>
      <a:lstStyle>
        <a:defPPr>
          <a:defRPr sz="800" dirty="0" err="1" smtClean="0"/>
        </a:defPPr>
      </a:lstStyle>
    </a:txDef>
  </a:objectDefaults>
  <a:extraClrSchemeLst>
    <a:extraClrScheme>
      <a:clrScheme name="CERA, Electronics and Media, Herold, Automotive">
        <a:dk1>
          <a:sysClr val="windowText" lastClr="000000"/>
        </a:dk1>
        <a:lt1>
          <a:sysClr val="window" lastClr="FFFFFF"/>
        </a:lt1>
        <a:dk2>
          <a:srgbClr val="009DDC"/>
        </a:dk2>
        <a:lt2>
          <a:srgbClr val="DAE3E7"/>
        </a:lt2>
        <a:accent1>
          <a:srgbClr val="009DDC"/>
        </a:accent1>
        <a:accent2>
          <a:srgbClr val="71D0F6"/>
        </a:accent2>
        <a:accent3>
          <a:srgbClr val="49A942"/>
        </a:accent3>
        <a:accent4>
          <a:srgbClr val="8DC63F"/>
        </a:accent4>
        <a:accent5>
          <a:srgbClr val="F58025"/>
        </a:accent5>
        <a:accent6>
          <a:srgbClr val="FDB913"/>
        </a:accent6>
        <a:hlink>
          <a:srgbClr val="0066B3"/>
        </a:hlink>
        <a:folHlink>
          <a:srgbClr val="133D8D"/>
        </a:folHlink>
      </a:clrScheme>
    </a:extraClrScheme>
    <a:extraClrScheme>
      <a:clrScheme name="Chemical, Global Insight">
        <a:dk1>
          <a:sysClr val="windowText" lastClr="000000"/>
        </a:dk1>
        <a:lt1>
          <a:sysClr val="window" lastClr="FFFFFF"/>
        </a:lt1>
        <a:dk2>
          <a:srgbClr val="132361"/>
        </a:dk2>
        <a:lt2>
          <a:srgbClr val="DAE3E7"/>
        </a:lt2>
        <a:accent1>
          <a:srgbClr val="009DDC"/>
        </a:accent1>
        <a:accent2>
          <a:srgbClr val="71D0F6"/>
        </a:accent2>
        <a:accent3>
          <a:srgbClr val="49A942"/>
        </a:accent3>
        <a:accent4>
          <a:srgbClr val="8DC63F"/>
        </a:accent4>
        <a:accent5>
          <a:srgbClr val="F58025"/>
        </a:accent5>
        <a:accent6>
          <a:srgbClr val="FDB913"/>
        </a:accent6>
        <a:hlink>
          <a:srgbClr val="0066B3"/>
        </a:hlink>
        <a:folHlink>
          <a:srgbClr val="133D8D"/>
        </a:folHlink>
      </a:clrScheme>
    </a:extraClrScheme>
  </a:extraClrSchemeLst>
  <a:custClrLst>
    <a:custClr name="IHS Dark Blue">
      <a:srgbClr val="133D8D"/>
    </a:custClr>
    <a:custClr name="IHS Light Blue">
      <a:srgbClr val="71D0F6"/>
    </a:custClr>
    <a:custClr name="IHS Dark Green">
      <a:srgbClr val="49A942"/>
    </a:custClr>
    <a:custClr name="IHS Light Yellow">
      <a:srgbClr val="FFD200"/>
    </a:custClr>
    <a:custClr name="IHS Burnt Orange">
      <a:srgbClr val="C84623"/>
    </a:custClr>
    <a:custClr name="IHS Light Green">
      <a:srgbClr val="C1D82F"/>
    </a:custClr>
    <a:custClr name="IHS Bright Blue">
      <a:srgbClr val="009DDC"/>
    </a:custClr>
    <a:custClr name="IHS Light Grey">
      <a:srgbClr val="CFD4D8"/>
    </a:custClr>
    <a:custClr name="IHS Purple">
      <a:srgbClr val="4B254C"/>
    </a:custClr>
    <a:custClr name="IHS Dark Orange">
      <a:srgbClr val="F58025"/>
    </a:custClr>
    <a:custClr name="IHS Blue">
      <a:srgbClr val="0066B3"/>
    </a:custClr>
    <a:custClr name="IHS Bright Green">
      <a:srgbClr val="8DC63F"/>
    </a:custClr>
    <a:custClr name="IHS Dark Green2">
      <a:srgbClr val="265B3F"/>
    </a:custClr>
    <a:custClr name="IHS Bright Yellow">
      <a:srgbClr val="FDB913"/>
    </a:custClr>
    <a:custClr name="IHS Dark Grey">
      <a:srgbClr val="606970"/>
    </a:custClr>
    <a:custClr name="IHS Grey">
      <a:srgbClr val="8A9298"/>
    </a:custClr>
    <a:custClr name="IHS Box Grey">
      <a:srgbClr val="DAE3E7"/>
    </a:custClr>
    <a:custClr name="IHS Green">
      <a:srgbClr val="6F9B7D"/>
    </a:custClr>
    <a:custClr name="IHS FP Dark Blue">
      <a:srgbClr val="1B415A"/>
    </a:custClr>
    <a:custClr name="IHS Dark Blue2">
      <a:srgbClr val="132361"/>
    </a:custClr>
    <a:custClr name="IHS FP Blue">
      <a:srgbClr val="699BBB"/>
    </a:custClr>
    <a:custClr name="IHS Light Yellow2">
      <a:srgbClr val="FFEA82"/>
    </a:custClr>
    <a:custClr name="Light Land Fill">
      <a:srgbClr val="F2F1EC"/>
    </a:custClr>
    <a:custClr name="Land Fill">
      <a:srgbClr val="D3D2C2"/>
    </a:custClr>
    <a:custClr name="Dark Land Fill">
      <a:srgbClr val="A8A89D"/>
    </a:custClr>
    <a:custClr name="Land Borders">
      <a:srgbClr val="6D6E67"/>
    </a:custClr>
    <a:custClr name="Sea Fill">
      <a:srgbClr val="D1DFE7"/>
    </a:custClr>
    <a:custClr name="Sea Text">
      <a:srgbClr val="467082"/>
    </a:custClr>
    <a:custClr name="Countries Text">
      <a:srgbClr val="606A70"/>
    </a:custClr>
    <a:custClr name="Cities/Towns Text">
      <a:srgbClr val="231F20"/>
    </a:custClr>
  </a:custClr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4.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5.vml"/><Relationship Id="rId7" Type="http://schemas.openxmlformats.org/officeDocument/2006/relationships/ctrlProp" Target="../ctrlProps/ctrlProp28.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6.vml"/><Relationship Id="rId7" Type="http://schemas.openxmlformats.org/officeDocument/2006/relationships/ctrlProp" Target="../ctrlProps/ctrlProp34.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40.xml"/><Relationship Id="rId2" Type="http://schemas.openxmlformats.org/officeDocument/2006/relationships/drawing" Target="../drawings/drawing15.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8.vml"/><Relationship Id="rId7" Type="http://schemas.openxmlformats.org/officeDocument/2006/relationships/ctrlProp" Target="../ctrlProps/ctrlProp44.xml"/><Relationship Id="rId2" Type="http://schemas.openxmlformats.org/officeDocument/2006/relationships/drawing" Target="../drawings/drawing17.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15"/>
  <sheetViews>
    <sheetView workbookViewId="0"/>
  </sheetViews>
  <sheetFormatPr defaultColWidth="9" defaultRowHeight="10.199999999999999"/>
  <cols>
    <col min="1" max="1" width="16.59765625" style="48" customWidth="1"/>
    <col min="2" max="2" width="11.19921875" style="48" customWidth="1"/>
    <col min="3" max="3" width="13.8984375" style="48" customWidth="1"/>
    <col min="4" max="4" width="15.3984375" style="48" customWidth="1"/>
    <col min="5" max="5" width="15.69921875" style="48" customWidth="1"/>
    <col min="6" max="6" width="12.09765625" style="48" customWidth="1"/>
    <col min="7" max="7" width="12" style="48" customWidth="1"/>
    <col min="8" max="8" width="17.59765625" style="48" customWidth="1"/>
    <col min="9" max="16384" width="9" style="48"/>
  </cols>
  <sheetData>
    <row r="1" spans="1:10" ht="13.2">
      <c r="A1" s="47" t="s">
        <v>55</v>
      </c>
      <c r="B1" s="47"/>
      <c r="C1" s="47"/>
      <c r="D1" s="47"/>
      <c r="E1" s="47"/>
      <c r="F1" s="47"/>
      <c r="G1" s="47"/>
      <c r="H1" s="47"/>
    </row>
    <row r="2" spans="1:10">
      <c r="A2" s="49" t="s">
        <v>56</v>
      </c>
      <c r="B2" s="49"/>
      <c r="C2" s="49"/>
      <c r="D2" s="49"/>
      <c r="E2" s="49"/>
      <c r="F2" s="49"/>
      <c r="G2" s="49"/>
      <c r="H2" s="49"/>
    </row>
    <row r="3" spans="1:10" ht="18" customHeight="1">
      <c r="A3" s="50" t="s">
        <v>57</v>
      </c>
      <c r="B3" s="50"/>
      <c r="C3" s="50"/>
      <c r="D3" s="50"/>
      <c r="E3" s="50"/>
      <c r="F3" s="50"/>
      <c r="G3" s="50"/>
      <c r="H3" s="50"/>
      <c r="I3" s="51"/>
    </row>
    <row r="4" spans="1:10" ht="18.75" customHeight="1" thickBot="1">
      <c r="A4" s="52" t="s">
        <v>58</v>
      </c>
      <c r="B4" s="52"/>
      <c r="C4" s="52"/>
      <c r="D4" s="52"/>
      <c r="E4" s="52"/>
      <c r="F4" s="52"/>
      <c r="G4" s="52"/>
      <c r="H4" s="52"/>
    </row>
    <row r="5" spans="1:10">
      <c r="A5" s="53" t="s">
        <v>59</v>
      </c>
      <c r="B5" s="53"/>
      <c r="C5" s="53"/>
      <c r="D5" s="53"/>
      <c r="E5" s="53"/>
      <c r="F5" s="53"/>
      <c r="G5" s="53"/>
      <c r="H5" s="53"/>
    </row>
    <row r="6" spans="1:10">
      <c r="A6" s="54" t="s">
        <v>60</v>
      </c>
      <c r="B6" s="55" t="s">
        <v>61</v>
      </c>
      <c r="C6" s="55" t="s">
        <v>61</v>
      </c>
      <c r="D6" s="55" t="s">
        <v>61</v>
      </c>
      <c r="E6" s="55" t="s">
        <v>61</v>
      </c>
      <c r="F6" s="55" t="s">
        <v>61</v>
      </c>
      <c r="G6" s="55" t="s">
        <v>61</v>
      </c>
      <c r="H6" s="55" t="s">
        <v>61</v>
      </c>
    </row>
    <row r="7" spans="1:10">
      <c r="A7" s="56" t="s">
        <v>62</v>
      </c>
      <c r="B7" s="55" t="s">
        <v>61</v>
      </c>
      <c r="C7" s="55" t="s">
        <v>61</v>
      </c>
      <c r="D7" s="55" t="s">
        <v>61</v>
      </c>
      <c r="E7" s="55" t="s">
        <v>61</v>
      </c>
      <c r="F7" s="55" t="s">
        <v>61</v>
      </c>
      <c r="G7" s="55" t="s">
        <v>61</v>
      </c>
      <c r="H7" s="55" t="s">
        <v>61</v>
      </c>
    </row>
    <row r="8" spans="1:10">
      <c r="A8" s="57" t="s">
        <v>63</v>
      </c>
      <c r="B8" s="55" t="s">
        <v>61</v>
      </c>
      <c r="C8" s="55" t="s">
        <v>61</v>
      </c>
      <c r="D8" s="55" t="s">
        <v>61</v>
      </c>
      <c r="E8" s="55" t="s">
        <v>61</v>
      </c>
      <c r="F8" s="55" t="s">
        <v>61</v>
      </c>
      <c r="G8" s="55" t="s">
        <v>61</v>
      </c>
      <c r="H8" s="55" t="s">
        <v>61</v>
      </c>
    </row>
    <row r="9" spans="1:10">
      <c r="A9" s="58" t="s">
        <v>64</v>
      </c>
      <c r="B9" s="55" t="s">
        <v>61</v>
      </c>
      <c r="C9" s="59" t="s">
        <v>65</v>
      </c>
      <c r="D9" s="55" t="s">
        <v>61</v>
      </c>
      <c r="E9" s="55" t="s">
        <v>61</v>
      </c>
      <c r="F9" s="55" t="s">
        <v>61</v>
      </c>
      <c r="G9" s="55" t="s">
        <v>61</v>
      </c>
      <c r="H9" s="55" t="s">
        <v>61</v>
      </c>
      <c r="J9" s="60"/>
    </row>
    <row r="10" spans="1:10">
      <c r="A10" s="53" t="s">
        <v>59</v>
      </c>
      <c r="B10" s="53"/>
      <c r="C10" s="53"/>
      <c r="D10" s="53"/>
      <c r="E10" s="53"/>
      <c r="F10" s="53"/>
      <c r="G10" s="53"/>
      <c r="H10" s="53"/>
      <c r="J10" s="61"/>
    </row>
    <row r="11" spans="1:10">
      <c r="A11" s="55" t="s">
        <v>61</v>
      </c>
      <c r="B11" s="55" t="s">
        <v>61</v>
      </c>
      <c r="C11" s="55" t="s">
        <v>61</v>
      </c>
      <c r="D11" s="55" t="s">
        <v>61</v>
      </c>
      <c r="E11" s="55" t="s">
        <v>61</v>
      </c>
      <c r="F11" s="55" t="s">
        <v>61</v>
      </c>
      <c r="G11" s="55" t="s">
        <v>61</v>
      </c>
      <c r="H11" s="55" t="s">
        <v>61</v>
      </c>
    </row>
    <row r="12" spans="1:10">
      <c r="A12" s="55" t="s">
        <v>61</v>
      </c>
      <c r="B12" s="55" t="s">
        <v>61</v>
      </c>
      <c r="C12" s="55" t="s">
        <v>61</v>
      </c>
      <c r="D12" s="55" t="s">
        <v>61</v>
      </c>
      <c r="E12" s="55" t="s">
        <v>61</v>
      </c>
      <c r="F12" s="55" t="s">
        <v>61</v>
      </c>
      <c r="G12" s="55" t="s">
        <v>61</v>
      </c>
      <c r="H12" s="55" t="s">
        <v>61</v>
      </c>
    </row>
    <row r="13" spans="1:10" ht="10.8" thickBot="1">
      <c r="A13" s="62" t="s">
        <v>66</v>
      </c>
      <c r="B13" s="62"/>
      <c r="C13" s="62"/>
      <c r="D13" s="62"/>
      <c r="E13" s="62"/>
      <c r="F13" s="62"/>
      <c r="G13" s="62"/>
      <c r="H13" s="62"/>
    </row>
    <row r="14" spans="1:10">
      <c r="A14" s="125" t="s">
        <v>67</v>
      </c>
      <c r="B14" s="125"/>
      <c r="C14" s="125"/>
      <c r="D14" s="125"/>
      <c r="E14" s="125"/>
      <c r="F14" s="125"/>
      <c r="G14" s="125"/>
      <c r="H14" s="125"/>
    </row>
    <row r="15" spans="1:10">
      <c r="A15" s="63" t="s">
        <v>68</v>
      </c>
      <c r="B15" s="64"/>
      <c r="C15" s="64"/>
      <c r="D15" s="64"/>
      <c r="E15" s="64"/>
      <c r="F15" s="64"/>
      <c r="G15" s="64"/>
      <c r="H15" s="64"/>
    </row>
  </sheetData>
  <mergeCells count="1">
    <mergeCell ref="A14:H14"/>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sqref="A1:B1"/>
    </sheetView>
  </sheetViews>
  <sheetFormatPr defaultColWidth="9" defaultRowHeight="10.199999999999999"/>
  <cols>
    <col min="1" max="1" width="19.59765625" style="48" customWidth="1"/>
    <col min="2" max="2" width="33.3984375" style="48" customWidth="1"/>
    <col min="3" max="3" width="11.8984375" style="48" customWidth="1"/>
    <col min="4" max="16384" width="9" style="48"/>
  </cols>
  <sheetData>
    <row r="1" spans="1:2" ht="99" customHeight="1">
      <c r="A1" s="126" t="s">
        <v>69</v>
      </c>
      <c r="B1" s="126"/>
    </row>
    <row r="3" spans="1:2" ht="156">
      <c r="A3" s="65" t="s">
        <v>70</v>
      </c>
      <c r="B3" s="55" t="s">
        <v>71</v>
      </c>
    </row>
    <row r="4" spans="1:2" ht="51">
      <c r="A4" s="65" t="s">
        <v>72</v>
      </c>
      <c r="B4" s="55" t="s">
        <v>73</v>
      </c>
    </row>
    <row r="5" spans="1:2" ht="136.80000000000001">
      <c r="A5" s="65" t="s">
        <v>74</v>
      </c>
      <c r="B5" s="55" t="s">
        <v>75</v>
      </c>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D17"/>
  <sheetViews>
    <sheetView workbookViewId="0">
      <selection activeCell="B23" sqref="B23"/>
    </sheetView>
  </sheetViews>
  <sheetFormatPr defaultColWidth="9" defaultRowHeight="10.199999999999999"/>
  <cols>
    <col min="1" max="1" width="38.8984375" style="48" customWidth="1"/>
    <col min="2" max="2" width="13.59765625" style="48" customWidth="1"/>
    <col min="3" max="3" width="29.3984375" style="48" customWidth="1"/>
    <col min="4" max="4" width="28.59765625" style="48" customWidth="1"/>
    <col min="5" max="16384" width="9" style="48"/>
  </cols>
  <sheetData>
    <row r="1" spans="1:4" ht="41.4">
      <c r="A1" s="66" t="s">
        <v>76</v>
      </c>
      <c r="B1" s="67" t="s">
        <v>77</v>
      </c>
      <c r="C1" s="68" t="s">
        <v>78</v>
      </c>
      <c r="D1" s="69" t="s">
        <v>79</v>
      </c>
    </row>
    <row r="2" spans="1:4" ht="15" customHeight="1">
      <c r="A2" s="70" t="s">
        <v>80</v>
      </c>
      <c r="B2" s="68" t="s">
        <v>81</v>
      </c>
      <c r="C2" s="47" t="s">
        <v>82</v>
      </c>
      <c r="D2" s="70" t="s">
        <v>83</v>
      </c>
    </row>
    <row r="3" spans="1:4" ht="15" customHeight="1">
      <c r="A3" s="70" t="s">
        <v>84</v>
      </c>
      <c r="B3" s="68" t="s">
        <v>85</v>
      </c>
      <c r="C3" s="49" t="s">
        <v>86</v>
      </c>
      <c r="D3" s="70" t="s">
        <v>83</v>
      </c>
    </row>
    <row r="4" spans="1:4" ht="15" customHeight="1">
      <c r="A4" s="70" t="s">
        <v>87</v>
      </c>
      <c r="B4" s="68" t="s">
        <v>88</v>
      </c>
      <c r="C4" s="71" t="s">
        <v>57</v>
      </c>
      <c r="D4" s="70" t="s">
        <v>83</v>
      </c>
    </row>
    <row r="5" spans="1:4" ht="15" customHeight="1" thickBot="1">
      <c r="A5" s="70" t="s">
        <v>89</v>
      </c>
      <c r="B5" s="68" t="s">
        <v>90</v>
      </c>
      <c r="C5" s="72" t="s">
        <v>58</v>
      </c>
      <c r="D5" s="70" t="s">
        <v>83</v>
      </c>
    </row>
    <row r="6" spans="1:4" ht="15" customHeight="1">
      <c r="A6" s="70" t="s">
        <v>91</v>
      </c>
      <c r="B6" s="68" t="s">
        <v>92</v>
      </c>
      <c r="C6" s="73" t="s">
        <v>59</v>
      </c>
      <c r="D6" s="70" t="s">
        <v>83</v>
      </c>
    </row>
    <row r="7" spans="1:4" ht="15" customHeight="1">
      <c r="A7" s="70" t="s">
        <v>93</v>
      </c>
      <c r="B7" s="68" t="s">
        <v>94</v>
      </c>
      <c r="C7" s="74" t="s">
        <v>95</v>
      </c>
      <c r="D7" s="70" t="s">
        <v>83</v>
      </c>
    </row>
    <row r="8" spans="1:4" ht="15" customHeight="1">
      <c r="A8" s="70" t="s">
        <v>96</v>
      </c>
      <c r="B8" s="68" t="s">
        <v>97</v>
      </c>
      <c r="C8" s="54" t="s">
        <v>60</v>
      </c>
      <c r="D8" s="70" t="s">
        <v>83</v>
      </c>
    </row>
    <row r="9" spans="1:4" ht="15" customHeight="1">
      <c r="A9" s="70" t="s">
        <v>98</v>
      </c>
      <c r="B9" s="68">
        <v>2</v>
      </c>
      <c r="C9" s="75" t="s">
        <v>62</v>
      </c>
      <c r="D9" s="70" t="s">
        <v>83</v>
      </c>
    </row>
    <row r="10" spans="1:4" ht="15" customHeight="1">
      <c r="A10" s="70" t="s">
        <v>99</v>
      </c>
      <c r="B10" s="68">
        <v>3</v>
      </c>
      <c r="C10" s="76" t="s">
        <v>63</v>
      </c>
      <c r="D10" s="70" t="s">
        <v>83</v>
      </c>
    </row>
    <row r="11" spans="1:4" ht="15" customHeight="1">
      <c r="A11" s="70" t="s">
        <v>100</v>
      </c>
      <c r="B11" s="68">
        <v>4</v>
      </c>
      <c r="C11" s="77" t="s">
        <v>64</v>
      </c>
      <c r="D11" s="70" t="s">
        <v>83</v>
      </c>
    </row>
    <row r="12" spans="1:4" ht="15" customHeight="1" thickBot="1">
      <c r="A12" s="70" t="s">
        <v>101</v>
      </c>
      <c r="B12" s="68" t="s">
        <v>102</v>
      </c>
      <c r="C12" s="62" t="s">
        <v>66</v>
      </c>
      <c r="D12" s="70" t="s">
        <v>83</v>
      </c>
    </row>
    <row r="13" spans="1:4" ht="15" customHeight="1">
      <c r="A13" s="70" t="s">
        <v>103</v>
      </c>
      <c r="B13" s="68" t="s">
        <v>104</v>
      </c>
      <c r="C13" s="78" t="s">
        <v>67</v>
      </c>
      <c r="D13" s="70" t="s">
        <v>83</v>
      </c>
    </row>
    <row r="14" spans="1:4" ht="15" customHeight="1">
      <c r="A14" s="70" t="s">
        <v>105</v>
      </c>
      <c r="B14" s="68" t="s">
        <v>106</v>
      </c>
      <c r="C14" s="79" t="s">
        <v>68</v>
      </c>
      <c r="D14" s="70" t="s">
        <v>83</v>
      </c>
    </row>
    <row r="16" spans="1:4" ht="13.8">
      <c r="A16" s="70"/>
      <c r="B16" s="68"/>
      <c r="D16" s="70"/>
    </row>
    <row r="17" spans="1:4" ht="13.8">
      <c r="A17" s="70"/>
      <c r="B17" s="68"/>
      <c r="D17" s="7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5">
    <tabColor theme="3" tint="-0.499984740745262"/>
  </sheetPr>
  <dimension ref="A1:AD552"/>
  <sheetViews>
    <sheetView showGridLines="0" topLeftCell="A4" zoomScaleNormal="100" workbookViewId="0">
      <selection activeCell="J5" sqref="J5:T27"/>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10.59765625" style="2" customWidth="1"/>
    <col min="8" max="8" width="22.59765625" style="2" customWidth="1"/>
    <col min="9" max="9" width="5" style="2" customWidth="1"/>
    <col min="10" max="10" width="16.09765625" style="46" customWidth="1"/>
    <col min="11" max="11" width="15.09765625" style="2" bestFit="1" customWidth="1"/>
    <col min="12" max="12" width="17.59765625" style="2" bestFit="1" customWidth="1"/>
    <col min="13" max="13" width="12.09765625" style="2" bestFit="1" customWidth="1"/>
    <col min="14" max="14" width="14.59765625" style="2" bestFit="1" customWidth="1"/>
    <col min="15" max="16384" width="9" style="2"/>
  </cols>
  <sheetData>
    <row r="1" spans="1:30">
      <c r="A1" t="s">
        <v>2</v>
      </c>
    </row>
    <row r="3" spans="1:30" ht="14.4" thickBot="1">
      <c r="B3" s="5" t="s">
        <v>22</v>
      </c>
      <c r="C3" s="5" t="s">
        <v>23</v>
      </c>
      <c r="G3" s="5" t="s">
        <v>8</v>
      </c>
      <c r="J3" s="99" t="s">
        <v>14</v>
      </c>
      <c r="L3" s="3"/>
      <c r="M3" s="4"/>
    </row>
    <row r="4" spans="1:30" ht="14.4" thickBot="1">
      <c r="B4" s="130" t="s">
        <v>24</v>
      </c>
      <c r="C4" s="127" t="s">
        <v>126</v>
      </c>
      <c r="D4" s="128"/>
      <c r="E4" s="129"/>
      <c r="G4" s="127" t="s">
        <v>138</v>
      </c>
      <c r="H4" s="129"/>
      <c r="I4" s="8"/>
      <c r="J4" s="100"/>
      <c r="K4" s="93" t="s">
        <v>116</v>
      </c>
      <c r="L4" s="94" t="s">
        <v>117</v>
      </c>
      <c r="M4" s="94" t="s">
        <v>118</v>
      </c>
      <c r="N4" s="94" t="s">
        <v>119</v>
      </c>
      <c r="O4" s="94" t="s">
        <v>120</v>
      </c>
      <c r="P4" s="94" t="s">
        <v>121</v>
      </c>
      <c r="Q4" s="94" t="s">
        <v>122</v>
      </c>
      <c r="R4" s="95" t="s">
        <v>123</v>
      </c>
      <c r="S4" s="96" t="s">
        <v>124</v>
      </c>
      <c r="T4" s="97" t="s">
        <v>125</v>
      </c>
      <c r="U4" s="31"/>
      <c r="V4" s="31"/>
      <c r="W4" s="31"/>
      <c r="X4" s="31"/>
      <c r="Y4" s="31"/>
      <c r="Z4" s="31"/>
      <c r="AA4" s="31"/>
      <c r="AB4" s="31"/>
      <c r="AC4" s="31"/>
      <c r="AD4" s="31"/>
    </row>
    <row r="5" spans="1:30" ht="14.4" thickTop="1">
      <c r="B5" s="130"/>
      <c r="G5" s="35"/>
      <c r="J5" s="107">
        <v>44788</v>
      </c>
      <c r="K5" s="98">
        <v>8.73</v>
      </c>
      <c r="L5" s="98">
        <v>8.7100000000000009</v>
      </c>
      <c r="M5" s="98">
        <v>8.8000000000000007</v>
      </c>
      <c r="N5" s="98">
        <v>8.19</v>
      </c>
      <c r="O5" s="98">
        <v>5.29</v>
      </c>
      <c r="P5" s="98">
        <v>6.09</v>
      </c>
      <c r="Q5" s="98">
        <v>4.97</v>
      </c>
      <c r="R5" s="98">
        <v>4.72</v>
      </c>
      <c r="S5" s="98">
        <v>4.6100000000000003</v>
      </c>
      <c r="T5" s="98">
        <v>4.55</v>
      </c>
      <c r="U5" s="33"/>
      <c r="V5" s="33"/>
      <c r="W5" s="33"/>
      <c r="X5" s="33"/>
      <c r="Y5" s="33"/>
      <c r="Z5" s="33"/>
      <c r="AA5" s="33"/>
      <c r="AB5" s="33"/>
      <c r="AC5" s="33"/>
      <c r="AD5" s="33"/>
    </row>
    <row r="6" spans="1:30" ht="14.4" thickBot="1">
      <c r="C6" s="5" t="s">
        <v>3</v>
      </c>
      <c r="G6" s="5" t="s">
        <v>25</v>
      </c>
      <c r="J6" s="108">
        <v>44789</v>
      </c>
      <c r="K6" s="98">
        <v>9.33</v>
      </c>
      <c r="L6" s="98">
        <v>9.31</v>
      </c>
      <c r="M6" s="98">
        <v>9.3800000000000008</v>
      </c>
      <c r="N6" s="98">
        <v>8.68</v>
      </c>
      <c r="O6" s="98">
        <v>5.53</v>
      </c>
      <c r="P6" s="98">
        <v>6.37</v>
      </c>
      <c r="Q6" s="98">
        <v>5.08</v>
      </c>
      <c r="R6" s="98">
        <v>4.7699999999999996</v>
      </c>
      <c r="S6" s="98">
        <v>4.6500000000000004</v>
      </c>
      <c r="T6" s="98">
        <v>4.59</v>
      </c>
      <c r="U6" s="33"/>
      <c r="V6" s="33"/>
      <c r="W6" s="33"/>
      <c r="X6" s="33"/>
      <c r="Y6" s="33"/>
      <c r="Z6" s="33"/>
      <c r="AA6" s="33"/>
      <c r="AB6" s="33"/>
      <c r="AC6" s="33"/>
      <c r="AD6" s="33"/>
    </row>
    <row r="7" spans="1:30" ht="14.4" thickBot="1">
      <c r="C7" s="127" t="s">
        <v>20</v>
      </c>
      <c r="D7" s="128"/>
      <c r="E7" s="129"/>
      <c r="G7" s="127"/>
      <c r="H7" s="129"/>
      <c r="J7" s="109">
        <v>44790</v>
      </c>
      <c r="K7" s="98">
        <v>9.24</v>
      </c>
      <c r="L7" s="98">
        <v>9.23</v>
      </c>
      <c r="M7" s="98">
        <v>9.31</v>
      </c>
      <c r="N7" s="98">
        <v>8.6199999999999992</v>
      </c>
      <c r="O7" s="98">
        <v>5.49</v>
      </c>
      <c r="P7" s="98">
        <v>6.34</v>
      </c>
      <c r="Q7" s="98">
        <v>5.07</v>
      </c>
      <c r="R7" s="98">
        <v>4.74</v>
      </c>
      <c r="S7" s="98">
        <v>4.62</v>
      </c>
      <c r="T7" s="98">
        <v>4.57</v>
      </c>
      <c r="U7" s="33"/>
      <c r="V7" s="33"/>
      <c r="W7" s="33"/>
      <c r="X7" s="33"/>
      <c r="Y7" s="33"/>
      <c r="Z7" s="33"/>
      <c r="AA7" s="33"/>
      <c r="AB7" s="33"/>
      <c r="AC7" s="33"/>
      <c r="AD7" s="33"/>
    </row>
    <row r="8" spans="1:30">
      <c r="J8" s="108">
        <v>44791</v>
      </c>
      <c r="K8" s="98">
        <v>9.19</v>
      </c>
      <c r="L8" s="98">
        <v>9.17</v>
      </c>
      <c r="M8" s="98">
        <v>9.25</v>
      </c>
      <c r="N8" s="98">
        <v>8.59</v>
      </c>
      <c r="O8" s="98">
        <v>5.56</v>
      </c>
      <c r="P8" s="98">
        <v>6.38</v>
      </c>
      <c r="Q8" s="98">
        <v>5.08</v>
      </c>
      <c r="R8" s="98">
        <v>4.75</v>
      </c>
      <c r="S8" s="98">
        <v>4.62</v>
      </c>
      <c r="T8" s="98">
        <v>4.58</v>
      </c>
      <c r="U8" s="33"/>
      <c r="V8" s="33"/>
      <c r="W8" s="33"/>
      <c r="X8" s="33"/>
      <c r="Y8" s="33"/>
      <c r="Z8" s="33"/>
      <c r="AA8" s="33"/>
      <c r="AB8" s="33"/>
      <c r="AC8" s="33"/>
      <c r="AD8" s="33"/>
    </row>
    <row r="9" spans="1:30" ht="14.4" thickBot="1">
      <c r="C9" s="5" t="s">
        <v>4</v>
      </c>
      <c r="G9" s="35"/>
      <c r="J9" s="108">
        <v>44792</v>
      </c>
      <c r="K9" s="98">
        <v>9.34</v>
      </c>
      <c r="L9" s="98">
        <v>9.32</v>
      </c>
      <c r="M9" s="98">
        <v>9.4</v>
      </c>
      <c r="N9" s="98">
        <v>8.69</v>
      </c>
      <c r="O9" s="98">
        <v>5.54</v>
      </c>
      <c r="P9" s="98">
        <v>6.39</v>
      </c>
      <c r="Q9" s="98">
        <v>5.07</v>
      </c>
      <c r="R9" s="98">
        <v>4.76</v>
      </c>
      <c r="S9" s="98">
        <v>4.6399999999999997</v>
      </c>
      <c r="T9" s="98">
        <v>4.59</v>
      </c>
      <c r="U9" s="33"/>
      <c r="V9" s="33"/>
      <c r="W9" s="33"/>
      <c r="X9" s="33"/>
      <c r="Y9" s="33"/>
      <c r="Z9" s="33"/>
      <c r="AA9" s="33"/>
      <c r="AB9" s="33"/>
      <c r="AC9" s="33"/>
      <c r="AD9" s="33"/>
    </row>
    <row r="10" spans="1:30" ht="14.4" thickBot="1">
      <c r="C10" s="127" t="s">
        <v>144</v>
      </c>
      <c r="D10" s="128"/>
      <c r="E10" s="129"/>
      <c r="J10" s="108">
        <v>44795</v>
      </c>
      <c r="K10" s="98">
        <v>9.68</v>
      </c>
      <c r="L10" s="98">
        <v>9.65</v>
      </c>
      <c r="M10" s="98">
        <v>9.7200000000000006</v>
      </c>
      <c r="N10" s="98">
        <v>8.9499999999999993</v>
      </c>
      <c r="O10" s="98">
        <v>5.64</v>
      </c>
      <c r="P10" s="98">
        <v>6.53</v>
      </c>
      <c r="Q10" s="98">
        <v>5.14</v>
      </c>
      <c r="R10" s="98">
        <v>4.82</v>
      </c>
      <c r="S10" s="98">
        <v>4.7</v>
      </c>
      <c r="T10" s="98">
        <v>4.6500000000000004</v>
      </c>
      <c r="U10" s="33"/>
      <c r="V10" s="33"/>
      <c r="W10" s="33"/>
      <c r="X10" s="33"/>
      <c r="Y10" s="33"/>
      <c r="Z10" s="33"/>
      <c r="AA10" s="33"/>
      <c r="AB10" s="33"/>
      <c r="AC10" s="33"/>
      <c r="AD10" s="33"/>
    </row>
    <row r="11" spans="1:30">
      <c r="J11" s="108">
        <v>44796</v>
      </c>
      <c r="K11" s="98">
        <v>9.19</v>
      </c>
      <c r="L11" s="98">
        <v>9.16</v>
      </c>
      <c r="M11" s="98">
        <v>9.24</v>
      </c>
      <c r="N11" s="98">
        <v>8.61</v>
      </c>
      <c r="O11" s="98">
        <v>5.59</v>
      </c>
      <c r="P11" s="98">
        <v>6.41</v>
      </c>
      <c r="Q11" s="98">
        <v>5.13</v>
      </c>
      <c r="R11" s="98">
        <v>4.8099999999999996</v>
      </c>
      <c r="S11" s="98">
        <v>4.7</v>
      </c>
      <c r="T11" s="98">
        <v>4.66</v>
      </c>
      <c r="U11" s="33"/>
      <c r="V11" s="33"/>
      <c r="W11" s="33"/>
      <c r="X11" s="33"/>
      <c r="Y11" s="33"/>
      <c r="Z11" s="33"/>
      <c r="AA11" s="33"/>
      <c r="AB11" s="34"/>
      <c r="AC11" s="33"/>
      <c r="AD11" s="33"/>
    </row>
    <row r="12" spans="1:30">
      <c r="C12" s="111" t="s">
        <v>137</v>
      </c>
      <c r="J12" s="108">
        <v>44797</v>
      </c>
      <c r="K12" s="98">
        <v>9.33</v>
      </c>
      <c r="L12" s="98">
        <v>9.3000000000000007</v>
      </c>
      <c r="M12" s="98">
        <v>9.39</v>
      </c>
      <c r="N12" s="98">
        <v>8.74</v>
      </c>
      <c r="O12" s="98">
        <v>5.63</v>
      </c>
      <c r="P12" s="98">
        <v>6.47</v>
      </c>
      <c r="Q12" s="98">
        <v>5.13</v>
      </c>
      <c r="R12" s="98">
        <v>4.8099999999999996</v>
      </c>
      <c r="S12" s="98">
        <v>4.71</v>
      </c>
      <c r="T12" s="98">
        <v>4.68</v>
      </c>
      <c r="U12" s="33"/>
      <c r="V12" s="33"/>
      <c r="W12" s="33"/>
      <c r="X12" s="33"/>
      <c r="Y12" s="33"/>
      <c r="Z12" s="33"/>
      <c r="AA12" s="33"/>
      <c r="AB12" s="34"/>
      <c r="AC12" s="33"/>
      <c r="AD12" s="33"/>
    </row>
    <row r="13" spans="1:30">
      <c r="J13" s="108">
        <v>44798</v>
      </c>
      <c r="K13" s="98">
        <v>9.3800000000000008</v>
      </c>
      <c r="L13" s="98">
        <v>9.34</v>
      </c>
      <c r="M13" s="98">
        <v>9.44</v>
      </c>
      <c r="N13" s="98">
        <v>8.82</v>
      </c>
      <c r="O13" s="98">
        <v>5.7</v>
      </c>
      <c r="P13" s="98">
        <v>6.55</v>
      </c>
      <c r="Q13" s="98">
        <v>5.22</v>
      </c>
      <c r="R13" s="98">
        <v>4.88</v>
      </c>
      <c r="S13" s="98">
        <v>4.7699999999999996</v>
      </c>
      <c r="T13" s="98">
        <v>4.75</v>
      </c>
      <c r="U13" s="33"/>
      <c r="V13" s="33"/>
      <c r="W13" s="33"/>
      <c r="X13" s="33"/>
      <c r="Y13" s="33"/>
      <c r="Z13" s="33"/>
      <c r="AA13" s="33"/>
      <c r="AB13" s="34"/>
      <c r="AC13" s="33"/>
      <c r="AD13" s="33"/>
    </row>
    <row r="14" spans="1:30">
      <c r="B14" s="7"/>
      <c r="C14" s="7"/>
      <c r="D14" s="7"/>
      <c r="E14" s="7"/>
      <c r="F14" s="7"/>
      <c r="G14" s="7"/>
      <c r="H14" s="7"/>
      <c r="J14" s="108">
        <v>44799</v>
      </c>
      <c r="K14" s="98">
        <v>9.3000000000000007</v>
      </c>
      <c r="L14" s="98">
        <v>9.27</v>
      </c>
      <c r="M14" s="98">
        <v>9.36</v>
      </c>
      <c r="N14" s="98">
        <v>8.75</v>
      </c>
      <c r="O14" s="98">
        <v>5.75</v>
      </c>
      <c r="P14" s="98">
        <v>6.56</v>
      </c>
      <c r="Q14" s="98">
        <v>5.24</v>
      </c>
      <c r="R14" s="98">
        <v>4.9000000000000004</v>
      </c>
      <c r="S14" s="98">
        <v>4.8</v>
      </c>
      <c r="T14" s="98">
        <v>4.78</v>
      </c>
      <c r="U14" s="33"/>
      <c r="V14" s="33"/>
      <c r="W14" s="33"/>
      <c r="X14" s="33"/>
      <c r="Y14" s="33"/>
      <c r="Z14" s="33"/>
      <c r="AA14" s="33"/>
      <c r="AB14" s="34"/>
      <c r="AC14" s="33"/>
      <c r="AD14" s="33"/>
    </row>
    <row r="15" spans="1:30">
      <c r="B15" s="7"/>
      <c r="C15" s="7"/>
      <c r="D15" s="7"/>
      <c r="E15" s="7"/>
      <c r="F15" s="92"/>
      <c r="G15" s="92"/>
      <c r="H15" s="7"/>
      <c r="J15" s="108">
        <v>44802</v>
      </c>
      <c r="K15" s="98">
        <v>9.34</v>
      </c>
      <c r="L15" s="98">
        <v>9.4</v>
      </c>
      <c r="M15" s="98">
        <v>8.8179999999999996</v>
      </c>
      <c r="N15" s="98">
        <v>5.843</v>
      </c>
      <c r="O15" s="98">
        <v>5.8680000000000003</v>
      </c>
      <c r="P15" s="98">
        <v>6.66</v>
      </c>
      <c r="Q15" s="98">
        <v>5.31</v>
      </c>
      <c r="R15" s="98">
        <v>4.92</v>
      </c>
      <c r="S15" s="98">
        <v>4.8099999999999996</v>
      </c>
      <c r="T15" s="98">
        <v>4.8</v>
      </c>
      <c r="U15" s="33"/>
      <c r="V15" s="33"/>
      <c r="W15" s="33"/>
      <c r="X15" s="33"/>
      <c r="Y15" s="33"/>
      <c r="Z15" s="33"/>
      <c r="AA15" s="33"/>
      <c r="AB15" s="34"/>
      <c r="AC15" s="33"/>
      <c r="AD15" s="33"/>
    </row>
    <row r="16" spans="1:30">
      <c r="B16" s="7"/>
      <c r="C16" s="7"/>
      <c r="D16" s="7"/>
      <c r="E16" s="7"/>
      <c r="F16" s="92"/>
      <c r="G16" s="92"/>
      <c r="H16" s="7"/>
      <c r="J16" s="108">
        <v>44803</v>
      </c>
      <c r="K16" s="98">
        <v>9.0399999999999991</v>
      </c>
      <c r="L16" s="98">
        <v>9.1</v>
      </c>
      <c r="M16" s="98">
        <v>8.6</v>
      </c>
      <c r="N16" s="98">
        <v>5.81</v>
      </c>
      <c r="O16" s="98">
        <v>5.83</v>
      </c>
      <c r="P16" s="98">
        <v>6.58</v>
      </c>
      <c r="Q16" s="98">
        <v>5.29</v>
      </c>
      <c r="R16" s="98">
        <v>4.92</v>
      </c>
      <c r="S16" s="98">
        <v>4.82</v>
      </c>
      <c r="T16" s="98">
        <v>4.8099999999999996</v>
      </c>
      <c r="U16" s="33"/>
      <c r="V16" s="33"/>
      <c r="W16" s="33"/>
      <c r="X16" s="33"/>
      <c r="Y16" s="33"/>
      <c r="Z16" s="33"/>
      <c r="AA16" s="33"/>
      <c r="AB16" s="34"/>
      <c r="AC16" s="33"/>
      <c r="AD16" s="33"/>
    </row>
    <row r="17" spans="2:30">
      <c r="B17" s="7"/>
      <c r="C17" s="7"/>
      <c r="D17" s="7"/>
      <c r="E17" s="7"/>
      <c r="F17" s="92"/>
      <c r="G17" s="92"/>
      <c r="H17" s="7"/>
      <c r="J17" s="108">
        <v>44804</v>
      </c>
      <c r="K17" s="98">
        <v>9.1300000000000008</v>
      </c>
      <c r="L17" s="98">
        <v>9.19</v>
      </c>
      <c r="M17" s="98">
        <v>8.69</v>
      </c>
      <c r="N17" s="98">
        <v>5.83</v>
      </c>
      <c r="O17" s="98">
        <v>5.85</v>
      </c>
      <c r="P17" s="98">
        <v>6.61</v>
      </c>
      <c r="Q17" s="98">
        <v>5.29</v>
      </c>
      <c r="R17" s="98">
        <v>4.96</v>
      </c>
      <c r="S17" s="98">
        <v>4.87</v>
      </c>
      <c r="T17" s="98">
        <v>4.8499999999999996</v>
      </c>
      <c r="U17" s="33"/>
      <c r="V17" s="33"/>
      <c r="W17" s="33"/>
      <c r="X17" s="33"/>
      <c r="Y17" s="33"/>
      <c r="Z17" s="33"/>
      <c r="AA17" s="33"/>
      <c r="AB17" s="34"/>
      <c r="AC17" s="33"/>
      <c r="AD17" s="33"/>
    </row>
    <row r="18" spans="2:30">
      <c r="B18" s="7"/>
      <c r="C18" s="7"/>
      <c r="D18" s="7"/>
      <c r="E18" s="7"/>
      <c r="F18" s="92"/>
      <c r="G18" s="92"/>
      <c r="H18" s="7"/>
      <c r="J18" s="108">
        <v>44805</v>
      </c>
      <c r="K18" s="98">
        <v>9.26</v>
      </c>
      <c r="L18" s="98">
        <v>9.33</v>
      </c>
      <c r="M18" s="98">
        <v>9.36</v>
      </c>
      <c r="N18" s="98">
        <v>8.83</v>
      </c>
      <c r="O18" s="98">
        <v>5.89</v>
      </c>
      <c r="P18" s="98">
        <v>6.69</v>
      </c>
      <c r="Q18" s="98">
        <v>5.36</v>
      </c>
      <c r="R18" s="98">
        <v>5.03</v>
      </c>
      <c r="S18" s="98">
        <v>4.9400000000000004</v>
      </c>
      <c r="T18" s="98">
        <v>4.91</v>
      </c>
      <c r="U18" s="33"/>
      <c r="V18" s="33"/>
      <c r="W18" s="33"/>
      <c r="X18" s="33"/>
      <c r="Y18" s="33"/>
      <c r="Z18" s="33"/>
      <c r="AA18" s="33"/>
      <c r="AB18" s="34"/>
      <c r="AC18" s="33"/>
      <c r="AD18" s="33"/>
    </row>
    <row r="19" spans="2:30">
      <c r="B19" s="7"/>
      <c r="C19" s="7"/>
      <c r="D19" s="7"/>
      <c r="E19" s="7"/>
      <c r="F19" s="92"/>
      <c r="G19" s="92"/>
      <c r="H19" s="7"/>
      <c r="J19" s="108">
        <v>44806</v>
      </c>
      <c r="K19" s="98">
        <v>8.7899999999999991</v>
      </c>
      <c r="L19" s="98">
        <v>8.85</v>
      </c>
      <c r="M19" s="98">
        <v>8.8800000000000008</v>
      </c>
      <c r="N19" s="98">
        <v>8.42</v>
      </c>
      <c r="O19" s="98">
        <v>5.8</v>
      </c>
      <c r="P19" s="98">
        <v>6.54</v>
      </c>
      <c r="Q19" s="98">
        <v>5.32</v>
      </c>
      <c r="R19" s="98">
        <v>5.05</v>
      </c>
      <c r="S19" s="98">
        <v>4.99</v>
      </c>
      <c r="T19" s="98">
        <v>5</v>
      </c>
      <c r="U19" s="33"/>
      <c r="V19" s="33"/>
      <c r="W19" s="33"/>
      <c r="X19" s="33"/>
      <c r="Y19" s="33"/>
      <c r="Z19" s="33"/>
      <c r="AA19" s="33"/>
      <c r="AB19" s="34"/>
      <c r="AC19" s="33"/>
      <c r="AD19" s="33"/>
    </row>
    <row r="20" spans="2:30">
      <c r="B20" s="7"/>
      <c r="C20" s="7"/>
      <c r="D20" s="7"/>
      <c r="E20" s="7"/>
      <c r="F20" s="92"/>
      <c r="G20" s="92"/>
      <c r="H20" s="7"/>
      <c r="J20" s="108">
        <v>44810</v>
      </c>
      <c r="K20" s="98">
        <v>8.15</v>
      </c>
      <c r="L20" s="98">
        <v>8.2100000000000009</v>
      </c>
      <c r="M20" s="98">
        <v>8.24</v>
      </c>
      <c r="N20" s="98">
        <v>7.88</v>
      </c>
      <c r="O20" s="98">
        <v>5.61</v>
      </c>
      <c r="P20" s="98">
        <v>6.27</v>
      </c>
      <c r="Q20" s="98">
        <v>5.22</v>
      </c>
      <c r="R20" s="98">
        <v>5</v>
      </c>
      <c r="S20" s="98">
        <v>4.97</v>
      </c>
      <c r="T20" s="98">
        <v>4.99</v>
      </c>
      <c r="U20" s="33"/>
      <c r="V20" s="33"/>
      <c r="W20" s="33"/>
      <c r="X20" s="33"/>
      <c r="Y20" s="33"/>
      <c r="Z20" s="33"/>
      <c r="AA20" s="33"/>
      <c r="AB20" s="34"/>
      <c r="AC20" s="33"/>
      <c r="AD20" s="33"/>
    </row>
    <row r="21" spans="2:30">
      <c r="B21" s="7"/>
      <c r="C21" s="7"/>
      <c r="D21" s="7"/>
      <c r="E21" s="7"/>
      <c r="F21" s="92"/>
      <c r="G21" s="92"/>
      <c r="H21" s="7"/>
      <c r="J21" s="108">
        <v>44811</v>
      </c>
      <c r="K21" s="98">
        <v>7.84</v>
      </c>
      <c r="L21" s="98">
        <v>7.9</v>
      </c>
      <c r="M21" s="98">
        <v>7.93</v>
      </c>
      <c r="N21" s="98">
        <v>7.55</v>
      </c>
      <c r="O21" s="98">
        <v>5.28</v>
      </c>
      <c r="P21" s="98">
        <v>5.95</v>
      </c>
      <c r="Q21" s="98">
        <v>5.0199999999999996</v>
      </c>
      <c r="R21" s="98">
        <v>4.88</v>
      </c>
      <c r="S21" s="98">
        <v>4.88</v>
      </c>
      <c r="T21" s="98">
        <v>4.93</v>
      </c>
      <c r="U21" s="33"/>
      <c r="V21" s="33"/>
      <c r="W21" s="33"/>
      <c r="X21" s="33"/>
      <c r="Y21" s="33"/>
      <c r="Z21" s="33"/>
      <c r="AA21" s="33"/>
      <c r="AB21" s="34"/>
      <c r="AC21" s="33"/>
      <c r="AD21" s="33"/>
    </row>
    <row r="22" spans="2:30">
      <c r="B22" s="7"/>
      <c r="C22" s="7"/>
      <c r="D22" s="7"/>
      <c r="E22" s="7"/>
      <c r="F22" s="92"/>
      <c r="G22" s="92"/>
      <c r="H22" s="7"/>
      <c r="J22" s="108">
        <v>44812</v>
      </c>
      <c r="K22" s="98">
        <v>7.92</v>
      </c>
      <c r="L22" s="98">
        <v>7.97</v>
      </c>
      <c r="M22" s="98">
        <v>8</v>
      </c>
      <c r="N22" s="98">
        <v>7.66</v>
      </c>
      <c r="O22" s="98">
        <v>5.31</v>
      </c>
      <c r="P22" s="98">
        <v>5.99</v>
      </c>
      <c r="Q22" s="98">
        <v>4.9800000000000004</v>
      </c>
      <c r="R22" s="98">
        <v>4.82</v>
      </c>
      <c r="S22" s="98">
        <v>4.8</v>
      </c>
      <c r="T22" s="98">
        <v>4.87</v>
      </c>
      <c r="U22" s="33"/>
      <c r="V22" s="33"/>
      <c r="W22" s="33"/>
      <c r="X22" s="33"/>
      <c r="Y22" s="33"/>
      <c r="Z22" s="33"/>
      <c r="AA22" s="33"/>
      <c r="AB22" s="34"/>
      <c r="AC22" s="33"/>
      <c r="AD22" s="33"/>
    </row>
    <row r="23" spans="2:30">
      <c r="B23" s="7"/>
      <c r="C23" s="7"/>
      <c r="D23" s="7"/>
      <c r="E23" s="7"/>
      <c r="F23" s="7"/>
      <c r="G23" s="7"/>
      <c r="H23" s="7"/>
      <c r="J23" s="108">
        <v>44813</v>
      </c>
      <c r="K23" s="98">
        <v>8</v>
      </c>
      <c r="L23" s="98">
        <v>8.0399999999999991</v>
      </c>
      <c r="M23" s="98">
        <v>8.07</v>
      </c>
      <c r="N23" s="98">
        <v>7.74</v>
      </c>
      <c r="O23" s="98">
        <v>5.38</v>
      </c>
      <c r="P23" s="98">
        <v>6.06</v>
      </c>
      <c r="Q23" s="98">
        <v>5.05</v>
      </c>
      <c r="R23" s="98">
        <v>4.87</v>
      </c>
      <c r="S23" s="98">
        <v>4.8499999999999996</v>
      </c>
      <c r="T23" s="98">
        <v>4.93</v>
      </c>
      <c r="U23" s="33"/>
      <c r="V23" s="33"/>
      <c r="W23" s="33"/>
      <c r="X23" s="33"/>
      <c r="Y23" s="33"/>
      <c r="Z23" s="33"/>
      <c r="AA23" s="33"/>
      <c r="AB23" s="34"/>
      <c r="AC23" s="33"/>
      <c r="AD23" s="33"/>
    </row>
    <row r="24" spans="2:30">
      <c r="B24" s="7"/>
      <c r="C24" s="7"/>
      <c r="D24" s="7"/>
      <c r="E24" s="7"/>
      <c r="F24" s="7"/>
      <c r="G24" s="7"/>
      <c r="H24" s="7"/>
      <c r="J24" s="108">
        <v>44816</v>
      </c>
      <c r="K24" s="98">
        <v>8.25</v>
      </c>
      <c r="L24" s="98">
        <v>8.2899999999999991</v>
      </c>
      <c r="M24" s="98">
        <v>8.32</v>
      </c>
      <c r="N24" s="98">
        <v>7.93</v>
      </c>
      <c r="O24" s="98">
        <v>5.46</v>
      </c>
      <c r="P24" s="98">
        <v>6.16</v>
      </c>
      <c r="Q24" s="98">
        <v>5.08</v>
      </c>
      <c r="R24" s="98">
        <v>4.9000000000000004</v>
      </c>
      <c r="S24" s="98">
        <v>4.87</v>
      </c>
      <c r="T24" s="98">
        <v>4.88</v>
      </c>
      <c r="U24" s="33"/>
      <c r="V24" s="33"/>
      <c r="W24" s="33"/>
      <c r="X24" s="33"/>
      <c r="Y24" s="33"/>
      <c r="Z24" s="33"/>
      <c r="AA24" s="33"/>
      <c r="AB24" s="34"/>
      <c r="AC24" s="33"/>
      <c r="AD24" s="33"/>
    </row>
    <row r="25" spans="2:30">
      <c r="B25" s="7"/>
      <c r="C25" s="7"/>
      <c r="D25" s="7"/>
      <c r="E25" s="7"/>
      <c r="F25" s="7"/>
      <c r="G25" s="7"/>
      <c r="H25" s="7"/>
      <c r="J25" s="108">
        <v>44817</v>
      </c>
      <c r="K25" s="98">
        <v>8.2799999999999994</v>
      </c>
      <c r="L25" s="98">
        <v>8.33</v>
      </c>
      <c r="M25" s="98">
        <v>8.3699999999999992</v>
      </c>
      <c r="N25" s="98">
        <v>8</v>
      </c>
      <c r="O25" s="98">
        <v>5.51</v>
      </c>
      <c r="P25" s="98">
        <v>6.21</v>
      </c>
      <c r="Q25" s="98">
        <v>5.12</v>
      </c>
      <c r="R25" s="98">
        <v>4.93</v>
      </c>
      <c r="S25" s="98">
        <v>4.9000000000000004</v>
      </c>
      <c r="T25" s="98">
        <v>4.91</v>
      </c>
      <c r="U25" s="33"/>
      <c r="V25" s="33"/>
      <c r="W25" s="33"/>
      <c r="X25" s="33"/>
      <c r="Y25" s="33"/>
      <c r="Z25" s="33"/>
      <c r="AA25" s="33"/>
      <c r="AB25" s="34"/>
      <c r="AC25" s="33"/>
      <c r="AD25" s="33"/>
    </row>
    <row r="26" spans="2:30">
      <c r="B26" s="7"/>
      <c r="C26" s="7"/>
      <c r="D26" s="7"/>
      <c r="E26" s="7"/>
      <c r="F26" s="7"/>
      <c r="G26" s="7"/>
      <c r="H26" s="7"/>
      <c r="J26" s="108">
        <v>44818</v>
      </c>
      <c r="K26" s="98">
        <v>9.11</v>
      </c>
      <c r="L26" s="98">
        <v>9.17</v>
      </c>
      <c r="M26" s="98">
        <v>9.1999999999999993</v>
      </c>
      <c r="N26" s="98">
        <v>8.7799999999999994</v>
      </c>
      <c r="O26" s="98">
        <v>5.85</v>
      </c>
      <c r="P26" s="98">
        <v>6.65</v>
      </c>
      <c r="Q26" s="98">
        <v>5.29</v>
      </c>
      <c r="R26" s="98">
        <v>5.0199999999999996</v>
      </c>
      <c r="S26" s="98">
        <v>4.9400000000000004</v>
      </c>
      <c r="T26" s="98">
        <v>4.97</v>
      </c>
      <c r="U26" s="33"/>
      <c r="V26" s="33"/>
      <c r="W26" s="33"/>
      <c r="X26" s="33"/>
      <c r="Y26" s="33"/>
      <c r="Z26" s="33"/>
      <c r="AA26" s="33"/>
      <c r="AB26" s="34"/>
      <c r="AC26" s="33"/>
      <c r="AD26" s="33"/>
    </row>
    <row r="27" spans="2:30">
      <c r="B27" s="7"/>
      <c r="C27" s="7"/>
      <c r="D27" s="7"/>
      <c r="E27" s="7"/>
      <c r="F27" s="7"/>
      <c r="G27" s="7"/>
      <c r="H27" s="7"/>
      <c r="J27" s="108">
        <v>44819</v>
      </c>
      <c r="K27" s="98">
        <v>8.32</v>
      </c>
      <c r="L27" s="98">
        <v>8.3699999999999992</v>
      </c>
      <c r="M27" s="98">
        <v>8.41</v>
      </c>
      <c r="N27" s="98">
        <v>8.07</v>
      </c>
      <c r="O27" s="98">
        <v>5.71</v>
      </c>
      <c r="P27" s="98">
        <v>6.39</v>
      </c>
      <c r="Q27" s="98">
        <v>5.23</v>
      </c>
      <c r="R27" s="98">
        <v>4.97</v>
      </c>
      <c r="S27" s="98">
        <v>4.8899999999999997</v>
      </c>
      <c r="T27" s="98">
        <v>4.92</v>
      </c>
      <c r="U27" s="33"/>
      <c r="V27" s="33"/>
      <c r="W27" s="33"/>
      <c r="X27" s="33"/>
      <c r="Y27" s="33"/>
      <c r="Z27" s="33"/>
      <c r="AA27" s="33"/>
      <c r="AB27" s="34"/>
      <c r="AC27" s="33"/>
      <c r="AD27" s="33"/>
    </row>
    <row r="28" spans="2:30">
      <c r="B28" s="7"/>
      <c r="C28" s="7"/>
      <c r="D28" s="7"/>
      <c r="E28" s="7"/>
      <c r="F28" s="7"/>
      <c r="G28" s="7"/>
      <c r="H28" s="7"/>
      <c r="J28" s="108"/>
      <c r="K28" s="98"/>
      <c r="L28" s="98"/>
      <c r="M28" s="98"/>
      <c r="N28" s="98"/>
      <c r="O28" s="98"/>
      <c r="P28" s="98"/>
      <c r="Q28" s="98"/>
      <c r="R28" s="98"/>
      <c r="S28" s="98"/>
      <c r="T28" s="98"/>
      <c r="U28" s="33"/>
      <c r="V28" s="33"/>
      <c r="W28" s="33"/>
      <c r="X28" s="33"/>
      <c r="Y28" s="33"/>
      <c r="Z28" s="33"/>
      <c r="AA28" s="33"/>
      <c r="AB28" s="34"/>
      <c r="AC28" s="33"/>
      <c r="AD28" s="33"/>
    </row>
    <row r="29" spans="2:30">
      <c r="B29" s="7"/>
      <c r="C29" s="7"/>
      <c r="D29" s="7"/>
      <c r="E29" s="7"/>
      <c r="F29" s="7"/>
      <c r="G29" s="7"/>
      <c r="H29" s="7"/>
      <c r="J29" s="108"/>
      <c r="K29" s="98"/>
      <c r="L29" s="98"/>
      <c r="M29" s="98"/>
      <c r="N29" s="98"/>
      <c r="O29" s="98"/>
      <c r="P29" s="98"/>
      <c r="Q29" s="98"/>
      <c r="R29" s="98"/>
      <c r="S29" s="98"/>
      <c r="T29" s="98"/>
      <c r="U29" s="33"/>
      <c r="V29" s="33"/>
      <c r="W29" s="33"/>
      <c r="X29" s="33"/>
      <c r="Y29" s="33"/>
      <c r="Z29" s="33"/>
      <c r="AA29" s="33"/>
      <c r="AB29" s="34"/>
      <c r="AC29" s="33"/>
      <c r="AD29" s="33"/>
    </row>
    <row r="30" spans="2:30">
      <c r="B30" s="7"/>
      <c r="C30" s="7"/>
      <c r="D30" s="7"/>
      <c r="E30" s="7"/>
      <c r="F30" s="7"/>
      <c r="G30" s="7"/>
      <c r="H30" s="7"/>
      <c r="J30" s="108"/>
      <c r="K30" s="98"/>
      <c r="L30" s="98"/>
      <c r="M30" s="98"/>
      <c r="N30" s="98"/>
      <c r="O30" s="98"/>
      <c r="P30" s="98"/>
      <c r="Q30" s="98"/>
      <c r="R30" s="98"/>
      <c r="S30" s="98"/>
      <c r="T30" s="98"/>
      <c r="U30" s="33"/>
      <c r="V30" s="33"/>
      <c r="W30" s="33"/>
      <c r="X30" s="33"/>
      <c r="Y30" s="33"/>
      <c r="Z30" s="33"/>
      <c r="AA30" s="33"/>
      <c r="AB30" s="34"/>
      <c r="AC30" s="33"/>
      <c r="AD30" s="33"/>
    </row>
    <row r="31" spans="2:30">
      <c r="B31" s="7"/>
      <c r="C31" s="7"/>
      <c r="D31" s="7"/>
      <c r="E31" s="7"/>
      <c r="F31" s="7"/>
      <c r="G31" s="7"/>
      <c r="H31" s="7"/>
      <c r="J31" s="108"/>
      <c r="K31" s="98"/>
      <c r="L31" s="98"/>
      <c r="M31" s="98"/>
      <c r="N31" s="98"/>
      <c r="O31" s="98"/>
      <c r="P31" s="98"/>
      <c r="Q31" s="98"/>
      <c r="R31" s="98"/>
      <c r="S31" s="98"/>
      <c r="T31" s="98"/>
      <c r="U31" s="33"/>
      <c r="V31" s="33"/>
      <c r="W31" s="33"/>
      <c r="X31" s="33"/>
      <c r="Y31" s="33"/>
      <c r="Z31" s="33"/>
      <c r="AA31" s="33"/>
      <c r="AB31" s="34"/>
      <c r="AC31" s="33"/>
      <c r="AD31" s="33"/>
    </row>
    <row r="32" spans="2:30">
      <c r="B32" s="7"/>
      <c r="C32" s="7"/>
      <c r="D32" s="7"/>
      <c r="E32" s="7"/>
      <c r="F32" s="7"/>
      <c r="G32" s="7"/>
      <c r="H32" s="7"/>
      <c r="J32" s="101"/>
      <c r="K32" s="98"/>
      <c r="L32" s="98"/>
      <c r="M32" s="98"/>
      <c r="N32" s="98"/>
      <c r="O32" s="98"/>
      <c r="P32" s="98"/>
      <c r="Q32" s="98"/>
      <c r="R32" s="98"/>
      <c r="S32" s="98"/>
      <c r="T32" s="98"/>
      <c r="U32" s="33"/>
      <c r="V32" s="33"/>
      <c r="W32" s="33"/>
      <c r="X32" s="33"/>
      <c r="Y32" s="33"/>
      <c r="Z32" s="33"/>
      <c r="AA32" s="33"/>
      <c r="AB32" s="34"/>
      <c r="AC32" s="33"/>
      <c r="AD32" s="33"/>
    </row>
    <row r="33" spans="2:30">
      <c r="B33" s="7"/>
      <c r="C33" s="7"/>
      <c r="D33" s="7"/>
      <c r="E33" s="7"/>
      <c r="F33" s="7"/>
      <c r="G33" s="7"/>
      <c r="H33" s="7"/>
      <c r="J33" s="101"/>
      <c r="K33" s="98"/>
      <c r="L33" s="98"/>
      <c r="M33" s="98"/>
      <c r="N33" s="98"/>
      <c r="O33" s="98"/>
      <c r="P33" s="98"/>
      <c r="Q33" s="98"/>
      <c r="R33" s="98"/>
      <c r="S33" s="98"/>
      <c r="T33" s="98"/>
      <c r="U33" s="33"/>
      <c r="V33" s="33"/>
      <c r="W33" s="33"/>
      <c r="X33" s="33"/>
      <c r="Y33" s="33"/>
      <c r="Z33" s="33"/>
      <c r="AA33" s="33"/>
      <c r="AB33" s="34"/>
      <c r="AC33" s="33"/>
      <c r="AD33" s="33"/>
    </row>
    <row r="34" spans="2:30">
      <c r="B34" s="7"/>
      <c r="C34" s="7"/>
      <c r="D34" s="7"/>
      <c r="E34" s="7"/>
      <c r="F34" s="7"/>
      <c r="G34" s="7"/>
      <c r="H34" s="7"/>
      <c r="J34" s="101"/>
      <c r="K34" s="98"/>
      <c r="L34" s="98"/>
      <c r="M34" s="98"/>
      <c r="N34" s="98"/>
      <c r="O34" s="98"/>
      <c r="P34" s="98"/>
      <c r="Q34" s="98"/>
      <c r="R34" s="98"/>
      <c r="S34" s="98"/>
      <c r="T34" s="98"/>
      <c r="U34" s="33"/>
      <c r="V34" s="33"/>
      <c r="W34" s="33"/>
      <c r="X34" s="33"/>
      <c r="Y34" s="33"/>
      <c r="Z34" s="33"/>
      <c r="AA34" s="33"/>
      <c r="AB34" s="34"/>
      <c r="AC34" s="33"/>
      <c r="AD34" s="33"/>
    </row>
    <row r="35" spans="2:30">
      <c r="B35" s="7"/>
      <c r="C35" s="7"/>
      <c r="D35" s="7"/>
      <c r="E35" s="7"/>
      <c r="F35" s="7"/>
      <c r="G35" s="7"/>
      <c r="H35" s="7"/>
      <c r="J35" s="101"/>
      <c r="K35" s="98"/>
      <c r="L35" s="98"/>
      <c r="M35" s="98"/>
      <c r="N35" s="98"/>
      <c r="O35" s="98"/>
      <c r="P35" s="98"/>
      <c r="Q35" s="98"/>
      <c r="R35" s="98"/>
      <c r="S35" s="98"/>
      <c r="T35" s="98"/>
      <c r="U35" s="33"/>
      <c r="V35" s="33"/>
      <c r="W35" s="33"/>
      <c r="X35" s="33"/>
      <c r="Y35" s="33"/>
      <c r="Z35" s="33"/>
      <c r="AA35" s="33"/>
      <c r="AB35" s="34"/>
      <c r="AC35" s="33"/>
      <c r="AD35" s="33"/>
    </row>
    <row r="36" spans="2:30">
      <c r="B36" s="7"/>
      <c r="C36" s="22"/>
      <c r="D36" s="1"/>
      <c r="E36" s="1"/>
      <c r="F36" s="1"/>
      <c r="G36" s="1"/>
      <c r="H36" s="1"/>
      <c r="J36" s="101"/>
      <c r="K36" s="98"/>
      <c r="L36" s="98"/>
      <c r="M36" s="98"/>
      <c r="N36" s="98"/>
      <c r="O36" s="98"/>
      <c r="P36" s="98"/>
      <c r="Q36" s="98"/>
      <c r="R36" s="98"/>
      <c r="S36" s="98"/>
      <c r="T36" s="98"/>
      <c r="U36" s="33"/>
      <c r="V36" s="33"/>
      <c r="W36" s="33"/>
      <c r="X36" s="33"/>
      <c r="Y36" s="33"/>
      <c r="Z36" s="33"/>
      <c r="AA36" s="33"/>
      <c r="AB36" s="34"/>
      <c r="AC36" s="33"/>
      <c r="AD36" s="33"/>
    </row>
    <row r="37" spans="2:30">
      <c r="B37" s="7"/>
      <c r="C37" s="1"/>
      <c r="D37" s="1"/>
      <c r="E37" s="1"/>
      <c r="F37" s="25"/>
      <c r="G37" s="1"/>
      <c r="H37" s="22"/>
      <c r="J37" s="101"/>
      <c r="K37" s="98"/>
      <c r="L37" s="98"/>
      <c r="M37" s="98"/>
      <c r="N37" s="98"/>
      <c r="O37" s="98"/>
      <c r="P37" s="98"/>
      <c r="Q37" s="98"/>
      <c r="R37" s="98"/>
      <c r="S37" s="98"/>
      <c r="T37" s="98"/>
      <c r="U37" s="33"/>
      <c r="V37" s="33"/>
      <c r="W37" s="33"/>
      <c r="X37" s="33"/>
      <c r="Y37" s="33"/>
      <c r="Z37" s="33"/>
      <c r="AA37" s="33"/>
      <c r="AB37" s="34"/>
      <c r="AC37" s="33"/>
      <c r="AD37" s="33"/>
    </row>
    <row r="38" spans="2:30">
      <c r="B38" s="7"/>
      <c r="C38" s="1"/>
      <c r="D38" s="26"/>
      <c r="E38" s="1"/>
      <c r="F38" s="1"/>
      <c r="G38" s="1"/>
      <c r="H38" s="27"/>
      <c r="J38" s="101"/>
      <c r="K38" s="98"/>
      <c r="L38" s="98"/>
      <c r="M38" s="98"/>
      <c r="N38" s="98"/>
      <c r="O38" s="98"/>
      <c r="P38" s="98"/>
      <c r="Q38" s="98"/>
      <c r="R38" s="98"/>
      <c r="S38" s="98"/>
      <c r="T38" s="98"/>
      <c r="U38" s="33"/>
      <c r="V38" s="33"/>
      <c r="W38" s="33"/>
      <c r="X38" s="33"/>
      <c r="Y38" s="33"/>
      <c r="Z38" s="33"/>
      <c r="AA38" s="33"/>
      <c r="AB38" s="34"/>
      <c r="AC38" s="33"/>
      <c r="AD38" s="33"/>
    </row>
    <row r="39" spans="2:30">
      <c r="B39" s="7"/>
      <c r="C39" s="1"/>
      <c r="D39" s="26"/>
      <c r="E39" s="1"/>
      <c r="F39" s="1"/>
      <c r="G39" s="1"/>
      <c r="H39" s="27"/>
      <c r="J39" s="101"/>
      <c r="K39" s="98"/>
      <c r="L39" s="98"/>
      <c r="M39" s="98"/>
      <c r="N39" s="98"/>
      <c r="O39" s="98"/>
      <c r="P39" s="98"/>
      <c r="Q39" s="98"/>
      <c r="R39" s="98"/>
      <c r="S39" s="98"/>
      <c r="T39" s="98"/>
      <c r="U39" s="33"/>
      <c r="V39" s="33"/>
      <c r="W39" s="33"/>
      <c r="X39" s="33"/>
      <c r="Y39" s="33"/>
      <c r="Z39" s="33"/>
      <c r="AA39" s="33"/>
      <c r="AB39" s="34"/>
      <c r="AC39" s="33"/>
      <c r="AD39" s="33"/>
    </row>
    <row r="40" spans="2:30">
      <c r="B40" s="7"/>
      <c r="C40" s="1"/>
      <c r="D40" s="26"/>
      <c r="E40" s="1"/>
      <c r="F40" s="1"/>
      <c r="G40" s="1"/>
      <c r="H40" s="27"/>
      <c r="J40" s="101"/>
      <c r="K40" s="98"/>
      <c r="L40" s="98"/>
      <c r="M40" s="98"/>
      <c r="N40" s="98"/>
      <c r="O40" s="98"/>
      <c r="P40" s="98"/>
      <c r="Q40" s="98"/>
      <c r="R40" s="98"/>
      <c r="S40" s="98"/>
      <c r="T40" s="98"/>
      <c r="U40" s="33"/>
      <c r="V40" s="33"/>
      <c r="W40" s="33"/>
      <c r="X40" s="33"/>
      <c r="Y40" s="33"/>
      <c r="Z40" s="33"/>
      <c r="AA40" s="33"/>
      <c r="AB40" s="34"/>
      <c r="AC40" s="33"/>
      <c r="AD40" s="33"/>
    </row>
    <row r="41" spans="2:30">
      <c r="B41" s="7"/>
      <c r="C41" s="1"/>
      <c r="D41" s="1"/>
      <c r="E41" s="1"/>
      <c r="F41" s="1"/>
      <c r="G41" s="1"/>
      <c r="H41" s="27"/>
      <c r="J41" s="101"/>
      <c r="K41" s="98"/>
      <c r="L41" s="98"/>
      <c r="M41" s="98"/>
      <c r="N41" s="98"/>
      <c r="O41" s="98"/>
      <c r="P41" s="98"/>
      <c r="Q41" s="98"/>
      <c r="R41" s="98"/>
      <c r="S41" s="98"/>
      <c r="T41" s="98"/>
      <c r="U41" s="33"/>
      <c r="V41" s="33"/>
      <c r="W41" s="33"/>
      <c r="X41" s="33"/>
      <c r="Y41" s="33"/>
      <c r="Z41" s="33"/>
      <c r="AA41" s="33"/>
      <c r="AB41" s="34"/>
      <c r="AC41" s="33"/>
      <c r="AD41" s="33"/>
    </row>
    <row r="42" spans="2:30">
      <c r="B42" s="7"/>
      <c r="C42" s="1"/>
      <c r="D42" s="1"/>
      <c r="E42" s="1"/>
      <c r="F42" s="1"/>
      <c r="G42" s="1"/>
      <c r="H42" s="1"/>
      <c r="J42" s="101"/>
      <c r="K42" s="98"/>
      <c r="L42" s="98"/>
      <c r="M42" s="98"/>
      <c r="N42" s="98"/>
      <c r="O42" s="98"/>
      <c r="P42" s="98"/>
      <c r="Q42" s="98"/>
      <c r="R42" s="98"/>
      <c r="S42" s="98"/>
      <c r="T42" s="98"/>
      <c r="U42" s="33"/>
      <c r="V42" s="33"/>
      <c r="W42" s="33"/>
      <c r="X42" s="33"/>
      <c r="Y42" s="33"/>
      <c r="Z42" s="33"/>
      <c r="AA42" s="33"/>
      <c r="AB42" s="34"/>
      <c r="AC42" s="33"/>
      <c r="AD42" s="33"/>
    </row>
    <row r="43" spans="2:30" ht="14.25" customHeight="1">
      <c r="B43" s="7"/>
      <c r="C43" s="1"/>
      <c r="D43" s="1"/>
      <c r="E43" s="1"/>
      <c r="F43" s="1"/>
      <c r="G43" s="1"/>
      <c r="H43" s="29"/>
      <c r="J43" s="101"/>
      <c r="K43" s="98"/>
      <c r="L43" s="98"/>
      <c r="M43" s="98"/>
      <c r="N43" s="98"/>
      <c r="O43" s="98"/>
      <c r="P43" s="98"/>
      <c r="Q43" s="98"/>
      <c r="R43" s="98"/>
      <c r="S43" s="98"/>
      <c r="T43" s="98"/>
      <c r="U43" s="33"/>
      <c r="V43" s="33"/>
      <c r="W43" s="33"/>
      <c r="X43" s="33"/>
      <c r="Y43" s="33"/>
      <c r="Z43" s="33"/>
      <c r="AA43" s="33"/>
      <c r="AB43" s="34"/>
      <c r="AC43" s="33"/>
      <c r="AD43" s="33"/>
    </row>
    <row r="44" spans="2:30" ht="14.25" customHeight="1">
      <c r="B44" s="7"/>
      <c r="C44" s="1"/>
      <c r="D44" s="1"/>
      <c r="E44" s="1"/>
      <c r="F44" s="1"/>
      <c r="G44" s="1"/>
      <c r="H44" s="29"/>
      <c r="J44" s="101"/>
      <c r="K44" s="98"/>
      <c r="L44" s="98"/>
      <c r="M44" s="98"/>
      <c r="N44" s="98"/>
      <c r="O44" s="98"/>
      <c r="P44" s="98"/>
      <c r="Q44" s="98"/>
      <c r="R44" s="98"/>
      <c r="S44" s="98"/>
      <c r="T44" s="98"/>
      <c r="U44" s="33"/>
      <c r="V44" s="33"/>
      <c r="W44" s="33"/>
      <c r="X44" s="33"/>
      <c r="Y44" s="33"/>
      <c r="Z44" s="33"/>
      <c r="AA44" s="33"/>
      <c r="AB44" s="34"/>
      <c r="AC44" s="33"/>
      <c r="AD44" s="33"/>
    </row>
    <row r="45" spans="2:30">
      <c r="B45" s="7"/>
      <c r="C45" s="1"/>
      <c r="D45" s="1"/>
      <c r="E45" s="1"/>
      <c r="F45" s="1"/>
      <c r="G45" s="1"/>
      <c r="H45" s="27"/>
      <c r="J45" s="101"/>
      <c r="K45" s="98"/>
      <c r="L45" s="98"/>
      <c r="M45" s="98"/>
      <c r="N45" s="98"/>
      <c r="O45" s="98"/>
      <c r="P45" s="98"/>
      <c r="Q45" s="98"/>
      <c r="R45" s="98"/>
      <c r="S45" s="98"/>
      <c r="T45" s="98"/>
      <c r="U45" s="33"/>
      <c r="V45" s="33"/>
      <c r="W45" s="33"/>
      <c r="X45" s="33"/>
      <c r="Y45" s="33"/>
      <c r="Z45" s="33"/>
      <c r="AA45" s="33"/>
      <c r="AB45" s="34"/>
      <c r="AC45" s="33"/>
      <c r="AD45" s="33"/>
    </row>
    <row r="46" spans="2:30">
      <c r="C46" s="8"/>
      <c r="D46" s="8"/>
      <c r="E46" s="8"/>
      <c r="F46" s="8"/>
      <c r="G46" s="8"/>
      <c r="H46" s="23"/>
      <c r="J46" s="101"/>
      <c r="K46" s="98"/>
      <c r="L46" s="98"/>
      <c r="M46" s="98"/>
      <c r="N46" s="98"/>
      <c r="O46" s="98"/>
      <c r="P46" s="98"/>
      <c r="Q46" s="98"/>
      <c r="R46" s="98"/>
      <c r="S46" s="98"/>
      <c r="T46" s="98"/>
      <c r="U46" s="33"/>
      <c r="V46" s="33"/>
      <c r="W46" s="33"/>
      <c r="X46" s="33"/>
      <c r="Y46" s="33"/>
      <c r="Z46" s="33"/>
      <c r="AA46" s="33"/>
      <c r="AB46" s="34"/>
      <c r="AC46" s="33"/>
      <c r="AD46" s="33"/>
    </row>
    <row r="47" spans="2:30">
      <c r="B47" s="19" t="s">
        <v>7</v>
      </c>
      <c r="C47" s="10"/>
      <c r="D47" s="10"/>
      <c r="E47" s="10"/>
      <c r="F47" s="10"/>
      <c r="G47" s="10"/>
      <c r="H47" s="28"/>
      <c r="J47" s="101"/>
      <c r="K47" s="37"/>
      <c r="L47" s="37"/>
      <c r="M47" s="37"/>
      <c r="N47" s="33"/>
      <c r="O47" s="33"/>
      <c r="P47" s="33"/>
      <c r="Q47" s="33"/>
      <c r="R47" s="33"/>
      <c r="S47" s="34"/>
      <c r="T47" s="33"/>
      <c r="U47" s="33"/>
      <c r="V47" s="33"/>
      <c r="W47" s="33"/>
      <c r="X47" s="33"/>
      <c r="Y47" s="33"/>
      <c r="Z47" s="33"/>
      <c r="AA47" s="33"/>
      <c r="AB47" s="34"/>
      <c r="AC47" s="33"/>
      <c r="AD47" s="33"/>
    </row>
    <row r="48" spans="2:30">
      <c r="B48" s="5" t="s">
        <v>15</v>
      </c>
      <c r="G48" s="8"/>
      <c r="H48" s="8"/>
      <c r="J48" s="101"/>
      <c r="K48" s="37"/>
      <c r="L48" s="37"/>
      <c r="M48" s="37"/>
      <c r="N48" s="33"/>
      <c r="O48" s="33"/>
      <c r="P48" s="33"/>
      <c r="Q48" s="33"/>
      <c r="R48" s="33"/>
      <c r="S48" s="34"/>
      <c r="T48" s="33"/>
      <c r="U48" s="33"/>
      <c r="V48" s="33"/>
      <c r="W48" s="33"/>
      <c r="X48" s="33"/>
      <c r="Y48" s="33"/>
      <c r="Z48" s="33"/>
      <c r="AA48" s="33"/>
      <c r="AB48" s="34"/>
      <c r="AC48" s="33"/>
      <c r="AD48" s="33"/>
    </row>
    <row r="49" spans="2:30">
      <c r="B49" s="2" t="s">
        <v>5</v>
      </c>
      <c r="C49" s="8"/>
      <c r="D49" s="6" t="s">
        <v>9</v>
      </c>
      <c r="H49" s="8"/>
      <c r="J49" s="101"/>
      <c r="K49" s="37"/>
      <c r="L49" s="37"/>
      <c r="M49" s="37"/>
      <c r="N49" s="33"/>
      <c r="O49" s="33"/>
      <c r="P49" s="33"/>
      <c r="Q49" s="33"/>
      <c r="R49" s="33"/>
      <c r="S49" s="34"/>
      <c r="T49" s="33"/>
      <c r="U49" s="33"/>
      <c r="V49" s="33"/>
      <c r="W49" s="33"/>
      <c r="X49" s="33"/>
      <c r="Y49" s="33"/>
      <c r="Z49" s="33"/>
      <c r="AA49" s="33"/>
      <c r="AB49" s="34"/>
      <c r="AC49" s="33"/>
      <c r="AD49" s="33"/>
    </row>
    <row r="50" spans="2:30">
      <c r="B50" s="2" t="s">
        <v>6</v>
      </c>
      <c r="C50" s="9"/>
      <c r="D50" s="2" t="s">
        <v>10</v>
      </c>
      <c r="H50" s="8"/>
      <c r="J50" s="101"/>
      <c r="K50" s="37"/>
      <c r="L50" s="37"/>
      <c r="M50" s="37"/>
      <c r="N50" s="33"/>
      <c r="O50" s="33"/>
      <c r="P50" s="33"/>
      <c r="Q50" s="33"/>
      <c r="R50" s="33"/>
      <c r="S50" s="34"/>
      <c r="T50" s="33"/>
      <c r="U50" s="33"/>
      <c r="V50" s="33"/>
      <c r="W50" s="33"/>
      <c r="X50" s="33"/>
      <c r="Y50" s="33"/>
      <c r="Z50" s="33"/>
      <c r="AA50" s="33"/>
      <c r="AB50" s="34"/>
      <c r="AC50" s="33"/>
      <c r="AD50" s="33"/>
    </row>
    <row r="51" spans="2:30">
      <c r="C51" s="9"/>
      <c r="D51" s="2" t="s">
        <v>11</v>
      </c>
      <c r="J51" s="101"/>
      <c r="K51" s="37"/>
      <c r="L51" s="37"/>
      <c r="M51" s="37"/>
      <c r="N51" s="33"/>
      <c r="O51" s="33"/>
      <c r="P51" s="33"/>
      <c r="Q51" s="33"/>
      <c r="R51" s="33"/>
      <c r="S51" s="34"/>
      <c r="T51" s="33"/>
      <c r="U51" s="33"/>
      <c r="V51" s="33"/>
      <c r="W51" s="33"/>
      <c r="X51" s="33"/>
      <c r="Y51" s="33"/>
      <c r="Z51" s="33"/>
      <c r="AA51" s="33"/>
      <c r="AB51" s="34"/>
      <c r="AC51" s="33"/>
      <c r="AD51" s="33"/>
    </row>
    <row r="52" spans="2:30">
      <c r="C52" s="9"/>
      <c r="D52" s="8"/>
      <c r="G52" s="21" t="s">
        <v>12</v>
      </c>
      <c r="J52" s="101"/>
      <c r="K52" s="37"/>
      <c r="L52" s="37"/>
      <c r="M52" s="37"/>
      <c r="N52" s="33"/>
      <c r="O52" s="33"/>
      <c r="P52" s="33"/>
      <c r="Q52" s="33"/>
      <c r="R52" s="33"/>
      <c r="S52" s="34"/>
      <c r="T52" s="33"/>
      <c r="U52" s="33"/>
      <c r="V52" s="33"/>
      <c r="W52" s="33"/>
      <c r="X52" s="33"/>
      <c r="Y52" s="33"/>
      <c r="Z52" s="33"/>
      <c r="AA52" s="33"/>
      <c r="AB52" s="34"/>
      <c r="AC52" s="33"/>
      <c r="AD52" s="33"/>
    </row>
    <row r="53" spans="2:30">
      <c r="B53" s="8"/>
      <c r="C53" s="8"/>
      <c r="D53" s="8"/>
      <c r="E53" s="8"/>
      <c r="F53" s="8"/>
      <c r="G53" s="20" t="s">
        <v>17</v>
      </c>
      <c r="H53" s="8"/>
      <c r="J53" s="101"/>
      <c r="K53" s="37"/>
      <c r="L53" s="37"/>
      <c r="M53" s="37"/>
      <c r="N53" s="33"/>
      <c r="O53" s="33"/>
      <c r="P53" s="33"/>
      <c r="Q53" s="33"/>
      <c r="R53" s="33"/>
      <c r="S53" s="34"/>
      <c r="T53" s="33"/>
      <c r="U53" s="33"/>
      <c r="V53" s="33"/>
      <c r="W53" s="33"/>
      <c r="X53" s="33"/>
      <c r="Y53" s="33"/>
      <c r="Z53" s="33"/>
      <c r="AA53" s="33"/>
      <c r="AB53" s="34"/>
      <c r="AC53" s="33"/>
      <c r="AD53" s="33"/>
    </row>
    <row r="54" spans="2:30">
      <c r="B54" s="10"/>
      <c r="C54" s="10"/>
      <c r="D54" s="10"/>
      <c r="E54" s="10"/>
      <c r="F54" s="8"/>
      <c r="G54" s="20" t="s">
        <v>1</v>
      </c>
      <c r="H54" s="8"/>
      <c r="J54" s="101"/>
      <c r="K54" s="37"/>
      <c r="L54" s="37"/>
      <c r="M54" s="37"/>
      <c r="N54" s="33"/>
      <c r="O54" s="33"/>
      <c r="P54" s="33"/>
      <c r="Q54" s="33"/>
      <c r="R54" s="33"/>
      <c r="S54" s="34"/>
      <c r="T54" s="33"/>
      <c r="U54" s="33"/>
      <c r="V54" s="33"/>
      <c r="W54" s="33"/>
      <c r="X54" s="33"/>
      <c r="Y54" s="33"/>
      <c r="Z54" s="33"/>
      <c r="AA54" s="33"/>
      <c r="AB54" s="34"/>
      <c r="AC54" s="33"/>
      <c r="AD54" s="33"/>
    </row>
    <row r="55" spans="2:30">
      <c r="B55" s="5" t="s">
        <v>16</v>
      </c>
      <c r="G55" s="20" t="s">
        <v>18</v>
      </c>
      <c r="J55" s="101"/>
      <c r="K55" s="37"/>
      <c r="L55" s="37"/>
      <c r="M55" s="37"/>
      <c r="N55" s="33"/>
      <c r="O55" s="33"/>
      <c r="P55" s="33"/>
      <c r="Q55" s="33"/>
      <c r="R55" s="33"/>
      <c r="S55" s="34"/>
      <c r="T55" s="33"/>
      <c r="U55" s="33"/>
      <c r="V55" s="33"/>
      <c r="W55" s="33"/>
      <c r="X55" s="33"/>
      <c r="Y55" s="33"/>
      <c r="Z55" s="33"/>
      <c r="AA55" s="33"/>
      <c r="AB55" s="34"/>
      <c r="AC55" s="33"/>
      <c r="AD55" s="33"/>
    </row>
    <row r="56" spans="2:30">
      <c r="G56" s="23" t="s">
        <v>19</v>
      </c>
      <c r="J56" s="101"/>
      <c r="K56" s="37"/>
      <c r="L56" s="37"/>
      <c r="M56" s="37"/>
      <c r="N56" s="33"/>
      <c r="O56" s="33"/>
      <c r="P56" s="33"/>
      <c r="Q56" s="33"/>
      <c r="R56" s="33"/>
      <c r="S56" s="34"/>
      <c r="T56" s="33"/>
      <c r="U56" s="33"/>
      <c r="V56" s="33"/>
      <c r="W56" s="33"/>
      <c r="X56" s="33"/>
      <c r="Y56" s="33"/>
      <c r="Z56" s="33"/>
      <c r="AA56" s="33"/>
      <c r="AB56" s="34"/>
      <c r="AC56" s="33"/>
      <c r="AD56" s="33"/>
    </row>
    <row r="57" spans="2:30">
      <c r="J57" s="101"/>
      <c r="K57" s="37"/>
      <c r="L57" s="37"/>
      <c r="M57" s="37"/>
      <c r="N57" s="33"/>
      <c r="O57" s="33"/>
      <c r="P57" s="33"/>
      <c r="Q57" s="33"/>
      <c r="R57" s="33"/>
      <c r="S57" s="34"/>
      <c r="T57" s="33"/>
      <c r="U57" s="33"/>
      <c r="V57" s="33"/>
      <c r="W57" s="33"/>
      <c r="X57" s="33"/>
      <c r="Y57" s="33"/>
      <c r="Z57" s="33"/>
      <c r="AA57" s="33"/>
      <c r="AB57" s="34"/>
      <c r="AC57" s="33"/>
      <c r="AD57" s="33"/>
    </row>
    <row r="58" spans="2:30">
      <c r="J58" s="101"/>
      <c r="K58" s="37"/>
      <c r="L58" s="37"/>
      <c r="M58" s="37"/>
      <c r="N58" s="33"/>
      <c r="O58" s="33"/>
      <c r="P58" s="33"/>
      <c r="Q58" s="33"/>
      <c r="R58" s="33"/>
      <c r="S58" s="34"/>
      <c r="T58" s="33"/>
      <c r="U58" s="33"/>
      <c r="V58" s="33"/>
      <c r="W58" s="33"/>
      <c r="X58" s="33"/>
      <c r="Y58" s="33"/>
      <c r="Z58" s="33"/>
      <c r="AA58" s="33"/>
      <c r="AB58" s="34"/>
      <c r="AC58" s="33"/>
      <c r="AD58" s="33"/>
    </row>
    <row r="59" spans="2:30">
      <c r="B59" s="8"/>
      <c r="C59" s="8"/>
      <c r="D59" s="8"/>
      <c r="E59" s="8"/>
      <c r="F59" s="8"/>
      <c r="G59" s="8"/>
      <c r="H59" s="8"/>
      <c r="J59" s="101"/>
      <c r="K59" s="37"/>
      <c r="L59" s="37"/>
      <c r="M59" s="37"/>
      <c r="N59" s="33"/>
      <c r="O59" s="33"/>
      <c r="P59" s="33"/>
      <c r="Q59" s="33"/>
      <c r="R59" s="33"/>
      <c r="S59" s="34"/>
      <c r="T59" s="33"/>
      <c r="U59" s="33"/>
      <c r="V59" s="33"/>
      <c r="W59" s="33"/>
      <c r="X59" s="33"/>
      <c r="Y59" s="33"/>
      <c r="Z59" s="33"/>
      <c r="AA59" s="33"/>
      <c r="AB59" s="34"/>
      <c r="AC59" s="33"/>
      <c r="AD59" s="33"/>
    </row>
    <row r="60" spans="2:30">
      <c r="B60" s="10"/>
      <c r="C60" s="10"/>
      <c r="D60" s="10"/>
      <c r="E60" s="10"/>
      <c r="F60" s="10"/>
      <c r="G60" s="10"/>
      <c r="H60" s="10"/>
      <c r="J60" s="101"/>
      <c r="K60" s="37"/>
      <c r="L60" s="37"/>
      <c r="M60" s="37"/>
      <c r="N60" s="33"/>
      <c r="O60" s="33"/>
      <c r="P60" s="33"/>
      <c r="Q60" s="33"/>
      <c r="R60" s="33"/>
      <c r="S60" s="34"/>
      <c r="T60" s="33"/>
      <c r="U60" s="33"/>
      <c r="V60" s="33"/>
      <c r="W60" s="33"/>
      <c r="X60" s="33"/>
      <c r="Y60" s="33"/>
      <c r="Z60" s="33"/>
      <c r="AA60" s="33"/>
      <c r="AB60" s="34"/>
      <c r="AC60" s="33"/>
      <c r="AD60" s="33"/>
    </row>
    <row r="61" spans="2:30">
      <c r="J61" s="101"/>
      <c r="K61" s="37"/>
      <c r="L61" s="37"/>
      <c r="M61" s="37"/>
      <c r="N61" s="33"/>
      <c r="O61" s="33"/>
      <c r="P61" s="33"/>
      <c r="Q61" s="33"/>
      <c r="R61" s="33"/>
      <c r="S61" s="34"/>
      <c r="T61" s="33"/>
      <c r="U61" s="33"/>
      <c r="V61" s="33"/>
      <c r="W61" s="33"/>
      <c r="X61" s="33"/>
      <c r="Y61" s="33"/>
      <c r="Z61" s="33"/>
      <c r="AA61" s="33"/>
      <c r="AB61" s="34"/>
      <c r="AC61" s="33"/>
      <c r="AD61" s="33"/>
    </row>
    <row r="62" spans="2:30">
      <c r="J62" s="101"/>
      <c r="K62" s="37"/>
      <c r="L62" s="37"/>
      <c r="M62" s="37"/>
      <c r="N62" s="33"/>
      <c r="O62" s="33"/>
      <c r="P62" s="33"/>
      <c r="Q62" s="33"/>
      <c r="R62" s="33"/>
      <c r="S62" s="34"/>
      <c r="T62" s="33"/>
      <c r="U62" s="33"/>
      <c r="V62" s="33"/>
      <c r="W62" s="33"/>
      <c r="X62" s="33"/>
      <c r="Y62" s="33"/>
      <c r="Z62" s="33"/>
      <c r="AA62" s="33"/>
      <c r="AB62" s="34"/>
      <c r="AC62" s="33"/>
      <c r="AD62" s="33"/>
    </row>
    <row r="63" spans="2:30">
      <c r="J63" s="101"/>
      <c r="K63" s="37"/>
      <c r="L63" s="37"/>
      <c r="M63" s="37"/>
      <c r="N63" s="33"/>
      <c r="O63" s="33"/>
      <c r="P63" s="33"/>
      <c r="Q63" s="33"/>
      <c r="R63" s="33"/>
      <c r="S63" s="34"/>
      <c r="T63" s="33"/>
      <c r="U63" s="33"/>
      <c r="V63" s="33"/>
      <c r="W63" s="33"/>
      <c r="X63" s="33"/>
      <c r="Y63" s="33"/>
      <c r="Z63" s="33"/>
      <c r="AA63" s="33"/>
      <c r="AB63" s="34"/>
      <c r="AC63" s="33"/>
      <c r="AD63" s="33"/>
    </row>
    <row r="64" spans="2:30">
      <c r="C64" s="11" t="s">
        <v>13</v>
      </c>
      <c r="D64" s="12"/>
      <c r="E64" s="13"/>
      <c r="J64" s="101"/>
      <c r="K64" s="37"/>
      <c r="L64" s="37"/>
      <c r="M64" s="37"/>
      <c r="N64" s="33"/>
      <c r="O64" s="33"/>
      <c r="P64" s="33"/>
      <c r="Q64" s="33"/>
      <c r="R64" s="33"/>
      <c r="S64" s="34"/>
      <c r="T64" s="33"/>
      <c r="U64" s="33"/>
      <c r="V64" s="33"/>
      <c r="W64" s="33"/>
      <c r="X64" s="33"/>
      <c r="Y64" s="33"/>
      <c r="Z64" s="33"/>
      <c r="AA64" s="33"/>
      <c r="AB64" s="34"/>
      <c r="AC64" s="33"/>
      <c r="AD64" s="33"/>
    </row>
    <row r="65" spans="3:30">
      <c r="C65" s="14" t="str">
        <f>"Source: "&amp;G4</f>
        <v>Source: CME, McCloskey by OPIS</v>
      </c>
      <c r="D65" s="8"/>
      <c r="E65" s="15"/>
      <c r="J65" s="101"/>
      <c r="K65" s="37"/>
      <c r="L65" s="37"/>
      <c r="M65" s="37"/>
      <c r="N65" s="33"/>
      <c r="O65" s="33"/>
      <c r="P65" s="33"/>
      <c r="Q65" s="33"/>
      <c r="R65" s="33"/>
      <c r="S65" s="34"/>
      <c r="T65" s="33"/>
      <c r="U65" s="33"/>
      <c r="V65" s="33"/>
      <c r="W65" s="33"/>
      <c r="X65" s="33"/>
      <c r="Y65" s="33"/>
      <c r="Z65" s="33"/>
      <c r="AA65" s="33"/>
      <c r="AB65" s="34"/>
      <c r="AC65" s="33"/>
      <c r="AD65" s="33"/>
    </row>
    <row r="66" spans="3:30">
      <c r="C66" s="16" t="str">
        <f>CHAR(169) &amp; " 2022 McCloskey   "&amp;G7</f>
        <v xml:space="preserve">© 2022 McCloskey   </v>
      </c>
      <c r="D66" s="17"/>
      <c r="E66" s="18"/>
      <c r="J66" s="102"/>
    </row>
    <row r="67" spans="3:30">
      <c r="J67" s="102"/>
    </row>
    <row r="68" spans="3:30">
      <c r="J68" s="102"/>
    </row>
    <row r="69" spans="3:30">
      <c r="J69" s="102"/>
      <c r="N69" s="5"/>
    </row>
    <row r="70" spans="3:30">
      <c r="J70" s="102"/>
    </row>
    <row r="71" spans="3:30">
      <c r="J71" s="102"/>
    </row>
    <row r="72" spans="3:30">
      <c r="J72" s="102"/>
    </row>
    <row r="73" spans="3:30">
      <c r="J73" s="102"/>
    </row>
    <row r="74" spans="3:30">
      <c r="J74" s="102"/>
    </row>
    <row r="75" spans="3:30">
      <c r="J75" s="102"/>
    </row>
    <row r="76" spans="3:30">
      <c r="J76" s="102"/>
    </row>
    <row r="77" spans="3:30">
      <c r="J77" s="102"/>
    </row>
    <row r="78" spans="3:30">
      <c r="J78" s="102"/>
    </row>
    <row r="79" spans="3:30">
      <c r="J79" s="102"/>
    </row>
    <row r="80" spans="3:30">
      <c r="J80" s="102"/>
    </row>
    <row r="81" spans="10:10">
      <c r="J81" s="102"/>
    </row>
    <row r="82" spans="10:10">
      <c r="J82" s="102"/>
    </row>
    <row r="83" spans="10:10">
      <c r="J83" s="102"/>
    </row>
    <row r="84" spans="10:10">
      <c r="J84" s="102"/>
    </row>
    <row r="85" spans="10:10">
      <c r="J85" s="102"/>
    </row>
    <row r="86" spans="10:10">
      <c r="J86" s="102"/>
    </row>
    <row r="87" spans="10:10">
      <c r="J87" s="102"/>
    </row>
    <row r="88" spans="10:10">
      <c r="J88" s="102"/>
    </row>
    <row r="89" spans="10:10">
      <c r="J89" s="102"/>
    </row>
    <row r="90" spans="10:10">
      <c r="J90" s="102"/>
    </row>
    <row r="91" spans="10:10">
      <c r="J91" s="102"/>
    </row>
    <row r="92" spans="10:10">
      <c r="J92" s="102"/>
    </row>
    <row r="93" spans="10:10">
      <c r="J93" s="102"/>
    </row>
    <row r="94" spans="10:10">
      <c r="J94" s="102"/>
    </row>
    <row r="95" spans="10:10">
      <c r="J95" s="102"/>
    </row>
    <row r="96" spans="10:10">
      <c r="J96" s="102"/>
    </row>
    <row r="97" spans="10:10">
      <c r="J97" s="102"/>
    </row>
    <row r="98" spans="10:10">
      <c r="J98" s="102"/>
    </row>
    <row r="99" spans="10:10">
      <c r="J99" s="102"/>
    </row>
    <row r="100" spans="10:10">
      <c r="J100" s="102"/>
    </row>
    <row r="101" spans="10:10">
      <c r="J101" s="102"/>
    </row>
    <row r="102" spans="10:10">
      <c r="J102" s="102"/>
    </row>
    <row r="103" spans="10:10">
      <c r="J103" s="102"/>
    </row>
    <row r="104" spans="10:10">
      <c r="J104" s="102"/>
    </row>
    <row r="105" spans="10:10">
      <c r="J105" s="102"/>
    </row>
    <row r="106" spans="10:10">
      <c r="J106" s="102"/>
    </row>
    <row r="107" spans="10:10">
      <c r="J107" s="102"/>
    </row>
    <row r="108" spans="10:10">
      <c r="J108" s="102"/>
    </row>
    <row r="109" spans="10:10">
      <c r="J109" s="102"/>
    </row>
    <row r="110" spans="10:10">
      <c r="J110" s="102"/>
    </row>
    <row r="111" spans="10:10">
      <c r="J111" s="102"/>
    </row>
    <row r="112" spans="10:10">
      <c r="J112" s="102"/>
    </row>
    <row r="113" spans="10:10">
      <c r="J113" s="102"/>
    </row>
    <row r="114" spans="10:10">
      <c r="J114" s="102"/>
    </row>
    <row r="115" spans="10:10">
      <c r="J115" s="102"/>
    </row>
    <row r="116" spans="10:10">
      <c r="J116" s="102"/>
    </row>
    <row r="117" spans="10:10">
      <c r="J117" s="102"/>
    </row>
    <row r="118" spans="10:10">
      <c r="J118" s="102"/>
    </row>
    <row r="119" spans="10:10">
      <c r="J119" s="102"/>
    </row>
    <row r="120" spans="10:10">
      <c r="J120" s="102"/>
    </row>
    <row r="121" spans="10:10">
      <c r="J121" s="102"/>
    </row>
    <row r="122" spans="10:10">
      <c r="J122" s="102"/>
    </row>
    <row r="123" spans="10:10">
      <c r="J123" s="102"/>
    </row>
    <row r="124" spans="10:10">
      <c r="J124" s="102"/>
    </row>
    <row r="125" spans="10:10">
      <c r="J125" s="102"/>
    </row>
    <row r="126" spans="10:10">
      <c r="J126" s="102"/>
    </row>
    <row r="127" spans="10:10">
      <c r="J127" s="102"/>
    </row>
    <row r="128" spans="10:10">
      <c r="J128" s="102"/>
    </row>
    <row r="129" spans="10:10">
      <c r="J129" s="102"/>
    </row>
    <row r="130" spans="10:10">
      <c r="J130" s="102"/>
    </row>
    <row r="131" spans="10:10">
      <c r="J131" s="102"/>
    </row>
    <row r="132" spans="10:10">
      <c r="J132" s="102"/>
    </row>
    <row r="133" spans="10:10">
      <c r="J133" s="102"/>
    </row>
    <row r="134" spans="10:10">
      <c r="J134" s="102"/>
    </row>
    <row r="135" spans="10:10">
      <c r="J135" s="102"/>
    </row>
    <row r="136" spans="10:10">
      <c r="J136" s="102"/>
    </row>
    <row r="137" spans="10:10">
      <c r="J137" s="102"/>
    </row>
    <row r="138" spans="10:10">
      <c r="J138" s="102"/>
    </row>
    <row r="139" spans="10:10">
      <c r="J139" s="102"/>
    </row>
    <row r="140" spans="10:10">
      <c r="J140" s="102"/>
    </row>
    <row r="141" spans="10:10">
      <c r="J141" s="102"/>
    </row>
    <row r="142" spans="10:10">
      <c r="J142" s="102"/>
    </row>
    <row r="143" spans="10:10">
      <c r="J143" s="102"/>
    </row>
    <row r="144" spans="10:10">
      <c r="J144" s="102"/>
    </row>
    <row r="145" spans="10:10">
      <c r="J145" s="102"/>
    </row>
    <row r="146" spans="10:10">
      <c r="J146" s="102"/>
    </row>
    <row r="147" spans="10:10">
      <c r="J147" s="102"/>
    </row>
    <row r="148" spans="10:10">
      <c r="J148" s="102"/>
    </row>
    <row r="149" spans="10:10">
      <c r="J149" s="102"/>
    </row>
    <row r="150" spans="10:10">
      <c r="J150" s="102"/>
    </row>
    <row r="151" spans="10:10">
      <c r="J151" s="102"/>
    </row>
    <row r="152" spans="10:10">
      <c r="J152" s="102"/>
    </row>
    <row r="153" spans="10:10">
      <c r="J153" s="102"/>
    </row>
    <row r="154" spans="10:10">
      <c r="J154" s="102"/>
    </row>
    <row r="155" spans="10:10">
      <c r="J155" s="102"/>
    </row>
    <row r="156" spans="10:10">
      <c r="J156" s="102"/>
    </row>
    <row r="157" spans="10:10">
      <c r="J157" s="102"/>
    </row>
    <row r="158" spans="10:10">
      <c r="J158" s="102"/>
    </row>
    <row r="159" spans="10:10">
      <c r="J159" s="102"/>
    </row>
    <row r="160" spans="10:10">
      <c r="J160" s="102"/>
    </row>
    <row r="161" spans="10:10">
      <c r="J161" s="102"/>
    </row>
    <row r="162" spans="10:10">
      <c r="J162" s="102"/>
    </row>
    <row r="163" spans="10:10">
      <c r="J163" s="102"/>
    </row>
    <row r="164" spans="10:10">
      <c r="J164" s="102"/>
    </row>
    <row r="165" spans="10:10">
      <c r="J165" s="102"/>
    </row>
    <row r="166" spans="10:10">
      <c r="J166" s="102"/>
    </row>
    <row r="167" spans="10:10">
      <c r="J167" s="102"/>
    </row>
    <row r="168" spans="10:10">
      <c r="J168" s="102"/>
    </row>
    <row r="169" spans="10:10">
      <c r="J169" s="102"/>
    </row>
    <row r="170" spans="10:10">
      <c r="J170" s="102"/>
    </row>
    <row r="171" spans="10:10">
      <c r="J171" s="102"/>
    </row>
    <row r="172" spans="10:10">
      <c r="J172" s="102"/>
    </row>
    <row r="173" spans="10:10">
      <c r="J173" s="102"/>
    </row>
    <row r="174" spans="10:10">
      <c r="J174" s="102"/>
    </row>
    <row r="175" spans="10:10">
      <c r="J175" s="102"/>
    </row>
    <row r="176" spans="10:10">
      <c r="J176" s="102"/>
    </row>
    <row r="177" spans="10:10">
      <c r="J177" s="102"/>
    </row>
    <row r="178" spans="10:10">
      <c r="J178" s="102"/>
    </row>
    <row r="179" spans="10:10">
      <c r="J179" s="102"/>
    </row>
    <row r="180" spans="10:10">
      <c r="J180" s="102"/>
    </row>
    <row r="181" spans="10:10">
      <c r="J181" s="102"/>
    </row>
    <row r="182" spans="10:10">
      <c r="J182" s="102"/>
    </row>
    <row r="183" spans="10:10">
      <c r="J183" s="102"/>
    </row>
    <row r="184" spans="10:10">
      <c r="J184" s="102"/>
    </row>
    <row r="185" spans="10:10">
      <c r="J185" s="102"/>
    </row>
    <row r="186" spans="10:10">
      <c r="J186" s="102"/>
    </row>
    <row r="187" spans="10:10">
      <c r="J187" s="102"/>
    </row>
    <row r="188" spans="10:10">
      <c r="J188" s="102"/>
    </row>
    <row r="189" spans="10:10">
      <c r="J189" s="102"/>
    </row>
    <row r="190" spans="10:10">
      <c r="J190" s="102"/>
    </row>
    <row r="191" spans="10:10">
      <c r="J191" s="102"/>
    </row>
    <row r="192" spans="10:10">
      <c r="J192" s="102"/>
    </row>
    <row r="193" spans="10:10">
      <c r="J193" s="102"/>
    </row>
    <row r="194" spans="10:10">
      <c r="J194" s="102"/>
    </row>
    <row r="195" spans="10:10">
      <c r="J195" s="102"/>
    </row>
    <row r="196" spans="10:10">
      <c r="J196" s="102"/>
    </row>
    <row r="197" spans="10:10">
      <c r="J197" s="102"/>
    </row>
    <row r="198" spans="10:10">
      <c r="J198" s="102"/>
    </row>
    <row r="199" spans="10:10">
      <c r="J199" s="102"/>
    </row>
    <row r="200" spans="10:10">
      <c r="J200" s="102"/>
    </row>
    <row r="201" spans="10:10">
      <c r="J201" s="102"/>
    </row>
    <row r="202" spans="10:10">
      <c r="J202" s="102"/>
    </row>
    <row r="203" spans="10:10">
      <c r="J203" s="102"/>
    </row>
    <row r="204" spans="10:10">
      <c r="J204" s="102"/>
    </row>
    <row r="205" spans="10:10">
      <c r="J205" s="102"/>
    </row>
    <row r="206" spans="10:10">
      <c r="J206" s="102"/>
    </row>
    <row r="207" spans="10:10">
      <c r="J207" s="102"/>
    </row>
    <row r="208" spans="10:10">
      <c r="J208" s="102"/>
    </row>
    <row r="209" spans="10:10">
      <c r="J209" s="102"/>
    </row>
    <row r="210" spans="10:10">
      <c r="J210" s="102"/>
    </row>
    <row r="211" spans="10:10">
      <c r="J211" s="102"/>
    </row>
    <row r="212" spans="10:10">
      <c r="J212" s="102"/>
    </row>
    <row r="213" spans="10:10">
      <c r="J213" s="102"/>
    </row>
    <row r="214" spans="10:10">
      <c r="J214" s="102"/>
    </row>
    <row r="215" spans="10:10">
      <c r="J215" s="102"/>
    </row>
    <row r="216" spans="10:10">
      <c r="J216" s="102"/>
    </row>
    <row r="217" spans="10:10">
      <c r="J217" s="102"/>
    </row>
    <row r="218" spans="10:10">
      <c r="J218" s="102"/>
    </row>
    <row r="219" spans="10:10">
      <c r="J219" s="102"/>
    </row>
    <row r="220" spans="10:10">
      <c r="J220" s="102"/>
    </row>
    <row r="221" spans="10:10">
      <c r="J221" s="102"/>
    </row>
    <row r="222" spans="10:10">
      <c r="J222" s="102"/>
    </row>
    <row r="223" spans="10:10">
      <c r="J223" s="102"/>
    </row>
    <row r="224" spans="10:10">
      <c r="J224" s="102"/>
    </row>
    <row r="225" spans="10:10">
      <c r="J225" s="102"/>
    </row>
    <row r="226" spans="10:10">
      <c r="J226" s="102"/>
    </row>
    <row r="227" spans="10:10">
      <c r="J227" s="102"/>
    </row>
    <row r="228" spans="10:10">
      <c r="J228" s="102"/>
    </row>
    <row r="229" spans="10:10">
      <c r="J229" s="102"/>
    </row>
    <row r="230" spans="10:10">
      <c r="J230" s="102"/>
    </row>
    <row r="231" spans="10:10">
      <c r="J231" s="102"/>
    </row>
    <row r="232" spans="10:10">
      <c r="J232" s="102"/>
    </row>
    <row r="233" spans="10:10">
      <c r="J233" s="102"/>
    </row>
    <row r="234" spans="10:10">
      <c r="J234" s="102"/>
    </row>
    <row r="235" spans="10:10">
      <c r="J235" s="102"/>
    </row>
    <row r="236" spans="10:10">
      <c r="J236" s="102"/>
    </row>
    <row r="237" spans="10:10">
      <c r="J237" s="102"/>
    </row>
    <row r="238" spans="10:10">
      <c r="J238" s="102"/>
    </row>
    <row r="239" spans="10:10">
      <c r="J239" s="102"/>
    </row>
    <row r="240" spans="10:10">
      <c r="J240" s="102"/>
    </row>
    <row r="241" spans="10:10">
      <c r="J241" s="102"/>
    </row>
    <row r="242" spans="10:10">
      <c r="J242" s="102"/>
    </row>
    <row r="243" spans="10:10">
      <c r="J243" s="102"/>
    </row>
    <row r="244" spans="10:10">
      <c r="J244" s="102"/>
    </row>
    <row r="245" spans="10:10">
      <c r="J245" s="102"/>
    </row>
    <row r="246" spans="10:10">
      <c r="J246" s="102"/>
    </row>
    <row r="247" spans="10:10">
      <c r="J247" s="102"/>
    </row>
    <row r="248" spans="10:10">
      <c r="J248" s="102"/>
    </row>
    <row r="249" spans="10:10">
      <c r="J249" s="102"/>
    </row>
    <row r="250" spans="10:10">
      <c r="J250" s="102"/>
    </row>
    <row r="251" spans="10:10">
      <c r="J251" s="102"/>
    </row>
    <row r="252" spans="10:10">
      <c r="J252" s="102"/>
    </row>
    <row r="253" spans="10:10">
      <c r="J253" s="102"/>
    </row>
    <row r="254" spans="10:10">
      <c r="J254" s="102"/>
    </row>
    <row r="255" spans="10:10">
      <c r="J255" s="102"/>
    </row>
    <row r="256" spans="10:10">
      <c r="J256" s="102"/>
    </row>
    <row r="257" spans="10:10">
      <c r="J257" s="102"/>
    </row>
    <row r="258" spans="10:10">
      <c r="J258" s="102"/>
    </row>
    <row r="259" spans="10:10">
      <c r="J259" s="102"/>
    </row>
    <row r="260" spans="10:10">
      <c r="J260" s="102"/>
    </row>
    <row r="261" spans="10:10">
      <c r="J261" s="102"/>
    </row>
    <row r="262" spans="10:10">
      <c r="J262" s="102"/>
    </row>
    <row r="263" spans="10:10">
      <c r="J263" s="102"/>
    </row>
    <row r="264" spans="10:10">
      <c r="J264" s="102"/>
    </row>
    <row r="265" spans="10:10">
      <c r="J265" s="102"/>
    </row>
    <row r="266" spans="10:10">
      <c r="J266" s="102"/>
    </row>
    <row r="267" spans="10:10">
      <c r="J267" s="102"/>
    </row>
    <row r="268" spans="10:10">
      <c r="J268" s="102"/>
    </row>
    <row r="269" spans="10:10">
      <c r="J269" s="102"/>
    </row>
    <row r="270" spans="10:10">
      <c r="J270" s="102"/>
    </row>
    <row r="271" spans="10:10">
      <c r="J271" s="102"/>
    </row>
    <row r="272" spans="10:10">
      <c r="J272" s="102"/>
    </row>
    <row r="273" spans="10:10">
      <c r="J273" s="102"/>
    </row>
    <row r="274" spans="10:10">
      <c r="J274" s="102"/>
    </row>
    <row r="275" spans="10:10">
      <c r="J275" s="102"/>
    </row>
    <row r="276" spans="10:10">
      <c r="J276" s="102"/>
    </row>
    <row r="277" spans="10:10">
      <c r="J277" s="102"/>
    </row>
    <row r="278" spans="10:10">
      <c r="J278" s="102"/>
    </row>
    <row r="279" spans="10:10">
      <c r="J279" s="102"/>
    </row>
    <row r="280" spans="10:10">
      <c r="J280" s="102"/>
    </row>
    <row r="281" spans="10:10">
      <c r="J281" s="102"/>
    </row>
    <row r="282" spans="10:10">
      <c r="J282" s="102"/>
    </row>
    <row r="283" spans="10:10">
      <c r="J283" s="102"/>
    </row>
    <row r="284" spans="10:10">
      <c r="J284" s="102"/>
    </row>
    <row r="285" spans="10:10">
      <c r="J285" s="102"/>
    </row>
    <row r="286" spans="10:10">
      <c r="J286" s="102"/>
    </row>
    <row r="287" spans="10:10">
      <c r="J287" s="102"/>
    </row>
    <row r="288" spans="10:10">
      <c r="J288" s="102"/>
    </row>
    <row r="289" spans="10:12">
      <c r="J289" s="102"/>
    </row>
    <row r="290" spans="10:12">
      <c r="J290" s="102"/>
    </row>
    <row r="291" spans="10:12">
      <c r="J291" s="102"/>
    </row>
    <row r="292" spans="10:12">
      <c r="J292" s="102"/>
    </row>
    <row r="293" spans="10:12">
      <c r="J293" s="102"/>
    </row>
    <row r="294" spans="10:12">
      <c r="J294" s="102"/>
    </row>
    <row r="295" spans="10:12">
      <c r="J295" s="102"/>
    </row>
    <row r="296" spans="10:12">
      <c r="J296" s="102"/>
    </row>
    <row r="297" spans="10:12">
      <c r="J297" s="102"/>
    </row>
    <row r="298" spans="10:12">
      <c r="J298" s="102"/>
    </row>
    <row r="299" spans="10:12">
      <c r="J299" s="102"/>
    </row>
    <row r="300" spans="10:12">
      <c r="J300" s="102"/>
      <c r="K300" s="38"/>
      <c r="L300" s="38"/>
    </row>
    <row r="301" spans="10:12">
      <c r="J301" s="102"/>
      <c r="K301" s="38"/>
      <c r="L301" s="38"/>
    </row>
    <row r="302" spans="10:12">
      <c r="J302" s="102"/>
      <c r="K302" s="38"/>
      <c r="L302" s="38"/>
    </row>
    <row r="303" spans="10:12">
      <c r="J303" s="102"/>
      <c r="K303" s="38"/>
      <c r="L303" s="38"/>
    </row>
    <row r="304" spans="10:12">
      <c r="J304" s="102"/>
      <c r="K304" s="38"/>
      <c r="L304" s="38"/>
    </row>
    <row r="305" spans="10:12">
      <c r="J305" s="102"/>
      <c r="K305" s="38"/>
      <c r="L305" s="38"/>
    </row>
    <row r="306" spans="10:12">
      <c r="J306" s="102"/>
      <c r="K306" s="38"/>
      <c r="L306" s="38"/>
    </row>
    <row r="307" spans="10:12">
      <c r="J307" s="102"/>
      <c r="K307" s="38"/>
      <c r="L307" s="38"/>
    </row>
    <row r="308" spans="10:12">
      <c r="J308" s="102"/>
      <c r="K308" s="38"/>
      <c r="L308" s="38"/>
    </row>
    <row r="309" spans="10:12">
      <c r="J309" s="102"/>
      <c r="K309" s="38"/>
      <c r="L309" s="38"/>
    </row>
    <row r="310" spans="10:12">
      <c r="J310" s="102"/>
      <c r="K310" s="38"/>
      <c r="L310" s="38"/>
    </row>
    <row r="311" spans="10:12">
      <c r="J311" s="102"/>
      <c r="K311" s="38"/>
      <c r="L311" s="38"/>
    </row>
    <row r="312" spans="10:12">
      <c r="J312" s="102"/>
      <c r="K312" s="38"/>
      <c r="L312" s="38"/>
    </row>
    <row r="313" spans="10:12">
      <c r="J313" s="102"/>
      <c r="K313" s="38"/>
      <c r="L313" s="38"/>
    </row>
    <row r="314" spans="10:12">
      <c r="J314" s="102"/>
      <c r="K314" s="38"/>
      <c r="L314" s="38"/>
    </row>
    <row r="315" spans="10:12">
      <c r="J315" s="102"/>
      <c r="K315" s="38"/>
      <c r="L315" s="38"/>
    </row>
    <row r="316" spans="10:12">
      <c r="J316" s="102"/>
      <c r="K316" s="38"/>
      <c r="L316" s="38"/>
    </row>
    <row r="317" spans="10:12">
      <c r="J317" s="102"/>
      <c r="K317" s="38"/>
      <c r="L317" s="38"/>
    </row>
    <row r="318" spans="10:12">
      <c r="J318" s="102"/>
      <c r="K318" s="38"/>
      <c r="L318" s="38"/>
    </row>
    <row r="319" spans="10:12">
      <c r="J319" s="102"/>
      <c r="K319" s="38"/>
      <c r="L319" s="38"/>
    </row>
    <row r="320" spans="10:12">
      <c r="J320" s="102"/>
      <c r="K320" s="38"/>
      <c r="L320" s="38"/>
    </row>
    <row r="321" spans="10:12">
      <c r="J321" s="102"/>
      <c r="K321" s="38"/>
      <c r="L321" s="38"/>
    </row>
    <row r="322" spans="10:12">
      <c r="J322" s="102"/>
      <c r="K322" s="38"/>
      <c r="L322" s="38"/>
    </row>
    <row r="323" spans="10:12">
      <c r="J323" s="102"/>
      <c r="K323" s="38"/>
      <c r="L323" s="38"/>
    </row>
    <row r="324" spans="10:12">
      <c r="J324" s="102"/>
      <c r="K324" s="38"/>
      <c r="L324" s="38"/>
    </row>
    <row r="325" spans="10:12">
      <c r="J325" s="102"/>
      <c r="K325" s="38"/>
      <c r="L325" s="38"/>
    </row>
    <row r="326" spans="10:12">
      <c r="J326" s="102"/>
      <c r="K326" s="38"/>
      <c r="L326" s="38"/>
    </row>
    <row r="327" spans="10:12">
      <c r="J327" s="102"/>
      <c r="K327" s="38"/>
      <c r="L327" s="38"/>
    </row>
    <row r="328" spans="10:12">
      <c r="J328" s="102"/>
      <c r="K328" s="38"/>
      <c r="L328" s="38"/>
    </row>
    <row r="329" spans="10:12">
      <c r="J329" s="102"/>
      <c r="K329" s="38"/>
      <c r="L329" s="38"/>
    </row>
    <row r="330" spans="10:12">
      <c r="J330" s="102"/>
      <c r="K330" s="38"/>
      <c r="L330" s="38"/>
    </row>
    <row r="331" spans="10:12">
      <c r="J331" s="102"/>
      <c r="K331" s="38"/>
      <c r="L331" s="38"/>
    </row>
    <row r="332" spans="10:12">
      <c r="J332" s="102"/>
      <c r="K332" s="38"/>
      <c r="L332" s="38"/>
    </row>
    <row r="333" spans="10:12">
      <c r="J333" s="102"/>
      <c r="K333" s="38"/>
      <c r="L333" s="38"/>
    </row>
    <row r="334" spans="10:12">
      <c r="J334" s="102"/>
      <c r="K334" s="38"/>
      <c r="L334" s="38"/>
    </row>
    <row r="335" spans="10:12">
      <c r="J335" s="102"/>
      <c r="K335" s="38"/>
      <c r="L335" s="38"/>
    </row>
    <row r="336" spans="10:12">
      <c r="J336" s="102"/>
      <c r="K336" s="38"/>
      <c r="L336" s="38"/>
    </row>
    <row r="337" spans="10:12">
      <c r="J337" s="102"/>
      <c r="K337" s="38"/>
      <c r="L337" s="38"/>
    </row>
    <row r="338" spans="10:12">
      <c r="J338" s="102"/>
      <c r="K338" s="38"/>
      <c r="L338" s="38"/>
    </row>
    <row r="339" spans="10:12">
      <c r="J339" s="102"/>
      <c r="K339" s="38"/>
      <c r="L339" s="38"/>
    </row>
    <row r="340" spans="10:12">
      <c r="J340" s="102"/>
      <c r="K340" s="38"/>
      <c r="L340" s="38"/>
    </row>
    <row r="341" spans="10:12">
      <c r="J341" s="102"/>
      <c r="K341" s="38"/>
      <c r="L341" s="38"/>
    </row>
    <row r="342" spans="10:12">
      <c r="J342" s="102"/>
      <c r="K342" s="38"/>
      <c r="L342" s="38"/>
    </row>
    <row r="343" spans="10:12">
      <c r="J343" s="102"/>
      <c r="K343" s="38"/>
      <c r="L343" s="38"/>
    </row>
    <row r="344" spans="10:12">
      <c r="J344" s="102"/>
      <c r="K344" s="38"/>
      <c r="L344" s="38"/>
    </row>
    <row r="345" spans="10:12">
      <c r="J345" s="102"/>
      <c r="K345" s="38"/>
      <c r="L345" s="38"/>
    </row>
    <row r="346" spans="10:12">
      <c r="J346" s="102"/>
      <c r="K346" s="38"/>
      <c r="L346" s="38"/>
    </row>
    <row r="347" spans="10:12">
      <c r="J347" s="102"/>
      <c r="K347" s="38"/>
      <c r="L347" s="38"/>
    </row>
    <row r="348" spans="10:12">
      <c r="J348" s="102"/>
      <c r="K348" s="38"/>
      <c r="L348" s="38"/>
    </row>
    <row r="349" spans="10:12">
      <c r="J349" s="102"/>
      <c r="K349" s="38"/>
      <c r="L349" s="38"/>
    </row>
    <row r="350" spans="10:12">
      <c r="J350" s="102"/>
      <c r="K350" s="38"/>
      <c r="L350" s="38"/>
    </row>
    <row r="351" spans="10:12">
      <c r="J351" s="102"/>
      <c r="K351" s="38"/>
      <c r="L351" s="38"/>
    </row>
    <row r="352" spans="10:12">
      <c r="J352" s="102"/>
      <c r="K352" s="38"/>
      <c r="L352" s="38"/>
    </row>
    <row r="353" spans="10:12">
      <c r="J353" s="102"/>
      <c r="K353" s="38"/>
      <c r="L353" s="38"/>
    </row>
    <row r="354" spans="10:12">
      <c r="J354" s="102"/>
      <c r="K354" s="38"/>
      <c r="L354" s="38"/>
    </row>
    <row r="355" spans="10:12">
      <c r="J355" s="102"/>
      <c r="K355" s="38"/>
      <c r="L355" s="38"/>
    </row>
    <row r="356" spans="10:12">
      <c r="J356" s="102"/>
      <c r="K356" s="38"/>
      <c r="L356" s="38"/>
    </row>
    <row r="357" spans="10:12">
      <c r="J357" s="102"/>
      <c r="K357" s="38"/>
      <c r="L357" s="38"/>
    </row>
    <row r="358" spans="10:12">
      <c r="J358" s="102"/>
      <c r="K358" s="38"/>
      <c r="L358" s="38"/>
    </row>
    <row r="359" spans="10:12">
      <c r="J359" s="102"/>
      <c r="K359" s="38"/>
      <c r="L359" s="38"/>
    </row>
    <row r="360" spans="10:12">
      <c r="J360" s="102"/>
      <c r="K360" s="38"/>
      <c r="L360" s="38"/>
    </row>
    <row r="361" spans="10:12">
      <c r="J361" s="102"/>
      <c r="K361" s="38"/>
      <c r="L361" s="38"/>
    </row>
    <row r="362" spans="10:12">
      <c r="J362" s="102"/>
      <c r="K362" s="38"/>
      <c r="L362" s="38"/>
    </row>
    <row r="363" spans="10:12">
      <c r="J363" s="102"/>
      <c r="K363" s="38"/>
      <c r="L363" s="38"/>
    </row>
    <row r="364" spans="10:12">
      <c r="J364" s="102"/>
      <c r="K364" s="38"/>
      <c r="L364" s="38"/>
    </row>
    <row r="365" spans="10:12">
      <c r="J365" s="102"/>
      <c r="K365" s="38"/>
      <c r="L365" s="38"/>
    </row>
    <row r="366" spans="10:12">
      <c r="J366" s="102"/>
      <c r="K366" s="38"/>
      <c r="L366" s="38"/>
    </row>
    <row r="367" spans="10:12">
      <c r="J367" s="102"/>
      <c r="K367" s="38"/>
      <c r="L367" s="38"/>
    </row>
    <row r="368" spans="10:12">
      <c r="J368" s="102"/>
      <c r="K368" s="38"/>
      <c r="L368" s="38"/>
    </row>
    <row r="369" spans="10:12">
      <c r="J369" s="102"/>
      <c r="K369" s="38"/>
      <c r="L369" s="38"/>
    </row>
    <row r="370" spans="10:12">
      <c r="J370" s="102"/>
      <c r="K370" s="38"/>
      <c r="L370" s="38"/>
    </row>
    <row r="371" spans="10:12">
      <c r="J371" s="102"/>
      <c r="K371" s="38"/>
      <c r="L371" s="38"/>
    </row>
    <row r="372" spans="10:12">
      <c r="J372" s="102"/>
      <c r="K372" s="38"/>
      <c r="L372" s="38"/>
    </row>
    <row r="373" spans="10:12">
      <c r="J373" s="102"/>
      <c r="K373" s="38"/>
      <c r="L373" s="38"/>
    </row>
    <row r="374" spans="10:12">
      <c r="J374" s="102"/>
      <c r="K374" s="38"/>
      <c r="L374" s="38"/>
    </row>
    <row r="375" spans="10:12">
      <c r="J375" s="102"/>
      <c r="K375" s="38"/>
      <c r="L375" s="38"/>
    </row>
    <row r="376" spans="10:12">
      <c r="J376" s="102"/>
      <c r="K376" s="38"/>
      <c r="L376" s="38"/>
    </row>
    <row r="377" spans="10:12">
      <c r="J377" s="102"/>
      <c r="K377" s="38"/>
      <c r="L377" s="38"/>
    </row>
    <row r="378" spans="10:12">
      <c r="J378" s="102"/>
      <c r="K378" s="38"/>
      <c r="L378" s="38"/>
    </row>
    <row r="379" spans="10:12">
      <c r="J379" s="102"/>
      <c r="K379" s="38"/>
      <c r="L379" s="38"/>
    </row>
    <row r="380" spans="10:12">
      <c r="J380" s="102"/>
      <c r="K380" s="38"/>
      <c r="L380" s="38"/>
    </row>
    <row r="381" spans="10:12">
      <c r="J381" s="102"/>
      <c r="K381" s="38"/>
      <c r="L381" s="38"/>
    </row>
    <row r="382" spans="10:12">
      <c r="J382" s="102"/>
      <c r="K382" s="38"/>
      <c r="L382" s="38"/>
    </row>
    <row r="383" spans="10:12">
      <c r="J383" s="102"/>
      <c r="K383" s="38"/>
      <c r="L383" s="38"/>
    </row>
    <row r="384" spans="10:12">
      <c r="J384" s="102"/>
      <c r="K384" s="38"/>
      <c r="L384" s="38"/>
    </row>
    <row r="385" spans="10:12">
      <c r="J385" s="102"/>
      <c r="K385" s="38"/>
      <c r="L385" s="38"/>
    </row>
    <row r="386" spans="10:12">
      <c r="J386" s="102"/>
      <c r="K386" s="38"/>
      <c r="L386" s="38"/>
    </row>
    <row r="387" spans="10:12">
      <c r="J387" s="102"/>
      <c r="K387" s="38"/>
      <c r="L387" s="38"/>
    </row>
    <row r="388" spans="10:12">
      <c r="J388" s="102"/>
      <c r="K388" s="38"/>
      <c r="L388" s="38"/>
    </row>
    <row r="389" spans="10:12">
      <c r="J389" s="102"/>
      <c r="K389" s="38"/>
      <c r="L389" s="38"/>
    </row>
    <row r="390" spans="10:12">
      <c r="J390" s="102"/>
      <c r="K390" s="38"/>
      <c r="L390" s="38"/>
    </row>
    <row r="391" spans="10:12">
      <c r="J391" s="102"/>
      <c r="K391" s="38"/>
      <c r="L391" s="38"/>
    </row>
    <row r="392" spans="10:12">
      <c r="J392" s="102"/>
      <c r="K392" s="38"/>
      <c r="L392" s="38"/>
    </row>
    <row r="393" spans="10:12">
      <c r="J393" s="102"/>
      <c r="K393" s="38"/>
      <c r="L393" s="38"/>
    </row>
    <row r="394" spans="10:12">
      <c r="J394" s="102"/>
      <c r="K394" s="38"/>
      <c r="L394" s="38"/>
    </row>
    <row r="395" spans="10:12">
      <c r="J395" s="102"/>
      <c r="K395" s="38"/>
      <c r="L395" s="38"/>
    </row>
    <row r="396" spans="10:12">
      <c r="J396" s="102"/>
      <c r="K396" s="38"/>
      <c r="L396" s="38"/>
    </row>
    <row r="397" spans="10:12">
      <c r="J397" s="102"/>
      <c r="K397" s="38"/>
      <c r="L397" s="38"/>
    </row>
    <row r="398" spans="10:12">
      <c r="J398" s="102"/>
      <c r="K398" s="38"/>
      <c r="L398" s="38"/>
    </row>
    <row r="399" spans="10:12">
      <c r="J399" s="102"/>
      <c r="K399" s="38"/>
      <c r="L399" s="38"/>
    </row>
    <row r="400" spans="10:12">
      <c r="J400" s="102"/>
      <c r="K400" s="38"/>
      <c r="L400" s="38"/>
    </row>
    <row r="401" spans="10:12">
      <c r="J401" s="102"/>
      <c r="K401" s="38"/>
      <c r="L401" s="38"/>
    </row>
    <row r="402" spans="10:12">
      <c r="J402" s="102"/>
      <c r="K402" s="38"/>
      <c r="L402" s="38"/>
    </row>
    <row r="403" spans="10:12">
      <c r="J403" s="102"/>
      <c r="K403" s="38"/>
      <c r="L403" s="38"/>
    </row>
    <row r="404" spans="10:12">
      <c r="J404" s="102"/>
      <c r="K404" s="38"/>
      <c r="L404" s="38"/>
    </row>
    <row r="405" spans="10:12">
      <c r="J405" s="102"/>
      <c r="K405" s="38"/>
      <c r="L405" s="38"/>
    </row>
    <row r="406" spans="10:12">
      <c r="J406" s="102"/>
      <c r="K406" s="38"/>
      <c r="L406" s="38"/>
    </row>
    <row r="407" spans="10:12">
      <c r="J407" s="102"/>
      <c r="K407" s="38"/>
      <c r="L407" s="38"/>
    </row>
    <row r="408" spans="10:12">
      <c r="J408" s="102"/>
      <c r="K408" s="38"/>
      <c r="L408" s="38"/>
    </row>
    <row r="409" spans="10:12">
      <c r="J409" s="102"/>
      <c r="K409" s="38"/>
      <c r="L409" s="38"/>
    </row>
    <row r="410" spans="10:12">
      <c r="J410" s="102"/>
      <c r="K410" s="38"/>
      <c r="L410" s="38"/>
    </row>
    <row r="411" spans="10:12">
      <c r="J411" s="102"/>
      <c r="K411" s="38"/>
      <c r="L411" s="38"/>
    </row>
    <row r="412" spans="10:12">
      <c r="J412" s="102"/>
      <c r="K412" s="38"/>
      <c r="L412" s="38"/>
    </row>
    <row r="413" spans="10:12">
      <c r="J413" s="102"/>
      <c r="K413" s="38"/>
      <c r="L413" s="38"/>
    </row>
    <row r="414" spans="10:12">
      <c r="J414" s="102"/>
      <c r="K414" s="38"/>
      <c r="L414" s="38"/>
    </row>
    <row r="415" spans="10:12">
      <c r="J415" s="102"/>
      <c r="K415" s="38"/>
      <c r="L415" s="38"/>
    </row>
    <row r="416" spans="10:12">
      <c r="J416" s="102"/>
      <c r="K416" s="38"/>
      <c r="L416" s="38"/>
    </row>
    <row r="417" spans="10:12">
      <c r="J417" s="102"/>
      <c r="K417" s="38"/>
      <c r="L417" s="38"/>
    </row>
    <row r="418" spans="10:12">
      <c r="J418" s="102"/>
      <c r="K418" s="38"/>
      <c r="L418" s="38"/>
    </row>
    <row r="419" spans="10:12">
      <c r="J419" s="102"/>
      <c r="K419" s="38"/>
      <c r="L419" s="38"/>
    </row>
    <row r="420" spans="10:12">
      <c r="J420" s="102"/>
      <c r="K420" s="38"/>
      <c r="L420" s="38"/>
    </row>
    <row r="421" spans="10:12">
      <c r="J421" s="102"/>
      <c r="K421" s="38"/>
      <c r="L421" s="38"/>
    </row>
    <row r="422" spans="10:12">
      <c r="J422" s="102"/>
      <c r="K422" s="38"/>
      <c r="L422" s="38"/>
    </row>
    <row r="423" spans="10:12">
      <c r="J423" s="102"/>
      <c r="K423" s="38"/>
      <c r="L423" s="38"/>
    </row>
    <row r="424" spans="10:12">
      <c r="J424" s="102"/>
      <c r="K424" s="38"/>
      <c r="L424" s="38"/>
    </row>
    <row r="425" spans="10:12">
      <c r="J425" s="102"/>
      <c r="K425" s="38"/>
      <c r="L425" s="38"/>
    </row>
    <row r="426" spans="10:12">
      <c r="J426" s="102"/>
      <c r="K426" s="38"/>
      <c r="L426" s="38"/>
    </row>
    <row r="427" spans="10:12">
      <c r="J427" s="102"/>
      <c r="K427" s="38"/>
      <c r="L427" s="38"/>
    </row>
    <row r="428" spans="10:12">
      <c r="J428" s="102"/>
      <c r="K428" s="38"/>
      <c r="L428" s="38"/>
    </row>
    <row r="429" spans="10:12">
      <c r="J429" s="102"/>
      <c r="K429" s="38"/>
      <c r="L429" s="38"/>
    </row>
    <row r="430" spans="10:12">
      <c r="J430" s="102"/>
      <c r="K430" s="38"/>
      <c r="L430" s="38"/>
    </row>
    <row r="431" spans="10:12">
      <c r="J431" s="102"/>
      <c r="K431" s="38"/>
      <c r="L431" s="38"/>
    </row>
    <row r="432" spans="10:12">
      <c r="J432" s="102"/>
      <c r="K432" s="38"/>
      <c r="L432" s="38"/>
    </row>
    <row r="433" spans="10:12">
      <c r="J433" s="102"/>
      <c r="K433" s="38"/>
      <c r="L433" s="38"/>
    </row>
    <row r="434" spans="10:12">
      <c r="J434" s="102"/>
      <c r="K434" s="38"/>
      <c r="L434" s="38"/>
    </row>
    <row r="435" spans="10:12">
      <c r="J435" s="102"/>
      <c r="K435" s="38"/>
      <c r="L435" s="38"/>
    </row>
    <row r="436" spans="10:12">
      <c r="J436" s="102"/>
      <c r="K436" s="38"/>
      <c r="L436" s="38"/>
    </row>
    <row r="437" spans="10:12">
      <c r="J437" s="102"/>
      <c r="K437" s="38"/>
      <c r="L437" s="38"/>
    </row>
    <row r="438" spans="10:12">
      <c r="J438" s="102"/>
      <c r="K438" s="38"/>
      <c r="L438" s="38"/>
    </row>
    <row r="439" spans="10:12">
      <c r="J439" s="102"/>
      <c r="K439" s="38"/>
      <c r="L439" s="38"/>
    </row>
    <row r="440" spans="10:12">
      <c r="J440" s="102"/>
      <c r="K440" s="38"/>
      <c r="L440" s="38"/>
    </row>
    <row r="441" spans="10:12">
      <c r="J441" s="102"/>
      <c r="K441" s="38"/>
      <c r="L441" s="38"/>
    </row>
    <row r="442" spans="10:12">
      <c r="J442" s="102"/>
      <c r="K442" s="38"/>
      <c r="L442" s="38"/>
    </row>
    <row r="443" spans="10:12">
      <c r="J443" s="102"/>
      <c r="K443" s="38"/>
      <c r="L443" s="38"/>
    </row>
    <row r="444" spans="10:12">
      <c r="J444" s="102"/>
      <c r="K444" s="38"/>
      <c r="L444" s="38"/>
    </row>
    <row r="445" spans="10:12">
      <c r="J445" s="102"/>
      <c r="K445" s="38"/>
      <c r="L445" s="38"/>
    </row>
    <row r="446" spans="10:12">
      <c r="J446" s="102"/>
      <c r="K446" s="38"/>
      <c r="L446" s="38"/>
    </row>
    <row r="447" spans="10:12">
      <c r="J447" s="102"/>
      <c r="K447" s="38"/>
      <c r="L447" s="38"/>
    </row>
    <row r="448" spans="10:12">
      <c r="J448" s="102"/>
      <c r="K448" s="38"/>
      <c r="L448" s="38"/>
    </row>
    <row r="449" spans="10:12">
      <c r="J449" s="102"/>
      <c r="K449" s="38"/>
      <c r="L449" s="38"/>
    </row>
    <row r="450" spans="10:12">
      <c r="J450" s="102"/>
      <c r="K450" s="38"/>
      <c r="L450" s="38"/>
    </row>
    <row r="451" spans="10:12">
      <c r="J451" s="102"/>
      <c r="K451" s="38"/>
      <c r="L451" s="38"/>
    </row>
    <row r="452" spans="10:12">
      <c r="J452" s="102"/>
      <c r="K452" s="38"/>
      <c r="L452" s="38"/>
    </row>
    <row r="453" spans="10:12">
      <c r="J453" s="102"/>
      <c r="K453" s="38"/>
      <c r="L453" s="38"/>
    </row>
    <row r="454" spans="10:12">
      <c r="J454" s="102"/>
      <c r="K454" s="38"/>
      <c r="L454" s="38"/>
    </row>
    <row r="455" spans="10:12">
      <c r="J455" s="102"/>
      <c r="K455" s="38"/>
      <c r="L455" s="38"/>
    </row>
    <row r="456" spans="10:12">
      <c r="J456" s="102"/>
      <c r="K456" s="38"/>
      <c r="L456" s="38"/>
    </row>
    <row r="457" spans="10:12">
      <c r="J457" s="102"/>
      <c r="K457" s="38"/>
      <c r="L457" s="38"/>
    </row>
    <row r="458" spans="10:12">
      <c r="J458" s="102"/>
      <c r="K458" s="38"/>
      <c r="L458" s="38"/>
    </row>
    <row r="459" spans="10:12">
      <c r="J459" s="102"/>
      <c r="K459" s="38"/>
      <c r="L459" s="38"/>
    </row>
    <row r="460" spans="10:12">
      <c r="J460" s="102"/>
      <c r="K460" s="38"/>
      <c r="L460" s="38"/>
    </row>
    <row r="461" spans="10:12">
      <c r="J461" s="102"/>
      <c r="K461" s="38"/>
      <c r="L461" s="38"/>
    </row>
    <row r="462" spans="10:12">
      <c r="J462" s="102"/>
      <c r="K462" s="38"/>
      <c r="L462" s="38"/>
    </row>
    <row r="463" spans="10:12">
      <c r="J463" s="102"/>
      <c r="K463" s="38"/>
      <c r="L463" s="38"/>
    </row>
    <row r="464" spans="10:12">
      <c r="J464" s="102"/>
      <c r="K464" s="38"/>
      <c r="L464" s="38"/>
    </row>
    <row r="465" spans="10:12">
      <c r="J465" s="102"/>
      <c r="K465" s="38"/>
      <c r="L465" s="38"/>
    </row>
    <row r="466" spans="10:12">
      <c r="J466" s="102"/>
      <c r="K466" s="38"/>
      <c r="L466" s="38"/>
    </row>
    <row r="467" spans="10:12">
      <c r="J467" s="102"/>
      <c r="K467" s="38"/>
      <c r="L467" s="38"/>
    </row>
    <row r="468" spans="10:12">
      <c r="J468" s="102"/>
      <c r="K468" s="38"/>
      <c r="L468" s="38"/>
    </row>
    <row r="469" spans="10:12">
      <c r="J469" s="102"/>
      <c r="K469" s="38"/>
      <c r="L469" s="38"/>
    </row>
    <row r="470" spans="10:12">
      <c r="J470" s="102"/>
      <c r="K470" s="38"/>
      <c r="L470" s="38"/>
    </row>
    <row r="471" spans="10:12">
      <c r="J471" s="102"/>
      <c r="K471" s="38"/>
      <c r="L471" s="38"/>
    </row>
    <row r="472" spans="10:12">
      <c r="J472" s="102"/>
      <c r="K472" s="38"/>
      <c r="L472" s="38"/>
    </row>
    <row r="473" spans="10:12">
      <c r="J473" s="102"/>
      <c r="K473" s="38"/>
      <c r="L473" s="38"/>
    </row>
    <row r="474" spans="10:12">
      <c r="J474" s="102"/>
      <c r="K474" s="38"/>
      <c r="L474" s="38"/>
    </row>
    <row r="475" spans="10:12">
      <c r="J475" s="102"/>
      <c r="K475" s="38"/>
      <c r="L475" s="38"/>
    </row>
    <row r="476" spans="10:12">
      <c r="J476" s="102"/>
      <c r="K476" s="38"/>
      <c r="L476" s="38"/>
    </row>
    <row r="477" spans="10:12">
      <c r="J477" s="102"/>
      <c r="K477" s="38"/>
      <c r="L477" s="38"/>
    </row>
    <row r="478" spans="10:12">
      <c r="J478" s="102"/>
      <c r="K478" s="38"/>
      <c r="L478" s="38"/>
    </row>
    <row r="479" spans="10:12">
      <c r="J479" s="102"/>
      <c r="K479" s="38"/>
      <c r="L479" s="38"/>
    </row>
    <row r="480" spans="10:12">
      <c r="J480" s="102"/>
      <c r="K480" s="38"/>
      <c r="L480" s="38"/>
    </row>
    <row r="481" spans="10:12">
      <c r="J481" s="102"/>
      <c r="K481" s="38"/>
      <c r="L481" s="38"/>
    </row>
    <row r="482" spans="10:12">
      <c r="J482" s="102"/>
      <c r="K482" s="38"/>
      <c r="L482" s="38"/>
    </row>
    <row r="483" spans="10:12">
      <c r="J483" s="102"/>
      <c r="K483" s="38"/>
      <c r="L483" s="38"/>
    </row>
    <row r="484" spans="10:12">
      <c r="J484" s="102"/>
      <c r="K484" s="38"/>
      <c r="L484" s="38"/>
    </row>
    <row r="485" spans="10:12">
      <c r="J485" s="102"/>
      <c r="K485" s="38"/>
      <c r="L485" s="38"/>
    </row>
    <row r="486" spans="10:12">
      <c r="J486" s="102"/>
      <c r="K486" s="38"/>
      <c r="L486" s="38"/>
    </row>
    <row r="487" spans="10:12">
      <c r="J487" s="102"/>
      <c r="K487" s="38"/>
      <c r="L487" s="38"/>
    </row>
    <row r="488" spans="10:12">
      <c r="J488" s="102"/>
      <c r="K488" s="38"/>
      <c r="L488" s="38"/>
    </row>
    <row r="489" spans="10:12">
      <c r="J489" s="102"/>
      <c r="K489" s="38"/>
      <c r="L489" s="38"/>
    </row>
    <row r="490" spans="10:12">
      <c r="J490" s="102"/>
      <c r="K490" s="38"/>
      <c r="L490" s="38"/>
    </row>
    <row r="491" spans="10:12">
      <c r="J491" s="102"/>
      <c r="K491" s="38"/>
      <c r="L491" s="38"/>
    </row>
    <row r="492" spans="10:12">
      <c r="J492" s="102"/>
      <c r="K492" s="38"/>
      <c r="L492" s="38"/>
    </row>
    <row r="493" spans="10:12">
      <c r="J493" s="102"/>
      <c r="K493" s="38"/>
      <c r="L493" s="38"/>
    </row>
    <row r="494" spans="10:12">
      <c r="J494" s="102"/>
      <c r="K494" s="38"/>
      <c r="L494" s="38"/>
    </row>
    <row r="495" spans="10:12">
      <c r="J495" s="102"/>
      <c r="K495" s="38"/>
      <c r="L495" s="38"/>
    </row>
    <row r="496" spans="10:12">
      <c r="J496" s="102"/>
      <c r="K496" s="38"/>
      <c r="L496" s="38"/>
    </row>
    <row r="497" spans="10:12">
      <c r="J497" s="102"/>
      <c r="K497" s="38"/>
      <c r="L497" s="38"/>
    </row>
    <row r="498" spans="10:12">
      <c r="J498" s="102"/>
      <c r="K498" s="38"/>
      <c r="L498" s="38"/>
    </row>
    <row r="499" spans="10:12">
      <c r="J499" s="102"/>
      <c r="K499" s="38"/>
      <c r="L499" s="38"/>
    </row>
    <row r="500" spans="10:12">
      <c r="J500" s="102"/>
      <c r="K500" s="38"/>
      <c r="L500" s="38"/>
    </row>
    <row r="501" spans="10:12">
      <c r="J501" s="102"/>
      <c r="K501" s="38"/>
      <c r="L501" s="38"/>
    </row>
    <row r="502" spans="10:12">
      <c r="J502" s="102"/>
      <c r="K502" s="38"/>
      <c r="L502" s="38"/>
    </row>
    <row r="503" spans="10:12">
      <c r="J503" s="102"/>
      <c r="K503" s="38"/>
      <c r="L503" s="38"/>
    </row>
    <row r="504" spans="10:12">
      <c r="J504" s="102"/>
      <c r="K504" s="38"/>
      <c r="L504" s="38"/>
    </row>
    <row r="505" spans="10:12">
      <c r="J505" s="102"/>
      <c r="K505" s="38"/>
      <c r="L505" s="38"/>
    </row>
    <row r="506" spans="10:12">
      <c r="J506" s="102"/>
      <c r="K506" s="38"/>
      <c r="L506" s="38"/>
    </row>
    <row r="507" spans="10:12">
      <c r="J507" s="102"/>
      <c r="K507" s="38"/>
      <c r="L507" s="38"/>
    </row>
    <row r="508" spans="10:12">
      <c r="J508" s="102"/>
      <c r="K508" s="38"/>
      <c r="L508" s="38"/>
    </row>
    <row r="509" spans="10:12">
      <c r="J509" s="102"/>
      <c r="K509" s="38"/>
      <c r="L509" s="38"/>
    </row>
    <row r="510" spans="10:12">
      <c r="J510" s="102"/>
      <c r="K510" s="38"/>
      <c r="L510" s="38"/>
    </row>
    <row r="511" spans="10:12">
      <c r="J511" s="102"/>
      <c r="K511" s="38"/>
      <c r="L511" s="38"/>
    </row>
    <row r="512" spans="10:12">
      <c r="J512" s="102"/>
      <c r="K512" s="38"/>
      <c r="L512" s="38"/>
    </row>
    <row r="513" spans="10:12">
      <c r="J513" s="102"/>
      <c r="K513" s="38"/>
      <c r="L513" s="38"/>
    </row>
    <row r="514" spans="10:12">
      <c r="J514" s="102"/>
      <c r="K514" s="38"/>
      <c r="L514" s="38"/>
    </row>
    <row r="515" spans="10:12">
      <c r="J515" s="102"/>
      <c r="K515" s="38"/>
      <c r="L515" s="38"/>
    </row>
    <row r="516" spans="10:12">
      <c r="J516" s="102"/>
      <c r="K516" s="38"/>
      <c r="L516" s="38"/>
    </row>
    <row r="517" spans="10:12">
      <c r="J517" s="102"/>
      <c r="K517" s="38"/>
      <c r="L517" s="38"/>
    </row>
    <row r="518" spans="10:12">
      <c r="J518" s="102"/>
      <c r="K518" s="38"/>
      <c r="L518" s="38"/>
    </row>
    <row r="519" spans="10:12">
      <c r="J519" s="102"/>
      <c r="K519" s="38"/>
      <c r="L519" s="38"/>
    </row>
    <row r="520" spans="10:12">
      <c r="J520" s="102"/>
      <c r="K520" s="38"/>
      <c r="L520" s="38"/>
    </row>
    <row r="521" spans="10:12">
      <c r="J521" s="102"/>
      <c r="K521" s="38"/>
      <c r="L521" s="38"/>
    </row>
    <row r="522" spans="10:12">
      <c r="J522" s="102"/>
      <c r="K522" s="38"/>
      <c r="L522" s="38"/>
    </row>
    <row r="523" spans="10:12">
      <c r="J523" s="102"/>
      <c r="K523" s="38"/>
      <c r="L523" s="38"/>
    </row>
    <row r="524" spans="10:12">
      <c r="J524" s="102"/>
      <c r="K524" s="38"/>
      <c r="L524" s="38"/>
    </row>
    <row r="525" spans="10:12">
      <c r="J525" s="102"/>
      <c r="K525" s="38"/>
      <c r="L525" s="38"/>
    </row>
    <row r="526" spans="10:12">
      <c r="J526" s="102"/>
      <c r="K526" s="38"/>
      <c r="L526" s="38"/>
    </row>
    <row r="527" spans="10:12">
      <c r="J527" s="102"/>
      <c r="K527" s="38"/>
      <c r="L527" s="38"/>
    </row>
    <row r="528" spans="10:12">
      <c r="J528" s="102"/>
      <c r="K528" s="38"/>
      <c r="L528" s="38"/>
    </row>
    <row r="529" spans="10:12">
      <c r="J529" s="102"/>
      <c r="K529" s="38"/>
      <c r="L529" s="38"/>
    </row>
    <row r="530" spans="10:12">
      <c r="J530" s="102"/>
      <c r="K530" s="38"/>
      <c r="L530" s="38"/>
    </row>
    <row r="531" spans="10:12">
      <c r="J531" s="102"/>
      <c r="K531" s="38"/>
      <c r="L531" s="38"/>
    </row>
    <row r="532" spans="10:12">
      <c r="J532" s="102"/>
      <c r="K532" s="38"/>
      <c r="L532" s="38"/>
    </row>
    <row r="533" spans="10:12">
      <c r="J533" s="102"/>
      <c r="K533" s="38"/>
      <c r="L533" s="38"/>
    </row>
    <row r="534" spans="10:12">
      <c r="J534" s="102"/>
      <c r="K534" s="38"/>
      <c r="L534" s="38"/>
    </row>
    <row r="535" spans="10:12">
      <c r="J535" s="102"/>
      <c r="K535" s="38"/>
      <c r="L535" s="38"/>
    </row>
    <row r="536" spans="10:12">
      <c r="J536" s="102"/>
      <c r="K536" s="38"/>
      <c r="L536" s="38"/>
    </row>
    <row r="537" spans="10:12">
      <c r="J537" s="102"/>
      <c r="K537" s="38"/>
      <c r="L537" s="38"/>
    </row>
    <row r="538" spans="10:12">
      <c r="J538" s="102"/>
      <c r="K538" s="38"/>
      <c r="L538" s="38"/>
    </row>
    <row r="539" spans="10:12">
      <c r="J539" s="102"/>
      <c r="K539" s="38"/>
      <c r="L539" s="38"/>
    </row>
    <row r="540" spans="10:12">
      <c r="J540" s="102"/>
      <c r="K540" s="38"/>
      <c r="L540" s="38"/>
    </row>
    <row r="541" spans="10:12">
      <c r="J541" s="102"/>
      <c r="K541" s="38"/>
      <c r="L541" s="38"/>
    </row>
    <row r="542" spans="10:12">
      <c r="J542" s="102"/>
      <c r="K542" s="38"/>
      <c r="L542" s="38"/>
    </row>
    <row r="543" spans="10:12">
      <c r="J543" s="102"/>
      <c r="K543" s="38"/>
      <c r="L543" s="38"/>
    </row>
    <row r="544" spans="10:12">
      <c r="J544" s="102"/>
      <c r="K544" s="38"/>
      <c r="L544" s="38"/>
    </row>
    <row r="545" spans="10:12">
      <c r="J545" s="102"/>
      <c r="K545" s="38"/>
      <c r="L545" s="38"/>
    </row>
    <row r="546" spans="10:12">
      <c r="J546" s="102"/>
      <c r="K546" s="38"/>
      <c r="L546" s="38"/>
    </row>
    <row r="547" spans="10:12">
      <c r="J547" s="102"/>
      <c r="K547" s="38"/>
      <c r="L547" s="38"/>
    </row>
    <row r="548" spans="10:12">
      <c r="J548" s="102"/>
      <c r="K548" s="38"/>
      <c r="L548" s="38"/>
    </row>
    <row r="549" spans="10:12">
      <c r="J549" s="102"/>
      <c r="K549" s="38"/>
      <c r="L549" s="38"/>
    </row>
    <row r="550" spans="10:12">
      <c r="J550" s="102"/>
      <c r="K550" s="38"/>
      <c r="L550" s="38"/>
    </row>
    <row r="551" spans="10:12">
      <c r="J551" s="102"/>
      <c r="K551" s="38"/>
      <c r="L551" s="38"/>
    </row>
    <row r="552" spans="10:12">
      <c r="J552" s="102"/>
      <c r="K552" s="38"/>
      <c r="L552" s="38"/>
    </row>
  </sheetData>
  <mergeCells count="6">
    <mergeCell ref="C10:E10"/>
    <mergeCell ref="B4:B5"/>
    <mergeCell ref="C4:E4"/>
    <mergeCell ref="G4:H4"/>
    <mergeCell ref="C7:E7"/>
    <mergeCell ref="G7:H7"/>
  </mergeCells>
  <conditionalFormatting sqref="K4">
    <cfRule type="top10" dxfId="1" priority="2" rank="1"/>
  </conditionalFormatting>
  <conditionalFormatting sqref="K4">
    <cfRule type="top10" dxfId="0" priority="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236546"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236547"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236548"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236549" r:id="rId8" name="Button 5">
              <controlPr defaultSize="0" print="0" autoFill="0" autoPict="0" macro="[0]!get_PF">
                <anchor moveWithCells="1" sizeWithCells="1">
                  <from>
                    <xdr:col>5</xdr:col>
                    <xdr:colOff>0</xdr:colOff>
                    <xdr:row>15</xdr:row>
                    <xdr:rowOff>0</xdr:rowOff>
                  </from>
                  <to>
                    <xdr:col>7</xdr:col>
                    <xdr:colOff>0</xdr:colOff>
                    <xdr:row>17</xdr:row>
                    <xdr:rowOff>60960</xdr:rowOff>
                  </to>
                </anchor>
              </controlPr>
            </control>
          </mc:Choice>
        </mc:AlternateContent>
        <mc:AlternateContent xmlns:mc="http://schemas.openxmlformats.org/markup-compatibility/2006">
          <mc:Choice Requires="x14">
            <control shapeId="236550" r:id="rId9" name="Button 6">
              <controlPr defaultSize="0" print="0" autoFill="0" autoPict="0" macro="[0]!nextpage1">
                <anchor moveWithCells="1" sizeWithCells="1">
                  <from>
                    <xdr:col>5</xdr:col>
                    <xdr:colOff>0</xdr:colOff>
                    <xdr:row>18</xdr:row>
                    <xdr:rowOff>106680</xdr:rowOff>
                  </from>
                  <to>
                    <xdr:col>7</xdr:col>
                    <xdr:colOff>0</xdr:colOff>
                    <xdr:row>21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6">
    <tabColor theme="3" tint="-0.499984740745262"/>
  </sheetPr>
  <dimension ref="A1:Q552"/>
  <sheetViews>
    <sheetView showGridLines="0" tabSelected="1" zoomScaleNormal="100" workbookViewId="0">
      <selection activeCell="S11" sqref="S11"/>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10.59765625" style="2" customWidth="1"/>
    <col min="8" max="8" width="22.59765625" style="2" customWidth="1"/>
    <col min="9" max="9" width="5" style="2" customWidth="1"/>
    <col min="10" max="10" width="16.09765625" style="2" customWidth="1"/>
    <col min="11" max="16" width="13.8984375" style="2" customWidth="1"/>
    <col min="17" max="16384" width="9" style="2"/>
  </cols>
  <sheetData>
    <row r="1" spans="1:17">
      <c r="A1" t="s">
        <v>2</v>
      </c>
    </row>
    <row r="2" spans="1:17">
      <c r="K2" s="2">
        <v>8800</v>
      </c>
    </row>
    <row r="3" spans="1:17" ht="14.4" thickBot="1">
      <c r="B3" s="5" t="s">
        <v>22</v>
      </c>
      <c r="C3" s="5" t="s">
        <v>23</v>
      </c>
      <c r="G3" s="5" t="s">
        <v>8</v>
      </c>
      <c r="J3" s="24" t="s">
        <v>14</v>
      </c>
      <c r="K3" s="4"/>
    </row>
    <row r="4" spans="1:17" ht="14.4" thickBot="1">
      <c r="B4" s="130" t="s">
        <v>24</v>
      </c>
      <c r="C4" s="127" t="s">
        <v>45</v>
      </c>
      <c r="D4" s="128"/>
      <c r="E4" s="129"/>
      <c r="G4" s="127" t="s">
        <v>139</v>
      </c>
      <c r="H4" s="129"/>
      <c r="I4" s="8"/>
      <c r="J4" s="106"/>
      <c r="K4" s="103" t="s">
        <v>127</v>
      </c>
      <c r="L4" s="103" t="s">
        <v>129</v>
      </c>
      <c r="M4" s="104" t="s">
        <v>128</v>
      </c>
      <c r="N4" s="104" t="s">
        <v>130</v>
      </c>
      <c r="O4" s="104" t="s">
        <v>31</v>
      </c>
      <c r="P4" s="104" t="s">
        <v>131</v>
      </c>
      <c r="Q4" s="31"/>
    </row>
    <row r="5" spans="1:17">
      <c r="B5" s="130"/>
      <c r="G5" s="35"/>
      <c r="J5" s="91" t="s">
        <v>142</v>
      </c>
      <c r="K5" s="105">
        <v>17.399999999999999</v>
      </c>
      <c r="L5" s="105">
        <v>17.399999999999999</v>
      </c>
      <c r="M5" s="105">
        <v>193</v>
      </c>
      <c r="N5" s="105">
        <v>192</v>
      </c>
      <c r="O5" s="105">
        <v>196</v>
      </c>
      <c r="P5" s="105">
        <v>196</v>
      </c>
      <c r="Q5" s="33"/>
    </row>
    <row r="6" spans="1:17" ht="14.4" thickBot="1">
      <c r="C6" s="5" t="s">
        <v>3</v>
      </c>
      <c r="G6" s="5" t="s">
        <v>25</v>
      </c>
      <c r="J6" s="91" t="s">
        <v>145</v>
      </c>
      <c r="K6" s="105">
        <v>17.399999999999999</v>
      </c>
      <c r="L6" s="105">
        <v>17.399999999999999</v>
      </c>
      <c r="M6" s="105">
        <v>193</v>
      </c>
      <c r="N6" s="105">
        <v>192</v>
      </c>
      <c r="O6" s="105">
        <v>196</v>
      </c>
      <c r="P6" s="105">
        <v>196</v>
      </c>
      <c r="Q6" s="33"/>
    </row>
    <row r="7" spans="1:17" ht="14.4" thickBot="1">
      <c r="C7" s="127" t="s">
        <v>20</v>
      </c>
      <c r="D7" s="128"/>
      <c r="E7" s="129"/>
      <c r="G7" s="127"/>
      <c r="H7" s="129"/>
      <c r="J7" s="91" t="s">
        <v>109</v>
      </c>
      <c r="K7" s="105">
        <v>17.399999999999999</v>
      </c>
      <c r="L7" s="105">
        <v>17.399999999999999</v>
      </c>
      <c r="M7" s="105">
        <v>193</v>
      </c>
      <c r="N7" s="105">
        <v>192</v>
      </c>
      <c r="O7" s="105">
        <v>196</v>
      </c>
      <c r="P7" s="105">
        <v>196</v>
      </c>
      <c r="Q7" s="33"/>
    </row>
    <row r="8" spans="1:17">
      <c r="J8" s="91" t="s">
        <v>112</v>
      </c>
      <c r="K8" s="105">
        <v>17.25</v>
      </c>
      <c r="L8" s="105">
        <v>17.25</v>
      </c>
      <c r="M8" s="105">
        <v>175</v>
      </c>
      <c r="N8" s="105">
        <v>182</v>
      </c>
      <c r="O8" s="105">
        <v>169</v>
      </c>
      <c r="P8" s="105">
        <v>170</v>
      </c>
      <c r="Q8" s="33"/>
    </row>
    <row r="9" spans="1:17" ht="14.4" thickBot="1">
      <c r="C9" s="5" t="s">
        <v>4</v>
      </c>
      <c r="G9" s="35"/>
      <c r="J9" s="91" t="s">
        <v>132</v>
      </c>
      <c r="K9" s="105">
        <v>16.649999999999999</v>
      </c>
      <c r="L9" s="105">
        <v>16.649999999999999</v>
      </c>
      <c r="M9" s="105">
        <v>148</v>
      </c>
      <c r="N9" s="105">
        <v>163</v>
      </c>
      <c r="O9" s="105">
        <v>142</v>
      </c>
      <c r="P9" s="105">
        <v>147</v>
      </c>
      <c r="Q9" s="33"/>
    </row>
    <row r="10" spans="1:17" ht="14.4" thickBot="1">
      <c r="C10" s="127" t="s">
        <v>143</v>
      </c>
      <c r="D10" s="128"/>
      <c r="E10" s="129"/>
      <c r="J10" s="91" t="s">
        <v>133</v>
      </c>
      <c r="K10" s="105">
        <v>16.649999999999999</v>
      </c>
      <c r="L10" s="105">
        <v>16.649999999999999</v>
      </c>
      <c r="M10" s="105">
        <v>142</v>
      </c>
      <c r="N10" s="105">
        <v>155</v>
      </c>
      <c r="O10" s="105">
        <v>136</v>
      </c>
      <c r="P10" s="105">
        <v>139</v>
      </c>
      <c r="Q10" s="33"/>
    </row>
    <row r="11" spans="1:17">
      <c r="J11" s="91" t="s">
        <v>134</v>
      </c>
      <c r="K11" s="105">
        <v>16.649999999999999</v>
      </c>
      <c r="L11" s="105">
        <v>16.649999999999999</v>
      </c>
      <c r="M11" s="105">
        <v>135</v>
      </c>
      <c r="N11" s="105">
        <v>148</v>
      </c>
      <c r="O11" s="105">
        <v>129</v>
      </c>
      <c r="P11" s="105">
        <v>132</v>
      </c>
      <c r="Q11" s="34"/>
    </row>
    <row r="12" spans="1:17">
      <c r="C12" s="2" t="s">
        <v>137</v>
      </c>
      <c r="J12" s="91" t="s">
        <v>136</v>
      </c>
      <c r="K12" s="105">
        <v>16.649999999999999</v>
      </c>
      <c r="L12" s="105">
        <v>16.649999999999999</v>
      </c>
      <c r="M12" s="105">
        <v>130</v>
      </c>
      <c r="N12" s="105">
        <v>140</v>
      </c>
      <c r="O12" s="105">
        <v>122</v>
      </c>
      <c r="P12" s="105">
        <v>124</v>
      </c>
      <c r="Q12" s="34"/>
    </row>
    <row r="13" spans="1:17">
      <c r="J13" s="91" t="s">
        <v>141</v>
      </c>
      <c r="K13" s="105">
        <v>16.55</v>
      </c>
      <c r="L13" s="105">
        <v>16.55</v>
      </c>
      <c r="M13" s="105">
        <v>122</v>
      </c>
      <c r="N13" s="105">
        <v>137</v>
      </c>
      <c r="O13" s="105">
        <v>114</v>
      </c>
      <c r="P13" s="105">
        <v>121</v>
      </c>
      <c r="Q13" s="34"/>
    </row>
    <row r="14" spans="1:17">
      <c r="B14" s="7"/>
      <c r="C14" s="7"/>
      <c r="D14" s="7"/>
      <c r="E14" s="7"/>
      <c r="F14" s="7"/>
      <c r="G14" s="7"/>
      <c r="H14" s="7"/>
      <c r="J14" s="91" t="s">
        <v>110</v>
      </c>
      <c r="K14" s="105">
        <v>16.799999999999997</v>
      </c>
      <c r="L14" s="105">
        <v>16.799999999999997</v>
      </c>
      <c r="M14" s="105">
        <v>150</v>
      </c>
      <c r="N14" s="105">
        <v>162</v>
      </c>
      <c r="O14" s="105">
        <v>144</v>
      </c>
      <c r="P14" s="105">
        <v>147</v>
      </c>
      <c r="Q14" s="34"/>
    </row>
    <row r="15" spans="1:17">
      <c r="B15" s="7"/>
      <c r="C15" s="7"/>
      <c r="D15" s="7"/>
      <c r="E15" s="7"/>
      <c r="F15" s="92"/>
      <c r="G15" s="92"/>
      <c r="H15" s="7"/>
      <c r="J15" s="91" t="s">
        <v>135</v>
      </c>
      <c r="K15" s="105">
        <v>16.5</v>
      </c>
      <c r="L15" s="105">
        <v>16.5</v>
      </c>
      <c r="M15" s="105">
        <v>122</v>
      </c>
      <c r="N15" s="105">
        <v>137</v>
      </c>
      <c r="O15" s="105">
        <v>114</v>
      </c>
      <c r="P15" s="105">
        <v>121</v>
      </c>
      <c r="Q15" s="34"/>
    </row>
    <row r="16" spans="1:17">
      <c r="B16" s="7"/>
      <c r="C16" s="7"/>
      <c r="D16" s="7"/>
      <c r="E16" s="7"/>
      <c r="F16" s="92"/>
      <c r="G16" s="92"/>
      <c r="H16" s="7"/>
      <c r="J16" s="37"/>
      <c r="K16" s="110"/>
      <c r="L16" s="110"/>
      <c r="M16" s="110"/>
      <c r="N16" s="110"/>
      <c r="O16" s="110"/>
      <c r="P16" s="110"/>
      <c r="Q16" s="34"/>
    </row>
    <row r="17" spans="2:17">
      <c r="B17" s="7"/>
      <c r="C17" s="7"/>
      <c r="D17" s="7"/>
      <c r="E17" s="7"/>
      <c r="F17" s="92"/>
      <c r="G17" s="92"/>
      <c r="H17" s="7"/>
      <c r="J17" s="37"/>
      <c r="K17" s="37"/>
      <c r="L17" s="33"/>
      <c r="M17" s="33"/>
      <c r="N17" s="33"/>
      <c r="O17" s="33"/>
      <c r="P17" s="33"/>
      <c r="Q17" s="34"/>
    </row>
    <row r="18" spans="2:17">
      <c r="B18" s="7"/>
      <c r="C18" s="7"/>
      <c r="D18" s="7"/>
      <c r="E18" s="7"/>
      <c r="F18" s="92"/>
      <c r="G18" s="92"/>
      <c r="H18" s="7"/>
      <c r="J18" s="37"/>
      <c r="K18" s="37"/>
      <c r="L18" s="33"/>
      <c r="M18" s="33"/>
      <c r="N18" s="33"/>
      <c r="O18" s="33"/>
      <c r="P18" s="33"/>
      <c r="Q18" s="34"/>
    </row>
    <row r="19" spans="2:17">
      <c r="B19" s="7"/>
      <c r="C19" s="7"/>
      <c r="D19" s="7"/>
      <c r="E19" s="7"/>
      <c r="F19" s="92"/>
      <c r="G19" s="92"/>
      <c r="H19" s="7"/>
      <c r="J19" s="37"/>
      <c r="K19" s="37"/>
      <c r="L19" s="33"/>
      <c r="M19" s="33"/>
      <c r="N19" s="33"/>
      <c r="O19" s="33"/>
      <c r="P19" s="33"/>
      <c r="Q19" s="34"/>
    </row>
    <row r="20" spans="2:17">
      <c r="B20" s="7"/>
      <c r="C20" s="7"/>
      <c r="D20" s="7"/>
      <c r="E20" s="7"/>
      <c r="F20" s="92"/>
      <c r="G20" s="92"/>
      <c r="H20" s="7"/>
      <c r="J20" s="37"/>
      <c r="K20" s="37"/>
      <c r="L20" s="33"/>
      <c r="M20" s="33"/>
      <c r="N20" s="33"/>
      <c r="O20" s="33"/>
      <c r="P20" s="33"/>
      <c r="Q20" s="34"/>
    </row>
    <row r="21" spans="2:17">
      <c r="B21" s="7"/>
      <c r="C21" s="7"/>
      <c r="D21" s="7"/>
      <c r="E21" s="7"/>
      <c r="F21" s="92"/>
      <c r="G21" s="92"/>
      <c r="J21" s="37"/>
      <c r="K21" s="37"/>
      <c r="L21" s="33"/>
      <c r="M21" s="33"/>
      <c r="N21" s="33"/>
      <c r="O21" s="33"/>
      <c r="P21" s="33"/>
      <c r="Q21" s="34"/>
    </row>
    <row r="22" spans="2:17">
      <c r="B22" s="7"/>
      <c r="C22" s="7"/>
      <c r="D22" s="7"/>
      <c r="E22" s="7"/>
      <c r="F22" s="7"/>
      <c r="G22" s="92"/>
      <c r="H22" s="7"/>
      <c r="J22" s="37"/>
      <c r="K22" s="37"/>
      <c r="L22" s="33"/>
      <c r="M22" s="33"/>
      <c r="N22" s="33"/>
      <c r="O22" s="33"/>
      <c r="P22" s="33"/>
      <c r="Q22" s="34"/>
    </row>
    <row r="23" spans="2:17">
      <c r="B23" s="7"/>
      <c r="C23" s="7"/>
      <c r="D23" s="7"/>
      <c r="E23" s="7"/>
      <c r="F23" s="7"/>
      <c r="G23" s="7"/>
      <c r="H23" s="7"/>
      <c r="J23" s="37"/>
      <c r="K23" s="37"/>
      <c r="L23" s="33"/>
      <c r="M23" s="33"/>
      <c r="N23" s="33"/>
      <c r="O23" s="33"/>
      <c r="P23" s="33"/>
      <c r="Q23" s="34"/>
    </row>
    <row r="24" spans="2:17">
      <c r="B24" s="7"/>
      <c r="C24" s="7"/>
      <c r="D24" s="7"/>
      <c r="E24" s="7"/>
      <c r="F24" s="7"/>
      <c r="G24" s="7"/>
      <c r="H24" s="7"/>
      <c r="J24" s="37"/>
      <c r="K24" s="37"/>
      <c r="L24" s="33"/>
      <c r="M24" s="33"/>
      <c r="N24" s="33"/>
      <c r="O24" s="33"/>
      <c r="P24" s="33"/>
      <c r="Q24" s="34"/>
    </row>
    <row r="25" spans="2:17">
      <c r="B25" s="7"/>
      <c r="C25" s="7"/>
      <c r="D25" s="7"/>
      <c r="E25" s="7"/>
      <c r="F25" s="7"/>
      <c r="G25" s="7"/>
      <c r="H25" s="7"/>
      <c r="J25" s="37"/>
      <c r="K25" s="37"/>
      <c r="L25" s="33"/>
      <c r="M25" s="33"/>
      <c r="N25" s="33"/>
      <c r="O25" s="33"/>
      <c r="P25" s="33"/>
      <c r="Q25" s="34"/>
    </row>
    <row r="26" spans="2:17">
      <c r="B26" s="7"/>
      <c r="C26" s="7"/>
      <c r="D26" s="7"/>
      <c r="E26" s="7"/>
      <c r="F26" s="7"/>
      <c r="G26" s="7"/>
      <c r="H26" s="7"/>
      <c r="J26" s="37"/>
      <c r="K26" s="37"/>
      <c r="L26" s="33"/>
      <c r="M26" s="33"/>
      <c r="N26" s="33"/>
      <c r="O26" s="33"/>
      <c r="P26" s="33"/>
      <c r="Q26" s="34"/>
    </row>
    <row r="27" spans="2:17">
      <c r="B27" s="7"/>
      <c r="C27" s="7"/>
      <c r="D27" s="7"/>
      <c r="E27" s="7"/>
      <c r="F27" s="7"/>
      <c r="G27" s="7"/>
      <c r="H27" s="7"/>
      <c r="J27" s="37"/>
      <c r="K27" s="37"/>
      <c r="L27" s="33"/>
      <c r="M27" s="33"/>
      <c r="N27" s="33"/>
      <c r="O27" s="33"/>
      <c r="P27" s="33"/>
      <c r="Q27" s="34"/>
    </row>
    <row r="28" spans="2:17">
      <c r="B28" s="7"/>
      <c r="C28" s="7"/>
      <c r="D28" s="7"/>
      <c r="E28" s="7"/>
      <c r="F28" s="7"/>
      <c r="G28" s="7"/>
      <c r="H28" s="7"/>
      <c r="J28" s="37"/>
      <c r="K28" s="37"/>
      <c r="L28" s="33"/>
      <c r="M28" s="33"/>
      <c r="N28" s="33"/>
      <c r="O28" s="33"/>
      <c r="P28" s="33"/>
      <c r="Q28" s="34"/>
    </row>
    <row r="29" spans="2:17">
      <c r="B29" s="7"/>
      <c r="C29" s="7"/>
      <c r="D29" s="7"/>
      <c r="E29" s="7"/>
      <c r="F29" s="7"/>
      <c r="G29" s="7"/>
      <c r="H29" s="7"/>
      <c r="J29" s="37"/>
      <c r="K29" s="37"/>
      <c r="L29" s="33"/>
      <c r="M29" s="33"/>
      <c r="N29" s="33"/>
      <c r="O29" s="33"/>
      <c r="P29" s="33"/>
      <c r="Q29" s="34"/>
    </row>
    <row r="30" spans="2:17">
      <c r="B30" s="7"/>
      <c r="C30" s="7"/>
      <c r="D30" s="7"/>
      <c r="E30" s="7"/>
      <c r="F30" s="7"/>
      <c r="G30" s="7"/>
      <c r="H30" s="7"/>
      <c r="J30" s="37"/>
      <c r="K30" s="37"/>
      <c r="L30" s="33"/>
      <c r="M30" s="33"/>
      <c r="N30" s="33"/>
      <c r="O30" s="33"/>
      <c r="P30" s="33"/>
      <c r="Q30" s="34"/>
    </row>
    <row r="31" spans="2:17">
      <c r="B31" s="7"/>
      <c r="C31" s="7"/>
      <c r="D31" s="7"/>
      <c r="E31" s="7"/>
      <c r="F31" s="7"/>
      <c r="G31" s="7"/>
      <c r="H31" s="7"/>
      <c r="J31" s="37"/>
      <c r="K31" s="37"/>
      <c r="L31" s="33"/>
      <c r="M31" s="33"/>
      <c r="N31" s="33"/>
      <c r="O31" s="33"/>
      <c r="P31" s="33"/>
      <c r="Q31" s="34"/>
    </row>
    <row r="32" spans="2:17">
      <c r="B32" s="7"/>
      <c r="C32" s="7"/>
      <c r="D32" s="7"/>
      <c r="E32" s="7"/>
      <c r="F32" s="7"/>
      <c r="G32" s="7"/>
      <c r="H32" s="7"/>
      <c r="J32" s="37"/>
      <c r="K32" s="37"/>
      <c r="L32" s="33"/>
      <c r="M32" s="33"/>
      <c r="N32" s="33"/>
      <c r="O32" s="33"/>
      <c r="P32" s="33"/>
      <c r="Q32" s="34"/>
    </row>
    <row r="33" spans="2:17">
      <c r="B33" s="7"/>
      <c r="C33" s="7"/>
      <c r="D33" s="7"/>
      <c r="E33" s="7"/>
      <c r="F33" s="7"/>
      <c r="G33" s="7"/>
      <c r="H33" s="7"/>
      <c r="J33" s="37"/>
      <c r="K33" s="37"/>
      <c r="L33" s="33"/>
      <c r="M33" s="33"/>
      <c r="N33" s="33"/>
      <c r="O33" s="33"/>
      <c r="P33" s="33"/>
      <c r="Q33" s="34"/>
    </row>
    <row r="34" spans="2:17">
      <c r="B34" s="7"/>
      <c r="C34" s="7"/>
      <c r="D34" s="7"/>
      <c r="E34" s="7"/>
      <c r="F34" s="7"/>
      <c r="G34" s="7"/>
      <c r="H34" s="7"/>
      <c r="J34" s="37"/>
      <c r="K34" s="37"/>
      <c r="L34" s="33"/>
      <c r="M34" s="33"/>
      <c r="N34" s="33"/>
      <c r="O34" s="33"/>
      <c r="P34" s="33"/>
      <c r="Q34" s="34"/>
    </row>
    <row r="35" spans="2:17">
      <c r="B35" s="7"/>
      <c r="C35" s="7"/>
      <c r="D35" s="7"/>
      <c r="E35" s="7"/>
      <c r="F35" s="7"/>
      <c r="G35" s="7"/>
      <c r="H35" s="7"/>
      <c r="J35" s="37"/>
      <c r="K35" s="37"/>
      <c r="L35" s="33"/>
      <c r="M35" s="33"/>
      <c r="N35" s="33"/>
      <c r="O35" s="33"/>
      <c r="P35" s="33"/>
      <c r="Q35" s="34"/>
    </row>
    <row r="36" spans="2:17">
      <c r="B36" s="7"/>
      <c r="C36" s="22"/>
      <c r="D36" s="1"/>
      <c r="E36" s="1"/>
      <c r="F36" s="1"/>
      <c r="G36" s="1"/>
      <c r="H36" s="1"/>
      <c r="J36" s="37"/>
      <c r="K36" s="37"/>
      <c r="L36" s="33"/>
      <c r="M36" s="33"/>
      <c r="N36" s="33"/>
      <c r="O36" s="33"/>
      <c r="P36" s="33"/>
      <c r="Q36" s="34"/>
    </row>
    <row r="37" spans="2:17">
      <c r="B37" s="7"/>
      <c r="C37" s="1"/>
      <c r="D37" s="1"/>
      <c r="E37" s="1"/>
      <c r="F37" s="25"/>
      <c r="G37" s="1"/>
      <c r="H37" s="22"/>
      <c r="J37" s="37"/>
      <c r="K37" s="37"/>
      <c r="L37" s="33"/>
      <c r="M37" s="33"/>
      <c r="N37" s="33"/>
      <c r="O37" s="33"/>
      <c r="P37" s="33"/>
      <c r="Q37" s="34"/>
    </row>
    <row r="38" spans="2:17">
      <c r="B38" s="7"/>
      <c r="C38" s="1"/>
      <c r="D38" s="26"/>
      <c r="E38" s="1"/>
      <c r="F38" s="1"/>
      <c r="G38" s="1"/>
      <c r="H38" s="27"/>
      <c r="J38" s="37"/>
      <c r="K38" s="37"/>
      <c r="L38" s="33"/>
      <c r="M38" s="33"/>
      <c r="N38" s="33"/>
      <c r="O38" s="33"/>
      <c r="P38" s="33"/>
      <c r="Q38" s="34"/>
    </row>
    <row r="39" spans="2:17">
      <c r="B39" s="7"/>
      <c r="C39" s="1"/>
      <c r="D39" s="26"/>
      <c r="E39" s="1"/>
      <c r="F39" s="1"/>
      <c r="G39" s="1"/>
      <c r="H39" s="27"/>
      <c r="J39" s="37"/>
      <c r="K39" s="37"/>
      <c r="L39" s="33"/>
      <c r="M39" s="33"/>
      <c r="N39" s="33"/>
      <c r="O39" s="33"/>
      <c r="P39" s="33"/>
      <c r="Q39" s="34"/>
    </row>
    <row r="40" spans="2:17">
      <c r="B40" s="7"/>
      <c r="C40" s="1"/>
      <c r="D40" s="26"/>
      <c r="E40" s="1"/>
      <c r="F40" s="1"/>
      <c r="G40" s="1"/>
      <c r="H40" s="27"/>
      <c r="J40" s="37"/>
      <c r="K40" s="37"/>
      <c r="L40" s="33"/>
      <c r="M40" s="33"/>
      <c r="N40" s="33"/>
      <c r="O40" s="33"/>
      <c r="P40" s="33"/>
      <c r="Q40" s="34"/>
    </row>
    <row r="41" spans="2:17">
      <c r="B41" s="7"/>
      <c r="C41" s="1"/>
      <c r="D41" s="1"/>
      <c r="E41" s="1"/>
      <c r="F41" s="1"/>
      <c r="G41" s="1"/>
      <c r="H41" s="27"/>
      <c r="J41" s="37"/>
      <c r="K41" s="37"/>
      <c r="L41" s="33"/>
      <c r="M41" s="33"/>
      <c r="N41" s="33"/>
      <c r="O41" s="33"/>
      <c r="P41" s="33"/>
      <c r="Q41" s="34"/>
    </row>
    <row r="42" spans="2:17">
      <c r="B42" s="7"/>
      <c r="C42" s="1"/>
      <c r="D42" s="1"/>
      <c r="E42" s="1"/>
      <c r="F42" s="1"/>
      <c r="G42" s="1"/>
      <c r="H42" s="1"/>
      <c r="J42" s="37"/>
      <c r="K42" s="37"/>
      <c r="L42" s="33"/>
      <c r="M42" s="33"/>
      <c r="N42" s="33"/>
      <c r="O42" s="33"/>
      <c r="P42" s="33"/>
      <c r="Q42" s="34"/>
    </row>
    <row r="43" spans="2:17" ht="14.25" customHeight="1">
      <c r="B43" s="7"/>
      <c r="C43" s="1"/>
      <c r="D43" s="1"/>
      <c r="E43" s="1"/>
      <c r="F43" s="1"/>
      <c r="G43" s="1"/>
      <c r="H43" s="29"/>
      <c r="J43" s="37"/>
      <c r="K43" s="37"/>
      <c r="L43" s="33"/>
      <c r="M43" s="33"/>
      <c r="N43" s="33"/>
      <c r="O43" s="33"/>
      <c r="P43" s="33"/>
      <c r="Q43" s="34"/>
    </row>
    <row r="44" spans="2:17" ht="14.25" customHeight="1">
      <c r="B44" s="7"/>
      <c r="C44" s="1"/>
      <c r="D44" s="1"/>
      <c r="E44" s="1"/>
      <c r="F44" s="1"/>
      <c r="G44" s="1"/>
      <c r="H44" s="29"/>
      <c r="J44" s="37"/>
      <c r="K44" s="37"/>
      <c r="L44" s="33"/>
      <c r="M44" s="33"/>
      <c r="N44" s="33"/>
      <c r="O44" s="33"/>
      <c r="P44" s="33"/>
      <c r="Q44" s="34"/>
    </row>
    <row r="45" spans="2:17">
      <c r="B45" s="7"/>
      <c r="C45" s="1"/>
      <c r="D45" s="1"/>
      <c r="E45" s="1"/>
      <c r="F45" s="1"/>
      <c r="G45" s="1"/>
      <c r="H45" s="27"/>
      <c r="J45" s="37"/>
      <c r="K45" s="37"/>
      <c r="L45" s="33"/>
      <c r="M45" s="33"/>
      <c r="N45" s="33"/>
      <c r="O45" s="33"/>
      <c r="P45" s="33"/>
      <c r="Q45" s="34"/>
    </row>
    <row r="46" spans="2:17">
      <c r="C46" s="8"/>
      <c r="D46" s="8"/>
      <c r="E46" s="8"/>
      <c r="F46" s="8"/>
      <c r="G46" s="8"/>
      <c r="H46" s="23"/>
      <c r="J46" s="37"/>
      <c r="K46" s="37"/>
      <c r="L46" s="33"/>
      <c r="M46" s="33"/>
      <c r="N46" s="33"/>
      <c r="O46" s="33"/>
      <c r="P46" s="33"/>
      <c r="Q46" s="34"/>
    </row>
    <row r="47" spans="2:17">
      <c r="B47" s="19" t="s">
        <v>7</v>
      </c>
      <c r="C47" s="10"/>
      <c r="D47" s="10"/>
      <c r="E47" s="10"/>
      <c r="F47" s="10"/>
      <c r="G47" s="10"/>
      <c r="H47" s="28"/>
      <c r="J47" s="37"/>
      <c r="K47" s="37"/>
      <c r="L47" s="33"/>
      <c r="M47" s="33"/>
      <c r="N47" s="33"/>
      <c r="O47" s="33"/>
      <c r="P47" s="33"/>
      <c r="Q47" s="34"/>
    </row>
    <row r="48" spans="2:17">
      <c r="B48" s="5" t="s">
        <v>15</v>
      </c>
      <c r="G48" s="8"/>
      <c r="H48" s="8"/>
      <c r="J48" s="37"/>
      <c r="K48" s="37"/>
      <c r="L48" s="33"/>
      <c r="M48" s="33"/>
      <c r="N48" s="33"/>
      <c r="O48" s="33"/>
      <c r="P48" s="33"/>
      <c r="Q48" s="34"/>
    </row>
    <row r="49" spans="2:17">
      <c r="B49" s="2" t="s">
        <v>5</v>
      </c>
      <c r="C49" s="8"/>
      <c r="D49" s="6" t="s">
        <v>9</v>
      </c>
      <c r="H49" s="8"/>
      <c r="J49" s="37"/>
      <c r="K49" s="37"/>
      <c r="L49" s="33"/>
      <c r="M49" s="33"/>
      <c r="N49" s="33"/>
      <c r="O49" s="33"/>
      <c r="P49" s="33"/>
      <c r="Q49" s="34"/>
    </row>
    <row r="50" spans="2:17">
      <c r="B50" s="2" t="s">
        <v>6</v>
      </c>
      <c r="C50" s="9"/>
      <c r="D50" s="2" t="s">
        <v>10</v>
      </c>
      <c r="H50" s="8"/>
      <c r="J50" s="37"/>
      <c r="K50" s="37"/>
      <c r="L50" s="33"/>
      <c r="M50" s="33"/>
      <c r="N50" s="33"/>
      <c r="O50" s="33"/>
      <c r="P50" s="33"/>
      <c r="Q50" s="34"/>
    </row>
    <row r="51" spans="2:17">
      <c r="C51" s="9"/>
      <c r="D51" s="2" t="s">
        <v>11</v>
      </c>
      <c r="J51" s="37"/>
      <c r="K51" s="37"/>
      <c r="L51" s="33"/>
      <c r="M51" s="33"/>
      <c r="N51" s="33"/>
      <c r="O51" s="33"/>
      <c r="P51" s="33"/>
      <c r="Q51" s="34"/>
    </row>
    <row r="52" spans="2:17">
      <c r="C52" s="9"/>
      <c r="D52" s="8"/>
      <c r="G52" s="21" t="s">
        <v>12</v>
      </c>
      <c r="J52" s="37"/>
      <c r="K52" s="37"/>
      <c r="L52" s="33"/>
      <c r="M52" s="33"/>
      <c r="N52" s="33"/>
      <c r="O52" s="33"/>
      <c r="P52" s="33"/>
      <c r="Q52" s="34"/>
    </row>
    <row r="53" spans="2:17">
      <c r="B53" s="8"/>
      <c r="C53" s="8"/>
      <c r="D53" s="8"/>
      <c r="E53" s="8"/>
      <c r="F53" s="8"/>
      <c r="G53" s="20" t="s">
        <v>17</v>
      </c>
      <c r="H53" s="8"/>
      <c r="J53" s="37"/>
      <c r="K53" s="37"/>
      <c r="L53" s="33"/>
      <c r="M53" s="33"/>
      <c r="N53" s="33"/>
      <c r="O53" s="33"/>
      <c r="P53" s="33"/>
      <c r="Q53" s="34"/>
    </row>
    <row r="54" spans="2:17">
      <c r="B54" s="10"/>
      <c r="C54" s="10"/>
      <c r="D54" s="10"/>
      <c r="E54" s="10"/>
      <c r="F54" s="8"/>
      <c r="G54" s="20" t="s">
        <v>1</v>
      </c>
      <c r="H54" s="8"/>
      <c r="J54" s="37"/>
      <c r="K54" s="37"/>
      <c r="L54" s="33"/>
      <c r="M54" s="33"/>
      <c r="N54" s="33"/>
      <c r="O54" s="33"/>
      <c r="P54" s="33"/>
      <c r="Q54" s="34"/>
    </row>
    <row r="55" spans="2:17">
      <c r="B55" s="5" t="s">
        <v>16</v>
      </c>
      <c r="G55" s="20" t="s">
        <v>18</v>
      </c>
      <c r="J55" s="37"/>
      <c r="K55" s="37"/>
      <c r="L55" s="33"/>
      <c r="M55" s="33"/>
      <c r="N55" s="33"/>
      <c r="O55" s="33"/>
      <c r="P55" s="33"/>
      <c r="Q55" s="34"/>
    </row>
    <row r="56" spans="2:17">
      <c r="G56" s="23" t="s">
        <v>19</v>
      </c>
      <c r="J56" s="37"/>
      <c r="K56" s="37"/>
      <c r="L56" s="33"/>
      <c r="M56" s="33"/>
      <c r="N56" s="33"/>
      <c r="O56" s="33"/>
      <c r="P56" s="33"/>
      <c r="Q56" s="34"/>
    </row>
    <row r="57" spans="2:17">
      <c r="J57" s="37"/>
      <c r="K57" s="37"/>
      <c r="L57" s="33"/>
      <c r="M57" s="33"/>
      <c r="N57" s="33"/>
      <c r="O57" s="33"/>
      <c r="P57" s="33"/>
      <c r="Q57" s="34"/>
    </row>
    <row r="58" spans="2:17">
      <c r="J58" s="37"/>
      <c r="K58" s="37"/>
      <c r="L58" s="33"/>
      <c r="M58" s="33"/>
      <c r="N58" s="33"/>
      <c r="O58" s="33"/>
      <c r="P58" s="33"/>
      <c r="Q58" s="34"/>
    </row>
    <row r="59" spans="2:17">
      <c r="B59" s="8"/>
      <c r="C59" s="8"/>
      <c r="D59" s="8"/>
      <c r="E59" s="8"/>
      <c r="F59" s="8"/>
      <c r="G59" s="8"/>
      <c r="H59" s="8"/>
      <c r="J59" s="37"/>
      <c r="K59" s="37"/>
      <c r="L59" s="33"/>
      <c r="M59" s="33"/>
      <c r="N59" s="33"/>
      <c r="O59" s="33"/>
      <c r="P59" s="33"/>
      <c r="Q59" s="34"/>
    </row>
    <row r="60" spans="2:17">
      <c r="B60" s="10"/>
      <c r="C60" s="10"/>
      <c r="D60" s="10"/>
      <c r="E60" s="10"/>
      <c r="F60" s="10"/>
      <c r="G60" s="10"/>
      <c r="H60" s="10"/>
      <c r="J60" s="37"/>
      <c r="K60" s="37"/>
      <c r="L60" s="33"/>
      <c r="M60" s="33"/>
      <c r="N60" s="33"/>
      <c r="O60" s="33"/>
      <c r="P60" s="33"/>
      <c r="Q60" s="34"/>
    </row>
    <row r="61" spans="2:17">
      <c r="J61" s="37"/>
      <c r="K61" s="37"/>
      <c r="L61" s="33"/>
      <c r="M61" s="33"/>
      <c r="N61" s="33"/>
      <c r="O61" s="33"/>
      <c r="P61" s="33"/>
      <c r="Q61" s="34"/>
    </row>
    <row r="62" spans="2:17">
      <c r="J62" s="37"/>
      <c r="K62" s="37"/>
      <c r="L62" s="33"/>
      <c r="M62" s="33"/>
      <c r="N62" s="33"/>
      <c r="O62" s="33"/>
      <c r="P62" s="33"/>
      <c r="Q62" s="34"/>
    </row>
    <row r="63" spans="2:17">
      <c r="J63" s="37"/>
      <c r="K63" s="37"/>
      <c r="L63" s="33"/>
      <c r="M63" s="33"/>
      <c r="N63" s="33"/>
      <c r="O63" s="33"/>
      <c r="P63" s="33"/>
      <c r="Q63" s="34"/>
    </row>
    <row r="64" spans="2:17">
      <c r="C64" s="11" t="s">
        <v>13</v>
      </c>
      <c r="D64" s="12"/>
      <c r="E64" s="13"/>
      <c r="J64" s="37"/>
      <c r="K64" s="37"/>
      <c r="L64" s="33"/>
      <c r="M64" s="33"/>
      <c r="N64" s="33"/>
      <c r="O64" s="33"/>
      <c r="P64" s="33"/>
      <c r="Q64" s="34"/>
    </row>
    <row r="65" spans="3:17">
      <c r="C65" s="14" t="str">
        <f>"Source: "&amp;G4</f>
        <v>Source: Coaldesk, LLC, McCloskey by OPIS</v>
      </c>
      <c r="D65" s="8"/>
      <c r="E65" s="15"/>
      <c r="J65" s="37"/>
      <c r="K65" s="37"/>
      <c r="L65" s="33"/>
      <c r="M65" s="33"/>
      <c r="N65" s="33"/>
      <c r="O65" s="33"/>
      <c r="P65" s="33"/>
      <c r="Q65" s="34"/>
    </row>
    <row r="66" spans="3:17">
      <c r="C66" s="16" t="str">
        <f>CHAR(169) &amp; " 2022 McCloskey   "&amp;G7</f>
        <v xml:space="preserve">© 2022 McCloskey   </v>
      </c>
      <c r="D66" s="17"/>
      <c r="E66" s="18"/>
      <c r="J66" s="36"/>
    </row>
    <row r="67" spans="3:17">
      <c r="J67" s="36"/>
    </row>
    <row r="68" spans="3:17">
      <c r="J68" s="36"/>
    </row>
    <row r="69" spans="3:17">
      <c r="J69" s="36"/>
      <c r="L69" s="5"/>
    </row>
    <row r="70" spans="3:17">
      <c r="J70" s="36"/>
    </row>
    <row r="71" spans="3:17">
      <c r="J71" s="36"/>
    </row>
    <row r="72" spans="3:17">
      <c r="J72" s="36"/>
    </row>
    <row r="73" spans="3:17">
      <c r="J73" s="36"/>
    </row>
    <row r="74" spans="3:17">
      <c r="J74" s="36"/>
    </row>
    <row r="75" spans="3:17">
      <c r="J75" s="36"/>
    </row>
    <row r="76" spans="3:17">
      <c r="J76" s="36"/>
    </row>
    <row r="77" spans="3:17">
      <c r="J77" s="36"/>
    </row>
    <row r="78" spans="3:17">
      <c r="J78" s="36"/>
    </row>
    <row r="79" spans="3:17">
      <c r="J79" s="36"/>
    </row>
    <row r="80" spans="3:17">
      <c r="J80" s="36"/>
    </row>
    <row r="81" spans="10:10">
      <c r="J81" s="36"/>
    </row>
    <row r="82" spans="10:10">
      <c r="J82" s="36"/>
    </row>
    <row r="83" spans="10:10">
      <c r="J83" s="36"/>
    </row>
    <row r="84" spans="10:10">
      <c r="J84" s="36"/>
    </row>
    <row r="85" spans="10:10">
      <c r="J85" s="36"/>
    </row>
    <row r="86" spans="10:10">
      <c r="J86" s="36"/>
    </row>
    <row r="87" spans="10:10">
      <c r="J87" s="36"/>
    </row>
    <row r="88" spans="10:10">
      <c r="J88" s="36"/>
    </row>
    <row r="89" spans="10:10">
      <c r="J89" s="36"/>
    </row>
    <row r="90" spans="10:10">
      <c r="J90" s="36"/>
    </row>
    <row r="91" spans="10:10">
      <c r="J91" s="36"/>
    </row>
    <row r="92" spans="10:10">
      <c r="J92" s="36"/>
    </row>
    <row r="93" spans="10:10">
      <c r="J93" s="36"/>
    </row>
    <row r="94" spans="10:10">
      <c r="J94" s="36"/>
    </row>
    <row r="95" spans="10:10">
      <c r="J95" s="36"/>
    </row>
    <row r="96" spans="10:10">
      <c r="J96" s="36"/>
    </row>
    <row r="97" spans="10:10">
      <c r="J97" s="36"/>
    </row>
    <row r="98" spans="10:10">
      <c r="J98" s="36"/>
    </row>
    <row r="99" spans="10:10">
      <c r="J99" s="36"/>
    </row>
    <row r="100" spans="10:10">
      <c r="J100" s="36"/>
    </row>
    <row r="101" spans="10:10">
      <c r="J101" s="36"/>
    </row>
    <row r="102" spans="10:10">
      <c r="J102" s="36"/>
    </row>
    <row r="103" spans="10:10">
      <c r="J103" s="36"/>
    </row>
    <row r="104" spans="10:10">
      <c r="J104" s="36"/>
    </row>
    <row r="105" spans="10:10">
      <c r="J105" s="36"/>
    </row>
    <row r="106" spans="10:10">
      <c r="J106" s="36"/>
    </row>
    <row r="107" spans="10:10">
      <c r="J107" s="36"/>
    </row>
    <row r="108" spans="10:10">
      <c r="J108" s="36"/>
    </row>
    <row r="109" spans="10:10">
      <c r="J109" s="36"/>
    </row>
    <row r="110" spans="10:10">
      <c r="J110" s="36"/>
    </row>
    <row r="111" spans="10:10">
      <c r="J111" s="36"/>
    </row>
    <row r="112" spans="10:10">
      <c r="J112" s="36"/>
    </row>
    <row r="113" spans="10:10">
      <c r="J113" s="36"/>
    </row>
    <row r="114" spans="10:10">
      <c r="J114" s="36"/>
    </row>
    <row r="115" spans="10:10">
      <c r="J115" s="36"/>
    </row>
    <row r="116" spans="10:10">
      <c r="J116" s="36"/>
    </row>
    <row r="117" spans="10:10">
      <c r="J117" s="36"/>
    </row>
    <row r="118" spans="10:10">
      <c r="J118" s="36"/>
    </row>
    <row r="119" spans="10:10">
      <c r="J119" s="36"/>
    </row>
    <row r="120" spans="10:10">
      <c r="J120" s="36"/>
    </row>
    <row r="121" spans="10:10">
      <c r="J121" s="36"/>
    </row>
    <row r="122" spans="10:10">
      <c r="J122" s="36"/>
    </row>
    <row r="123" spans="10:10">
      <c r="J123" s="36"/>
    </row>
    <row r="124" spans="10:10">
      <c r="J124" s="36"/>
    </row>
    <row r="125" spans="10:10">
      <c r="J125" s="36"/>
    </row>
    <row r="126" spans="10:10">
      <c r="J126" s="36"/>
    </row>
    <row r="127" spans="10:10">
      <c r="J127" s="36"/>
    </row>
    <row r="128" spans="10:10">
      <c r="J128" s="36"/>
    </row>
    <row r="129" spans="10:10">
      <c r="J129" s="36"/>
    </row>
    <row r="130" spans="10:10">
      <c r="J130" s="36"/>
    </row>
    <row r="131" spans="10:10">
      <c r="J131" s="36"/>
    </row>
    <row r="132" spans="10:10">
      <c r="J132" s="36"/>
    </row>
    <row r="133" spans="10:10">
      <c r="J133" s="36"/>
    </row>
    <row r="134" spans="10:10">
      <c r="J134" s="36"/>
    </row>
    <row r="135" spans="10:10">
      <c r="J135" s="36"/>
    </row>
    <row r="136" spans="10:10">
      <c r="J136" s="36"/>
    </row>
    <row r="137" spans="10:10">
      <c r="J137" s="36"/>
    </row>
    <row r="138" spans="10:10">
      <c r="J138" s="36"/>
    </row>
    <row r="139" spans="10:10">
      <c r="J139" s="36"/>
    </row>
    <row r="140" spans="10:10">
      <c r="J140" s="36"/>
    </row>
    <row r="141" spans="10:10">
      <c r="J141" s="36"/>
    </row>
    <row r="142" spans="10:10">
      <c r="J142" s="36"/>
    </row>
    <row r="143" spans="10:10">
      <c r="J143" s="36"/>
    </row>
    <row r="144" spans="10:10">
      <c r="J144" s="36"/>
    </row>
    <row r="145" spans="10:10">
      <c r="J145" s="36"/>
    </row>
    <row r="146" spans="10:10">
      <c r="J146" s="36"/>
    </row>
    <row r="147" spans="10:10">
      <c r="J147" s="36"/>
    </row>
    <row r="148" spans="10:10">
      <c r="J148" s="36"/>
    </row>
    <row r="149" spans="10:10">
      <c r="J149" s="36"/>
    </row>
    <row r="150" spans="10:10">
      <c r="J150" s="36"/>
    </row>
    <row r="151" spans="10:10">
      <c r="J151" s="36"/>
    </row>
    <row r="152" spans="10:10">
      <c r="J152" s="36"/>
    </row>
    <row r="153" spans="10:10">
      <c r="J153" s="36"/>
    </row>
    <row r="154" spans="10:10">
      <c r="J154" s="36"/>
    </row>
    <row r="155" spans="10:10">
      <c r="J155" s="36"/>
    </row>
    <row r="156" spans="10:10">
      <c r="J156" s="36"/>
    </row>
    <row r="157" spans="10:10">
      <c r="J157" s="36"/>
    </row>
    <row r="158" spans="10:10">
      <c r="J158" s="36"/>
    </row>
    <row r="159" spans="10:10">
      <c r="J159" s="36"/>
    </row>
    <row r="160" spans="10:10">
      <c r="J160" s="36"/>
    </row>
    <row r="161" spans="10:10">
      <c r="J161" s="36"/>
    </row>
    <row r="162" spans="10:10">
      <c r="J162" s="36"/>
    </row>
    <row r="163" spans="10:10">
      <c r="J163" s="36"/>
    </row>
    <row r="164" spans="10:10">
      <c r="J164" s="36"/>
    </row>
    <row r="165" spans="10:10">
      <c r="J165" s="36"/>
    </row>
    <row r="166" spans="10:10">
      <c r="J166" s="36"/>
    </row>
    <row r="167" spans="10:10">
      <c r="J167" s="36"/>
    </row>
    <row r="168" spans="10:10">
      <c r="J168" s="36"/>
    </row>
    <row r="169" spans="10:10">
      <c r="J169" s="36"/>
    </row>
    <row r="170" spans="10:10">
      <c r="J170" s="36"/>
    </row>
    <row r="171" spans="10:10">
      <c r="J171" s="36"/>
    </row>
    <row r="172" spans="10:10">
      <c r="J172" s="36"/>
    </row>
    <row r="173" spans="10:10">
      <c r="J173" s="36"/>
    </row>
    <row r="174" spans="10:10">
      <c r="J174" s="36"/>
    </row>
    <row r="175" spans="10:10">
      <c r="J175" s="36"/>
    </row>
    <row r="176" spans="10:10">
      <c r="J176" s="36"/>
    </row>
    <row r="177" spans="10:10">
      <c r="J177" s="36"/>
    </row>
    <row r="178" spans="10:10">
      <c r="J178" s="36"/>
    </row>
    <row r="179" spans="10:10">
      <c r="J179" s="36"/>
    </row>
    <row r="180" spans="10:10">
      <c r="J180" s="36"/>
    </row>
    <row r="181" spans="10:10">
      <c r="J181" s="36"/>
    </row>
    <row r="182" spans="10:10">
      <c r="J182" s="36"/>
    </row>
    <row r="183" spans="10:10">
      <c r="J183" s="36"/>
    </row>
    <row r="184" spans="10:10">
      <c r="J184" s="36"/>
    </row>
    <row r="185" spans="10:10">
      <c r="J185" s="36"/>
    </row>
    <row r="186" spans="10:10">
      <c r="J186" s="36"/>
    </row>
    <row r="187" spans="10:10">
      <c r="J187" s="36"/>
    </row>
    <row r="188" spans="10:10">
      <c r="J188" s="36"/>
    </row>
    <row r="189" spans="10:10">
      <c r="J189" s="36"/>
    </row>
    <row r="190" spans="10:10">
      <c r="J190" s="36"/>
    </row>
    <row r="191" spans="10:10">
      <c r="J191" s="36"/>
    </row>
    <row r="192" spans="10:10">
      <c r="J192" s="36"/>
    </row>
    <row r="193" spans="10:10">
      <c r="J193" s="36"/>
    </row>
    <row r="194" spans="10:10">
      <c r="J194" s="36"/>
    </row>
    <row r="195" spans="10:10">
      <c r="J195" s="36"/>
    </row>
    <row r="196" spans="10:10">
      <c r="J196" s="36"/>
    </row>
    <row r="197" spans="10:10">
      <c r="J197" s="36"/>
    </row>
    <row r="198" spans="10:10">
      <c r="J198" s="36"/>
    </row>
    <row r="199" spans="10:10">
      <c r="J199" s="36"/>
    </row>
    <row r="200" spans="10:10">
      <c r="J200" s="36"/>
    </row>
    <row r="201" spans="10:10">
      <c r="J201" s="36"/>
    </row>
    <row r="202" spans="10:10">
      <c r="J202" s="36"/>
    </row>
    <row r="203" spans="10:10">
      <c r="J203" s="36"/>
    </row>
    <row r="204" spans="10:10">
      <c r="J204" s="36"/>
    </row>
    <row r="205" spans="10:10">
      <c r="J205" s="36"/>
    </row>
    <row r="206" spans="10:10">
      <c r="J206" s="36"/>
    </row>
    <row r="207" spans="10:10">
      <c r="J207" s="36"/>
    </row>
    <row r="208" spans="10:10">
      <c r="J208" s="36"/>
    </row>
    <row r="209" spans="10:10">
      <c r="J209" s="36"/>
    </row>
    <row r="210" spans="10:10">
      <c r="J210" s="36"/>
    </row>
    <row r="211" spans="10:10">
      <c r="J211" s="36"/>
    </row>
    <row r="212" spans="10:10">
      <c r="J212" s="36"/>
    </row>
    <row r="213" spans="10:10">
      <c r="J213" s="36"/>
    </row>
    <row r="214" spans="10:10">
      <c r="J214" s="36"/>
    </row>
    <row r="215" spans="10:10">
      <c r="J215" s="36"/>
    </row>
    <row r="216" spans="10:10">
      <c r="J216" s="36"/>
    </row>
    <row r="217" spans="10:10">
      <c r="J217" s="36"/>
    </row>
    <row r="218" spans="10:10">
      <c r="J218" s="36"/>
    </row>
    <row r="219" spans="10:10">
      <c r="J219" s="36"/>
    </row>
    <row r="220" spans="10:10">
      <c r="J220" s="36"/>
    </row>
    <row r="221" spans="10:10">
      <c r="J221" s="36"/>
    </row>
    <row r="222" spans="10:10">
      <c r="J222" s="36"/>
    </row>
    <row r="223" spans="10:10">
      <c r="J223" s="36"/>
    </row>
    <row r="224" spans="10:10">
      <c r="J224" s="36"/>
    </row>
    <row r="225" spans="10:10">
      <c r="J225" s="36"/>
    </row>
    <row r="226" spans="10:10">
      <c r="J226" s="36"/>
    </row>
    <row r="227" spans="10:10">
      <c r="J227" s="36"/>
    </row>
    <row r="228" spans="10:10">
      <c r="J228" s="36"/>
    </row>
    <row r="229" spans="10:10">
      <c r="J229" s="36"/>
    </row>
    <row r="230" spans="10:10">
      <c r="J230" s="36"/>
    </row>
    <row r="231" spans="10:10">
      <c r="J231" s="36"/>
    </row>
    <row r="232" spans="10:10">
      <c r="J232" s="36"/>
    </row>
    <row r="233" spans="10:10">
      <c r="J233" s="36"/>
    </row>
    <row r="234" spans="10:10">
      <c r="J234" s="36"/>
    </row>
    <row r="235" spans="10:10">
      <c r="J235" s="36"/>
    </row>
    <row r="236" spans="10:10">
      <c r="J236" s="36"/>
    </row>
    <row r="237" spans="10:10">
      <c r="J237" s="36"/>
    </row>
    <row r="238" spans="10:10">
      <c r="J238" s="36"/>
    </row>
    <row r="239" spans="10:10">
      <c r="J239" s="36"/>
    </row>
    <row r="240" spans="10:10">
      <c r="J240" s="36"/>
    </row>
    <row r="241" spans="10:10">
      <c r="J241" s="36"/>
    </row>
    <row r="242" spans="10:10">
      <c r="J242" s="36"/>
    </row>
    <row r="243" spans="10:10">
      <c r="J243" s="36"/>
    </row>
    <row r="244" spans="10:10">
      <c r="J244" s="36"/>
    </row>
    <row r="245" spans="10:10">
      <c r="J245" s="36"/>
    </row>
    <row r="246" spans="10:10">
      <c r="J246" s="36"/>
    </row>
    <row r="247" spans="10:10">
      <c r="J247" s="36"/>
    </row>
    <row r="248" spans="10:10">
      <c r="J248" s="36"/>
    </row>
    <row r="249" spans="10:10">
      <c r="J249" s="36"/>
    </row>
    <row r="250" spans="10:10">
      <c r="J250" s="36"/>
    </row>
    <row r="251" spans="10:10">
      <c r="J251" s="36"/>
    </row>
    <row r="252" spans="10:10">
      <c r="J252" s="36"/>
    </row>
    <row r="253" spans="10:10">
      <c r="J253" s="36"/>
    </row>
    <row r="254" spans="10:10">
      <c r="J254" s="36"/>
    </row>
    <row r="255" spans="10:10">
      <c r="J255" s="36"/>
    </row>
    <row r="256" spans="10:10">
      <c r="J256" s="36"/>
    </row>
    <row r="257" spans="10:10">
      <c r="J257" s="36"/>
    </row>
    <row r="258" spans="10:10">
      <c r="J258" s="36"/>
    </row>
    <row r="259" spans="10:10">
      <c r="J259" s="36"/>
    </row>
    <row r="260" spans="10:10">
      <c r="J260" s="36"/>
    </row>
    <row r="261" spans="10:10">
      <c r="J261" s="36"/>
    </row>
    <row r="262" spans="10:10">
      <c r="J262" s="36"/>
    </row>
    <row r="263" spans="10:10">
      <c r="J263" s="36"/>
    </row>
    <row r="264" spans="10:10">
      <c r="J264" s="36"/>
    </row>
    <row r="265" spans="10:10">
      <c r="J265" s="36"/>
    </row>
    <row r="266" spans="10:10">
      <c r="J266" s="36"/>
    </row>
    <row r="267" spans="10:10">
      <c r="J267" s="36"/>
    </row>
    <row r="268" spans="10:10">
      <c r="J268" s="36"/>
    </row>
    <row r="269" spans="10:10">
      <c r="J269" s="36"/>
    </row>
    <row r="270" spans="10:10">
      <c r="J270" s="36"/>
    </row>
    <row r="271" spans="10:10">
      <c r="J271" s="36"/>
    </row>
    <row r="272" spans="10:10">
      <c r="J272" s="36"/>
    </row>
    <row r="273" spans="10:10">
      <c r="J273" s="36"/>
    </row>
    <row r="274" spans="10:10">
      <c r="J274" s="36"/>
    </row>
    <row r="275" spans="10:10">
      <c r="J275" s="36"/>
    </row>
    <row r="276" spans="10:10">
      <c r="J276" s="36"/>
    </row>
    <row r="277" spans="10:10">
      <c r="J277" s="36"/>
    </row>
    <row r="278" spans="10:10">
      <c r="J278" s="36"/>
    </row>
    <row r="279" spans="10:10">
      <c r="J279" s="36"/>
    </row>
    <row r="280" spans="10:10">
      <c r="J280" s="36"/>
    </row>
    <row r="281" spans="10:10">
      <c r="J281" s="36"/>
    </row>
    <row r="282" spans="10:10">
      <c r="J282" s="36"/>
    </row>
    <row r="283" spans="10:10">
      <c r="J283" s="36"/>
    </row>
    <row r="284" spans="10:10">
      <c r="J284" s="36"/>
    </row>
    <row r="285" spans="10:10">
      <c r="J285" s="36"/>
    </row>
    <row r="286" spans="10:10">
      <c r="J286" s="36"/>
    </row>
    <row r="287" spans="10:10">
      <c r="J287" s="36"/>
    </row>
    <row r="288" spans="10:10">
      <c r="J288" s="36"/>
    </row>
    <row r="289" spans="10:10">
      <c r="J289" s="36"/>
    </row>
    <row r="290" spans="10:10">
      <c r="J290" s="36"/>
    </row>
    <row r="291" spans="10:10">
      <c r="J291" s="36"/>
    </row>
    <row r="292" spans="10:10">
      <c r="J292" s="36"/>
    </row>
    <row r="293" spans="10:10">
      <c r="J293" s="36"/>
    </row>
    <row r="294" spans="10:10">
      <c r="J294" s="36"/>
    </row>
    <row r="295" spans="10:10">
      <c r="J295" s="36"/>
    </row>
    <row r="296" spans="10:10">
      <c r="J296" s="36"/>
    </row>
    <row r="297" spans="10:10">
      <c r="J297" s="36"/>
    </row>
    <row r="298" spans="10:10">
      <c r="J298" s="36"/>
    </row>
    <row r="299" spans="10:10">
      <c r="J299" s="36"/>
    </row>
    <row r="300" spans="10:10">
      <c r="J300" s="36"/>
    </row>
    <row r="301" spans="10:10">
      <c r="J301" s="36"/>
    </row>
    <row r="302" spans="10:10">
      <c r="J302" s="36"/>
    </row>
    <row r="303" spans="10:10">
      <c r="J303" s="36"/>
    </row>
    <row r="304" spans="10:10">
      <c r="J304" s="36"/>
    </row>
    <row r="305" spans="10:10">
      <c r="J305" s="36"/>
    </row>
    <row r="306" spans="10:10">
      <c r="J306" s="36"/>
    </row>
    <row r="307" spans="10:10">
      <c r="J307" s="36"/>
    </row>
    <row r="308" spans="10:10">
      <c r="J308" s="36"/>
    </row>
    <row r="309" spans="10:10">
      <c r="J309" s="36"/>
    </row>
    <row r="310" spans="10:10">
      <c r="J310" s="36"/>
    </row>
    <row r="311" spans="10:10">
      <c r="J311" s="36"/>
    </row>
    <row r="312" spans="10:10">
      <c r="J312" s="36"/>
    </row>
    <row r="313" spans="10:10">
      <c r="J313" s="36"/>
    </row>
    <row r="314" spans="10:10">
      <c r="J314" s="36"/>
    </row>
    <row r="315" spans="10:10">
      <c r="J315" s="36"/>
    </row>
    <row r="316" spans="10:10">
      <c r="J316" s="36"/>
    </row>
    <row r="317" spans="10:10">
      <c r="J317" s="36"/>
    </row>
    <row r="318" spans="10:10">
      <c r="J318" s="36"/>
    </row>
    <row r="319" spans="10:10">
      <c r="J319" s="36"/>
    </row>
    <row r="320" spans="10:10">
      <c r="J320" s="36"/>
    </row>
    <row r="321" spans="10:10">
      <c r="J321" s="36"/>
    </row>
    <row r="322" spans="10:10">
      <c r="J322" s="36"/>
    </row>
    <row r="323" spans="10:10">
      <c r="J323" s="36"/>
    </row>
    <row r="324" spans="10:10">
      <c r="J324" s="36"/>
    </row>
    <row r="325" spans="10:10">
      <c r="J325" s="36"/>
    </row>
    <row r="326" spans="10:10">
      <c r="J326" s="36"/>
    </row>
    <row r="327" spans="10:10">
      <c r="J327" s="36"/>
    </row>
    <row r="328" spans="10:10">
      <c r="J328" s="36"/>
    </row>
    <row r="329" spans="10:10">
      <c r="J329" s="36"/>
    </row>
    <row r="330" spans="10:10">
      <c r="J330" s="36"/>
    </row>
    <row r="331" spans="10:10">
      <c r="J331" s="36"/>
    </row>
    <row r="332" spans="10:10">
      <c r="J332" s="36"/>
    </row>
    <row r="333" spans="10:10">
      <c r="J333" s="36"/>
    </row>
    <row r="334" spans="10:10">
      <c r="J334" s="36"/>
    </row>
    <row r="335" spans="10:10">
      <c r="J335" s="36"/>
    </row>
    <row r="336" spans="10:10">
      <c r="J336" s="36"/>
    </row>
    <row r="337" spans="10:10">
      <c r="J337" s="36"/>
    </row>
    <row r="338" spans="10:10">
      <c r="J338" s="36"/>
    </row>
    <row r="339" spans="10:10">
      <c r="J339" s="36"/>
    </row>
    <row r="340" spans="10:10">
      <c r="J340" s="36"/>
    </row>
    <row r="341" spans="10:10">
      <c r="J341" s="36"/>
    </row>
    <row r="342" spans="10:10">
      <c r="J342" s="36"/>
    </row>
    <row r="343" spans="10:10">
      <c r="J343" s="36"/>
    </row>
    <row r="344" spans="10:10">
      <c r="J344" s="36"/>
    </row>
    <row r="345" spans="10:10">
      <c r="J345" s="36"/>
    </row>
    <row r="346" spans="10:10">
      <c r="J346" s="36"/>
    </row>
    <row r="347" spans="10:10">
      <c r="J347" s="36"/>
    </row>
    <row r="348" spans="10:10">
      <c r="J348" s="36"/>
    </row>
    <row r="349" spans="10:10">
      <c r="J349" s="36"/>
    </row>
    <row r="350" spans="10:10">
      <c r="J350" s="36"/>
    </row>
    <row r="351" spans="10:10">
      <c r="J351" s="36"/>
    </row>
    <row r="352" spans="10:10">
      <c r="J352" s="36"/>
    </row>
    <row r="353" spans="10:10">
      <c r="J353" s="36"/>
    </row>
    <row r="354" spans="10:10">
      <c r="J354" s="36"/>
    </row>
    <row r="355" spans="10:10">
      <c r="J355" s="36"/>
    </row>
    <row r="356" spans="10:10">
      <c r="J356" s="36"/>
    </row>
    <row r="357" spans="10:10">
      <c r="J357" s="36"/>
    </row>
    <row r="358" spans="10:10">
      <c r="J358" s="36"/>
    </row>
    <row r="359" spans="10:10">
      <c r="J359" s="36"/>
    </row>
    <row r="360" spans="10:10">
      <c r="J360" s="36"/>
    </row>
    <row r="361" spans="10:10">
      <c r="J361" s="36"/>
    </row>
    <row r="362" spans="10:10">
      <c r="J362" s="36"/>
    </row>
    <row r="363" spans="10:10">
      <c r="J363" s="36"/>
    </row>
    <row r="364" spans="10:10">
      <c r="J364" s="36"/>
    </row>
    <row r="365" spans="10:10">
      <c r="J365" s="36"/>
    </row>
    <row r="366" spans="10:10">
      <c r="J366" s="36"/>
    </row>
    <row r="367" spans="10:10">
      <c r="J367" s="36"/>
    </row>
    <row r="368" spans="10:10">
      <c r="J368" s="36"/>
    </row>
    <row r="369" spans="10:10">
      <c r="J369" s="36"/>
    </row>
    <row r="370" spans="10:10">
      <c r="J370" s="36"/>
    </row>
    <row r="371" spans="10:10">
      <c r="J371" s="36"/>
    </row>
    <row r="372" spans="10:10">
      <c r="J372" s="36"/>
    </row>
    <row r="373" spans="10:10">
      <c r="J373" s="36"/>
    </row>
    <row r="374" spans="10:10">
      <c r="J374" s="36"/>
    </row>
    <row r="375" spans="10:10">
      <c r="J375" s="36"/>
    </row>
    <row r="376" spans="10:10">
      <c r="J376" s="36"/>
    </row>
    <row r="377" spans="10:10">
      <c r="J377" s="36"/>
    </row>
    <row r="378" spans="10:10">
      <c r="J378" s="36"/>
    </row>
    <row r="379" spans="10:10">
      <c r="J379" s="36"/>
    </row>
    <row r="380" spans="10:10">
      <c r="J380" s="36"/>
    </row>
    <row r="381" spans="10:10">
      <c r="J381" s="36"/>
    </row>
    <row r="382" spans="10:10">
      <c r="J382" s="36"/>
    </row>
    <row r="383" spans="10:10">
      <c r="J383" s="36"/>
    </row>
    <row r="384" spans="10:10">
      <c r="J384" s="36"/>
    </row>
    <row r="385" spans="10:10">
      <c r="J385" s="36"/>
    </row>
    <row r="386" spans="10:10">
      <c r="J386" s="36"/>
    </row>
    <row r="387" spans="10:10">
      <c r="J387" s="36"/>
    </row>
    <row r="388" spans="10:10">
      <c r="J388" s="36"/>
    </row>
    <row r="389" spans="10:10">
      <c r="J389" s="36"/>
    </row>
    <row r="390" spans="10:10">
      <c r="J390" s="36"/>
    </row>
    <row r="391" spans="10:10">
      <c r="J391" s="36"/>
    </row>
    <row r="392" spans="10:10">
      <c r="J392" s="36"/>
    </row>
    <row r="393" spans="10:10">
      <c r="J393" s="36"/>
    </row>
    <row r="394" spans="10:10">
      <c r="J394" s="36"/>
    </row>
    <row r="395" spans="10:10">
      <c r="J395" s="36"/>
    </row>
    <row r="396" spans="10:10">
      <c r="J396" s="36"/>
    </row>
    <row r="397" spans="10:10">
      <c r="J397" s="36"/>
    </row>
    <row r="398" spans="10:10">
      <c r="J398" s="36"/>
    </row>
    <row r="399" spans="10:10">
      <c r="J399" s="36"/>
    </row>
    <row r="400" spans="10:10">
      <c r="J400" s="36"/>
    </row>
    <row r="401" spans="10:10">
      <c r="J401" s="36"/>
    </row>
    <row r="402" spans="10:10">
      <c r="J402" s="36"/>
    </row>
    <row r="403" spans="10:10">
      <c r="J403" s="36"/>
    </row>
    <row r="404" spans="10:10">
      <c r="J404" s="36"/>
    </row>
    <row r="405" spans="10:10">
      <c r="J405" s="36"/>
    </row>
    <row r="406" spans="10:10">
      <c r="J406" s="36"/>
    </row>
    <row r="407" spans="10:10">
      <c r="J407" s="36"/>
    </row>
    <row r="408" spans="10:10">
      <c r="J408" s="36"/>
    </row>
    <row r="409" spans="10:10">
      <c r="J409" s="36"/>
    </row>
    <row r="410" spans="10:10">
      <c r="J410" s="36"/>
    </row>
    <row r="411" spans="10:10">
      <c r="J411" s="36"/>
    </row>
    <row r="412" spans="10:10">
      <c r="J412" s="36"/>
    </row>
    <row r="413" spans="10:10">
      <c r="J413" s="36"/>
    </row>
    <row r="414" spans="10:10">
      <c r="J414" s="36"/>
    </row>
    <row r="415" spans="10:10">
      <c r="J415" s="36"/>
    </row>
    <row r="416" spans="10:10">
      <c r="J416" s="36"/>
    </row>
    <row r="417" spans="10:10">
      <c r="J417" s="36"/>
    </row>
    <row r="418" spans="10:10">
      <c r="J418" s="36"/>
    </row>
    <row r="419" spans="10:10">
      <c r="J419" s="36"/>
    </row>
    <row r="420" spans="10:10">
      <c r="J420" s="36"/>
    </row>
    <row r="421" spans="10:10">
      <c r="J421" s="36"/>
    </row>
    <row r="422" spans="10:10">
      <c r="J422" s="36"/>
    </row>
    <row r="423" spans="10:10">
      <c r="J423" s="36"/>
    </row>
    <row r="424" spans="10:10">
      <c r="J424" s="36"/>
    </row>
    <row r="425" spans="10:10">
      <c r="J425" s="36"/>
    </row>
    <row r="426" spans="10:10">
      <c r="J426" s="36"/>
    </row>
    <row r="427" spans="10:10">
      <c r="J427" s="36"/>
    </row>
    <row r="428" spans="10:10">
      <c r="J428" s="36"/>
    </row>
    <row r="429" spans="10:10">
      <c r="J429" s="36"/>
    </row>
    <row r="430" spans="10:10">
      <c r="J430" s="36"/>
    </row>
    <row r="431" spans="10:10">
      <c r="J431" s="36"/>
    </row>
    <row r="432" spans="10:10">
      <c r="J432" s="36"/>
    </row>
    <row r="433" spans="10:10">
      <c r="J433" s="36"/>
    </row>
    <row r="434" spans="10:10">
      <c r="J434" s="36"/>
    </row>
    <row r="435" spans="10:10">
      <c r="J435" s="36"/>
    </row>
    <row r="436" spans="10:10">
      <c r="J436" s="36"/>
    </row>
    <row r="437" spans="10:10">
      <c r="J437" s="36"/>
    </row>
    <row r="438" spans="10:10">
      <c r="J438" s="36"/>
    </row>
    <row r="439" spans="10:10">
      <c r="J439" s="36"/>
    </row>
    <row r="440" spans="10:10">
      <c r="J440" s="36"/>
    </row>
    <row r="441" spans="10:10">
      <c r="J441" s="36"/>
    </row>
    <row r="442" spans="10:10">
      <c r="J442" s="36"/>
    </row>
    <row r="443" spans="10:10">
      <c r="J443" s="36"/>
    </row>
    <row r="444" spans="10:10">
      <c r="J444" s="36"/>
    </row>
    <row r="445" spans="10:10">
      <c r="J445" s="36"/>
    </row>
    <row r="446" spans="10:10">
      <c r="J446" s="36"/>
    </row>
    <row r="447" spans="10:10">
      <c r="J447" s="36"/>
    </row>
    <row r="448" spans="10:10">
      <c r="J448" s="36"/>
    </row>
    <row r="449" spans="10:10">
      <c r="J449" s="36"/>
    </row>
    <row r="450" spans="10:10">
      <c r="J450" s="36"/>
    </row>
    <row r="451" spans="10:10">
      <c r="J451" s="36"/>
    </row>
    <row r="452" spans="10:10">
      <c r="J452" s="36"/>
    </row>
    <row r="453" spans="10:10">
      <c r="J453" s="36"/>
    </row>
    <row r="454" spans="10:10">
      <c r="J454" s="36"/>
    </row>
    <row r="455" spans="10:10">
      <c r="J455" s="36"/>
    </row>
    <row r="456" spans="10:10">
      <c r="J456" s="36"/>
    </row>
    <row r="457" spans="10:10">
      <c r="J457" s="36"/>
    </row>
    <row r="458" spans="10:10">
      <c r="J458" s="36"/>
    </row>
    <row r="459" spans="10:10">
      <c r="J459" s="36"/>
    </row>
    <row r="460" spans="10:10">
      <c r="J460" s="36"/>
    </row>
    <row r="461" spans="10:10">
      <c r="J461" s="36"/>
    </row>
    <row r="462" spans="10:10">
      <c r="J462" s="36"/>
    </row>
    <row r="463" spans="10:10">
      <c r="J463" s="36"/>
    </row>
    <row r="464" spans="10:10">
      <c r="J464" s="36"/>
    </row>
    <row r="465" spans="10:10">
      <c r="J465" s="36"/>
    </row>
    <row r="466" spans="10:10">
      <c r="J466" s="36"/>
    </row>
    <row r="467" spans="10:10">
      <c r="J467" s="36"/>
    </row>
    <row r="468" spans="10:10">
      <c r="J468" s="36"/>
    </row>
    <row r="469" spans="10:10">
      <c r="J469" s="36"/>
    </row>
    <row r="470" spans="10:10">
      <c r="J470" s="36"/>
    </row>
    <row r="471" spans="10:10">
      <c r="J471" s="36"/>
    </row>
    <row r="472" spans="10:10">
      <c r="J472" s="36"/>
    </row>
    <row r="473" spans="10:10">
      <c r="J473" s="36"/>
    </row>
    <row r="474" spans="10:10">
      <c r="J474" s="36"/>
    </row>
    <row r="475" spans="10:10">
      <c r="J475" s="36"/>
    </row>
    <row r="476" spans="10:10">
      <c r="J476" s="36"/>
    </row>
    <row r="477" spans="10:10">
      <c r="J477" s="36"/>
    </row>
    <row r="478" spans="10:10">
      <c r="J478" s="36"/>
    </row>
    <row r="479" spans="10:10">
      <c r="J479" s="36"/>
    </row>
    <row r="480" spans="10:10">
      <c r="J480" s="36"/>
    </row>
    <row r="481" spans="10:10">
      <c r="J481" s="36"/>
    </row>
    <row r="482" spans="10:10">
      <c r="J482" s="36"/>
    </row>
    <row r="483" spans="10:10">
      <c r="J483" s="36"/>
    </row>
    <row r="484" spans="10:10">
      <c r="J484" s="36"/>
    </row>
    <row r="485" spans="10:10">
      <c r="J485" s="36"/>
    </row>
    <row r="486" spans="10:10">
      <c r="J486" s="36"/>
    </row>
    <row r="487" spans="10:10">
      <c r="J487" s="36"/>
    </row>
    <row r="488" spans="10:10">
      <c r="J488" s="36"/>
    </row>
    <row r="489" spans="10:10">
      <c r="J489" s="36"/>
    </row>
    <row r="490" spans="10:10">
      <c r="J490" s="36"/>
    </row>
    <row r="491" spans="10:10">
      <c r="J491" s="36"/>
    </row>
    <row r="492" spans="10:10">
      <c r="J492" s="36"/>
    </row>
    <row r="493" spans="10:10">
      <c r="J493" s="36"/>
    </row>
    <row r="494" spans="10:10">
      <c r="J494" s="36"/>
    </row>
    <row r="495" spans="10:10">
      <c r="J495" s="36"/>
    </row>
    <row r="496" spans="10:10">
      <c r="J496" s="36"/>
    </row>
    <row r="497" spans="10:10">
      <c r="J497" s="36"/>
    </row>
    <row r="498" spans="10:10">
      <c r="J498" s="36"/>
    </row>
    <row r="499" spans="10:10">
      <c r="J499" s="36"/>
    </row>
    <row r="500" spans="10:10">
      <c r="J500" s="36"/>
    </row>
    <row r="501" spans="10:10">
      <c r="J501" s="36"/>
    </row>
    <row r="502" spans="10:10">
      <c r="J502" s="36"/>
    </row>
    <row r="503" spans="10:10">
      <c r="J503" s="36"/>
    </row>
    <row r="504" spans="10:10">
      <c r="J504" s="36"/>
    </row>
    <row r="505" spans="10:10">
      <c r="J505" s="36"/>
    </row>
    <row r="506" spans="10:10">
      <c r="J506" s="36"/>
    </row>
    <row r="507" spans="10:10">
      <c r="J507" s="36"/>
    </row>
    <row r="508" spans="10:10">
      <c r="J508" s="36"/>
    </row>
    <row r="509" spans="10:10">
      <c r="J509" s="36"/>
    </row>
    <row r="510" spans="10:10">
      <c r="J510" s="36"/>
    </row>
    <row r="511" spans="10:10">
      <c r="J511" s="36"/>
    </row>
    <row r="512" spans="10:10">
      <c r="J512" s="36"/>
    </row>
    <row r="513" spans="10:10">
      <c r="J513" s="36"/>
    </row>
    <row r="514" spans="10:10">
      <c r="J514" s="36"/>
    </row>
    <row r="515" spans="10:10">
      <c r="J515" s="36"/>
    </row>
    <row r="516" spans="10:10">
      <c r="J516" s="36"/>
    </row>
    <row r="517" spans="10:10">
      <c r="J517" s="36"/>
    </row>
    <row r="518" spans="10:10">
      <c r="J518" s="36"/>
    </row>
    <row r="519" spans="10:10">
      <c r="J519" s="36"/>
    </row>
    <row r="520" spans="10:10">
      <c r="J520" s="36"/>
    </row>
    <row r="521" spans="10:10">
      <c r="J521" s="36"/>
    </row>
    <row r="522" spans="10:10">
      <c r="J522" s="36"/>
    </row>
    <row r="523" spans="10:10">
      <c r="J523" s="36"/>
    </row>
    <row r="524" spans="10:10">
      <c r="J524" s="36"/>
    </row>
    <row r="525" spans="10:10">
      <c r="J525" s="36"/>
    </row>
    <row r="526" spans="10:10">
      <c r="J526" s="36"/>
    </row>
    <row r="527" spans="10:10">
      <c r="J527" s="36"/>
    </row>
    <row r="528" spans="10:10">
      <c r="J528" s="36"/>
    </row>
    <row r="529" spans="10:10">
      <c r="J529" s="36"/>
    </row>
    <row r="530" spans="10:10">
      <c r="J530" s="36"/>
    </row>
    <row r="531" spans="10:10">
      <c r="J531" s="36"/>
    </row>
    <row r="532" spans="10:10">
      <c r="J532" s="36"/>
    </row>
    <row r="533" spans="10:10">
      <c r="J533" s="36"/>
    </row>
    <row r="534" spans="10:10">
      <c r="J534" s="36"/>
    </row>
    <row r="535" spans="10:10">
      <c r="J535" s="36"/>
    </row>
    <row r="536" spans="10:10">
      <c r="J536" s="36"/>
    </row>
    <row r="537" spans="10:10">
      <c r="J537" s="36"/>
    </row>
    <row r="538" spans="10:10">
      <c r="J538" s="36"/>
    </row>
    <row r="539" spans="10:10">
      <c r="J539" s="36"/>
    </row>
    <row r="540" spans="10:10">
      <c r="J540" s="36"/>
    </row>
    <row r="541" spans="10:10">
      <c r="J541" s="36"/>
    </row>
    <row r="542" spans="10:10">
      <c r="J542" s="36"/>
    </row>
    <row r="543" spans="10:10">
      <c r="J543" s="36"/>
    </row>
    <row r="544" spans="10:10">
      <c r="J544" s="36"/>
    </row>
    <row r="545" spans="10:10">
      <c r="J545" s="36"/>
    </row>
    <row r="546" spans="10:10">
      <c r="J546" s="36"/>
    </row>
    <row r="547" spans="10:10">
      <c r="J547" s="36"/>
    </row>
    <row r="548" spans="10:10">
      <c r="J548" s="36"/>
    </row>
    <row r="549" spans="10:10">
      <c r="J549" s="36"/>
    </row>
    <row r="550" spans="10:10">
      <c r="J550" s="36"/>
    </row>
    <row r="551" spans="10:10">
      <c r="J551" s="36"/>
    </row>
    <row r="552" spans="10:10">
      <c r="J552" s="36"/>
    </row>
  </sheetData>
  <mergeCells count="6">
    <mergeCell ref="C10:E10"/>
    <mergeCell ref="B4:B5"/>
    <mergeCell ref="C4:E4"/>
    <mergeCell ref="G4:H4"/>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9617"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239618" r:id="rId5" name="Button 2">
              <controlPr defaultSize="0" print="0" autoFill="0" autoPict="0" macro="[0]!fixChartTitleHeight">
                <anchor moveWithCells="1">
                  <from>
                    <xdr:col>1</xdr:col>
                    <xdr:colOff>30480</xdr:colOff>
                    <xdr:row>6</xdr:row>
                    <xdr:rowOff>182880</xdr:rowOff>
                  </from>
                  <to>
                    <xdr:col>1</xdr:col>
                    <xdr:colOff>1104900</xdr:colOff>
                    <xdr:row>8</xdr:row>
                    <xdr:rowOff>45720</xdr:rowOff>
                  </to>
                </anchor>
              </controlPr>
            </control>
          </mc:Choice>
        </mc:AlternateContent>
        <mc:AlternateContent xmlns:mc="http://schemas.openxmlformats.org/markup-compatibility/2006">
          <mc:Choice Requires="x14">
            <control shapeId="239619" r:id="rId6" name="Button 3">
              <controlPr defaultSize="0" print="0" autoFill="0" autoPict="0" macro="[0]!addIHSArrows">
                <anchor moveWithCells="1">
                  <from>
                    <xdr:col>1</xdr:col>
                    <xdr:colOff>30480</xdr:colOff>
                    <xdr:row>8</xdr:row>
                    <xdr:rowOff>160020</xdr:rowOff>
                  </from>
                  <to>
                    <xdr:col>1</xdr:col>
                    <xdr:colOff>1104900</xdr:colOff>
                    <xdr:row>10</xdr:row>
                    <xdr:rowOff>7620</xdr:rowOff>
                  </to>
                </anchor>
              </controlPr>
            </control>
          </mc:Choice>
        </mc:AlternateContent>
        <mc:AlternateContent xmlns:mc="http://schemas.openxmlformats.org/markup-compatibility/2006">
          <mc:Choice Requires="x14">
            <control shapeId="239620" r:id="rId7" name="Button 4">
              <controlPr defaultSize="0" print="0" autoFill="0" autoPict="0" macro="[0]!addIHSTextBox">
                <anchor moveWithCells="1">
                  <from>
                    <xdr:col>1</xdr:col>
                    <xdr:colOff>30480</xdr:colOff>
                    <xdr:row>10</xdr:row>
                    <xdr:rowOff>144780</xdr:rowOff>
                  </from>
                  <to>
                    <xdr:col>1</xdr:col>
                    <xdr:colOff>1104900</xdr:colOff>
                    <xdr:row>12</xdr:row>
                    <xdr:rowOff>22860</xdr:rowOff>
                  </to>
                </anchor>
              </controlPr>
            </control>
          </mc:Choice>
        </mc:AlternateContent>
        <mc:AlternateContent xmlns:mc="http://schemas.openxmlformats.org/markup-compatibility/2006">
          <mc:Choice Requires="x14">
            <control shapeId="239623" r:id="rId8" name="Button 7">
              <controlPr defaultSize="0" print="0" autoFill="0" autoPict="0" macro="[0]!get_FF">
                <anchor moveWithCells="1" sizeWithCells="1">
                  <from>
                    <xdr:col>5</xdr:col>
                    <xdr:colOff>0</xdr:colOff>
                    <xdr:row>15</xdr:row>
                    <xdr:rowOff>0</xdr:rowOff>
                  </from>
                  <to>
                    <xdr:col>7</xdr:col>
                    <xdr:colOff>0</xdr:colOff>
                    <xdr:row>17</xdr:row>
                    <xdr:rowOff>60960</xdr:rowOff>
                  </to>
                </anchor>
              </controlPr>
            </control>
          </mc:Choice>
        </mc:AlternateContent>
        <mc:AlternateContent xmlns:mc="http://schemas.openxmlformats.org/markup-compatibility/2006">
          <mc:Choice Requires="x14">
            <control shapeId="239624" r:id="rId9" name="Button 8">
              <controlPr defaultSize="0" print="0" autoFill="0" autoPict="0" macro="[0]!nextpage2">
                <anchor moveWithCells="1" sizeWithCells="1">
                  <from>
                    <xdr:col>5</xdr:col>
                    <xdr:colOff>0</xdr:colOff>
                    <xdr:row>18</xdr:row>
                    <xdr:rowOff>106680</xdr:rowOff>
                  </from>
                  <to>
                    <xdr:col>7</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9">
    <tabColor theme="3" tint="0.39997558519241921"/>
  </sheetPr>
  <dimension ref="A1:L412"/>
  <sheetViews>
    <sheetView showGridLines="0" topLeftCell="A3" zoomScaleNormal="100" workbookViewId="0">
      <selection activeCell="J6" sqref="J6:L407"/>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10.59765625" style="2" customWidth="1"/>
    <col min="8" max="8" width="22.59765625" style="2" customWidth="1"/>
    <col min="9" max="9" width="5" style="2" customWidth="1"/>
    <col min="10" max="10" width="16.09765625" style="2" customWidth="1"/>
    <col min="11" max="16384" width="9" style="2"/>
  </cols>
  <sheetData>
    <row r="1" spans="1:12">
      <c r="A1" t="s">
        <v>2</v>
      </c>
    </row>
    <row r="3" spans="1:12" ht="14.4" thickBot="1">
      <c r="B3" s="5" t="s">
        <v>22</v>
      </c>
      <c r="C3" s="5" t="s">
        <v>23</v>
      </c>
      <c r="G3" s="5" t="s">
        <v>8</v>
      </c>
      <c r="J3" s="24" t="s">
        <v>14</v>
      </c>
      <c r="L3" s="3"/>
    </row>
    <row r="4" spans="1:12" ht="28.2" thickBot="1">
      <c r="B4" s="130" t="s">
        <v>24</v>
      </c>
      <c r="C4" s="127" t="s">
        <v>54</v>
      </c>
      <c r="D4" s="128"/>
      <c r="E4" s="129"/>
      <c r="G4" s="127" t="s">
        <v>140</v>
      </c>
      <c r="H4" s="129"/>
      <c r="I4" s="8"/>
      <c r="J4"/>
      <c r="K4" s="44" t="s">
        <v>37</v>
      </c>
      <c r="L4" s="44" t="s">
        <v>38</v>
      </c>
    </row>
    <row r="5" spans="1:12" ht="46.2">
      <c r="B5" s="130"/>
      <c r="G5" s="35"/>
      <c r="J5" s="40"/>
      <c r="K5" s="45" t="s">
        <v>113</v>
      </c>
      <c r="L5" s="45" t="s">
        <v>114</v>
      </c>
    </row>
    <row r="6" spans="1:12" ht="14.4" thickBot="1">
      <c r="C6" s="5" t="s">
        <v>3</v>
      </c>
      <c r="G6" s="5" t="s">
        <v>25</v>
      </c>
      <c r="J6" s="115">
        <v>44819</v>
      </c>
      <c r="K6" s="114">
        <v>0.28030103345767432</v>
      </c>
      <c r="L6" s="114">
        <v>0.1758714503800933</v>
      </c>
    </row>
    <row r="7" spans="1:12" ht="14.4" thickBot="1">
      <c r="C7" s="127"/>
      <c r="D7" s="128"/>
      <c r="E7" s="129"/>
      <c r="G7" s="127"/>
      <c r="H7" s="129"/>
      <c r="J7" s="115">
        <v>44818</v>
      </c>
      <c r="K7" s="114">
        <v>0.31976284682114114</v>
      </c>
      <c r="L7" s="114">
        <v>0.16321815107685575</v>
      </c>
    </row>
    <row r="8" spans="1:12">
      <c r="J8" s="115">
        <v>44817</v>
      </c>
      <c r="K8" s="114">
        <v>0.36372746716767512</v>
      </c>
      <c r="L8" s="114">
        <v>0.15162568349331518</v>
      </c>
    </row>
    <row r="9" spans="1:12" ht="14.4" thickBot="1">
      <c r="C9" s="5" t="s">
        <v>4</v>
      </c>
      <c r="G9" s="35"/>
      <c r="J9" s="115">
        <v>44816</v>
      </c>
      <c r="K9" s="114">
        <v>0.41912773649924578</v>
      </c>
      <c r="L9" s="114">
        <v>0.15668236188481843</v>
      </c>
    </row>
    <row r="10" spans="1:12" ht="14.4" thickBot="1">
      <c r="C10" s="127" t="s">
        <v>39</v>
      </c>
      <c r="D10" s="128"/>
      <c r="E10" s="129"/>
      <c r="J10" s="115">
        <v>44813</v>
      </c>
      <c r="K10" s="114">
        <v>0.4766854968568085</v>
      </c>
      <c r="L10" s="114">
        <v>0.16773953120189819</v>
      </c>
    </row>
    <row r="11" spans="1:12">
      <c r="J11" s="115">
        <v>44812</v>
      </c>
      <c r="K11" s="114">
        <v>0.51401094566872629</v>
      </c>
      <c r="L11" s="114">
        <v>0.1654521606213197</v>
      </c>
    </row>
    <row r="12" spans="1:12">
      <c r="C12" s="113" t="s">
        <v>137</v>
      </c>
      <c r="J12" s="115">
        <v>44811</v>
      </c>
      <c r="K12" s="114">
        <v>0.54158653542387614</v>
      </c>
      <c r="L12" s="114">
        <v>0.15180911104454892</v>
      </c>
    </row>
    <row r="13" spans="1:12">
      <c r="J13" s="115">
        <v>44810</v>
      </c>
      <c r="K13" s="114">
        <v>0.55511480666819069</v>
      </c>
      <c r="L13" s="114">
        <v>0.14683445316582283</v>
      </c>
    </row>
    <row r="14" spans="1:12">
      <c r="B14" s="7"/>
      <c r="C14" s="7"/>
      <c r="D14" s="7"/>
      <c r="E14" s="7"/>
      <c r="F14" s="7"/>
      <c r="G14" s="7"/>
      <c r="H14" s="7"/>
      <c r="J14" s="115">
        <v>44809</v>
      </c>
      <c r="K14" s="114">
        <v>0.56760899610970328</v>
      </c>
      <c r="L14" s="114">
        <v>0.1434747916007916</v>
      </c>
    </row>
    <row r="15" spans="1:12">
      <c r="B15" s="7"/>
      <c r="C15" s="7"/>
      <c r="D15" s="7"/>
      <c r="E15" s="7"/>
      <c r="F15" s="92"/>
      <c r="G15" s="92"/>
      <c r="H15" s="7"/>
      <c r="J15" s="115">
        <v>44806</v>
      </c>
      <c r="K15" s="114">
        <v>0.57918907339501424</v>
      </c>
      <c r="L15" s="114">
        <v>0.14052749235813766</v>
      </c>
    </row>
    <row r="16" spans="1:12">
      <c r="B16" s="7"/>
      <c r="C16" s="7"/>
      <c r="D16" s="7"/>
      <c r="E16" s="7"/>
      <c r="F16" s="92"/>
      <c r="G16" s="92"/>
      <c r="H16" s="7"/>
      <c r="J16" s="115">
        <v>44805</v>
      </c>
      <c r="K16" s="114">
        <v>0.59779509687303267</v>
      </c>
      <c r="L16" s="114">
        <v>0.14099464447685828</v>
      </c>
    </row>
    <row r="17" spans="2:12">
      <c r="B17" s="7"/>
      <c r="C17" s="7"/>
      <c r="D17" s="7"/>
      <c r="E17" s="7"/>
      <c r="F17" s="92"/>
      <c r="G17" s="92"/>
      <c r="H17" s="7"/>
      <c r="J17" s="115">
        <v>44804</v>
      </c>
      <c r="K17" s="114">
        <v>0.61579758174021193</v>
      </c>
      <c r="L17" s="114">
        <v>0.14042254999727316</v>
      </c>
    </row>
    <row r="18" spans="2:12">
      <c r="B18" s="7"/>
      <c r="C18" s="7"/>
      <c r="D18" s="7"/>
      <c r="E18" s="7"/>
      <c r="F18" s="92"/>
      <c r="G18" s="92"/>
      <c r="H18" s="7"/>
      <c r="J18" s="115">
        <v>44803</v>
      </c>
      <c r="K18" s="114">
        <v>0.62805668545673621</v>
      </c>
      <c r="L18" s="114">
        <v>0.13403100375622787</v>
      </c>
    </row>
    <row r="19" spans="2:12">
      <c r="B19" s="7"/>
      <c r="C19" s="7"/>
      <c r="D19" s="7"/>
      <c r="E19" s="7"/>
      <c r="F19" s="92"/>
      <c r="G19" s="92"/>
      <c r="H19" s="7"/>
      <c r="J19" s="115">
        <v>44802</v>
      </c>
      <c r="K19" s="114">
        <v>0.64054357895114555</v>
      </c>
      <c r="L19" s="114">
        <v>0.13430269262174363</v>
      </c>
    </row>
    <row r="20" spans="2:12">
      <c r="B20" s="7"/>
      <c r="C20" s="7"/>
      <c r="D20" s="7"/>
      <c r="E20" s="7"/>
      <c r="F20" s="131" t="s">
        <v>111</v>
      </c>
      <c r="G20" s="131"/>
      <c r="H20" s="7"/>
      <c r="J20" s="115">
        <v>44799</v>
      </c>
      <c r="K20" s="114">
        <v>0.64212125302565703</v>
      </c>
      <c r="L20" s="114">
        <v>0.13200280429146874</v>
      </c>
    </row>
    <row r="21" spans="2:12">
      <c r="B21" s="7"/>
      <c r="C21" s="7"/>
      <c r="D21" s="7"/>
      <c r="E21" s="7"/>
      <c r="F21" s="131"/>
      <c r="G21" s="131"/>
      <c r="H21" s="7"/>
      <c r="J21" s="115">
        <v>44798</v>
      </c>
      <c r="K21" s="114">
        <v>0.64043689285932848</v>
      </c>
      <c r="L21" s="114">
        <v>0.13065358040319563</v>
      </c>
    </row>
    <row r="22" spans="2:12">
      <c r="B22" s="7"/>
      <c r="C22" s="7"/>
      <c r="D22" s="7"/>
      <c r="E22" s="7"/>
      <c r="F22" s="131"/>
      <c r="G22" s="131"/>
      <c r="H22" s="7"/>
      <c r="J22" s="115">
        <v>44797</v>
      </c>
      <c r="K22" s="114">
        <v>0.63309323590625954</v>
      </c>
      <c r="L22" s="114">
        <v>0.12030428258916918</v>
      </c>
    </row>
    <row r="23" spans="2:12">
      <c r="B23" s="7"/>
      <c r="C23" s="7"/>
      <c r="D23" s="7"/>
      <c r="E23" s="7"/>
      <c r="F23" s="92"/>
      <c r="G23" s="92"/>
      <c r="H23" s="7"/>
      <c r="J23" s="115">
        <v>44796</v>
      </c>
      <c r="K23" s="114">
        <v>0.62441844700383375</v>
      </c>
      <c r="L23" s="114">
        <v>0.10929352840375232</v>
      </c>
    </row>
    <row r="24" spans="2:12">
      <c r="B24" s="7"/>
      <c r="C24" s="7"/>
      <c r="D24" s="7"/>
      <c r="E24" s="7"/>
      <c r="F24" s="92"/>
      <c r="G24" s="92"/>
      <c r="H24" s="7"/>
      <c r="J24" s="115">
        <v>44795</v>
      </c>
      <c r="K24" s="114">
        <v>0.6111188830940868</v>
      </c>
      <c r="L24" s="114">
        <v>9.5162356338702458E-2</v>
      </c>
    </row>
    <row r="25" spans="2:12">
      <c r="B25" s="7"/>
      <c r="C25" s="7"/>
      <c r="D25" s="7"/>
      <c r="E25" s="7"/>
      <c r="F25" s="92"/>
      <c r="G25" s="92"/>
      <c r="H25" s="7"/>
      <c r="J25" s="115">
        <v>44792</v>
      </c>
      <c r="K25" s="114">
        <v>0.59020071406524865</v>
      </c>
      <c r="L25" s="114">
        <v>6.1802798676336521E-2</v>
      </c>
    </row>
    <row r="26" spans="2:12">
      <c r="B26" s="7"/>
      <c r="C26" s="7"/>
      <c r="D26" s="7"/>
      <c r="E26" s="7"/>
      <c r="F26" s="92"/>
      <c r="G26" s="92"/>
      <c r="H26" s="7"/>
      <c r="J26" s="115">
        <v>44791</v>
      </c>
      <c r="K26" s="114">
        <v>0.57224425186000305</v>
      </c>
      <c r="L26" s="114">
        <v>3.9466544794737844E-2</v>
      </c>
    </row>
    <row r="27" spans="2:12">
      <c r="B27" s="7"/>
      <c r="C27" s="7"/>
      <c r="D27" s="7"/>
      <c r="E27" s="7"/>
      <c r="F27" s="92"/>
      <c r="G27" s="92"/>
      <c r="H27" s="7"/>
      <c r="J27" s="115">
        <v>44790</v>
      </c>
      <c r="K27" s="114">
        <v>0.5608319899244455</v>
      </c>
      <c r="L27" s="114">
        <v>2.1826855079501339E-2</v>
      </c>
    </row>
    <row r="28" spans="2:12">
      <c r="B28" s="7"/>
      <c r="C28" s="7"/>
      <c r="D28" s="7"/>
      <c r="E28" s="7"/>
      <c r="F28" s="7"/>
      <c r="G28" s="7"/>
      <c r="H28" s="7"/>
      <c r="J28" s="115">
        <v>44789</v>
      </c>
      <c r="K28" s="114">
        <v>0.54502542710688895</v>
      </c>
      <c r="L28" s="114">
        <v>6.0706027038356257E-3</v>
      </c>
    </row>
    <row r="29" spans="2:12">
      <c r="B29" s="7"/>
      <c r="C29" s="7"/>
      <c r="D29" s="7"/>
      <c r="E29" s="7"/>
      <c r="F29" s="7"/>
      <c r="G29" s="7"/>
      <c r="H29" s="7"/>
      <c r="J29" s="115">
        <v>44788</v>
      </c>
      <c r="K29" s="114">
        <v>0.53125822185640259</v>
      </c>
      <c r="L29" s="114">
        <v>-8.5216282298587551E-3</v>
      </c>
    </row>
    <row r="30" spans="2:12">
      <c r="B30" s="7"/>
      <c r="C30" s="7"/>
      <c r="D30" s="7"/>
      <c r="E30" s="7"/>
      <c r="F30" s="7"/>
      <c r="G30" s="7"/>
      <c r="H30" s="7"/>
      <c r="J30" s="115">
        <v>44785</v>
      </c>
      <c r="K30" s="114">
        <v>0.53896587297233656</v>
      </c>
      <c r="L30" s="114">
        <v>-1.4083423189511984E-2</v>
      </c>
    </row>
    <row r="31" spans="2:12">
      <c r="B31" s="7"/>
      <c r="C31" s="7"/>
      <c r="D31" s="7"/>
      <c r="E31" s="7"/>
      <c r="F31" s="7"/>
      <c r="G31" s="7"/>
      <c r="H31" s="7"/>
      <c r="J31" s="115">
        <v>44784</v>
      </c>
      <c r="K31" s="114">
        <v>0.55560088563527499</v>
      </c>
      <c r="L31" s="114">
        <v>-9.162811643621217E-3</v>
      </c>
    </row>
    <row r="32" spans="2:12">
      <c r="B32" s="7"/>
      <c r="C32" s="7"/>
      <c r="D32" s="7"/>
      <c r="E32" s="7"/>
      <c r="F32" s="7"/>
      <c r="G32" s="7"/>
      <c r="H32" s="7"/>
      <c r="J32" s="115">
        <v>44783</v>
      </c>
      <c r="K32" s="114">
        <v>0.57283973699253354</v>
      </c>
      <c r="L32" s="114">
        <v>-9.7913880965903467E-3</v>
      </c>
    </row>
    <row r="33" spans="2:12">
      <c r="B33" s="7"/>
      <c r="C33" s="7"/>
      <c r="D33" s="7"/>
      <c r="E33" s="7"/>
      <c r="F33" s="7"/>
      <c r="G33" s="7"/>
      <c r="H33" s="7"/>
      <c r="J33" s="115">
        <v>44782</v>
      </c>
      <c r="K33" s="114">
        <v>0.59116631619555371</v>
      </c>
      <c r="L33" s="114">
        <v>6.2381570534224438E-3</v>
      </c>
    </row>
    <row r="34" spans="2:12">
      <c r="B34" s="7"/>
      <c r="C34" s="7"/>
      <c r="D34" s="7"/>
      <c r="E34" s="7"/>
      <c r="F34" s="7"/>
      <c r="G34" s="7"/>
      <c r="H34" s="7"/>
      <c r="J34" s="115">
        <v>44781</v>
      </c>
      <c r="K34" s="114">
        <v>0.63223190564632537</v>
      </c>
      <c r="L34" s="114">
        <v>2.7065156140791233E-2</v>
      </c>
    </row>
    <row r="35" spans="2:12">
      <c r="B35" s="7"/>
      <c r="C35" s="7"/>
      <c r="D35" s="7"/>
      <c r="E35" s="7"/>
      <c r="F35" s="7"/>
      <c r="G35" s="7"/>
      <c r="H35" s="7"/>
      <c r="J35" s="115">
        <v>44778</v>
      </c>
      <c r="K35" s="114">
        <v>0.68404924896677444</v>
      </c>
      <c r="L35" s="114">
        <v>5.5888978430309363E-2</v>
      </c>
    </row>
    <row r="36" spans="2:12">
      <c r="B36" s="7"/>
      <c r="C36" s="22"/>
      <c r="D36" s="1"/>
      <c r="E36" s="1"/>
      <c r="F36" s="1"/>
      <c r="G36" s="1"/>
      <c r="H36" s="1"/>
      <c r="J36" s="115">
        <v>44777</v>
      </c>
      <c r="K36" s="114">
        <v>0.73298830961855499</v>
      </c>
      <c r="L36" s="114">
        <v>7.3559958029538824E-2</v>
      </c>
    </row>
    <row r="37" spans="2:12">
      <c r="B37" s="7"/>
      <c r="C37" s="1"/>
      <c r="D37" s="1"/>
      <c r="E37" s="1"/>
      <c r="F37" s="25"/>
      <c r="G37" s="1"/>
      <c r="H37" s="22"/>
      <c r="J37" s="115">
        <v>44776</v>
      </c>
      <c r="K37" s="114">
        <v>0.76208969071134736</v>
      </c>
      <c r="L37" s="114">
        <v>8.3203644912170666E-2</v>
      </c>
    </row>
    <row r="38" spans="2:12">
      <c r="B38" s="7"/>
      <c r="C38" s="1"/>
      <c r="D38" s="26"/>
      <c r="E38" s="1"/>
      <c r="F38" s="1"/>
      <c r="G38" s="1"/>
      <c r="H38" s="27"/>
      <c r="J38" s="115">
        <v>44775</v>
      </c>
      <c r="K38" s="114">
        <v>0.77562158267312276</v>
      </c>
      <c r="L38" s="114">
        <v>8.8701945931107376E-2</v>
      </c>
    </row>
    <row r="39" spans="2:12">
      <c r="B39" s="7"/>
      <c r="C39" s="1"/>
      <c r="D39" s="26"/>
      <c r="E39" s="1"/>
      <c r="F39" s="1"/>
      <c r="G39" s="1"/>
      <c r="H39" s="27"/>
      <c r="J39" s="115">
        <v>44774</v>
      </c>
      <c r="K39" s="114">
        <v>0.78406968842023506</v>
      </c>
      <c r="L39" s="114">
        <v>0.11286907107973501</v>
      </c>
    </row>
    <row r="40" spans="2:12">
      <c r="B40" s="7"/>
      <c r="C40" s="1"/>
      <c r="D40" s="26"/>
      <c r="E40" s="1"/>
      <c r="F40" s="1"/>
      <c r="G40" s="1"/>
      <c r="H40" s="27"/>
      <c r="J40" s="115">
        <v>44771</v>
      </c>
      <c r="K40" s="114">
        <v>0.78522478388314643</v>
      </c>
      <c r="L40" s="114">
        <v>0.12373455525076359</v>
      </c>
    </row>
    <row r="41" spans="2:12">
      <c r="B41" s="7"/>
      <c r="C41" s="1"/>
      <c r="D41" s="1"/>
      <c r="E41" s="1"/>
      <c r="F41" s="1"/>
      <c r="G41" s="1"/>
      <c r="H41" s="27"/>
      <c r="J41" s="115">
        <v>44770</v>
      </c>
      <c r="K41" s="114">
        <v>0.78366969835922839</v>
      </c>
      <c r="L41" s="114">
        <v>0.13282137175076128</v>
      </c>
    </row>
    <row r="42" spans="2:12">
      <c r="B42" s="7"/>
      <c r="C42" s="1"/>
      <c r="D42" s="1"/>
      <c r="E42" s="1"/>
      <c r="F42" s="1"/>
      <c r="G42" s="1"/>
      <c r="H42" s="1"/>
      <c r="J42" s="115">
        <v>44769</v>
      </c>
      <c r="K42" s="114">
        <v>0.78046636732490016</v>
      </c>
      <c r="L42" s="114">
        <v>0.14390464219069671</v>
      </c>
    </row>
    <row r="43" spans="2:12" ht="14.25" customHeight="1">
      <c r="B43" s="7"/>
      <c r="C43" s="1"/>
      <c r="D43" s="1"/>
      <c r="E43" s="1"/>
      <c r="F43" s="1"/>
      <c r="G43" s="1"/>
      <c r="H43" s="29"/>
      <c r="J43" s="115">
        <v>44768</v>
      </c>
      <c r="K43" s="114">
        <v>0.77262169142359083</v>
      </c>
      <c r="L43" s="114">
        <v>0.14590551852380637</v>
      </c>
    </row>
    <row r="44" spans="2:12" ht="14.25" customHeight="1">
      <c r="B44" s="7"/>
      <c r="C44" s="1"/>
      <c r="D44" s="1"/>
      <c r="E44" s="1"/>
      <c r="F44" s="1"/>
      <c r="G44" s="1"/>
      <c r="H44" s="29"/>
      <c r="J44" s="115">
        <v>44767</v>
      </c>
      <c r="K44" s="114">
        <v>0.76966096403092965</v>
      </c>
      <c r="L44" s="114">
        <v>0.14134849722671142</v>
      </c>
    </row>
    <row r="45" spans="2:12">
      <c r="B45" s="7"/>
      <c r="C45" s="1"/>
      <c r="D45" s="1"/>
      <c r="E45" s="1"/>
      <c r="F45" s="1"/>
      <c r="G45" s="1"/>
      <c r="H45" s="27"/>
      <c r="J45" s="115">
        <v>44764</v>
      </c>
      <c r="K45" s="114">
        <v>0.76219738833818174</v>
      </c>
      <c r="L45" s="114">
        <v>0.13430121532284547</v>
      </c>
    </row>
    <row r="46" spans="2:12">
      <c r="C46" s="8"/>
      <c r="D46" s="8"/>
      <c r="E46" s="8"/>
      <c r="F46" s="8"/>
      <c r="G46" s="8"/>
      <c r="H46" s="23"/>
      <c r="J46" s="115">
        <v>44763</v>
      </c>
      <c r="K46" s="114">
        <v>0.76163555621798684</v>
      </c>
      <c r="L46" s="114">
        <v>0.13216609672352159</v>
      </c>
    </row>
    <row r="47" spans="2:12">
      <c r="B47" s="19" t="s">
        <v>7</v>
      </c>
      <c r="C47" s="10"/>
      <c r="D47" s="10"/>
      <c r="E47" s="10"/>
      <c r="F47" s="10"/>
      <c r="G47" s="10"/>
      <c r="H47" s="28"/>
      <c r="J47" s="115">
        <v>44762</v>
      </c>
      <c r="K47" s="114">
        <v>0.76357314659165121</v>
      </c>
      <c r="L47" s="114">
        <v>0.13365081330422932</v>
      </c>
    </row>
    <row r="48" spans="2:12">
      <c r="B48" s="5" t="s">
        <v>15</v>
      </c>
      <c r="G48" s="8"/>
      <c r="H48" s="8"/>
      <c r="J48" s="115">
        <v>44761</v>
      </c>
      <c r="K48" s="114">
        <v>0.77028379767950972</v>
      </c>
      <c r="L48" s="114">
        <v>0.14847517908108346</v>
      </c>
    </row>
    <row r="49" spans="2:12">
      <c r="B49" s="2" t="s">
        <v>5</v>
      </c>
      <c r="C49" s="8"/>
      <c r="D49" s="6" t="s">
        <v>9</v>
      </c>
      <c r="H49" s="8"/>
      <c r="J49" s="115">
        <v>44760</v>
      </c>
      <c r="K49" s="114">
        <v>0.77243046483521183</v>
      </c>
      <c r="L49" s="114">
        <v>0.17510962290856874</v>
      </c>
    </row>
    <row r="50" spans="2:12">
      <c r="B50" s="2" t="s">
        <v>6</v>
      </c>
      <c r="C50" s="9"/>
      <c r="D50" s="2" t="s">
        <v>10</v>
      </c>
      <c r="H50" s="8"/>
      <c r="J50" s="115">
        <v>44757</v>
      </c>
      <c r="K50" s="114">
        <v>0.76480863638728891</v>
      </c>
      <c r="L50" s="114">
        <v>0.19523447692094614</v>
      </c>
    </row>
    <row r="51" spans="2:12">
      <c r="C51" s="9"/>
      <c r="D51" s="2" t="s">
        <v>11</v>
      </c>
      <c r="J51" s="115">
        <v>44756</v>
      </c>
      <c r="K51" s="114">
        <v>0.73869750767944031</v>
      </c>
      <c r="L51" s="114">
        <v>0.22070969012317754</v>
      </c>
    </row>
    <row r="52" spans="2:12">
      <c r="C52" s="9"/>
      <c r="D52" s="8"/>
      <c r="G52" s="21" t="s">
        <v>12</v>
      </c>
      <c r="J52" s="115">
        <v>44755</v>
      </c>
      <c r="K52" s="114">
        <v>0.71027999517015905</v>
      </c>
      <c r="L52" s="114">
        <v>0.25311023166071994</v>
      </c>
    </row>
    <row r="53" spans="2:12">
      <c r="B53" s="8"/>
      <c r="C53" s="8"/>
      <c r="D53" s="8"/>
      <c r="E53" s="8"/>
      <c r="F53" s="8"/>
      <c r="G53" s="20" t="s">
        <v>17</v>
      </c>
      <c r="H53" s="8"/>
      <c r="J53" s="115">
        <v>44754</v>
      </c>
      <c r="K53" s="114">
        <v>0.64195125611845716</v>
      </c>
      <c r="L53" s="114">
        <v>0.28364799497327081</v>
      </c>
    </row>
    <row r="54" spans="2:12">
      <c r="B54" s="10"/>
      <c r="C54" s="10"/>
      <c r="D54" s="10"/>
      <c r="E54" s="10"/>
      <c r="F54" s="8"/>
      <c r="G54" s="20" t="s">
        <v>1</v>
      </c>
      <c r="H54" s="8"/>
      <c r="J54" s="115">
        <v>44753</v>
      </c>
      <c r="K54" s="114">
        <v>0.57744087676939226</v>
      </c>
      <c r="L54" s="114">
        <v>0.32328108742716949</v>
      </c>
    </row>
    <row r="55" spans="2:12">
      <c r="B55" s="5" t="s">
        <v>16</v>
      </c>
      <c r="G55" s="20" t="s">
        <v>18</v>
      </c>
      <c r="J55" s="115">
        <v>44750</v>
      </c>
      <c r="K55" s="114">
        <v>0.515697139218522</v>
      </c>
      <c r="L55" s="114">
        <v>0.35364754437446538</v>
      </c>
    </row>
    <row r="56" spans="2:12">
      <c r="G56" s="23" t="s">
        <v>19</v>
      </c>
      <c r="J56" s="115">
        <v>44749</v>
      </c>
      <c r="K56" s="114">
        <v>0.46146240429890945</v>
      </c>
      <c r="L56" s="114">
        <v>0.38583675521270927</v>
      </c>
    </row>
    <row r="57" spans="2:12">
      <c r="J57" s="115">
        <v>44748</v>
      </c>
      <c r="K57" s="114">
        <v>0.43274917497598142</v>
      </c>
      <c r="L57" s="114">
        <v>0.41834947477641127</v>
      </c>
    </row>
    <row r="58" spans="2:12">
      <c r="J58" s="115">
        <v>44747</v>
      </c>
      <c r="K58" s="114">
        <v>0.37668741562069474</v>
      </c>
      <c r="L58" s="114">
        <v>0.45826777669379476</v>
      </c>
    </row>
    <row r="59" spans="2:12">
      <c r="B59" s="8"/>
      <c r="C59" s="8"/>
      <c r="D59" s="8"/>
      <c r="E59" s="8"/>
      <c r="F59" s="8"/>
      <c r="G59" s="8"/>
      <c r="H59" s="8"/>
      <c r="J59" s="115">
        <v>44746</v>
      </c>
      <c r="K59" s="114">
        <v>0.38443315093434272</v>
      </c>
      <c r="L59" s="114">
        <v>0.49846172795157506</v>
      </c>
    </row>
    <row r="60" spans="2:12">
      <c r="B60" s="10"/>
      <c r="C60" s="10"/>
      <c r="D60" s="10"/>
      <c r="E60" s="10"/>
      <c r="F60" s="10"/>
      <c r="G60" s="10"/>
      <c r="H60" s="10"/>
      <c r="J60" s="115">
        <v>44743</v>
      </c>
      <c r="K60" s="114">
        <v>0.40727456411618762</v>
      </c>
      <c r="L60" s="114">
        <v>0.53620098146746575</v>
      </c>
    </row>
    <row r="61" spans="2:12">
      <c r="J61" s="115">
        <v>44742</v>
      </c>
      <c r="K61" s="114">
        <v>0.42525030892149063</v>
      </c>
      <c r="L61" s="114">
        <v>0.57128062884045938</v>
      </c>
    </row>
    <row r="62" spans="2:12">
      <c r="J62" s="115">
        <v>44741</v>
      </c>
      <c r="K62" s="114">
        <v>0.44102191237282751</v>
      </c>
      <c r="L62" s="114">
        <v>0.62700925855965783</v>
      </c>
    </row>
    <row r="63" spans="2:12">
      <c r="J63" s="115">
        <v>44740</v>
      </c>
      <c r="K63" s="114">
        <v>0.47070302600204245</v>
      </c>
      <c r="L63" s="114">
        <v>0.660782622697489</v>
      </c>
    </row>
    <row r="64" spans="2:12">
      <c r="C64" s="11" t="s">
        <v>13</v>
      </c>
      <c r="D64" s="12"/>
      <c r="E64" s="13"/>
      <c r="J64" s="115">
        <v>44739</v>
      </c>
      <c r="K64" s="114">
        <v>0.49722246819970178</v>
      </c>
      <c r="L64" s="114">
        <v>0.69387762106437101</v>
      </c>
    </row>
    <row r="65" spans="3:12">
      <c r="C65" s="14" t="str">
        <f>"Source: "&amp;G4</f>
        <v>Source: McCloskey by OPIS</v>
      </c>
      <c r="D65" s="8"/>
      <c r="E65" s="15"/>
      <c r="J65" s="115">
        <v>44736</v>
      </c>
      <c r="K65" s="114">
        <v>0.50910985882297388</v>
      </c>
      <c r="L65" s="114">
        <v>0.72866990176528257</v>
      </c>
    </row>
    <row r="66" spans="3:12">
      <c r="C66" s="112" t="str">
        <f>CHAR(169) &amp; " 2022 IHS Markit   "&amp;G7</f>
        <v xml:space="preserve">© 2022 IHS Markit   </v>
      </c>
      <c r="D66" s="17"/>
      <c r="E66" s="18"/>
      <c r="J66" s="115">
        <v>44735</v>
      </c>
      <c r="K66" s="114">
        <v>0.51815321067689402</v>
      </c>
      <c r="L66" s="114">
        <v>0.76281883730086686</v>
      </c>
    </row>
    <row r="67" spans="3:12">
      <c r="J67" s="115">
        <v>44734</v>
      </c>
      <c r="K67" s="114">
        <v>0.52419964600481572</v>
      </c>
      <c r="L67" s="114">
        <v>0.79620635969620224</v>
      </c>
    </row>
    <row r="68" spans="3:12">
      <c r="J68" s="115">
        <v>44733</v>
      </c>
      <c r="K68" s="114">
        <v>0.53037036427165862</v>
      </c>
      <c r="L68" s="114">
        <v>0.81817637111127195</v>
      </c>
    </row>
    <row r="69" spans="3:12">
      <c r="J69" s="115">
        <v>44732</v>
      </c>
      <c r="K69" s="114">
        <v>0.5389157692126022</v>
      </c>
      <c r="L69" s="114">
        <v>0.83737567921284306</v>
      </c>
    </row>
    <row r="70" spans="3:12">
      <c r="J70" s="115">
        <v>44729</v>
      </c>
      <c r="K70" s="114">
        <v>0.55066249421651237</v>
      </c>
      <c r="L70" s="114">
        <v>0.85536187208990366</v>
      </c>
    </row>
    <row r="71" spans="3:12">
      <c r="J71" s="115">
        <v>44728</v>
      </c>
      <c r="K71" s="114">
        <v>0.56753877682564524</v>
      </c>
      <c r="L71" s="114">
        <v>0.87435577579630974</v>
      </c>
    </row>
    <row r="72" spans="3:12">
      <c r="J72" s="115">
        <v>44727</v>
      </c>
      <c r="K72" s="114">
        <v>0.57882425878046118</v>
      </c>
      <c r="L72" s="114">
        <v>0.88121021991608439</v>
      </c>
    </row>
    <row r="73" spans="3:12">
      <c r="J73" s="115">
        <v>44726</v>
      </c>
      <c r="K73" s="114">
        <v>0.59410473319865265</v>
      </c>
      <c r="L73" s="114">
        <v>0.88793133932695201</v>
      </c>
    </row>
    <row r="74" spans="3:12">
      <c r="J74" s="115">
        <v>44725</v>
      </c>
      <c r="K74" s="114">
        <v>0.60917908686414912</v>
      </c>
      <c r="L74" s="114">
        <v>0.89536977758185021</v>
      </c>
    </row>
    <row r="75" spans="3:12">
      <c r="J75" s="115">
        <v>44722</v>
      </c>
      <c r="K75" s="114">
        <v>0.63101044851043209</v>
      </c>
      <c r="L75" s="114">
        <v>0.89514795892119947</v>
      </c>
    </row>
    <row r="76" spans="3:12">
      <c r="J76" s="115">
        <v>44721</v>
      </c>
      <c r="K76" s="114">
        <v>0.65134058295921915</v>
      </c>
      <c r="L76" s="114">
        <v>0.89272734818126398</v>
      </c>
    </row>
    <row r="77" spans="3:12">
      <c r="J77" s="115">
        <v>44720</v>
      </c>
      <c r="K77" s="114">
        <v>0.66895144436954312</v>
      </c>
      <c r="L77" s="114">
        <v>0.88823604530453282</v>
      </c>
    </row>
    <row r="78" spans="3:12">
      <c r="J78" s="115">
        <v>44719</v>
      </c>
      <c r="K78" s="114">
        <v>0.68531930097795635</v>
      </c>
      <c r="L78" s="114">
        <v>0.87992615684592401</v>
      </c>
    </row>
    <row r="79" spans="3:12">
      <c r="J79" s="115">
        <v>44718</v>
      </c>
      <c r="K79" s="114">
        <v>0.69666153764542671</v>
      </c>
      <c r="L79" s="114">
        <v>0.87625403160568804</v>
      </c>
    </row>
    <row r="80" spans="3:12">
      <c r="J80" s="115">
        <v>44715</v>
      </c>
      <c r="K80" s="114">
        <v>0.70600272878220283</v>
      </c>
      <c r="L80" s="114">
        <v>0.87176595312698413</v>
      </c>
    </row>
    <row r="81" spans="10:12">
      <c r="J81" s="115">
        <v>44714</v>
      </c>
      <c r="K81" s="114">
        <v>0.71333253384488771</v>
      </c>
      <c r="L81" s="114">
        <v>0.8689057247420654</v>
      </c>
    </row>
    <row r="82" spans="10:12">
      <c r="J82" s="115">
        <v>44713</v>
      </c>
      <c r="K82" s="114">
        <v>0.71865555710788365</v>
      </c>
      <c r="L82" s="114">
        <v>0.85341406618922167</v>
      </c>
    </row>
    <row r="83" spans="10:12">
      <c r="J83" s="115">
        <v>44712</v>
      </c>
      <c r="K83" s="114">
        <v>0.72364606804933251</v>
      </c>
      <c r="L83" s="114">
        <v>0.85175028328294822</v>
      </c>
    </row>
    <row r="84" spans="10:12">
      <c r="J84" s="115">
        <v>44711</v>
      </c>
      <c r="K84" s="114">
        <v>0.72690552940895736</v>
      </c>
      <c r="L84" s="114">
        <v>0.85141983298464718</v>
      </c>
    </row>
    <row r="85" spans="10:12">
      <c r="J85" s="115">
        <v>44708</v>
      </c>
      <c r="K85" s="114">
        <v>0.73624896574464915</v>
      </c>
      <c r="L85" s="114">
        <v>0.850281471658067</v>
      </c>
    </row>
    <row r="86" spans="10:12">
      <c r="J86" s="115">
        <v>44707</v>
      </c>
      <c r="K86" s="114">
        <v>0.74948091372531378</v>
      </c>
      <c r="L86" s="114">
        <v>0.84895907660935543</v>
      </c>
    </row>
    <row r="87" spans="10:12">
      <c r="J87" s="115">
        <v>44706</v>
      </c>
      <c r="K87" s="114">
        <v>0.75929973239477089</v>
      </c>
      <c r="L87" s="114">
        <v>0.84803893656877494</v>
      </c>
    </row>
    <row r="88" spans="10:12">
      <c r="J88" s="115">
        <v>44705</v>
      </c>
      <c r="K88" s="114">
        <v>0.7712271978794879</v>
      </c>
      <c r="L88" s="114">
        <v>0.84623303365756297</v>
      </c>
    </row>
    <row r="89" spans="10:12">
      <c r="J89" s="115">
        <v>44704</v>
      </c>
      <c r="K89" s="114">
        <v>0.77867879076116298</v>
      </c>
      <c r="L89" s="114">
        <v>0.84250145034937918</v>
      </c>
    </row>
    <row r="90" spans="10:12">
      <c r="J90" s="115">
        <v>44701</v>
      </c>
      <c r="K90" s="114">
        <v>0.78238400318471624</v>
      </c>
      <c r="L90" s="114">
        <v>0.84099705842796313</v>
      </c>
    </row>
    <row r="91" spans="10:12">
      <c r="J91" s="115">
        <v>44700</v>
      </c>
      <c r="K91" s="114">
        <v>0.78458646098267926</v>
      </c>
      <c r="L91" s="114">
        <v>0.83839087393946099</v>
      </c>
    </row>
    <row r="92" spans="10:12">
      <c r="J92" s="115">
        <v>44699</v>
      </c>
      <c r="K92" s="114">
        <v>0.78749891640231362</v>
      </c>
      <c r="L92" s="114">
        <v>0.83561545594148634</v>
      </c>
    </row>
    <row r="93" spans="10:12">
      <c r="J93" s="115">
        <v>44698</v>
      </c>
      <c r="K93" s="114">
        <v>0.79007481875697627</v>
      </c>
      <c r="L93" s="114">
        <v>0.82863334550891987</v>
      </c>
    </row>
    <row r="94" spans="10:12">
      <c r="J94" s="115">
        <v>44697</v>
      </c>
      <c r="K94" s="114">
        <v>0.79225833869934881</v>
      </c>
      <c r="L94" s="114">
        <v>0.82837172895723443</v>
      </c>
    </row>
    <row r="95" spans="10:12">
      <c r="J95" s="115">
        <v>44694</v>
      </c>
      <c r="K95" s="114">
        <v>0.79538730566363647</v>
      </c>
      <c r="L95" s="114">
        <v>0.82760758252776445</v>
      </c>
    </row>
    <row r="96" spans="10:12">
      <c r="J96" s="115">
        <v>44693</v>
      </c>
      <c r="K96" s="114">
        <v>0.79900666257274777</v>
      </c>
      <c r="L96" s="114">
        <v>0.82660616455230285</v>
      </c>
    </row>
    <row r="97" spans="10:12">
      <c r="J97" s="115">
        <v>44692</v>
      </c>
      <c r="K97" s="114">
        <v>0.80091000728565598</v>
      </c>
      <c r="L97" s="114">
        <v>0.82556173381319631</v>
      </c>
    </row>
    <row r="98" spans="10:12">
      <c r="J98" s="115">
        <v>44691</v>
      </c>
      <c r="K98" s="114">
        <v>0.80297709818899476</v>
      </c>
      <c r="L98" s="114">
        <v>0.82388161436415863</v>
      </c>
    </row>
    <row r="99" spans="10:12">
      <c r="J99" s="115">
        <v>44690</v>
      </c>
      <c r="K99" s="114">
        <v>0.80611607733232882</v>
      </c>
      <c r="L99" s="114">
        <v>0.82204408398649853</v>
      </c>
    </row>
    <row r="100" spans="10:12">
      <c r="J100" s="115">
        <v>44687</v>
      </c>
      <c r="K100" s="114">
        <v>0.80843587190310839</v>
      </c>
      <c r="L100" s="114">
        <v>0.82051481370793522</v>
      </c>
    </row>
    <row r="101" spans="10:12">
      <c r="J101" s="115">
        <v>44686</v>
      </c>
      <c r="K101" s="114">
        <v>0.80543721560957882</v>
      </c>
      <c r="L101" s="114">
        <v>0.81714454609881682</v>
      </c>
    </row>
    <row r="102" spans="10:12">
      <c r="J102" s="115">
        <v>44685</v>
      </c>
      <c r="K102" s="114">
        <v>0.80181786091245055</v>
      </c>
      <c r="L102" s="114">
        <v>0.81685485145486803</v>
      </c>
    </row>
    <row r="103" spans="10:12">
      <c r="J103" s="115">
        <v>44684</v>
      </c>
      <c r="K103" s="114">
        <v>0.79947049815142079</v>
      </c>
      <c r="L103" s="114">
        <v>0.81515538112571517</v>
      </c>
    </row>
    <row r="104" spans="10:12">
      <c r="J104" s="115">
        <v>44683</v>
      </c>
      <c r="K104" s="114">
        <v>0.80006896679190798</v>
      </c>
      <c r="L104" s="114">
        <v>0.81532052928077903</v>
      </c>
    </row>
    <row r="105" spans="10:12">
      <c r="J105" s="115">
        <v>44680</v>
      </c>
      <c r="K105" s="114">
        <v>0.80304205572170295</v>
      </c>
      <c r="L105" s="114">
        <v>0.81292027568195746</v>
      </c>
    </row>
    <row r="106" spans="10:12">
      <c r="J106" s="115">
        <v>44679</v>
      </c>
      <c r="K106" s="114">
        <v>0.80607326501250787</v>
      </c>
      <c r="L106" s="114">
        <v>0.80875896141013925</v>
      </c>
    </row>
    <row r="107" spans="10:12">
      <c r="J107" s="115">
        <v>44678</v>
      </c>
      <c r="K107" s="114">
        <v>0.80895582894045903</v>
      </c>
      <c r="L107" s="114">
        <v>0.80379107637969083</v>
      </c>
    </row>
    <row r="108" spans="10:12">
      <c r="J108" s="115">
        <v>44677</v>
      </c>
      <c r="K108" s="114">
        <v>0.80906185992799173</v>
      </c>
      <c r="L108" s="114">
        <v>0.79950874510308823</v>
      </c>
    </row>
    <row r="109" spans="10:12">
      <c r="J109" s="115">
        <v>44676</v>
      </c>
      <c r="K109" s="114">
        <v>0.80919488178434407</v>
      </c>
      <c r="L109" s="114">
        <v>0.79399661809434896</v>
      </c>
    </row>
    <row r="110" spans="10:12">
      <c r="J110" s="115">
        <v>44673</v>
      </c>
      <c r="K110" s="114">
        <v>0.80702570280970576</v>
      </c>
      <c r="L110" s="114">
        <v>0.78806534942167206</v>
      </c>
    </row>
    <row r="111" spans="10:12">
      <c r="J111" s="115">
        <v>44672</v>
      </c>
      <c r="K111" s="114">
        <v>0.80382589285434358</v>
      </c>
      <c r="L111" s="114">
        <v>0.78151147473660809</v>
      </c>
    </row>
    <row r="112" spans="10:12">
      <c r="J112" s="115">
        <v>44671</v>
      </c>
      <c r="K112" s="114">
        <v>0.79948940894044085</v>
      </c>
      <c r="L112" s="114">
        <v>0.77380052703717939</v>
      </c>
    </row>
    <row r="113" spans="10:12">
      <c r="J113" s="115">
        <v>44670</v>
      </c>
      <c r="K113" s="114">
        <v>0.79454264399235497</v>
      </c>
      <c r="L113" s="114">
        <v>0.76532636143495192</v>
      </c>
    </row>
    <row r="114" spans="10:12">
      <c r="J114" s="115">
        <v>44669</v>
      </c>
      <c r="K114" s="114">
        <v>0.7888244260136934</v>
      </c>
      <c r="L114" s="114">
        <v>0.7559400959861865</v>
      </c>
    </row>
    <row r="115" spans="10:12">
      <c r="J115" s="115">
        <v>44666</v>
      </c>
      <c r="K115" s="114">
        <v>0.78214668752362027</v>
      </c>
      <c r="L115" s="114">
        <v>0.74970301906988324</v>
      </c>
    </row>
    <row r="116" spans="10:12">
      <c r="J116" s="115">
        <v>44665</v>
      </c>
      <c r="K116" s="114">
        <v>0.77450626350980045</v>
      </c>
      <c r="L116" s="114">
        <v>0.73947893600169667</v>
      </c>
    </row>
    <row r="117" spans="10:12">
      <c r="J117" s="115">
        <v>44664</v>
      </c>
      <c r="K117" s="114">
        <v>0.76596287867273871</v>
      </c>
      <c r="L117" s="114">
        <v>0.72774712576546752</v>
      </c>
    </row>
    <row r="118" spans="10:12">
      <c r="J118" s="115">
        <v>44663</v>
      </c>
      <c r="K118" s="114">
        <v>0.7562097216643997</v>
      </c>
      <c r="L118" s="114">
        <v>0.71291426746721254</v>
      </c>
    </row>
    <row r="119" spans="10:12">
      <c r="J119" s="115">
        <v>44662</v>
      </c>
      <c r="K119" s="114">
        <v>0.74526965637021914</v>
      </c>
      <c r="L119" s="114">
        <v>0.6947374943639465</v>
      </c>
    </row>
    <row r="120" spans="10:12">
      <c r="J120" s="115">
        <v>44659</v>
      </c>
      <c r="K120" s="114">
        <v>0.73593043456209417</v>
      </c>
      <c r="L120" s="114">
        <v>0.6732983255647913</v>
      </c>
    </row>
    <row r="121" spans="10:12">
      <c r="J121" s="115">
        <v>44658</v>
      </c>
      <c r="K121" s="114">
        <v>0.72863115843801496</v>
      </c>
      <c r="L121" s="114">
        <v>0.66343221902669514</v>
      </c>
    </row>
    <row r="122" spans="10:12">
      <c r="J122" s="115">
        <v>44657</v>
      </c>
      <c r="K122" s="114">
        <v>0.72215271437429485</v>
      </c>
      <c r="L122" s="114">
        <v>0.65299118408099799</v>
      </c>
    </row>
    <row r="123" spans="10:12">
      <c r="J123" s="115">
        <v>44656</v>
      </c>
      <c r="K123" s="114">
        <v>0.71422764267971639</v>
      </c>
      <c r="L123" s="114">
        <v>0.64011202150938629</v>
      </c>
    </row>
    <row r="124" spans="10:12">
      <c r="J124" s="115">
        <v>44655</v>
      </c>
      <c r="K124" s="114">
        <v>0.70698628138824526</v>
      </c>
      <c r="L124" s="114">
        <v>0.62379250914721696</v>
      </c>
    </row>
    <row r="125" spans="10:12">
      <c r="J125" s="115">
        <v>44652</v>
      </c>
      <c r="K125" s="114">
        <v>0.70407396557193491</v>
      </c>
      <c r="L125" s="114">
        <v>0.6032112149001172</v>
      </c>
    </row>
    <row r="126" spans="10:12">
      <c r="J126" s="115">
        <v>44651</v>
      </c>
      <c r="K126" s="114">
        <v>0.7017447386608392</v>
      </c>
      <c r="L126" s="114">
        <v>0.56722462814735841</v>
      </c>
    </row>
    <row r="127" spans="10:12">
      <c r="J127" s="115">
        <v>44650</v>
      </c>
      <c r="K127" s="114">
        <v>0.70368410688908212</v>
      </c>
      <c r="L127" s="114">
        <v>0.53302767161398734</v>
      </c>
    </row>
    <row r="128" spans="10:12">
      <c r="J128" s="115">
        <v>44649</v>
      </c>
      <c r="K128" s="114">
        <v>0.703063592333103</v>
      </c>
      <c r="L128" s="114">
        <v>0.49591817195391402</v>
      </c>
    </row>
    <row r="129" spans="10:12">
      <c r="J129" s="115">
        <v>44648</v>
      </c>
      <c r="K129" s="114">
        <v>0.70050849448643437</v>
      </c>
      <c r="L129" s="114">
        <v>0.46990545660960659</v>
      </c>
    </row>
    <row r="130" spans="10:12">
      <c r="J130" s="115">
        <v>44645</v>
      </c>
      <c r="K130" s="114">
        <v>0.69717309733860433</v>
      </c>
      <c r="L130" s="114">
        <v>0.43990429486477339</v>
      </c>
    </row>
    <row r="131" spans="10:12">
      <c r="J131" s="115">
        <v>44644</v>
      </c>
      <c r="K131" s="114">
        <v>0.69182072899239921</v>
      </c>
      <c r="L131" s="114">
        <v>0.40114718609475253</v>
      </c>
    </row>
    <row r="132" spans="10:12">
      <c r="J132" s="115">
        <v>44643</v>
      </c>
      <c r="K132" s="114">
        <v>0.68510654115372449</v>
      </c>
      <c r="L132" s="114">
        <v>0.36622372465662251</v>
      </c>
    </row>
    <row r="133" spans="10:12">
      <c r="J133" s="115">
        <v>44642</v>
      </c>
      <c r="K133" s="114">
        <v>0.67221856074117337</v>
      </c>
      <c r="L133" s="114">
        <v>0.33521331543470745</v>
      </c>
    </row>
    <row r="134" spans="10:12">
      <c r="J134" s="115">
        <v>44641</v>
      </c>
      <c r="K134" s="114">
        <v>0.66738571180933359</v>
      </c>
      <c r="L134" s="114">
        <v>0.2990911637833164</v>
      </c>
    </row>
    <row r="135" spans="10:12">
      <c r="J135" s="115">
        <v>44638</v>
      </c>
      <c r="K135" s="114">
        <v>0.68237409800800763</v>
      </c>
      <c r="L135" s="114">
        <v>0.27531782419202083</v>
      </c>
    </row>
    <row r="136" spans="10:12">
      <c r="J136" s="115">
        <v>44637</v>
      </c>
      <c r="K136" s="114">
        <v>0.695334470061438</v>
      </c>
      <c r="L136" s="114">
        <v>0.25548222424588729</v>
      </c>
    </row>
    <row r="137" spans="10:12">
      <c r="J137" s="115">
        <v>44636</v>
      </c>
      <c r="K137" s="114">
        <v>0.70989668119720384</v>
      </c>
      <c r="L137" s="114">
        <v>0.21946307360622735</v>
      </c>
    </row>
    <row r="138" spans="10:12">
      <c r="J138" s="115">
        <v>44635</v>
      </c>
      <c r="K138" s="114">
        <v>0.71442037778755696</v>
      </c>
      <c r="L138" s="114">
        <v>0.20473398029303874</v>
      </c>
    </row>
    <row r="139" spans="10:12">
      <c r="J139" s="115">
        <v>44634</v>
      </c>
      <c r="K139" s="114">
        <v>0.7060107114332399</v>
      </c>
      <c r="L139" s="114">
        <v>0.20248070897876075</v>
      </c>
    </row>
    <row r="140" spans="10:12">
      <c r="J140" s="115">
        <v>44631</v>
      </c>
      <c r="K140" s="114">
        <v>0.6873474219821194</v>
      </c>
      <c r="L140" s="114">
        <v>0.1932608362261187</v>
      </c>
    </row>
    <row r="141" spans="10:12">
      <c r="J141" s="115">
        <v>44630</v>
      </c>
      <c r="K141" s="114">
        <v>0.65240677726790419</v>
      </c>
      <c r="L141" s="114">
        <v>0.18050438634836302</v>
      </c>
    </row>
    <row r="142" spans="10:12">
      <c r="J142" s="115">
        <v>44629</v>
      </c>
      <c r="K142" s="114">
        <v>0.61117252274660738</v>
      </c>
      <c r="L142" s="114">
        <v>0.17939334460950485</v>
      </c>
    </row>
    <row r="143" spans="10:12">
      <c r="J143" s="115">
        <v>44628</v>
      </c>
      <c r="K143" s="114">
        <v>0.51855902511129681</v>
      </c>
      <c r="L143" s="114">
        <v>0.19679810657971308</v>
      </c>
    </row>
    <row r="144" spans="10:12">
      <c r="J144" s="115">
        <v>44627</v>
      </c>
      <c r="K144" s="114">
        <v>0.36691261286434546</v>
      </c>
      <c r="L144" s="114">
        <v>0.23373950149089534</v>
      </c>
    </row>
    <row r="145" spans="10:12">
      <c r="J145" s="115">
        <v>44624</v>
      </c>
      <c r="K145" s="114">
        <v>0.24290692666697211</v>
      </c>
      <c r="L145" s="114">
        <v>0.22906830611638626</v>
      </c>
    </row>
    <row r="146" spans="10:12">
      <c r="J146" s="115">
        <v>44623</v>
      </c>
      <c r="K146" s="114">
        <v>0.12166783995906554</v>
      </c>
      <c r="L146" s="114">
        <v>0.21565218836818284</v>
      </c>
    </row>
    <row r="147" spans="10:12">
      <c r="J147" s="115">
        <v>44622</v>
      </c>
      <c r="K147" s="114">
        <v>4.8670798463499719E-2</v>
      </c>
      <c r="L147" s="114">
        <v>0.22000297904875951</v>
      </c>
    </row>
    <row r="148" spans="10:12">
      <c r="J148" s="115">
        <v>44621</v>
      </c>
      <c r="K148" s="114">
        <v>-7.2418992609409788E-2</v>
      </c>
      <c r="L148" s="114">
        <v>0.22505668796620892</v>
      </c>
    </row>
    <row r="149" spans="10:12">
      <c r="J149" s="115">
        <v>44620</v>
      </c>
      <c r="K149" s="114">
        <v>-0.14294231684513858</v>
      </c>
      <c r="L149" s="114">
        <v>0.23696470893780217</v>
      </c>
    </row>
    <row r="150" spans="10:12">
      <c r="J150" s="115">
        <v>44617</v>
      </c>
      <c r="K150" s="114">
        <v>-0.17061961390015504</v>
      </c>
      <c r="L150" s="114">
        <v>0.25170569555827416</v>
      </c>
    </row>
    <row r="151" spans="10:12">
      <c r="J151" s="115">
        <v>44616</v>
      </c>
      <c r="K151" s="114">
        <v>-0.21289632679175555</v>
      </c>
      <c r="L151" s="114">
        <v>0.26189700595683268</v>
      </c>
    </row>
    <row r="152" spans="10:12">
      <c r="J152" s="115">
        <v>44615</v>
      </c>
      <c r="K152" s="114">
        <v>-0.19983649682938359</v>
      </c>
      <c r="L152" s="114">
        <v>0.26763227276955864</v>
      </c>
    </row>
    <row r="153" spans="10:12">
      <c r="J153" s="115">
        <v>44614</v>
      </c>
      <c r="K153" s="114">
        <v>-0.17587825680101504</v>
      </c>
      <c r="L153" s="114">
        <v>0.27376673411699437</v>
      </c>
    </row>
    <row r="154" spans="10:12">
      <c r="J154" s="115">
        <v>44613</v>
      </c>
      <c r="K154" s="114">
        <v>-0.14863721898503432</v>
      </c>
      <c r="L154" s="114">
        <v>0.27851067945384234</v>
      </c>
    </row>
    <row r="155" spans="10:12">
      <c r="J155" s="115">
        <v>44610</v>
      </c>
      <c r="K155" s="114">
        <v>-0.12162070101788736</v>
      </c>
      <c r="L155" s="114">
        <v>0.28197679779151036</v>
      </c>
    </row>
    <row r="156" spans="10:12">
      <c r="J156" s="115">
        <v>44609</v>
      </c>
      <c r="K156" s="114">
        <v>-9.2149023032134583E-2</v>
      </c>
      <c r="L156" s="114">
        <v>0.28797728364032738</v>
      </c>
    </row>
    <row r="157" spans="10:12">
      <c r="J157" s="115">
        <v>44608</v>
      </c>
      <c r="K157" s="114">
        <v>-9.6672543445489437E-2</v>
      </c>
      <c r="L157" s="114">
        <v>0.27799383332664113</v>
      </c>
    </row>
    <row r="158" spans="10:12">
      <c r="J158" s="115">
        <v>44607</v>
      </c>
      <c r="K158" s="114">
        <v>-0.10026056898597081</v>
      </c>
      <c r="L158" s="114">
        <v>0.27069657376448863</v>
      </c>
    </row>
    <row r="159" spans="10:12">
      <c r="J159" s="115">
        <v>44606</v>
      </c>
      <c r="K159" s="114">
        <v>-0.12072697362943734</v>
      </c>
      <c r="L159" s="114">
        <v>0.25216171493044137</v>
      </c>
    </row>
    <row r="160" spans="10:12">
      <c r="J160" s="115">
        <v>44603</v>
      </c>
      <c r="K160" s="114">
        <v>-0.13706661210511376</v>
      </c>
      <c r="L160" s="114">
        <v>0.23715056468806425</v>
      </c>
    </row>
    <row r="161" spans="10:12">
      <c r="J161" s="115">
        <v>44602</v>
      </c>
      <c r="K161" s="114">
        <v>-0.1689358129149193</v>
      </c>
      <c r="L161" s="114">
        <v>0.20112742554833107</v>
      </c>
    </row>
    <row r="162" spans="10:12">
      <c r="J162" s="115">
        <v>44601</v>
      </c>
      <c r="K162" s="114">
        <v>-0.19290313186255117</v>
      </c>
      <c r="L162" s="114">
        <v>0.16447003286387038</v>
      </c>
    </row>
    <row r="163" spans="10:12">
      <c r="J163" s="115">
        <v>44600</v>
      </c>
      <c r="K163" s="114">
        <v>-0.2899616641811722</v>
      </c>
      <c r="L163" s="114">
        <v>8.5839671413362462E-2</v>
      </c>
    </row>
    <row r="164" spans="10:12">
      <c r="J164" s="115">
        <v>44599</v>
      </c>
      <c r="K164" s="114">
        <v>-0.37755501641656375</v>
      </c>
      <c r="L164" s="114">
        <v>-1.01937919595824E-2</v>
      </c>
    </row>
    <row r="165" spans="10:12">
      <c r="J165" s="115">
        <v>44596</v>
      </c>
      <c r="K165" s="114">
        <v>-0.42252927790793271</v>
      </c>
      <c r="L165" s="114">
        <v>-6.2892457286362766E-2</v>
      </c>
    </row>
    <row r="166" spans="10:12">
      <c r="J166" s="115">
        <v>44595</v>
      </c>
      <c r="K166" s="114">
        <v>-0.44405584779794494</v>
      </c>
      <c r="L166" s="114">
        <v>-0.10070102571050006</v>
      </c>
    </row>
    <row r="167" spans="10:12">
      <c r="J167" s="115">
        <v>44594</v>
      </c>
      <c r="K167" s="114">
        <v>-0.45174145083327161</v>
      </c>
      <c r="L167" s="114">
        <v>-0.11851349642319642</v>
      </c>
    </row>
    <row r="168" spans="10:12">
      <c r="J168" s="115">
        <v>44593</v>
      </c>
      <c r="K168" s="114">
        <v>-0.45807392781384526</v>
      </c>
      <c r="L168" s="114">
        <v>-0.13031866718050858</v>
      </c>
    </row>
    <row r="169" spans="10:12">
      <c r="J169" s="115">
        <v>44592</v>
      </c>
      <c r="K169" s="114">
        <v>-0.46549339978980697</v>
      </c>
      <c r="L169" s="114">
        <v>-0.15237159147484525</v>
      </c>
    </row>
    <row r="170" spans="10:12">
      <c r="J170" s="115">
        <v>44589</v>
      </c>
      <c r="K170" s="114">
        <v>-0.46970595642071356</v>
      </c>
      <c r="L170" s="114">
        <v>-0.17054724857686909</v>
      </c>
    </row>
    <row r="171" spans="10:12">
      <c r="J171" s="115">
        <v>44588</v>
      </c>
      <c r="K171" s="114">
        <v>-0.47140014274231407</v>
      </c>
      <c r="L171" s="114">
        <v>-0.17859024419675948</v>
      </c>
    </row>
    <row r="172" spans="10:12">
      <c r="J172" s="115">
        <v>44587</v>
      </c>
      <c r="K172" s="114">
        <v>-0.46601108498825228</v>
      </c>
      <c r="L172" s="114">
        <v>-0.18634186884566861</v>
      </c>
    </row>
    <row r="173" spans="10:12">
      <c r="J173" s="115">
        <v>44586</v>
      </c>
      <c r="K173" s="114">
        <v>-0.44866500121599889</v>
      </c>
      <c r="L173" s="114">
        <v>-0.18900069432276029</v>
      </c>
    </row>
    <row r="174" spans="10:12">
      <c r="J174" s="115">
        <v>44585</v>
      </c>
      <c r="K174" s="114">
        <v>-0.43547767906117968</v>
      </c>
      <c r="L174" s="114">
        <v>-0.19422249506071224</v>
      </c>
    </row>
    <row r="175" spans="10:12">
      <c r="J175" s="115">
        <v>44582</v>
      </c>
      <c r="K175" s="114">
        <v>-0.42693656156979265</v>
      </c>
      <c r="L175" s="114">
        <v>-0.20492906928465196</v>
      </c>
    </row>
    <row r="176" spans="10:12">
      <c r="J176" s="115">
        <v>44581</v>
      </c>
      <c r="K176" s="114">
        <v>-0.41766253562053818</v>
      </c>
      <c r="L176" s="114">
        <v>-0.21892199122524014</v>
      </c>
    </row>
    <row r="177" spans="10:12">
      <c r="J177" s="115">
        <v>44580</v>
      </c>
      <c r="K177" s="114">
        <v>-0.41055431151638289</v>
      </c>
      <c r="L177" s="114">
        <v>-0.24109519457658427</v>
      </c>
    </row>
    <row r="178" spans="10:12">
      <c r="J178" s="115">
        <v>44579</v>
      </c>
      <c r="K178" s="114">
        <v>-0.40319298650616747</v>
      </c>
      <c r="L178" s="114">
        <v>-0.26246202502985466</v>
      </c>
    </row>
    <row r="179" spans="10:12">
      <c r="J179" s="115">
        <v>44578</v>
      </c>
      <c r="K179" s="114">
        <v>-0.39743692745695103</v>
      </c>
      <c r="L179" s="114">
        <v>-0.28010485105091293</v>
      </c>
    </row>
    <row r="180" spans="10:12">
      <c r="J180" s="115">
        <v>44575</v>
      </c>
      <c r="K180" s="114">
        <v>-0.39414396767224219</v>
      </c>
      <c r="L180" s="114">
        <v>-0.2967244656986614</v>
      </c>
    </row>
    <row r="181" spans="10:12">
      <c r="J181" s="115">
        <v>44574</v>
      </c>
      <c r="K181" s="114">
        <v>-0.38721485601850603</v>
      </c>
      <c r="L181" s="114">
        <v>-0.30348524661020659</v>
      </c>
    </row>
    <row r="182" spans="10:12">
      <c r="J182" s="115">
        <v>44573</v>
      </c>
      <c r="K182" s="114">
        <v>-0.38521106770987934</v>
      </c>
      <c r="L182" s="114">
        <v>-0.31258123952796113</v>
      </c>
    </row>
    <row r="183" spans="10:12">
      <c r="J183" s="115">
        <v>44572</v>
      </c>
      <c r="K183" s="114">
        <v>-0.38723032570202065</v>
      </c>
      <c r="L183" s="114">
        <v>-0.30851376411476894</v>
      </c>
    </row>
    <row r="184" spans="10:12">
      <c r="J184" s="115">
        <v>44571</v>
      </c>
      <c r="K184" s="114">
        <v>-0.38366442313626009</v>
      </c>
      <c r="L184" s="114">
        <v>-0.29835175327820179</v>
      </c>
    </row>
    <row r="185" spans="10:12">
      <c r="J185" s="115">
        <v>44568</v>
      </c>
      <c r="K185" s="114">
        <v>-0.37905076389216252</v>
      </c>
      <c r="L185" s="114">
        <v>-0.29459965375335806</v>
      </c>
    </row>
    <row r="186" spans="10:12">
      <c r="J186" s="115">
        <v>44567</v>
      </c>
      <c r="K186" s="114">
        <v>-0.3711210924924726</v>
      </c>
      <c r="L186" s="114">
        <v>-0.29264707566832154</v>
      </c>
    </row>
    <row r="187" spans="10:12">
      <c r="J187" s="115">
        <v>44566</v>
      </c>
      <c r="K187" s="114">
        <v>-0.3646267621985369</v>
      </c>
      <c r="L187" s="114">
        <v>-0.28991309731234866</v>
      </c>
    </row>
    <row r="188" spans="10:12">
      <c r="J188" s="115">
        <v>44565</v>
      </c>
      <c r="K188" s="114">
        <v>-0.35589369534113896</v>
      </c>
      <c r="L188" s="114">
        <v>-0.28343068199215221</v>
      </c>
    </row>
    <row r="189" spans="10:12">
      <c r="J189" s="115">
        <v>44564</v>
      </c>
      <c r="K189" s="114">
        <v>-0.34376763859409076</v>
      </c>
      <c r="L189" s="114">
        <v>-0.2713488645658832</v>
      </c>
    </row>
    <row r="190" spans="10:12">
      <c r="J190" s="115">
        <v>44561</v>
      </c>
      <c r="K190" s="114">
        <v>-0.33200633946253311</v>
      </c>
      <c r="L190" s="114">
        <v>-0.25643896589436144</v>
      </c>
    </row>
    <row r="191" spans="10:12">
      <c r="J191" s="115">
        <v>44560</v>
      </c>
      <c r="K191" s="114">
        <v>-0.31099242024076107</v>
      </c>
      <c r="L191" s="114">
        <v>-0.2317852272002015</v>
      </c>
    </row>
    <row r="192" spans="10:12">
      <c r="J192" s="115">
        <v>44559</v>
      </c>
      <c r="K192" s="114">
        <v>-0.28287595633977047</v>
      </c>
      <c r="L192" s="114">
        <v>-0.19173063060831469</v>
      </c>
    </row>
    <row r="193" spans="10:12">
      <c r="J193" s="115">
        <v>44558</v>
      </c>
      <c r="K193" s="114">
        <v>-0.25563425721142446</v>
      </c>
      <c r="L193" s="114">
        <v>-0.14462073690315647</v>
      </c>
    </row>
    <row r="194" spans="10:12">
      <c r="J194" s="115">
        <v>44557</v>
      </c>
      <c r="K194" s="114">
        <v>-0.23230340316022988</v>
      </c>
      <c r="L194" s="114">
        <v>-0.10136021607146212</v>
      </c>
    </row>
    <row r="195" spans="10:12">
      <c r="J195" s="115">
        <v>44554</v>
      </c>
      <c r="K195" s="114">
        <v>-0.20713224969742797</v>
      </c>
      <c r="L195" s="114">
        <v>-6.1541151784429558E-2</v>
      </c>
    </row>
    <row r="196" spans="10:12">
      <c r="J196" s="115">
        <v>44553</v>
      </c>
      <c r="K196" s="114">
        <v>-0.18247716658102184</v>
      </c>
      <c r="L196" s="114">
        <v>-1.6200444177587169E-2</v>
      </c>
    </row>
    <row r="197" spans="10:12">
      <c r="J197" s="115">
        <v>44552</v>
      </c>
      <c r="K197" s="114">
        <v>-0.16405801738195736</v>
      </c>
      <c r="L197" s="114">
        <v>2.881463208070692E-2</v>
      </c>
    </row>
    <row r="198" spans="10:12">
      <c r="J198" s="115">
        <v>44551</v>
      </c>
      <c r="K198" s="114">
        <v>-0.14841042174517763</v>
      </c>
      <c r="L198" s="114">
        <v>6.8712111796659314E-2</v>
      </c>
    </row>
    <row r="199" spans="10:12">
      <c r="J199" s="115">
        <v>44550</v>
      </c>
      <c r="K199" s="114">
        <v>-0.13472611010536467</v>
      </c>
      <c r="L199" s="114">
        <v>0.10945232578062436</v>
      </c>
    </row>
    <row r="200" spans="10:12">
      <c r="J200" s="115">
        <v>44547</v>
      </c>
      <c r="K200" s="114">
        <v>-0.12140392507838814</v>
      </c>
      <c r="L200" s="114">
        <v>0.14766885008772065</v>
      </c>
    </row>
    <row r="201" spans="10:12">
      <c r="J201" s="115">
        <v>44546</v>
      </c>
      <c r="K201" s="114">
        <v>-0.10578071873417175</v>
      </c>
      <c r="L201" s="114">
        <v>0.19340699750844503</v>
      </c>
    </row>
    <row r="202" spans="10:12">
      <c r="J202" s="115">
        <v>44545</v>
      </c>
      <c r="K202" s="114">
        <v>-9.0541340593475142E-2</v>
      </c>
      <c r="L202" s="114">
        <v>0.23549281359474436</v>
      </c>
    </row>
    <row r="203" spans="10:12">
      <c r="J203" s="115">
        <v>44544</v>
      </c>
      <c r="K203" s="114">
        <v>-7.2187621223118836E-2</v>
      </c>
      <c r="L203" s="114">
        <v>0.27367935030745616</v>
      </c>
    </row>
    <row r="204" spans="10:12">
      <c r="J204" s="115">
        <v>44543</v>
      </c>
      <c r="K204" s="114">
        <v>-5.3216988573677529E-2</v>
      </c>
      <c r="L204" s="114">
        <v>0.31290619554910604</v>
      </c>
    </row>
    <row r="205" spans="10:12">
      <c r="J205" s="115">
        <v>44540</v>
      </c>
      <c r="K205" s="114">
        <v>-3.3807431351086659E-2</v>
      </c>
      <c r="L205" s="114">
        <v>0.35223075850254842</v>
      </c>
    </row>
    <row r="206" spans="10:12">
      <c r="J206" s="115">
        <v>44539</v>
      </c>
      <c r="K206" s="114">
        <v>-1.1130340154838686E-2</v>
      </c>
      <c r="L206" s="114">
        <v>0.38684231489217524</v>
      </c>
    </row>
    <row r="207" spans="10:12">
      <c r="J207" s="115">
        <v>44538</v>
      </c>
      <c r="K207" s="114">
        <v>1.4020681947295745E-2</v>
      </c>
      <c r="L207" s="114">
        <v>0.42582248516214727</v>
      </c>
    </row>
    <row r="208" spans="10:12">
      <c r="J208" s="115">
        <v>44537</v>
      </c>
      <c r="K208" s="114">
        <v>3.8467960383460495E-2</v>
      </c>
      <c r="L208" s="114">
        <v>0.46489640882696764</v>
      </c>
    </row>
    <row r="209" spans="10:12">
      <c r="J209" s="115">
        <v>44536</v>
      </c>
      <c r="K209" s="114">
        <v>6.5663812982481709E-2</v>
      </c>
      <c r="L209" s="114">
        <v>0.51049530434255075</v>
      </c>
    </row>
    <row r="210" spans="10:12">
      <c r="J210" s="115">
        <v>44533</v>
      </c>
      <c r="K210" s="114">
        <v>9.5510021087281058E-2</v>
      </c>
      <c r="L210" s="114">
        <v>0.56006135592146988</v>
      </c>
    </row>
    <row r="211" spans="10:12">
      <c r="J211" s="115">
        <v>44532</v>
      </c>
      <c r="K211" s="114">
        <v>0.12754634392630365</v>
      </c>
      <c r="L211" s="114">
        <v>0.5958656039142306</v>
      </c>
    </row>
    <row r="212" spans="10:12">
      <c r="J212" s="115">
        <v>44531</v>
      </c>
      <c r="K212" s="114">
        <v>0.1595338767621462</v>
      </c>
      <c r="L212" s="114">
        <v>0.63148065851633617</v>
      </c>
    </row>
    <row r="213" spans="10:12">
      <c r="J213" s="115">
        <v>44530</v>
      </c>
      <c r="K213" s="114">
        <v>0.19507752958596092</v>
      </c>
      <c r="L213" s="114">
        <v>0.6624527932676928</v>
      </c>
    </row>
    <row r="214" spans="10:12">
      <c r="J214" s="115">
        <v>44529</v>
      </c>
      <c r="K214" s="114">
        <v>0.23333482428545846</v>
      </c>
      <c r="L214" s="114">
        <v>0.68402359450937933</v>
      </c>
    </row>
    <row r="215" spans="10:12">
      <c r="J215" s="115">
        <v>44526</v>
      </c>
      <c r="K215" s="114">
        <v>0.26883311408499688</v>
      </c>
      <c r="L215" s="114">
        <v>0.69669387108310121</v>
      </c>
    </row>
    <row r="216" spans="10:12">
      <c r="J216" s="115">
        <v>44525</v>
      </c>
      <c r="K216" s="114">
        <v>0.29129589253229987</v>
      </c>
      <c r="L216" s="114">
        <v>0.69990227545294303</v>
      </c>
    </row>
    <row r="217" spans="10:12">
      <c r="J217" s="115">
        <v>44524</v>
      </c>
      <c r="K217" s="114">
        <v>0.30894709932596037</v>
      </c>
      <c r="L217" s="114">
        <v>0.7090325305428431</v>
      </c>
    </row>
    <row r="218" spans="10:12">
      <c r="J218" s="115">
        <v>44523</v>
      </c>
      <c r="K218" s="114">
        <v>0.32589532842399271</v>
      </c>
      <c r="L218" s="114">
        <v>0.7182164595631888</v>
      </c>
    </row>
    <row r="219" spans="10:12">
      <c r="J219" s="115">
        <v>44522</v>
      </c>
      <c r="K219" s="114">
        <v>0.34591019936275796</v>
      </c>
      <c r="L219" s="114">
        <v>0.72963260644535755</v>
      </c>
    </row>
    <row r="220" spans="10:12">
      <c r="J220" s="115">
        <v>44519</v>
      </c>
      <c r="K220" s="114">
        <v>0.37103206655604787</v>
      </c>
      <c r="L220" s="114">
        <v>0.74508337228856591</v>
      </c>
    </row>
    <row r="221" spans="10:12">
      <c r="J221" s="115">
        <v>44518</v>
      </c>
      <c r="K221" s="114">
        <v>0.39737001520357845</v>
      </c>
      <c r="L221" s="114">
        <v>0.75536287238207445</v>
      </c>
    </row>
    <row r="222" spans="10:12">
      <c r="J222" s="115">
        <v>44517</v>
      </c>
      <c r="K222" s="114">
        <v>0.42472822573691082</v>
      </c>
      <c r="L222" s="114">
        <v>0.76929309494279341</v>
      </c>
    </row>
    <row r="223" spans="10:12">
      <c r="J223" s="115">
        <v>44516</v>
      </c>
      <c r="K223" s="114">
        <v>0.45265189726098493</v>
      </c>
      <c r="L223" s="114">
        <v>0.7837386068777743</v>
      </c>
    </row>
    <row r="224" spans="10:12">
      <c r="J224" s="115">
        <v>44515</v>
      </c>
      <c r="K224" s="114">
        <v>0.48276573998697897</v>
      </c>
      <c r="L224" s="114">
        <v>0.79097962879927741</v>
      </c>
    </row>
    <row r="225" spans="10:12">
      <c r="J225" s="115">
        <v>44512</v>
      </c>
      <c r="K225" s="114">
        <v>0.51910546055446016</v>
      </c>
      <c r="L225" s="114">
        <v>0.80000563249355217</v>
      </c>
    </row>
    <row r="226" spans="10:12">
      <c r="J226" s="115">
        <v>44511</v>
      </c>
      <c r="K226" s="114">
        <v>0.55384911840915185</v>
      </c>
      <c r="L226" s="114">
        <v>0.81375092643380698</v>
      </c>
    </row>
    <row r="227" spans="10:12">
      <c r="J227" s="115">
        <v>44510</v>
      </c>
      <c r="K227" s="114">
        <v>0.58716953368526703</v>
      </c>
      <c r="L227" s="114">
        <v>0.82060177211846597</v>
      </c>
    </row>
    <row r="228" spans="10:12">
      <c r="J228" s="115">
        <v>44509</v>
      </c>
      <c r="K228" s="114">
        <v>0.62086424695027209</v>
      </c>
      <c r="L228" s="114">
        <v>0.83255057973470625</v>
      </c>
    </row>
    <row r="229" spans="10:12">
      <c r="J229" s="115">
        <v>44508</v>
      </c>
      <c r="K229" s="114">
        <v>0.64590786281107915</v>
      </c>
      <c r="L229" s="114">
        <v>0.8421597273474063</v>
      </c>
    </row>
    <row r="230" spans="10:12">
      <c r="J230" s="115">
        <v>44505</v>
      </c>
      <c r="K230" s="114">
        <v>0.66823696392793475</v>
      </c>
      <c r="L230" s="114">
        <v>0.84461470273932104</v>
      </c>
    </row>
    <row r="231" spans="10:12">
      <c r="J231" s="115">
        <v>44504</v>
      </c>
      <c r="K231" s="114">
        <v>0.69917994557733831</v>
      </c>
      <c r="L231" s="114">
        <v>0.84592060340982711</v>
      </c>
    </row>
    <row r="232" spans="10:12">
      <c r="J232" s="115">
        <v>44503</v>
      </c>
      <c r="K232" s="114">
        <v>0.72906610557997531</v>
      </c>
      <c r="L232" s="114">
        <v>0.84551264157192296</v>
      </c>
    </row>
    <row r="233" spans="10:12">
      <c r="J233" s="115">
        <v>44502</v>
      </c>
      <c r="K233" s="114">
        <v>0.75944605681665833</v>
      </c>
      <c r="L233" s="114">
        <v>0.84521614333469752</v>
      </c>
    </row>
    <row r="234" spans="10:12">
      <c r="J234" s="115">
        <v>44501</v>
      </c>
      <c r="K234" s="114">
        <v>0.78751819103751908</v>
      </c>
      <c r="L234" s="114">
        <v>0.84607143879177971</v>
      </c>
    </row>
    <row r="235" spans="10:12">
      <c r="J235" s="115">
        <v>44498</v>
      </c>
      <c r="K235" s="114">
        <v>0.81363244616836783</v>
      </c>
      <c r="L235" s="114">
        <v>0.85156966083300034</v>
      </c>
    </row>
    <row r="236" spans="10:12">
      <c r="J236" s="115">
        <v>44497</v>
      </c>
      <c r="K236" s="114">
        <v>0.83285724056677402</v>
      </c>
      <c r="L236" s="114">
        <v>0.85408321954516742</v>
      </c>
    </row>
    <row r="237" spans="10:12">
      <c r="J237" s="115">
        <v>44496</v>
      </c>
      <c r="K237" s="114">
        <v>0.84083821053589802</v>
      </c>
      <c r="L237" s="114">
        <v>0.85337484641807337</v>
      </c>
    </row>
    <row r="238" spans="10:12">
      <c r="J238" s="115">
        <v>44495</v>
      </c>
      <c r="K238" s="114">
        <v>0.84467122951731233</v>
      </c>
      <c r="L238" s="114">
        <v>0.85059184879628813</v>
      </c>
    </row>
    <row r="239" spans="10:12">
      <c r="J239" s="115">
        <v>44494</v>
      </c>
      <c r="K239" s="114">
        <v>0.84576930328414535</v>
      </c>
      <c r="L239" s="114">
        <v>0.84882955380297576</v>
      </c>
    </row>
    <row r="240" spans="10:12">
      <c r="J240" s="115">
        <v>44491</v>
      </c>
      <c r="K240" s="114">
        <v>0.84912479211405345</v>
      </c>
      <c r="L240" s="114">
        <v>0.84659309993837606</v>
      </c>
    </row>
    <row r="241" spans="10:12">
      <c r="J241" s="115">
        <v>44490</v>
      </c>
      <c r="K241" s="114">
        <v>0.85524522439971096</v>
      </c>
      <c r="L241" s="114">
        <v>0.85152221971780251</v>
      </c>
    </row>
    <row r="242" spans="10:12">
      <c r="J242" s="115">
        <v>44489</v>
      </c>
      <c r="K242" s="114">
        <v>0.86135897436650755</v>
      </c>
      <c r="L242" s="114">
        <v>0.85962136294090574</v>
      </c>
    </row>
    <row r="243" spans="10:12">
      <c r="J243" s="115">
        <v>44488</v>
      </c>
      <c r="K243" s="114">
        <v>0.86388313402072969</v>
      </c>
      <c r="L243" s="114">
        <v>0.8671717268546929</v>
      </c>
    </row>
    <row r="244" spans="10:12">
      <c r="J244" s="115">
        <v>44487</v>
      </c>
      <c r="K244" s="114">
        <v>0.86322344514418514</v>
      </c>
      <c r="L244" s="114">
        <v>0.87705733161584787</v>
      </c>
    </row>
    <row r="245" spans="10:12">
      <c r="J245" s="115">
        <v>44484</v>
      </c>
      <c r="K245" s="114">
        <v>0.85995700723702684</v>
      </c>
      <c r="L245" s="114">
        <v>0.88987168627637969</v>
      </c>
    </row>
    <row r="246" spans="10:12">
      <c r="J246" s="115">
        <v>44483</v>
      </c>
      <c r="K246" s="114">
        <v>0.8526895182035561</v>
      </c>
      <c r="L246" s="114">
        <v>0.8948679848770833</v>
      </c>
    </row>
    <row r="247" spans="10:12">
      <c r="J247" s="115">
        <v>44482</v>
      </c>
      <c r="K247" s="114">
        <v>0.8451355000329569</v>
      </c>
      <c r="L247" s="114">
        <v>0.89400076050877197</v>
      </c>
    </row>
    <row r="248" spans="10:12">
      <c r="J248" s="115">
        <v>44481</v>
      </c>
      <c r="K248" s="114">
        <v>0.83703723670386554</v>
      </c>
      <c r="L248" s="114">
        <v>0.89420926896251629</v>
      </c>
    </row>
    <row r="249" spans="10:12">
      <c r="J249" s="115">
        <v>44480</v>
      </c>
      <c r="K249" s="114">
        <v>0.83016113475354503</v>
      </c>
      <c r="L249" s="114">
        <v>0.89418216521373084</v>
      </c>
    </row>
    <row r="250" spans="10:12">
      <c r="J250" s="115">
        <v>44477</v>
      </c>
      <c r="K250" s="114">
        <v>0.82295486036964027</v>
      </c>
      <c r="L250" s="114">
        <v>0.89630080548326196</v>
      </c>
    </row>
    <row r="251" spans="10:12">
      <c r="J251" s="115">
        <v>44476</v>
      </c>
      <c r="K251" s="114">
        <v>0.81809952235790961</v>
      </c>
      <c r="L251" s="114">
        <v>0.89467573879103346</v>
      </c>
    </row>
    <row r="252" spans="10:12">
      <c r="J252" s="115">
        <v>44475</v>
      </c>
      <c r="K252" s="114">
        <v>0.81347633590398349</v>
      </c>
      <c r="L252" s="114">
        <v>0.89248565039078953</v>
      </c>
    </row>
    <row r="253" spans="10:12">
      <c r="J253" s="115">
        <v>44474</v>
      </c>
      <c r="K253" s="114">
        <v>0.84127983007537532</v>
      </c>
      <c r="L253" s="114">
        <v>0.89672164363556461</v>
      </c>
    </row>
    <row r="254" spans="10:12">
      <c r="J254" s="115">
        <v>44473</v>
      </c>
      <c r="K254" s="114">
        <v>0.89837001406393757</v>
      </c>
      <c r="L254" s="114">
        <v>0.9124966978443636</v>
      </c>
    </row>
    <row r="255" spans="10:12">
      <c r="J255" s="115">
        <v>44470</v>
      </c>
      <c r="K255" s="114">
        <v>0.93383326734158612</v>
      </c>
      <c r="L255" s="114">
        <v>0.91951359604362493</v>
      </c>
    </row>
    <row r="256" spans="10:12">
      <c r="J256" s="115">
        <v>44469</v>
      </c>
      <c r="K256" s="114">
        <v>0.95324372284482073</v>
      </c>
      <c r="L256" s="114">
        <v>0.92483717106304697</v>
      </c>
    </row>
    <row r="257" spans="10:12">
      <c r="J257" s="115">
        <v>44468</v>
      </c>
      <c r="K257" s="114">
        <v>0.95164095984665542</v>
      </c>
      <c r="L257" s="114">
        <v>0.92249422323639241</v>
      </c>
    </row>
    <row r="258" spans="10:12">
      <c r="J258" s="115">
        <v>44467</v>
      </c>
      <c r="K258" s="114">
        <v>0.94972121015342781</v>
      </c>
      <c r="L258" s="114">
        <v>0.92009877396569173</v>
      </c>
    </row>
    <row r="259" spans="10:12">
      <c r="J259" s="115">
        <v>44466</v>
      </c>
      <c r="K259" s="114">
        <v>0.94960374813674342</v>
      </c>
      <c r="L259" s="114">
        <v>0.91953481516746094</v>
      </c>
    </row>
    <row r="260" spans="10:12">
      <c r="J260" s="115">
        <v>44463</v>
      </c>
      <c r="K260" s="114">
        <v>0.94772992182825277</v>
      </c>
      <c r="L260" s="114">
        <v>0.91798838652086956</v>
      </c>
    </row>
    <row r="261" spans="10:12">
      <c r="J261" s="115">
        <v>44462</v>
      </c>
      <c r="K261" s="114">
        <v>0.95049243035288167</v>
      </c>
      <c r="L261" s="114">
        <v>0.91813873246806543</v>
      </c>
    </row>
    <row r="262" spans="10:12">
      <c r="J262" s="115">
        <v>44461</v>
      </c>
      <c r="K262" s="114">
        <v>0.94914202196814679</v>
      </c>
      <c r="L262" s="114">
        <v>0.91771314603455401</v>
      </c>
    </row>
    <row r="263" spans="10:12">
      <c r="J263" s="115">
        <v>44460</v>
      </c>
      <c r="K263" s="114">
        <v>0.94743076864551357</v>
      </c>
      <c r="L263" s="114">
        <v>0.91732352304627773</v>
      </c>
    </row>
    <row r="264" spans="10:12">
      <c r="J264" s="115">
        <v>44459</v>
      </c>
      <c r="K264" s="114">
        <v>0.94597299615500852</v>
      </c>
      <c r="L264" s="114">
        <v>0.9166201207844501</v>
      </c>
    </row>
    <row r="265" spans="10:12">
      <c r="J265" s="115">
        <v>44456</v>
      </c>
      <c r="K265" s="114">
        <v>0.94462202348574287</v>
      </c>
      <c r="L265" s="114">
        <v>0.91496219028380021</v>
      </c>
    </row>
    <row r="266" spans="10:12">
      <c r="J266" s="115">
        <v>44455</v>
      </c>
      <c r="K266" s="114">
        <v>0.94351565570769924</v>
      </c>
      <c r="L266" s="114">
        <v>0.91394978992610454</v>
      </c>
    </row>
    <row r="267" spans="10:12">
      <c r="J267" s="115">
        <v>44454</v>
      </c>
      <c r="K267" s="114">
        <v>0.94223936212218695</v>
      </c>
      <c r="L267" s="114">
        <v>0.9145745824608239</v>
      </c>
    </row>
    <row r="268" spans="10:12">
      <c r="J268" s="115">
        <v>44453</v>
      </c>
      <c r="K268" s="114">
        <v>0.94083613616411321</v>
      </c>
      <c r="L268" s="114">
        <v>0.91733014940575464</v>
      </c>
    </row>
    <row r="269" spans="10:12">
      <c r="J269" s="115">
        <v>44452</v>
      </c>
      <c r="K269" s="114">
        <v>0.93897518260640633</v>
      </c>
      <c r="L269" s="114">
        <v>0.9178198656114207</v>
      </c>
    </row>
    <row r="270" spans="10:12">
      <c r="J270" s="115">
        <v>44449</v>
      </c>
      <c r="K270" s="114">
        <v>0.9369237536394518</v>
      </c>
      <c r="L270" s="114">
        <v>0.91822661018948548</v>
      </c>
    </row>
    <row r="271" spans="10:12">
      <c r="J271" s="115">
        <v>44448</v>
      </c>
      <c r="K271" s="114">
        <v>0.93594842106229104</v>
      </c>
      <c r="L271" s="114">
        <v>0.91863064702366681</v>
      </c>
    </row>
    <row r="272" spans="10:12">
      <c r="J272" s="115">
        <v>44447</v>
      </c>
      <c r="K272" s="114">
        <v>0.93475013343088897</v>
      </c>
      <c r="L272" s="114">
        <v>0.9205487029899887</v>
      </c>
    </row>
    <row r="273" spans="10:12">
      <c r="J273" s="115">
        <v>44446</v>
      </c>
      <c r="K273" s="114">
        <v>0.93315283785814584</v>
      </c>
      <c r="L273" s="114">
        <v>0.9211076259225971</v>
      </c>
    </row>
    <row r="274" spans="10:12">
      <c r="J274" s="115">
        <v>44445</v>
      </c>
      <c r="K274" s="114">
        <v>0.93131837280007757</v>
      </c>
      <c r="L274" s="114">
        <v>0.91942285476227781</v>
      </c>
    </row>
    <row r="275" spans="10:12">
      <c r="J275" s="115">
        <v>44442</v>
      </c>
      <c r="K275" s="114">
        <v>0.92922596063590845</v>
      </c>
      <c r="L275" s="114">
        <v>0.91782411859991297</v>
      </c>
    </row>
    <row r="276" spans="10:12">
      <c r="J276" s="115">
        <v>44441</v>
      </c>
      <c r="K276" s="114">
        <v>0.92740280116066309</v>
      </c>
      <c r="L276" s="114">
        <v>0.91611270599082029</v>
      </c>
    </row>
    <row r="277" spans="10:12">
      <c r="J277" s="115">
        <v>44440</v>
      </c>
      <c r="K277" s="114">
        <v>0.92508674229921761</v>
      </c>
      <c r="L277" s="114">
        <v>0.91379623098433216</v>
      </c>
    </row>
    <row r="278" spans="10:12">
      <c r="J278" s="115">
        <v>44439</v>
      </c>
      <c r="K278" s="114">
        <v>0.92317762445788565</v>
      </c>
      <c r="L278" s="114">
        <v>0.91101441239389258</v>
      </c>
    </row>
    <row r="279" spans="10:12">
      <c r="J279" s="115">
        <v>44438</v>
      </c>
      <c r="K279" s="114">
        <v>0.92396961387732035</v>
      </c>
      <c r="L279" s="114">
        <v>0.90849461759269035</v>
      </c>
    </row>
    <row r="280" spans="10:12">
      <c r="J280" s="115">
        <v>44435</v>
      </c>
      <c r="K280" s="114">
        <v>0.92618558531718687</v>
      </c>
      <c r="L280" s="114">
        <v>0.90620430753144987</v>
      </c>
    </row>
    <row r="281" spans="10:12">
      <c r="J281" s="115">
        <v>44434</v>
      </c>
      <c r="K281" s="114">
        <v>0.92897178632110267</v>
      </c>
      <c r="L281" s="114">
        <v>0.90250083488122468</v>
      </c>
    </row>
    <row r="282" spans="10:12">
      <c r="J282" s="115">
        <v>44433</v>
      </c>
      <c r="K282" s="114">
        <v>0.9292312797262835</v>
      </c>
      <c r="L282" s="114">
        <v>0.90070981119365023</v>
      </c>
    </row>
    <row r="283" spans="10:12">
      <c r="J283" s="115">
        <v>44432</v>
      </c>
      <c r="K283" s="114">
        <v>0.92935483194242063</v>
      </c>
      <c r="L283" s="114">
        <v>0.90335781041211483</v>
      </c>
    </row>
    <row r="284" spans="10:12">
      <c r="J284" s="115">
        <v>44431</v>
      </c>
      <c r="K284" s="114">
        <v>0.92968371133186156</v>
      </c>
      <c r="L284" s="114">
        <v>0.90657177619073426</v>
      </c>
    </row>
    <row r="285" spans="10:12">
      <c r="J285" s="115">
        <v>44428</v>
      </c>
      <c r="K285" s="114">
        <v>0.93237776743404488</v>
      </c>
      <c r="L285" s="114">
        <v>0.90893567506906103</v>
      </c>
    </row>
    <row r="286" spans="10:12">
      <c r="J286" s="115">
        <v>44427</v>
      </c>
      <c r="K286" s="114">
        <v>0.93582338443159774</v>
      </c>
      <c r="L286" s="114">
        <v>0.91401787367007159</v>
      </c>
    </row>
    <row r="287" spans="10:12">
      <c r="J287" s="115">
        <v>44426</v>
      </c>
      <c r="K287" s="114">
        <v>0.93640502087011268</v>
      </c>
      <c r="L287" s="114">
        <v>0.9202726800456511</v>
      </c>
    </row>
    <row r="288" spans="10:12">
      <c r="J288" s="115">
        <v>44425</v>
      </c>
      <c r="K288" s="114">
        <v>0.93646373141677763</v>
      </c>
      <c r="L288" s="114">
        <v>0.92642299518179183</v>
      </c>
    </row>
    <row r="289" spans="10:12">
      <c r="J289" s="115">
        <v>44424</v>
      </c>
      <c r="K289" s="114">
        <v>0.93648190699127054</v>
      </c>
      <c r="L289" s="114">
        <v>0.93399649110565008</v>
      </c>
    </row>
    <row r="290" spans="10:12">
      <c r="J290" s="115">
        <v>44421</v>
      </c>
      <c r="K290" s="114">
        <v>0.93624619994419911</v>
      </c>
      <c r="L290" s="114">
        <v>0.93861476291970747</v>
      </c>
    </row>
    <row r="291" spans="10:12">
      <c r="J291" s="115">
        <v>44420</v>
      </c>
      <c r="K291" s="114">
        <v>0.93437024802548307</v>
      </c>
      <c r="L291" s="114">
        <v>0.94212386556528016</v>
      </c>
    </row>
    <row r="292" spans="10:12">
      <c r="J292" s="115">
        <v>44419</v>
      </c>
      <c r="K292" s="114">
        <v>0.93221614250067975</v>
      </c>
      <c r="L292" s="114">
        <v>0.94447069070781264</v>
      </c>
    </row>
    <row r="293" spans="10:12">
      <c r="J293" s="115">
        <v>44418</v>
      </c>
      <c r="K293" s="114">
        <v>0.93201030454546951</v>
      </c>
      <c r="L293" s="114">
        <v>0.9443030272322489</v>
      </c>
    </row>
    <row r="294" spans="10:12">
      <c r="J294" s="115">
        <v>44417</v>
      </c>
      <c r="K294" s="114">
        <v>0.93271454096747863</v>
      </c>
      <c r="L294" s="114">
        <v>0.94348490478846103</v>
      </c>
    </row>
    <row r="295" spans="10:12">
      <c r="J295" s="115">
        <v>44414</v>
      </c>
      <c r="K295" s="114">
        <v>0.93378487411990885</v>
      </c>
      <c r="L295" s="114">
        <v>0.94459890915043021</v>
      </c>
    </row>
    <row r="296" spans="10:12">
      <c r="J296" s="115">
        <v>44413</v>
      </c>
      <c r="K296" s="114">
        <v>0.93750632773819509</v>
      </c>
      <c r="L296" s="114">
        <v>0.94550599306250616</v>
      </c>
    </row>
    <row r="297" spans="10:12">
      <c r="J297" s="115">
        <v>44412</v>
      </c>
      <c r="K297" s="114">
        <v>0.94075121376415793</v>
      </c>
      <c r="L297" s="114">
        <v>0.94522025105730134</v>
      </c>
    </row>
    <row r="298" spans="10:12">
      <c r="J298" s="115">
        <v>44411</v>
      </c>
      <c r="K298" s="114">
        <v>0.94534739040655891</v>
      </c>
      <c r="L298" s="114">
        <v>0.9446656879748071</v>
      </c>
    </row>
    <row r="299" spans="10:12">
      <c r="J299" s="115">
        <v>44410</v>
      </c>
      <c r="K299" s="114">
        <v>0.95195986312077929</v>
      </c>
      <c r="L299" s="114">
        <v>0.94810501537822467</v>
      </c>
    </row>
    <row r="300" spans="10:12">
      <c r="J300" s="115">
        <v>44407</v>
      </c>
      <c r="K300" s="114">
        <v>0.96169901081485454</v>
      </c>
      <c r="L300" s="114">
        <v>0.95630174945415924</v>
      </c>
    </row>
    <row r="301" spans="10:12">
      <c r="J301" s="115">
        <v>44406</v>
      </c>
      <c r="K301" s="114">
        <v>0.96700192240247207</v>
      </c>
      <c r="L301" s="114">
        <v>0.96034249192362331</v>
      </c>
    </row>
    <row r="302" spans="10:12">
      <c r="J302" s="115">
        <v>44405</v>
      </c>
      <c r="K302" s="114">
        <v>0.97389825775491801</v>
      </c>
      <c r="L302" s="114">
        <v>0.96155947173031653</v>
      </c>
    </row>
    <row r="303" spans="10:12">
      <c r="J303" s="115">
        <v>44404</v>
      </c>
      <c r="K303" s="114">
        <v>0.97596544916792383</v>
      </c>
      <c r="L303" s="114">
        <v>0.96074623237473966</v>
      </c>
    </row>
    <row r="304" spans="10:12">
      <c r="J304" s="115">
        <v>44403</v>
      </c>
      <c r="K304" s="114">
        <v>0.97854683508173745</v>
      </c>
      <c r="L304" s="114">
        <v>0.9600193685278634</v>
      </c>
    </row>
    <row r="305" spans="10:12">
      <c r="J305" s="115">
        <v>44400</v>
      </c>
      <c r="K305" s="114">
        <v>0.97934722911218919</v>
      </c>
      <c r="L305" s="114">
        <v>0.95769028011543034</v>
      </c>
    </row>
    <row r="306" spans="10:12">
      <c r="J306" s="115">
        <v>44399</v>
      </c>
      <c r="K306" s="114">
        <v>0.98078577520541432</v>
      </c>
      <c r="L306" s="114">
        <v>0.95492146795026278</v>
      </c>
    </row>
    <row r="307" spans="10:12">
      <c r="J307" s="115">
        <v>44398</v>
      </c>
      <c r="K307" s="114">
        <v>0.98079959230892988</v>
      </c>
      <c r="L307" s="114">
        <v>0.95177895744898655</v>
      </c>
    </row>
    <row r="308" spans="10:12">
      <c r="J308" s="115">
        <v>44397</v>
      </c>
      <c r="K308" s="114">
        <v>0.98077347336736131</v>
      </c>
      <c r="L308" s="114">
        <v>0.94884448118358089</v>
      </c>
    </row>
    <row r="309" spans="10:12">
      <c r="J309" s="115">
        <v>44396</v>
      </c>
      <c r="K309" s="114">
        <v>0.98058345169383432</v>
      </c>
      <c r="L309" s="114">
        <v>0.94634183138351968</v>
      </c>
    </row>
    <row r="310" spans="10:12">
      <c r="J310" s="115">
        <v>44393</v>
      </c>
      <c r="K310" s="114">
        <v>0.98029092366193216</v>
      </c>
      <c r="L310" s="114">
        <v>0.94447954887142549</v>
      </c>
    </row>
    <row r="311" spans="10:12">
      <c r="J311" s="115">
        <v>44392</v>
      </c>
      <c r="K311" s="114">
        <v>0.98122204350668818</v>
      </c>
      <c r="L311" s="114">
        <v>0.94643458798022329</v>
      </c>
    </row>
    <row r="312" spans="10:12">
      <c r="J312" s="115">
        <v>44391</v>
      </c>
      <c r="K312" s="114">
        <v>0.98019487266695227</v>
      </c>
      <c r="L312" s="114">
        <v>0.94553437205002699</v>
      </c>
    </row>
    <row r="313" spans="10:12">
      <c r="J313" s="115">
        <v>44390</v>
      </c>
      <c r="K313" s="114">
        <v>0.97912603976204526</v>
      </c>
      <c r="L313" s="114">
        <v>0.94383733583345875</v>
      </c>
    </row>
    <row r="314" spans="10:12">
      <c r="J314" s="115">
        <v>44389</v>
      </c>
      <c r="K314" s="114">
        <v>0.97771284966131189</v>
      </c>
      <c r="L314" s="114">
        <v>0.94164038704999309</v>
      </c>
    </row>
    <row r="315" spans="10:12">
      <c r="J315" s="115">
        <v>44386</v>
      </c>
      <c r="K315" s="114">
        <v>0.97636282808233021</v>
      </c>
      <c r="L315" s="114">
        <v>0.93878355402290914</v>
      </c>
    </row>
    <row r="316" spans="10:12">
      <c r="J316" s="115">
        <v>44385</v>
      </c>
      <c r="K316" s="114">
        <v>0.97504922977657582</v>
      </c>
      <c r="L316" s="114">
        <v>0.93602130912627501</v>
      </c>
    </row>
    <row r="317" spans="10:12">
      <c r="J317" s="115">
        <v>44384</v>
      </c>
      <c r="K317" s="114">
        <v>0.97392132960548106</v>
      </c>
      <c r="L317" s="114">
        <v>0.93298275430865174</v>
      </c>
    </row>
    <row r="318" spans="10:12">
      <c r="J318" s="115">
        <v>44383</v>
      </c>
      <c r="K318" s="114">
        <v>0.97264229731448226</v>
      </c>
      <c r="L318" s="114">
        <v>0.92866437966654813</v>
      </c>
    </row>
    <row r="319" spans="10:12">
      <c r="J319" s="115">
        <v>44382</v>
      </c>
      <c r="K319" s="114">
        <v>0.97120475769093695</v>
      </c>
      <c r="L319" s="114">
        <v>0.92483866771792245</v>
      </c>
    </row>
    <row r="320" spans="10:12">
      <c r="J320" s="115">
        <v>44379</v>
      </c>
      <c r="K320" s="114">
        <v>0.96975318670118893</v>
      </c>
      <c r="L320" s="114">
        <v>0.92054007797621751</v>
      </c>
    </row>
    <row r="321" spans="10:12">
      <c r="J321" s="115">
        <v>44378</v>
      </c>
      <c r="K321" s="114">
        <v>0.96788695312439665</v>
      </c>
      <c r="L321" s="114">
        <v>0.915605407457173</v>
      </c>
    </row>
    <row r="322" spans="10:12">
      <c r="J322" s="115">
        <v>44377</v>
      </c>
      <c r="K322" s="114">
        <v>0.96577173842920505</v>
      </c>
      <c r="L322" s="114">
        <v>0.90974040704525727</v>
      </c>
    </row>
    <row r="323" spans="10:12">
      <c r="J323" s="115">
        <v>44376</v>
      </c>
      <c r="K323" s="114">
        <v>0.9671822896435418</v>
      </c>
      <c r="L323" s="114">
        <v>0.90132637117966063</v>
      </c>
    </row>
    <row r="324" spans="10:12">
      <c r="J324" s="115">
        <v>44375</v>
      </c>
      <c r="K324" s="114">
        <v>0.96654950764532277</v>
      </c>
      <c r="L324" s="114">
        <v>0.89268848499907294</v>
      </c>
    </row>
    <row r="325" spans="10:12">
      <c r="J325" s="115">
        <v>44372</v>
      </c>
      <c r="K325" s="114">
        <v>0.96667070617887896</v>
      </c>
      <c r="L325" s="114">
        <v>0.88220568174700043</v>
      </c>
    </row>
    <row r="326" spans="10:12">
      <c r="J326" s="115">
        <v>44371</v>
      </c>
      <c r="K326" s="114">
        <v>0.96668541670609365</v>
      </c>
      <c r="L326" s="114">
        <v>0.87191480483205452</v>
      </c>
    </row>
    <row r="327" spans="10:12">
      <c r="J327" s="115">
        <v>44370</v>
      </c>
      <c r="K327" s="114">
        <v>0.96537034787102527</v>
      </c>
      <c r="L327" s="114">
        <v>0.86622712853544281</v>
      </c>
    </row>
    <row r="328" spans="10:12">
      <c r="J328" s="115">
        <v>44369</v>
      </c>
      <c r="K328" s="114">
        <v>0.96380654217119011</v>
      </c>
      <c r="L328" s="114">
        <v>0.85974265764716595</v>
      </c>
    </row>
    <row r="329" spans="10:12">
      <c r="J329" s="115">
        <v>44368</v>
      </c>
      <c r="K329" s="114">
        <v>0.96237951794543464</v>
      </c>
      <c r="L329" s="114">
        <v>0.85352513471670233</v>
      </c>
    </row>
    <row r="330" spans="10:12">
      <c r="J330" s="115">
        <v>44365</v>
      </c>
      <c r="K330" s="114">
        <v>0.96127537173386601</v>
      </c>
      <c r="L330" s="114">
        <v>0.84884163412198821</v>
      </c>
    </row>
    <row r="331" spans="10:12">
      <c r="J331" s="115">
        <v>44364</v>
      </c>
      <c r="K331" s="114">
        <v>0.96070319768332435</v>
      </c>
      <c r="L331" s="114">
        <v>0.8425099197955358</v>
      </c>
    </row>
    <row r="332" spans="10:12">
      <c r="J332" s="115">
        <v>44363</v>
      </c>
      <c r="K332" s="114">
        <v>0.96049946292383148</v>
      </c>
      <c r="L332" s="114">
        <v>0.8342832037461051</v>
      </c>
    </row>
    <row r="333" spans="10:12">
      <c r="J333" s="115">
        <v>44362</v>
      </c>
      <c r="K333" s="114">
        <v>0.95988578464155494</v>
      </c>
      <c r="L333" s="114">
        <v>0.82488456342515437</v>
      </c>
    </row>
    <row r="334" spans="10:12">
      <c r="J334" s="115">
        <v>44361</v>
      </c>
      <c r="K334" s="114">
        <v>0.95693129661364829</v>
      </c>
      <c r="L334" s="114">
        <v>0.81450590118602229</v>
      </c>
    </row>
    <row r="335" spans="10:12">
      <c r="J335" s="115">
        <v>44358</v>
      </c>
      <c r="K335" s="114">
        <v>0.95386394636659277</v>
      </c>
      <c r="L335" s="114">
        <v>0.79796129421753359</v>
      </c>
    </row>
    <row r="336" spans="10:12">
      <c r="J336" s="115">
        <v>44357</v>
      </c>
      <c r="K336" s="114">
        <v>0.95076261510231441</v>
      </c>
      <c r="L336" s="114">
        <v>0.77957632820352163</v>
      </c>
    </row>
    <row r="337" spans="10:12">
      <c r="J337" s="115">
        <v>44356</v>
      </c>
      <c r="K337" s="114">
        <v>0.94640557854880325</v>
      </c>
      <c r="L337" s="114">
        <v>0.76861963410091616</v>
      </c>
    </row>
    <row r="338" spans="10:12">
      <c r="J338" s="115">
        <v>44355</v>
      </c>
      <c r="K338" s="114">
        <v>0.93938114510831672</v>
      </c>
      <c r="L338" s="114">
        <v>0.75862447363033392</v>
      </c>
    </row>
    <row r="339" spans="10:12">
      <c r="J339" s="115">
        <v>44354</v>
      </c>
      <c r="K339" s="114">
        <v>0.93229481921107693</v>
      </c>
      <c r="L339" s="114">
        <v>0.74786307295027932</v>
      </c>
    </row>
    <row r="340" spans="10:12">
      <c r="J340" s="115">
        <v>44351</v>
      </c>
      <c r="K340" s="114">
        <v>0.92302249455434859</v>
      </c>
      <c r="L340" s="114">
        <v>0.74710691605200064</v>
      </c>
    </row>
    <row r="341" spans="10:12">
      <c r="J341" s="115">
        <v>44350</v>
      </c>
      <c r="K341" s="114">
        <v>0.92972394994311847</v>
      </c>
      <c r="L341" s="114">
        <v>0.7446533058236563</v>
      </c>
    </row>
    <row r="342" spans="10:12">
      <c r="J342" s="115">
        <v>44349</v>
      </c>
      <c r="K342" s="114">
        <v>0.9206589632064347</v>
      </c>
      <c r="L342" s="114">
        <v>0.74133984426153043</v>
      </c>
    </row>
    <row r="343" spans="10:12">
      <c r="J343" s="115">
        <v>44348</v>
      </c>
      <c r="K343" s="114">
        <v>0.91300122414997542</v>
      </c>
      <c r="L343" s="114">
        <v>0.72771103822800998</v>
      </c>
    </row>
    <row r="344" spans="10:12">
      <c r="J344" s="115">
        <v>44347</v>
      </c>
      <c r="K344" s="114">
        <v>0.90345234832230858</v>
      </c>
      <c r="L344" s="114">
        <v>0.70922115179951717</v>
      </c>
    </row>
    <row r="345" spans="10:12">
      <c r="J345" s="115">
        <v>44344</v>
      </c>
      <c r="K345" s="114">
        <v>0.89787747870929202</v>
      </c>
      <c r="L345" s="114">
        <v>0.70933189713715716</v>
      </c>
    </row>
    <row r="346" spans="10:12">
      <c r="J346" s="115">
        <v>44343</v>
      </c>
      <c r="K346" s="114">
        <v>0.89254071924356937</v>
      </c>
      <c r="L346" s="114">
        <v>0.71399310525908977</v>
      </c>
    </row>
    <row r="347" spans="10:12">
      <c r="J347" s="115">
        <v>44342</v>
      </c>
      <c r="K347" s="114">
        <v>0.8986568362386923</v>
      </c>
      <c r="L347" s="114">
        <v>0.73605897058429148</v>
      </c>
    </row>
    <row r="348" spans="10:12">
      <c r="J348" s="115">
        <v>44341</v>
      </c>
      <c r="K348" s="114">
        <v>0.88950581867682477</v>
      </c>
      <c r="L348" s="114">
        <v>0.73053789921454582</v>
      </c>
    </row>
    <row r="349" spans="10:12">
      <c r="J349" s="115">
        <v>44340</v>
      </c>
      <c r="K349" s="114">
        <v>0.88121870076291819</v>
      </c>
      <c r="L349" s="114">
        <v>0.72752200152214852</v>
      </c>
    </row>
    <row r="350" spans="10:12">
      <c r="J350" s="115">
        <v>44337</v>
      </c>
      <c r="K350" s="114">
        <v>0.87202249590225966</v>
      </c>
      <c r="L350" s="114">
        <v>0.72751688478076426</v>
      </c>
    </row>
    <row r="351" spans="10:12">
      <c r="J351" s="115">
        <v>44336</v>
      </c>
      <c r="K351" s="114">
        <v>0.86109921139821499</v>
      </c>
      <c r="L351" s="114">
        <v>0.72527750540454528</v>
      </c>
    </row>
    <row r="352" spans="10:12">
      <c r="J352" s="115">
        <v>44335</v>
      </c>
      <c r="K352" s="114">
        <v>0.85674877235984304</v>
      </c>
      <c r="L352" s="114">
        <v>0.72046188365017172</v>
      </c>
    </row>
    <row r="353" spans="10:12">
      <c r="J353" s="115">
        <v>44334</v>
      </c>
      <c r="K353" s="114">
        <v>0.85427368953097327</v>
      </c>
      <c r="L353" s="114">
        <v>0.71089193900656578</v>
      </c>
    </row>
    <row r="354" spans="10:12">
      <c r="J354" s="115">
        <v>44333</v>
      </c>
      <c r="K354" s="114">
        <v>0.84725051296295417</v>
      </c>
      <c r="L354" s="114">
        <v>0.69179292138129722</v>
      </c>
    </row>
    <row r="355" spans="10:12">
      <c r="J355" s="115">
        <v>44330</v>
      </c>
      <c r="K355" s="114">
        <v>0.83382583943825983</v>
      </c>
      <c r="L355" s="114">
        <v>0.65084490901681447</v>
      </c>
    </row>
    <row r="356" spans="10:12">
      <c r="J356" s="115">
        <v>44329</v>
      </c>
      <c r="K356" s="114">
        <v>0.81153528158074473</v>
      </c>
      <c r="L356" s="114">
        <v>0.63181636691027543</v>
      </c>
    </row>
    <row r="357" spans="10:12">
      <c r="J357" s="115">
        <v>44328</v>
      </c>
      <c r="K357" s="114">
        <v>0.78262520195436358</v>
      </c>
      <c r="L357" s="114">
        <v>0.60773153492215637</v>
      </c>
    </row>
    <row r="358" spans="10:12">
      <c r="J358" s="115">
        <v>44327</v>
      </c>
      <c r="K358" s="114">
        <v>0.73601846943944871</v>
      </c>
      <c r="L358" s="114">
        <v>0.58225725636157455</v>
      </c>
    </row>
    <row r="359" spans="10:12">
      <c r="J359" s="115">
        <v>44326</v>
      </c>
      <c r="K359" s="114">
        <v>0.69757041233686956</v>
      </c>
      <c r="L359" s="114">
        <v>0.5728532797350061</v>
      </c>
    </row>
    <row r="360" spans="10:12">
      <c r="J360" s="115">
        <v>44323</v>
      </c>
      <c r="K360" s="114">
        <v>0.77716837260451321</v>
      </c>
      <c r="L360" s="114">
        <v>0.82329843823759175</v>
      </c>
    </row>
    <row r="361" spans="10:12">
      <c r="J361" s="115">
        <v>44322</v>
      </c>
      <c r="K361" s="114">
        <v>0.75786911196245288</v>
      </c>
      <c r="L361" s="114">
        <v>0.80923585787254204</v>
      </c>
    </row>
    <row r="362" spans="10:12">
      <c r="J362" s="115">
        <v>44321</v>
      </c>
      <c r="K362" s="114">
        <v>0.73311047463178702</v>
      </c>
      <c r="L362" s="114">
        <v>0.794051936506602</v>
      </c>
    </row>
    <row r="363" spans="10:12">
      <c r="J363" s="115">
        <v>44320</v>
      </c>
      <c r="K363" s="114">
        <v>0.70310740291375706</v>
      </c>
      <c r="L363" s="114">
        <v>0.77440456175652883</v>
      </c>
    </row>
    <row r="364" spans="10:12">
      <c r="J364" s="115">
        <v>44319</v>
      </c>
      <c r="K364" s="114">
        <v>0.66695240626011942</v>
      </c>
      <c r="L364" s="114">
        <v>0.74642470888263412</v>
      </c>
    </row>
    <row r="365" spans="10:12">
      <c r="J365" s="115">
        <v>44316</v>
      </c>
      <c r="K365" s="114">
        <v>0.6216235311733217</v>
      </c>
      <c r="L365" s="114">
        <v>0.70858270641200949</v>
      </c>
    </row>
    <row r="366" spans="10:12">
      <c r="J366" s="115">
        <v>44315</v>
      </c>
      <c r="K366" s="114">
        <v>0.5586926291623362</v>
      </c>
      <c r="L366" s="114">
        <v>0.66219690233094197</v>
      </c>
    </row>
    <row r="367" spans="10:12">
      <c r="J367" s="115">
        <v>44314</v>
      </c>
      <c r="K367" s="114">
        <v>0.49535852379502898</v>
      </c>
      <c r="L367" s="114">
        <v>0.60095627156769482</v>
      </c>
    </row>
    <row r="368" spans="10:12">
      <c r="J368" s="115">
        <v>44313</v>
      </c>
      <c r="K368" s="114">
        <v>0.43128986046043721</v>
      </c>
      <c r="L368" s="114">
        <v>0.49633063071673061</v>
      </c>
    </row>
    <row r="369" spans="10:12">
      <c r="J369" s="115">
        <v>44312</v>
      </c>
      <c r="K369" s="114">
        <v>0.35189660285875601</v>
      </c>
      <c r="L369" s="114">
        <v>0.35934047418270382</v>
      </c>
    </row>
    <row r="370" spans="10:12">
      <c r="J370" s="115">
        <v>44309</v>
      </c>
      <c r="K370" s="114">
        <v>0.25950024742821615</v>
      </c>
      <c r="L370" s="114">
        <v>0.21604058312657054</v>
      </c>
    </row>
    <row r="371" spans="10:12">
      <c r="J371" s="115">
        <v>44308</v>
      </c>
      <c r="K371" s="114" t="e">
        <v>#DIV/0!</v>
      </c>
      <c r="L371" s="114" t="e">
        <v>#DIV/0!</v>
      </c>
    </row>
    <row r="372" spans="10:12">
      <c r="J372" s="115">
        <v>44307</v>
      </c>
      <c r="K372" s="114" t="e">
        <v>#DIV/0!</v>
      </c>
      <c r="L372" s="114" t="e">
        <v>#DIV/0!</v>
      </c>
    </row>
    <row r="373" spans="10:12">
      <c r="J373" s="115">
        <v>44306</v>
      </c>
      <c r="K373" s="114" t="e">
        <v>#DIV/0!</v>
      </c>
      <c r="L373" s="114" t="e">
        <v>#DIV/0!</v>
      </c>
    </row>
    <row r="374" spans="10:12">
      <c r="J374" s="115">
        <v>44305</v>
      </c>
      <c r="K374" s="114" t="e">
        <v>#DIV/0!</v>
      </c>
      <c r="L374" s="114" t="e">
        <v>#DIV/0!</v>
      </c>
    </row>
    <row r="375" spans="10:12">
      <c r="J375" s="115">
        <v>44302</v>
      </c>
      <c r="K375" s="114" t="e">
        <v>#DIV/0!</v>
      </c>
      <c r="L375" s="114" t="e">
        <v>#DIV/0!</v>
      </c>
    </row>
    <row r="376" spans="10:12">
      <c r="J376" s="115">
        <v>44301</v>
      </c>
      <c r="K376" s="114" t="e">
        <v>#DIV/0!</v>
      </c>
      <c r="L376" s="114" t="e">
        <v>#DIV/0!</v>
      </c>
    </row>
    <row r="377" spans="10:12">
      <c r="J377" s="115">
        <v>44300</v>
      </c>
      <c r="K377" s="114" t="e">
        <v>#DIV/0!</v>
      </c>
      <c r="L377" s="114" t="e">
        <v>#DIV/0!</v>
      </c>
    </row>
    <row r="378" spans="10:12">
      <c r="J378" s="115">
        <v>44299</v>
      </c>
      <c r="K378" s="114" t="e">
        <v>#DIV/0!</v>
      </c>
      <c r="L378" s="114" t="e">
        <v>#DIV/0!</v>
      </c>
    </row>
    <row r="379" spans="10:12">
      <c r="J379" s="115">
        <v>44298</v>
      </c>
      <c r="K379" s="114" t="e">
        <v>#DIV/0!</v>
      </c>
      <c r="L379" s="114" t="e">
        <v>#DIV/0!</v>
      </c>
    </row>
    <row r="380" spans="10:12">
      <c r="J380" s="115">
        <v>44295</v>
      </c>
      <c r="K380" s="114" t="e">
        <v>#DIV/0!</v>
      </c>
      <c r="L380" s="114" t="e">
        <v>#DIV/0!</v>
      </c>
    </row>
    <row r="381" spans="10:12">
      <c r="J381" s="115">
        <v>44294</v>
      </c>
      <c r="K381" s="114" t="e">
        <v>#DIV/0!</v>
      </c>
      <c r="L381" s="114" t="e">
        <v>#DIV/0!</v>
      </c>
    </row>
    <row r="382" spans="10:12">
      <c r="J382" s="115">
        <v>44293</v>
      </c>
      <c r="K382" s="114" t="e">
        <v>#DIV/0!</v>
      </c>
      <c r="L382" s="114" t="e">
        <v>#DIV/0!</v>
      </c>
    </row>
    <row r="383" spans="10:12">
      <c r="J383" s="115">
        <v>44292</v>
      </c>
      <c r="K383" s="114" t="e">
        <v>#DIV/0!</v>
      </c>
      <c r="L383" s="114" t="e">
        <v>#DIV/0!</v>
      </c>
    </row>
    <row r="384" spans="10:12">
      <c r="J384" s="115">
        <v>44291</v>
      </c>
      <c r="K384" s="114" t="e">
        <v>#DIV/0!</v>
      </c>
      <c r="L384" s="114" t="e">
        <v>#DIV/0!</v>
      </c>
    </row>
    <row r="385" spans="10:12">
      <c r="J385" s="115">
        <v>44288</v>
      </c>
      <c r="K385" s="114" t="e">
        <v>#DIV/0!</v>
      </c>
      <c r="L385" s="114" t="e">
        <v>#DIV/0!</v>
      </c>
    </row>
    <row r="386" spans="10:12">
      <c r="J386" s="115">
        <v>44287</v>
      </c>
      <c r="K386" s="114" t="e">
        <v>#DIV/0!</v>
      </c>
      <c r="L386" s="114" t="e">
        <v>#DIV/0!</v>
      </c>
    </row>
    <row r="387" spans="10:12">
      <c r="J387" s="115">
        <v>44286</v>
      </c>
      <c r="K387" s="114" t="e">
        <v>#DIV/0!</v>
      </c>
      <c r="L387" s="114" t="e">
        <v>#DIV/0!</v>
      </c>
    </row>
    <row r="388" spans="10:12">
      <c r="J388" s="115">
        <v>44285</v>
      </c>
      <c r="K388" s="114" t="e">
        <v>#DIV/0!</v>
      </c>
      <c r="L388" s="114" t="e">
        <v>#DIV/0!</v>
      </c>
    </row>
    <row r="389" spans="10:12">
      <c r="J389" s="115">
        <v>44284</v>
      </c>
      <c r="K389" s="114" t="e">
        <v>#DIV/0!</v>
      </c>
      <c r="L389" s="114" t="e">
        <v>#DIV/0!</v>
      </c>
    </row>
    <row r="390" spans="10:12">
      <c r="J390" s="115">
        <v>44281</v>
      </c>
      <c r="K390" s="114" t="e">
        <v>#DIV/0!</v>
      </c>
      <c r="L390" s="114" t="e">
        <v>#DIV/0!</v>
      </c>
    </row>
    <row r="391" spans="10:12">
      <c r="J391" s="115">
        <v>44280</v>
      </c>
      <c r="K391" s="114" t="e">
        <v>#DIV/0!</v>
      </c>
      <c r="L391" s="114" t="e">
        <v>#DIV/0!</v>
      </c>
    </row>
    <row r="392" spans="10:12">
      <c r="J392" s="115">
        <v>44279</v>
      </c>
      <c r="K392" s="114" t="e">
        <v>#DIV/0!</v>
      </c>
      <c r="L392" s="114" t="e">
        <v>#DIV/0!</v>
      </c>
    </row>
    <row r="393" spans="10:12">
      <c r="J393" s="115">
        <v>44278</v>
      </c>
      <c r="K393" s="114" t="e">
        <v>#DIV/0!</v>
      </c>
      <c r="L393" s="114" t="e">
        <v>#DIV/0!</v>
      </c>
    </row>
    <row r="394" spans="10:12">
      <c r="J394" s="115">
        <v>44277</v>
      </c>
      <c r="K394" s="114" t="e">
        <v>#DIV/0!</v>
      </c>
      <c r="L394" s="114" t="e">
        <v>#DIV/0!</v>
      </c>
    </row>
    <row r="395" spans="10:12">
      <c r="J395" s="115">
        <v>44274</v>
      </c>
      <c r="K395" s="114" t="e">
        <v>#DIV/0!</v>
      </c>
      <c r="L395" s="114" t="e">
        <v>#DIV/0!</v>
      </c>
    </row>
    <row r="396" spans="10:12">
      <c r="J396" s="115">
        <v>44273</v>
      </c>
      <c r="K396" s="114" t="e">
        <v>#DIV/0!</v>
      </c>
      <c r="L396" s="114" t="e">
        <v>#DIV/0!</v>
      </c>
    </row>
    <row r="397" spans="10:12">
      <c r="J397" s="115">
        <v>44272</v>
      </c>
      <c r="K397" s="114" t="e">
        <v>#DIV/0!</v>
      </c>
      <c r="L397" s="114" t="e">
        <v>#DIV/0!</v>
      </c>
    </row>
    <row r="398" spans="10:12">
      <c r="J398" s="115">
        <v>44271</v>
      </c>
      <c r="K398" s="114" t="e">
        <v>#DIV/0!</v>
      </c>
      <c r="L398" s="114" t="e">
        <v>#DIV/0!</v>
      </c>
    </row>
    <row r="399" spans="10:12">
      <c r="J399" s="115">
        <v>44270</v>
      </c>
      <c r="K399" s="114" t="e">
        <v>#DIV/0!</v>
      </c>
      <c r="L399" s="114" t="e">
        <v>#DIV/0!</v>
      </c>
    </row>
    <row r="400" spans="10:12">
      <c r="J400" s="115">
        <v>44267</v>
      </c>
      <c r="K400" s="114" t="e">
        <v>#DIV/0!</v>
      </c>
      <c r="L400" s="114" t="e">
        <v>#DIV/0!</v>
      </c>
    </row>
    <row r="401" spans="10:12">
      <c r="J401" s="115">
        <v>44266</v>
      </c>
      <c r="K401" s="114" t="e">
        <v>#DIV/0!</v>
      </c>
      <c r="L401" s="114" t="e">
        <v>#DIV/0!</v>
      </c>
    </row>
    <row r="402" spans="10:12">
      <c r="J402" s="115">
        <v>44265</v>
      </c>
      <c r="K402" s="114" t="e">
        <v>#DIV/0!</v>
      </c>
      <c r="L402" s="114" t="e">
        <v>#DIV/0!</v>
      </c>
    </row>
    <row r="403" spans="10:12">
      <c r="J403" s="115">
        <v>44264</v>
      </c>
      <c r="K403" s="114" t="e">
        <v>#DIV/0!</v>
      </c>
      <c r="L403" s="114" t="e">
        <v>#DIV/0!</v>
      </c>
    </row>
    <row r="404" spans="10:12">
      <c r="J404" s="115">
        <v>44263</v>
      </c>
      <c r="K404" s="114" t="e">
        <v>#DIV/0!</v>
      </c>
      <c r="L404" s="114" t="e">
        <v>#DIV/0!</v>
      </c>
    </row>
    <row r="405" spans="10:12">
      <c r="J405" s="115">
        <v>44260</v>
      </c>
      <c r="K405" s="114" t="e">
        <v>#DIV/0!</v>
      </c>
      <c r="L405" s="114" t="e">
        <v>#DIV/0!</v>
      </c>
    </row>
    <row r="406" spans="10:12">
      <c r="J406" s="115">
        <v>44259</v>
      </c>
      <c r="K406" s="114" t="e">
        <v>#DIV/0!</v>
      </c>
      <c r="L406" s="114" t="e">
        <v>#DIV/0!</v>
      </c>
    </row>
    <row r="407" spans="10:12">
      <c r="J407" s="115">
        <v>44258</v>
      </c>
      <c r="K407" s="114" t="e">
        <v>#DIV/0!</v>
      </c>
      <c r="L407" s="114" t="e">
        <v>#DIV/0!</v>
      </c>
    </row>
    <row r="408" spans="10:12">
      <c r="J408" s="46"/>
    </row>
    <row r="409" spans="10:12">
      <c r="J409" s="46"/>
    </row>
    <row r="410" spans="10:12">
      <c r="J410" s="46"/>
    </row>
    <row r="411" spans="10:12">
      <c r="J411" s="46"/>
    </row>
    <row r="412" spans="10:12">
      <c r="J412" s="46"/>
    </row>
  </sheetData>
  <mergeCells count="7">
    <mergeCell ref="F20:G22"/>
    <mergeCell ref="C10:E10"/>
    <mergeCell ref="B4:B5"/>
    <mergeCell ref="C4:E4"/>
    <mergeCell ref="G4:H4"/>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296962"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296963"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296964"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296965" r:id="rId8" name="Button 5">
              <controlPr defaultSize="0" print="0" autoFill="0" autoPict="0" macro="[0]!get_cors">
                <anchor moveWithCells="1" sizeWithCells="1">
                  <from>
                    <xdr:col>5</xdr:col>
                    <xdr:colOff>0</xdr:colOff>
                    <xdr:row>14</xdr:row>
                    <xdr:rowOff>121920</xdr:rowOff>
                  </from>
                  <to>
                    <xdr:col>7</xdr:col>
                    <xdr:colOff>0</xdr:colOff>
                    <xdr:row>17</xdr:row>
                    <xdr:rowOff>0</xdr:rowOff>
                  </to>
                </anchor>
              </controlPr>
            </control>
          </mc:Choice>
        </mc:AlternateContent>
        <mc:AlternateContent xmlns:mc="http://schemas.openxmlformats.org/markup-compatibility/2006">
          <mc:Choice Requires="x14">
            <control shapeId="296966" r:id="rId9" name="Button 6">
              <controlPr defaultSize="0" print="0" autoFill="0" autoPict="0" macro="[0]!nextpage3">
                <anchor moveWithCells="1" sizeWithCells="1">
                  <from>
                    <xdr:col>5</xdr:col>
                    <xdr:colOff>0</xdr:colOff>
                    <xdr:row>23</xdr:row>
                    <xdr:rowOff>106680</xdr:rowOff>
                  </from>
                  <to>
                    <xdr:col>7</xdr:col>
                    <xdr:colOff>0</xdr:colOff>
                    <xdr:row>26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6"/>
  </sheetPr>
  <dimension ref="A1:S819"/>
  <sheetViews>
    <sheetView showGridLines="0" topLeftCell="A3" zoomScaleNormal="100" workbookViewId="0">
      <selection activeCell="J5" sqref="J5:M809"/>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9" style="2" customWidth="1"/>
    <col min="8" max="8" width="25.59765625" style="2" customWidth="1"/>
    <col min="9" max="9" width="8.09765625" style="2" customWidth="1"/>
    <col min="10" max="10" width="16.09765625" style="2" customWidth="1"/>
    <col min="11" max="14" width="9" style="2"/>
    <col min="15" max="15" width="9.8984375" style="2" bestFit="1" customWidth="1"/>
    <col min="16" max="16384" width="9" style="2"/>
  </cols>
  <sheetData>
    <row r="1" spans="1:19">
      <c r="A1" t="s">
        <v>2</v>
      </c>
    </row>
    <row r="3" spans="1:19" ht="14.4" thickBot="1">
      <c r="B3" s="5" t="s">
        <v>22</v>
      </c>
      <c r="C3" s="5" t="s">
        <v>23</v>
      </c>
      <c r="G3" s="5" t="s">
        <v>21</v>
      </c>
      <c r="J3" s="80" t="s">
        <v>14</v>
      </c>
      <c r="L3" s="81"/>
      <c r="M3" s="4"/>
    </row>
    <row r="4" spans="1:19" ht="41.4" thickBot="1">
      <c r="B4" s="130" t="s">
        <v>24</v>
      </c>
      <c r="C4" s="127" t="s">
        <v>107</v>
      </c>
      <c r="D4" s="128"/>
      <c r="E4" s="129"/>
      <c r="G4" s="132"/>
      <c r="H4" s="133"/>
      <c r="J4" s="30" t="s">
        <v>0</v>
      </c>
      <c r="K4" s="43" t="s">
        <v>108</v>
      </c>
      <c r="L4" s="43" t="s">
        <v>33</v>
      </c>
      <c r="M4" s="43" t="s">
        <v>29</v>
      </c>
      <c r="N4" s="31"/>
      <c r="O4" s="43"/>
      <c r="P4" s="43" t="str">
        <f>K4</f>
        <v>NAPP delivered</v>
      </c>
      <c r="Q4" s="43" t="str">
        <f t="shared" ref="Q4:R4" si="0">L4</f>
        <v>IHS McCloskey NW Europe Marker</v>
      </c>
      <c r="R4" s="43" t="str">
        <f t="shared" si="0"/>
        <v>Arbitrage</v>
      </c>
      <c r="S4" s="31"/>
    </row>
    <row r="5" spans="1:19" ht="14.4" thickBot="1">
      <c r="B5" s="130"/>
      <c r="G5" s="134"/>
      <c r="H5" s="135"/>
      <c r="J5" s="118">
        <v>44819</v>
      </c>
      <c r="K5" s="116">
        <v>193.39135756906651</v>
      </c>
      <c r="L5" s="116">
        <v>292.95302400000003</v>
      </c>
      <c r="M5" s="117">
        <v>99.561666430933514</v>
      </c>
      <c r="N5" s="41"/>
      <c r="O5" s="39">
        <f>J5</f>
        <v>44819</v>
      </c>
      <c r="P5" s="41">
        <f>IFERROR(VLOOKUP($O5,$J$5:$M$403,2,FALSE),P6)</f>
        <v>193.39135756906651</v>
      </c>
      <c r="Q5" s="41">
        <f>IFERROR(VLOOKUP($O5,$J$5:$M$403,3,FALSE),Q6)</f>
        <v>292.95302400000003</v>
      </c>
      <c r="R5" s="41">
        <f>IFERROR(VLOOKUP($O5,$J$5:$M$403,4,FALSE),R6)</f>
        <v>99.561666430933514</v>
      </c>
      <c r="S5" s="31"/>
    </row>
    <row r="6" spans="1:19" ht="14.4" thickBot="1">
      <c r="C6" s="5" t="s">
        <v>3</v>
      </c>
      <c r="G6" s="5" t="s">
        <v>8</v>
      </c>
      <c r="J6" s="118">
        <v>44818</v>
      </c>
      <c r="K6" s="116">
        <v>193.39135756906651</v>
      </c>
      <c r="L6" s="116">
        <v>293.36126400000001</v>
      </c>
      <c r="M6" s="117">
        <v>99.969906430933491</v>
      </c>
      <c r="N6" s="41"/>
      <c r="O6" s="39">
        <f>O5-1</f>
        <v>44818</v>
      </c>
      <c r="P6" s="41">
        <f t="shared" ref="P6:P69" si="1">IFERROR(VLOOKUP($O6,$J$5:$M$403,2,FALSE),P7)</f>
        <v>193.39135756906651</v>
      </c>
      <c r="Q6" s="41">
        <f t="shared" ref="Q6:Q69" si="2">IFERROR(VLOOKUP($O6,$J$5:$M$403,3,FALSE),Q7)</f>
        <v>293.36126400000001</v>
      </c>
      <c r="R6" s="41">
        <f t="shared" ref="R6:R69" si="3">IFERROR(VLOOKUP($O6,$J$5:$M$403,4,FALSE),R7)</f>
        <v>99.969906430933491</v>
      </c>
      <c r="S6" s="31"/>
    </row>
    <row r="7" spans="1:19" ht="14.4" thickBot="1">
      <c r="C7" s="127" t="s">
        <v>20</v>
      </c>
      <c r="D7" s="128"/>
      <c r="E7" s="129"/>
      <c r="G7" s="127" t="s">
        <v>140</v>
      </c>
      <c r="H7" s="129"/>
      <c r="J7" s="118">
        <v>44817</v>
      </c>
      <c r="K7" s="116">
        <v>193.39135756906651</v>
      </c>
      <c r="L7" s="116">
        <v>285.62284799999998</v>
      </c>
      <c r="M7" s="117">
        <v>92.231490430933462</v>
      </c>
      <c r="N7" s="41"/>
      <c r="O7" s="39">
        <f t="shared" ref="O7:O70" si="4">O6-1</f>
        <v>44817</v>
      </c>
      <c r="P7" s="41">
        <f t="shared" si="1"/>
        <v>193.39135756906651</v>
      </c>
      <c r="Q7" s="41">
        <f t="shared" si="2"/>
        <v>285.62284799999998</v>
      </c>
      <c r="R7" s="41">
        <f t="shared" si="3"/>
        <v>92.231490430933462</v>
      </c>
      <c r="S7" s="31"/>
    </row>
    <row r="8" spans="1:19">
      <c r="G8" s="35"/>
      <c r="J8" s="118">
        <v>44816</v>
      </c>
      <c r="K8" s="116">
        <v>193.39135756906651</v>
      </c>
      <c r="L8" s="116">
        <v>282.36599999999999</v>
      </c>
      <c r="M8" s="117">
        <v>88.974642430933471</v>
      </c>
      <c r="N8" s="41"/>
      <c r="O8" s="39">
        <f t="shared" si="4"/>
        <v>44816</v>
      </c>
      <c r="P8" s="41">
        <f t="shared" si="1"/>
        <v>193.39135756906651</v>
      </c>
      <c r="Q8" s="41">
        <f t="shared" si="2"/>
        <v>282.36599999999999</v>
      </c>
      <c r="R8" s="41">
        <f t="shared" si="3"/>
        <v>88.974642430933471</v>
      </c>
      <c r="S8" s="31"/>
    </row>
    <row r="9" spans="1:19" ht="14.4" thickBot="1">
      <c r="C9" s="5" t="s">
        <v>4</v>
      </c>
      <c r="G9" s="5" t="s">
        <v>25</v>
      </c>
      <c r="J9" s="118">
        <v>44813</v>
      </c>
      <c r="K9" s="116">
        <v>193.39135756906651</v>
      </c>
      <c r="L9" s="116">
        <v>296.20080000000002</v>
      </c>
      <c r="M9" s="117">
        <v>102.8094424309335</v>
      </c>
      <c r="N9" s="41"/>
      <c r="O9" s="39">
        <f t="shared" si="4"/>
        <v>44815</v>
      </c>
      <c r="P9" s="41">
        <f t="shared" si="1"/>
        <v>193.39135756906651</v>
      </c>
      <c r="Q9" s="41">
        <f t="shared" si="2"/>
        <v>296.20080000000002</v>
      </c>
      <c r="R9" s="41">
        <f t="shared" si="3"/>
        <v>102.8094424309335</v>
      </c>
      <c r="S9" s="31"/>
    </row>
    <row r="10" spans="1:19" ht="14.4" thickBot="1">
      <c r="C10" s="127" t="s">
        <v>143</v>
      </c>
      <c r="D10" s="128"/>
      <c r="E10" s="129"/>
      <c r="G10" s="127"/>
      <c r="H10" s="129"/>
      <c r="J10" s="118">
        <v>44812</v>
      </c>
      <c r="K10" s="116">
        <v>189.50119935599548</v>
      </c>
      <c r="L10" s="116">
        <v>309.72715200000005</v>
      </c>
      <c r="M10" s="117">
        <v>120.22595264400456</v>
      </c>
      <c r="N10" s="41"/>
      <c r="O10" s="39">
        <f t="shared" si="4"/>
        <v>44814</v>
      </c>
      <c r="P10" s="41">
        <f t="shared" si="1"/>
        <v>193.39135756906651</v>
      </c>
      <c r="Q10" s="41">
        <f t="shared" si="2"/>
        <v>296.20080000000002</v>
      </c>
      <c r="R10" s="41">
        <f t="shared" si="3"/>
        <v>102.8094424309335</v>
      </c>
      <c r="S10" s="41"/>
    </row>
    <row r="11" spans="1:19">
      <c r="J11" s="118">
        <v>44811</v>
      </c>
      <c r="K11" s="116">
        <v>189.50119935599548</v>
      </c>
      <c r="L11" s="116">
        <v>335.66399999999999</v>
      </c>
      <c r="M11" s="117">
        <v>146.16280064400451</v>
      </c>
      <c r="N11" s="41"/>
      <c r="O11" s="39">
        <f t="shared" si="4"/>
        <v>44813</v>
      </c>
      <c r="P11" s="41">
        <f t="shared" si="1"/>
        <v>193.39135756906651</v>
      </c>
      <c r="Q11" s="41">
        <f t="shared" si="2"/>
        <v>296.20080000000002</v>
      </c>
      <c r="R11" s="41">
        <f t="shared" si="3"/>
        <v>102.8094424309335</v>
      </c>
      <c r="S11" s="41"/>
    </row>
    <row r="12" spans="1:19">
      <c r="C12" s="111" t="s">
        <v>137</v>
      </c>
      <c r="J12" s="118">
        <v>44810</v>
      </c>
      <c r="K12" s="116">
        <v>189.50119935599548</v>
      </c>
      <c r="L12" s="116">
        <v>349.27199999999999</v>
      </c>
      <c r="M12" s="117">
        <v>159.77080064400451</v>
      </c>
      <c r="N12" s="41"/>
      <c r="O12" s="39">
        <f t="shared" si="4"/>
        <v>44812</v>
      </c>
      <c r="P12" s="41">
        <f t="shared" si="1"/>
        <v>189.50119935599548</v>
      </c>
      <c r="Q12" s="41">
        <f t="shared" si="2"/>
        <v>309.72715200000005</v>
      </c>
      <c r="R12" s="41">
        <f t="shared" si="3"/>
        <v>120.22595264400456</v>
      </c>
      <c r="S12" s="41"/>
    </row>
    <row r="13" spans="1:19">
      <c r="J13" s="118">
        <v>44809</v>
      </c>
      <c r="K13" s="116">
        <v>189.50119935599548</v>
      </c>
      <c r="L13" s="116">
        <v>362.88</v>
      </c>
      <c r="M13" s="117">
        <v>173.37880064400451</v>
      </c>
      <c r="N13" s="41"/>
      <c r="O13" s="39">
        <f t="shared" si="4"/>
        <v>44811</v>
      </c>
      <c r="P13" s="41">
        <f t="shared" si="1"/>
        <v>189.50119935599548</v>
      </c>
      <c r="Q13" s="41">
        <f t="shared" si="2"/>
        <v>335.66399999999999</v>
      </c>
      <c r="R13" s="41">
        <f t="shared" si="3"/>
        <v>146.16280064400451</v>
      </c>
      <c r="S13" s="41"/>
    </row>
    <row r="14" spans="1:19">
      <c r="B14" s="7"/>
      <c r="C14" s="7"/>
      <c r="D14" s="7"/>
      <c r="E14" s="7"/>
      <c r="F14" s="7"/>
      <c r="G14" s="7"/>
      <c r="H14" s="7"/>
      <c r="J14" s="118">
        <v>44806</v>
      </c>
      <c r="K14" s="116">
        <v>189.50119935599548</v>
      </c>
      <c r="L14" s="116">
        <v>335.66399999999999</v>
      </c>
      <c r="M14" s="117">
        <v>146.16280064400451</v>
      </c>
      <c r="N14" s="41"/>
      <c r="O14" s="39">
        <f t="shared" si="4"/>
        <v>44810</v>
      </c>
      <c r="P14" s="41">
        <f t="shared" si="1"/>
        <v>189.50119935599548</v>
      </c>
      <c r="Q14" s="41">
        <f t="shared" si="2"/>
        <v>349.27199999999999</v>
      </c>
      <c r="R14" s="41">
        <f t="shared" si="3"/>
        <v>159.77080064400451</v>
      </c>
      <c r="S14" s="41"/>
    </row>
    <row r="15" spans="1:19">
      <c r="B15" s="7"/>
      <c r="C15" s="7"/>
      <c r="D15" s="7"/>
      <c r="E15" s="7"/>
      <c r="F15" s="92"/>
      <c r="G15" s="92"/>
      <c r="H15" s="7"/>
      <c r="J15" s="118">
        <v>44805</v>
      </c>
      <c r="K15" s="116">
        <v>191.79351866475542</v>
      </c>
      <c r="L15" s="116">
        <v>331.80840000000001</v>
      </c>
      <c r="M15" s="117">
        <v>140.01488133524458</v>
      </c>
      <c r="N15" s="41"/>
      <c r="O15" s="39">
        <f t="shared" si="4"/>
        <v>44809</v>
      </c>
      <c r="P15" s="41">
        <f t="shared" si="1"/>
        <v>189.50119935599548</v>
      </c>
      <c r="Q15" s="41">
        <f t="shared" si="2"/>
        <v>362.88</v>
      </c>
      <c r="R15" s="41">
        <f t="shared" si="3"/>
        <v>173.37880064400451</v>
      </c>
      <c r="S15" s="41"/>
    </row>
    <row r="16" spans="1:19">
      <c r="B16" s="7"/>
      <c r="C16" s="7"/>
      <c r="D16" s="7"/>
      <c r="E16" s="7"/>
      <c r="F16" s="92"/>
      <c r="G16" s="92"/>
      <c r="H16" s="7"/>
      <c r="J16" s="118">
        <v>44804</v>
      </c>
      <c r="K16" s="116">
        <v>191.79351866475542</v>
      </c>
      <c r="L16" s="116">
        <v>330.61996800000003</v>
      </c>
      <c r="M16" s="117">
        <v>138.8264493352446</v>
      </c>
      <c r="N16" s="41"/>
      <c r="O16" s="39">
        <f t="shared" si="4"/>
        <v>44808</v>
      </c>
      <c r="P16" s="41">
        <f t="shared" si="1"/>
        <v>189.50119935599548</v>
      </c>
      <c r="Q16" s="41">
        <f t="shared" si="2"/>
        <v>335.66399999999999</v>
      </c>
      <c r="R16" s="41">
        <f t="shared" si="3"/>
        <v>146.16280064400451</v>
      </c>
      <c r="S16" s="82"/>
    </row>
    <row r="17" spans="2:19">
      <c r="B17" s="7"/>
      <c r="C17" s="7"/>
      <c r="D17" s="7"/>
      <c r="E17" s="7"/>
      <c r="F17" s="92"/>
      <c r="G17" s="92"/>
      <c r="H17" s="7"/>
      <c r="J17" s="118">
        <v>44803</v>
      </c>
      <c r="K17" s="116">
        <v>191.79351866475542</v>
      </c>
      <c r="L17" s="116">
        <v>328.86</v>
      </c>
      <c r="M17" s="117">
        <v>137.06648133524459</v>
      </c>
      <c r="N17" s="41"/>
      <c r="O17" s="39">
        <f t="shared" si="4"/>
        <v>44807</v>
      </c>
      <c r="P17" s="41">
        <f t="shared" si="1"/>
        <v>189.50119935599548</v>
      </c>
      <c r="Q17" s="41">
        <f t="shared" si="2"/>
        <v>335.66399999999999</v>
      </c>
      <c r="R17" s="41">
        <f t="shared" si="3"/>
        <v>146.16280064400451</v>
      </c>
      <c r="S17" s="82"/>
    </row>
    <row r="18" spans="2:19">
      <c r="B18" s="7"/>
      <c r="C18" s="7"/>
      <c r="D18" s="7"/>
      <c r="E18" s="7"/>
      <c r="F18" s="92"/>
      <c r="G18" s="92"/>
      <c r="H18" s="7"/>
      <c r="J18" s="118">
        <v>44802</v>
      </c>
      <c r="K18" s="116">
        <v>191.79351866475542</v>
      </c>
      <c r="L18" s="116">
        <v>338.83920000000001</v>
      </c>
      <c r="M18" s="117">
        <v>147.04568133524458</v>
      </c>
      <c r="N18" s="41"/>
      <c r="O18" s="39">
        <f t="shared" si="4"/>
        <v>44806</v>
      </c>
      <c r="P18" s="41">
        <f t="shared" si="1"/>
        <v>189.50119935599548</v>
      </c>
      <c r="Q18" s="41">
        <f t="shared" si="2"/>
        <v>335.66399999999999</v>
      </c>
      <c r="R18" s="41">
        <f t="shared" si="3"/>
        <v>146.16280064400451</v>
      </c>
      <c r="S18" s="82"/>
    </row>
    <row r="19" spans="2:19">
      <c r="B19" s="7"/>
      <c r="C19" s="7"/>
      <c r="D19" s="7"/>
      <c r="E19" s="7"/>
      <c r="F19" s="92"/>
      <c r="G19" s="92"/>
      <c r="H19" s="7"/>
      <c r="J19" s="118">
        <v>44799</v>
      </c>
      <c r="K19" s="116">
        <v>191.79351866475542</v>
      </c>
      <c r="L19" s="116">
        <v>338.83920000000001</v>
      </c>
      <c r="M19" s="117">
        <v>147.04568133524458</v>
      </c>
      <c r="N19" s="41"/>
      <c r="O19" s="39">
        <f t="shared" si="4"/>
        <v>44805</v>
      </c>
      <c r="P19" s="41">
        <f t="shared" si="1"/>
        <v>191.79351866475542</v>
      </c>
      <c r="Q19" s="41">
        <f t="shared" si="2"/>
        <v>331.80840000000001</v>
      </c>
      <c r="R19" s="41">
        <f t="shared" si="3"/>
        <v>140.01488133524458</v>
      </c>
      <c r="S19" s="82"/>
    </row>
    <row r="20" spans="2:19" ht="14.25" customHeight="1">
      <c r="B20" s="7"/>
      <c r="C20" s="7"/>
      <c r="D20" s="7"/>
      <c r="E20" s="7"/>
      <c r="F20" s="131" t="s">
        <v>111</v>
      </c>
      <c r="G20" s="131"/>
      <c r="H20" s="7"/>
      <c r="J20" s="118">
        <v>44798</v>
      </c>
      <c r="K20" s="116">
        <v>189.95492027152079</v>
      </c>
      <c r="L20" s="116">
        <v>343.656432</v>
      </c>
      <c r="M20" s="117">
        <v>153.7015117284792</v>
      </c>
      <c r="N20" s="41"/>
      <c r="O20" s="39">
        <f t="shared" si="4"/>
        <v>44804</v>
      </c>
      <c r="P20" s="41">
        <f t="shared" si="1"/>
        <v>191.79351866475542</v>
      </c>
      <c r="Q20" s="41">
        <f t="shared" si="2"/>
        <v>330.61996800000003</v>
      </c>
      <c r="R20" s="41">
        <f t="shared" si="3"/>
        <v>138.8264493352446</v>
      </c>
      <c r="S20" s="82"/>
    </row>
    <row r="21" spans="2:19">
      <c r="B21" s="7"/>
      <c r="C21" s="7"/>
      <c r="D21" s="7"/>
      <c r="E21" s="7"/>
      <c r="F21" s="131"/>
      <c r="G21" s="131"/>
      <c r="H21" s="7"/>
      <c r="J21" s="118">
        <v>44797</v>
      </c>
      <c r="K21" s="116">
        <v>189.95492027152079</v>
      </c>
      <c r="L21" s="116">
        <v>346.09680000000003</v>
      </c>
      <c r="M21" s="117">
        <v>156.14187972847924</v>
      </c>
      <c r="N21" s="41"/>
      <c r="O21" s="39">
        <f t="shared" si="4"/>
        <v>44803</v>
      </c>
      <c r="P21" s="41">
        <f t="shared" si="1"/>
        <v>191.79351866475542</v>
      </c>
      <c r="Q21" s="41">
        <f t="shared" si="2"/>
        <v>328.86</v>
      </c>
      <c r="R21" s="41">
        <f t="shared" si="3"/>
        <v>137.06648133524459</v>
      </c>
      <c r="S21" s="82"/>
    </row>
    <row r="22" spans="2:19">
      <c r="B22" s="7"/>
      <c r="C22" s="7"/>
      <c r="D22" s="7"/>
      <c r="E22" s="7"/>
      <c r="F22" s="131"/>
      <c r="G22" s="131"/>
      <c r="H22" s="7"/>
      <c r="J22" s="118">
        <v>44796</v>
      </c>
      <c r="K22" s="116">
        <v>189.95492027152079</v>
      </c>
      <c r="L22" s="116">
        <v>356.07600000000002</v>
      </c>
      <c r="M22" s="117">
        <v>166.12107972847923</v>
      </c>
      <c r="N22" s="41"/>
      <c r="O22" s="39">
        <f t="shared" si="4"/>
        <v>44802</v>
      </c>
      <c r="P22" s="41">
        <f t="shared" si="1"/>
        <v>191.79351866475542</v>
      </c>
      <c r="Q22" s="41">
        <f t="shared" si="2"/>
        <v>338.83920000000001</v>
      </c>
      <c r="R22" s="41">
        <f t="shared" si="3"/>
        <v>147.04568133524458</v>
      </c>
      <c r="S22" s="82"/>
    </row>
    <row r="23" spans="2:19">
      <c r="B23" s="7"/>
      <c r="C23" s="7"/>
      <c r="D23" s="7"/>
      <c r="E23" s="7"/>
      <c r="F23" s="92"/>
      <c r="G23" s="92"/>
      <c r="H23" s="7"/>
      <c r="J23" s="118">
        <v>44795</v>
      </c>
      <c r="K23" s="116">
        <v>189.95492027152079</v>
      </c>
      <c r="L23" s="116">
        <v>376.488</v>
      </c>
      <c r="M23" s="117">
        <v>186.53307972847921</v>
      </c>
      <c r="N23" s="41"/>
      <c r="O23" s="39">
        <f t="shared" si="4"/>
        <v>44801</v>
      </c>
      <c r="P23" s="41">
        <f t="shared" si="1"/>
        <v>191.79351866475542</v>
      </c>
      <c r="Q23" s="41">
        <f t="shared" si="2"/>
        <v>338.83920000000001</v>
      </c>
      <c r="R23" s="41">
        <f t="shared" si="3"/>
        <v>147.04568133524458</v>
      </c>
      <c r="S23" s="82"/>
    </row>
    <row r="24" spans="2:19">
      <c r="B24" s="7"/>
      <c r="C24" s="7"/>
      <c r="D24" s="7"/>
      <c r="E24" s="7"/>
      <c r="F24" s="92"/>
      <c r="G24" s="92"/>
      <c r="H24" s="7"/>
      <c r="J24" s="118">
        <v>44792</v>
      </c>
      <c r="K24" s="116">
        <v>189.95492027152079</v>
      </c>
      <c r="L24" s="116">
        <v>362.12702400000001</v>
      </c>
      <c r="M24" s="117">
        <v>172.17210372847921</v>
      </c>
      <c r="N24" s="41"/>
      <c r="O24" s="39">
        <f t="shared" si="4"/>
        <v>44800</v>
      </c>
      <c r="P24" s="41">
        <f t="shared" si="1"/>
        <v>191.79351866475542</v>
      </c>
      <c r="Q24" s="41">
        <f t="shared" si="2"/>
        <v>338.83920000000001</v>
      </c>
      <c r="R24" s="41">
        <f t="shared" si="3"/>
        <v>147.04568133524458</v>
      </c>
      <c r="S24" s="82"/>
    </row>
    <row r="25" spans="2:19">
      <c r="B25" s="7"/>
      <c r="C25" s="7"/>
      <c r="D25" s="7"/>
      <c r="E25" s="7"/>
      <c r="F25" s="92"/>
      <c r="G25" s="92"/>
      <c r="H25" s="7"/>
      <c r="J25" s="118">
        <v>44791</v>
      </c>
      <c r="K25" s="116">
        <v>188.42335697342352</v>
      </c>
      <c r="L25" s="116">
        <v>343.26633600000002</v>
      </c>
      <c r="M25" s="117">
        <v>154.8429790265765</v>
      </c>
      <c r="N25" s="41"/>
      <c r="O25" s="39">
        <f t="shared" si="4"/>
        <v>44799</v>
      </c>
      <c r="P25" s="41">
        <f t="shared" si="1"/>
        <v>191.79351866475542</v>
      </c>
      <c r="Q25" s="41">
        <f t="shared" si="2"/>
        <v>338.83920000000001</v>
      </c>
      <c r="R25" s="41">
        <f t="shared" si="3"/>
        <v>147.04568133524458</v>
      </c>
      <c r="S25" s="82"/>
    </row>
    <row r="26" spans="2:19">
      <c r="B26" s="7"/>
      <c r="C26" s="7"/>
      <c r="D26" s="7"/>
      <c r="E26" s="7"/>
      <c r="F26" s="92"/>
      <c r="G26" s="92"/>
      <c r="H26" s="7"/>
      <c r="J26" s="118">
        <v>44790</v>
      </c>
      <c r="K26" s="116">
        <v>188.42335697342352</v>
      </c>
      <c r="L26" s="116">
        <v>349.11777599999999</v>
      </c>
      <c r="M26" s="117">
        <v>160.69441902657647</v>
      </c>
      <c r="N26" s="41"/>
      <c r="O26" s="39">
        <f t="shared" si="4"/>
        <v>44798</v>
      </c>
      <c r="P26" s="41">
        <f t="shared" si="1"/>
        <v>189.95492027152079</v>
      </c>
      <c r="Q26" s="41">
        <f t="shared" si="2"/>
        <v>343.656432</v>
      </c>
      <c r="R26" s="41">
        <f t="shared" si="3"/>
        <v>153.7015117284792</v>
      </c>
      <c r="S26" s="82"/>
    </row>
    <row r="27" spans="2:19">
      <c r="B27" s="7"/>
      <c r="C27" s="7"/>
      <c r="D27" s="7"/>
      <c r="E27" s="7"/>
      <c r="F27" s="92"/>
      <c r="G27" s="92"/>
      <c r="H27" s="7"/>
      <c r="J27" s="118">
        <v>44789</v>
      </c>
      <c r="K27" s="116">
        <v>188.42335697342352</v>
      </c>
      <c r="L27" s="116">
        <v>347.45760000000001</v>
      </c>
      <c r="M27" s="117">
        <v>159.03424302657649</v>
      </c>
      <c r="N27" s="41"/>
      <c r="O27" s="39">
        <f t="shared" si="4"/>
        <v>44797</v>
      </c>
      <c r="P27" s="41">
        <f t="shared" si="1"/>
        <v>189.95492027152079</v>
      </c>
      <c r="Q27" s="41">
        <f t="shared" si="2"/>
        <v>346.09680000000003</v>
      </c>
      <c r="R27" s="41">
        <f t="shared" si="3"/>
        <v>156.14187972847924</v>
      </c>
      <c r="S27" s="82"/>
    </row>
    <row r="28" spans="2:19">
      <c r="B28" s="7"/>
      <c r="C28" s="7"/>
      <c r="D28" s="7"/>
      <c r="E28" s="7"/>
      <c r="F28" s="7"/>
      <c r="G28" s="7"/>
      <c r="H28" s="7"/>
      <c r="J28" s="118">
        <v>44788</v>
      </c>
      <c r="K28" s="116">
        <v>188.42335697342352</v>
      </c>
      <c r="L28" s="116">
        <v>320.92200000000003</v>
      </c>
      <c r="M28" s="117">
        <v>132.4986430265765</v>
      </c>
      <c r="N28" s="41"/>
      <c r="O28" s="39">
        <f t="shared" si="4"/>
        <v>44796</v>
      </c>
      <c r="P28" s="41">
        <f t="shared" si="1"/>
        <v>189.95492027152079</v>
      </c>
      <c r="Q28" s="41">
        <f t="shared" si="2"/>
        <v>356.07600000000002</v>
      </c>
      <c r="R28" s="41">
        <f t="shared" si="3"/>
        <v>166.12107972847923</v>
      </c>
      <c r="S28" s="82"/>
    </row>
    <row r="29" spans="2:19">
      <c r="B29" s="7"/>
      <c r="C29" s="7"/>
      <c r="D29" s="7"/>
      <c r="E29" s="7"/>
      <c r="F29" s="7"/>
      <c r="G29" s="7"/>
      <c r="H29" s="7"/>
      <c r="J29" s="118">
        <v>44785</v>
      </c>
      <c r="K29" s="116">
        <v>188.42335697342352</v>
      </c>
      <c r="L29" s="116">
        <v>315.25200000000001</v>
      </c>
      <c r="M29" s="117">
        <v>126.82864302657649</v>
      </c>
      <c r="N29" s="41"/>
      <c r="O29" s="39">
        <f t="shared" si="4"/>
        <v>44795</v>
      </c>
      <c r="P29" s="41">
        <f t="shared" si="1"/>
        <v>189.95492027152079</v>
      </c>
      <c r="Q29" s="41">
        <f t="shared" si="2"/>
        <v>376.488</v>
      </c>
      <c r="R29" s="41">
        <f t="shared" si="3"/>
        <v>186.53307972847921</v>
      </c>
      <c r="S29" s="82"/>
    </row>
    <row r="30" spans="2:19">
      <c r="B30" s="7"/>
      <c r="C30" s="7"/>
      <c r="D30" s="7"/>
      <c r="E30" s="7"/>
      <c r="F30" s="7"/>
      <c r="G30" s="7"/>
      <c r="H30" s="7"/>
      <c r="J30" s="118">
        <v>44784</v>
      </c>
      <c r="K30" s="116">
        <v>189.86697159976782</v>
      </c>
      <c r="L30" s="116">
        <v>322.05599999999998</v>
      </c>
      <c r="M30" s="117">
        <v>132.18902840023216</v>
      </c>
      <c r="N30" s="41"/>
      <c r="O30" s="39">
        <f t="shared" si="4"/>
        <v>44794</v>
      </c>
      <c r="P30" s="41">
        <f t="shared" si="1"/>
        <v>189.95492027152079</v>
      </c>
      <c r="Q30" s="41">
        <f t="shared" si="2"/>
        <v>362.12702400000001</v>
      </c>
      <c r="R30" s="41">
        <f t="shared" si="3"/>
        <v>172.17210372847921</v>
      </c>
      <c r="S30" s="82"/>
    </row>
    <row r="31" spans="2:19">
      <c r="B31" s="7"/>
      <c r="C31" s="7"/>
      <c r="D31" s="7"/>
      <c r="E31" s="7"/>
      <c r="F31" s="7"/>
      <c r="G31" s="7"/>
      <c r="H31" s="7"/>
      <c r="J31" s="118">
        <v>44783</v>
      </c>
      <c r="K31" s="116">
        <v>189.86697159976782</v>
      </c>
      <c r="L31" s="116">
        <v>315.25200000000001</v>
      </c>
      <c r="M31" s="117">
        <v>125.38502840023219</v>
      </c>
      <c r="N31" s="41"/>
      <c r="O31" s="39">
        <f t="shared" si="4"/>
        <v>44793</v>
      </c>
      <c r="P31" s="41">
        <f t="shared" si="1"/>
        <v>189.95492027152079</v>
      </c>
      <c r="Q31" s="41">
        <f t="shared" si="2"/>
        <v>362.12702400000001</v>
      </c>
      <c r="R31" s="41">
        <f t="shared" si="3"/>
        <v>172.17210372847921</v>
      </c>
      <c r="S31" s="82"/>
    </row>
    <row r="32" spans="2:19">
      <c r="B32" s="7"/>
      <c r="C32" s="7"/>
      <c r="D32" s="7"/>
      <c r="E32" s="7"/>
      <c r="F32" s="7"/>
      <c r="G32" s="7"/>
      <c r="H32" s="7"/>
      <c r="J32" s="118">
        <v>44782</v>
      </c>
      <c r="K32" s="116">
        <v>189.86697159976782</v>
      </c>
      <c r="L32" s="116">
        <v>288.31723199999999</v>
      </c>
      <c r="M32" s="117">
        <v>98.450260400232168</v>
      </c>
      <c r="N32" s="41"/>
      <c r="O32" s="39">
        <f t="shared" si="4"/>
        <v>44792</v>
      </c>
      <c r="P32" s="41">
        <f t="shared" si="1"/>
        <v>189.95492027152079</v>
      </c>
      <c r="Q32" s="41">
        <f t="shared" si="2"/>
        <v>362.12702400000001</v>
      </c>
      <c r="R32" s="41">
        <f t="shared" si="3"/>
        <v>172.17210372847921</v>
      </c>
      <c r="S32" s="82"/>
    </row>
    <row r="33" spans="2:19">
      <c r="B33" s="7"/>
      <c r="C33" s="7"/>
      <c r="D33" s="7"/>
      <c r="E33" s="7"/>
      <c r="F33" s="7"/>
      <c r="G33" s="7"/>
      <c r="H33" s="7"/>
      <c r="J33" s="118">
        <v>44781</v>
      </c>
      <c r="K33" s="116">
        <v>189.86697159976782</v>
      </c>
      <c r="L33" s="116">
        <v>279.50832000000003</v>
      </c>
      <c r="M33" s="117">
        <v>89.641348400232204</v>
      </c>
      <c r="N33" s="41"/>
      <c r="O33" s="39">
        <f t="shared" si="4"/>
        <v>44791</v>
      </c>
      <c r="P33" s="41">
        <f t="shared" si="1"/>
        <v>188.42335697342352</v>
      </c>
      <c r="Q33" s="41">
        <f t="shared" si="2"/>
        <v>343.26633600000002</v>
      </c>
      <c r="R33" s="41">
        <f t="shared" si="3"/>
        <v>154.8429790265765</v>
      </c>
      <c r="S33" s="82"/>
    </row>
    <row r="34" spans="2:19">
      <c r="B34" s="7"/>
      <c r="C34" s="7"/>
      <c r="D34" s="7"/>
      <c r="E34" s="7"/>
      <c r="F34" s="7"/>
      <c r="G34" s="7"/>
      <c r="H34" s="7"/>
      <c r="J34" s="118">
        <v>44778</v>
      </c>
      <c r="K34" s="116">
        <v>189.86697159976782</v>
      </c>
      <c r="L34" s="116">
        <v>281.4588</v>
      </c>
      <c r="M34" s="117">
        <v>91.591828400232174</v>
      </c>
      <c r="N34" s="41"/>
      <c r="O34" s="39">
        <f t="shared" si="4"/>
        <v>44790</v>
      </c>
      <c r="P34" s="41">
        <f t="shared" si="1"/>
        <v>188.42335697342352</v>
      </c>
      <c r="Q34" s="41">
        <f t="shared" si="2"/>
        <v>349.11777599999999</v>
      </c>
      <c r="R34" s="41">
        <f t="shared" si="3"/>
        <v>160.69441902657647</v>
      </c>
      <c r="S34" s="82"/>
    </row>
    <row r="35" spans="2:19">
      <c r="B35" s="7"/>
      <c r="C35" s="7"/>
      <c r="D35" s="7"/>
      <c r="E35" s="7"/>
      <c r="F35" s="7"/>
      <c r="G35" s="7"/>
      <c r="H35" s="7"/>
      <c r="J35" s="118">
        <v>44777</v>
      </c>
      <c r="K35" s="116">
        <v>193.95265855628958</v>
      </c>
      <c r="L35" s="116">
        <v>300.47371199999998</v>
      </c>
      <c r="M35" s="117">
        <v>106.5210534437104</v>
      </c>
      <c r="N35" s="41"/>
      <c r="O35" s="39">
        <f t="shared" si="4"/>
        <v>44789</v>
      </c>
      <c r="P35" s="41">
        <f t="shared" si="1"/>
        <v>188.42335697342352</v>
      </c>
      <c r="Q35" s="41">
        <f t="shared" si="2"/>
        <v>347.45760000000001</v>
      </c>
      <c r="R35" s="41">
        <f t="shared" si="3"/>
        <v>159.03424302657649</v>
      </c>
      <c r="S35" s="82"/>
    </row>
    <row r="36" spans="2:19">
      <c r="B36" s="7"/>
      <c r="C36" s="83"/>
      <c r="D36" s="7"/>
      <c r="E36" s="7"/>
      <c r="F36" s="7"/>
      <c r="G36" s="7"/>
      <c r="H36" s="7"/>
      <c r="J36" s="118">
        <v>44776</v>
      </c>
      <c r="K36" s="116">
        <v>193.95265855628958</v>
      </c>
      <c r="L36" s="116">
        <v>326.84601599999996</v>
      </c>
      <c r="M36" s="117">
        <v>132.89335744371039</v>
      </c>
      <c r="N36" s="41"/>
      <c r="O36" s="39">
        <f t="shared" si="4"/>
        <v>44788</v>
      </c>
      <c r="P36" s="41">
        <f t="shared" si="1"/>
        <v>188.42335697342352</v>
      </c>
      <c r="Q36" s="41">
        <f t="shared" si="2"/>
        <v>320.92200000000003</v>
      </c>
      <c r="R36" s="41">
        <f t="shared" si="3"/>
        <v>132.4986430265765</v>
      </c>
      <c r="S36" s="82"/>
    </row>
    <row r="37" spans="2:19">
      <c r="B37" s="7"/>
      <c r="C37" s="7"/>
      <c r="D37" s="7"/>
      <c r="E37" s="7"/>
      <c r="F37" s="84"/>
      <c r="G37" s="7"/>
      <c r="H37" s="83"/>
      <c r="J37" s="118">
        <v>44775</v>
      </c>
      <c r="K37" s="116">
        <v>193.95265855628958</v>
      </c>
      <c r="L37" s="116">
        <v>343.520352</v>
      </c>
      <c r="M37" s="117">
        <v>149.56769344371043</v>
      </c>
      <c r="N37" s="41"/>
      <c r="O37" s="39">
        <f t="shared" si="4"/>
        <v>44787</v>
      </c>
      <c r="P37" s="41">
        <f t="shared" si="1"/>
        <v>188.42335697342352</v>
      </c>
      <c r="Q37" s="41">
        <f t="shared" si="2"/>
        <v>315.25200000000001</v>
      </c>
      <c r="R37" s="41">
        <f t="shared" si="3"/>
        <v>126.82864302657649</v>
      </c>
      <c r="S37" s="82"/>
    </row>
    <row r="38" spans="2:19">
      <c r="B38" s="7"/>
      <c r="C38" s="7"/>
      <c r="D38" s="85"/>
      <c r="E38" s="7"/>
      <c r="F38" s="7"/>
      <c r="G38" s="7"/>
      <c r="H38" s="86"/>
      <c r="J38" s="118">
        <v>44774</v>
      </c>
      <c r="K38" s="116">
        <v>193.95265855628958</v>
      </c>
      <c r="L38" s="116">
        <v>362.77113600000001</v>
      </c>
      <c r="M38" s="117">
        <v>168.81847744371044</v>
      </c>
      <c r="N38" s="41"/>
      <c r="O38" s="39">
        <f t="shared" si="4"/>
        <v>44786</v>
      </c>
      <c r="P38" s="41">
        <f t="shared" si="1"/>
        <v>188.42335697342352</v>
      </c>
      <c r="Q38" s="41">
        <f t="shared" si="2"/>
        <v>315.25200000000001</v>
      </c>
      <c r="R38" s="41">
        <f t="shared" si="3"/>
        <v>126.82864302657649</v>
      </c>
      <c r="S38" s="82"/>
    </row>
    <row r="39" spans="2:19">
      <c r="B39" s="7"/>
      <c r="C39" s="7"/>
      <c r="D39" s="85"/>
      <c r="E39" s="7"/>
      <c r="F39" s="7"/>
      <c r="G39" s="7"/>
      <c r="H39" s="86"/>
      <c r="J39" s="118">
        <v>44771</v>
      </c>
      <c r="K39" s="116">
        <v>193.95265855628958</v>
      </c>
      <c r="L39" s="116">
        <v>373.31279999999998</v>
      </c>
      <c r="M39" s="117">
        <v>179.3601414437104</v>
      </c>
      <c r="N39" s="41"/>
      <c r="O39" s="39">
        <f t="shared" si="4"/>
        <v>44785</v>
      </c>
      <c r="P39" s="41">
        <f t="shared" si="1"/>
        <v>188.42335697342352</v>
      </c>
      <c r="Q39" s="41">
        <f t="shared" si="2"/>
        <v>315.25200000000001</v>
      </c>
      <c r="R39" s="41">
        <f t="shared" si="3"/>
        <v>126.82864302657649</v>
      </c>
      <c r="S39" s="82"/>
    </row>
    <row r="40" spans="2:19">
      <c r="B40" s="7"/>
      <c r="C40" s="7"/>
      <c r="D40" s="85"/>
      <c r="E40" s="7"/>
      <c r="F40" s="7"/>
      <c r="G40" s="7"/>
      <c r="H40" s="86"/>
      <c r="J40" s="118">
        <v>44770</v>
      </c>
      <c r="K40" s="116">
        <v>189.63767684841204</v>
      </c>
      <c r="L40" s="116">
        <v>378.9828</v>
      </c>
      <c r="M40" s="117">
        <v>189.34512315158796</v>
      </c>
      <c r="N40" s="41"/>
      <c r="O40" s="39">
        <f t="shared" si="4"/>
        <v>44784</v>
      </c>
      <c r="P40" s="41">
        <f t="shared" si="1"/>
        <v>189.86697159976782</v>
      </c>
      <c r="Q40" s="41">
        <f t="shared" si="2"/>
        <v>322.05599999999998</v>
      </c>
      <c r="R40" s="41">
        <f t="shared" si="3"/>
        <v>132.18902840023216</v>
      </c>
      <c r="S40" s="82"/>
    </row>
    <row r="41" spans="2:19">
      <c r="B41" s="7"/>
      <c r="C41" s="7"/>
      <c r="D41" s="7"/>
      <c r="E41" s="7"/>
      <c r="F41" s="7"/>
      <c r="G41" s="7"/>
      <c r="H41" s="86"/>
      <c r="J41" s="118">
        <v>44769</v>
      </c>
      <c r="K41" s="116">
        <v>189.63767684841204</v>
      </c>
      <c r="L41" s="116">
        <v>371.67984000000001</v>
      </c>
      <c r="M41" s="117">
        <v>182.04216315158797</v>
      </c>
      <c r="N41" s="41"/>
      <c r="O41" s="39">
        <f t="shared" si="4"/>
        <v>44783</v>
      </c>
      <c r="P41" s="41">
        <f t="shared" si="1"/>
        <v>189.86697159976782</v>
      </c>
      <c r="Q41" s="41">
        <f t="shared" si="2"/>
        <v>315.25200000000001</v>
      </c>
      <c r="R41" s="41">
        <f t="shared" si="3"/>
        <v>125.38502840023219</v>
      </c>
      <c r="S41" s="82"/>
    </row>
    <row r="42" spans="2:19">
      <c r="B42" s="7"/>
      <c r="C42" s="7"/>
      <c r="D42" s="7"/>
      <c r="E42" s="7"/>
      <c r="F42" s="7"/>
      <c r="G42" s="7"/>
      <c r="H42" s="7"/>
      <c r="J42" s="118">
        <v>44768</v>
      </c>
      <c r="K42" s="116">
        <v>189.63767684841204</v>
      </c>
      <c r="L42" s="116">
        <v>373.203936</v>
      </c>
      <c r="M42" s="117">
        <v>183.56625915158796</v>
      </c>
      <c r="N42" s="41"/>
      <c r="O42" s="39">
        <f t="shared" si="4"/>
        <v>44782</v>
      </c>
      <c r="P42" s="41">
        <f t="shared" si="1"/>
        <v>189.86697159976782</v>
      </c>
      <c r="Q42" s="41">
        <f t="shared" si="2"/>
        <v>288.31723199999999</v>
      </c>
      <c r="R42" s="41">
        <f t="shared" si="3"/>
        <v>98.450260400232168</v>
      </c>
      <c r="S42" s="82"/>
    </row>
    <row r="43" spans="2:19" ht="14.25" customHeight="1">
      <c r="B43" s="7"/>
      <c r="C43" s="7"/>
      <c r="D43" s="7"/>
      <c r="E43" s="7"/>
      <c r="F43" s="7"/>
      <c r="G43" s="7"/>
      <c r="H43" s="83"/>
      <c r="J43" s="118">
        <v>44767</v>
      </c>
      <c r="K43" s="116">
        <v>189.63767684841204</v>
      </c>
      <c r="L43" s="116">
        <v>351.08640000000003</v>
      </c>
      <c r="M43" s="117">
        <v>161.44872315158798</v>
      </c>
      <c r="N43" s="41"/>
      <c r="O43" s="39">
        <f t="shared" si="4"/>
        <v>44781</v>
      </c>
      <c r="P43" s="41">
        <f t="shared" si="1"/>
        <v>189.86697159976782</v>
      </c>
      <c r="Q43" s="41">
        <f t="shared" si="2"/>
        <v>279.50832000000003</v>
      </c>
      <c r="R43" s="41">
        <f t="shared" si="3"/>
        <v>89.641348400232204</v>
      </c>
      <c r="S43" s="82"/>
    </row>
    <row r="44" spans="2:19" ht="14.25" customHeight="1">
      <c r="B44" s="7"/>
      <c r="C44" s="7"/>
      <c r="D44" s="7"/>
      <c r="E44" s="7"/>
      <c r="F44" s="7"/>
      <c r="G44" s="7"/>
      <c r="H44" s="83"/>
      <c r="J44" s="118">
        <v>44764</v>
      </c>
      <c r="K44" s="116">
        <v>189.63767684841204</v>
      </c>
      <c r="L44" s="116">
        <v>339.41073599999999</v>
      </c>
      <c r="M44" s="117">
        <v>149.77305915158794</v>
      </c>
      <c r="N44" s="41"/>
      <c r="O44" s="39">
        <f t="shared" si="4"/>
        <v>44780</v>
      </c>
      <c r="P44" s="41">
        <f t="shared" si="1"/>
        <v>189.86697159976782</v>
      </c>
      <c r="Q44" s="41">
        <f t="shared" si="2"/>
        <v>281.4588</v>
      </c>
      <c r="R44" s="41">
        <f t="shared" si="3"/>
        <v>91.591828400232174</v>
      </c>
      <c r="S44" s="82"/>
    </row>
    <row r="45" spans="2:19">
      <c r="B45" s="7"/>
      <c r="C45" s="7"/>
      <c r="D45" s="7"/>
      <c r="E45" s="7"/>
      <c r="F45" s="7"/>
      <c r="G45" s="7"/>
      <c r="H45" s="86"/>
      <c r="J45" s="118">
        <v>44763</v>
      </c>
      <c r="K45" s="116">
        <v>195.06285348597066</v>
      </c>
      <c r="L45" s="116">
        <v>335.87265600000001</v>
      </c>
      <c r="M45" s="117">
        <v>140.80980251402934</v>
      </c>
      <c r="N45" s="41"/>
      <c r="O45" s="39">
        <f t="shared" si="4"/>
        <v>44779</v>
      </c>
      <c r="P45" s="41">
        <f t="shared" si="1"/>
        <v>189.86697159976782</v>
      </c>
      <c r="Q45" s="41">
        <f t="shared" si="2"/>
        <v>281.4588</v>
      </c>
      <c r="R45" s="41">
        <f t="shared" si="3"/>
        <v>91.591828400232174</v>
      </c>
      <c r="S45" s="82"/>
    </row>
    <row r="46" spans="2:19">
      <c r="H46" s="20"/>
      <c r="J46" s="118">
        <v>44762</v>
      </c>
      <c r="K46" s="116">
        <v>195.06285348597066</v>
      </c>
      <c r="L46" s="116">
        <v>336.97944000000001</v>
      </c>
      <c r="M46" s="117">
        <v>141.91658651402935</v>
      </c>
      <c r="N46" s="41"/>
      <c r="O46" s="39">
        <f t="shared" si="4"/>
        <v>44778</v>
      </c>
      <c r="P46" s="41">
        <f t="shared" si="1"/>
        <v>189.86697159976782</v>
      </c>
      <c r="Q46" s="41">
        <f t="shared" si="2"/>
        <v>281.4588</v>
      </c>
      <c r="R46" s="41">
        <f t="shared" si="3"/>
        <v>91.591828400232174</v>
      </c>
      <c r="S46" s="82"/>
    </row>
    <row r="47" spans="2:19">
      <c r="B47" s="19" t="s">
        <v>7</v>
      </c>
      <c r="C47" s="10"/>
      <c r="D47" s="10"/>
      <c r="E47" s="10"/>
      <c r="F47" s="10"/>
      <c r="G47" s="10"/>
      <c r="H47" s="28"/>
      <c r="J47" s="118">
        <v>44761</v>
      </c>
      <c r="K47" s="116">
        <v>195.06285348597066</v>
      </c>
      <c r="L47" s="116">
        <v>332.48880000000003</v>
      </c>
      <c r="M47" s="117">
        <v>137.42594651402936</v>
      </c>
      <c r="N47" s="41"/>
      <c r="O47" s="39">
        <f t="shared" si="4"/>
        <v>44777</v>
      </c>
      <c r="P47" s="41">
        <f t="shared" si="1"/>
        <v>193.95265855628958</v>
      </c>
      <c r="Q47" s="41">
        <f t="shared" si="2"/>
        <v>300.47371199999998</v>
      </c>
      <c r="R47" s="41">
        <f t="shared" si="3"/>
        <v>106.5210534437104</v>
      </c>
      <c r="S47" s="82"/>
    </row>
    <row r="48" spans="2:19">
      <c r="B48" s="5" t="s">
        <v>15</v>
      </c>
      <c r="J48" s="118">
        <v>44760</v>
      </c>
      <c r="K48" s="116">
        <v>195.06285348597066</v>
      </c>
      <c r="L48" s="116">
        <v>334.53000000000003</v>
      </c>
      <c r="M48" s="117">
        <v>139.46714651402937</v>
      </c>
      <c r="N48" s="41"/>
      <c r="O48" s="39">
        <f t="shared" si="4"/>
        <v>44776</v>
      </c>
      <c r="P48" s="41">
        <f t="shared" si="1"/>
        <v>193.95265855628958</v>
      </c>
      <c r="Q48" s="41">
        <f t="shared" si="2"/>
        <v>326.84601599999996</v>
      </c>
      <c r="R48" s="41">
        <f t="shared" si="3"/>
        <v>132.89335744371039</v>
      </c>
      <c r="S48" s="82"/>
    </row>
    <row r="49" spans="2:19">
      <c r="B49" s="2" t="s">
        <v>5</v>
      </c>
      <c r="D49" s="6" t="s">
        <v>9</v>
      </c>
      <c r="J49" s="118">
        <v>44757</v>
      </c>
      <c r="K49" s="116">
        <v>195.06285348597066</v>
      </c>
      <c r="L49" s="116">
        <v>346.67740800000001</v>
      </c>
      <c r="M49" s="117">
        <v>151.61455451402935</v>
      </c>
      <c r="N49" s="41"/>
      <c r="O49" s="39">
        <f t="shared" si="4"/>
        <v>44775</v>
      </c>
      <c r="P49" s="41">
        <f t="shared" si="1"/>
        <v>193.95265855628958</v>
      </c>
      <c r="Q49" s="41">
        <f t="shared" si="2"/>
        <v>343.520352</v>
      </c>
      <c r="R49" s="41">
        <f t="shared" si="3"/>
        <v>149.56769344371043</v>
      </c>
      <c r="S49" s="82"/>
    </row>
    <row r="50" spans="2:19">
      <c r="B50" s="2" t="s">
        <v>6</v>
      </c>
      <c r="C50" s="35"/>
      <c r="D50" s="2" t="s">
        <v>10</v>
      </c>
      <c r="J50" s="118">
        <v>44756</v>
      </c>
      <c r="K50" s="116">
        <v>191.49402202719688</v>
      </c>
      <c r="L50" s="116">
        <v>365.14800000000002</v>
      </c>
      <c r="M50" s="117">
        <v>173.65397797280315</v>
      </c>
      <c r="N50" s="41"/>
      <c r="O50" s="39">
        <f t="shared" si="4"/>
        <v>44774</v>
      </c>
      <c r="P50" s="41">
        <f t="shared" si="1"/>
        <v>193.95265855628958</v>
      </c>
      <c r="Q50" s="41">
        <f t="shared" si="2"/>
        <v>362.77113600000001</v>
      </c>
      <c r="R50" s="41">
        <f t="shared" si="3"/>
        <v>168.81847744371044</v>
      </c>
      <c r="S50" s="82"/>
    </row>
    <row r="51" spans="2:19">
      <c r="C51" s="35"/>
      <c r="D51" s="2" t="s">
        <v>11</v>
      </c>
      <c r="J51" s="118">
        <v>44755</v>
      </c>
      <c r="K51" s="116">
        <v>191.49402202719688</v>
      </c>
      <c r="L51" s="116">
        <v>369.68400000000003</v>
      </c>
      <c r="M51" s="117">
        <v>178.18997797280315</v>
      </c>
      <c r="N51" s="41"/>
      <c r="O51" s="39">
        <f t="shared" si="4"/>
        <v>44773</v>
      </c>
      <c r="P51" s="41">
        <f t="shared" si="1"/>
        <v>193.95265855628958</v>
      </c>
      <c r="Q51" s="41">
        <f t="shared" si="2"/>
        <v>373.31279999999998</v>
      </c>
      <c r="R51" s="41">
        <f t="shared" si="3"/>
        <v>179.3601414437104</v>
      </c>
      <c r="S51" s="82"/>
    </row>
    <row r="52" spans="2:19">
      <c r="C52" s="35"/>
      <c r="G52" s="5" t="s">
        <v>12</v>
      </c>
      <c r="J52" s="118">
        <v>44754</v>
      </c>
      <c r="K52" s="116">
        <v>191.49402202719688</v>
      </c>
      <c r="L52" s="116">
        <v>368.81308799999999</v>
      </c>
      <c r="M52" s="117">
        <v>177.31906597280312</v>
      </c>
      <c r="N52" s="41"/>
      <c r="O52" s="39">
        <f t="shared" si="4"/>
        <v>44772</v>
      </c>
      <c r="P52" s="41">
        <f t="shared" si="1"/>
        <v>193.95265855628958</v>
      </c>
      <c r="Q52" s="41">
        <f t="shared" si="2"/>
        <v>373.31279999999998</v>
      </c>
      <c r="R52" s="41">
        <f t="shared" si="3"/>
        <v>179.3601414437104</v>
      </c>
      <c r="S52" s="82"/>
    </row>
    <row r="53" spans="2:19">
      <c r="G53" s="20" t="s">
        <v>17</v>
      </c>
      <c r="J53" s="118">
        <v>44753</v>
      </c>
      <c r="K53" s="116">
        <v>191.49402202719688</v>
      </c>
      <c r="L53" s="116">
        <v>368.77679999999998</v>
      </c>
      <c r="M53" s="117">
        <v>177.2827779728031</v>
      </c>
      <c r="N53" s="41"/>
      <c r="O53" s="39">
        <f t="shared" si="4"/>
        <v>44771</v>
      </c>
      <c r="P53" s="41">
        <f t="shared" si="1"/>
        <v>193.95265855628958</v>
      </c>
      <c r="Q53" s="41">
        <f t="shared" si="2"/>
        <v>373.31279999999998</v>
      </c>
      <c r="R53" s="41">
        <f t="shared" si="3"/>
        <v>179.3601414437104</v>
      </c>
      <c r="S53" s="82"/>
    </row>
    <row r="54" spans="2:19">
      <c r="B54" s="10"/>
      <c r="C54" s="10"/>
      <c r="D54" s="10"/>
      <c r="E54" s="10"/>
      <c r="G54" s="20" t="s">
        <v>1</v>
      </c>
      <c r="J54" s="118">
        <v>44750</v>
      </c>
      <c r="K54" s="116">
        <v>191.49402202719688</v>
      </c>
      <c r="L54" s="116">
        <v>356.98320000000001</v>
      </c>
      <c r="M54" s="117">
        <v>165.48917797280313</v>
      </c>
      <c r="N54" s="41"/>
      <c r="O54" s="39">
        <f t="shared" si="4"/>
        <v>44770</v>
      </c>
      <c r="P54" s="41">
        <f t="shared" si="1"/>
        <v>189.63767684841204</v>
      </c>
      <c r="Q54" s="41">
        <f t="shared" si="2"/>
        <v>378.9828</v>
      </c>
      <c r="R54" s="41">
        <f t="shared" si="3"/>
        <v>189.34512315158796</v>
      </c>
      <c r="S54" s="82"/>
    </row>
    <row r="55" spans="2:19">
      <c r="B55" s="5" t="s">
        <v>16</v>
      </c>
      <c r="G55" s="20" t="s">
        <v>18</v>
      </c>
      <c r="J55" s="118">
        <v>44749</v>
      </c>
      <c r="K55" s="116">
        <v>180.64885144166504</v>
      </c>
      <c r="L55" s="116">
        <v>349.27199999999999</v>
      </c>
      <c r="M55" s="117">
        <v>168.62314855833495</v>
      </c>
      <c r="N55" s="41"/>
      <c r="O55" s="39">
        <f t="shared" si="4"/>
        <v>44769</v>
      </c>
      <c r="P55" s="41">
        <f t="shared" si="1"/>
        <v>189.63767684841204</v>
      </c>
      <c r="Q55" s="41">
        <f t="shared" si="2"/>
        <v>371.67984000000001</v>
      </c>
      <c r="R55" s="41">
        <f t="shared" si="3"/>
        <v>182.04216315158797</v>
      </c>
      <c r="S55" s="82"/>
    </row>
    <row r="56" spans="2:19">
      <c r="G56" s="20" t="s">
        <v>19</v>
      </c>
      <c r="J56" s="118">
        <v>44748</v>
      </c>
      <c r="K56" s="116">
        <v>180.64885144166504</v>
      </c>
      <c r="L56" s="116">
        <v>346.21473600000002</v>
      </c>
      <c r="M56" s="117">
        <v>165.56588455833497</v>
      </c>
      <c r="N56" s="41"/>
      <c r="O56" s="39">
        <f t="shared" si="4"/>
        <v>44768</v>
      </c>
      <c r="P56" s="41">
        <f t="shared" si="1"/>
        <v>189.63767684841204</v>
      </c>
      <c r="Q56" s="41">
        <f t="shared" si="2"/>
        <v>373.203936</v>
      </c>
      <c r="R56" s="41">
        <f t="shared" si="3"/>
        <v>183.56625915158796</v>
      </c>
      <c r="S56" s="82"/>
    </row>
    <row r="57" spans="2:19">
      <c r="J57" s="118">
        <v>44747</v>
      </c>
      <c r="K57" s="116">
        <v>180.64885144166504</v>
      </c>
      <c r="L57" s="116">
        <v>355.89456000000001</v>
      </c>
      <c r="M57" s="117">
        <v>175.24570855833497</v>
      </c>
      <c r="N57" s="41"/>
      <c r="O57" s="39">
        <f t="shared" si="4"/>
        <v>44767</v>
      </c>
      <c r="P57" s="41">
        <f t="shared" si="1"/>
        <v>189.63767684841204</v>
      </c>
      <c r="Q57" s="41">
        <f t="shared" si="2"/>
        <v>351.08640000000003</v>
      </c>
      <c r="R57" s="41">
        <f t="shared" si="3"/>
        <v>161.44872315158798</v>
      </c>
      <c r="S57" s="82"/>
    </row>
    <row r="58" spans="2:19">
      <c r="J58" s="118">
        <v>44746</v>
      </c>
      <c r="K58" s="116">
        <v>180.64885144166504</v>
      </c>
      <c r="L58" s="116">
        <v>352.111536</v>
      </c>
      <c r="M58" s="117">
        <v>171.46268455833496</v>
      </c>
      <c r="N58" s="41"/>
      <c r="O58" s="39">
        <f t="shared" si="4"/>
        <v>44766</v>
      </c>
      <c r="P58" s="41">
        <f t="shared" si="1"/>
        <v>189.63767684841204</v>
      </c>
      <c r="Q58" s="41">
        <f t="shared" si="2"/>
        <v>339.41073599999999</v>
      </c>
      <c r="R58" s="41">
        <f t="shared" si="3"/>
        <v>149.77305915158794</v>
      </c>
      <c r="S58" s="82"/>
    </row>
    <row r="59" spans="2:19">
      <c r="J59" s="118">
        <v>44743</v>
      </c>
      <c r="K59" s="116">
        <v>180.64885144166504</v>
      </c>
      <c r="L59" s="116">
        <v>340.59916800000002</v>
      </c>
      <c r="M59" s="117">
        <v>159.95031655833498</v>
      </c>
      <c r="N59" s="41"/>
      <c r="O59" s="39">
        <f t="shared" si="4"/>
        <v>44765</v>
      </c>
      <c r="P59" s="41">
        <f t="shared" si="1"/>
        <v>189.63767684841204</v>
      </c>
      <c r="Q59" s="41">
        <f t="shared" si="2"/>
        <v>339.41073599999999</v>
      </c>
      <c r="R59" s="41">
        <f t="shared" si="3"/>
        <v>149.77305915158794</v>
      </c>
      <c r="S59" s="82"/>
    </row>
    <row r="60" spans="2:19">
      <c r="B60" s="10"/>
      <c r="C60" s="10"/>
      <c r="D60" s="10"/>
      <c r="E60" s="10"/>
      <c r="F60" s="10"/>
      <c r="G60" s="10"/>
      <c r="H60" s="10"/>
      <c r="J60" s="118">
        <v>44742</v>
      </c>
      <c r="K60" s="116">
        <v>186.43246972563244</v>
      </c>
      <c r="L60" s="116">
        <v>333.06033600000001</v>
      </c>
      <c r="M60" s="117">
        <v>146.62786627436756</v>
      </c>
      <c r="N60" s="41"/>
      <c r="O60" s="39">
        <f t="shared" si="4"/>
        <v>44764</v>
      </c>
      <c r="P60" s="41">
        <f t="shared" si="1"/>
        <v>189.63767684841204</v>
      </c>
      <c r="Q60" s="41">
        <f t="shared" si="2"/>
        <v>339.41073599999999</v>
      </c>
      <c r="R60" s="41">
        <f t="shared" si="3"/>
        <v>149.77305915158794</v>
      </c>
      <c r="S60" s="82"/>
    </row>
    <row r="61" spans="2:19">
      <c r="J61" s="118">
        <v>44741</v>
      </c>
      <c r="K61" s="116">
        <v>186.43246972563244</v>
      </c>
      <c r="L61" s="116">
        <v>333.77702400000004</v>
      </c>
      <c r="M61" s="117">
        <v>147.3445542743676</v>
      </c>
      <c r="N61" s="41"/>
      <c r="O61" s="39">
        <f t="shared" si="4"/>
        <v>44763</v>
      </c>
      <c r="P61" s="41">
        <f t="shared" si="1"/>
        <v>195.06285348597066</v>
      </c>
      <c r="Q61" s="41">
        <f t="shared" si="2"/>
        <v>335.87265600000001</v>
      </c>
      <c r="R61" s="41">
        <f t="shared" si="3"/>
        <v>140.80980251402934</v>
      </c>
      <c r="S61" s="82"/>
    </row>
    <row r="62" spans="2:19">
      <c r="J62" s="118">
        <v>44740</v>
      </c>
      <c r="K62" s="116">
        <v>186.43246972563244</v>
      </c>
      <c r="L62" s="116">
        <v>337.30603200000002</v>
      </c>
      <c r="M62" s="117">
        <v>150.87356227436757</v>
      </c>
      <c r="N62" s="41"/>
      <c r="O62" s="39">
        <f t="shared" si="4"/>
        <v>44762</v>
      </c>
      <c r="P62" s="41">
        <f t="shared" si="1"/>
        <v>195.06285348597066</v>
      </c>
      <c r="Q62" s="41">
        <f t="shared" si="2"/>
        <v>336.97944000000001</v>
      </c>
      <c r="R62" s="41">
        <f t="shared" si="3"/>
        <v>141.91658651402935</v>
      </c>
      <c r="S62" s="82"/>
    </row>
    <row r="63" spans="2:19">
      <c r="J63" s="118">
        <v>44739</v>
      </c>
      <c r="K63" s="116">
        <v>186.43246972563244</v>
      </c>
      <c r="L63" s="116">
        <v>370.43697600000002</v>
      </c>
      <c r="M63" s="117">
        <v>184.00450627436757</v>
      </c>
      <c r="N63" s="41"/>
      <c r="O63" s="39">
        <f t="shared" si="4"/>
        <v>44761</v>
      </c>
      <c r="P63" s="41">
        <f t="shared" si="1"/>
        <v>195.06285348597066</v>
      </c>
      <c r="Q63" s="41">
        <f t="shared" si="2"/>
        <v>332.48880000000003</v>
      </c>
      <c r="R63" s="41">
        <f t="shared" si="3"/>
        <v>137.42594651402936</v>
      </c>
      <c r="S63" s="82"/>
    </row>
    <row r="64" spans="2:19">
      <c r="C64" s="11" t="s">
        <v>13</v>
      </c>
      <c r="D64" s="12"/>
      <c r="E64" s="13"/>
      <c r="J64" s="118">
        <v>44736</v>
      </c>
      <c r="K64" s="116">
        <v>186.43246972563244</v>
      </c>
      <c r="L64" s="116">
        <v>380.05329599999999</v>
      </c>
      <c r="M64" s="117">
        <v>193.62082627436754</v>
      </c>
      <c r="N64" s="41"/>
      <c r="O64" s="39">
        <f t="shared" si="4"/>
        <v>44760</v>
      </c>
      <c r="P64" s="41">
        <f t="shared" si="1"/>
        <v>195.06285348597066</v>
      </c>
      <c r="Q64" s="41">
        <f t="shared" si="2"/>
        <v>334.53000000000003</v>
      </c>
      <c r="R64" s="41">
        <f t="shared" si="3"/>
        <v>139.46714651402937</v>
      </c>
      <c r="S64" s="82"/>
    </row>
    <row r="65" spans="3:19">
      <c r="C65" s="14" t="str">
        <f>IF(G4="","Source: "&amp; G7,"Notes: " &amp; G4 &amp; CHAR(10) &amp; "Source: "&amp;G7)</f>
        <v>Source: McCloskey by OPIS</v>
      </c>
      <c r="E65" s="15"/>
      <c r="J65" s="118">
        <v>44735</v>
      </c>
      <c r="K65" s="116">
        <v>164.18192692574277</v>
      </c>
      <c r="L65" s="116">
        <v>386.24040000000002</v>
      </c>
      <c r="M65" s="117">
        <v>222.05847307425725</v>
      </c>
      <c r="N65" s="41"/>
      <c r="O65" s="39">
        <f t="shared" si="4"/>
        <v>44759</v>
      </c>
      <c r="P65" s="41">
        <f t="shared" si="1"/>
        <v>195.06285348597066</v>
      </c>
      <c r="Q65" s="41">
        <f t="shared" si="2"/>
        <v>346.67740800000001</v>
      </c>
      <c r="R65" s="41">
        <f t="shared" si="3"/>
        <v>151.61455451402935</v>
      </c>
      <c r="S65" s="82"/>
    </row>
    <row r="66" spans="3:19">
      <c r="C66" s="16" t="str">
        <f>CHAR(169) &amp; " 2021 "&amp;G7</f>
        <v>© 2021 McCloskey by OPIS</v>
      </c>
      <c r="D66" s="17"/>
      <c r="E66" s="18"/>
      <c r="J66" s="118">
        <v>44734</v>
      </c>
      <c r="K66" s="116">
        <v>164.18192692574277</v>
      </c>
      <c r="L66" s="116">
        <v>373.65753599999999</v>
      </c>
      <c r="M66" s="117">
        <v>209.47560907425722</v>
      </c>
      <c r="O66" s="39">
        <f t="shared" si="4"/>
        <v>44758</v>
      </c>
      <c r="P66" s="41">
        <f t="shared" si="1"/>
        <v>195.06285348597066</v>
      </c>
      <c r="Q66" s="41">
        <f t="shared" si="2"/>
        <v>346.67740800000001</v>
      </c>
      <c r="R66" s="41">
        <f t="shared" si="3"/>
        <v>151.61455451402935</v>
      </c>
      <c r="S66" s="82"/>
    </row>
    <row r="67" spans="3:19">
      <c r="J67" s="118">
        <v>44733</v>
      </c>
      <c r="K67" s="116">
        <v>164.18192692574277</v>
      </c>
      <c r="L67" s="116">
        <v>363.10680000000002</v>
      </c>
      <c r="M67" s="117">
        <v>198.92487307425725</v>
      </c>
      <c r="O67" s="39">
        <f t="shared" si="4"/>
        <v>44757</v>
      </c>
      <c r="P67" s="41">
        <f t="shared" si="1"/>
        <v>195.06285348597066</v>
      </c>
      <c r="Q67" s="41">
        <f t="shared" si="2"/>
        <v>346.67740800000001</v>
      </c>
      <c r="R67" s="41">
        <f t="shared" si="3"/>
        <v>151.61455451402935</v>
      </c>
      <c r="S67" s="82"/>
    </row>
    <row r="68" spans="3:19">
      <c r="J68" s="118">
        <v>44732</v>
      </c>
      <c r="K68" s="116">
        <v>164.18192692574277</v>
      </c>
      <c r="L68" s="116">
        <v>342.78552000000002</v>
      </c>
      <c r="M68" s="117">
        <v>178.60359307425725</v>
      </c>
      <c r="O68" s="39">
        <f t="shared" si="4"/>
        <v>44756</v>
      </c>
      <c r="P68" s="41">
        <f t="shared" si="1"/>
        <v>191.49402202719688</v>
      </c>
      <c r="Q68" s="41">
        <f t="shared" si="2"/>
        <v>365.14800000000002</v>
      </c>
      <c r="R68" s="41">
        <f t="shared" si="3"/>
        <v>173.65397797280315</v>
      </c>
      <c r="S68" s="82"/>
    </row>
    <row r="69" spans="3:19">
      <c r="J69" s="118">
        <v>44729</v>
      </c>
      <c r="K69" s="116">
        <v>164.18192692574277</v>
      </c>
      <c r="L69" s="116">
        <v>324.23327999999998</v>
      </c>
      <c r="M69" s="117">
        <v>160.05135307425721</v>
      </c>
      <c r="N69" s="5"/>
      <c r="O69" s="39">
        <f t="shared" si="4"/>
        <v>44755</v>
      </c>
      <c r="P69" s="41">
        <f t="shared" si="1"/>
        <v>191.49402202719688</v>
      </c>
      <c r="Q69" s="41">
        <f t="shared" si="2"/>
        <v>369.68400000000003</v>
      </c>
      <c r="R69" s="41">
        <f t="shared" si="3"/>
        <v>178.18997797280315</v>
      </c>
      <c r="S69" s="82"/>
    </row>
    <row r="70" spans="3:19">
      <c r="J70" s="118">
        <v>44728</v>
      </c>
      <c r="K70" s="116">
        <v>159.88327854261931</v>
      </c>
      <c r="L70" s="116">
        <v>331.30944</v>
      </c>
      <c r="M70" s="117">
        <v>171.42616145738069</v>
      </c>
      <c r="O70" s="39">
        <f t="shared" si="4"/>
        <v>44754</v>
      </c>
      <c r="P70" s="41">
        <f t="shared" ref="P70:P133" si="5">IFERROR(VLOOKUP($O70,$J$5:$M$403,2,FALSE),P71)</f>
        <v>191.49402202719688</v>
      </c>
      <c r="Q70" s="41">
        <f t="shared" ref="Q70:Q133" si="6">IFERROR(VLOOKUP($O70,$J$5:$M$403,3,FALSE),Q71)</f>
        <v>368.81308799999999</v>
      </c>
      <c r="R70" s="41">
        <f t="shared" ref="R70:R133" si="7">IFERROR(VLOOKUP($O70,$J$5:$M$403,4,FALSE),R71)</f>
        <v>177.31906597280312</v>
      </c>
      <c r="S70" s="82"/>
    </row>
    <row r="71" spans="3:19">
      <c r="J71" s="118">
        <v>44727</v>
      </c>
      <c r="K71" s="116">
        <v>159.88327854261931</v>
      </c>
      <c r="L71" s="116">
        <v>310.03559999999999</v>
      </c>
      <c r="M71" s="117">
        <v>150.15232145738068</v>
      </c>
      <c r="O71" s="39">
        <f t="shared" ref="O71:O134" si="8">O70-1</f>
        <v>44753</v>
      </c>
      <c r="P71" s="41">
        <f t="shared" si="5"/>
        <v>191.49402202719688</v>
      </c>
      <c r="Q71" s="41">
        <f t="shared" si="6"/>
        <v>368.77679999999998</v>
      </c>
      <c r="R71" s="41">
        <f t="shared" si="7"/>
        <v>177.2827779728031</v>
      </c>
    </row>
    <row r="72" spans="3:19">
      <c r="J72" s="118">
        <v>44726</v>
      </c>
      <c r="K72" s="116">
        <v>159.88327854261931</v>
      </c>
      <c r="L72" s="116">
        <v>307.80388800000003</v>
      </c>
      <c r="M72" s="117">
        <v>147.92060945738072</v>
      </c>
      <c r="O72" s="39">
        <f t="shared" si="8"/>
        <v>44752</v>
      </c>
      <c r="P72" s="41">
        <f t="shared" si="5"/>
        <v>191.49402202719688</v>
      </c>
      <c r="Q72" s="41">
        <f t="shared" si="6"/>
        <v>356.98320000000001</v>
      </c>
      <c r="R72" s="41">
        <f t="shared" si="7"/>
        <v>165.48917797280313</v>
      </c>
    </row>
    <row r="73" spans="3:19">
      <c r="J73" s="118">
        <v>44725</v>
      </c>
      <c r="K73" s="116">
        <v>159.88327854261931</v>
      </c>
      <c r="L73" s="116">
        <v>282.32971199999997</v>
      </c>
      <c r="M73" s="117">
        <v>122.44643345738066</v>
      </c>
      <c r="O73" s="39">
        <f t="shared" si="8"/>
        <v>44751</v>
      </c>
      <c r="P73" s="41">
        <f t="shared" si="5"/>
        <v>191.49402202719688</v>
      </c>
      <c r="Q73" s="41">
        <f t="shared" si="6"/>
        <v>356.98320000000001</v>
      </c>
      <c r="R73" s="41">
        <f t="shared" si="7"/>
        <v>165.48917797280313</v>
      </c>
    </row>
    <row r="74" spans="3:19">
      <c r="J74" s="118">
        <v>44722</v>
      </c>
      <c r="K74" s="116">
        <v>159.88327854261931</v>
      </c>
      <c r="L74" s="116">
        <v>283.61793599999999</v>
      </c>
      <c r="M74" s="117">
        <v>123.73465745738068</v>
      </c>
      <c r="O74" s="39">
        <f t="shared" si="8"/>
        <v>44750</v>
      </c>
      <c r="P74" s="41">
        <f t="shared" si="5"/>
        <v>191.49402202719688</v>
      </c>
      <c r="Q74" s="41">
        <f t="shared" si="6"/>
        <v>356.98320000000001</v>
      </c>
      <c r="R74" s="41">
        <f t="shared" si="7"/>
        <v>165.48917797280313</v>
      </c>
    </row>
    <row r="75" spans="3:19">
      <c r="J75" s="118">
        <v>44721</v>
      </c>
      <c r="K75" s="116">
        <v>163.24794344196661</v>
      </c>
      <c r="L75" s="116">
        <v>289.21536000000003</v>
      </c>
      <c r="M75" s="117">
        <v>125.96741655803342</v>
      </c>
      <c r="O75" s="39">
        <f t="shared" si="8"/>
        <v>44749</v>
      </c>
      <c r="P75" s="41">
        <f t="shared" si="5"/>
        <v>180.64885144166504</v>
      </c>
      <c r="Q75" s="41">
        <f t="shared" si="6"/>
        <v>349.27199999999999</v>
      </c>
      <c r="R75" s="41">
        <f t="shared" si="7"/>
        <v>168.62314855833495</v>
      </c>
    </row>
    <row r="76" spans="3:19">
      <c r="J76" s="118">
        <v>44720</v>
      </c>
      <c r="K76" s="116">
        <v>163.24794344196661</v>
      </c>
      <c r="L76" s="116">
        <v>289.39679999999998</v>
      </c>
      <c r="M76" s="117">
        <v>126.14885655803337</v>
      </c>
      <c r="O76" s="39">
        <f t="shared" si="8"/>
        <v>44748</v>
      </c>
      <c r="P76" s="41">
        <f t="shared" si="5"/>
        <v>180.64885144166504</v>
      </c>
      <c r="Q76" s="41">
        <f t="shared" si="6"/>
        <v>346.21473600000002</v>
      </c>
      <c r="R76" s="41">
        <f t="shared" si="7"/>
        <v>165.56588455833497</v>
      </c>
    </row>
    <row r="77" spans="3:19">
      <c r="J77" s="118">
        <v>44719</v>
      </c>
      <c r="K77" s="116">
        <v>163.24794344196661</v>
      </c>
      <c r="L77" s="116">
        <v>300.50092799999999</v>
      </c>
      <c r="M77" s="117">
        <v>137.25298455803338</v>
      </c>
      <c r="O77" s="39">
        <f t="shared" si="8"/>
        <v>44747</v>
      </c>
      <c r="P77" s="41">
        <f t="shared" si="5"/>
        <v>180.64885144166504</v>
      </c>
      <c r="Q77" s="41">
        <f t="shared" si="6"/>
        <v>355.89456000000001</v>
      </c>
      <c r="R77" s="41">
        <f t="shared" si="7"/>
        <v>175.24570855833497</v>
      </c>
    </row>
    <row r="78" spans="3:19">
      <c r="J78" s="118">
        <v>44718</v>
      </c>
      <c r="K78" s="116">
        <v>163.24794344196661</v>
      </c>
      <c r="L78" s="116">
        <v>305.42702400000002</v>
      </c>
      <c r="M78" s="117">
        <v>142.17908055803341</v>
      </c>
      <c r="O78" s="39">
        <f t="shared" si="8"/>
        <v>44746</v>
      </c>
      <c r="P78" s="41">
        <f t="shared" si="5"/>
        <v>180.64885144166504</v>
      </c>
      <c r="Q78" s="41">
        <f t="shared" si="6"/>
        <v>352.111536</v>
      </c>
      <c r="R78" s="41">
        <f t="shared" si="7"/>
        <v>171.46268455833496</v>
      </c>
    </row>
    <row r="79" spans="3:19">
      <c r="J79" s="118">
        <v>44715</v>
      </c>
      <c r="K79" s="116">
        <v>163.24794344196661</v>
      </c>
      <c r="L79" s="116">
        <v>301.08153599999997</v>
      </c>
      <c r="M79" s="117">
        <v>137.83359255803336</v>
      </c>
      <c r="O79" s="39">
        <f t="shared" si="8"/>
        <v>44745</v>
      </c>
      <c r="P79" s="41">
        <f t="shared" si="5"/>
        <v>180.64885144166504</v>
      </c>
      <c r="Q79" s="41">
        <f t="shared" si="6"/>
        <v>340.59916800000002</v>
      </c>
      <c r="R79" s="41">
        <f t="shared" si="7"/>
        <v>159.95031655833498</v>
      </c>
    </row>
    <row r="80" spans="3:19">
      <c r="J80" s="118">
        <v>44714</v>
      </c>
      <c r="K80" s="116">
        <v>158.97709312116513</v>
      </c>
      <c r="L80" s="116">
        <v>301.08153599999997</v>
      </c>
      <c r="M80" s="117">
        <v>142.10444287883485</v>
      </c>
      <c r="O80" s="39">
        <f t="shared" si="8"/>
        <v>44744</v>
      </c>
      <c r="P80" s="41">
        <f t="shared" si="5"/>
        <v>180.64885144166504</v>
      </c>
      <c r="Q80" s="41">
        <f t="shared" si="6"/>
        <v>340.59916800000002</v>
      </c>
      <c r="R80" s="41">
        <f t="shared" si="7"/>
        <v>159.95031655833498</v>
      </c>
    </row>
    <row r="81" spans="10:18">
      <c r="J81" s="118">
        <v>44713</v>
      </c>
      <c r="K81" s="116">
        <v>158.97709312116513</v>
      </c>
      <c r="L81" s="116">
        <v>301.08153599999997</v>
      </c>
      <c r="M81" s="117">
        <v>142.10444287883485</v>
      </c>
      <c r="O81" s="39">
        <f t="shared" si="8"/>
        <v>44743</v>
      </c>
      <c r="P81" s="41">
        <f t="shared" si="5"/>
        <v>180.64885144166504</v>
      </c>
      <c r="Q81" s="41">
        <f t="shared" si="6"/>
        <v>340.59916800000002</v>
      </c>
      <c r="R81" s="41">
        <f t="shared" si="7"/>
        <v>159.95031655833498</v>
      </c>
    </row>
    <row r="82" spans="10:18">
      <c r="J82" s="118">
        <v>44712</v>
      </c>
      <c r="K82" s="116">
        <v>156.67525309855975</v>
      </c>
      <c r="L82" s="116">
        <v>324.89553599999999</v>
      </c>
      <c r="M82" s="117">
        <v>168.22028290144024</v>
      </c>
      <c r="O82" s="39">
        <f t="shared" si="8"/>
        <v>44742</v>
      </c>
      <c r="P82" s="41">
        <f t="shared" si="5"/>
        <v>186.43246972563244</v>
      </c>
      <c r="Q82" s="41">
        <f t="shared" si="6"/>
        <v>333.06033600000001</v>
      </c>
      <c r="R82" s="41">
        <f t="shared" si="7"/>
        <v>146.62786627436756</v>
      </c>
    </row>
    <row r="83" spans="10:18">
      <c r="J83" s="118">
        <v>44711</v>
      </c>
      <c r="K83" s="116">
        <v>156.67525309855975</v>
      </c>
      <c r="L83" s="116">
        <v>292.572</v>
      </c>
      <c r="M83" s="117">
        <v>135.89674690144025</v>
      </c>
      <c r="O83" s="39">
        <f t="shared" si="8"/>
        <v>44741</v>
      </c>
      <c r="P83" s="41">
        <f t="shared" si="5"/>
        <v>186.43246972563244</v>
      </c>
      <c r="Q83" s="41">
        <f t="shared" si="6"/>
        <v>333.77702400000004</v>
      </c>
      <c r="R83" s="41">
        <f t="shared" si="7"/>
        <v>147.3445542743676</v>
      </c>
    </row>
    <row r="84" spans="10:18">
      <c r="J84" s="118">
        <v>44708</v>
      </c>
      <c r="K84" s="116">
        <v>156.67525309855975</v>
      </c>
      <c r="L84" s="116">
        <v>275.10840000000002</v>
      </c>
      <c r="M84" s="117">
        <v>118.43314690144027</v>
      </c>
      <c r="O84" s="39">
        <f t="shared" si="8"/>
        <v>44740</v>
      </c>
      <c r="P84" s="41">
        <f t="shared" si="5"/>
        <v>186.43246972563244</v>
      </c>
      <c r="Q84" s="41">
        <f t="shared" si="6"/>
        <v>337.30603200000002</v>
      </c>
      <c r="R84" s="41">
        <f t="shared" si="7"/>
        <v>150.87356227436757</v>
      </c>
    </row>
    <row r="85" spans="10:18">
      <c r="J85" s="118">
        <v>44707</v>
      </c>
      <c r="K85" s="116">
        <v>158.5045854710205</v>
      </c>
      <c r="L85" s="116">
        <v>289.17</v>
      </c>
      <c r="M85" s="117">
        <v>130.66541452897951</v>
      </c>
      <c r="O85" s="39">
        <f t="shared" si="8"/>
        <v>44739</v>
      </c>
      <c r="P85" s="41">
        <f t="shared" si="5"/>
        <v>186.43246972563244</v>
      </c>
      <c r="Q85" s="41">
        <f t="shared" si="6"/>
        <v>370.43697600000002</v>
      </c>
      <c r="R85" s="41">
        <f t="shared" si="7"/>
        <v>184.00450627436757</v>
      </c>
    </row>
    <row r="86" spans="10:18">
      <c r="J86" s="118">
        <v>44706</v>
      </c>
      <c r="K86" s="116">
        <v>158.5045854710205</v>
      </c>
      <c r="L86" s="116">
        <v>276.69600000000003</v>
      </c>
      <c r="M86" s="117">
        <v>118.19141452897952</v>
      </c>
      <c r="O86" s="39">
        <f t="shared" si="8"/>
        <v>44738</v>
      </c>
      <c r="P86" s="41">
        <f t="shared" si="5"/>
        <v>186.43246972563244</v>
      </c>
      <c r="Q86" s="41">
        <f t="shared" si="6"/>
        <v>380.05329599999999</v>
      </c>
      <c r="R86" s="41">
        <f t="shared" si="7"/>
        <v>193.62082627436754</v>
      </c>
    </row>
    <row r="87" spans="10:18">
      <c r="J87" s="118">
        <v>44705</v>
      </c>
      <c r="K87" s="116">
        <v>158.5045854710205</v>
      </c>
      <c r="L87" s="116">
        <v>297.67953599999998</v>
      </c>
      <c r="M87" s="117">
        <v>139.17495052897948</v>
      </c>
      <c r="O87" s="39">
        <f t="shared" si="8"/>
        <v>44737</v>
      </c>
      <c r="P87" s="41">
        <f t="shared" si="5"/>
        <v>186.43246972563244</v>
      </c>
      <c r="Q87" s="41">
        <f t="shared" si="6"/>
        <v>380.05329599999999</v>
      </c>
      <c r="R87" s="41">
        <f t="shared" si="7"/>
        <v>193.62082627436754</v>
      </c>
    </row>
    <row r="88" spans="10:18">
      <c r="J88" s="118">
        <v>44704</v>
      </c>
      <c r="K88" s="116">
        <v>158.5045854710205</v>
      </c>
      <c r="L88" s="116">
        <v>314.11799999999999</v>
      </c>
      <c r="M88" s="117">
        <v>155.61341452897949</v>
      </c>
      <c r="O88" s="39">
        <f t="shared" si="8"/>
        <v>44736</v>
      </c>
      <c r="P88" s="41">
        <f t="shared" si="5"/>
        <v>186.43246972563244</v>
      </c>
      <c r="Q88" s="41">
        <f t="shared" si="6"/>
        <v>380.05329599999999</v>
      </c>
      <c r="R88" s="41">
        <f t="shared" si="7"/>
        <v>193.62082627436754</v>
      </c>
    </row>
    <row r="89" spans="10:18">
      <c r="J89" s="118">
        <v>44701</v>
      </c>
      <c r="K89" s="116">
        <v>158.5045854710205</v>
      </c>
      <c r="L89" s="116">
        <v>325.45800000000003</v>
      </c>
      <c r="M89" s="117">
        <v>166.95341452897952</v>
      </c>
      <c r="O89" s="39">
        <f t="shared" si="8"/>
        <v>44735</v>
      </c>
      <c r="P89" s="41">
        <f t="shared" si="5"/>
        <v>164.18192692574277</v>
      </c>
      <c r="Q89" s="41">
        <f t="shared" si="6"/>
        <v>386.24040000000002</v>
      </c>
      <c r="R89" s="41">
        <f t="shared" si="7"/>
        <v>222.05847307425725</v>
      </c>
    </row>
    <row r="90" spans="10:18">
      <c r="J90" s="118">
        <v>44700</v>
      </c>
      <c r="K90" s="116">
        <v>147.91556539196912</v>
      </c>
      <c r="L90" s="116">
        <v>320.24160000000001</v>
      </c>
      <c r="M90" s="117">
        <v>172.32603460803088</v>
      </c>
      <c r="O90" s="39">
        <f t="shared" si="8"/>
        <v>44734</v>
      </c>
      <c r="P90" s="41">
        <f t="shared" si="5"/>
        <v>164.18192692574277</v>
      </c>
      <c r="Q90" s="41">
        <f t="shared" si="6"/>
        <v>373.65753599999999</v>
      </c>
      <c r="R90" s="41">
        <f t="shared" si="7"/>
        <v>209.47560907425722</v>
      </c>
    </row>
    <row r="91" spans="10:18">
      <c r="J91" s="118">
        <v>44699</v>
      </c>
      <c r="K91" s="116">
        <v>147.91556539196912</v>
      </c>
      <c r="L91" s="116">
        <v>320.89478400000002</v>
      </c>
      <c r="M91" s="117">
        <v>172.97921860803089</v>
      </c>
      <c r="O91" s="39">
        <f t="shared" si="8"/>
        <v>44733</v>
      </c>
      <c r="P91" s="41">
        <f t="shared" si="5"/>
        <v>164.18192692574277</v>
      </c>
      <c r="Q91" s="41">
        <f t="shared" si="6"/>
        <v>363.10680000000002</v>
      </c>
      <c r="R91" s="41">
        <f t="shared" si="7"/>
        <v>198.92487307425725</v>
      </c>
    </row>
    <row r="92" spans="10:18">
      <c r="J92" s="118">
        <v>44698</v>
      </c>
      <c r="K92" s="116">
        <v>147.91556539196912</v>
      </c>
      <c r="L92" s="116">
        <v>303.80313599999999</v>
      </c>
      <c r="M92" s="117">
        <v>155.88757060803087</v>
      </c>
      <c r="O92" s="39">
        <f t="shared" si="8"/>
        <v>44732</v>
      </c>
      <c r="P92" s="41">
        <f t="shared" si="5"/>
        <v>164.18192692574277</v>
      </c>
      <c r="Q92" s="41">
        <f t="shared" si="6"/>
        <v>342.78552000000002</v>
      </c>
      <c r="R92" s="41">
        <f t="shared" si="7"/>
        <v>178.60359307425725</v>
      </c>
    </row>
    <row r="93" spans="10:18">
      <c r="J93" s="118">
        <v>44697</v>
      </c>
      <c r="K93" s="116">
        <v>147.91556539196912</v>
      </c>
      <c r="L93" s="116">
        <v>295.10308800000001</v>
      </c>
      <c r="M93" s="117">
        <v>147.18752260803089</v>
      </c>
      <c r="O93" s="39">
        <f t="shared" si="8"/>
        <v>44731</v>
      </c>
      <c r="P93" s="41">
        <f t="shared" si="5"/>
        <v>164.18192692574277</v>
      </c>
      <c r="Q93" s="41">
        <f t="shared" si="6"/>
        <v>324.23327999999998</v>
      </c>
      <c r="R93" s="41">
        <f t="shared" si="7"/>
        <v>160.05135307425721</v>
      </c>
    </row>
    <row r="94" spans="10:18">
      <c r="J94" s="118">
        <v>44694</v>
      </c>
      <c r="K94" s="116">
        <v>147.91556539196912</v>
      </c>
      <c r="L94" s="116">
        <v>290.24049600000001</v>
      </c>
      <c r="M94" s="117">
        <v>142.32493060803088</v>
      </c>
      <c r="O94" s="39">
        <f t="shared" si="8"/>
        <v>44730</v>
      </c>
      <c r="P94" s="41">
        <f t="shared" si="5"/>
        <v>164.18192692574277</v>
      </c>
      <c r="Q94" s="41">
        <f t="shared" si="6"/>
        <v>324.23327999999998</v>
      </c>
      <c r="R94" s="41">
        <f t="shared" si="7"/>
        <v>160.05135307425721</v>
      </c>
    </row>
    <row r="95" spans="10:18">
      <c r="J95" s="118">
        <v>44693</v>
      </c>
      <c r="K95" s="116">
        <v>148.17407166644287</v>
      </c>
      <c r="L95" s="116">
        <v>302.47862400000002</v>
      </c>
      <c r="M95" s="117">
        <v>154.30455233355715</v>
      </c>
      <c r="O95" s="39">
        <f t="shared" si="8"/>
        <v>44729</v>
      </c>
      <c r="P95" s="41">
        <f t="shared" si="5"/>
        <v>164.18192692574277</v>
      </c>
      <c r="Q95" s="41">
        <f t="shared" si="6"/>
        <v>324.23327999999998</v>
      </c>
      <c r="R95" s="41">
        <f t="shared" si="7"/>
        <v>160.05135307425721</v>
      </c>
    </row>
    <row r="96" spans="10:18">
      <c r="J96" s="118">
        <v>44692</v>
      </c>
      <c r="K96" s="116">
        <v>148.17407166644287</v>
      </c>
      <c r="L96" s="116">
        <v>294.83999999999997</v>
      </c>
      <c r="M96" s="117">
        <v>146.6659283335571</v>
      </c>
      <c r="O96" s="39">
        <f t="shared" si="8"/>
        <v>44728</v>
      </c>
      <c r="P96" s="41">
        <f t="shared" si="5"/>
        <v>159.88327854261931</v>
      </c>
      <c r="Q96" s="41">
        <f t="shared" si="6"/>
        <v>331.30944</v>
      </c>
      <c r="R96" s="41">
        <f t="shared" si="7"/>
        <v>171.42616145738069</v>
      </c>
    </row>
    <row r="97" spans="10:18">
      <c r="J97" s="118">
        <v>44691</v>
      </c>
      <c r="K97" s="116">
        <v>148.17407166644287</v>
      </c>
      <c r="L97" s="116">
        <v>284.57956799999999</v>
      </c>
      <c r="M97" s="117">
        <v>136.40549633355712</v>
      </c>
      <c r="O97" s="39">
        <f t="shared" si="8"/>
        <v>44727</v>
      </c>
      <c r="P97" s="41">
        <f t="shared" si="5"/>
        <v>159.88327854261931</v>
      </c>
      <c r="Q97" s="41">
        <f t="shared" si="6"/>
        <v>310.03559999999999</v>
      </c>
      <c r="R97" s="41">
        <f t="shared" si="7"/>
        <v>150.15232145738068</v>
      </c>
    </row>
    <row r="98" spans="10:18">
      <c r="J98" s="118">
        <v>44690</v>
      </c>
      <c r="K98" s="116">
        <v>148.17407166644287</v>
      </c>
      <c r="L98" s="116">
        <v>287.12880000000001</v>
      </c>
      <c r="M98" s="117">
        <v>138.95472833355714</v>
      </c>
      <c r="O98" s="39">
        <f t="shared" si="8"/>
        <v>44726</v>
      </c>
      <c r="P98" s="41">
        <f t="shared" si="5"/>
        <v>159.88327854261931</v>
      </c>
      <c r="Q98" s="41">
        <f t="shared" si="6"/>
        <v>307.80388800000003</v>
      </c>
      <c r="R98" s="41">
        <f t="shared" si="7"/>
        <v>147.92060945738072</v>
      </c>
    </row>
    <row r="99" spans="10:18">
      <c r="J99" s="118">
        <v>44687</v>
      </c>
      <c r="K99" s="116">
        <v>148.17407166644287</v>
      </c>
      <c r="L99" s="116">
        <v>307.03276799999998</v>
      </c>
      <c r="M99" s="117">
        <v>158.85869633355711</v>
      </c>
      <c r="O99" s="39">
        <f t="shared" si="8"/>
        <v>44725</v>
      </c>
      <c r="P99" s="41">
        <f t="shared" si="5"/>
        <v>159.88327854261931</v>
      </c>
      <c r="Q99" s="41">
        <f t="shared" si="6"/>
        <v>282.32971199999997</v>
      </c>
      <c r="R99" s="41">
        <f t="shared" si="7"/>
        <v>122.44643345738066</v>
      </c>
    </row>
    <row r="100" spans="10:18">
      <c r="J100" s="118">
        <v>44686</v>
      </c>
      <c r="K100" s="116">
        <v>144.17020838489128</v>
      </c>
      <c r="L100" s="116">
        <v>306.18</v>
      </c>
      <c r="M100" s="117">
        <v>162.00979161510872</v>
      </c>
      <c r="O100" s="39">
        <f t="shared" si="8"/>
        <v>44724</v>
      </c>
      <c r="P100" s="41">
        <f t="shared" si="5"/>
        <v>159.88327854261931</v>
      </c>
      <c r="Q100" s="41">
        <f t="shared" si="6"/>
        <v>283.61793599999999</v>
      </c>
      <c r="R100" s="41">
        <f t="shared" si="7"/>
        <v>123.73465745738068</v>
      </c>
    </row>
    <row r="101" spans="10:18">
      <c r="J101" s="118">
        <v>44685</v>
      </c>
      <c r="K101" s="116">
        <v>144.17020838489128</v>
      </c>
      <c r="L101" s="116">
        <v>296.65440000000001</v>
      </c>
      <c r="M101" s="117">
        <v>152.48419161510873</v>
      </c>
      <c r="O101" s="39">
        <f t="shared" si="8"/>
        <v>44723</v>
      </c>
      <c r="P101" s="41">
        <f t="shared" si="5"/>
        <v>159.88327854261931</v>
      </c>
      <c r="Q101" s="41">
        <f t="shared" si="6"/>
        <v>283.61793599999999</v>
      </c>
      <c r="R101" s="41">
        <f t="shared" si="7"/>
        <v>123.73465745738068</v>
      </c>
    </row>
    <row r="102" spans="10:18">
      <c r="J102" s="118">
        <v>44684</v>
      </c>
      <c r="K102" s="116">
        <v>144.17020838489128</v>
      </c>
      <c r="L102" s="116">
        <v>276.69600000000003</v>
      </c>
      <c r="M102" s="117">
        <v>132.52579161510874</v>
      </c>
      <c r="O102" s="39">
        <f t="shared" si="8"/>
        <v>44722</v>
      </c>
      <c r="P102" s="41">
        <f t="shared" si="5"/>
        <v>159.88327854261931</v>
      </c>
      <c r="Q102" s="41">
        <f t="shared" si="6"/>
        <v>283.61793599999999</v>
      </c>
      <c r="R102" s="41">
        <f t="shared" si="7"/>
        <v>123.73465745738068</v>
      </c>
    </row>
    <row r="103" spans="10:18">
      <c r="J103" s="118">
        <v>44683</v>
      </c>
      <c r="K103" s="116">
        <v>144.17020838489128</v>
      </c>
      <c r="L103" s="116">
        <v>259.68599999999998</v>
      </c>
      <c r="M103" s="117">
        <v>115.5157916151087</v>
      </c>
      <c r="O103" s="39">
        <f t="shared" si="8"/>
        <v>44721</v>
      </c>
      <c r="P103" s="41">
        <f t="shared" si="5"/>
        <v>163.24794344196661</v>
      </c>
      <c r="Q103" s="41">
        <f t="shared" si="6"/>
        <v>289.21536000000003</v>
      </c>
      <c r="R103" s="41">
        <f t="shared" si="7"/>
        <v>125.96741655803342</v>
      </c>
    </row>
    <row r="104" spans="10:18">
      <c r="J104" s="118">
        <v>44680</v>
      </c>
      <c r="K104" s="116">
        <v>144.17020838489128</v>
      </c>
      <c r="L104" s="116">
        <v>259.68599999999998</v>
      </c>
      <c r="M104" s="117">
        <v>115.5157916151087</v>
      </c>
      <c r="O104" s="39">
        <f t="shared" si="8"/>
        <v>44720</v>
      </c>
      <c r="P104" s="41">
        <f t="shared" si="5"/>
        <v>163.24794344196661</v>
      </c>
      <c r="Q104" s="41">
        <f t="shared" si="6"/>
        <v>289.39679999999998</v>
      </c>
      <c r="R104" s="41">
        <f t="shared" si="7"/>
        <v>126.14885655803337</v>
      </c>
    </row>
    <row r="105" spans="10:18">
      <c r="J105" s="118">
        <v>44679</v>
      </c>
      <c r="K105" s="116">
        <v>145.79772996591893</v>
      </c>
      <c r="L105" s="116">
        <v>263.08800000000002</v>
      </c>
      <c r="M105" s="117">
        <v>117.29027003408109</v>
      </c>
      <c r="O105" s="39">
        <f t="shared" si="8"/>
        <v>44719</v>
      </c>
      <c r="P105" s="41">
        <f t="shared" si="5"/>
        <v>163.24794344196661</v>
      </c>
      <c r="Q105" s="41">
        <f t="shared" si="6"/>
        <v>300.50092799999999</v>
      </c>
      <c r="R105" s="41">
        <f t="shared" si="7"/>
        <v>137.25298455803338</v>
      </c>
    </row>
    <row r="106" spans="10:18">
      <c r="J106" s="118">
        <v>44678</v>
      </c>
      <c r="K106" s="116">
        <v>145.79772996591893</v>
      </c>
      <c r="L106" s="116">
        <v>284.52513599999997</v>
      </c>
      <c r="M106" s="117">
        <v>138.72740603408104</v>
      </c>
      <c r="O106" s="39">
        <f t="shared" si="8"/>
        <v>44718</v>
      </c>
      <c r="P106" s="41">
        <f t="shared" si="5"/>
        <v>163.24794344196661</v>
      </c>
      <c r="Q106" s="41">
        <f t="shared" si="6"/>
        <v>305.42702400000002</v>
      </c>
      <c r="R106" s="41">
        <f t="shared" si="7"/>
        <v>142.17908055803341</v>
      </c>
    </row>
    <row r="107" spans="10:18">
      <c r="J107" s="118">
        <v>44677</v>
      </c>
      <c r="K107" s="116">
        <v>145.79772996591893</v>
      </c>
      <c r="L107" s="116">
        <v>284.73379199999999</v>
      </c>
      <c r="M107" s="117">
        <v>138.93606203408106</v>
      </c>
      <c r="O107" s="39">
        <f t="shared" si="8"/>
        <v>44717</v>
      </c>
      <c r="P107" s="41">
        <f t="shared" si="5"/>
        <v>163.24794344196661</v>
      </c>
      <c r="Q107" s="41">
        <f t="shared" si="6"/>
        <v>301.08153599999997</v>
      </c>
      <c r="R107" s="41">
        <f t="shared" si="7"/>
        <v>137.83359255803336</v>
      </c>
    </row>
    <row r="108" spans="10:18">
      <c r="J108" s="118">
        <v>44676</v>
      </c>
      <c r="K108" s="116">
        <v>145.79772996591893</v>
      </c>
      <c r="L108" s="116">
        <v>303.40396800000002</v>
      </c>
      <c r="M108" s="117">
        <v>157.60623803408109</v>
      </c>
      <c r="O108" s="39">
        <f t="shared" si="8"/>
        <v>44716</v>
      </c>
      <c r="P108" s="41">
        <f t="shared" si="5"/>
        <v>163.24794344196661</v>
      </c>
      <c r="Q108" s="41">
        <f t="shared" si="6"/>
        <v>301.08153599999997</v>
      </c>
      <c r="R108" s="41">
        <f t="shared" si="7"/>
        <v>137.83359255803336</v>
      </c>
    </row>
    <row r="109" spans="10:18">
      <c r="J109" s="118">
        <v>44673</v>
      </c>
      <c r="K109" s="116">
        <v>145.79772996591893</v>
      </c>
      <c r="L109" s="116">
        <v>311.23310399999997</v>
      </c>
      <c r="M109" s="117">
        <v>165.43537403408104</v>
      </c>
      <c r="O109" s="39">
        <f t="shared" si="8"/>
        <v>44715</v>
      </c>
      <c r="P109" s="41">
        <f t="shared" si="5"/>
        <v>163.24794344196661</v>
      </c>
      <c r="Q109" s="41">
        <f t="shared" si="6"/>
        <v>301.08153599999997</v>
      </c>
      <c r="R109" s="41">
        <f t="shared" si="7"/>
        <v>137.83359255803336</v>
      </c>
    </row>
    <row r="110" spans="10:18">
      <c r="J110" s="118">
        <v>44672</v>
      </c>
      <c r="K110" s="116">
        <v>145.73632294689145</v>
      </c>
      <c r="L110" s="116">
        <v>319.67913599999997</v>
      </c>
      <c r="M110" s="117">
        <v>173.94281305310852</v>
      </c>
      <c r="O110" s="39">
        <f t="shared" si="8"/>
        <v>44714</v>
      </c>
      <c r="P110" s="41">
        <f t="shared" si="5"/>
        <v>158.97709312116513</v>
      </c>
      <c r="Q110" s="41">
        <f t="shared" si="6"/>
        <v>301.08153599999997</v>
      </c>
      <c r="R110" s="41">
        <f t="shared" si="7"/>
        <v>142.10444287883485</v>
      </c>
    </row>
    <row r="111" spans="10:18">
      <c r="J111" s="118">
        <v>44671</v>
      </c>
      <c r="K111" s="116">
        <v>145.73632294689145</v>
      </c>
      <c r="L111" s="116">
        <v>320.849424</v>
      </c>
      <c r="M111" s="117">
        <v>175.11310105310855</v>
      </c>
      <c r="O111" s="39">
        <f t="shared" si="8"/>
        <v>44713</v>
      </c>
      <c r="P111" s="41">
        <f t="shared" si="5"/>
        <v>158.97709312116513</v>
      </c>
      <c r="Q111" s="41">
        <f t="shared" si="6"/>
        <v>301.08153599999997</v>
      </c>
      <c r="R111" s="41">
        <f t="shared" si="7"/>
        <v>142.10444287883485</v>
      </c>
    </row>
    <row r="112" spans="10:18">
      <c r="J112" s="118">
        <v>44670</v>
      </c>
      <c r="K112" s="116">
        <v>145.73632294689145</v>
      </c>
      <c r="L112" s="116">
        <v>323.19</v>
      </c>
      <c r="M112" s="117">
        <v>177.45367705310855</v>
      </c>
      <c r="O112" s="39">
        <f t="shared" si="8"/>
        <v>44712</v>
      </c>
      <c r="P112" s="41">
        <f t="shared" si="5"/>
        <v>156.67525309855975</v>
      </c>
      <c r="Q112" s="41">
        <f t="shared" si="6"/>
        <v>324.89553599999999</v>
      </c>
      <c r="R112" s="41">
        <f t="shared" si="7"/>
        <v>168.22028290144024</v>
      </c>
    </row>
    <row r="113" spans="10:18">
      <c r="J113" s="118">
        <v>44669</v>
      </c>
      <c r="K113" s="116">
        <v>145.73632294689145</v>
      </c>
      <c r="L113" s="116">
        <v>326.59199999999998</v>
      </c>
      <c r="M113" s="117">
        <v>180.85567705310854</v>
      </c>
      <c r="O113" s="39">
        <f t="shared" si="8"/>
        <v>44711</v>
      </c>
      <c r="P113" s="41">
        <f t="shared" si="5"/>
        <v>156.67525309855975</v>
      </c>
      <c r="Q113" s="41">
        <f t="shared" si="6"/>
        <v>292.572</v>
      </c>
      <c r="R113" s="41">
        <f t="shared" si="7"/>
        <v>135.89674690144025</v>
      </c>
    </row>
    <row r="114" spans="10:18">
      <c r="J114" s="118">
        <v>44666</v>
      </c>
      <c r="K114" s="116">
        <v>145.73632294689145</v>
      </c>
      <c r="L114" s="116">
        <v>326.59199999999998</v>
      </c>
      <c r="M114" s="117">
        <v>180.85567705310854</v>
      </c>
      <c r="O114" s="39">
        <f t="shared" si="8"/>
        <v>44710</v>
      </c>
      <c r="P114" s="41">
        <f t="shared" si="5"/>
        <v>156.67525309855975</v>
      </c>
      <c r="Q114" s="41">
        <f t="shared" si="6"/>
        <v>275.10840000000002</v>
      </c>
      <c r="R114" s="41">
        <f t="shared" si="7"/>
        <v>118.43314690144027</v>
      </c>
    </row>
    <row r="115" spans="10:18">
      <c r="J115" s="118">
        <v>44665</v>
      </c>
      <c r="K115" s="116">
        <v>137.56589134104533</v>
      </c>
      <c r="L115" s="116">
        <v>326.59199999999998</v>
      </c>
      <c r="M115" s="117">
        <v>189.02610865895466</v>
      </c>
      <c r="O115" s="39">
        <f t="shared" si="8"/>
        <v>44709</v>
      </c>
      <c r="P115" s="41">
        <f t="shared" si="5"/>
        <v>156.67525309855975</v>
      </c>
      <c r="Q115" s="41">
        <f t="shared" si="6"/>
        <v>275.10840000000002</v>
      </c>
      <c r="R115" s="41">
        <f t="shared" si="7"/>
        <v>118.43314690144027</v>
      </c>
    </row>
    <row r="116" spans="10:18">
      <c r="J116" s="118">
        <v>44664</v>
      </c>
      <c r="K116" s="116">
        <v>137.56589134104533</v>
      </c>
      <c r="L116" s="116">
        <v>331.12799999999999</v>
      </c>
      <c r="M116" s="117">
        <v>193.56210865895466</v>
      </c>
      <c r="O116" s="39">
        <f t="shared" si="8"/>
        <v>44708</v>
      </c>
      <c r="P116" s="41">
        <f t="shared" si="5"/>
        <v>156.67525309855975</v>
      </c>
      <c r="Q116" s="41">
        <f t="shared" si="6"/>
        <v>275.10840000000002</v>
      </c>
      <c r="R116" s="41">
        <f t="shared" si="7"/>
        <v>118.43314690144027</v>
      </c>
    </row>
    <row r="117" spans="10:18">
      <c r="J117" s="118">
        <v>44663</v>
      </c>
      <c r="K117" s="116">
        <v>137.56589134104533</v>
      </c>
      <c r="L117" s="116">
        <v>328.29753599999998</v>
      </c>
      <c r="M117" s="117">
        <v>190.73164465895465</v>
      </c>
      <c r="O117" s="39">
        <f t="shared" si="8"/>
        <v>44707</v>
      </c>
      <c r="P117" s="41">
        <f t="shared" si="5"/>
        <v>158.5045854710205</v>
      </c>
      <c r="Q117" s="41">
        <f t="shared" si="6"/>
        <v>289.17</v>
      </c>
      <c r="R117" s="41">
        <f t="shared" si="7"/>
        <v>130.66541452897951</v>
      </c>
    </row>
    <row r="118" spans="10:18">
      <c r="J118" s="118">
        <v>44662</v>
      </c>
      <c r="K118" s="116">
        <v>137.56589134104533</v>
      </c>
      <c r="L118" s="116">
        <v>307.54079999999999</v>
      </c>
      <c r="M118" s="117">
        <v>169.97490865895466</v>
      </c>
      <c r="O118" s="39">
        <f t="shared" si="8"/>
        <v>44706</v>
      </c>
      <c r="P118" s="41">
        <f t="shared" si="5"/>
        <v>158.5045854710205</v>
      </c>
      <c r="Q118" s="41">
        <f t="shared" si="6"/>
        <v>276.69600000000003</v>
      </c>
      <c r="R118" s="41">
        <f t="shared" si="7"/>
        <v>118.19141452897952</v>
      </c>
    </row>
    <row r="119" spans="10:18">
      <c r="J119" s="118">
        <v>44659</v>
      </c>
      <c r="K119" s="116">
        <v>137.56589134104533</v>
      </c>
      <c r="L119" s="116">
        <v>291.99139200000002</v>
      </c>
      <c r="M119" s="117">
        <v>154.42550065895469</v>
      </c>
      <c r="O119" s="39">
        <f t="shared" si="8"/>
        <v>44705</v>
      </c>
      <c r="P119" s="41">
        <f t="shared" si="5"/>
        <v>158.5045854710205</v>
      </c>
      <c r="Q119" s="41">
        <f t="shared" si="6"/>
        <v>297.67953599999998</v>
      </c>
      <c r="R119" s="41">
        <f t="shared" si="7"/>
        <v>139.17495052897948</v>
      </c>
    </row>
    <row r="120" spans="10:18">
      <c r="J120" s="118">
        <v>44658</v>
      </c>
      <c r="K120" s="116">
        <v>141.52687964511739</v>
      </c>
      <c r="L120" s="116">
        <v>279.87119999999999</v>
      </c>
      <c r="M120" s="117">
        <v>138.3443203548826</v>
      </c>
      <c r="O120" s="39">
        <f t="shared" si="8"/>
        <v>44704</v>
      </c>
      <c r="P120" s="41">
        <f t="shared" si="5"/>
        <v>158.5045854710205</v>
      </c>
      <c r="Q120" s="41">
        <f t="shared" si="6"/>
        <v>314.11799999999999</v>
      </c>
      <c r="R120" s="41">
        <f t="shared" si="7"/>
        <v>155.61341452897949</v>
      </c>
    </row>
    <row r="121" spans="10:18">
      <c r="J121" s="118">
        <v>44657</v>
      </c>
      <c r="K121" s="116">
        <v>141.52687964511739</v>
      </c>
      <c r="L121" s="116">
        <v>286.67520000000002</v>
      </c>
      <c r="M121" s="117">
        <v>145.14832035488263</v>
      </c>
      <c r="O121" s="39">
        <f t="shared" si="8"/>
        <v>44703</v>
      </c>
      <c r="P121" s="41">
        <f t="shared" si="5"/>
        <v>158.5045854710205</v>
      </c>
      <c r="Q121" s="41">
        <f t="shared" si="6"/>
        <v>325.45800000000003</v>
      </c>
      <c r="R121" s="41">
        <f t="shared" si="7"/>
        <v>166.95341452897952</v>
      </c>
    </row>
    <row r="122" spans="10:18">
      <c r="J122" s="118">
        <v>44656</v>
      </c>
      <c r="K122" s="116">
        <v>141.52687964511739</v>
      </c>
      <c r="L122" s="116">
        <v>273.67502400000001</v>
      </c>
      <c r="M122" s="117">
        <v>132.14814435488262</v>
      </c>
      <c r="O122" s="39">
        <f t="shared" si="8"/>
        <v>44702</v>
      </c>
      <c r="P122" s="41">
        <f t="shared" si="5"/>
        <v>158.5045854710205</v>
      </c>
      <c r="Q122" s="41">
        <f t="shared" si="6"/>
        <v>325.45800000000003</v>
      </c>
      <c r="R122" s="41">
        <f t="shared" si="7"/>
        <v>166.95341452897952</v>
      </c>
    </row>
    <row r="123" spans="10:18">
      <c r="J123" s="118">
        <v>44655</v>
      </c>
      <c r="K123" s="116">
        <v>141.52687964511739</v>
      </c>
      <c r="L123" s="116">
        <v>247.84703999999999</v>
      </c>
      <c r="M123" s="117">
        <v>106.3201603548826</v>
      </c>
      <c r="O123" s="39">
        <f t="shared" si="8"/>
        <v>44701</v>
      </c>
      <c r="P123" s="41">
        <f t="shared" si="5"/>
        <v>158.5045854710205</v>
      </c>
      <c r="Q123" s="41">
        <f t="shared" si="6"/>
        <v>325.45800000000003</v>
      </c>
      <c r="R123" s="41">
        <f t="shared" si="7"/>
        <v>166.95341452897952</v>
      </c>
    </row>
    <row r="124" spans="10:18">
      <c r="J124" s="118">
        <v>44652</v>
      </c>
      <c r="K124" s="116">
        <v>139.84348471266847</v>
      </c>
      <c r="L124" s="116">
        <v>251.36697599999999</v>
      </c>
      <c r="M124" s="117">
        <v>111.52349128733152</v>
      </c>
      <c r="O124" s="39">
        <f t="shared" si="8"/>
        <v>44700</v>
      </c>
      <c r="P124" s="41">
        <f t="shared" si="5"/>
        <v>147.91556539196912</v>
      </c>
      <c r="Q124" s="41">
        <f t="shared" si="6"/>
        <v>320.24160000000001</v>
      </c>
      <c r="R124" s="41">
        <f t="shared" si="7"/>
        <v>172.32603460803088</v>
      </c>
    </row>
    <row r="125" spans="10:18">
      <c r="J125" s="118">
        <v>44651</v>
      </c>
      <c r="K125" s="116">
        <v>141.35101917723318</v>
      </c>
      <c r="L125" s="116">
        <v>247.856112</v>
      </c>
      <c r="M125" s="117">
        <v>106.50509282276681</v>
      </c>
      <c r="O125" s="39">
        <f t="shared" si="8"/>
        <v>44699</v>
      </c>
      <c r="P125" s="41">
        <f t="shared" si="5"/>
        <v>147.91556539196912</v>
      </c>
      <c r="Q125" s="41">
        <f t="shared" si="6"/>
        <v>320.89478400000002</v>
      </c>
      <c r="R125" s="41">
        <f t="shared" si="7"/>
        <v>172.97921860803089</v>
      </c>
    </row>
    <row r="126" spans="10:18">
      <c r="J126" s="118">
        <v>44650</v>
      </c>
      <c r="K126" s="116">
        <v>141.35101917723318</v>
      </c>
      <c r="L126" s="116">
        <v>258.83323200000001</v>
      </c>
      <c r="M126" s="117">
        <v>117.48221282276683</v>
      </c>
      <c r="O126" s="39">
        <f t="shared" si="8"/>
        <v>44698</v>
      </c>
      <c r="P126" s="41">
        <f t="shared" si="5"/>
        <v>147.91556539196912</v>
      </c>
      <c r="Q126" s="41">
        <f t="shared" si="6"/>
        <v>303.80313599999999</v>
      </c>
      <c r="R126" s="41">
        <f t="shared" si="7"/>
        <v>155.88757060803087</v>
      </c>
    </row>
    <row r="127" spans="10:18">
      <c r="J127" s="118">
        <v>44649</v>
      </c>
      <c r="K127" s="116">
        <v>141.35101917723318</v>
      </c>
      <c r="L127" s="116">
        <v>252.65520000000001</v>
      </c>
      <c r="M127" s="117">
        <v>111.30418082276682</v>
      </c>
      <c r="O127" s="39">
        <f t="shared" si="8"/>
        <v>44697</v>
      </c>
      <c r="P127" s="41">
        <f t="shared" si="5"/>
        <v>147.91556539196912</v>
      </c>
      <c r="Q127" s="41">
        <f t="shared" si="6"/>
        <v>295.10308800000001</v>
      </c>
      <c r="R127" s="41">
        <f t="shared" si="7"/>
        <v>147.18752260803089</v>
      </c>
    </row>
    <row r="128" spans="10:18">
      <c r="J128" s="118">
        <v>44648</v>
      </c>
      <c r="K128" s="116">
        <v>141.35101917723318</v>
      </c>
      <c r="L128" s="116">
        <v>253.63497599999999</v>
      </c>
      <c r="M128" s="117">
        <v>112.28395682276681</v>
      </c>
      <c r="O128" s="39">
        <f t="shared" si="8"/>
        <v>44696</v>
      </c>
      <c r="P128" s="41">
        <f t="shared" si="5"/>
        <v>147.91556539196912</v>
      </c>
      <c r="Q128" s="41">
        <f t="shared" si="6"/>
        <v>290.24049600000001</v>
      </c>
      <c r="R128" s="41">
        <f t="shared" si="7"/>
        <v>142.32493060803088</v>
      </c>
    </row>
    <row r="129" spans="10:18">
      <c r="J129" s="118">
        <v>44645</v>
      </c>
      <c r="K129" s="116">
        <v>141.35101917723318</v>
      </c>
      <c r="L129" s="116">
        <v>261.79070400000001</v>
      </c>
      <c r="M129" s="117">
        <v>120.43968482276682</v>
      </c>
      <c r="O129" s="39">
        <f t="shared" si="8"/>
        <v>44695</v>
      </c>
      <c r="P129" s="41">
        <f t="shared" si="5"/>
        <v>147.91556539196912</v>
      </c>
      <c r="Q129" s="41">
        <f t="shared" si="6"/>
        <v>290.24049600000001</v>
      </c>
      <c r="R129" s="41">
        <f t="shared" si="7"/>
        <v>142.32493060803088</v>
      </c>
    </row>
    <row r="130" spans="10:18">
      <c r="J130" s="118">
        <v>44644</v>
      </c>
      <c r="K130" s="116">
        <v>143.26248932706318</v>
      </c>
      <c r="L130" s="116">
        <v>265.845888</v>
      </c>
      <c r="M130" s="117">
        <v>122.58339867293682</v>
      </c>
      <c r="O130" s="39">
        <f t="shared" si="8"/>
        <v>44694</v>
      </c>
      <c r="P130" s="41">
        <f t="shared" si="5"/>
        <v>147.91556539196912</v>
      </c>
      <c r="Q130" s="41">
        <f t="shared" si="6"/>
        <v>290.24049600000001</v>
      </c>
      <c r="R130" s="41">
        <f t="shared" si="7"/>
        <v>142.32493060803088</v>
      </c>
    </row>
    <row r="131" spans="10:18">
      <c r="J131" s="118">
        <v>44643</v>
      </c>
      <c r="K131" s="116">
        <v>143.26248932706318</v>
      </c>
      <c r="L131" s="116">
        <v>290.30399999999997</v>
      </c>
      <c r="M131" s="117">
        <v>147.04151067293679</v>
      </c>
      <c r="O131" s="39">
        <f t="shared" si="8"/>
        <v>44693</v>
      </c>
      <c r="P131" s="41">
        <f t="shared" si="5"/>
        <v>148.17407166644287</v>
      </c>
      <c r="Q131" s="41">
        <f t="shared" si="6"/>
        <v>302.47862400000002</v>
      </c>
      <c r="R131" s="41">
        <f t="shared" si="7"/>
        <v>154.30455233355715</v>
      </c>
    </row>
    <row r="132" spans="10:18">
      <c r="J132" s="118">
        <v>44642</v>
      </c>
      <c r="K132" s="116">
        <v>143.26248932706318</v>
      </c>
      <c r="L132" s="116">
        <v>252.74592000000001</v>
      </c>
      <c r="M132" s="117">
        <v>109.48343067293683</v>
      </c>
      <c r="O132" s="39">
        <f t="shared" si="8"/>
        <v>44692</v>
      </c>
      <c r="P132" s="41">
        <f t="shared" si="5"/>
        <v>148.17407166644287</v>
      </c>
      <c r="Q132" s="41">
        <f t="shared" si="6"/>
        <v>294.83999999999997</v>
      </c>
      <c r="R132" s="41">
        <f t="shared" si="7"/>
        <v>146.6659283335571</v>
      </c>
    </row>
    <row r="133" spans="10:18">
      <c r="J133" s="118">
        <v>44641</v>
      </c>
      <c r="K133" s="116">
        <v>143.26248932706318</v>
      </c>
      <c r="L133" s="116">
        <v>234.502128</v>
      </c>
      <c r="M133" s="117">
        <v>91.23963867293682</v>
      </c>
      <c r="O133" s="39">
        <f t="shared" si="8"/>
        <v>44691</v>
      </c>
      <c r="P133" s="41">
        <f t="shared" si="5"/>
        <v>148.17407166644287</v>
      </c>
      <c r="Q133" s="41">
        <f t="shared" si="6"/>
        <v>284.57956799999999</v>
      </c>
      <c r="R133" s="41">
        <f t="shared" si="7"/>
        <v>136.40549633355712</v>
      </c>
    </row>
    <row r="134" spans="10:18">
      <c r="J134" s="118">
        <v>44638</v>
      </c>
      <c r="K134" s="116">
        <v>143.26248932706318</v>
      </c>
      <c r="L134" s="116">
        <v>251.26718400000001</v>
      </c>
      <c r="M134" s="117">
        <v>108.00469467293684</v>
      </c>
      <c r="O134" s="39">
        <f t="shared" si="8"/>
        <v>44690</v>
      </c>
      <c r="P134" s="41">
        <f t="shared" ref="P134:P197" si="9">IFERROR(VLOOKUP($O134,$J$5:$M$403,2,FALSE),P135)</f>
        <v>148.17407166644287</v>
      </c>
      <c r="Q134" s="41">
        <f t="shared" ref="Q134:Q197" si="10">IFERROR(VLOOKUP($O134,$J$5:$M$403,3,FALSE),Q135)</f>
        <v>287.12880000000001</v>
      </c>
      <c r="R134" s="41">
        <f t="shared" ref="R134:R197" si="11">IFERROR(VLOOKUP($O134,$J$5:$M$403,4,FALSE),R135)</f>
        <v>138.95472833355714</v>
      </c>
    </row>
    <row r="135" spans="10:18">
      <c r="J135" s="118">
        <v>44637</v>
      </c>
      <c r="K135" s="116">
        <v>143.83651146145053</v>
      </c>
      <c r="L135" s="116">
        <v>264.86611199999999</v>
      </c>
      <c r="M135" s="117">
        <v>121.02960053854946</v>
      </c>
      <c r="O135" s="39">
        <f t="shared" ref="O135:O198" si="12">O134-1</f>
        <v>44689</v>
      </c>
      <c r="P135" s="41">
        <f t="shared" si="9"/>
        <v>148.17407166644287</v>
      </c>
      <c r="Q135" s="41">
        <f t="shared" si="10"/>
        <v>307.03276799999998</v>
      </c>
      <c r="R135" s="41">
        <f t="shared" si="11"/>
        <v>158.85869633355711</v>
      </c>
    </row>
    <row r="136" spans="10:18">
      <c r="J136" s="118">
        <v>44636</v>
      </c>
      <c r="K136" s="116">
        <v>143.83651146145053</v>
      </c>
      <c r="L136" s="116">
        <v>240.752736</v>
      </c>
      <c r="M136" s="117">
        <v>96.916224538549471</v>
      </c>
      <c r="O136" s="39">
        <f t="shared" si="12"/>
        <v>44688</v>
      </c>
      <c r="P136" s="41">
        <f t="shared" si="9"/>
        <v>148.17407166644287</v>
      </c>
      <c r="Q136" s="41">
        <f t="shared" si="10"/>
        <v>307.03276799999998</v>
      </c>
      <c r="R136" s="41">
        <f t="shared" si="11"/>
        <v>158.85869633355711</v>
      </c>
    </row>
    <row r="137" spans="10:18">
      <c r="J137" s="118">
        <v>44635</v>
      </c>
      <c r="K137" s="116">
        <v>143.83651146145053</v>
      </c>
      <c r="L137" s="116">
        <v>280.32479999999998</v>
      </c>
      <c r="M137" s="117">
        <v>136.48828853854945</v>
      </c>
      <c r="O137" s="39">
        <f t="shared" si="12"/>
        <v>44687</v>
      </c>
      <c r="P137" s="41">
        <f t="shared" si="9"/>
        <v>148.17407166644287</v>
      </c>
      <c r="Q137" s="41">
        <f t="shared" si="10"/>
        <v>307.03276799999998</v>
      </c>
      <c r="R137" s="41">
        <f t="shared" si="11"/>
        <v>158.85869633355711</v>
      </c>
    </row>
    <row r="138" spans="10:18">
      <c r="J138" s="118">
        <v>44634</v>
      </c>
      <c r="K138" s="116">
        <v>143.83651146145053</v>
      </c>
      <c r="L138" s="116">
        <v>305.61753599999997</v>
      </c>
      <c r="M138" s="117">
        <v>161.78102453854945</v>
      </c>
      <c r="O138" s="39">
        <f t="shared" si="12"/>
        <v>44686</v>
      </c>
      <c r="P138" s="41">
        <f t="shared" si="9"/>
        <v>144.17020838489128</v>
      </c>
      <c r="Q138" s="41">
        <f t="shared" si="10"/>
        <v>306.18</v>
      </c>
      <c r="R138" s="41">
        <f t="shared" si="11"/>
        <v>162.00979161510872</v>
      </c>
    </row>
    <row r="139" spans="10:18">
      <c r="J139" s="118">
        <v>44631</v>
      </c>
      <c r="K139" s="116">
        <v>143.83651146145053</v>
      </c>
      <c r="L139" s="116">
        <v>332.57952</v>
      </c>
      <c r="M139" s="117">
        <v>188.74300853854947</v>
      </c>
      <c r="O139" s="39">
        <f t="shared" si="12"/>
        <v>44685</v>
      </c>
      <c r="P139" s="41">
        <f t="shared" si="9"/>
        <v>144.17020838489128</v>
      </c>
      <c r="Q139" s="41">
        <f t="shared" si="10"/>
        <v>296.65440000000001</v>
      </c>
      <c r="R139" s="41">
        <f t="shared" si="11"/>
        <v>152.48419161510873</v>
      </c>
    </row>
    <row r="140" spans="10:18">
      <c r="J140" s="118">
        <v>44630</v>
      </c>
      <c r="K140" s="116">
        <v>133.2460779216031</v>
      </c>
      <c r="L140" s="116">
        <v>326.59199999999998</v>
      </c>
      <c r="M140" s="117">
        <v>193.34592207839688</v>
      </c>
      <c r="O140" s="39">
        <f t="shared" si="12"/>
        <v>44684</v>
      </c>
      <c r="P140" s="41">
        <f t="shared" si="9"/>
        <v>144.17020838489128</v>
      </c>
      <c r="Q140" s="41">
        <f t="shared" si="10"/>
        <v>276.69600000000003</v>
      </c>
      <c r="R140" s="41">
        <f t="shared" si="11"/>
        <v>132.52579161510874</v>
      </c>
    </row>
    <row r="141" spans="10:18">
      <c r="J141" s="118">
        <v>44629</v>
      </c>
      <c r="K141" s="116">
        <v>133.2460779216031</v>
      </c>
      <c r="L141" s="116">
        <v>378.81950399999999</v>
      </c>
      <c r="M141" s="117">
        <v>245.57342607839689</v>
      </c>
      <c r="O141" s="39">
        <f t="shared" si="12"/>
        <v>44683</v>
      </c>
      <c r="P141" s="41">
        <f t="shared" si="9"/>
        <v>144.17020838489128</v>
      </c>
      <c r="Q141" s="41">
        <f t="shared" si="10"/>
        <v>259.68599999999998</v>
      </c>
      <c r="R141" s="41">
        <f t="shared" si="11"/>
        <v>115.5157916151087</v>
      </c>
    </row>
    <row r="142" spans="10:18">
      <c r="J142" s="118">
        <v>44628</v>
      </c>
      <c r="K142" s="116">
        <v>133.2460779216031</v>
      </c>
      <c r="L142" s="116">
        <v>374.67360000000002</v>
      </c>
      <c r="M142" s="117">
        <v>241.42752207839692</v>
      </c>
      <c r="O142" s="39">
        <f t="shared" si="12"/>
        <v>44682</v>
      </c>
      <c r="P142" s="41">
        <f t="shared" si="9"/>
        <v>144.17020838489128</v>
      </c>
      <c r="Q142" s="41">
        <f t="shared" si="10"/>
        <v>259.68599999999998</v>
      </c>
      <c r="R142" s="41">
        <f t="shared" si="11"/>
        <v>115.5157916151087</v>
      </c>
    </row>
    <row r="143" spans="10:18">
      <c r="J143" s="118">
        <v>44627</v>
      </c>
      <c r="K143" s="116">
        <v>133.2460779216031</v>
      </c>
      <c r="L143" s="116">
        <v>355.51353599999999</v>
      </c>
      <c r="M143" s="117">
        <v>222.26745807839688</v>
      </c>
      <c r="O143" s="39">
        <f t="shared" si="12"/>
        <v>44681</v>
      </c>
      <c r="P143" s="41">
        <f t="shared" si="9"/>
        <v>144.17020838489128</v>
      </c>
      <c r="Q143" s="41">
        <f t="shared" si="10"/>
        <v>259.68599999999998</v>
      </c>
      <c r="R143" s="41">
        <f t="shared" si="11"/>
        <v>115.5157916151087</v>
      </c>
    </row>
    <row r="144" spans="10:18">
      <c r="J144" s="118">
        <v>44624</v>
      </c>
      <c r="K144" s="116">
        <v>133.2460779216031</v>
      </c>
      <c r="L144" s="116">
        <v>344.91744</v>
      </c>
      <c r="M144" s="117">
        <v>211.6713620783969</v>
      </c>
      <c r="O144" s="39">
        <f t="shared" si="12"/>
        <v>44680</v>
      </c>
      <c r="P144" s="41">
        <f t="shared" si="9"/>
        <v>144.17020838489128</v>
      </c>
      <c r="Q144" s="41">
        <f t="shared" si="10"/>
        <v>259.68599999999998</v>
      </c>
      <c r="R144" s="41">
        <f t="shared" si="11"/>
        <v>115.5157916151087</v>
      </c>
    </row>
    <row r="145" spans="10:18">
      <c r="J145" s="118">
        <v>44623</v>
      </c>
      <c r="K145" s="116">
        <v>106.81687385505286</v>
      </c>
      <c r="L145" s="116">
        <v>311.68670400000002</v>
      </c>
      <c r="M145" s="117">
        <v>204.86983014494717</v>
      </c>
      <c r="O145" s="39">
        <f t="shared" si="12"/>
        <v>44679</v>
      </c>
      <c r="P145" s="41">
        <f t="shared" si="9"/>
        <v>145.79772996591893</v>
      </c>
      <c r="Q145" s="41">
        <f t="shared" si="10"/>
        <v>263.08800000000002</v>
      </c>
      <c r="R145" s="41">
        <f t="shared" si="11"/>
        <v>117.29027003408109</v>
      </c>
    </row>
    <row r="146" spans="10:18">
      <c r="J146" s="118">
        <v>44622</v>
      </c>
      <c r="K146" s="116">
        <v>106.81687385505286</v>
      </c>
      <c r="L146" s="116">
        <v>348.06542400000001</v>
      </c>
      <c r="M146" s="117">
        <v>241.24855014494716</v>
      </c>
      <c r="O146" s="39">
        <f t="shared" si="12"/>
        <v>44678</v>
      </c>
      <c r="P146" s="41">
        <f t="shared" si="9"/>
        <v>145.79772996591893</v>
      </c>
      <c r="Q146" s="41">
        <f t="shared" si="10"/>
        <v>284.52513599999997</v>
      </c>
      <c r="R146" s="41">
        <f t="shared" si="11"/>
        <v>138.72740603408104</v>
      </c>
    </row>
    <row r="147" spans="10:18">
      <c r="J147" s="118">
        <v>44621</v>
      </c>
      <c r="K147" s="116">
        <v>106.81687385505286</v>
      </c>
      <c r="L147" s="116">
        <v>252.11087999999998</v>
      </c>
      <c r="M147" s="117">
        <v>145.2940061449471</v>
      </c>
      <c r="O147" s="39">
        <f t="shared" si="12"/>
        <v>44677</v>
      </c>
      <c r="P147" s="41">
        <f t="shared" si="9"/>
        <v>145.79772996591893</v>
      </c>
      <c r="Q147" s="41">
        <f t="shared" si="10"/>
        <v>284.73379199999999</v>
      </c>
      <c r="R147" s="41">
        <f t="shared" si="11"/>
        <v>138.93606203408106</v>
      </c>
    </row>
    <row r="148" spans="10:18">
      <c r="J148" s="118">
        <v>44620</v>
      </c>
      <c r="K148" s="116">
        <v>106.81687385505286</v>
      </c>
      <c r="L148" s="116">
        <v>217.95480000000001</v>
      </c>
      <c r="M148" s="117">
        <v>111.13792614494714</v>
      </c>
      <c r="O148" s="39">
        <f t="shared" si="12"/>
        <v>44676</v>
      </c>
      <c r="P148" s="41">
        <f t="shared" si="9"/>
        <v>145.79772996591893</v>
      </c>
      <c r="Q148" s="41">
        <f t="shared" si="10"/>
        <v>303.40396800000002</v>
      </c>
      <c r="R148" s="41">
        <f t="shared" si="11"/>
        <v>157.60623803408109</v>
      </c>
    </row>
    <row r="149" spans="10:18">
      <c r="J149" s="118">
        <v>44617</v>
      </c>
      <c r="K149" s="116">
        <v>106.81687385505286</v>
      </c>
      <c r="L149" s="116">
        <v>229.86633599999999</v>
      </c>
      <c r="M149" s="117">
        <v>123.04946214494713</v>
      </c>
      <c r="O149" s="39">
        <f t="shared" si="12"/>
        <v>44675</v>
      </c>
      <c r="P149" s="41">
        <f t="shared" si="9"/>
        <v>145.79772996591893</v>
      </c>
      <c r="Q149" s="41">
        <f t="shared" si="10"/>
        <v>311.23310399999997</v>
      </c>
      <c r="R149" s="41">
        <f t="shared" si="11"/>
        <v>165.43537403408104</v>
      </c>
    </row>
    <row r="150" spans="10:18">
      <c r="J150" s="118">
        <v>44616</v>
      </c>
      <c r="K150" s="116">
        <v>106.24096710627079</v>
      </c>
      <c r="L150" s="116">
        <v>237.91319999999999</v>
      </c>
      <c r="M150" s="117">
        <v>131.67223289372919</v>
      </c>
      <c r="O150" s="39">
        <f t="shared" si="12"/>
        <v>44674</v>
      </c>
      <c r="P150" s="41">
        <f t="shared" si="9"/>
        <v>145.79772996591893</v>
      </c>
      <c r="Q150" s="41">
        <f t="shared" si="10"/>
        <v>311.23310399999997</v>
      </c>
      <c r="R150" s="41">
        <f t="shared" si="11"/>
        <v>165.43537403408104</v>
      </c>
    </row>
    <row r="151" spans="10:18">
      <c r="J151" s="118">
        <v>44615</v>
      </c>
      <c r="K151" s="116">
        <v>106.24096710627079</v>
      </c>
      <c r="L151" s="116">
        <v>193.84142399999999</v>
      </c>
      <c r="M151" s="117">
        <v>87.600456893729202</v>
      </c>
      <c r="O151" s="39">
        <f t="shared" si="12"/>
        <v>44673</v>
      </c>
      <c r="P151" s="41">
        <f t="shared" si="9"/>
        <v>145.79772996591893</v>
      </c>
      <c r="Q151" s="41">
        <f t="shared" si="10"/>
        <v>311.23310399999997</v>
      </c>
      <c r="R151" s="41">
        <f t="shared" si="11"/>
        <v>165.43537403408104</v>
      </c>
    </row>
    <row r="152" spans="10:18">
      <c r="J152" s="118">
        <v>44614</v>
      </c>
      <c r="K152" s="116">
        <v>106.24096710627079</v>
      </c>
      <c r="L152" s="116">
        <v>184.86014400000002</v>
      </c>
      <c r="M152" s="117">
        <v>78.619176893729232</v>
      </c>
      <c r="O152" s="39">
        <f t="shared" si="12"/>
        <v>44672</v>
      </c>
      <c r="P152" s="41">
        <f t="shared" si="9"/>
        <v>145.73632294689145</v>
      </c>
      <c r="Q152" s="41">
        <f t="shared" si="10"/>
        <v>319.67913599999997</v>
      </c>
      <c r="R152" s="41">
        <f t="shared" si="11"/>
        <v>173.94281305310852</v>
      </c>
    </row>
    <row r="153" spans="10:18">
      <c r="J153" s="118">
        <v>44613</v>
      </c>
      <c r="K153" s="116">
        <v>106.24096710627079</v>
      </c>
      <c r="L153" s="116">
        <v>168.857136</v>
      </c>
      <c r="M153" s="117">
        <v>62.61616889372921</v>
      </c>
      <c r="O153" s="39">
        <f t="shared" si="12"/>
        <v>44671</v>
      </c>
      <c r="P153" s="41">
        <f t="shared" si="9"/>
        <v>145.73632294689145</v>
      </c>
      <c r="Q153" s="41">
        <f t="shared" si="10"/>
        <v>320.849424</v>
      </c>
      <c r="R153" s="41">
        <f t="shared" si="11"/>
        <v>175.11310105310855</v>
      </c>
    </row>
    <row r="154" spans="10:18">
      <c r="J154" s="118">
        <v>44610</v>
      </c>
      <c r="K154" s="116">
        <v>106.24096710627079</v>
      </c>
      <c r="L154" s="116">
        <v>164.97432000000001</v>
      </c>
      <c r="M154" s="117">
        <v>58.733352893729219</v>
      </c>
      <c r="O154" s="39">
        <f t="shared" si="12"/>
        <v>44670</v>
      </c>
      <c r="P154" s="41">
        <f t="shared" si="9"/>
        <v>145.73632294689145</v>
      </c>
      <c r="Q154" s="41">
        <f t="shared" si="10"/>
        <v>323.19</v>
      </c>
      <c r="R154" s="41">
        <f t="shared" si="11"/>
        <v>177.45367705310855</v>
      </c>
    </row>
    <row r="155" spans="10:18">
      <c r="J155" s="118">
        <v>44609</v>
      </c>
      <c r="K155" s="116">
        <v>108.65044660990168</v>
      </c>
      <c r="L155" s="116">
        <v>155.37614400000001</v>
      </c>
      <c r="M155" s="117">
        <v>46.725697390098333</v>
      </c>
      <c r="O155" s="39">
        <f t="shared" si="12"/>
        <v>44669</v>
      </c>
      <c r="P155" s="41">
        <f t="shared" si="9"/>
        <v>145.73632294689145</v>
      </c>
      <c r="Q155" s="41">
        <f t="shared" si="10"/>
        <v>326.59199999999998</v>
      </c>
      <c r="R155" s="41">
        <f t="shared" si="11"/>
        <v>180.85567705310854</v>
      </c>
    </row>
    <row r="156" spans="10:18">
      <c r="J156" s="118">
        <v>44608</v>
      </c>
      <c r="K156" s="116">
        <v>108.65044660990168</v>
      </c>
      <c r="L156" s="116">
        <v>163.82217600000001</v>
      </c>
      <c r="M156" s="117">
        <v>55.171729390098335</v>
      </c>
      <c r="O156" s="39">
        <f t="shared" si="12"/>
        <v>44668</v>
      </c>
      <c r="P156" s="41">
        <f t="shared" si="9"/>
        <v>145.73632294689145</v>
      </c>
      <c r="Q156" s="41">
        <f t="shared" si="10"/>
        <v>326.59199999999998</v>
      </c>
      <c r="R156" s="41">
        <f t="shared" si="11"/>
        <v>180.85567705310854</v>
      </c>
    </row>
    <row r="157" spans="10:18">
      <c r="J157" s="118">
        <v>44607</v>
      </c>
      <c r="K157" s="116">
        <v>108.65044660990168</v>
      </c>
      <c r="L157" s="116">
        <v>172.059552</v>
      </c>
      <c r="M157" s="117">
        <v>63.409105390098318</v>
      </c>
      <c r="O157" s="39">
        <f t="shared" si="12"/>
        <v>44667</v>
      </c>
      <c r="P157" s="41">
        <f t="shared" si="9"/>
        <v>145.73632294689145</v>
      </c>
      <c r="Q157" s="41">
        <f t="shared" si="10"/>
        <v>326.59199999999998</v>
      </c>
      <c r="R157" s="41">
        <f t="shared" si="11"/>
        <v>180.85567705310854</v>
      </c>
    </row>
    <row r="158" spans="10:18">
      <c r="J158" s="118">
        <v>44606</v>
      </c>
      <c r="K158" s="116">
        <v>108.65044660990168</v>
      </c>
      <c r="L158" s="116">
        <v>174.79022399999999</v>
      </c>
      <c r="M158" s="117">
        <v>66.139777390098317</v>
      </c>
      <c r="O158" s="39">
        <f t="shared" si="12"/>
        <v>44666</v>
      </c>
      <c r="P158" s="41">
        <f t="shared" si="9"/>
        <v>145.73632294689145</v>
      </c>
      <c r="Q158" s="41">
        <f t="shared" si="10"/>
        <v>326.59199999999998</v>
      </c>
      <c r="R158" s="41">
        <f t="shared" si="11"/>
        <v>180.85567705310854</v>
      </c>
    </row>
    <row r="159" spans="10:18">
      <c r="J159" s="118">
        <v>44603</v>
      </c>
      <c r="K159" s="116">
        <v>108.65044660990168</v>
      </c>
      <c r="L159" s="116">
        <v>169.492176</v>
      </c>
      <c r="M159" s="117">
        <v>60.841729390098322</v>
      </c>
      <c r="O159" s="39">
        <f t="shared" si="12"/>
        <v>44665</v>
      </c>
      <c r="P159" s="41">
        <f t="shared" si="9"/>
        <v>137.56589134104533</v>
      </c>
      <c r="Q159" s="41">
        <f t="shared" si="10"/>
        <v>326.59199999999998</v>
      </c>
      <c r="R159" s="41">
        <f t="shared" si="11"/>
        <v>189.02610865895466</v>
      </c>
    </row>
    <row r="160" spans="10:18">
      <c r="J160" s="118">
        <v>44602</v>
      </c>
      <c r="K160" s="116">
        <v>106.66029380909276</v>
      </c>
      <c r="L160" s="116">
        <v>181.33113599999999</v>
      </c>
      <c r="M160" s="117">
        <v>74.670842190907223</v>
      </c>
      <c r="O160" s="39">
        <f t="shared" si="12"/>
        <v>44664</v>
      </c>
      <c r="P160" s="41">
        <f t="shared" si="9"/>
        <v>137.56589134104533</v>
      </c>
      <c r="Q160" s="41">
        <f t="shared" si="10"/>
        <v>331.12799999999999</v>
      </c>
      <c r="R160" s="41">
        <f t="shared" si="11"/>
        <v>193.56210865895466</v>
      </c>
    </row>
    <row r="161" spans="10:18">
      <c r="J161" s="118">
        <v>44601</v>
      </c>
      <c r="K161" s="116">
        <v>106.66029380909276</v>
      </c>
      <c r="L161" s="116">
        <v>177.72048000000001</v>
      </c>
      <c r="M161" s="117">
        <v>71.060186190907245</v>
      </c>
      <c r="O161" s="39">
        <f t="shared" si="12"/>
        <v>44663</v>
      </c>
      <c r="P161" s="41">
        <f t="shared" si="9"/>
        <v>137.56589134104533</v>
      </c>
      <c r="Q161" s="41">
        <f t="shared" si="10"/>
        <v>328.29753599999998</v>
      </c>
      <c r="R161" s="41">
        <f t="shared" si="11"/>
        <v>190.73164465895465</v>
      </c>
    </row>
    <row r="162" spans="10:18">
      <c r="J162" s="118">
        <v>44600</v>
      </c>
      <c r="K162" s="116">
        <v>106.66029380909276</v>
      </c>
      <c r="L162" s="116">
        <v>172.159344</v>
      </c>
      <c r="M162" s="117">
        <v>65.499050190907241</v>
      </c>
      <c r="O162" s="39">
        <f t="shared" si="12"/>
        <v>44662</v>
      </c>
      <c r="P162" s="41">
        <f t="shared" si="9"/>
        <v>137.56589134104533</v>
      </c>
      <c r="Q162" s="41">
        <f t="shared" si="10"/>
        <v>307.54079999999999</v>
      </c>
      <c r="R162" s="41">
        <f t="shared" si="11"/>
        <v>169.97490865895466</v>
      </c>
    </row>
    <row r="163" spans="10:18">
      <c r="J163" s="118">
        <v>44599</v>
      </c>
      <c r="K163" s="116">
        <v>106.66029380909276</v>
      </c>
      <c r="L163" s="116">
        <v>165.78172800000002</v>
      </c>
      <c r="M163" s="117">
        <v>59.121434190907252</v>
      </c>
      <c r="O163" s="39">
        <f t="shared" si="12"/>
        <v>44661</v>
      </c>
      <c r="P163" s="41">
        <f t="shared" si="9"/>
        <v>137.56589134104533</v>
      </c>
      <c r="Q163" s="41">
        <f t="shared" si="10"/>
        <v>291.99139200000002</v>
      </c>
      <c r="R163" s="41">
        <f t="shared" si="11"/>
        <v>154.42550065895469</v>
      </c>
    </row>
    <row r="164" spans="10:18">
      <c r="J164" s="118">
        <v>44596</v>
      </c>
      <c r="K164" s="116">
        <v>106.66029380909276</v>
      </c>
      <c r="L164" s="116">
        <v>161.54510400000001</v>
      </c>
      <c r="M164" s="117">
        <v>54.884810190907245</v>
      </c>
      <c r="O164" s="39">
        <f t="shared" si="12"/>
        <v>44660</v>
      </c>
      <c r="P164" s="41">
        <f t="shared" si="9"/>
        <v>137.56589134104533</v>
      </c>
      <c r="Q164" s="41">
        <f t="shared" si="10"/>
        <v>291.99139200000002</v>
      </c>
      <c r="R164" s="41">
        <f t="shared" si="11"/>
        <v>154.42550065895469</v>
      </c>
    </row>
    <row r="165" spans="10:18">
      <c r="J165" s="118">
        <v>44595</v>
      </c>
      <c r="K165" s="116">
        <v>108.89811635160589</v>
      </c>
      <c r="L165" s="116">
        <v>157.997952</v>
      </c>
      <c r="M165" s="117">
        <v>49.099835648394105</v>
      </c>
      <c r="O165" s="39">
        <f t="shared" si="12"/>
        <v>44659</v>
      </c>
      <c r="P165" s="41">
        <f t="shared" si="9"/>
        <v>137.56589134104533</v>
      </c>
      <c r="Q165" s="41">
        <f t="shared" si="10"/>
        <v>291.99139200000002</v>
      </c>
      <c r="R165" s="41">
        <f t="shared" si="11"/>
        <v>154.42550065895469</v>
      </c>
    </row>
    <row r="166" spans="10:18">
      <c r="J166" s="118">
        <v>44594</v>
      </c>
      <c r="K166" s="116">
        <v>108.89811635160589</v>
      </c>
      <c r="L166" s="116">
        <v>162.59745599999999</v>
      </c>
      <c r="M166" s="117">
        <v>53.699339648394101</v>
      </c>
      <c r="O166" s="39">
        <f t="shared" si="12"/>
        <v>44658</v>
      </c>
      <c r="P166" s="41">
        <f t="shared" si="9"/>
        <v>141.52687964511739</v>
      </c>
      <c r="Q166" s="41">
        <f t="shared" si="10"/>
        <v>279.87119999999999</v>
      </c>
      <c r="R166" s="41">
        <f t="shared" si="11"/>
        <v>138.3443203548826</v>
      </c>
    </row>
    <row r="167" spans="10:18">
      <c r="J167" s="118">
        <v>44593</v>
      </c>
      <c r="K167" s="116">
        <v>108.89811635160589</v>
      </c>
      <c r="L167" s="116">
        <v>160.95542399999999</v>
      </c>
      <c r="M167" s="117">
        <v>52.057307648394101</v>
      </c>
      <c r="O167" s="39">
        <f t="shared" si="12"/>
        <v>44657</v>
      </c>
      <c r="P167" s="41">
        <f t="shared" si="9"/>
        <v>141.52687964511739</v>
      </c>
      <c r="Q167" s="41">
        <f t="shared" si="10"/>
        <v>286.67520000000002</v>
      </c>
      <c r="R167" s="41">
        <f t="shared" si="11"/>
        <v>145.14832035488263</v>
      </c>
    </row>
    <row r="168" spans="10:18">
      <c r="J168" s="118">
        <v>44592</v>
      </c>
      <c r="K168" s="116">
        <v>108.89811635160589</v>
      </c>
      <c r="L168" s="116">
        <v>164.60236800000001</v>
      </c>
      <c r="M168" s="117">
        <v>55.70425164839412</v>
      </c>
      <c r="O168" s="39">
        <f t="shared" si="12"/>
        <v>44656</v>
      </c>
      <c r="P168" s="41">
        <f t="shared" si="9"/>
        <v>141.52687964511739</v>
      </c>
      <c r="Q168" s="41">
        <f t="shared" si="10"/>
        <v>273.67502400000001</v>
      </c>
      <c r="R168" s="41">
        <f t="shared" si="11"/>
        <v>132.14814435488262</v>
      </c>
    </row>
    <row r="169" spans="10:18">
      <c r="J169" s="118">
        <v>44589</v>
      </c>
      <c r="K169" s="116">
        <v>108.89811635160589</v>
      </c>
      <c r="L169" s="116">
        <v>193.91399999999999</v>
      </c>
      <c r="M169" s="117">
        <v>85.015883648394095</v>
      </c>
      <c r="O169" s="39">
        <f t="shared" si="12"/>
        <v>44655</v>
      </c>
      <c r="P169" s="41">
        <f t="shared" si="9"/>
        <v>141.52687964511739</v>
      </c>
      <c r="Q169" s="41">
        <f t="shared" si="10"/>
        <v>247.84703999999999</v>
      </c>
      <c r="R169" s="41">
        <f t="shared" si="11"/>
        <v>106.3201603548826</v>
      </c>
    </row>
    <row r="170" spans="10:18">
      <c r="J170" s="118">
        <v>44588</v>
      </c>
      <c r="K170" s="116">
        <v>107.21845377232466</v>
      </c>
      <c r="L170" s="116">
        <v>195.85540799999998</v>
      </c>
      <c r="M170" s="117">
        <v>88.636954227675318</v>
      </c>
      <c r="O170" s="39">
        <f t="shared" si="12"/>
        <v>44654</v>
      </c>
      <c r="P170" s="41">
        <f t="shared" si="9"/>
        <v>139.84348471266847</v>
      </c>
      <c r="Q170" s="41">
        <f t="shared" si="10"/>
        <v>251.36697599999999</v>
      </c>
      <c r="R170" s="41">
        <f t="shared" si="11"/>
        <v>111.52349128733152</v>
      </c>
    </row>
    <row r="171" spans="10:18">
      <c r="J171" s="118">
        <v>44587</v>
      </c>
      <c r="K171" s="116">
        <v>107.21845377232466</v>
      </c>
      <c r="L171" s="116">
        <v>196.78982399999998</v>
      </c>
      <c r="M171" s="117">
        <v>89.571370227675317</v>
      </c>
      <c r="O171" s="39">
        <f t="shared" si="12"/>
        <v>44653</v>
      </c>
      <c r="P171" s="41">
        <f t="shared" si="9"/>
        <v>139.84348471266847</v>
      </c>
      <c r="Q171" s="41">
        <f t="shared" si="10"/>
        <v>251.36697599999999</v>
      </c>
      <c r="R171" s="41">
        <f t="shared" si="11"/>
        <v>111.52349128733152</v>
      </c>
    </row>
    <row r="172" spans="10:18">
      <c r="J172" s="118">
        <v>44586</v>
      </c>
      <c r="K172" s="116">
        <v>107.21845377232466</v>
      </c>
      <c r="L172" s="116">
        <v>177.08543999999998</v>
      </c>
      <c r="M172" s="117">
        <v>69.866986227675312</v>
      </c>
      <c r="O172" s="39">
        <f t="shared" si="12"/>
        <v>44652</v>
      </c>
      <c r="P172" s="41">
        <f t="shared" si="9"/>
        <v>139.84348471266847</v>
      </c>
      <c r="Q172" s="41">
        <f t="shared" si="10"/>
        <v>251.36697599999999</v>
      </c>
      <c r="R172" s="41">
        <f t="shared" si="11"/>
        <v>111.52349128733152</v>
      </c>
    </row>
    <row r="173" spans="10:18">
      <c r="J173" s="118">
        <v>44585</v>
      </c>
      <c r="K173" s="116">
        <v>107.21845377232466</v>
      </c>
      <c r="L173" s="116">
        <v>165.981312</v>
      </c>
      <c r="M173" s="117">
        <v>58.762858227675338</v>
      </c>
      <c r="O173" s="39">
        <f t="shared" si="12"/>
        <v>44651</v>
      </c>
      <c r="P173" s="41">
        <f t="shared" si="9"/>
        <v>141.35101917723318</v>
      </c>
      <c r="Q173" s="41">
        <f t="shared" si="10"/>
        <v>247.856112</v>
      </c>
      <c r="R173" s="41">
        <f t="shared" si="11"/>
        <v>106.50509282276681</v>
      </c>
    </row>
    <row r="174" spans="10:18">
      <c r="J174" s="118">
        <v>44582</v>
      </c>
      <c r="K174" s="116">
        <v>107.21845377232466</v>
      </c>
      <c r="L174" s="116">
        <v>160.5744</v>
      </c>
      <c r="M174" s="117">
        <v>53.355946227675332</v>
      </c>
      <c r="O174" s="39">
        <f t="shared" si="12"/>
        <v>44650</v>
      </c>
      <c r="P174" s="41">
        <f t="shared" si="9"/>
        <v>141.35101917723318</v>
      </c>
      <c r="Q174" s="41">
        <f t="shared" si="10"/>
        <v>258.83323200000001</v>
      </c>
      <c r="R174" s="41">
        <f t="shared" si="11"/>
        <v>117.48221282276683</v>
      </c>
    </row>
    <row r="175" spans="10:18">
      <c r="J175" s="118">
        <v>44581</v>
      </c>
      <c r="K175" s="116">
        <v>104.72133969933999</v>
      </c>
      <c r="L175" s="116">
        <v>153.91555199999999</v>
      </c>
      <c r="M175" s="117">
        <v>49.194212300659999</v>
      </c>
      <c r="O175" s="39">
        <f t="shared" si="12"/>
        <v>44649</v>
      </c>
      <c r="P175" s="41">
        <f t="shared" si="9"/>
        <v>141.35101917723318</v>
      </c>
      <c r="Q175" s="41">
        <f t="shared" si="10"/>
        <v>252.65520000000001</v>
      </c>
      <c r="R175" s="41">
        <f t="shared" si="11"/>
        <v>111.30418082276682</v>
      </c>
    </row>
    <row r="176" spans="10:18">
      <c r="J176" s="118">
        <v>44580</v>
      </c>
      <c r="K176" s="116">
        <v>104.72133969933999</v>
      </c>
      <c r="L176" s="116">
        <v>163.0692</v>
      </c>
      <c r="M176" s="117">
        <v>58.347860300660003</v>
      </c>
      <c r="O176" s="39">
        <f t="shared" si="12"/>
        <v>44648</v>
      </c>
      <c r="P176" s="41">
        <f t="shared" si="9"/>
        <v>141.35101917723318</v>
      </c>
      <c r="Q176" s="41">
        <f t="shared" si="10"/>
        <v>253.63497599999999</v>
      </c>
      <c r="R176" s="41">
        <f t="shared" si="11"/>
        <v>112.28395682276681</v>
      </c>
    </row>
    <row r="177" spans="10:18">
      <c r="J177" s="118">
        <v>44579</v>
      </c>
      <c r="K177" s="116">
        <v>104.72133969933999</v>
      </c>
      <c r="L177" s="116">
        <v>163.58630399999998</v>
      </c>
      <c r="M177" s="117">
        <v>58.864964300659992</v>
      </c>
      <c r="O177" s="39">
        <f t="shared" si="12"/>
        <v>44647</v>
      </c>
      <c r="P177" s="41">
        <f t="shared" si="9"/>
        <v>141.35101917723318</v>
      </c>
      <c r="Q177" s="41">
        <f t="shared" si="10"/>
        <v>261.79070400000001</v>
      </c>
      <c r="R177" s="41">
        <f t="shared" si="11"/>
        <v>120.43968482276682</v>
      </c>
    </row>
    <row r="178" spans="10:18">
      <c r="J178" s="118">
        <v>44578</v>
      </c>
      <c r="K178" s="116">
        <v>104.72133969933999</v>
      </c>
      <c r="L178" s="116">
        <v>157.32662399999998</v>
      </c>
      <c r="M178" s="117">
        <v>52.605284300659989</v>
      </c>
      <c r="O178" s="39">
        <f t="shared" si="12"/>
        <v>44646</v>
      </c>
      <c r="P178" s="41">
        <f t="shared" si="9"/>
        <v>141.35101917723318</v>
      </c>
      <c r="Q178" s="41">
        <f t="shared" si="10"/>
        <v>261.79070400000001</v>
      </c>
      <c r="R178" s="41">
        <f t="shared" si="11"/>
        <v>120.43968482276682</v>
      </c>
    </row>
    <row r="179" spans="10:18">
      <c r="J179" s="118">
        <v>44575</v>
      </c>
      <c r="K179" s="116">
        <v>104.72133969933999</v>
      </c>
      <c r="L179" s="116">
        <v>154.58688000000001</v>
      </c>
      <c r="M179" s="117">
        <v>49.865540300660015</v>
      </c>
      <c r="O179" s="39">
        <f t="shared" si="12"/>
        <v>44645</v>
      </c>
      <c r="P179" s="41">
        <f t="shared" si="9"/>
        <v>141.35101917723318</v>
      </c>
      <c r="Q179" s="41">
        <f t="shared" si="10"/>
        <v>261.79070400000001</v>
      </c>
      <c r="R179" s="41">
        <f t="shared" si="11"/>
        <v>120.43968482276682</v>
      </c>
    </row>
    <row r="180" spans="10:18">
      <c r="J180" s="118">
        <v>44574</v>
      </c>
      <c r="K180" s="116">
        <v>107.08401794550234</v>
      </c>
      <c r="L180" s="116">
        <v>140.098896</v>
      </c>
      <c r="M180" s="117">
        <v>33.014878054497657</v>
      </c>
      <c r="O180" s="39">
        <f t="shared" si="12"/>
        <v>44644</v>
      </c>
      <c r="P180" s="41">
        <f t="shared" si="9"/>
        <v>143.26248932706318</v>
      </c>
      <c r="Q180" s="41">
        <f t="shared" si="10"/>
        <v>265.845888</v>
      </c>
      <c r="R180" s="41">
        <f t="shared" si="11"/>
        <v>122.58339867293682</v>
      </c>
    </row>
    <row r="181" spans="10:18">
      <c r="J181" s="118">
        <v>44573</v>
      </c>
      <c r="K181" s="116">
        <v>107.08401794550234</v>
      </c>
      <c r="L181" s="116">
        <v>122.9256</v>
      </c>
      <c r="M181" s="117">
        <v>15.841582054497664</v>
      </c>
      <c r="O181" s="39">
        <f t="shared" si="12"/>
        <v>44643</v>
      </c>
      <c r="P181" s="41">
        <f t="shared" si="9"/>
        <v>143.26248932706318</v>
      </c>
      <c r="Q181" s="41">
        <f t="shared" si="10"/>
        <v>290.30399999999997</v>
      </c>
      <c r="R181" s="41">
        <f t="shared" si="11"/>
        <v>147.04151067293679</v>
      </c>
    </row>
    <row r="182" spans="10:18">
      <c r="J182" s="118">
        <v>44572</v>
      </c>
      <c r="K182" s="116">
        <v>107.08401794550234</v>
      </c>
      <c r="L182" s="116">
        <v>119.922768</v>
      </c>
      <c r="M182" s="117">
        <v>12.838750054497666</v>
      </c>
      <c r="O182" s="39">
        <f t="shared" si="12"/>
        <v>44642</v>
      </c>
      <c r="P182" s="41">
        <f t="shared" si="9"/>
        <v>143.26248932706318</v>
      </c>
      <c r="Q182" s="41">
        <f t="shared" si="10"/>
        <v>252.74592000000001</v>
      </c>
      <c r="R182" s="41">
        <f t="shared" si="11"/>
        <v>109.48343067293683</v>
      </c>
    </row>
    <row r="183" spans="10:18">
      <c r="J183" s="118">
        <v>44571</v>
      </c>
      <c r="K183" s="116">
        <v>107.08401794550234</v>
      </c>
      <c r="L183" s="116">
        <v>126.84470399999999</v>
      </c>
      <c r="M183" s="117">
        <v>19.760686054497654</v>
      </c>
      <c r="O183" s="39">
        <f t="shared" si="12"/>
        <v>44641</v>
      </c>
      <c r="P183" s="41">
        <f t="shared" si="9"/>
        <v>143.26248932706318</v>
      </c>
      <c r="Q183" s="41">
        <f t="shared" si="10"/>
        <v>234.502128</v>
      </c>
      <c r="R183" s="41">
        <f t="shared" si="11"/>
        <v>91.23963867293682</v>
      </c>
    </row>
    <row r="184" spans="10:18">
      <c r="J184" s="118">
        <v>44568</v>
      </c>
      <c r="K184" s="116">
        <v>105.55365891600331</v>
      </c>
      <c r="L184" s="116">
        <v>134.338176</v>
      </c>
      <c r="M184" s="117">
        <v>28.78451708399669</v>
      </c>
      <c r="O184" s="39">
        <f t="shared" si="12"/>
        <v>44640</v>
      </c>
      <c r="P184" s="41">
        <f t="shared" si="9"/>
        <v>143.26248932706318</v>
      </c>
      <c r="Q184" s="41">
        <f t="shared" si="10"/>
        <v>251.26718400000001</v>
      </c>
      <c r="R184" s="41">
        <f t="shared" si="11"/>
        <v>108.00469467293684</v>
      </c>
    </row>
    <row r="185" spans="10:18">
      <c r="J185" s="118">
        <v>44567</v>
      </c>
      <c r="K185" s="116">
        <v>107.58433092629839</v>
      </c>
      <c r="L185" s="116">
        <v>129.85660799999999</v>
      </c>
      <c r="M185" s="117">
        <v>22.272277073701602</v>
      </c>
      <c r="O185" s="39">
        <f t="shared" si="12"/>
        <v>44639</v>
      </c>
      <c r="P185" s="41">
        <f t="shared" si="9"/>
        <v>143.26248932706318</v>
      </c>
      <c r="Q185" s="41">
        <f t="shared" si="10"/>
        <v>251.26718400000001</v>
      </c>
      <c r="R185" s="41">
        <f t="shared" si="11"/>
        <v>108.00469467293684</v>
      </c>
    </row>
    <row r="186" spans="10:18">
      <c r="J186" s="118">
        <v>44566</v>
      </c>
      <c r="K186" s="116">
        <v>107.58433092629839</v>
      </c>
      <c r="L186" s="116">
        <v>124.5132</v>
      </c>
      <c r="M186" s="117">
        <v>16.928869073701605</v>
      </c>
      <c r="O186" s="39">
        <f t="shared" si="12"/>
        <v>44638</v>
      </c>
      <c r="P186" s="41">
        <f t="shared" si="9"/>
        <v>143.26248932706318</v>
      </c>
      <c r="Q186" s="41">
        <f t="shared" si="10"/>
        <v>251.26718400000001</v>
      </c>
      <c r="R186" s="41">
        <f t="shared" si="11"/>
        <v>108.00469467293684</v>
      </c>
    </row>
    <row r="187" spans="10:18">
      <c r="J187" s="118">
        <v>44565</v>
      </c>
      <c r="K187" s="116">
        <v>107.58433092629839</v>
      </c>
      <c r="L187" s="116">
        <v>119.30587199999999</v>
      </c>
      <c r="M187" s="117">
        <v>11.721541073701601</v>
      </c>
      <c r="O187" s="39">
        <f t="shared" si="12"/>
        <v>44637</v>
      </c>
      <c r="P187" s="41">
        <f t="shared" si="9"/>
        <v>143.83651146145053</v>
      </c>
      <c r="Q187" s="41">
        <f t="shared" si="10"/>
        <v>264.86611199999999</v>
      </c>
      <c r="R187" s="41">
        <f t="shared" si="11"/>
        <v>121.02960053854946</v>
      </c>
    </row>
    <row r="188" spans="10:18">
      <c r="J188" s="118">
        <v>44564</v>
      </c>
      <c r="K188" s="116">
        <v>107.58433092629839</v>
      </c>
      <c r="L188" s="116">
        <v>110.342736</v>
      </c>
      <c r="M188" s="117">
        <v>2.7584050737016099</v>
      </c>
      <c r="O188" s="39">
        <f t="shared" si="12"/>
        <v>44636</v>
      </c>
      <c r="P188" s="41">
        <f t="shared" si="9"/>
        <v>143.83651146145053</v>
      </c>
      <c r="Q188" s="41">
        <f t="shared" si="10"/>
        <v>240.752736</v>
      </c>
      <c r="R188" s="41">
        <f t="shared" si="11"/>
        <v>96.916224538549471</v>
      </c>
    </row>
    <row r="189" spans="10:18">
      <c r="J189" s="118">
        <v>44561</v>
      </c>
      <c r="K189" s="116">
        <v>107.58433092629839</v>
      </c>
      <c r="L189" s="116">
        <v>110.342736</v>
      </c>
      <c r="M189" s="117">
        <v>2.7584050737016099</v>
      </c>
      <c r="O189" s="39">
        <f t="shared" si="12"/>
        <v>44635</v>
      </c>
      <c r="P189" s="41">
        <f t="shared" si="9"/>
        <v>143.83651146145053</v>
      </c>
      <c r="Q189" s="41">
        <f t="shared" si="10"/>
        <v>280.32479999999998</v>
      </c>
      <c r="R189" s="41">
        <f t="shared" si="11"/>
        <v>136.48828853854945</v>
      </c>
    </row>
    <row r="190" spans="10:18">
      <c r="J190" s="118">
        <v>44560</v>
      </c>
      <c r="K190" s="116">
        <v>116.45395447258021</v>
      </c>
      <c r="L190" s="116">
        <v>109.14523200000001</v>
      </c>
      <c r="M190" s="117">
        <v>-7.3087224725802002</v>
      </c>
      <c r="O190" s="39">
        <f t="shared" si="12"/>
        <v>44634</v>
      </c>
      <c r="P190" s="41">
        <f t="shared" si="9"/>
        <v>143.83651146145053</v>
      </c>
      <c r="Q190" s="41">
        <f t="shared" si="10"/>
        <v>305.61753599999997</v>
      </c>
      <c r="R190" s="41">
        <f t="shared" si="11"/>
        <v>161.78102453854945</v>
      </c>
    </row>
    <row r="191" spans="10:18">
      <c r="J191" s="118">
        <v>44559</v>
      </c>
      <c r="K191" s="116">
        <v>116.45395447258021</v>
      </c>
      <c r="L191" s="116">
        <v>109.72584000000001</v>
      </c>
      <c r="M191" s="117">
        <v>-6.7281144725802022</v>
      </c>
      <c r="O191" s="39">
        <f t="shared" si="12"/>
        <v>44633</v>
      </c>
      <c r="P191" s="41">
        <f t="shared" si="9"/>
        <v>143.83651146145053</v>
      </c>
      <c r="Q191" s="41">
        <f t="shared" si="10"/>
        <v>332.57952</v>
      </c>
      <c r="R191" s="41">
        <f t="shared" si="11"/>
        <v>188.74300853854947</v>
      </c>
    </row>
    <row r="192" spans="10:18">
      <c r="J192" s="118">
        <v>44558</v>
      </c>
      <c r="K192" s="116">
        <v>116.45395447258021</v>
      </c>
      <c r="L192" s="116">
        <v>132.90479999999999</v>
      </c>
      <c r="M192" s="117">
        <v>16.450845527419787</v>
      </c>
      <c r="O192" s="39">
        <f t="shared" si="12"/>
        <v>44632</v>
      </c>
      <c r="P192" s="41">
        <f t="shared" si="9"/>
        <v>143.83651146145053</v>
      </c>
      <c r="Q192" s="41">
        <f t="shared" si="10"/>
        <v>332.57952</v>
      </c>
      <c r="R192" s="41">
        <f t="shared" si="11"/>
        <v>188.74300853854947</v>
      </c>
    </row>
    <row r="193" spans="10:18">
      <c r="J193" s="118">
        <v>44557</v>
      </c>
      <c r="K193" s="116">
        <v>116.45395447258021</v>
      </c>
      <c r="L193" s="116">
        <v>132.90479999999999</v>
      </c>
      <c r="M193" s="117">
        <v>16.450845527419787</v>
      </c>
      <c r="O193" s="39">
        <f t="shared" si="12"/>
        <v>44631</v>
      </c>
      <c r="P193" s="41">
        <f t="shared" si="9"/>
        <v>143.83651146145053</v>
      </c>
      <c r="Q193" s="41">
        <f t="shared" si="10"/>
        <v>332.57952</v>
      </c>
      <c r="R193" s="41">
        <f t="shared" si="11"/>
        <v>188.74300853854947</v>
      </c>
    </row>
    <row r="194" spans="10:18">
      <c r="J194" s="118">
        <v>44554</v>
      </c>
      <c r="K194" s="116">
        <v>116.45395447258021</v>
      </c>
      <c r="L194" s="116">
        <v>132.90479999999999</v>
      </c>
      <c r="M194" s="117">
        <v>16.450845527419787</v>
      </c>
      <c r="O194" s="39">
        <f t="shared" si="12"/>
        <v>44630</v>
      </c>
      <c r="P194" s="41">
        <f t="shared" si="9"/>
        <v>133.2460779216031</v>
      </c>
      <c r="Q194" s="41">
        <f t="shared" si="10"/>
        <v>326.59199999999998</v>
      </c>
      <c r="R194" s="41">
        <f t="shared" si="11"/>
        <v>193.34592207839688</v>
      </c>
    </row>
    <row r="195" spans="10:18">
      <c r="J195" s="118">
        <v>44553</v>
      </c>
      <c r="K195" s="116">
        <v>119.07985052920304</v>
      </c>
      <c r="L195" s="116">
        <v>140.198688</v>
      </c>
      <c r="M195" s="117">
        <v>21.118837470796961</v>
      </c>
      <c r="O195" s="39">
        <f t="shared" si="12"/>
        <v>44629</v>
      </c>
      <c r="P195" s="41">
        <f t="shared" si="9"/>
        <v>133.2460779216031</v>
      </c>
      <c r="Q195" s="41">
        <f t="shared" si="10"/>
        <v>378.81950399999999</v>
      </c>
      <c r="R195" s="41">
        <f t="shared" si="11"/>
        <v>245.57342607839689</v>
      </c>
    </row>
    <row r="196" spans="10:18">
      <c r="J196" s="118">
        <v>44552</v>
      </c>
      <c r="K196" s="116">
        <v>119.07985052920304</v>
      </c>
      <c r="L196" s="116">
        <v>145.15199999999999</v>
      </c>
      <c r="M196" s="117">
        <v>26.072149470796944</v>
      </c>
      <c r="O196" s="39">
        <f t="shared" si="12"/>
        <v>44628</v>
      </c>
      <c r="P196" s="41">
        <f t="shared" si="9"/>
        <v>133.2460779216031</v>
      </c>
      <c r="Q196" s="41">
        <f t="shared" si="10"/>
        <v>374.67360000000002</v>
      </c>
      <c r="R196" s="41">
        <f t="shared" si="11"/>
        <v>241.42752207839692</v>
      </c>
    </row>
    <row r="197" spans="10:18">
      <c r="J197" s="118">
        <v>44551</v>
      </c>
      <c r="K197" s="116">
        <v>119.07985052920304</v>
      </c>
      <c r="L197" s="116">
        <v>148.96223999999998</v>
      </c>
      <c r="M197" s="117">
        <v>29.882389470796937</v>
      </c>
      <c r="O197" s="39">
        <f t="shared" si="12"/>
        <v>44627</v>
      </c>
      <c r="P197" s="41">
        <f t="shared" si="9"/>
        <v>133.2460779216031</v>
      </c>
      <c r="Q197" s="41">
        <f t="shared" si="10"/>
        <v>355.51353599999999</v>
      </c>
      <c r="R197" s="41">
        <f t="shared" si="11"/>
        <v>222.26745807839688</v>
      </c>
    </row>
    <row r="198" spans="10:18">
      <c r="J198" s="118">
        <v>44550</v>
      </c>
      <c r="K198" s="116">
        <v>119.07985052920304</v>
      </c>
      <c r="L198" s="116">
        <v>145.99569600000001</v>
      </c>
      <c r="M198" s="117">
        <v>26.915845470796967</v>
      </c>
      <c r="O198" s="39">
        <f t="shared" si="12"/>
        <v>44626</v>
      </c>
      <c r="P198" s="41">
        <f t="shared" ref="P198:P261" si="13">IFERROR(VLOOKUP($O198,$J$5:$M$403,2,FALSE),P199)</f>
        <v>133.2460779216031</v>
      </c>
      <c r="Q198" s="41">
        <f t="shared" ref="Q198:Q261" si="14">IFERROR(VLOOKUP($O198,$J$5:$M$403,3,FALSE),Q199)</f>
        <v>344.91744</v>
      </c>
      <c r="R198" s="41">
        <f t="shared" ref="R198:R261" si="15">IFERROR(VLOOKUP($O198,$J$5:$M$403,4,FALSE),R199)</f>
        <v>211.6713620783969</v>
      </c>
    </row>
    <row r="199" spans="10:18">
      <c r="J199" s="118">
        <v>44547</v>
      </c>
      <c r="K199" s="116">
        <v>119.07985052920304</v>
      </c>
      <c r="L199" s="116">
        <v>144.27201600000001</v>
      </c>
      <c r="M199" s="117">
        <v>25.192165470796965</v>
      </c>
      <c r="O199" s="39">
        <f t="shared" ref="O199:O262" si="16">O198-1</f>
        <v>44625</v>
      </c>
      <c r="P199" s="41">
        <f t="shared" si="13"/>
        <v>133.2460779216031</v>
      </c>
      <c r="Q199" s="41">
        <f t="shared" si="14"/>
        <v>344.91744</v>
      </c>
      <c r="R199" s="41">
        <f t="shared" si="15"/>
        <v>211.6713620783969</v>
      </c>
    </row>
    <row r="200" spans="10:18">
      <c r="J200" s="118">
        <v>44546</v>
      </c>
      <c r="K200" s="116">
        <v>124.43011374457214</v>
      </c>
      <c r="L200" s="116">
        <v>141.84072</v>
      </c>
      <c r="M200" s="117">
        <v>17.410606255427865</v>
      </c>
      <c r="O200" s="39">
        <f t="shared" si="16"/>
        <v>44624</v>
      </c>
      <c r="P200" s="41">
        <f t="shared" si="13"/>
        <v>133.2460779216031</v>
      </c>
      <c r="Q200" s="41">
        <f t="shared" si="14"/>
        <v>344.91744</v>
      </c>
      <c r="R200" s="41">
        <f t="shared" si="15"/>
        <v>211.6713620783969</v>
      </c>
    </row>
    <row r="201" spans="10:18">
      <c r="J201" s="118">
        <v>44545</v>
      </c>
      <c r="K201" s="116">
        <v>124.43011374457214</v>
      </c>
      <c r="L201" s="116">
        <v>138.42057600000001</v>
      </c>
      <c r="M201" s="117">
        <v>13.990462255427872</v>
      </c>
      <c r="O201" s="39">
        <f t="shared" si="16"/>
        <v>44623</v>
      </c>
      <c r="P201" s="41">
        <f t="shared" si="13"/>
        <v>106.81687385505286</v>
      </c>
      <c r="Q201" s="41">
        <f t="shared" si="14"/>
        <v>311.68670400000002</v>
      </c>
      <c r="R201" s="41">
        <f t="shared" si="15"/>
        <v>204.86983014494717</v>
      </c>
    </row>
    <row r="202" spans="10:18">
      <c r="J202" s="118">
        <v>44544</v>
      </c>
      <c r="K202" s="116">
        <v>124.43011374457214</v>
      </c>
      <c r="L202" s="116">
        <v>135.508464</v>
      </c>
      <c r="M202" s="117">
        <v>11.078350255427864</v>
      </c>
      <c r="O202" s="39">
        <f t="shared" si="16"/>
        <v>44622</v>
      </c>
      <c r="P202" s="41">
        <f t="shared" si="13"/>
        <v>106.81687385505286</v>
      </c>
      <c r="Q202" s="41">
        <f t="shared" si="14"/>
        <v>348.06542400000001</v>
      </c>
      <c r="R202" s="41">
        <f t="shared" si="15"/>
        <v>241.24855014494716</v>
      </c>
    </row>
    <row r="203" spans="10:18">
      <c r="J203" s="118">
        <v>44543</v>
      </c>
      <c r="K203" s="116">
        <v>124.43011374457214</v>
      </c>
      <c r="L203" s="116">
        <v>132.76872</v>
      </c>
      <c r="M203" s="117">
        <v>8.3386062554278624</v>
      </c>
      <c r="O203" s="39">
        <f t="shared" si="16"/>
        <v>44621</v>
      </c>
      <c r="P203" s="41">
        <f t="shared" si="13"/>
        <v>106.81687385505286</v>
      </c>
      <c r="Q203" s="41">
        <f t="shared" si="14"/>
        <v>252.11087999999998</v>
      </c>
      <c r="R203" s="41">
        <f t="shared" si="15"/>
        <v>145.2940061449471</v>
      </c>
    </row>
    <row r="204" spans="10:18">
      <c r="J204" s="118">
        <v>44540</v>
      </c>
      <c r="K204" s="116">
        <v>124.43011374457214</v>
      </c>
      <c r="L204" s="116">
        <v>126.17337600000002</v>
      </c>
      <c r="M204" s="117">
        <v>1.7432622554278794</v>
      </c>
      <c r="O204" s="39">
        <f t="shared" si="16"/>
        <v>44620</v>
      </c>
      <c r="P204" s="41">
        <f t="shared" si="13"/>
        <v>106.81687385505286</v>
      </c>
      <c r="Q204" s="41">
        <f t="shared" si="14"/>
        <v>217.95480000000001</v>
      </c>
      <c r="R204" s="41">
        <f t="shared" si="15"/>
        <v>111.13792614494714</v>
      </c>
    </row>
    <row r="205" spans="10:18">
      <c r="J205" s="118">
        <v>44539</v>
      </c>
      <c r="K205" s="116">
        <v>124.75819370045043</v>
      </c>
      <c r="L205" s="116">
        <v>122.889312</v>
      </c>
      <c r="M205" s="117">
        <v>-1.8688817004504301</v>
      </c>
      <c r="O205" s="39">
        <f t="shared" si="16"/>
        <v>44619</v>
      </c>
      <c r="P205" s="41">
        <f t="shared" si="13"/>
        <v>106.81687385505286</v>
      </c>
      <c r="Q205" s="41">
        <f t="shared" si="14"/>
        <v>229.86633599999999</v>
      </c>
      <c r="R205" s="41">
        <f t="shared" si="15"/>
        <v>123.04946214494713</v>
      </c>
    </row>
    <row r="206" spans="10:18">
      <c r="J206" s="118">
        <v>44538</v>
      </c>
      <c r="K206" s="116">
        <v>124.75819370045043</v>
      </c>
      <c r="L206" s="116">
        <v>124.957728</v>
      </c>
      <c r="M206" s="117">
        <v>0.19953429954956903</v>
      </c>
      <c r="O206" s="39">
        <f t="shared" si="16"/>
        <v>44618</v>
      </c>
      <c r="P206" s="41">
        <f t="shared" si="13"/>
        <v>106.81687385505286</v>
      </c>
      <c r="Q206" s="41">
        <f t="shared" si="14"/>
        <v>229.86633599999999</v>
      </c>
      <c r="R206" s="41">
        <f t="shared" si="15"/>
        <v>123.04946214494713</v>
      </c>
    </row>
    <row r="207" spans="10:18">
      <c r="J207" s="118">
        <v>44537</v>
      </c>
      <c r="K207" s="116">
        <v>124.75819370045043</v>
      </c>
      <c r="L207" s="116">
        <v>117.173952</v>
      </c>
      <c r="M207" s="117">
        <v>-7.5842417004504341</v>
      </c>
      <c r="O207" s="39">
        <f t="shared" si="16"/>
        <v>44617</v>
      </c>
      <c r="P207" s="41">
        <f t="shared" si="13"/>
        <v>106.81687385505286</v>
      </c>
      <c r="Q207" s="41">
        <f t="shared" si="14"/>
        <v>229.86633599999999</v>
      </c>
      <c r="R207" s="41">
        <f t="shared" si="15"/>
        <v>123.04946214494713</v>
      </c>
    </row>
    <row r="208" spans="10:18">
      <c r="J208" s="118">
        <v>44536</v>
      </c>
      <c r="K208" s="116">
        <v>124.75819370045043</v>
      </c>
      <c r="L208" s="116">
        <v>111.422304</v>
      </c>
      <c r="M208" s="117">
        <v>-13.335889700450437</v>
      </c>
      <c r="O208" s="39">
        <f t="shared" si="16"/>
        <v>44616</v>
      </c>
      <c r="P208" s="41">
        <f t="shared" si="13"/>
        <v>106.24096710627079</v>
      </c>
      <c r="Q208" s="41">
        <f t="shared" si="14"/>
        <v>237.91319999999999</v>
      </c>
      <c r="R208" s="41">
        <f t="shared" si="15"/>
        <v>131.67223289372919</v>
      </c>
    </row>
    <row r="209" spans="10:18">
      <c r="J209" s="118">
        <v>44533</v>
      </c>
      <c r="K209" s="116">
        <v>124.75819370045043</v>
      </c>
      <c r="L209" s="116">
        <v>112.26600000000001</v>
      </c>
      <c r="M209" s="117">
        <v>-12.492193700450429</v>
      </c>
      <c r="O209" s="39">
        <f t="shared" si="16"/>
        <v>44615</v>
      </c>
      <c r="P209" s="41">
        <f t="shared" si="13"/>
        <v>106.24096710627079</v>
      </c>
      <c r="Q209" s="41">
        <f t="shared" si="14"/>
        <v>193.84142399999999</v>
      </c>
      <c r="R209" s="41">
        <f t="shared" si="15"/>
        <v>87.600456893729202</v>
      </c>
    </row>
    <row r="210" spans="10:18">
      <c r="J210" s="118">
        <v>44532</v>
      </c>
      <c r="K210" s="116">
        <v>125.84812902538836</v>
      </c>
      <c r="L210" s="116">
        <v>112.9464</v>
      </c>
      <c r="M210" s="117">
        <v>-12.901729025388363</v>
      </c>
      <c r="O210" s="39">
        <f t="shared" si="16"/>
        <v>44614</v>
      </c>
      <c r="P210" s="41">
        <f t="shared" si="13"/>
        <v>106.24096710627079</v>
      </c>
      <c r="Q210" s="41">
        <f t="shared" si="14"/>
        <v>184.86014400000002</v>
      </c>
      <c r="R210" s="41">
        <f t="shared" si="15"/>
        <v>78.619176893729232</v>
      </c>
    </row>
    <row r="211" spans="10:18">
      <c r="J211" s="118">
        <v>44531</v>
      </c>
      <c r="K211" s="116">
        <v>125.84812902538836</v>
      </c>
      <c r="L211" s="116">
        <v>109.07265600000001</v>
      </c>
      <c r="M211" s="117">
        <v>-16.775473025388351</v>
      </c>
      <c r="O211" s="39">
        <f t="shared" si="16"/>
        <v>44613</v>
      </c>
      <c r="P211" s="41">
        <f t="shared" si="13"/>
        <v>106.24096710627079</v>
      </c>
      <c r="Q211" s="41">
        <f t="shared" si="14"/>
        <v>168.857136</v>
      </c>
      <c r="R211" s="41">
        <f t="shared" si="15"/>
        <v>62.61616889372921</v>
      </c>
    </row>
    <row r="212" spans="10:18">
      <c r="J212" s="118">
        <v>44530</v>
      </c>
      <c r="K212" s="116">
        <v>125.84812902538836</v>
      </c>
      <c r="L212" s="116">
        <v>104.001408</v>
      </c>
      <c r="M212" s="117">
        <v>-21.846721025388362</v>
      </c>
      <c r="O212" s="39">
        <f t="shared" si="16"/>
        <v>44612</v>
      </c>
      <c r="P212" s="41">
        <f t="shared" si="13"/>
        <v>106.24096710627079</v>
      </c>
      <c r="Q212" s="41">
        <f t="shared" si="14"/>
        <v>164.97432000000001</v>
      </c>
      <c r="R212" s="41">
        <f t="shared" si="15"/>
        <v>58.733352893729219</v>
      </c>
    </row>
    <row r="213" spans="10:18">
      <c r="J213" s="118">
        <v>44529</v>
      </c>
      <c r="K213" s="116">
        <v>125.84812902538836</v>
      </c>
      <c r="L213" s="116">
        <v>112.03919999999999</v>
      </c>
      <c r="M213" s="117">
        <v>-13.808929025388366</v>
      </c>
      <c r="O213" s="39">
        <f t="shared" si="16"/>
        <v>44611</v>
      </c>
      <c r="P213" s="41">
        <f t="shared" si="13"/>
        <v>106.24096710627079</v>
      </c>
      <c r="Q213" s="41">
        <f t="shared" si="14"/>
        <v>164.97432000000001</v>
      </c>
      <c r="R213" s="41">
        <f t="shared" si="15"/>
        <v>58.733352893729219</v>
      </c>
    </row>
    <row r="214" spans="10:18">
      <c r="J214" s="118">
        <v>44526</v>
      </c>
      <c r="K214" s="116">
        <v>125.84812902538836</v>
      </c>
      <c r="L214" s="116">
        <v>141.48691200000002</v>
      </c>
      <c r="M214" s="117">
        <v>15.638782974611658</v>
      </c>
      <c r="O214" s="39">
        <f t="shared" si="16"/>
        <v>44610</v>
      </c>
      <c r="P214" s="41">
        <f t="shared" si="13"/>
        <v>106.24096710627079</v>
      </c>
      <c r="Q214" s="41">
        <f t="shared" si="14"/>
        <v>164.97432000000001</v>
      </c>
      <c r="R214" s="41">
        <f t="shared" si="15"/>
        <v>58.733352893729219</v>
      </c>
    </row>
    <row r="215" spans="10:18">
      <c r="J215" s="118">
        <v>44525</v>
      </c>
      <c r="K215" s="116">
        <v>124.73557832771394</v>
      </c>
      <c r="L215" s="116">
        <v>152.86320000000001</v>
      </c>
      <c r="M215" s="117">
        <v>28.127621672286068</v>
      </c>
      <c r="O215" s="39">
        <f t="shared" si="16"/>
        <v>44609</v>
      </c>
      <c r="P215" s="41">
        <f t="shared" si="13"/>
        <v>108.65044660990168</v>
      </c>
      <c r="Q215" s="41">
        <f t="shared" si="14"/>
        <v>155.37614400000001</v>
      </c>
      <c r="R215" s="41">
        <f t="shared" si="15"/>
        <v>46.725697390098333</v>
      </c>
    </row>
    <row r="216" spans="10:18">
      <c r="J216" s="118">
        <v>44524</v>
      </c>
      <c r="K216" s="116">
        <v>124.73557832771394</v>
      </c>
      <c r="L216" s="116">
        <v>153.162576</v>
      </c>
      <c r="M216" s="117">
        <v>28.426997672286063</v>
      </c>
      <c r="O216" s="39">
        <f t="shared" si="16"/>
        <v>44608</v>
      </c>
      <c r="P216" s="41">
        <f t="shared" si="13"/>
        <v>108.65044660990168</v>
      </c>
      <c r="Q216" s="41">
        <f t="shared" si="14"/>
        <v>163.82217600000001</v>
      </c>
      <c r="R216" s="41">
        <f t="shared" si="15"/>
        <v>55.171729390098335</v>
      </c>
    </row>
    <row r="217" spans="10:18">
      <c r="J217" s="118">
        <v>44523</v>
      </c>
      <c r="K217" s="116">
        <v>124.73557832771394</v>
      </c>
      <c r="L217" s="116">
        <v>144.018</v>
      </c>
      <c r="M217" s="117">
        <v>19.282421672286063</v>
      </c>
      <c r="O217" s="39">
        <f t="shared" si="16"/>
        <v>44607</v>
      </c>
      <c r="P217" s="41">
        <f t="shared" si="13"/>
        <v>108.65044660990168</v>
      </c>
      <c r="Q217" s="41">
        <f t="shared" si="14"/>
        <v>172.059552</v>
      </c>
      <c r="R217" s="41">
        <f t="shared" si="15"/>
        <v>63.409105390098318</v>
      </c>
    </row>
    <row r="218" spans="10:18">
      <c r="J218" s="118">
        <v>44522</v>
      </c>
      <c r="K218" s="116">
        <v>124.73557832771394</v>
      </c>
      <c r="L218" s="116">
        <v>131.39884800000002</v>
      </c>
      <c r="M218" s="117">
        <v>6.6632696722860771</v>
      </c>
      <c r="O218" s="39">
        <f t="shared" si="16"/>
        <v>44606</v>
      </c>
      <c r="P218" s="41">
        <f t="shared" si="13"/>
        <v>108.65044660990168</v>
      </c>
      <c r="Q218" s="41">
        <f t="shared" si="14"/>
        <v>174.79022399999999</v>
      </c>
      <c r="R218" s="41">
        <f t="shared" si="15"/>
        <v>66.139777390098317</v>
      </c>
    </row>
    <row r="219" spans="10:18">
      <c r="J219" s="118">
        <v>44519</v>
      </c>
      <c r="K219" s="116">
        <v>124.73557832771394</v>
      </c>
      <c r="L219" s="116">
        <v>131.46235200000001</v>
      </c>
      <c r="M219" s="117">
        <v>6.7267736722860718</v>
      </c>
      <c r="O219" s="39">
        <f t="shared" si="16"/>
        <v>44605</v>
      </c>
      <c r="P219" s="41">
        <f t="shared" si="13"/>
        <v>108.65044660990168</v>
      </c>
      <c r="Q219" s="41">
        <f t="shared" si="14"/>
        <v>169.492176</v>
      </c>
      <c r="R219" s="41">
        <f t="shared" si="15"/>
        <v>60.841729390098322</v>
      </c>
    </row>
    <row r="220" spans="10:18">
      <c r="J220" s="118">
        <v>44518</v>
      </c>
      <c r="K220" s="116">
        <v>125.6761579618715</v>
      </c>
      <c r="L220" s="116">
        <v>130.1832</v>
      </c>
      <c r="M220" s="117">
        <v>4.5070420381285032</v>
      </c>
      <c r="O220" s="39">
        <f t="shared" si="16"/>
        <v>44604</v>
      </c>
      <c r="P220" s="41">
        <f t="shared" si="13"/>
        <v>108.65044660990168</v>
      </c>
      <c r="Q220" s="41">
        <f t="shared" si="14"/>
        <v>169.492176</v>
      </c>
      <c r="R220" s="41">
        <f t="shared" si="15"/>
        <v>60.841729390098322</v>
      </c>
    </row>
    <row r="221" spans="10:18">
      <c r="J221" s="118">
        <v>44517</v>
      </c>
      <c r="K221" s="116">
        <v>125.6761579618715</v>
      </c>
      <c r="L221" s="116">
        <v>128.45044799999999</v>
      </c>
      <c r="M221" s="117">
        <v>2.7742900381284983</v>
      </c>
      <c r="O221" s="39">
        <f t="shared" si="16"/>
        <v>44603</v>
      </c>
      <c r="P221" s="41">
        <f t="shared" si="13"/>
        <v>108.65044660990168</v>
      </c>
      <c r="Q221" s="41">
        <f t="shared" si="14"/>
        <v>169.492176</v>
      </c>
      <c r="R221" s="41">
        <f t="shared" si="15"/>
        <v>60.841729390098322</v>
      </c>
    </row>
    <row r="222" spans="10:18">
      <c r="J222" s="118">
        <v>44516</v>
      </c>
      <c r="K222" s="116">
        <v>125.6761579618715</v>
      </c>
      <c r="L222" s="116">
        <v>125.26617600000002</v>
      </c>
      <c r="M222" s="117">
        <v>-0.40998196187148039</v>
      </c>
      <c r="O222" s="39">
        <f t="shared" si="16"/>
        <v>44602</v>
      </c>
      <c r="P222" s="41">
        <f t="shared" si="13"/>
        <v>106.66029380909276</v>
      </c>
      <c r="Q222" s="41">
        <f t="shared" si="14"/>
        <v>181.33113599999999</v>
      </c>
      <c r="R222" s="41">
        <f t="shared" si="15"/>
        <v>74.670842190907223</v>
      </c>
    </row>
    <row r="223" spans="10:18">
      <c r="J223" s="118">
        <v>44515</v>
      </c>
      <c r="K223" s="116">
        <v>125.6761579618715</v>
      </c>
      <c r="L223" s="116">
        <v>118.353312</v>
      </c>
      <c r="M223" s="117">
        <v>-7.3228459618714936</v>
      </c>
      <c r="O223" s="39">
        <f t="shared" si="16"/>
        <v>44601</v>
      </c>
      <c r="P223" s="41">
        <f t="shared" si="13"/>
        <v>106.66029380909276</v>
      </c>
      <c r="Q223" s="41">
        <f t="shared" si="14"/>
        <v>177.72048000000001</v>
      </c>
      <c r="R223" s="41">
        <f t="shared" si="15"/>
        <v>71.060186190907245</v>
      </c>
    </row>
    <row r="224" spans="10:18">
      <c r="J224" s="118">
        <v>44512</v>
      </c>
      <c r="K224" s="116">
        <v>125.6761579618715</v>
      </c>
      <c r="L224" s="116">
        <v>121.56480000000001</v>
      </c>
      <c r="M224" s="117">
        <v>-4.1113579618714908</v>
      </c>
      <c r="O224" s="39">
        <f t="shared" si="16"/>
        <v>44600</v>
      </c>
      <c r="P224" s="41">
        <f t="shared" si="13"/>
        <v>106.66029380909276</v>
      </c>
      <c r="Q224" s="41">
        <f t="shared" si="14"/>
        <v>172.159344</v>
      </c>
      <c r="R224" s="41">
        <f t="shared" si="15"/>
        <v>65.499050190907241</v>
      </c>
    </row>
    <row r="225" spans="10:18">
      <c r="J225" s="118">
        <v>44511</v>
      </c>
      <c r="K225" s="116">
        <v>124.08507225914147</v>
      </c>
      <c r="L225" s="116">
        <v>126.82656000000001</v>
      </c>
      <c r="M225" s="117">
        <v>2.7414877408585454</v>
      </c>
      <c r="O225" s="39">
        <f t="shared" si="16"/>
        <v>44599</v>
      </c>
      <c r="P225" s="41">
        <f t="shared" si="13"/>
        <v>106.66029380909276</v>
      </c>
      <c r="Q225" s="41">
        <f t="shared" si="14"/>
        <v>165.78172800000002</v>
      </c>
      <c r="R225" s="41">
        <f t="shared" si="15"/>
        <v>59.121434190907252</v>
      </c>
    </row>
    <row r="226" spans="10:18">
      <c r="J226" s="118">
        <v>44510</v>
      </c>
      <c r="K226" s="116">
        <v>124.08507225914147</v>
      </c>
      <c r="L226" s="116">
        <v>126.08265599999999</v>
      </c>
      <c r="M226" s="117">
        <v>1.9975837408585164</v>
      </c>
      <c r="O226" s="39">
        <f t="shared" si="16"/>
        <v>44598</v>
      </c>
      <c r="P226" s="41">
        <f t="shared" si="13"/>
        <v>106.66029380909276</v>
      </c>
      <c r="Q226" s="41">
        <f t="shared" si="14"/>
        <v>161.54510400000001</v>
      </c>
      <c r="R226" s="41">
        <f t="shared" si="15"/>
        <v>54.884810190907245</v>
      </c>
    </row>
    <row r="227" spans="10:18">
      <c r="J227" s="118">
        <v>44509</v>
      </c>
      <c r="K227" s="116">
        <v>124.08507225914147</v>
      </c>
      <c r="L227" s="116">
        <v>139.66343999999998</v>
      </c>
      <c r="M227" s="117">
        <v>15.578367740858511</v>
      </c>
      <c r="O227" s="39">
        <f t="shared" si="16"/>
        <v>44597</v>
      </c>
      <c r="P227" s="41">
        <f t="shared" si="13"/>
        <v>106.66029380909276</v>
      </c>
      <c r="Q227" s="41">
        <f t="shared" si="14"/>
        <v>161.54510400000001</v>
      </c>
      <c r="R227" s="41">
        <f t="shared" si="15"/>
        <v>54.884810190907245</v>
      </c>
    </row>
    <row r="228" spans="10:18">
      <c r="J228" s="118">
        <v>44508</v>
      </c>
      <c r="K228" s="116">
        <v>124.08507225914147</v>
      </c>
      <c r="L228" s="116">
        <v>143.29223999999999</v>
      </c>
      <c r="M228" s="117">
        <v>19.207167740858523</v>
      </c>
      <c r="O228" s="39">
        <f t="shared" si="16"/>
        <v>44596</v>
      </c>
      <c r="P228" s="41">
        <f t="shared" si="13"/>
        <v>106.66029380909276</v>
      </c>
      <c r="Q228" s="41">
        <f t="shared" si="14"/>
        <v>161.54510400000001</v>
      </c>
      <c r="R228" s="41">
        <f t="shared" si="15"/>
        <v>54.884810190907245</v>
      </c>
    </row>
    <row r="229" spans="10:18">
      <c r="J229" s="118">
        <v>44505</v>
      </c>
      <c r="K229" s="116">
        <v>124.08507225914147</v>
      </c>
      <c r="L229" s="116">
        <v>130.46443200000002</v>
      </c>
      <c r="M229" s="117">
        <v>6.379359740858547</v>
      </c>
      <c r="O229" s="39">
        <f t="shared" si="16"/>
        <v>44595</v>
      </c>
      <c r="P229" s="41">
        <f t="shared" si="13"/>
        <v>108.89811635160589</v>
      </c>
      <c r="Q229" s="41">
        <f t="shared" si="14"/>
        <v>157.997952</v>
      </c>
      <c r="R229" s="41">
        <f t="shared" si="15"/>
        <v>49.099835648394105</v>
      </c>
    </row>
    <row r="230" spans="10:18">
      <c r="J230" s="118">
        <v>44504</v>
      </c>
      <c r="K230" s="116">
        <v>127.93502536512548</v>
      </c>
      <c r="L230" s="116">
        <v>133.24953600000001</v>
      </c>
      <c r="M230" s="117">
        <v>5.314510634874523</v>
      </c>
      <c r="O230" s="39">
        <f t="shared" si="16"/>
        <v>44594</v>
      </c>
      <c r="P230" s="41">
        <f t="shared" si="13"/>
        <v>108.89811635160589</v>
      </c>
      <c r="Q230" s="41">
        <f t="shared" si="14"/>
        <v>162.59745599999999</v>
      </c>
      <c r="R230" s="41">
        <f t="shared" si="15"/>
        <v>53.699339648394101</v>
      </c>
    </row>
    <row r="231" spans="10:18">
      <c r="J231" s="118">
        <v>44503</v>
      </c>
      <c r="K231" s="116">
        <v>127.93502536512548</v>
      </c>
      <c r="L231" s="116">
        <v>133.90271999999999</v>
      </c>
      <c r="M231" s="117">
        <v>5.9676946348745048</v>
      </c>
      <c r="O231" s="39">
        <f t="shared" si="16"/>
        <v>44593</v>
      </c>
      <c r="P231" s="41">
        <f t="shared" si="13"/>
        <v>108.89811635160589</v>
      </c>
      <c r="Q231" s="41">
        <f t="shared" si="14"/>
        <v>160.95542399999999</v>
      </c>
      <c r="R231" s="41">
        <f t="shared" si="15"/>
        <v>52.057307648394101</v>
      </c>
    </row>
    <row r="232" spans="10:18">
      <c r="J232" s="118">
        <v>44502</v>
      </c>
      <c r="K232" s="116">
        <v>127.93502536512548</v>
      </c>
      <c r="L232" s="116">
        <v>138.89231999999998</v>
      </c>
      <c r="M232" s="117">
        <v>10.957294634874501</v>
      </c>
      <c r="O232" s="39">
        <f t="shared" si="16"/>
        <v>44592</v>
      </c>
      <c r="P232" s="41">
        <f t="shared" si="13"/>
        <v>108.89811635160589</v>
      </c>
      <c r="Q232" s="41">
        <f t="shared" si="14"/>
        <v>164.60236800000001</v>
      </c>
      <c r="R232" s="41">
        <f t="shared" si="15"/>
        <v>55.70425164839412</v>
      </c>
    </row>
    <row r="233" spans="10:18">
      <c r="J233" s="118">
        <v>44501</v>
      </c>
      <c r="K233" s="116">
        <v>127.93502536512548</v>
      </c>
      <c r="L233" s="116">
        <v>142.88400000000001</v>
      </c>
      <c r="M233" s="117">
        <v>14.948974634874531</v>
      </c>
      <c r="O233" s="39">
        <f t="shared" si="16"/>
        <v>44591</v>
      </c>
      <c r="P233" s="41">
        <f t="shared" si="13"/>
        <v>108.89811635160589</v>
      </c>
      <c r="Q233" s="41">
        <f t="shared" si="14"/>
        <v>193.91399999999999</v>
      </c>
      <c r="R233" s="41">
        <f t="shared" si="15"/>
        <v>85.015883648394095</v>
      </c>
    </row>
    <row r="234" spans="10:18">
      <c r="J234" s="118">
        <v>44498</v>
      </c>
      <c r="K234" s="116">
        <v>127.93502536512548</v>
      </c>
      <c r="L234" s="116">
        <v>155.47593599999999</v>
      </c>
      <c r="M234" s="117">
        <v>27.540910634874507</v>
      </c>
      <c r="O234" s="39">
        <f t="shared" si="16"/>
        <v>44590</v>
      </c>
      <c r="P234" s="41">
        <f t="shared" si="13"/>
        <v>108.89811635160589</v>
      </c>
      <c r="Q234" s="41">
        <f t="shared" si="14"/>
        <v>193.91399999999999</v>
      </c>
      <c r="R234" s="41">
        <f t="shared" si="15"/>
        <v>85.015883648394095</v>
      </c>
    </row>
    <row r="235" spans="10:18">
      <c r="J235" s="118">
        <v>44497</v>
      </c>
      <c r="K235" s="116">
        <v>135.7107873064804</v>
      </c>
      <c r="L235" s="116">
        <v>181.66679999999999</v>
      </c>
      <c r="M235" s="117">
        <v>45.956012693519597</v>
      </c>
      <c r="O235" s="39">
        <f t="shared" si="16"/>
        <v>44589</v>
      </c>
      <c r="P235" s="41">
        <f t="shared" si="13"/>
        <v>108.89811635160589</v>
      </c>
      <c r="Q235" s="41">
        <f t="shared" si="14"/>
        <v>193.91399999999999</v>
      </c>
      <c r="R235" s="41">
        <f t="shared" si="15"/>
        <v>85.015883648394095</v>
      </c>
    </row>
    <row r="236" spans="10:18">
      <c r="J236" s="118">
        <v>44496</v>
      </c>
      <c r="K236" s="116">
        <v>135.7107873064804</v>
      </c>
      <c r="L236" s="116">
        <v>195.048</v>
      </c>
      <c r="M236" s="117">
        <v>59.337212693519604</v>
      </c>
      <c r="O236" s="39">
        <f t="shared" si="16"/>
        <v>44588</v>
      </c>
      <c r="P236" s="41">
        <f t="shared" si="13"/>
        <v>107.21845377232466</v>
      </c>
      <c r="Q236" s="41">
        <f t="shared" si="14"/>
        <v>195.85540799999998</v>
      </c>
      <c r="R236" s="41">
        <f t="shared" si="15"/>
        <v>88.636954227675318</v>
      </c>
    </row>
    <row r="237" spans="10:18">
      <c r="J237" s="118">
        <v>44495</v>
      </c>
      <c r="K237" s="116">
        <v>135.7107873064804</v>
      </c>
      <c r="L237" s="116">
        <v>205.25399999999999</v>
      </c>
      <c r="M237" s="117">
        <v>69.543212693519592</v>
      </c>
      <c r="O237" s="39">
        <f t="shared" si="16"/>
        <v>44587</v>
      </c>
      <c r="P237" s="41">
        <f t="shared" si="13"/>
        <v>107.21845377232466</v>
      </c>
      <c r="Q237" s="41">
        <f t="shared" si="14"/>
        <v>196.78982399999998</v>
      </c>
      <c r="R237" s="41">
        <f t="shared" si="15"/>
        <v>89.571370227675317</v>
      </c>
    </row>
    <row r="238" spans="10:18">
      <c r="J238" s="118">
        <v>44494</v>
      </c>
      <c r="K238" s="116">
        <v>135.7107873064804</v>
      </c>
      <c r="L238" s="116">
        <v>197.22528</v>
      </c>
      <c r="M238" s="117">
        <v>61.5144926935196</v>
      </c>
      <c r="O238" s="39">
        <f t="shared" si="16"/>
        <v>44586</v>
      </c>
      <c r="P238" s="41">
        <f t="shared" si="13"/>
        <v>107.21845377232466</v>
      </c>
      <c r="Q238" s="41">
        <f t="shared" si="14"/>
        <v>177.08543999999998</v>
      </c>
      <c r="R238" s="41">
        <f t="shared" si="15"/>
        <v>69.866986227675312</v>
      </c>
    </row>
    <row r="239" spans="10:18">
      <c r="J239" s="118">
        <v>44491</v>
      </c>
      <c r="K239" s="116">
        <v>135.7107873064804</v>
      </c>
      <c r="L239" s="116">
        <v>189.60480000000001</v>
      </c>
      <c r="M239" s="117">
        <v>53.894012693519613</v>
      </c>
      <c r="O239" s="39">
        <f t="shared" si="16"/>
        <v>44585</v>
      </c>
      <c r="P239" s="41">
        <f t="shared" si="13"/>
        <v>107.21845377232466</v>
      </c>
      <c r="Q239" s="41">
        <f t="shared" si="14"/>
        <v>165.981312</v>
      </c>
      <c r="R239" s="41">
        <f t="shared" si="15"/>
        <v>58.762858227675338</v>
      </c>
    </row>
    <row r="240" spans="10:18">
      <c r="J240" s="118">
        <v>44490</v>
      </c>
      <c r="K240" s="116">
        <v>136.37794080220607</v>
      </c>
      <c r="L240" s="116">
        <v>190.45756800000001</v>
      </c>
      <c r="M240" s="117">
        <v>54.07962719779394</v>
      </c>
      <c r="O240" s="39">
        <f t="shared" si="16"/>
        <v>44584</v>
      </c>
      <c r="P240" s="41">
        <f t="shared" si="13"/>
        <v>107.21845377232466</v>
      </c>
      <c r="Q240" s="41">
        <f t="shared" si="14"/>
        <v>160.5744</v>
      </c>
      <c r="R240" s="41">
        <f t="shared" si="15"/>
        <v>53.355946227675332</v>
      </c>
    </row>
    <row r="241" spans="10:18">
      <c r="J241" s="118">
        <v>44489</v>
      </c>
      <c r="K241" s="116">
        <v>136.37794080220607</v>
      </c>
      <c r="L241" s="116">
        <v>201.39840000000001</v>
      </c>
      <c r="M241" s="117">
        <v>65.02045919779394</v>
      </c>
      <c r="O241" s="39">
        <f t="shared" si="16"/>
        <v>44583</v>
      </c>
      <c r="P241" s="41">
        <f t="shared" si="13"/>
        <v>107.21845377232466</v>
      </c>
      <c r="Q241" s="41">
        <f t="shared" si="14"/>
        <v>160.5744</v>
      </c>
      <c r="R241" s="41">
        <f t="shared" si="15"/>
        <v>53.355946227675332</v>
      </c>
    </row>
    <row r="242" spans="10:18">
      <c r="J242" s="118">
        <v>44488</v>
      </c>
      <c r="K242" s="116">
        <v>136.37794080220607</v>
      </c>
      <c r="L242" s="116">
        <v>210.29803200000001</v>
      </c>
      <c r="M242" s="117">
        <v>73.920091197793937</v>
      </c>
      <c r="O242" s="39">
        <f t="shared" si="16"/>
        <v>44582</v>
      </c>
      <c r="P242" s="41">
        <f t="shared" si="13"/>
        <v>107.21845377232466</v>
      </c>
      <c r="Q242" s="41">
        <f t="shared" si="14"/>
        <v>160.5744</v>
      </c>
      <c r="R242" s="41">
        <f t="shared" si="15"/>
        <v>53.355946227675332</v>
      </c>
    </row>
    <row r="243" spans="10:18">
      <c r="J243" s="118">
        <v>44487</v>
      </c>
      <c r="K243" s="116">
        <v>136.37794080220607</v>
      </c>
      <c r="L243" s="116">
        <v>216.076896</v>
      </c>
      <c r="M243" s="117">
        <v>79.698955197793936</v>
      </c>
      <c r="O243" s="39">
        <f t="shared" si="16"/>
        <v>44581</v>
      </c>
      <c r="P243" s="41">
        <f t="shared" si="13"/>
        <v>104.72133969933999</v>
      </c>
      <c r="Q243" s="41">
        <f t="shared" si="14"/>
        <v>153.91555199999999</v>
      </c>
      <c r="R243" s="41">
        <f t="shared" si="15"/>
        <v>49.194212300659999</v>
      </c>
    </row>
    <row r="244" spans="10:18">
      <c r="J244" s="118">
        <v>44484</v>
      </c>
      <c r="K244" s="116">
        <v>136.37794080220607</v>
      </c>
      <c r="L244" s="116">
        <v>230.24736000000001</v>
      </c>
      <c r="M244" s="117">
        <v>93.869419197793945</v>
      </c>
      <c r="O244" s="39">
        <f t="shared" si="16"/>
        <v>44580</v>
      </c>
      <c r="P244" s="41">
        <f t="shared" si="13"/>
        <v>104.72133969933999</v>
      </c>
      <c r="Q244" s="41">
        <f t="shared" si="14"/>
        <v>163.0692</v>
      </c>
      <c r="R244" s="41">
        <f t="shared" si="15"/>
        <v>58.347860300660003</v>
      </c>
    </row>
    <row r="245" spans="10:18">
      <c r="J245" s="118">
        <v>44483</v>
      </c>
      <c r="K245" s="116">
        <v>126.76420867241477</v>
      </c>
      <c r="L245" s="116">
        <v>232.78752000000003</v>
      </c>
      <c r="M245" s="117">
        <v>106.02331132758526</v>
      </c>
      <c r="O245" s="39">
        <f t="shared" si="16"/>
        <v>44579</v>
      </c>
      <c r="P245" s="41">
        <f t="shared" si="13"/>
        <v>104.72133969933999</v>
      </c>
      <c r="Q245" s="41">
        <f t="shared" si="14"/>
        <v>163.58630399999998</v>
      </c>
      <c r="R245" s="41">
        <f t="shared" si="15"/>
        <v>58.864964300659992</v>
      </c>
    </row>
    <row r="246" spans="10:18">
      <c r="J246" s="118">
        <v>44482</v>
      </c>
      <c r="K246" s="116">
        <v>126.76420867241477</v>
      </c>
      <c r="L246" s="116">
        <v>233.04153600000001</v>
      </c>
      <c r="M246" s="117">
        <v>106.27732732758524</v>
      </c>
      <c r="O246" s="39">
        <f t="shared" si="16"/>
        <v>44578</v>
      </c>
      <c r="P246" s="41">
        <f t="shared" si="13"/>
        <v>104.72133969933999</v>
      </c>
      <c r="Q246" s="41">
        <f t="shared" si="14"/>
        <v>157.32662399999998</v>
      </c>
      <c r="R246" s="41">
        <f t="shared" si="15"/>
        <v>52.605284300659989</v>
      </c>
    </row>
    <row r="247" spans="10:18">
      <c r="J247" s="118">
        <v>44481</v>
      </c>
      <c r="K247" s="116">
        <v>126.76420867241477</v>
      </c>
      <c r="L247" s="116">
        <v>231.78960000000001</v>
      </c>
      <c r="M247" s="117">
        <v>105.02539132758524</v>
      </c>
      <c r="O247" s="39">
        <f t="shared" si="16"/>
        <v>44577</v>
      </c>
      <c r="P247" s="41">
        <f t="shared" si="13"/>
        <v>104.72133969933999</v>
      </c>
      <c r="Q247" s="41">
        <f t="shared" si="14"/>
        <v>154.58688000000001</v>
      </c>
      <c r="R247" s="41">
        <f t="shared" si="15"/>
        <v>49.865540300660015</v>
      </c>
    </row>
    <row r="248" spans="10:18">
      <c r="J248" s="118">
        <v>44480</v>
      </c>
      <c r="K248" s="116">
        <v>126.76420867241477</v>
      </c>
      <c r="L248" s="116">
        <v>220.4496</v>
      </c>
      <c r="M248" s="117">
        <v>93.685391327585236</v>
      </c>
      <c r="O248" s="39">
        <f t="shared" si="16"/>
        <v>44576</v>
      </c>
      <c r="P248" s="41">
        <f t="shared" si="13"/>
        <v>104.72133969933999</v>
      </c>
      <c r="Q248" s="41">
        <f t="shared" si="14"/>
        <v>154.58688000000001</v>
      </c>
      <c r="R248" s="41">
        <f t="shared" si="15"/>
        <v>49.865540300660015</v>
      </c>
    </row>
    <row r="249" spans="10:18">
      <c r="J249" s="118">
        <v>44477</v>
      </c>
      <c r="K249" s="116">
        <v>126.76420867241477</v>
      </c>
      <c r="L249" s="116">
        <v>214.253424</v>
      </c>
      <c r="M249" s="117">
        <v>87.489215327585228</v>
      </c>
      <c r="O249" s="39">
        <f t="shared" si="16"/>
        <v>44575</v>
      </c>
      <c r="P249" s="41">
        <f t="shared" si="13"/>
        <v>104.72133969933999</v>
      </c>
      <c r="Q249" s="41">
        <f t="shared" si="14"/>
        <v>154.58688000000001</v>
      </c>
      <c r="R249" s="41">
        <f t="shared" si="15"/>
        <v>49.865540300660015</v>
      </c>
    </row>
    <row r="250" spans="10:18">
      <c r="J250" s="118">
        <v>44476</v>
      </c>
      <c r="K250" s="116">
        <v>100.67470635051016</v>
      </c>
      <c r="L250" s="116">
        <v>204.12</v>
      </c>
      <c r="M250" s="117">
        <v>103.44529364948984</v>
      </c>
      <c r="O250" s="39">
        <f t="shared" si="16"/>
        <v>44574</v>
      </c>
      <c r="P250" s="41">
        <f t="shared" si="13"/>
        <v>107.08401794550234</v>
      </c>
      <c r="Q250" s="41">
        <f t="shared" si="14"/>
        <v>140.098896</v>
      </c>
      <c r="R250" s="41">
        <f t="shared" si="15"/>
        <v>33.014878054497657</v>
      </c>
    </row>
    <row r="251" spans="10:18">
      <c r="J251" s="118">
        <v>44475</v>
      </c>
      <c r="K251" s="116">
        <v>100.67470635051016</v>
      </c>
      <c r="L251" s="116">
        <v>253.26302400000003</v>
      </c>
      <c r="M251" s="117">
        <v>152.58831764948985</v>
      </c>
      <c r="O251" s="39">
        <f t="shared" si="16"/>
        <v>44573</v>
      </c>
      <c r="P251" s="41">
        <f t="shared" si="13"/>
        <v>107.08401794550234</v>
      </c>
      <c r="Q251" s="41">
        <f t="shared" si="14"/>
        <v>122.9256</v>
      </c>
      <c r="R251" s="41">
        <f t="shared" si="15"/>
        <v>15.841582054497664</v>
      </c>
    </row>
    <row r="252" spans="10:18">
      <c r="J252" s="118">
        <v>44474</v>
      </c>
      <c r="K252" s="116">
        <v>100.67470635051016</v>
      </c>
      <c r="L252" s="116">
        <v>270.88992000000002</v>
      </c>
      <c r="M252" s="117">
        <v>170.21521364948984</v>
      </c>
      <c r="O252" s="39">
        <f t="shared" si="16"/>
        <v>44572</v>
      </c>
      <c r="P252" s="41">
        <f t="shared" si="13"/>
        <v>107.08401794550234</v>
      </c>
      <c r="Q252" s="41">
        <f t="shared" si="14"/>
        <v>119.922768</v>
      </c>
      <c r="R252" s="41">
        <f t="shared" si="15"/>
        <v>12.838750054497666</v>
      </c>
    </row>
    <row r="253" spans="10:18">
      <c r="J253" s="118">
        <v>44473</v>
      </c>
      <c r="K253" s="116">
        <v>100.67470635051016</v>
      </c>
      <c r="L253" s="116">
        <v>235.41839999999999</v>
      </c>
      <c r="M253" s="117">
        <v>134.74369364948984</v>
      </c>
      <c r="O253" s="39">
        <f t="shared" si="16"/>
        <v>44571</v>
      </c>
      <c r="P253" s="41">
        <f t="shared" si="13"/>
        <v>107.08401794550234</v>
      </c>
      <c r="Q253" s="41">
        <f t="shared" si="14"/>
        <v>126.84470399999999</v>
      </c>
      <c r="R253" s="41">
        <f t="shared" si="15"/>
        <v>19.760686054497654</v>
      </c>
    </row>
    <row r="254" spans="10:18">
      <c r="J254" s="118">
        <v>44470</v>
      </c>
      <c r="K254" s="116">
        <v>100.67470635051016</v>
      </c>
      <c r="L254" s="116">
        <v>210.54297600000001</v>
      </c>
      <c r="M254" s="117">
        <v>109.86826964948985</v>
      </c>
      <c r="O254" s="39">
        <f t="shared" si="16"/>
        <v>44570</v>
      </c>
      <c r="P254" s="41">
        <f t="shared" si="13"/>
        <v>105.55365891600331</v>
      </c>
      <c r="Q254" s="41">
        <f t="shared" si="14"/>
        <v>134.338176</v>
      </c>
      <c r="R254" s="41">
        <f t="shared" si="15"/>
        <v>28.78451708399669</v>
      </c>
    </row>
    <row r="255" spans="10:18">
      <c r="J255" s="118">
        <v>44469</v>
      </c>
      <c r="K255" s="116">
        <v>96.165295257578833</v>
      </c>
      <c r="L255" s="116">
        <v>196.56302399999998</v>
      </c>
      <c r="M255" s="117">
        <v>100.39772874242115</v>
      </c>
      <c r="O255" s="39">
        <f t="shared" si="16"/>
        <v>44569</v>
      </c>
      <c r="P255" s="41">
        <f t="shared" si="13"/>
        <v>105.55365891600331</v>
      </c>
      <c r="Q255" s="41">
        <f t="shared" si="14"/>
        <v>134.338176</v>
      </c>
      <c r="R255" s="41">
        <f t="shared" si="15"/>
        <v>28.78451708399669</v>
      </c>
    </row>
    <row r="256" spans="10:18">
      <c r="J256" s="118">
        <v>44468</v>
      </c>
      <c r="K256" s="116">
        <v>96.165295257578833</v>
      </c>
      <c r="L256" s="116">
        <v>191.50991999999999</v>
      </c>
      <c r="M256" s="117">
        <v>95.344624742421161</v>
      </c>
      <c r="O256" s="39">
        <f t="shared" si="16"/>
        <v>44568</v>
      </c>
      <c r="P256" s="41">
        <f t="shared" si="13"/>
        <v>105.55365891600331</v>
      </c>
      <c r="Q256" s="41">
        <f t="shared" si="14"/>
        <v>134.338176</v>
      </c>
      <c r="R256" s="41">
        <f t="shared" si="15"/>
        <v>28.78451708399669</v>
      </c>
    </row>
    <row r="257" spans="10:18">
      <c r="J257" s="118">
        <v>44467</v>
      </c>
      <c r="K257" s="116">
        <v>96.165295257578833</v>
      </c>
      <c r="L257" s="116">
        <v>191.682288</v>
      </c>
      <c r="M257" s="117">
        <v>95.516992742421166</v>
      </c>
      <c r="O257" s="39">
        <f t="shared" si="16"/>
        <v>44567</v>
      </c>
      <c r="P257" s="41">
        <f t="shared" si="13"/>
        <v>107.58433092629839</v>
      </c>
      <c r="Q257" s="41">
        <f t="shared" si="14"/>
        <v>129.85660799999999</v>
      </c>
      <c r="R257" s="41">
        <f t="shared" si="15"/>
        <v>22.272277073701602</v>
      </c>
    </row>
    <row r="258" spans="10:18">
      <c r="J258" s="118">
        <v>44466</v>
      </c>
      <c r="K258" s="116">
        <v>96.165295257578833</v>
      </c>
      <c r="L258" s="116">
        <v>182.80080000000001</v>
      </c>
      <c r="M258" s="117">
        <v>86.635504742421176</v>
      </c>
      <c r="O258" s="39">
        <f t="shared" si="16"/>
        <v>44566</v>
      </c>
      <c r="P258" s="41">
        <f t="shared" si="13"/>
        <v>107.58433092629839</v>
      </c>
      <c r="Q258" s="41">
        <f t="shared" si="14"/>
        <v>124.5132</v>
      </c>
      <c r="R258" s="41">
        <f t="shared" si="15"/>
        <v>16.928869073701605</v>
      </c>
    </row>
    <row r="259" spans="10:18">
      <c r="J259" s="118">
        <v>44463</v>
      </c>
      <c r="K259" s="116">
        <v>96.165295257578833</v>
      </c>
      <c r="L259" s="116">
        <v>180.53280000000001</v>
      </c>
      <c r="M259" s="117">
        <v>84.367504742421175</v>
      </c>
      <c r="O259" s="39">
        <f t="shared" si="16"/>
        <v>44565</v>
      </c>
      <c r="P259" s="41">
        <f t="shared" si="13"/>
        <v>107.58433092629839</v>
      </c>
      <c r="Q259" s="41">
        <f t="shared" si="14"/>
        <v>119.30587199999999</v>
      </c>
      <c r="R259" s="41">
        <f t="shared" si="15"/>
        <v>11.721541073701601</v>
      </c>
    </row>
    <row r="260" spans="10:18">
      <c r="J260" s="118">
        <v>44462</v>
      </c>
      <c r="K260" s="116">
        <v>95.315491216766262</v>
      </c>
      <c r="L260" s="116">
        <v>166.9248</v>
      </c>
      <c r="M260" s="117">
        <v>71.609308783233743</v>
      </c>
      <c r="O260" s="39">
        <f t="shared" si="16"/>
        <v>44564</v>
      </c>
      <c r="P260" s="41">
        <f t="shared" si="13"/>
        <v>107.58433092629839</v>
      </c>
      <c r="Q260" s="41">
        <f t="shared" si="14"/>
        <v>110.342736</v>
      </c>
      <c r="R260" s="41">
        <f t="shared" si="15"/>
        <v>2.7584050737016099</v>
      </c>
    </row>
    <row r="261" spans="10:18">
      <c r="J261" s="118">
        <v>44461</v>
      </c>
      <c r="K261" s="116">
        <v>95.315491216766262</v>
      </c>
      <c r="L261" s="116">
        <v>158.0796</v>
      </c>
      <c r="M261" s="117">
        <v>62.764108783233738</v>
      </c>
      <c r="O261" s="39">
        <f t="shared" si="16"/>
        <v>44563</v>
      </c>
      <c r="P261" s="41">
        <f t="shared" si="13"/>
        <v>107.58433092629839</v>
      </c>
      <c r="Q261" s="41">
        <f t="shared" si="14"/>
        <v>110.342736</v>
      </c>
      <c r="R261" s="41">
        <f t="shared" si="15"/>
        <v>2.7584050737016099</v>
      </c>
    </row>
    <row r="262" spans="10:18">
      <c r="J262" s="118">
        <v>44460</v>
      </c>
      <c r="K262" s="116">
        <v>95.315491216766262</v>
      </c>
      <c r="L262" s="116">
        <v>158.85072</v>
      </c>
      <c r="M262" s="117">
        <v>63.535228783233734</v>
      </c>
      <c r="O262" s="39">
        <f t="shared" si="16"/>
        <v>44562</v>
      </c>
      <c r="P262" s="41">
        <f t="shared" ref="P262:P325" si="17">IFERROR(VLOOKUP($O262,$J$5:$M$403,2,FALSE),P263)</f>
        <v>107.58433092629839</v>
      </c>
      <c r="Q262" s="41">
        <f t="shared" ref="Q262:Q325" si="18">IFERROR(VLOOKUP($O262,$J$5:$M$403,3,FALSE),Q263)</f>
        <v>110.342736</v>
      </c>
      <c r="R262" s="41">
        <f t="shared" ref="R262:R325" si="19">IFERROR(VLOOKUP($O262,$J$5:$M$403,4,FALSE),R263)</f>
        <v>2.7584050737016099</v>
      </c>
    </row>
    <row r="263" spans="10:18">
      <c r="J263" s="118">
        <v>44459</v>
      </c>
      <c r="K263" s="116">
        <v>95.315491216766262</v>
      </c>
      <c r="L263" s="116">
        <v>161.93520000000001</v>
      </c>
      <c r="M263" s="117">
        <v>66.619708783233747</v>
      </c>
      <c r="O263" s="39">
        <f t="shared" ref="O263:O326" si="20">O262-1</f>
        <v>44561</v>
      </c>
      <c r="P263" s="41">
        <f t="shared" si="17"/>
        <v>107.58433092629839</v>
      </c>
      <c r="Q263" s="41">
        <f t="shared" si="18"/>
        <v>110.342736</v>
      </c>
      <c r="R263" s="41">
        <f t="shared" si="19"/>
        <v>2.7584050737016099</v>
      </c>
    </row>
    <row r="264" spans="10:18">
      <c r="J264" s="118">
        <v>44456</v>
      </c>
      <c r="K264" s="116">
        <v>95.315491216766262</v>
      </c>
      <c r="L264" s="116">
        <v>157.94352000000001</v>
      </c>
      <c r="M264" s="117">
        <v>62.628028783233745</v>
      </c>
      <c r="O264" s="39">
        <f t="shared" si="20"/>
        <v>44560</v>
      </c>
      <c r="P264" s="41">
        <f t="shared" si="17"/>
        <v>116.45395447258021</v>
      </c>
      <c r="Q264" s="41">
        <f t="shared" si="18"/>
        <v>109.14523200000001</v>
      </c>
      <c r="R264" s="41">
        <f t="shared" si="19"/>
        <v>-7.3087224725802002</v>
      </c>
    </row>
    <row r="265" spans="10:18">
      <c r="J265" s="118">
        <v>44455</v>
      </c>
      <c r="K265" s="116">
        <v>94.649908233036115</v>
      </c>
      <c r="L265" s="116">
        <v>158.48783999999998</v>
      </c>
      <c r="M265" s="117">
        <v>63.837931766963862</v>
      </c>
      <c r="O265" s="39">
        <f t="shared" si="20"/>
        <v>44559</v>
      </c>
      <c r="P265" s="41">
        <f t="shared" si="17"/>
        <v>116.45395447258021</v>
      </c>
      <c r="Q265" s="41">
        <f t="shared" si="18"/>
        <v>109.72584000000001</v>
      </c>
      <c r="R265" s="41">
        <f t="shared" si="19"/>
        <v>-6.7281144725802022</v>
      </c>
    </row>
    <row r="266" spans="10:18">
      <c r="J266" s="118">
        <v>44454</v>
      </c>
      <c r="K266" s="116">
        <v>94.649908233036115</v>
      </c>
      <c r="L266" s="116">
        <v>159.53111999999999</v>
      </c>
      <c r="M266" s="117">
        <v>64.881211766963872</v>
      </c>
      <c r="O266" s="39">
        <f t="shared" si="20"/>
        <v>44558</v>
      </c>
      <c r="P266" s="41">
        <f t="shared" si="17"/>
        <v>116.45395447258021</v>
      </c>
      <c r="Q266" s="41">
        <f t="shared" si="18"/>
        <v>132.90479999999999</v>
      </c>
      <c r="R266" s="41">
        <f t="shared" si="19"/>
        <v>16.450845527419787</v>
      </c>
    </row>
    <row r="267" spans="10:18">
      <c r="J267" s="118">
        <v>44453</v>
      </c>
      <c r="K267" s="116">
        <v>94.649908233036115</v>
      </c>
      <c r="L267" s="116">
        <v>160.3476</v>
      </c>
      <c r="M267" s="117">
        <v>65.697691766963885</v>
      </c>
      <c r="O267" s="39">
        <f t="shared" si="20"/>
        <v>44557</v>
      </c>
      <c r="P267" s="41">
        <f t="shared" si="17"/>
        <v>116.45395447258021</v>
      </c>
      <c r="Q267" s="41">
        <f t="shared" si="18"/>
        <v>132.90479999999999</v>
      </c>
      <c r="R267" s="41">
        <f t="shared" si="19"/>
        <v>16.450845527419787</v>
      </c>
    </row>
    <row r="268" spans="10:18">
      <c r="J268" s="118">
        <v>44452</v>
      </c>
      <c r="K268" s="116">
        <v>94.649908233036115</v>
      </c>
      <c r="L268" s="116">
        <v>161.02799999999999</v>
      </c>
      <c r="M268" s="117">
        <v>66.378091766963877</v>
      </c>
      <c r="O268" s="39">
        <f t="shared" si="20"/>
        <v>44556</v>
      </c>
      <c r="P268" s="41">
        <f t="shared" si="17"/>
        <v>116.45395447258021</v>
      </c>
      <c r="Q268" s="41">
        <f t="shared" si="18"/>
        <v>132.90479999999999</v>
      </c>
      <c r="R268" s="41">
        <f t="shared" si="19"/>
        <v>16.450845527419787</v>
      </c>
    </row>
    <row r="269" spans="10:18">
      <c r="J269" s="118">
        <v>44449</v>
      </c>
      <c r="K269" s="116">
        <v>94.649908233036115</v>
      </c>
      <c r="L269" s="116">
        <v>157.59878399999999</v>
      </c>
      <c r="M269" s="117">
        <v>62.94887576696388</v>
      </c>
      <c r="O269" s="39">
        <f t="shared" si="20"/>
        <v>44555</v>
      </c>
      <c r="P269" s="41">
        <f t="shared" si="17"/>
        <v>116.45395447258021</v>
      </c>
      <c r="Q269" s="41">
        <f t="shared" si="18"/>
        <v>132.90479999999999</v>
      </c>
      <c r="R269" s="41">
        <f t="shared" si="19"/>
        <v>16.450845527419787</v>
      </c>
    </row>
    <row r="270" spans="10:18">
      <c r="J270" s="118">
        <v>44448</v>
      </c>
      <c r="K270" s="116">
        <v>89.815715259417232</v>
      </c>
      <c r="L270" s="116">
        <v>157.626</v>
      </c>
      <c r="M270" s="117">
        <v>67.810284740582773</v>
      </c>
      <c r="O270" s="39">
        <f t="shared" si="20"/>
        <v>44554</v>
      </c>
      <c r="P270" s="41">
        <f t="shared" si="17"/>
        <v>116.45395447258021</v>
      </c>
      <c r="Q270" s="41">
        <f t="shared" si="18"/>
        <v>132.90479999999999</v>
      </c>
      <c r="R270" s="41">
        <f t="shared" si="19"/>
        <v>16.450845527419787</v>
      </c>
    </row>
    <row r="271" spans="10:18">
      <c r="J271" s="118">
        <v>44447</v>
      </c>
      <c r="K271" s="116">
        <v>89.815715259417232</v>
      </c>
      <c r="L271" s="116">
        <v>154.22399999999999</v>
      </c>
      <c r="M271" s="117">
        <v>64.408284740582758</v>
      </c>
      <c r="O271" s="39">
        <f t="shared" si="20"/>
        <v>44553</v>
      </c>
      <c r="P271" s="41">
        <f t="shared" si="17"/>
        <v>119.07985052920304</v>
      </c>
      <c r="Q271" s="41">
        <f t="shared" si="18"/>
        <v>140.198688</v>
      </c>
      <c r="R271" s="41">
        <f t="shared" si="19"/>
        <v>21.118837470796961</v>
      </c>
    </row>
    <row r="272" spans="10:18">
      <c r="J272" s="118">
        <v>44446</v>
      </c>
      <c r="K272" s="116">
        <v>89.815715259417232</v>
      </c>
      <c r="L272" s="116">
        <v>153.83390399999999</v>
      </c>
      <c r="M272" s="117">
        <v>64.018188740582758</v>
      </c>
      <c r="O272" s="39">
        <f t="shared" si="20"/>
        <v>44552</v>
      </c>
      <c r="P272" s="41">
        <f t="shared" si="17"/>
        <v>119.07985052920304</v>
      </c>
      <c r="Q272" s="41">
        <f t="shared" si="18"/>
        <v>145.15199999999999</v>
      </c>
      <c r="R272" s="41">
        <f t="shared" si="19"/>
        <v>26.072149470796944</v>
      </c>
    </row>
    <row r="273" spans="10:18">
      <c r="J273" s="118">
        <v>44445</v>
      </c>
      <c r="K273" s="116">
        <v>89.815715259417232</v>
      </c>
      <c r="L273" s="116">
        <v>154.22399999999999</v>
      </c>
      <c r="M273" s="117">
        <v>64.408284740582758</v>
      </c>
      <c r="O273" s="39">
        <f t="shared" si="20"/>
        <v>44551</v>
      </c>
      <c r="P273" s="41">
        <f t="shared" si="17"/>
        <v>119.07985052920304</v>
      </c>
      <c r="Q273" s="41">
        <f t="shared" si="18"/>
        <v>148.96223999999998</v>
      </c>
      <c r="R273" s="41">
        <f t="shared" si="19"/>
        <v>29.882389470796937</v>
      </c>
    </row>
    <row r="274" spans="10:18">
      <c r="J274" s="118">
        <v>44442</v>
      </c>
      <c r="K274" s="116">
        <v>89.815715259417232</v>
      </c>
      <c r="L274" s="116">
        <v>150.422832</v>
      </c>
      <c r="M274" s="117">
        <v>60.607116740582768</v>
      </c>
      <c r="O274" s="39">
        <f t="shared" si="20"/>
        <v>44550</v>
      </c>
      <c r="P274" s="41">
        <f t="shared" si="17"/>
        <v>119.07985052920304</v>
      </c>
      <c r="Q274" s="41">
        <f t="shared" si="18"/>
        <v>145.99569600000001</v>
      </c>
      <c r="R274" s="41">
        <f t="shared" si="19"/>
        <v>26.915845470796967</v>
      </c>
    </row>
    <row r="275" spans="10:18">
      <c r="J275" s="118">
        <v>44441</v>
      </c>
      <c r="K275" s="116">
        <v>89.086055386267134</v>
      </c>
      <c r="L275" s="116">
        <v>150.894576</v>
      </c>
      <c r="M275" s="117">
        <v>61.808520613732867</v>
      </c>
      <c r="O275" s="39">
        <f t="shared" si="20"/>
        <v>44549</v>
      </c>
      <c r="P275" s="41">
        <f t="shared" si="17"/>
        <v>119.07985052920304</v>
      </c>
      <c r="Q275" s="41">
        <f t="shared" si="18"/>
        <v>144.27201600000001</v>
      </c>
      <c r="R275" s="41">
        <f t="shared" si="19"/>
        <v>25.192165470796965</v>
      </c>
    </row>
    <row r="276" spans="10:18">
      <c r="J276" s="118">
        <v>44440</v>
      </c>
      <c r="K276" s="116">
        <v>89.086055386267134</v>
      </c>
      <c r="L276" s="116">
        <v>147.456288</v>
      </c>
      <c r="M276" s="117">
        <v>58.370232613732867</v>
      </c>
      <c r="O276" s="39">
        <f t="shared" si="20"/>
        <v>44548</v>
      </c>
      <c r="P276" s="41">
        <f t="shared" si="17"/>
        <v>119.07985052920304</v>
      </c>
      <c r="Q276" s="41">
        <f t="shared" si="18"/>
        <v>144.27201600000001</v>
      </c>
      <c r="R276" s="41">
        <f t="shared" si="19"/>
        <v>25.192165470796965</v>
      </c>
    </row>
    <row r="277" spans="10:18">
      <c r="J277" s="118">
        <v>44439</v>
      </c>
      <c r="K277" s="116">
        <v>89.086055386267134</v>
      </c>
      <c r="L277" s="116">
        <v>139.46385599999999</v>
      </c>
      <c r="M277" s="117">
        <v>50.377800613732859</v>
      </c>
      <c r="O277" s="39">
        <f t="shared" si="20"/>
        <v>44547</v>
      </c>
      <c r="P277" s="41">
        <f t="shared" si="17"/>
        <v>119.07985052920304</v>
      </c>
      <c r="Q277" s="41">
        <f t="shared" si="18"/>
        <v>144.27201600000001</v>
      </c>
      <c r="R277" s="41">
        <f t="shared" si="19"/>
        <v>25.192165470796965</v>
      </c>
    </row>
    <row r="278" spans="10:18">
      <c r="J278" s="118">
        <v>44438</v>
      </c>
      <c r="K278" s="116">
        <v>89.086055386267134</v>
      </c>
      <c r="L278" s="116">
        <v>136.9872</v>
      </c>
      <c r="M278" s="117">
        <v>47.901144613732868</v>
      </c>
      <c r="O278" s="39">
        <f t="shared" si="20"/>
        <v>44546</v>
      </c>
      <c r="P278" s="41">
        <f t="shared" si="17"/>
        <v>124.43011374457214</v>
      </c>
      <c r="Q278" s="41">
        <f t="shared" si="18"/>
        <v>141.84072</v>
      </c>
      <c r="R278" s="41">
        <f t="shared" si="19"/>
        <v>17.410606255427865</v>
      </c>
    </row>
    <row r="279" spans="10:18">
      <c r="J279" s="118">
        <v>44435</v>
      </c>
      <c r="K279" s="116">
        <v>89.086055386267134</v>
      </c>
      <c r="L279" s="116">
        <v>136.9872</v>
      </c>
      <c r="M279" s="117">
        <v>47.901144613732868</v>
      </c>
      <c r="O279" s="39">
        <f t="shared" si="20"/>
        <v>44545</v>
      </c>
      <c r="P279" s="41">
        <f t="shared" si="17"/>
        <v>124.43011374457214</v>
      </c>
      <c r="Q279" s="41">
        <f t="shared" si="18"/>
        <v>138.42057600000001</v>
      </c>
      <c r="R279" s="41">
        <f t="shared" si="19"/>
        <v>13.990462255427872</v>
      </c>
    </row>
    <row r="280" spans="10:18">
      <c r="J280" s="118">
        <v>44434</v>
      </c>
      <c r="K280" s="116">
        <v>86.331534397205616</v>
      </c>
      <c r="L280" s="116">
        <v>136.44288</v>
      </c>
      <c r="M280" s="117">
        <v>50.111345602794387</v>
      </c>
      <c r="O280" s="39">
        <f t="shared" si="20"/>
        <v>44544</v>
      </c>
      <c r="P280" s="41">
        <f t="shared" si="17"/>
        <v>124.43011374457214</v>
      </c>
      <c r="Q280" s="41">
        <f t="shared" si="18"/>
        <v>135.508464</v>
      </c>
      <c r="R280" s="41">
        <f t="shared" si="19"/>
        <v>11.078350255427864</v>
      </c>
    </row>
    <row r="281" spans="10:18">
      <c r="J281" s="118">
        <v>44433</v>
      </c>
      <c r="K281" s="116">
        <v>86.331534397205616</v>
      </c>
      <c r="L281" s="116">
        <v>136.71503999999999</v>
      </c>
      <c r="M281" s="117">
        <v>50.383505602794372</v>
      </c>
      <c r="O281" s="39">
        <f t="shared" si="20"/>
        <v>44543</v>
      </c>
      <c r="P281" s="41">
        <f t="shared" si="17"/>
        <v>124.43011374457214</v>
      </c>
      <c r="Q281" s="41">
        <f t="shared" si="18"/>
        <v>132.76872</v>
      </c>
      <c r="R281" s="41">
        <f t="shared" si="19"/>
        <v>8.3386062554278624</v>
      </c>
    </row>
    <row r="282" spans="10:18">
      <c r="J282" s="118">
        <v>44432</v>
      </c>
      <c r="K282" s="116">
        <v>86.331534397205616</v>
      </c>
      <c r="L282" s="116">
        <v>136.08000000000001</v>
      </c>
      <c r="M282" s="117">
        <v>49.748465602794397</v>
      </c>
      <c r="O282" s="39">
        <f t="shared" si="20"/>
        <v>44542</v>
      </c>
      <c r="P282" s="41">
        <f t="shared" si="17"/>
        <v>124.43011374457214</v>
      </c>
      <c r="Q282" s="41">
        <f t="shared" si="18"/>
        <v>126.17337600000002</v>
      </c>
      <c r="R282" s="41">
        <f t="shared" si="19"/>
        <v>1.7432622554278794</v>
      </c>
    </row>
    <row r="283" spans="10:18">
      <c r="J283" s="118">
        <v>44431</v>
      </c>
      <c r="K283" s="116">
        <v>86.331534397205616</v>
      </c>
      <c r="L283" s="116">
        <v>131.44420799999997</v>
      </c>
      <c r="M283" s="117">
        <v>45.112673602794359</v>
      </c>
      <c r="O283" s="39">
        <f t="shared" si="20"/>
        <v>44541</v>
      </c>
      <c r="P283" s="41">
        <f t="shared" si="17"/>
        <v>124.43011374457214</v>
      </c>
      <c r="Q283" s="41">
        <f t="shared" si="18"/>
        <v>126.17337600000002</v>
      </c>
      <c r="R283" s="41">
        <f t="shared" si="19"/>
        <v>1.7432622554278794</v>
      </c>
    </row>
    <row r="284" spans="10:18">
      <c r="J284" s="118">
        <v>44428</v>
      </c>
      <c r="K284" s="116">
        <v>86.331534397205616</v>
      </c>
      <c r="L284" s="116">
        <v>130.60958400000001</v>
      </c>
      <c r="M284" s="117">
        <v>44.278049602794397</v>
      </c>
      <c r="O284" s="39">
        <f t="shared" si="20"/>
        <v>44540</v>
      </c>
      <c r="P284" s="41">
        <f t="shared" si="17"/>
        <v>124.43011374457214</v>
      </c>
      <c r="Q284" s="41">
        <f t="shared" si="18"/>
        <v>126.17337600000002</v>
      </c>
      <c r="R284" s="41">
        <f t="shared" si="19"/>
        <v>1.7432622554278794</v>
      </c>
    </row>
    <row r="285" spans="10:18">
      <c r="J285" s="118">
        <v>44427</v>
      </c>
      <c r="K285" s="116">
        <v>83.422003874179609</v>
      </c>
      <c r="L285" s="116">
        <v>137.27750399999999</v>
      </c>
      <c r="M285" s="117">
        <v>53.855500125820384</v>
      </c>
      <c r="O285" s="39">
        <f t="shared" si="20"/>
        <v>44539</v>
      </c>
      <c r="P285" s="41">
        <f t="shared" si="17"/>
        <v>124.75819370045043</v>
      </c>
      <c r="Q285" s="41">
        <f t="shared" si="18"/>
        <v>122.889312</v>
      </c>
      <c r="R285" s="41">
        <f t="shared" si="19"/>
        <v>-1.8688817004504301</v>
      </c>
    </row>
    <row r="286" spans="10:18">
      <c r="J286" s="118">
        <v>44426</v>
      </c>
      <c r="K286" s="116">
        <v>83.422003874179609</v>
      </c>
      <c r="L286" s="116">
        <v>138.99211200000002</v>
      </c>
      <c r="M286" s="117">
        <v>55.570108125820411</v>
      </c>
      <c r="O286" s="39">
        <f t="shared" si="20"/>
        <v>44538</v>
      </c>
      <c r="P286" s="41">
        <f t="shared" si="17"/>
        <v>124.75819370045043</v>
      </c>
      <c r="Q286" s="41">
        <f t="shared" si="18"/>
        <v>124.957728</v>
      </c>
      <c r="R286" s="41">
        <f t="shared" si="19"/>
        <v>0.19953429954956903</v>
      </c>
    </row>
    <row r="287" spans="10:18">
      <c r="J287" s="118">
        <v>44425</v>
      </c>
      <c r="K287" s="116">
        <v>83.422003874179609</v>
      </c>
      <c r="L287" s="116">
        <v>139.75416000000001</v>
      </c>
      <c r="M287" s="117">
        <v>56.332156125820404</v>
      </c>
      <c r="O287" s="39">
        <f t="shared" si="20"/>
        <v>44537</v>
      </c>
      <c r="P287" s="41">
        <f t="shared" si="17"/>
        <v>124.75819370045043</v>
      </c>
      <c r="Q287" s="41">
        <f t="shared" si="18"/>
        <v>117.173952</v>
      </c>
      <c r="R287" s="41">
        <f t="shared" si="19"/>
        <v>-7.5842417004504341</v>
      </c>
    </row>
    <row r="288" spans="10:18">
      <c r="J288" s="118">
        <v>44424</v>
      </c>
      <c r="K288" s="116">
        <v>83.422003874179609</v>
      </c>
      <c r="L288" s="116">
        <v>140.86094400000002</v>
      </c>
      <c r="M288" s="117">
        <v>57.438940125820409</v>
      </c>
      <c r="O288" s="39">
        <f t="shared" si="20"/>
        <v>44536</v>
      </c>
      <c r="P288" s="41">
        <f t="shared" si="17"/>
        <v>124.75819370045043</v>
      </c>
      <c r="Q288" s="41">
        <f t="shared" si="18"/>
        <v>111.422304</v>
      </c>
      <c r="R288" s="41">
        <f t="shared" si="19"/>
        <v>-13.335889700450437</v>
      </c>
    </row>
    <row r="289" spans="10:18">
      <c r="J289" s="118">
        <v>44421</v>
      </c>
      <c r="K289" s="116">
        <v>83.422003874179609</v>
      </c>
      <c r="L289" s="116">
        <v>139.93559999999999</v>
      </c>
      <c r="M289" s="117">
        <v>56.513596125820385</v>
      </c>
      <c r="O289" s="39">
        <f t="shared" si="20"/>
        <v>44535</v>
      </c>
      <c r="P289" s="41">
        <f t="shared" si="17"/>
        <v>124.75819370045043</v>
      </c>
      <c r="Q289" s="41">
        <f t="shared" si="18"/>
        <v>112.26600000000001</v>
      </c>
      <c r="R289" s="41">
        <f t="shared" si="19"/>
        <v>-12.492193700450429</v>
      </c>
    </row>
    <row r="290" spans="10:18">
      <c r="J290" s="118">
        <v>44420</v>
      </c>
      <c r="K290" s="116">
        <v>79.948659544737581</v>
      </c>
      <c r="L290" s="116">
        <v>140.75208000000001</v>
      </c>
      <c r="M290" s="117">
        <v>60.803420455262426</v>
      </c>
      <c r="O290" s="39">
        <f t="shared" si="20"/>
        <v>44534</v>
      </c>
      <c r="P290" s="41">
        <f t="shared" si="17"/>
        <v>124.75819370045043</v>
      </c>
      <c r="Q290" s="41">
        <f t="shared" si="18"/>
        <v>112.26600000000001</v>
      </c>
      <c r="R290" s="41">
        <f t="shared" si="19"/>
        <v>-12.492193700450429</v>
      </c>
    </row>
    <row r="291" spans="10:18">
      <c r="J291" s="118">
        <v>44419</v>
      </c>
      <c r="K291" s="116">
        <v>79.948659544737581</v>
      </c>
      <c r="L291" s="116">
        <v>135.653616</v>
      </c>
      <c r="M291" s="117">
        <v>55.704956455262419</v>
      </c>
      <c r="O291" s="39">
        <f t="shared" si="20"/>
        <v>44533</v>
      </c>
      <c r="P291" s="41">
        <f t="shared" si="17"/>
        <v>124.75819370045043</v>
      </c>
      <c r="Q291" s="41">
        <f t="shared" si="18"/>
        <v>112.26600000000001</v>
      </c>
      <c r="R291" s="41">
        <f t="shared" si="19"/>
        <v>-12.492193700450429</v>
      </c>
    </row>
    <row r="292" spans="10:18">
      <c r="J292" s="118">
        <v>44418</v>
      </c>
      <c r="K292" s="116">
        <v>79.948659544737581</v>
      </c>
      <c r="L292" s="116">
        <v>135.027648</v>
      </c>
      <c r="M292" s="117">
        <v>55.078988455262419</v>
      </c>
      <c r="O292" s="39">
        <f t="shared" si="20"/>
        <v>44532</v>
      </c>
      <c r="P292" s="41">
        <f t="shared" si="17"/>
        <v>125.84812902538836</v>
      </c>
      <c r="Q292" s="41">
        <f t="shared" si="18"/>
        <v>112.9464</v>
      </c>
      <c r="R292" s="41">
        <f t="shared" si="19"/>
        <v>-12.901729025388363</v>
      </c>
    </row>
    <row r="293" spans="10:18">
      <c r="J293" s="118">
        <v>44417</v>
      </c>
      <c r="K293" s="116">
        <v>79.948659544737581</v>
      </c>
      <c r="L293" s="116">
        <v>134.90063999999998</v>
      </c>
      <c r="M293" s="117">
        <v>54.951980455262401</v>
      </c>
      <c r="O293" s="39">
        <f t="shared" si="20"/>
        <v>44531</v>
      </c>
      <c r="P293" s="41">
        <f t="shared" si="17"/>
        <v>125.84812902538836</v>
      </c>
      <c r="Q293" s="41">
        <f t="shared" si="18"/>
        <v>109.07265600000001</v>
      </c>
      <c r="R293" s="41">
        <f t="shared" si="19"/>
        <v>-16.775473025388351</v>
      </c>
    </row>
    <row r="294" spans="10:18">
      <c r="J294" s="118">
        <v>44414</v>
      </c>
      <c r="K294" s="116">
        <v>79.948659544737581</v>
      </c>
      <c r="L294" s="116">
        <v>131.516784</v>
      </c>
      <c r="M294" s="117">
        <v>51.568124455262421</v>
      </c>
      <c r="O294" s="39">
        <f t="shared" si="20"/>
        <v>44530</v>
      </c>
      <c r="P294" s="41">
        <f t="shared" si="17"/>
        <v>125.84812902538836</v>
      </c>
      <c r="Q294" s="41">
        <f t="shared" si="18"/>
        <v>104.001408</v>
      </c>
      <c r="R294" s="41">
        <f t="shared" si="19"/>
        <v>-21.846721025388362</v>
      </c>
    </row>
    <row r="295" spans="10:18">
      <c r="J295" s="118">
        <v>44413</v>
      </c>
      <c r="K295" s="116">
        <v>79.964992869491695</v>
      </c>
      <c r="L295" s="116">
        <v>130.028976</v>
      </c>
      <c r="M295" s="117">
        <v>50.063983130508305</v>
      </c>
      <c r="O295" s="39">
        <f t="shared" si="20"/>
        <v>44529</v>
      </c>
      <c r="P295" s="41">
        <f t="shared" si="17"/>
        <v>125.84812902538836</v>
      </c>
      <c r="Q295" s="41">
        <f t="shared" si="18"/>
        <v>112.03919999999999</v>
      </c>
      <c r="R295" s="41">
        <f t="shared" si="19"/>
        <v>-13.808929025388366</v>
      </c>
    </row>
    <row r="296" spans="10:18">
      <c r="J296" s="118">
        <v>44412</v>
      </c>
      <c r="K296" s="116">
        <v>79.964992869491695</v>
      </c>
      <c r="L296" s="116">
        <v>129.65702399999998</v>
      </c>
      <c r="M296" s="117">
        <v>49.692031130508283</v>
      </c>
      <c r="O296" s="39">
        <f t="shared" si="20"/>
        <v>44528</v>
      </c>
      <c r="P296" s="41">
        <f t="shared" si="17"/>
        <v>125.84812902538836</v>
      </c>
      <c r="Q296" s="41">
        <f t="shared" si="18"/>
        <v>141.48691200000002</v>
      </c>
      <c r="R296" s="41">
        <f t="shared" si="19"/>
        <v>15.638782974611658</v>
      </c>
    </row>
    <row r="297" spans="10:18">
      <c r="J297" s="118">
        <v>44411</v>
      </c>
      <c r="K297" s="116">
        <v>79.964992869491695</v>
      </c>
      <c r="L297" s="116">
        <v>129.085488</v>
      </c>
      <c r="M297" s="117">
        <v>49.120495130508303</v>
      </c>
      <c r="O297" s="39">
        <f t="shared" si="20"/>
        <v>44527</v>
      </c>
      <c r="P297" s="41">
        <f t="shared" si="17"/>
        <v>125.84812902538836</v>
      </c>
      <c r="Q297" s="41">
        <f t="shared" si="18"/>
        <v>141.48691200000002</v>
      </c>
      <c r="R297" s="41">
        <f t="shared" si="19"/>
        <v>15.638782974611658</v>
      </c>
    </row>
    <row r="298" spans="10:18">
      <c r="J298" s="118">
        <v>44410</v>
      </c>
      <c r="K298" s="116">
        <v>79.964992869491695</v>
      </c>
      <c r="L298" s="116">
        <v>128.09663999999998</v>
      </c>
      <c r="M298" s="117">
        <v>48.131647130508284</v>
      </c>
      <c r="O298" s="39">
        <f t="shared" si="20"/>
        <v>44526</v>
      </c>
      <c r="P298" s="41">
        <f t="shared" si="17"/>
        <v>125.84812902538836</v>
      </c>
      <c r="Q298" s="41">
        <f t="shared" si="18"/>
        <v>141.48691200000002</v>
      </c>
      <c r="R298" s="41">
        <f t="shared" si="19"/>
        <v>15.638782974611658</v>
      </c>
    </row>
    <row r="299" spans="10:18">
      <c r="J299" s="118">
        <v>44407</v>
      </c>
      <c r="K299" s="116">
        <v>79.964992869491695</v>
      </c>
      <c r="L299" s="116">
        <v>127.04428799999999</v>
      </c>
      <c r="M299" s="117">
        <v>47.079295130508299</v>
      </c>
      <c r="O299" s="39">
        <f t="shared" si="20"/>
        <v>44525</v>
      </c>
      <c r="P299" s="41">
        <f t="shared" si="17"/>
        <v>124.73557832771394</v>
      </c>
      <c r="Q299" s="41">
        <f t="shared" si="18"/>
        <v>152.86320000000001</v>
      </c>
      <c r="R299" s="41">
        <f t="shared" si="19"/>
        <v>28.127621672286068</v>
      </c>
    </row>
    <row r="300" spans="10:18">
      <c r="J300" s="118">
        <v>44406</v>
      </c>
      <c r="K300" s="116">
        <v>78.572891036602641</v>
      </c>
      <c r="L300" s="116">
        <v>126.953568</v>
      </c>
      <c r="M300" s="117">
        <v>48.380676963397363</v>
      </c>
      <c r="O300" s="39">
        <f t="shared" si="20"/>
        <v>44524</v>
      </c>
      <c r="P300" s="41">
        <f t="shared" si="17"/>
        <v>124.73557832771394</v>
      </c>
      <c r="Q300" s="41">
        <f t="shared" si="18"/>
        <v>153.162576</v>
      </c>
      <c r="R300" s="41">
        <f t="shared" si="19"/>
        <v>28.426997672286063</v>
      </c>
    </row>
    <row r="301" spans="10:18">
      <c r="J301" s="118">
        <v>44405</v>
      </c>
      <c r="K301" s="116">
        <v>78.572891036602641</v>
      </c>
      <c r="L301" s="116">
        <v>126.617904</v>
      </c>
      <c r="M301" s="117">
        <v>48.045012963397355</v>
      </c>
      <c r="O301" s="39">
        <f t="shared" si="20"/>
        <v>44523</v>
      </c>
      <c r="P301" s="41">
        <f t="shared" si="17"/>
        <v>124.73557832771394</v>
      </c>
      <c r="Q301" s="41">
        <f t="shared" si="18"/>
        <v>144.018</v>
      </c>
      <c r="R301" s="41">
        <f t="shared" si="19"/>
        <v>19.282421672286063</v>
      </c>
    </row>
    <row r="302" spans="10:18">
      <c r="J302" s="118">
        <v>44404</v>
      </c>
      <c r="K302" s="116">
        <v>78.572891036602641</v>
      </c>
      <c r="L302" s="116">
        <v>126.699552</v>
      </c>
      <c r="M302" s="117">
        <v>48.126660963397356</v>
      </c>
      <c r="O302" s="39">
        <f t="shared" si="20"/>
        <v>44522</v>
      </c>
      <c r="P302" s="41">
        <f t="shared" si="17"/>
        <v>124.73557832771394</v>
      </c>
      <c r="Q302" s="41">
        <f t="shared" si="18"/>
        <v>131.39884800000002</v>
      </c>
      <c r="R302" s="41">
        <f t="shared" si="19"/>
        <v>6.6632696722860771</v>
      </c>
    </row>
    <row r="303" spans="10:18">
      <c r="J303" s="118">
        <v>44403</v>
      </c>
      <c r="K303" s="116">
        <v>78.572891036602641</v>
      </c>
      <c r="L303" s="116">
        <v>126.7812</v>
      </c>
      <c r="M303" s="117">
        <v>48.208308963397357</v>
      </c>
      <c r="O303" s="39">
        <f t="shared" si="20"/>
        <v>44521</v>
      </c>
      <c r="P303" s="41">
        <f t="shared" si="17"/>
        <v>124.73557832771394</v>
      </c>
      <c r="Q303" s="41">
        <f t="shared" si="18"/>
        <v>131.46235200000001</v>
      </c>
      <c r="R303" s="41">
        <f t="shared" si="19"/>
        <v>6.7267736722860718</v>
      </c>
    </row>
    <row r="304" spans="10:18">
      <c r="J304" s="118">
        <v>44400</v>
      </c>
      <c r="K304" s="116">
        <v>78.572891036602641</v>
      </c>
      <c r="L304" s="116">
        <v>125.583696</v>
      </c>
      <c r="M304" s="117">
        <v>47.010804963397362</v>
      </c>
      <c r="O304" s="39">
        <f t="shared" si="20"/>
        <v>44520</v>
      </c>
      <c r="P304" s="41">
        <f t="shared" si="17"/>
        <v>124.73557832771394</v>
      </c>
      <c r="Q304" s="41">
        <f t="shared" si="18"/>
        <v>131.46235200000001</v>
      </c>
      <c r="R304" s="41">
        <f t="shared" si="19"/>
        <v>6.7267736722860718</v>
      </c>
    </row>
    <row r="305" spans="10:18">
      <c r="J305" s="118">
        <v>44399</v>
      </c>
      <c r="K305" s="116">
        <v>78.30433348535712</v>
      </c>
      <c r="L305" s="116">
        <v>125.456688</v>
      </c>
      <c r="M305" s="117">
        <v>47.15235451464288</v>
      </c>
      <c r="O305" s="39">
        <f t="shared" si="20"/>
        <v>44519</v>
      </c>
      <c r="P305" s="41">
        <f t="shared" si="17"/>
        <v>124.73557832771394</v>
      </c>
      <c r="Q305" s="41">
        <f t="shared" si="18"/>
        <v>131.46235200000001</v>
      </c>
      <c r="R305" s="41">
        <f t="shared" si="19"/>
        <v>6.7267736722860718</v>
      </c>
    </row>
    <row r="306" spans="10:18">
      <c r="J306" s="118">
        <v>44398</v>
      </c>
      <c r="K306" s="116">
        <v>78.30433348535712</v>
      </c>
      <c r="L306" s="116">
        <v>125.1936</v>
      </c>
      <c r="M306" s="117">
        <v>46.889266514642884</v>
      </c>
      <c r="O306" s="39">
        <f t="shared" si="20"/>
        <v>44518</v>
      </c>
      <c r="P306" s="41">
        <f t="shared" si="17"/>
        <v>125.6761579618715</v>
      </c>
      <c r="Q306" s="41">
        <f t="shared" si="18"/>
        <v>130.1832</v>
      </c>
      <c r="R306" s="41">
        <f t="shared" si="19"/>
        <v>4.5070420381285032</v>
      </c>
    </row>
    <row r="307" spans="10:18">
      <c r="J307" s="118">
        <v>44397</v>
      </c>
      <c r="K307" s="116">
        <v>78.30433348535712</v>
      </c>
      <c r="L307" s="116">
        <v>125.71977600000001</v>
      </c>
      <c r="M307" s="117">
        <v>47.415442514642891</v>
      </c>
      <c r="O307" s="39">
        <f t="shared" si="20"/>
        <v>44517</v>
      </c>
      <c r="P307" s="41">
        <f t="shared" si="17"/>
        <v>125.6761579618715</v>
      </c>
      <c r="Q307" s="41">
        <f t="shared" si="18"/>
        <v>128.45044799999999</v>
      </c>
      <c r="R307" s="41">
        <f t="shared" si="19"/>
        <v>2.7742900381284983</v>
      </c>
    </row>
    <row r="308" spans="10:18">
      <c r="J308" s="118">
        <v>44396</v>
      </c>
      <c r="K308" s="116">
        <v>78.30433348535712</v>
      </c>
      <c r="L308" s="116">
        <v>126.7812</v>
      </c>
      <c r="M308" s="117">
        <v>48.476866514642879</v>
      </c>
      <c r="O308" s="39">
        <f t="shared" si="20"/>
        <v>44516</v>
      </c>
      <c r="P308" s="41">
        <f t="shared" si="17"/>
        <v>125.6761579618715</v>
      </c>
      <c r="Q308" s="41">
        <f t="shared" si="18"/>
        <v>125.26617600000002</v>
      </c>
      <c r="R308" s="41">
        <f t="shared" si="19"/>
        <v>-0.40998196187148039</v>
      </c>
    </row>
    <row r="309" spans="10:18">
      <c r="J309" s="118">
        <v>44393</v>
      </c>
      <c r="K309" s="116">
        <v>78.30433348535712</v>
      </c>
      <c r="L309" s="116">
        <v>123.460848</v>
      </c>
      <c r="M309" s="117">
        <v>45.156514514642879</v>
      </c>
      <c r="O309" s="39">
        <f t="shared" si="20"/>
        <v>44515</v>
      </c>
      <c r="P309" s="41">
        <f t="shared" si="17"/>
        <v>125.6761579618715</v>
      </c>
      <c r="Q309" s="41">
        <f t="shared" si="18"/>
        <v>118.353312</v>
      </c>
      <c r="R309" s="41">
        <f t="shared" si="19"/>
        <v>-7.3228459618714936</v>
      </c>
    </row>
    <row r="310" spans="10:18">
      <c r="J310" s="118">
        <v>44392</v>
      </c>
      <c r="K310" s="116">
        <v>75.818684149940253</v>
      </c>
      <c r="L310" s="116">
        <v>123.83280000000001</v>
      </c>
      <c r="M310" s="117">
        <v>48.014115850059753</v>
      </c>
      <c r="O310" s="39">
        <f t="shared" si="20"/>
        <v>44514</v>
      </c>
      <c r="P310" s="41">
        <f t="shared" si="17"/>
        <v>125.6761579618715</v>
      </c>
      <c r="Q310" s="41">
        <f t="shared" si="18"/>
        <v>121.56480000000001</v>
      </c>
      <c r="R310" s="41">
        <f t="shared" si="19"/>
        <v>-4.1113579618714908</v>
      </c>
    </row>
    <row r="311" spans="10:18">
      <c r="J311" s="118">
        <v>44391</v>
      </c>
      <c r="K311" s="116">
        <v>75.818684149940253</v>
      </c>
      <c r="L311" s="116">
        <v>124.5132</v>
      </c>
      <c r="M311" s="117">
        <v>48.694515850059744</v>
      </c>
      <c r="O311" s="39">
        <f t="shared" si="20"/>
        <v>44513</v>
      </c>
      <c r="P311" s="41">
        <f t="shared" si="17"/>
        <v>125.6761579618715</v>
      </c>
      <c r="Q311" s="41">
        <f t="shared" si="18"/>
        <v>121.56480000000001</v>
      </c>
      <c r="R311" s="41">
        <f t="shared" si="19"/>
        <v>-4.1113579618714908</v>
      </c>
    </row>
    <row r="312" spans="10:18">
      <c r="J312" s="118">
        <v>44390</v>
      </c>
      <c r="K312" s="116">
        <v>75.818684149940253</v>
      </c>
      <c r="L312" s="116">
        <v>123.67857600000001</v>
      </c>
      <c r="M312" s="117">
        <v>47.859891850059753</v>
      </c>
      <c r="O312" s="39">
        <f t="shared" si="20"/>
        <v>44512</v>
      </c>
      <c r="P312" s="41">
        <f t="shared" si="17"/>
        <v>125.6761579618715</v>
      </c>
      <c r="Q312" s="41">
        <f t="shared" si="18"/>
        <v>121.56480000000001</v>
      </c>
      <c r="R312" s="41">
        <f t="shared" si="19"/>
        <v>-4.1113579618714908</v>
      </c>
    </row>
    <row r="313" spans="10:18">
      <c r="J313" s="118">
        <v>44389</v>
      </c>
      <c r="K313" s="116">
        <v>75.818684149940253</v>
      </c>
      <c r="L313" s="116">
        <v>118.3896</v>
      </c>
      <c r="M313" s="117">
        <v>42.570915850059748</v>
      </c>
      <c r="O313" s="39">
        <f t="shared" si="20"/>
        <v>44511</v>
      </c>
      <c r="P313" s="41">
        <f t="shared" si="17"/>
        <v>124.08507225914147</v>
      </c>
      <c r="Q313" s="41">
        <f t="shared" si="18"/>
        <v>126.82656000000001</v>
      </c>
      <c r="R313" s="41">
        <f t="shared" si="19"/>
        <v>2.7414877408585454</v>
      </c>
    </row>
    <row r="314" spans="10:18">
      <c r="J314" s="118">
        <v>44386</v>
      </c>
      <c r="K314" s="116">
        <v>75.818684149940253</v>
      </c>
      <c r="L314" s="116">
        <v>118.108368</v>
      </c>
      <c r="M314" s="117">
        <v>42.289683850059745</v>
      </c>
      <c r="O314" s="39">
        <f t="shared" si="20"/>
        <v>44510</v>
      </c>
      <c r="P314" s="41">
        <f t="shared" si="17"/>
        <v>124.08507225914147</v>
      </c>
      <c r="Q314" s="41">
        <f t="shared" si="18"/>
        <v>126.08265599999999</v>
      </c>
      <c r="R314" s="41">
        <f t="shared" si="19"/>
        <v>1.9975837408585164</v>
      </c>
    </row>
    <row r="315" spans="10:18">
      <c r="J315" s="118">
        <v>44385</v>
      </c>
      <c r="K315" s="116">
        <v>73.916165918485149</v>
      </c>
      <c r="L315" s="116">
        <v>113.463504</v>
      </c>
      <c r="M315" s="117">
        <v>39.547338081514852</v>
      </c>
      <c r="O315" s="39">
        <f t="shared" si="20"/>
        <v>44509</v>
      </c>
      <c r="P315" s="41">
        <f t="shared" si="17"/>
        <v>124.08507225914147</v>
      </c>
      <c r="Q315" s="41">
        <f t="shared" si="18"/>
        <v>139.66343999999998</v>
      </c>
      <c r="R315" s="41">
        <f t="shared" si="19"/>
        <v>15.578367740858511</v>
      </c>
    </row>
    <row r="316" spans="10:18">
      <c r="J316" s="118">
        <v>44384</v>
      </c>
      <c r="K316" s="116">
        <v>73.916165918485149</v>
      </c>
      <c r="L316" s="116">
        <v>113.708448</v>
      </c>
      <c r="M316" s="117">
        <v>39.792282081514855</v>
      </c>
      <c r="O316" s="39">
        <f t="shared" si="20"/>
        <v>44508</v>
      </c>
      <c r="P316" s="41">
        <f t="shared" si="17"/>
        <v>124.08507225914147</v>
      </c>
      <c r="Q316" s="41">
        <f t="shared" si="18"/>
        <v>143.29223999999999</v>
      </c>
      <c r="R316" s="41">
        <f t="shared" si="19"/>
        <v>19.207167740858523</v>
      </c>
    </row>
    <row r="317" spans="10:18">
      <c r="J317" s="118">
        <v>44383</v>
      </c>
      <c r="K317" s="116">
        <v>73.916165918485149</v>
      </c>
      <c r="L317" s="116">
        <v>115.62264</v>
      </c>
      <c r="M317" s="117">
        <v>41.706474081514855</v>
      </c>
      <c r="O317" s="39">
        <f t="shared" si="20"/>
        <v>44507</v>
      </c>
      <c r="P317" s="41">
        <f t="shared" si="17"/>
        <v>124.08507225914147</v>
      </c>
      <c r="Q317" s="41">
        <f t="shared" si="18"/>
        <v>130.46443200000002</v>
      </c>
      <c r="R317" s="41">
        <f t="shared" si="19"/>
        <v>6.379359740858547</v>
      </c>
    </row>
    <row r="318" spans="10:18">
      <c r="J318" s="118">
        <v>44382</v>
      </c>
      <c r="K318" s="116">
        <v>73.916165918485149</v>
      </c>
      <c r="L318" s="116">
        <v>118.28073599999999</v>
      </c>
      <c r="M318" s="117">
        <v>44.364570081514842</v>
      </c>
      <c r="O318" s="39">
        <f t="shared" si="20"/>
        <v>44506</v>
      </c>
      <c r="P318" s="41">
        <f t="shared" si="17"/>
        <v>124.08507225914147</v>
      </c>
      <c r="Q318" s="41">
        <f t="shared" si="18"/>
        <v>130.46443200000002</v>
      </c>
      <c r="R318" s="41">
        <f t="shared" si="19"/>
        <v>6.379359740858547</v>
      </c>
    </row>
    <row r="319" spans="10:18">
      <c r="J319" s="118">
        <v>44379</v>
      </c>
      <c r="K319" s="116">
        <v>73.916165918485149</v>
      </c>
      <c r="L319" s="116">
        <v>115.35048</v>
      </c>
      <c r="M319" s="117">
        <v>41.434314081514856</v>
      </c>
      <c r="O319" s="39">
        <f t="shared" si="20"/>
        <v>44505</v>
      </c>
      <c r="P319" s="41">
        <f t="shared" si="17"/>
        <v>124.08507225914147</v>
      </c>
      <c r="Q319" s="41">
        <f t="shared" si="18"/>
        <v>130.46443200000002</v>
      </c>
      <c r="R319" s="41">
        <f t="shared" si="19"/>
        <v>6.379359740858547</v>
      </c>
    </row>
    <row r="320" spans="10:18">
      <c r="J320" s="118">
        <v>44378</v>
      </c>
      <c r="K320" s="116">
        <v>71.177350049379541</v>
      </c>
      <c r="L320" s="116">
        <v>113.744736</v>
      </c>
      <c r="M320" s="117">
        <v>42.567385950620462</v>
      </c>
      <c r="O320" s="39">
        <f t="shared" si="20"/>
        <v>44504</v>
      </c>
      <c r="P320" s="41">
        <f t="shared" si="17"/>
        <v>127.93502536512548</v>
      </c>
      <c r="Q320" s="41">
        <f t="shared" si="18"/>
        <v>133.24953600000001</v>
      </c>
      <c r="R320" s="41">
        <f t="shared" si="19"/>
        <v>5.314510634874523</v>
      </c>
    </row>
    <row r="321" spans="10:18">
      <c r="J321" s="118">
        <v>44377</v>
      </c>
      <c r="K321" s="116">
        <v>71.177350049379541</v>
      </c>
      <c r="L321" s="116">
        <v>109.372032</v>
      </c>
      <c r="M321" s="117">
        <v>38.194681950620463</v>
      </c>
      <c r="O321" s="39">
        <f t="shared" si="20"/>
        <v>44503</v>
      </c>
      <c r="P321" s="41">
        <f t="shared" si="17"/>
        <v>127.93502536512548</v>
      </c>
      <c r="Q321" s="41">
        <f t="shared" si="18"/>
        <v>133.90271999999999</v>
      </c>
      <c r="R321" s="41">
        <f t="shared" si="19"/>
        <v>5.9676946348745048</v>
      </c>
    </row>
    <row r="322" spans="10:18">
      <c r="J322" s="118">
        <v>44376</v>
      </c>
      <c r="K322" s="116">
        <v>71.177350049379541</v>
      </c>
      <c r="L322" s="116">
        <v>107.630208</v>
      </c>
      <c r="M322" s="117">
        <v>36.452857950620455</v>
      </c>
      <c r="O322" s="39">
        <f t="shared" si="20"/>
        <v>44502</v>
      </c>
      <c r="P322" s="41">
        <f t="shared" si="17"/>
        <v>127.93502536512548</v>
      </c>
      <c r="Q322" s="41">
        <f t="shared" si="18"/>
        <v>138.89231999999998</v>
      </c>
      <c r="R322" s="41">
        <f t="shared" si="19"/>
        <v>10.957294634874501</v>
      </c>
    </row>
    <row r="323" spans="10:18">
      <c r="J323" s="118">
        <v>44375</v>
      </c>
      <c r="K323" s="116">
        <v>71.177350049379541</v>
      </c>
      <c r="L323" s="116">
        <v>106.596</v>
      </c>
      <c r="M323" s="117">
        <v>35.418649950620463</v>
      </c>
      <c r="O323" s="39">
        <f t="shared" si="20"/>
        <v>44501</v>
      </c>
      <c r="P323" s="41">
        <f t="shared" si="17"/>
        <v>127.93502536512548</v>
      </c>
      <c r="Q323" s="41">
        <f t="shared" si="18"/>
        <v>142.88400000000001</v>
      </c>
      <c r="R323" s="41">
        <f t="shared" si="19"/>
        <v>14.948974634874531</v>
      </c>
    </row>
    <row r="324" spans="10:18">
      <c r="J324" s="118">
        <v>44372</v>
      </c>
      <c r="K324" s="116">
        <v>71.177350049379541</v>
      </c>
      <c r="L324" s="116">
        <v>107.41248</v>
      </c>
      <c r="M324" s="117">
        <v>36.235129950620461</v>
      </c>
      <c r="O324" s="39">
        <f t="shared" si="20"/>
        <v>44500</v>
      </c>
      <c r="P324" s="41">
        <f t="shared" si="17"/>
        <v>127.93502536512548</v>
      </c>
      <c r="Q324" s="41">
        <f t="shared" si="18"/>
        <v>155.47593599999999</v>
      </c>
      <c r="R324" s="41">
        <f t="shared" si="19"/>
        <v>27.540910634874507</v>
      </c>
    </row>
    <row r="325" spans="10:18">
      <c r="J325" s="118">
        <v>44371</v>
      </c>
      <c r="K325" s="116">
        <v>70.483183747329718</v>
      </c>
      <c r="L325" s="116">
        <v>104.11027200000001</v>
      </c>
      <c r="M325" s="117">
        <v>33.627088252670291</v>
      </c>
      <c r="O325" s="39">
        <f t="shared" si="20"/>
        <v>44499</v>
      </c>
      <c r="P325" s="41">
        <f t="shared" si="17"/>
        <v>127.93502536512548</v>
      </c>
      <c r="Q325" s="41">
        <f t="shared" si="18"/>
        <v>155.47593599999999</v>
      </c>
      <c r="R325" s="41">
        <f t="shared" si="19"/>
        <v>27.540910634874507</v>
      </c>
    </row>
    <row r="326" spans="10:18">
      <c r="J326" s="118">
        <v>44370</v>
      </c>
      <c r="K326" s="116">
        <v>70.483183747329718</v>
      </c>
      <c r="L326" s="116">
        <v>100.65384</v>
      </c>
      <c r="M326" s="117">
        <v>30.170656252670284</v>
      </c>
      <c r="O326" s="39">
        <f t="shared" si="20"/>
        <v>44498</v>
      </c>
      <c r="P326" s="41">
        <f t="shared" ref="P326:P389" si="21">IFERROR(VLOOKUP($O326,$J$5:$M$403,2,FALSE),P327)</f>
        <v>127.93502536512548</v>
      </c>
      <c r="Q326" s="41">
        <f t="shared" ref="Q326:Q389" si="22">IFERROR(VLOOKUP($O326,$J$5:$M$403,3,FALSE),Q327)</f>
        <v>155.47593599999999</v>
      </c>
      <c r="R326" s="41">
        <f t="shared" ref="R326:R389" si="23">IFERROR(VLOOKUP($O326,$J$5:$M$403,4,FALSE),R327)</f>
        <v>27.540910634874507</v>
      </c>
    </row>
    <row r="327" spans="10:18">
      <c r="J327" s="118">
        <v>44369</v>
      </c>
      <c r="K327" s="116">
        <v>70.483183747329718</v>
      </c>
      <c r="L327" s="116">
        <v>98.658000000000001</v>
      </c>
      <c r="M327" s="117">
        <v>28.174816252670283</v>
      </c>
      <c r="O327" s="39">
        <f t="shared" ref="O327:O390" si="24">O326-1</f>
        <v>44497</v>
      </c>
      <c r="P327" s="41">
        <f t="shared" si="21"/>
        <v>135.7107873064804</v>
      </c>
      <c r="Q327" s="41">
        <f t="shared" si="22"/>
        <v>181.66679999999999</v>
      </c>
      <c r="R327" s="41">
        <f t="shared" si="23"/>
        <v>45.956012693519597</v>
      </c>
    </row>
    <row r="328" spans="10:18">
      <c r="J328" s="118">
        <v>44368</v>
      </c>
      <c r="K328" s="116">
        <v>70.483183747329718</v>
      </c>
      <c r="L328" s="116">
        <v>97.133904000000001</v>
      </c>
      <c r="M328" s="117">
        <v>26.650720252670283</v>
      </c>
      <c r="O328" s="39">
        <f t="shared" si="24"/>
        <v>44496</v>
      </c>
      <c r="P328" s="41">
        <f t="shared" si="21"/>
        <v>135.7107873064804</v>
      </c>
      <c r="Q328" s="41">
        <f t="shared" si="22"/>
        <v>195.048</v>
      </c>
      <c r="R328" s="41">
        <f t="shared" si="23"/>
        <v>59.337212693519604</v>
      </c>
    </row>
    <row r="329" spans="10:18">
      <c r="J329" s="118">
        <v>44365</v>
      </c>
      <c r="K329" s="116">
        <v>70.483183747329718</v>
      </c>
      <c r="L329" s="116">
        <v>95.800319999999999</v>
      </c>
      <c r="M329" s="117">
        <v>25.317136252670281</v>
      </c>
      <c r="O329" s="39">
        <f t="shared" si="24"/>
        <v>44495</v>
      </c>
      <c r="P329" s="41">
        <f t="shared" si="21"/>
        <v>135.7107873064804</v>
      </c>
      <c r="Q329" s="41">
        <f t="shared" si="22"/>
        <v>205.25399999999999</v>
      </c>
      <c r="R329" s="41">
        <f t="shared" si="23"/>
        <v>69.543212693519592</v>
      </c>
    </row>
    <row r="330" spans="10:18">
      <c r="J330" s="118">
        <v>44364</v>
      </c>
      <c r="K330" s="116">
        <v>66.836297842375231</v>
      </c>
      <c r="L330" s="116">
        <v>95.256</v>
      </c>
      <c r="M330" s="117">
        <v>28.419702157624769</v>
      </c>
      <c r="O330" s="39">
        <f t="shared" si="24"/>
        <v>44494</v>
      </c>
      <c r="P330" s="41">
        <f t="shared" si="21"/>
        <v>135.7107873064804</v>
      </c>
      <c r="Q330" s="41">
        <f t="shared" si="22"/>
        <v>197.22528</v>
      </c>
      <c r="R330" s="41">
        <f t="shared" si="23"/>
        <v>61.5144926935196</v>
      </c>
    </row>
    <row r="331" spans="10:18">
      <c r="J331" s="118">
        <v>44363</v>
      </c>
      <c r="K331" s="116">
        <v>66.836297842375231</v>
      </c>
      <c r="L331" s="116">
        <v>96.163200000000003</v>
      </c>
      <c r="M331" s="117">
        <v>29.326902157624772</v>
      </c>
      <c r="O331" s="39">
        <f t="shared" si="24"/>
        <v>44493</v>
      </c>
      <c r="P331" s="41">
        <f t="shared" si="21"/>
        <v>135.7107873064804</v>
      </c>
      <c r="Q331" s="41">
        <f t="shared" si="22"/>
        <v>189.60480000000001</v>
      </c>
      <c r="R331" s="41">
        <f t="shared" si="23"/>
        <v>53.894012693519613</v>
      </c>
    </row>
    <row r="332" spans="10:18">
      <c r="J332" s="118">
        <v>44362</v>
      </c>
      <c r="K332" s="116">
        <v>66.836297842375231</v>
      </c>
      <c r="L332" s="116">
        <v>101.860416</v>
      </c>
      <c r="M332" s="117">
        <v>35.02411815762477</v>
      </c>
      <c r="O332" s="39">
        <f t="shared" si="24"/>
        <v>44492</v>
      </c>
      <c r="P332" s="41">
        <f t="shared" si="21"/>
        <v>135.7107873064804</v>
      </c>
      <c r="Q332" s="41">
        <f t="shared" si="22"/>
        <v>189.60480000000001</v>
      </c>
      <c r="R332" s="41">
        <f t="shared" si="23"/>
        <v>53.894012693519613</v>
      </c>
    </row>
    <row r="333" spans="10:18">
      <c r="J333" s="118">
        <v>44361</v>
      </c>
      <c r="K333" s="116">
        <v>66.836297842375231</v>
      </c>
      <c r="L333" s="116">
        <v>107.838864</v>
      </c>
      <c r="M333" s="117">
        <v>41.00256615762477</v>
      </c>
      <c r="O333" s="39">
        <f t="shared" si="24"/>
        <v>44491</v>
      </c>
      <c r="P333" s="41">
        <f t="shared" si="21"/>
        <v>135.7107873064804</v>
      </c>
      <c r="Q333" s="41">
        <f t="shared" si="22"/>
        <v>189.60480000000001</v>
      </c>
      <c r="R333" s="41">
        <f t="shared" si="23"/>
        <v>53.894012693519613</v>
      </c>
    </row>
    <row r="334" spans="10:18">
      <c r="J334" s="118">
        <v>44358</v>
      </c>
      <c r="K334" s="116">
        <v>66.836297842375231</v>
      </c>
      <c r="L334" s="116">
        <v>108.64627200000001</v>
      </c>
      <c r="M334" s="117">
        <v>41.809974157624779</v>
      </c>
      <c r="O334" s="39">
        <f t="shared" si="24"/>
        <v>44490</v>
      </c>
      <c r="P334" s="41">
        <f t="shared" si="21"/>
        <v>136.37794080220607</v>
      </c>
      <c r="Q334" s="41">
        <f t="shared" si="22"/>
        <v>190.45756800000001</v>
      </c>
      <c r="R334" s="41">
        <f t="shared" si="23"/>
        <v>54.07962719779394</v>
      </c>
    </row>
    <row r="335" spans="10:18">
      <c r="J335" s="118">
        <v>44357</v>
      </c>
      <c r="K335" s="116">
        <v>64.925612948543076</v>
      </c>
      <c r="L335" s="116">
        <v>107.14032</v>
      </c>
      <c r="M335" s="117">
        <v>42.214707051456926</v>
      </c>
      <c r="O335" s="39">
        <f t="shared" si="24"/>
        <v>44489</v>
      </c>
      <c r="P335" s="41">
        <f t="shared" si="21"/>
        <v>136.37794080220607</v>
      </c>
      <c r="Q335" s="41">
        <f t="shared" si="22"/>
        <v>201.39840000000001</v>
      </c>
      <c r="R335" s="41">
        <f t="shared" si="23"/>
        <v>65.02045919779394</v>
      </c>
    </row>
    <row r="336" spans="10:18">
      <c r="J336" s="118">
        <v>44356</v>
      </c>
      <c r="K336" s="116">
        <v>64.925612948543076</v>
      </c>
      <c r="L336" s="116">
        <v>102.89462400000001</v>
      </c>
      <c r="M336" s="117">
        <v>37.969011051456931</v>
      </c>
      <c r="O336" s="39">
        <f t="shared" si="24"/>
        <v>44488</v>
      </c>
      <c r="P336" s="41">
        <f t="shared" si="21"/>
        <v>136.37794080220607</v>
      </c>
      <c r="Q336" s="41">
        <f t="shared" si="22"/>
        <v>210.29803200000001</v>
      </c>
      <c r="R336" s="41">
        <f t="shared" si="23"/>
        <v>73.920091197793937</v>
      </c>
    </row>
    <row r="337" spans="10:18">
      <c r="J337" s="118">
        <v>44355</v>
      </c>
      <c r="K337" s="116">
        <v>64.925612948543076</v>
      </c>
      <c r="L337" s="116">
        <v>97.043183999999997</v>
      </c>
      <c r="M337" s="117">
        <v>32.11757105145692</v>
      </c>
      <c r="O337" s="39">
        <f t="shared" si="24"/>
        <v>44487</v>
      </c>
      <c r="P337" s="41">
        <f t="shared" si="21"/>
        <v>136.37794080220607</v>
      </c>
      <c r="Q337" s="41">
        <f t="shared" si="22"/>
        <v>216.076896</v>
      </c>
      <c r="R337" s="41">
        <f t="shared" si="23"/>
        <v>79.698955197793936</v>
      </c>
    </row>
    <row r="338" spans="10:18">
      <c r="J338" s="118">
        <v>44354</v>
      </c>
      <c r="K338" s="116">
        <v>64.925612948543076</v>
      </c>
      <c r="L338" s="116">
        <v>97.070400000000006</v>
      </c>
      <c r="M338" s="117">
        <v>32.14478705145693</v>
      </c>
      <c r="O338" s="39">
        <f t="shared" si="24"/>
        <v>44486</v>
      </c>
      <c r="P338" s="41">
        <f t="shared" si="21"/>
        <v>136.37794080220607</v>
      </c>
      <c r="Q338" s="41">
        <f t="shared" si="22"/>
        <v>230.24736000000001</v>
      </c>
      <c r="R338" s="41">
        <f t="shared" si="23"/>
        <v>93.869419197793945</v>
      </c>
    </row>
    <row r="339" spans="10:18">
      <c r="J339" s="118">
        <v>44351</v>
      </c>
      <c r="K339" s="116">
        <v>64.925612948543076</v>
      </c>
      <c r="L339" s="116">
        <v>89.341056000000009</v>
      </c>
      <c r="M339" s="117">
        <v>24.415443051456933</v>
      </c>
      <c r="O339" s="39">
        <f t="shared" si="24"/>
        <v>44485</v>
      </c>
      <c r="P339" s="41">
        <f t="shared" si="21"/>
        <v>136.37794080220607</v>
      </c>
      <c r="Q339" s="41">
        <f t="shared" si="22"/>
        <v>230.24736000000001</v>
      </c>
      <c r="R339" s="41">
        <f t="shared" si="23"/>
        <v>93.869419197793945</v>
      </c>
    </row>
    <row r="340" spans="10:18">
      <c r="J340" s="118">
        <v>44350</v>
      </c>
      <c r="K340" s="116">
        <v>63.86645965871864</v>
      </c>
      <c r="L340" s="116">
        <v>92.833776</v>
      </c>
      <c r="M340" s="117">
        <v>28.967316341281361</v>
      </c>
      <c r="O340" s="39">
        <f t="shared" si="24"/>
        <v>44484</v>
      </c>
      <c r="P340" s="41">
        <f t="shared" si="21"/>
        <v>136.37794080220607</v>
      </c>
      <c r="Q340" s="41">
        <f t="shared" si="22"/>
        <v>230.24736000000001</v>
      </c>
      <c r="R340" s="41">
        <f t="shared" si="23"/>
        <v>93.869419197793945</v>
      </c>
    </row>
    <row r="341" spans="10:18">
      <c r="J341" s="118">
        <v>44349</v>
      </c>
      <c r="K341" s="116">
        <v>63.86645965871864</v>
      </c>
      <c r="L341" s="116">
        <v>88.506432000000004</v>
      </c>
      <c r="M341" s="117">
        <v>24.639972341281364</v>
      </c>
      <c r="O341" s="39">
        <f t="shared" si="24"/>
        <v>44483</v>
      </c>
      <c r="P341" s="41">
        <f t="shared" si="21"/>
        <v>126.76420867241477</v>
      </c>
      <c r="Q341" s="41">
        <f t="shared" si="22"/>
        <v>232.78752000000003</v>
      </c>
      <c r="R341" s="41">
        <f t="shared" si="23"/>
        <v>106.02331132758526</v>
      </c>
    </row>
    <row r="342" spans="10:18">
      <c r="J342" s="118">
        <v>44348</v>
      </c>
      <c r="K342" s="116">
        <v>63.86645965871864</v>
      </c>
      <c r="L342" s="116">
        <v>88.461072000000001</v>
      </c>
      <c r="M342" s="117">
        <v>24.594612341281362</v>
      </c>
      <c r="O342" s="39">
        <f t="shared" si="24"/>
        <v>44482</v>
      </c>
      <c r="P342" s="41">
        <f t="shared" si="21"/>
        <v>126.76420867241477</v>
      </c>
      <c r="Q342" s="41">
        <f t="shared" si="22"/>
        <v>233.04153600000001</v>
      </c>
      <c r="R342" s="41">
        <f t="shared" si="23"/>
        <v>106.27732732758524</v>
      </c>
    </row>
    <row r="343" spans="10:18">
      <c r="J343" s="118">
        <v>44347</v>
      </c>
      <c r="K343" s="116">
        <v>63.86645965871864</v>
      </c>
      <c r="L343" s="116">
        <v>85.503600000000006</v>
      </c>
      <c r="M343" s="117">
        <v>21.637140341281366</v>
      </c>
      <c r="O343" s="39">
        <f t="shared" si="24"/>
        <v>44481</v>
      </c>
      <c r="P343" s="41">
        <f t="shared" si="21"/>
        <v>126.76420867241477</v>
      </c>
      <c r="Q343" s="41">
        <f t="shared" si="22"/>
        <v>231.78960000000001</v>
      </c>
      <c r="R343" s="41">
        <f t="shared" si="23"/>
        <v>105.02539132758524</v>
      </c>
    </row>
    <row r="344" spans="10:18">
      <c r="J344" s="118">
        <v>44344</v>
      </c>
      <c r="K344" s="116">
        <v>63.86645965871864</v>
      </c>
      <c r="L344" s="116">
        <v>85.503600000000006</v>
      </c>
      <c r="M344" s="117">
        <v>21.637140341281366</v>
      </c>
      <c r="O344" s="39">
        <f t="shared" si="24"/>
        <v>44480</v>
      </c>
      <c r="P344" s="41">
        <f t="shared" si="21"/>
        <v>126.76420867241477</v>
      </c>
      <c r="Q344" s="41">
        <f t="shared" si="22"/>
        <v>220.4496</v>
      </c>
      <c r="R344" s="41">
        <f t="shared" si="23"/>
        <v>93.685391327585236</v>
      </c>
    </row>
    <row r="345" spans="10:18">
      <c r="J345" s="118">
        <v>44343</v>
      </c>
      <c r="K345" s="116">
        <v>67.181339327805873</v>
      </c>
      <c r="L345" s="116">
        <v>83.607551999999998</v>
      </c>
      <c r="M345" s="117">
        <v>16.426212672194126</v>
      </c>
      <c r="O345" s="39">
        <f t="shared" si="24"/>
        <v>44479</v>
      </c>
      <c r="P345" s="41">
        <f t="shared" si="21"/>
        <v>126.76420867241477</v>
      </c>
      <c r="Q345" s="41">
        <f t="shared" si="22"/>
        <v>214.253424</v>
      </c>
      <c r="R345" s="41">
        <f t="shared" si="23"/>
        <v>87.489215327585228</v>
      </c>
    </row>
    <row r="346" spans="10:18">
      <c r="J346" s="118">
        <v>44342</v>
      </c>
      <c r="K346" s="116">
        <v>67.181339327805873</v>
      </c>
      <c r="L346" s="116">
        <v>82.845503999999991</v>
      </c>
      <c r="M346" s="117">
        <v>15.664164672194119</v>
      </c>
      <c r="O346" s="39">
        <f t="shared" si="24"/>
        <v>44478</v>
      </c>
      <c r="P346" s="41">
        <f t="shared" si="21"/>
        <v>126.76420867241477</v>
      </c>
      <c r="Q346" s="41">
        <f t="shared" si="22"/>
        <v>214.253424</v>
      </c>
      <c r="R346" s="41">
        <f t="shared" si="23"/>
        <v>87.489215327585228</v>
      </c>
    </row>
    <row r="347" spans="10:18">
      <c r="J347" s="118">
        <v>44341</v>
      </c>
      <c r="K347" s="116">
        <v>67.181339327805873</v>
      </c>
      <c r="L347" s="116">
        <v>81.702432000000002</v>
      </c>
      <c r="M347" s="117">
        <v>14.521092672194129</v>
      </c>
      <c r="O347" s="39">
        <f t="shared" si="24"/>
        <v>44477</v>
      </c>
      <c r="P347" s="41">
        <f t="shared" si="21"/>
        <v>126.76420867241477</v>
      </c>
      <c r="Q347" s="41">
        <f t="shared" si="22"/>
        <v>214.253424</v>
      </c>
      <c r="R347" s="41">
        <f t="shared" si="23"/>
        <v>87.489215327585228</v>
      </c>
    </row>
    <row r="348" spans="10:18">
      <c r="J348" s="118">
        <v>44340</v>
      </c>
      <c r="K348" s="116">
        <v>67.181339327805873</v>
      </c>
      <c r="L348" s="116">
        <v>80.269056000000006</v>
      </c>
      <c r="M348" s="117">
        <v>13.087716672194134</v>
      </c>
      <c r="O348" s="39">
        <f t="shared" si="24"/>
        <v>44476</v>
      </c>
      <c r="P348" s="41">
        <f t="shared" si="21"/>
        <v>100.67470635051016</v>
      </c>
      <c r="Q348" s="41">
        <f t="shared" si="22"/>
        <v>204.12</v>
      </c>
      <c r="R348" s="41">
        <f t="shared" si="23"/>
        <v>103.44529364948984</v>
      </c>
    </row>
    <row r="349" spans="10:18">
      <c r="J349" s="118">
        <v>44337</v>
      </c>
      <c r="K349" s="116">
        <v>67.181339327805873</v>
      </c>
      <c r="L349" s="116">
        <v>80.060400000000001</v>
      </c>
      <c r="M349" s="117">
        <v>12.879060672194129</v>
      </c>
      <c r="O349" s="39">
        <f t="shared" si="24"/>
        <v>44475</v>
      </c>
      <c r="P349" s="41">
        <f t="shared" si="21"/>
        <v>100.67470635051016</v>
      </c>
      <c r="Q349" s="41">
        <f t="shared" si="22"/>
        <v>253.26302400000003</v>
      </c>
      <c r="R349" s="41">
        <f t="shared" si="23"/>
        <v>152.58831764948985</v>
      </c>
    </row>
    <row r="350" spans="10:18">
      <c r="J350" s="118">
        <v>44336</v>
      </c>
      <c r="K350" s="116">
        <v>67.249185446015275</v>
      </c>
      <c r="L350" s="116">
        <v>76.095935999999995</v>
      </c>
      <c r="M350" s="117">
        <v>8.8467505539847195</v>
      </c>
      <c r="O350" s="39">
        <f t="shared" si="24"/>
        <v>44474</v>
      </c>
      <c r="P350" s="41">
        <f t="shared" si="21"/>
        <v>100.67470635051016</v>
      </c>
      <c r="Q350" s="41">
        <f t="shared" si="22"/>
        <v>270.88992000000002</v>
      </c>
      <c r="R350" s="41">
        <f t="shared" si="23"/>
        <v>170.21521364948984</v>
      </c>
    </row>
    <row r="351" spans="10:18">
      <c r="J351" s="118">
        <v>44335</v>
      </c>
      <c r="K351" s="116">
        <v>67.249185446015275</v>
      </c>
      <c r="L351" s="116">
        <v>75.587903999999995</v>
      </c>
      <c r="M351" s="117">
        <v>8.3387185539847195</v>
      </c>
      <c r="O351" s="39">
        <f t="shared" si="24"/>
        <v>44473</v>
      </c>
      <c r="P351" s="41">
        <f t="shared" si="21"/>
        <v>100.67470635051016</v>
      </c>
      <c r="Q351" s="41">
        <f t="shared" si="22"/>
        <v>235.41839999999999</v>
      </c>
      <c r="R351" s="41">
        <f t="shared" si="23"/>
        <v>134.74369364948984</v>
      </c>
    </row>
    <row r="352" spans="10:18">
      <c r="J352" s="118">
        <v>44334</v>
      </c>
      <c r="K352" s="116">
        <v>67.249185446015275</v>
      </c>
      <c r="L352" s="116">
        <v>76.867056000000005</v>
      </c>
      <c r="M352" s="117">
        <v>9.61787055398473</v>
      </c>
      <c r="O352" s="39">
        <f t="shared" si="24"/>
        <v>44472</v>
      </c>
      <c r="P352" s="41">
        <f t="shared" si="21"/>
        <v>100.67470635051016</v>
      </c>
      <c r="Q352" s="41">
        <f t="shared" si="22"/>
        <v>210.54297600000001</v>
      </c>
      <c r="R352" s="41">
        <f t="shared" si="23"/>
        <v>109.86826964948985</v>
      </c>
    </row>
    <row r="353" spans="10:18">
      <c r="J353" s="118">
        <v>44333</v>
      </c>
      <c r="K353" s="116">
        <v>67.249185446015275</v>
      </c>
      <c r="L353" s="116">
        <v>78.227856000000003</v>
      </c>
      <c r="M353" s="117">
        <v>10.978670553984728</v>
      </c>
      <c r="O353" s="39">
        <f t="shared" si="24"/>
        <v>44471</v>
      </c>
      <c r="P353" s="41">
        <f t="shared" si="21"/>
        <v>100.67470635051016</v>
      </c>
      <c r="Q353" s="41">
        <f t="shared" si="22"/>
        <v>210.54297600000001</v>
      </c>
      <c r="R353" s="41">
        <f t="shared" si="23"/>
        <v>109.86826964948985</v>
      </c>
    </row>
    <row r="354" spans="10:18">
      <c r="J354" s="118">
        <v>44330</v>
      </c>
      <c r="K354" s="116">
        <v>67.249185446015275</v>
      </c>
      <c r="L354" s="116">
        <v>79.407216000000005</v>
      </c>
      <c r="M354" s="117">
        <v>12.15803055398473</v>
      </c>
      <c r="O354" s="39">
        <f t="shared" si="24"/>
        <v>44470</v>
      </c>
      <c r="P354" s="41">
        <f t="shared" si="21"/>
        <v>100.67470635051016</v>
      </c>
      <c r="Q354" s="41">
        <f t="shared" si="22"/>
        <v>210.54297600000001</v>
      </c>
      <c r="R354" s="41">
        <f t="shared" si="23"/>
        <v>109.86826964948985</v>
      </c>
    </row>
    <row r="355" spans="10:18">
      <c r="J355" s="118">
        <v>44329</v>
      </c>
      <c r="K355" s="116">
        <v>68.381367543634525</v>
      </c>
      <c r="L355" s="116">
        <v>79.162272000000002</v>
      </c>
      <c r="M355" s="117">
        <v>10.780904456365477</v>
      </c>
      <c r="O355" s="39">
        <f t="shared" si="24"/>
        <v>44469</v>
      </c>
      <c r="P355" s="41">
        <f t="shared" si="21"/>
        <v>96.165295257578833</v>
      </c>
      <c r="Q355" s="41">
        <f t="shared" si="22"/>
        <v>196.56302399999998</v>
      </c>
      <c r="R355" s="41">
        <f t="shared" si="23"/>
        <v>100.39772874242115</v>
      </c>
    </row>
    <row r="356" spans="10:18">
      <c r="J356" s="118">
        <v>44328</v>
      </c>
      <c r="K356" s="116">
        <v>68.381367543634525</v>
      </c>
      <c r="L356" s="116">
        <v>79.715664000000004</v>
      </c>
      <c r="M356" s="117">
        <v>11.334296456365479</v>
      </c>
      <c r="O356" s="39">
        <f t="shared" si="24"/>
        <v>44468</v>
      </c>
      <c r="P356" s="41">
        <f t="shared" si="21"/>
        <v>96.165295257578833</v>
      </c>
      <c r="Q356" s="41">
        <f t="shared" si="22"/>
        <v>191.50991999999999</v>
      </c>
      <c r="R356" s="41">
        <f t="shared" si="23"/>
        <v>95.344624742421161</v>
      </c>
    </row>
    <row r="357" spans="10:18">
      <c r="J357" s="118">
        <v>44327</v>
      </c>
      <c r="K357" s="116">
        <v>68.381367543634525</v>
      </c>
      <c r="L357" s="116">
        <v>77.765184000000005</v>
      </c>
      <c r="M357" s="117">
        <v>9.38381645636548</v>
      </c>
      <c r="O357" s="39">
        <f t="shared" si="24"/>
        <v>44467</v>
      </c>
      <c r="P357" s="41">
        <f t="shared" si="21"/>
        <v>96.165295257578833</v>
      </c>
      <c r="Q357" s="41">
        <f t="shared" si="22"/>
        <v>191.682288</v>
      </c>
      <c r="R357" s="41">
        <f t="shared" si="23"/>
        <v>95.516992742421166</v>
      </c>
    </row>
    <row r="358" spans="10:18">
      <c r="J358" s="118">
        <v>44326</v>
      </c>
      <c r="K358" s="116">
        <v>68.381367543634525</v>
      </c>
      <c r="L358" s="116">
        <v>77.910336000000001</v>
      </c>
      <c r="M358" s="117">
        <v>9.528968456365476</v>
      </c>
      <c r="O358" s="39">
        <f t="shared" si="24"/>
        <v>44466</v>
      </c>
      <c r="P358" s="41">
        <f t="shared" si="21"/>
        <v>96.165295257578833</v>
      </c>
      <c r="Q358" s="41">
        <f t="shared" si="22"/>
        <v>182.80080000000001</v>
      </c>
      <c r="R358" s="41">
        <f t="shared" si="23"/>
        <v>86.635504742421176</v>
      </c>
    </row>
    <row r="359" spans="10:18">
      <c r="J359" s="118">
        <v>44323</v>
      </c>
      <c r="K359" s="116">
        <v>68.381367543634525</v>
      </c>
      <c r="L359" s="116">
        <v>75.197807999999995</v>
      </c>
      <c r="M359" s="117">
        <v>6.8164404563654699</v>
      </c>
      <c r="O359" s="39">
        <f t="shared" si="24"/>
        <v>44465</v>
      </c>
      <c r="P359" s="41">
        <f t="shared" si="21"/>
        <v>96.165295257578833</v>
      </c>
      <c r="Q359" s="41">
        <f t="shared" si="22"/>
        <v>180.53280000000001</v>
      </c>
      <c r="R359" s="41">
        <f t="shared" si="23"/>
        <v>84.367504742421175</v>
      </c>
    </row>
    <row r="360" spans="10:18">
      <c r="J360" s="118">
        <v>44322</v>
      </c>
      <c r="K360" s="116">
        <v>68.087367698060476</v>
      </c>
      <c r="L360" s="116">
        <v>74.617199999999997</v>
      </c>
      <c r="M360" s="117">
        <v>6.5298323019395212</v>
      </c>
      <c r="O360" s="39">
        <f t="shared" si="24"/>
        <v>44464</v>
      </c>
      <c r="P360" s="41">
        <f t="shared" si="21"/>
        <v>96.165295257578833</v>
      </c>
      <c r="Q360" s="41">
        <f t="shared" si="22"/>
        <v>180.53280000000001</v>
      </c>
      <c r="R360" s="41">
        <f t="shared" si="23"/>
        <v>84.367504742421175</v>
      </c>
    </row>
    <row r="361" spans="10:18">
      <c r="J361" s="118">
        <v>44321</v>
      </c>
      <c r="K361" s="116">
        <v>68.087367698060476</v>
      </c>
      <c r="L361" s="116">
        <v>72.340127999999993</v>
      </c>
      <c r="M361" s="117">
        <v>4.2527603019395173</v>
      </c>
      <c r="O361" s="39">
        <f t="shared" si="24"/>
        <v>44463</v>
      </c>
      <c r="P361" s="41">
        <f t="shared" si="21"/>
        <v>96.165295257578833</v>
      </c>
      <c r="Q361" s="41">
        <f t="shared" si="22"/>
        <v>180.53280000000001</v>
      </c>
      <c r="R361" s="41">
        <f t="shared" si="23"/>
        <v>84.367504742421175</v>
      </c>
    </row>
    <row r="362" spans="10:18">
      <c r="J362" s="118">
        <v>44320</v>
      </c>
      <c r="K362" s="116">
        <v>68.087367698060476</v>
      </c>
      <c r="L362" s="116">
        <v>71.569007999999997</v>
      </c>
      <c r="M362" s="117">
        <v>3.481640301939521</v>
      </c>
      <c r="O362" s="39">
        <f t="shared" si="24"/>
        <v>44462</v>
      </c>
      <c r="P362" s="41">
        <f t="shared" si="21"/>
        <v>95.315491216766262</v>
      </c>
      <c r="Q362" s="41">
        <f t="shared" si="22"/>
        <v>166.9248</v>
      </c>
      <c r="R362" s="41">
        <f t="shared" si="23"/>
        <v>71.609308783233743</v>
      </c>
    </row>
    <row r="363" spans="10:18">
      <c r="J363" s="118">
        <v>44319</v>
      </c>
      <c r="K363" s="116">
        <v>68.087367698060476</v>
      </c>
      <c r="L363" s="116">
        <v>71.115408000000002</v>
      </c>
      <c r="M363" s="117">
        <v>3.0280403019395266</v>
      </c>
      <c r="O363" s="39">
        <f t="shared" si="24"/>
        <v>44461</v>
      </c>
      <c r="P363" s="41">
        <f t="shared" si="21"/>
        <v>95.315491216766262</v>
      </c>
      <c r="Q363" s="41">
        <f t="shared" si="22"/>
        <v>158.0796</v>
      </c>
      <c r="R363" s="41">
        <f t="shared" si="23"/>
        <v>62.764108783233738</v>
      </c>
    </row>
    <row r="364" spans="10:18">
      <c r="J364" s="118">
        <v>44316</v>
      </c>
      <c r="K364" s="116">
        <v>68.087367698060476</v>
      </c>
      <c r="L364" s="116">
        <v>71.115408000000002</v>
      </c>
      <c r="M364" s="117">
        <v>3.0280403019395266</v>
      </c>
      <c r="O364" s="39">
        <f t="shared" si="24"/>
        <v>44460</v>
      </c>
      <c r="P364" s="41">
        <f t="shared" si="21"/>
        <v>95.315491216766262</v>
      </c>
      <c r="Q364" s="41">
        <f t="shared" si="22"/>
        <v>158.85072</v>
      </c>
      <c r="R364" s="41">
        <f t="shared" si="23"/>
        <v>63.535228783233734</v>
      </c>
    </row>
    <row r="365" spans="10:18">
      <c r="J365" s="118">
        <v>44315</v>
      </c>
      <c r="K365" s="116">
        <v>67.839855007555855</v>
      </c>
      <c r="L365" s="116">
        <v>69.355440000000002</v>
      </c>
      <c r="M365" s="117">
        <v>1.5155849924441469</v>
      </c>
      <c r="O365" s="39">
        <f t="shared" si="24"/>
        <v>44459</v>
      </c>
      <c r="P365" s="41">
        <f t="shared" si="21"/>
        <v>95.315491216766262</v>
      </c>
      <c r="Q365" s="41">
        <f t="shared" si="22"/>
        <v>161.93520000000001</v>
      </c>
      <c r="R365" s="41">
        <f t="shared" si="23"/>
        <v>66.619708783233747</v>
      </c>
    </row>
    <row r="366" spans="10:18">
      <c r="J366" s="118">
        <v>44314</v>
      </c>
      <c r="K366" s="116">
        <v>67.839855007555855</v>
      </c>
      <c r="L366" s="116">
        <v>68.284943999999996</v>
      </c>
      <c r="M366" s="117">
        <v>0.44508899244414124</v>
      </c>
      <c r="O366" s="39">
        <f t="shared" si="24"/>
        <v>44458</v>
      </c>
      <c r="P366" s="41">
        <f t="shared" si="21"/>
        <v>95.315491216766262</v>
      </c>
      <c r="Q366" s="41">
        <f t="shared" si="22"/>
        <v>157.94352000000001</v>
      </c>
      <c r="R366" s="41">
        <f t="shared" si="23"/>
        <v>62.628028783233745</v>
      </c>
    </row>
    <row r="367" spans="10:18">
      <c r="J367" s="118">
        <v>44313</v>
      </c>
      <c r="K367" s="116">
        <v>67.839855007555855</v>
      </c>
      <c r="L367" s="116">
        <v>67.903919999999999</v>
      </c>
      <c r="M367" s="117">
        <v>6.4064992444144764E-2</v>
      </c>
      <c r="O367" s="39">
        <f t="shared" si="24"/>
        <v>44457</v>
      </c>
      <c r="P367" s="41">
        <f t="shared" si="21"/>
        <v>95.315491216766262</v>
      </c>
      <c r="Q367" s="41">
        <f t="shared" si="22"/>
        <v>157.94352000000001</v>
      </c>
      <c r="R367" s="41">
        <f t="shared" si="23"/>
        <v>62.628028783233745</v>
      </c>
    </row>
    <row r="368" spans="10:18">
      <c r="J368" s="118">
        <v>44312</v>
      </c>
      <c r="K368" s="116">
        <v>67.839855007555855</v>
      </c>
      <c r="L368" s="116">
        <v>67.277951999999999</v>
      </c>
      <c r="M368" s="117">
        <v>-0.56190300755585554</v>
      </c>
      <c r="O368" s="39">
        <f t="shared" si="24"/>
        <v>44456</v>
      </c>
      <c r="P368" s="41">
        <f t="shared" si="21"/>
        <v>95.315491216766262</v>
      </c>
      <c r="Q368" s="41">
        <f t="shared" si="22"/>
        <v>157.94352000000001</v>
      </c>
      <c r="R368" s="41">
        <f t="shared" si="23"/>
        <v>62.628028783233745</v>
      </c>
    </row>
    <row r="369" spans="10:18">
      <c r="J369" s="118">
        <v>44309</v>
      </c>
      <c r="K369" s="116">
        <v>67.839855007555855</v>
      </c>
      <c r="L369" s="116">
        <v>67.259808000000007</v>
      </c>
      <c r="M369" s="117">
        <v>-0.58004700755584793</v>
      </c>
      <c r="O369" s="39">
        <f t="shared" si="24"/>
        <v>44455</v>
      </c>
      <c r="P369" s="41">
        <f t="shared" si="21"/>
        <v>94.649908233036115</v>
      </c>
      <c r="Q369" s="41">
        <f t="shared" si="22"/>
        <v>158.48783999999998</v>
      </c>
      <c r="R369" s="41">
        <f t="shared" si="23"/>
        <v>63.837931766963862</v>
      </c>
    </row>
    <row r="370" spans="10:18">
      <c r="J370" s="118">
        <v>44308</v>
      </c>
      <c r="K370" s="116">
        <v>64.535968922437718</v>
      </c>
      <c r="L370" s="116">
        <v>67.731551999999994</v>
      </c>
      <c r="M370" s="117">
        <v>3.1955830775622758</v>
      </c>
      <c r="O370" s="39">
        <f t="shared" si="24"/>
        <v>44454</v>
      </c>
      <c r="P370" s="41">
        <f t="shared" si="21"/>
        <v>94.649908233036115</v>
      </c>
      <c r="Q370" s="41">
        <f t="shared" si="22"/>
        <v>159.53111999999999</v>
      </c>
      <c r="R370" s="41">
        <f t="shared" si="23"/>
        <v>64.881211766963872</v>
      </c>
    </row>
    <row r="371" spans="10:18">
      <c r="J371" s="118">
        <v>44307</v>
      </c>
      <c r="K371" s="116">
        <v>64.535968922437718</v>
      </c>
      <c r="L371" s="116">
        <v>66.670127999999991</v>
      </c>
      <c r="M371" s="117">
        <v>2.1341590775622734</v>
      </c>
      <c r="O371" s="39">
        <f t="shared" si="24"/>
        <v>44453</v>
      </c>
      <c r="P371" s="41">
        <f t="shared" si="21"/>
        <v>94.649908233036115</v>
      </c>
      <c r="Q371" s="41">
        <f t="shared" si="22"/>
        <v>160.3476</v>
      </c>
      <c r="R371" s="41">
        <f t="shared" si="23"/>
        <v>65.697691766963885</v>
      </c>
    </row>
    <row r="372" spans="10:18">
      <c r="J372" s="118">
        <v>44306</v>
      </c>
      <c r="K372" s="116">
        <v>64.535968922437718</v>
      </c>
      <c r="L372" s="116">
        <v>65.726640000000003</v>
      </c>
      <c r="M372" s="117">
        <v>1.1906710775622855</v>
      </c>
      <c r="O372" s="39">
        <f t="shared" si="24"/>
        <v>44452</v>
      </c>
      <c r="P372" s="41">
        <f t="shared" si="21"/>
        <v>94.649908233036115</v>
      </c>
      <c r="Q372" s="41">
        <f t="shared" si="22"/>
        <v>161.02799999999999</v>
      </c>
      <c r="R372" s="41">
        <f t="shared" si="23"/>
        <v>66.378091766963877</v>
      </c>
    </row>
    <row r="373" spans="10:18">
      <c r="J373" s="118">
        <v>44305</v>
      </c>
      <c r="K373" s="116">
        <v>64.535968922437718</v>
      </c>
      <c r="L373" s="116">
        <v>67.876703999999989</v>
      </c>
      <c r="M373" s="117">
        <v>3.3407350775622717</v>
      </c>
      <c r="O373" s="39">
        <f t="shared" si="24"/>
        <v>44451</v>
      </c>
      <c r="P373" s="41">
        <f t="shared" si="21"/>
        <v>94.649908233036115</v>
      </c>
      <c r="Q373" s="41">
        <f t="shared" si="22"/>
        <v>157.59878399999999</v>
      </c>
      <c r="R373" s="41">
        <f t="shared" si="23"/>
        <v>62.94887576696388</v>
      </c>
    </row>
    <row r="374" spans="10:18">
      <c r="J374" s="118">
        <v>44302</v>
      </c>
      <c r="K374" s="116">
        <v>64.535968922437718</v>
      </c>
      <c r="L374" s="116">
        <v>67.486608000000004</v>
      </c>
      <c r="M374" s="117">
        <v>2.9506390775622862</v>
      </c>
      <c r="O374" s="39">
        <f t="shared" si="24"/>
        <v>44450</v>
      </c>
      <c r="P374" s="41">
        <f t="shared" si="21"/>
        <v>94.649908233036115</v>
      </c>
      <c r="Q374" s="41">
        <f t="shared" si="22"/>
        <v>157.59878399999999</v>
      </c>
      <c r="R374" s="41">
        <f t="shared" si="23"/>
        <v>62.94887576696388</v>
      </c>
    </row>
    <row r="375" spans="10:18">
      <c r="J375" s="118">
        <v>44301</v>
      </c>
      <c r="K375" s="116">
        <v>63.18878373262249</v>
      </c>
      <c r="L375" s="116">
        <v>64.619855999999999</v>
      </c>
      <c r="M375" s="117">
        <v>1.4310722673775089</v>
      </c>
      <c r="O375" s="39">
        <f t="shared" si="24"/>
        <v>44449</v>
      </c>
      <c r="P375" s="41">
        <f t="shared" si="21"/>
        <v>94.649908233036115</v>
      </c>
      <c r="Q375" s="41">
        <f t="shared" si="22"/>
        <v>157.59878399999999</v>
      </c>
      <c r="R375" s="41">
        <f t="shared" si="23"/>
        <v>62.94887576696388</v>
      </c>
    </row>
    <row r="376" spans="10:18">
      <c r="J376" s="118">
        <v>44300</v>
      </c>
      <c r="K376" s="116">
        <v>63.18878373262249</v>
      </c>
      <c r="L376" s="116">
        <v>63.558432000000003</v>
      </c>
      <c r="M376" s="117">
        <v>0.36964826737751366</v>
      </c>
      <c r="O376" s="39">
        <f t="shared" si="24"/>
        <v>44448</v>
      </c>
      <c r="P376" s="41">
        <f t="shared" si="21"/>
        <v>89.815715259417232</v>
      </c>
      <c r="Q376" s="41">
        <f t="shared" si="22"/>
        <v>157.626</v>
      </c>
      <c r="R376" s="41">
        <f t="shared" si="23"/>
        <v>67.810284740582773</v>
      </c>
    </row>
    <row r="377" spans="10:18">
      <c r="J377" s="118">
        <v>44299</v>
      </c>
      <c r="K377" s="116">
        <v>63.18878373262249</v>
      </c>
      <c r="L377" s="116">
        <v>63.195551999999999</v>
      </c>
      <c r="M377" s="117">
        <v>6.7682673775095736E-3</v>
      </c>
      <c r="O377" s="39">
        <f t="shared" si="24"/>
        <v>44447</v>
      </c>
      <c r="P377" s="41">
        <f t="shared" si="21"/>
        <v>89.815715259417232</v>
      </c>
      <c r="Q377" s="41">
        <f t="shared" si="22"/>
        <v>154.22399999999999</v>
      </c>
      <c r="R377" s="41">
        <f t="shared" si="23"/>
        <v>64.408284740582758</v>
      </c>
    </row>
    <row r="378" spans="10:18">
      <c r="J378" s="118">
        <v>44298</v>
      </c>
      <c r="K378" s="116">
        <v>63.18878373262249</v>
      </c>
      <c r="L378" s="116">
        <v>62.215775999999998</v>
      </c>
      <c r="M378" s="117">
        <v>-0.97300773262249152</v>
      </c>
      <c r="O378" s="39">
        <f t="shared" si="24"/>
        <v>44446</v>
      </c>
      <c r="P378" s="41">
        <f t="shared" si="21"/>
        <v>89.815715259417232</v>
      </c>
      <c r="Q378" s="41">
        <f t="shared" si="22"/>
        <v>153.83390399999999</v>
      </c>
      <c r="R378" s="41">
        <f t="shared" si="23"/>
        <v>64.018188740582758</v>
      </c>
    </row>
    <row r="379" spans="10:18">
      <c r="J379" s="118">
        <v>44295</v>
      </c>
      <c r="K379" s="116">
        <v>63.18878373262249</v>
      </c>
      <c r="L379" s="116">
        <v>61.199711999999998</v>
      </c>
      <c r="M379" s="117">
        <v>-1.9890717326224916</v>
      </c>
      <c r="O379" s="39">
        <f t="shared" si="24"/>
        <v>44445</v>
      </c>
      <c r="P379" s="41">
        <f t="shared" si="21"/>
        <v>89.815715259417232</v>
      </c>
      <c r="Q379" s="41">
        <f t="shared" si="22"/>
        <v>154.22399999999999</v>
      </c>
      <c r="R379" s="41">
        <f t="shared" si="23"/>
        <v>64.408284740582758</v>
      </c>
    </row>
    <row r="380" spans="10:18">
      <c r="J380" s="118">
        <v>44294</v>
      </c>
      <c r="K380" s="116">
        <v>62.56010778078867</v>
      </c>
      <c r="L380" s="116">
        <v>60.945696000000005</v>
      </c>
      <c r="M380" s="117">
        <v>-1.6144117807886644</v>
      </c>
      <c r="O380" s="39">
        <f t="shared" si="24"/>
        <v>44444</v>
      </c>
      <c r="P380" s="41">
        <f t="shared" si="21"/>
        <v>89.815715259417232</v>
      </c>
      <c r="Q380" s="41">
        <f t="shared" si="22"/>
        <v>150.422832</v>
      </c>
      <c r="R380" s="41">
        <f t="shared" si="23"/>
        <v>60.607116740582768</v>
      </c>
    </row>
    <row r="381" spans="10:18">
      <c r="J381" s="118">
        <v>44293</v>
      </c>
      <c r="K381" s="116">
        <v>62.56010778078867</v>
      </c>
      <c r="L381" s="116">
        <v>61.798464000000003</v>
      </c>
      <c r="M381" s="117">
        <v>-0.7616437807886669</v>
      </c>
      <c r="O381" s="39">
        <f t="shared" si="24"/>
        <v>44443</v>
      </c>
      <c r="P381" s="41">
        <f t="shared" si="21"/>
        <v>89.815715259417232</v>
      </c>
      <c r="Q381" s="41">
        <f t="shared" si="22"/>
        <v>150.422832</v>
      </c>
      <c r="R381" s="41">
        <f t="shared" si="23"/>
        <v>60.607116740582768</v>
      </c>
    </row>
    <row r="382" spans="10:18">
      <c r="J382" s="118">
        <v>44292</v>
      </c>
      <c r="K382" s="116">
        <v>62.56010778078867</v>
      </c>
      <c r="L382" s="116">
        <v>64.238832000000002</v>
      </c>
      <c r="M382" s="117">
        <v>1.6787242192113325</v>
      </c>
      <c r="O382" s="39">
        <f t="shared" si="24"/>
        <v>44442</v>
      </c>
      <c r="P382" s="41">
        <f t="shared" si="21"/>
        <v>89.815715259417232</v>
      </c>
      <c r="Q382" s="41">
        <f t="shared" si="22"/>
        <v>150.422832</v>
      </c>
      <c r="R382" s="41">
        <f t="shared" si="23"/>
        <v>60.607116740582768</v>
      </c>
    </row>
    <row r="383" spans="10:18">
      <c r="J383" s="118">
        <v>44291</v>
      </c>
      <c r="K383" s="116">
        <v>62.56010778078867</v>
      </c>
      <c r="L383" s="116">
        <v>62.823599999999999</v>
      </c>
      <c r="M383" s="117">
        <v>0.26349221921132937</v>
      </c>
      <c r="O383" s="39">
        <f t="shared" si="24"/>
        <v>44441</v>
      </c>
      <c r="P383" s="41">
        <f t="shared" si="21"/>
        <v>89.086055386267134</v>
      </c>
      <c r="Q383" s="41">
        <f t="shared" si="22"/>
        <v>150.894576</v>
      </c>
      <c r="R383" s="41">
        <f t="shared" si="23"/>
        <v>61.808520613732867</v>
      </c>
    </row>
    <row r="384" spans="10:18">
      <c r="J384" s="118">
        <v>44288</v>
      </c>
      <c r="K384" s="116">
        <v>62.56010778078867</v>
      </c>
      <c r="L384" s="116">
        <v>62.823599999999999</v>
      </c>
      <c r="M384" s="117">
        <v>0.26349221921132937</v>
      </c>
      <c r="O384" s="39">
        <f t="shared" si="24"/>
        <v>44440</v>
      </c>
      <c r="P384" s="41">
        <f t="shared" si="21"/>
        <v>89.086055386267134</v>
      </c>
      <c r="Q384" s="41">
        <f t="shared" si="22"/>
        <v>147.456288</v>
      </c>
      <c r="R384" s="41">
        <f t="shared" si="23"/>
        <v>58.370232613732867</v>
      </c>
    </row>
    <row r="385" spans="10:18">
      <c r="J385" s="118">
        <v>44287</v>
      </c>
      <c r="K385" s="116">
        <v>62.2197778313448</v>
      </c>
      <c r="L385" s="116">
        <v>62.823599999999999</v>
      </c>
      <c r="M385" s="117">
        <v>0.60382216865519922</v>
      </c>
      <c r="O385" s="39">
        <f t="shared" si="24"/>
        <v>44439</v>
      </c>
      <c r="P385" s="41">
        <f t="shared" si="21"/>
        <v>89.086055386267134</v>
      </c>
      <c r="Q385" s="41">
        <f t="shared" si="22"/>
        <v>139.46385599999999</v>
      </c>
      <c r="R385" s="41">
        <f t="shared" si="23"/>
        <v>50.377800613732859</v>
      </c>
    </row>
    <row r="386" spans="10:18">
      <c r="J386" s="118">
        <v>44286</v>
      </c>
      <c r="K386" s="116">
        <v>62.2197778313448</v>
      </c>
      <c r="L386" s="116">
        <v>62.995967999999998</v>
      </c>
      <c r="M386" s="117">
        <v>0.77619016865519797</v>
      </c>
      <c r="O386" s="39">
        <f t="shared" si="24"/>
        <v>44438</v>
      </c>
      <c r="P386" s="41">
        <f t="shared" si="21"/>
        <v>89.086055386267134</v>
      </c>
      <c r="Q386" s="41">
        <f t="shared" si="22"/>
        <v>136.9872</v>
      </c>
      <c r="R386" s="41">
        <f t="shared" si="23"/>
        <v>47.901144613732868</v>
      </c>
    </row>
    <row r="387" spans="10:18">
      <c r="J387" s="118">
        <v>44285</v>
      </c>
      <c r="K387" s="116">
        <v>62.2197778313448</v>
      </c>
      <c r="L387" s="116">
        <v>63.594719999999995</v>
      </c>
      <c r="M387" s="117">
        <v>1.3749421686551955</v>
      </c>
      <c r="O387" s="39">
        <f t="shared" si="24"/>
        <v>44437</v>
      </c>
      <c r="P387" s="41">
        <f t="shared" si="21"/>
        <v>89.086055386267134</v>
      </c>
      <c r="Q387" s="41">
        <f t="shared" si="22"/>
        <v>136.9872</v>
      </c>
      <c r="R387" s="41">
        <f t="shared" si="23"/>
        <v>47.901144613732868</v>
      </c>
    </row>
    <row r="388" spans="10:18">
      <c r="J388" s="118">
        <v>44284</v>
      </c>
      <c r="K388" s="116">
        <v>62.2197778313448</v>
      </c>
      <c r="L388" s="116">
        <v>64.420272000000011</v>
      </c>
      <c r="M388" s="117">
        <v>2.2004941686552115</v>
      </c>
      <c r="O388" s="39">
        <f t="shared" si="24"/>
        <v>44436</v>
      </c>
      <c r="P388" s="41">
        <f t="shared" si="21"/>
        <v>89.086055386267134</v>
      </c>
      <c r="Q388" s="41">
        <f t="shared" si="22"/>
        <v>136.9872</v>
      </c>
      <c r="R388" s="41">
        <f t="shared" si="23"/>
        <v>47.901144613732868</v>
      </c>
    </row>
    <row r="389" spans="10:18">
      <c r="J389" s="118">
        <v>44281</v>
      </c>
      <c r="K389" s="116">
        <v>62.2197778313448</v>
      </c>
      <c r="L389" s="116">
        <v>66.171167999999994</v>
      </c>
      <c r="M389" s="117">
        <v>3.9513901686551947</v>
      </c>
      <c r="O389" s="39">
        <f t="shared" si="24"/>
        <v>44435</v>
      </c>
      <c r="P389" s="41">
        <f t="shared" si="21"/>
        <v>89.086055386267134</v>
      </c>
      <c r="Q389" s="41">
        <f t="shared" si="22"/>
        <v>136.9872</v>
      </c>
      <c r="R389" s="41">
        <f t="shared" si="23"/>
        <v>47.901144613732868</v>
      </c>
    </row>
    <row r="390" spans="10:18">
      <c r="J390" s="118">
        <v>44280</v>
      </c>
      <c r="K390" s="116">
        <v>63.32761699303245</v>
      </c>
      <c r="L390" s="116">
        <v>66.597551999999993</v>
      </c>
      <c r="M390" s="117">
        <v>3.2699350069675432</v>
      </c>
      <c r="O390" s="39">
        <f t="shared" si="24"/>
        <v>44434</v>
      </c>
      <c r="P390" s="41">
        <f t="shared" ref="P390:P453" si="25">IFERROR(VLOOKUP($O390,$J$5:$M$403,2,FALSE),P391)</f>
        <v>86.331534397205616</v>
      </c>
      <c r="Q390" s="41">
        <f t="shared" ref="Q390:Q453" si="26">IFERROR(VLOOKUP($O390,$J$5:$M$403,3,FALSE),Q391)</f>
        <v>136.44288</v>
      </c>
      <c r="R390" s="41">
        <f t="shared" ref="R390:R453" si="27">IFERROR(VLOOKUP($O390,$J$5:$M$403,4,FALSE),R391)</f>
        <v>50.111345602794387</v>
      </c>
    </row>
    <row r="391" spans="10:18">
      <c r="J391" s="118">
        <v>44279</v>
      </c>
      <c r="K391" s="116">
        <v>63.32761699303245</v>
      </c>
      <c r="L391" s="116">
        <v>65.000880000000009</v>
      </c>
      <c r="M391" s="117">
        <v>1.6732630069675594</v>
      </c>
      <c r="O391" s="39">
        <f t="shared" ref="O391:O454" si="28">O390-1</f>
        <v>44433</v>
      </c>
      <c r="P391" s="41">
        <f t="shared" si="25"/>
        <v>86.331534397205616</v>
      </c>
      <c r="Q391" s="41">
        <f t="shared" si="26"/>
        <v>136.71503999999999</v>
      </c>
      <c r="R391" s="41">
        <f t="shared" si="27"/>
        <v>50.383505602794372</v>
      </c>
    </row>
    <row r="392" spans="10:18">
      <c r="J392" s="118">
        <v>44278</v>
      </c>
      <c r="K392" s="116">
        <v>63.32761699303245</v>
      </c>
      <c r="L392" s="116">
        <v>64.84665600000001</v>
      </c>
      <c r="M392" s="117">
        <v>1.5190390069675601</v>
      </c>
      <c r="O392" s="39">
        <f t="shared" si="28"/>
        <v>44432</v>
      </c>
      <c r="P392" s="41">
        <f t="shared" si="25"/>
        <v>86.331534397205616</v>
      </c>
      <c r="Q392" s="41">
        <f t="shared" si="26"/>
        <v>136.08000000000001</v>
      </c>
      <c r="R392" s="41">
        <f t="shared" si="27"/>
        <v>49.748465602794397</v>
      </c>
    </row>
    <row r="393" spans="10:18">
      <c r="J393" s="118">
        <v>44277</v>
      </c>
      <c r="K393" s="116">
        <v>63.32761699303245</v>
      </c>
      <c r="L393" s="116">
        <v>65.18231999999999</v>
      </c>
      <c r="M393" s="117">
        <v>1.8547030069675401</v>
      </c>
      <c r="O393" s="39">
        <f t="shared" si="28"/>
        <v>44431</v>
      </c>
      <c r="P393" s="41">
        <f t="shared" si="25"/>
        <v>86.331534397205616</v>
      </c>
      <c r="Q393" s="41">
        <f t="shared" si="26"/>
        <v>131.44420799999997</v>
      </c>
      <c r="R393" s="41">
        <f t="shared" si="27"/>
        <v>45.112673602794359</v>
      </c>
    </row>
    <row r="394" spans="10:18">
      <c r="J394" s="118">
        <v>44274</v>
      </c>
      <c r="K394" s="116">
        <v>63.32761699303245</v>
      </c>
      <c r="L394" s="116">
        <v>63.830592000000003</v>
      </c>
      <c r="M394" s="117">
        <v>0.50297500696755293</v>
      </c>
      <c r="O394" s="39">
        <f t="shared" si="28"/>
        <v>44430</v>
      </c>
      <c r="P394" s="41">
        <f t="shared" si="25"/>
        <v>86.331534397205616</v>
      </c>
      <c r="Q394" s="41">
        <f t="shared" si="26"/>
        <v>130.60958400000001</v>
      </c>
      <c r="R394" s="41">
        <f t="shared" si="27"/>
        <v>44.278049602794397</v>
      </c>
    </row>
    <row r="395" spans="10:18">
      <c r="J395" s="118">
        <v>44273</v>
      </c>
      <c r="K395" s="116">
        <v>62.543617404835011</v>
      </c>
      <c r="L395" s="116">
        <v>65.164175999999998</v>
      </c>
      <c r="M395" s="117">
        <v>2.6205585951649866</v>
      </c>
      <c r="O395" s="39">
        <f t="shared" si="28"/>
        <v>44429</v>
      </c>
      <c r="P395" s="41">
        <f t="shared" si="25"/>
        <v>86.331534397205616</v>
      </c>
      <c r="Q395" s="41">
        <f t="shared" si="26"/>
        <v>130.60958400000001</v>
      </c>
      <c r="R395" s="41">
        <f t="shared" si="27"/>
        <v>44.278049602794397</v>
      </c>
    </row>
    <row r="396" spans="10:18">
      <c r="J396" s="118">
        <v>44272</v>
      </c>
      <c r="K396" s="116">
        <v>62.543617404835011</v>
      </c>
      <c r="L396" s="116">
        <v>62.1432</v>
      </c>
      <c r="M396" s="117">
        <v>-0.40041740483501087</v>
      </c>
      <c r="O396" s="39">
        <f t="shared" si="28"/>
        <v>44428</v>
      </c>
      <c r="P396" s="41">
        <f t="shared" si="25"/>
        <v>86.331534397205616</v>
      </c>
      <c r="Q396" s="41">
        <f t="shared" si="26"/>
        <v>130.60958400000001</v>
      </c>
      <c r="R396" s="41">
        <f t="shared" si="27"/>
        <v>44.278049602794397</v>
      </c>
    </row>
    <row r="397" spans="10:18">
      <c r="J397" s="118">
        <v>44271</v>
      </c>
      <c r="K397" s="116">
        <v>62.543617404835011</v>
      </c>
      <c r="L397" s="116">
        <v>60.882192000000003</v>
      </c>
      <c r="M397" s="117">
        <v>-1.6614254048350077</v>
      </c>
      <c r="O397" s="39">
        <f t="shared" si="28"/>
        <v>44427</v>
      </c>
      <c r="P397" s="41">
        <f t="shared" si="25"/>
        <v>83.422003874179609</v>
      </c>
      <c r="Q397" s="41">
        <f t="shared" si="26"/>
        <v>137.27750399999999</v>
      </c>
      <c r="R397" s="41">
        <f t="shared" si="27"/>
        <v>53.855500125820384</v>
      </c>
    </row>
    <row r="398" spans="10:18">
      <c r="J398" s="118">
        <v>44270</v>
      </c>
      <c r="K398" s="116">
        <v>62.543617404835011</v>
      </c>
      <c r="L398" s="116">
        <v>61.426511999999995</v>
      </c>
      <c r="M398" s="117">
        <v>-1.1171054048350157</v>
      </c>
      <c r="O398" s="39">
        <f t="shared" si="28"/>
        <v>44426</v>
      </c>
      <c r="P398" s="41">
        <f t="shared" si="25"/>
        <v>83.422003874179609</v>
      </c>
      <c r="Q398" s="41">
        <f t="shared" si="26"/>
        <v>138.99211200000002</v>
      </c>
      <c r="R398" s="41">
        <f t="shared" si="27"/>
        <v>55.570108125820411</v>
      </c>
    </row>
    <row r="399" spans="10:18">
      <c r="J399" s="118">
        <v>44267</v>
      </c>
      <c r="K399" s="116">
        <v>62.543617404835011</v>
      </c>
      <c r="L399" s="116">
        <v>60.827759999999998</v>
      </c>
      <c r="M399" s="117">
        <v>-1.7158574048350133</v>
      </c>
      <c r="O399" s="39">
        <f t="shared" si="28"/>
        <v>44425</v>
      </c>
      <c r="P399" s="41">
        <f t="shared" si="25"/>
        <v>83.422003874179609</v>
      </c>
      <c r="Q399" s="41">
        <f t="shared" si="26"/>
        <v>139.75416000000001</v>
      </c>
      <c r="R399" s="41">
        <f t="shared" si="27"/>
        <v>56.332156125820404</v>
      </c>
    </row>
    <row r="400" spans="10:18">
      <c r="J400" s="118">
        <v>44266</v>
      </c>
      <c r="K400" s="116">
        <v>62.255114351245524</v>
      </c>
      <c r="L400" s="116">
        <v>60.020351999999995</v>
      </c>
      <c r="M400" s="117">
        <v>-2.2347623512455286</v>
      </c>
      <c r="O400" s="39">
        <f t="shared" si="28"/>
        <v>44424</v>
      </c>
      <c r="P400" s="41">
        <f t="shared" si="25"/>
        <v>83.422003874179609</v>
      </c>
      <c r="Q400" s="41">
        <f t="shared" si="26"/>
        <v>140.86094400000002</v>
      </c>
      <c r="R400" s="41">
        <f t="shared" si="27"/>
        <v>57.438940125820409</v>
      </c>
    </row>
    <row r="401" spans="10:18">
      <c r="J401" s="118">
        <v>44265</v>
      </c>
      <c r="K401" s="116">
        <v>62.255114351245524</v>
      </c>
      <c r="L401" s="116">
        <v>60.192719999999994</v>
      </c>
      <c r="M401" s="117">
        <v>-2.0623943512455298</v>
      </c>
      <c r="O401" s="39">
        <f t="shared" si="28"/>
        <v>44423</v>
      </c>
      <c r="P401" s="41">
        <f t="shared" si="25"/>
        <v>83.422003874179609</v>
      </c>
      <c r="Q401" s="41">
        <f t="shared" si="26"/>
        <v>139.93559999999999</v>
      </c>
      <c r="R401" s="41">
        <f t="shared" si="27"/>
        <v>56.513596125820385</v>
      </c>
    </row>
    <row r="402" spans="10:18">
      <c r="J402" s="118">
        <v>44264</v>
      </c>
      <c r="K402" s="116">
        <v>62.255114351245524</v>
      </c>
      <c r="L402" s="116">
        <v>59.185727999999997</v>
      </c>
      <c r="M402" s="117">
        <v>-3.0693863512455266</v>
      </c>
      <c r="O402" s="39">
        <f t="shared" si="28"/>
        <v>44422</v>
      </c>
      <c r="P402" s="41">
        <f t="shared" si="25"/>
        <v>83.422003874179609</v>
      </c>
      <c r="Q402" s="41">
        <f t="shared" si="26"/>
        <v>139.93559999999999</v>
      </c>
      <c r="R402" s="41">
        <f t="shared" si="27"/>
        <v>56.513596125820385</v>
      </c>
    </row>
    <row r="403" spans="10:18">
      <c r="J403" s="118">
        <v>44263</v>
      </c>
      <c r="K403" s="116">
        <v>62.255114351245524</v>
      </c>
      <c r="L403" s="116">
        <v>59.203872000000004</v>
      </c>
      <c r="M403" s="117">
        <v>-3.05124235124552</v>
      </c>
      <c r="O403" s="39">
        <f t="shared" si="28"/>
        <v>44421</v>
      </c>
      <c r="P403" s="41">
        <f t="shared" si="25"/>
        <v>83.422003874179609</v>
      </c>
      <c r="Q403" s="41">
        <f t="shared" si="26"/>
        <v>139.93559999999999</v>
      </c>
      <c r="R403" s="41">
        <f t="shared" si="27"/>
        <v>56.513596125820385</v>
      </c>
    </row>
    <row r="404" spans="10:18">
      <c r="J404" s="118">
        <v>44260</v>
      </c>
      <c r="K404" s="116">
        <v>62.255114351245524</v>
      </c>
      <c r="L404" s="116">
        <v>59.838911999999993</v>
      </c>
      <c r="M404" s="117">
        <v>-2.4162023512455306</v>
      </c>
      <c r="O404" s="39">
        <f t="shared" si="28"/>
        <v>44420</v>
      </c>
      <c r="P404" s="41">
        <f t="shared" si="25"/>
        <v>79.948659544737581</v>
      </c>
      <c r="Q404" s="41">
        <f t="shared" si="26"/>
        <v>140.75208000000001</v>
      </c>
      <c r="R404" s="41">
        <f t="shared" si="27"/>
        <v>60.803420455262426</v>
      </c>
    </row>
    <row r="405" spans="10:18">
      <c r="J405" s="118">
        <v>44259</v>
      </c>
      <c r="K405" s="116">
        <v>61.604608282673048</v>
      </c>
      <c r="L405" s="116">
        <v>60.718896000000008</v>
      </c>
      <c r="M405" s="117">
        <v>-0.88571228267304036</v>
      </c>
      <c r="O405" s="39">
        <f t="shared" si="28"/>
        <v>44419</v>
      </c>
      <c r="P405" s="41">
        <f t="shared" si="25"/>
        <v>79.948659544737581</v>
      </c>
      <c r="Q405" s="41">
        <f t="shared" si="26"/>
        <v>135.653616</v>
      </c>
      <c r="R405" s="41">
        <f t="shared" si="27"/>
        <v>55.704956455262419</v>
      </c>
    </row>
    <row r="406" spans="10:18">
      <c r="J406" s="118">
        <v>44258</v>
      </c>
      <c r="K406" s="116">
        <v>61.604608282673048</v>
      </c>
      <c r="L406" s="116">
        <v>60.619103999999993</v>
      </c>
      <c r="M406" s="117">
        <v>-0.98550428267305534</v>
      </c>
      <c r="O406" s="39">
        <f t="shared" si="28"/>
        <v>44418</v>
      </c>
      <c r="P406" s="41">
        <f t="shared" si="25"/>
        <v>79.948659544737581</v>
      </c>
      <c r="Q406" s="41">
        <f t="shared" si="26"/>
        <v>135.027648</v>
      </c>
      <c r="R406" s="41">
        <f t="shared" si="27"/>
        <v>55.078988455262419</v>
      </c>
    </row>
    <row r="407" spans="10:18">
      <c r="J407" s="118">
        <v>44257</v>
      </c>
      <c r="K407" s="116">
        <v>61.604608282673048</v>
      </c>
      <c r="L407" s="116">
        <v>60.120143999999996</v>
      </c>
      <c r="M407" s="117">
        <v>-1.4844642826730521</v>
      </c>
      <c r="O407" s="39">
        <f t="shared" si="28"/>
        <v>44417</v>
      </c>
      <c r="P407" s="41">
        <f t="shared" si="25"/>
        <v>79.948659544737581</v>
      </c>
      <c r="Q407" s="41">
        <f t="shared" si="26"/>
        <v>134.90063999999998</v>
      </c>
      <c r="R407" s="41">
        <f t="shared" si="27"/>
        <v>54.951980455262401</v>
      </c>
    </row>
    <row r="408" spans="10:18">
      <c r="J408" s="118">
        <v>44256</v>
      </c>
      <c r="K408" s="116">
        <v>61.604608282673048</v>
      </c>
      <c r="L408" s="116">
        <v>59.702832000000001</v>
      </c>
      <c r="M408" s="117">
        <v>-1.9017762826730475</v>
      </c>
      <c r="O408" s="39">
        <f t="shared" si="28"/>
        <v>44416</v>
      </c>
      <c r="P408" s="41">
        <f t="shared" si="25"/>
        <v>79.948659544737581</v>
      </c>
      <c r="Q408" s="41">
        <f t="shared" si="26"/>
        <v>131.516784</v>
      </c>
      <c r="R408" s="41">
        <f t="shared" si="27"/>
        <v>51.568124455262421</v>
      </c>
    </row>
    <row r="409" spans="10:18">
      <c r="J409" s="118">
        <v>44253</v>
      </c>
      <c r="K409" s="116">
        <v>61.604608282673048</v>
      </c>
      <c r="L409" s="116">
        <v>59.566751999999994</v>
      </c>
      <c r="M409" s="117">
        <v>-2.0378562826730544</v>
      </c>
      <c r="O409" s="39">
        <f t="shared" si="28"/>
        <v>44415</v>
      </c>
      <c r="P409" s="41">
        <f t="shared" si="25"/>
        <v>79.948659544737581</v>
      </c>
      <c r="Q409" s="41">
        <f t="shared" si="26"/>
        <v>131.516784</v>
      </c>
      <c r="R409" s="41">
        <f t="shared" si="27"/>
        <v>51.568124455262421</v>
      </c>
    </row>
    <row r="410" spans="10:18">
      <c r="J410" s="118">
        <v>44252</v>
      </c>
      <c r="K410" s="116">
        <v>62.410280936409606</v>
      </c>
      <c r="L410" s="116">
        <v>60.328800000000001</v>
      </c>
      <c r="M410" s="117">
        <v>-2.081480936409605</v>
      </c>
      <c r="O410" s="39">
        <f t="shared" si="28"/>
        <v>44414</v>
      </c>
      <c r="P410" s="41">
        <f t="shared" si="25"/>
        <v>79.948659544737581</v>
      </c>
      <c r="Q410" s="41">
        <f t="shared" si="26"/>
        <v>131.516784</v>
      </c>
      <c r="R410" s="41">
        <f t="shared" si="27"/>
        <v>51.568124455262421</v>
      </c>
    </row>
    <row r="411" spans="10:18">
      <c r="J411" s="118">
        <v>44251</v>
      </c>
      <c r="K411" s="116">
        <v>62.410280936409606</v>
      </c>
      <c r="L411" s="116">
        <v>59.258303999999995</v>
      </c>
      <c r="M411" s="117">
        <v>-3.1519769364096106</v>
      </c>
      <c r="O411" s="39">
        <f t="shared" si="28"/>
        <v>44413</v>
      </c>
      <c r="P411" s="41">
        <f t="shared" si="25"/>
        <v>79.964992869491695</v>
      </c>
      <c r="Q411" s="41">
        <f t="shared" si="26"/>
        <v>130.028976</v>
      </c>
      <c r="R411" s="41">
        <f t="shared" si="27"/>
        <v>50.063983130508305</v>
      </c>
    </row>
    <row r="412" spans="10:18">
      <c r="J412" s="118">
        <v>44250</v>
      </c>
      <c r="K412" s="116">
        <v>62.410280936409606</v>
      </c>
      <c r="L412" s="116">
        <v>59.575824000000004</v>
      </c>
      <c r="M412" s="117">
        <v>-2.8344569364096017</v>
      </c>
      <c r="O412" s="39">
        <f t="shared" si="28"/>
        <v>44412</v>
      </c>
      <c r="P412" s="41">
        <f t="shared" si="25"/>
        <v>79.964992869491695</v>
      </c>
      <c r="Q412" s="41">
        <f t="shared" si="26"/>
        <v>129.65702399999998</v>
      </c>
      <c r="R412" s="41">
        <f t="shared" si="27"/>
        <v>49.692031130508283</v>
      </c>
    </row>
    <row r="413" spans="10:18">
      <c r="J413" s="118">
        <v>44249</v>
      </c>
      <c r="K413" s="116">
        <v>62.410280936409606</v>
      </c>
      <c r="L413" s="116">
        <v>58.931711999999997</v>
      </c>
      <c r="M413" s="117">
        <v>-3.4785689364096086</v>
      </c>
      <c r="O413" s="39">
        <f t="shared" si="28"/>
        <v>44411</v>
      </c>
      <c r="P413" s="41">
        <f t="shared" si="25"/>
        <v>79.964992869491695</v>
      </c>
      <c r="Q413" s="41">
        <f t="shared" si="26"/>
        <v>129.085488</v>
      </c>
      <c r="R413" s="41">
        <f t="shared" si="27"/>
        <v>49.120495130508303</v>
      </c>
    </row>
    <row r="414" spans="10:18">
      <c r="J414" s="118">
        <v>44246</v>
      </c>
      <c r="K414" s="116">
        <v>62.410280936409606</v>
      </c>
      <c r="L414" s="116">
        <v>59.185727999999997</v>
      </c>
      <c r="M414" s="117">
        <v>-3.2245529364096086</v>
      </c>
      <c r="O414" s="39">
        <f t="shared" si="28"/>
        <v>44410</v>
      </c>
      <c r="P414" s="41">
        <f t="shared" si="25"/>
        <v>79.964992869491695</v>
      </c>
      <c r="Q414" s="41">
        <f t="shared" si="26"/>
        <v>128.09663999999998</v>
      </c>
      <c r="R414" s="41">
        <f t="shared" si="27"/>
        <v>48.131647130508284</v>
      </c>
    </row>
    <row r="415" spans="10:18">
      <c r="J415" s="118">
        <v>44245</v>
      </c>
      <c r="K415" s="116">
        <v>61.326941761853107</v>
      </c>
      <c r="L415" s="116">
        <v>57.879359999999998</v>
      </c>
      <c r="M415" s="117">
        <v>-3.4475817618531082</v>
      </c>
      <c r="O415" s="39">
        <f t="shared" si="28"/>
        <v>44409</v>
      </c>
      <c r="P415" s="41">
        <f t="shared" si="25"/>
        <v>79.964992869491695</v>
      </c>
      <c r="Q415" s="41">
        <f t="shared" si="26"/>
        <v>127.04428799999999</v>
      </c>
      <c r="R415" s="41">
        <f t="shared" si="27"/>
        <v>47.079295130508299</v>
      </c>
    </row>
    <row r="416" spans="10:18">
      <c r="J416" s="118">
        <v>44244</v>
      </c>
      <c r="K416" s="116">
        <v>61.326941761853107</v>
      </c>
      <c r="L416" s="116">
        <v>58.305743999999997</v>
      </c>
      <c r="M416" s="117">
        <v>-3.0211977618531094</v>
      </c>
      <c r="O416" s="39">
        <f t="shared" si="28"/>
        <v>44408</v>
      </c>
      <c r="P416" s="41">
        <f t="shared" si="25"/>
        <v>79.964992869491695</v>
      </c>
      <c r="Q416" s="41">
        <f t="shared" si="26"/>
        <v>127.04428799999999</v>
      </c>
      <c r="R416" s="41">
        <f t="shared" si="27"/>
        <v>47.079295130508299</v>
      </c>
    </row>
    <row r="417" spans="10:18">
      <c r="J417" s="118">
        <v>44243</v>
      </c>
      <c r="K417" s="116">
        <v>61.326941761853107</v>
      </c>
      <c r="L417" s="116">
        <v>58.205951999999996</v>
      </c>
      <c r="M417" s="117">
        <v>-3.1209897618531102</v>
      </c>
      <c r="O417" s="39">
        <f t="shared" si="28"/>
        <v>44407</v>
      </c>
      <c r="P417" s="41">
        <f t="shared" si="25"/>
        <v>79.964992869491695</v>
      </c>
      <c r="Q417" s="41">
        <f t="shared" si="26"/>
        <v>127.04428799999999</v>
      </c>
      <c r="R417" s="41">
        <f t="shared" si="27"/>
        <v>47.079295130508299</v>
      </c>
    </row>
    <row r="418" spans="10:18">
      <c r="J418" s="118">
        <v>44242</v>
      </c>
      <c r="K418" s="116">
        <v>61.326941761853107</v>
      </c>
      <c r="L418" s="116">
        <v>58.831919999999997</v>
      </c>
      <c r="M418" s="117">
        <v>-2.4950217618531099</v>
      </c>
      <c r="O418" s="39">
        <f t="shared" si="28"/>
        <v>44406</v>
      </c>
      <c r="P418" s="41">
        <f t="shared" si="25"/>
        <v>78.572891036602641</v>
      </c>
      <c r="Q418" s="41">
        <f t="shared" si="26"/>
        <v>126.953568</v>
      </c>
      <c r="R418" s="41">
        <f t="shared" si="27"/>
        <v>48.380676963397363</v>
      </c>
    </row>
    <row r="419" spans="10:18">
      <c r="J419" s="118">
        <v>44239</v>
      </c>
      <c r="K419" s="116">
        <v>61.326941761853107</v>
      </c>
      <c r="L419" s="116">
        <v>61.598880000000008</v>
      </c>
      <c r="M419" s="117">
        <v>0.27193823814690177</v>
      </c>
      <c r="O419" s="39">
        <f t="shared" si="28"/>
        <v>44405</v>
      </c>
      <c r="P419" s="41">
        <f t="shared" si="25"/>
        <v>78.572891036602641</v>
      </c>
      <c r="Q419" s="41">
        <f t="shared" si="26"/>
        <v>126.617904</v>
      </c>
      <c r="R419" s="41">
        <f t="shared" si="27"/>
        <v>48.045012963397355</v>
      </c>
    </row>
    <row r="420" spans="10:18">
      <c r="J420" s="118">
        <v>44238</v>
      </c>
      <c r="K420" s="116">
        <v>60.561945368802277</v>
      </c>
      <c r="L420" s="116">
        <v>62.007119999999993</v>
      </c>
      <c r="M420" s="117">
        <v>1.4451746311977161</v>
      </c>
      <c r="O420" s="39">
        <f t="shared" si="28"/>
        <v>44404</v>
      </c>
      <c r="P420" s="41">
        <f t="shared" si="25"/>
        <v>78.572891036602641</v>
      </c>
      <c r="Q420" s="41">
        <f t="shared" si="26"/>
        <v>126.699552</v>
      </c>
      <c r="R420" s="41">
        <f t="shared" si="27"/>
        <v>48.126660963397356</v>
      </c>
    </row>
    <row r="421" spans="10:18">
      <c r="J421" s="118">
        <v>44237</v>
      </c>
      <c r="K421" s="116">
        <v>60.561945368802277</v>
      </c>
      <c r="L421" s="116">
        <v>62.705664000000006</v>
      </c>
      <c r="M421" s="117">
        <v>2.1437186311977285</v>
      </c>
      <c r="O421" s="39">
        <f t="shared" si="28"/>
        <v>44403</v>
      </c>
      <c r="P421" s="41">
        <f t="shared" si="25"/>
        <v>78.572891036602641</v>
      </c>
      <c r="Q421" s="41">
        <f t="shared" si="26"/>
        <v>126.7812</v>
      </c>
      <c r="R421" s="41">
        <f t="shared" si="27"/>
        <v>48.208308963397357</v>
      </c>
    </row>
    <row r="422" spans="10:18">
      <c r="J422" s="118">
        <v>44236</v>
      </c>
      <c r="K422" s="116">
        <v>60.561945368802277</v>
      </c>
      <c r="L422" s="116">
        <v>62.315567999999999</v>
      </c>
      <c r="M422" s="117">
        <v>1.7536226311977217</v>
      </c>
      <c r="O422" s="39">
        <f t="shared" si="28"/>
        <v>44402</v>
      </c>
      <c r="P422" s="41">
        <f t="shared" si="25"/>
        <v>78.572891036602641</v>
      </c>
      <c r="Q422" s="41">
        <f t="shared" si="26"/>
        <v>125.583696</v>
      </c>
      <c r="R422" s="41">
        <f t="shared" si="27"/>
        <v>47.010804963397362</v>
      </c>
    </row>
    <row r="423" spans="10:18">
      <c r="J423" s="118">
        <v>44235</v>
      </c>
      <c r="K423" s="116">
        <v>60.561945368802277</v>
      </c>
      <c r="L423" s="116">
        <v>61.988976000000001</v>
      </c>
      <c r="M423" s="117">
        <v>1.4270306311977237</v>
      </c>
      <c r="O423" s="39">
        <f t="shared" si="28"/>
        <v>44401</v>
      </c>
      <c r="P423" s="41">
        <f t="shared" si="25"/>
        <v>78.572891036602641</v>
      </c>
      <c r="Q423" s="41">
        <f t="shared" si="26"/>
        <v>125.583696</v>
      </c>
      <c r="R423" s="41">
        <f t="shared" si="27"/>
        <v>47.010804963397362</v>
      </c>
    </row>
    <row r="424" spans="10:18">
      <c r="J424" s="118">
        <v>44232</v>
      </c>
      <c r="K424" s="116">
        <v>60.561945368802277</v>
      </c>
      <c r="L424" s="116">
        <v>60.102000000000004</v>
      </c>
      <c r="M424" s="117">
        <v>-0.45994536880227344</v>
      </c>
      <c r="O424" s="39">
        <f t="shared" si="28"/>
        <v>44400</v>
      </c>
      <c r="P424" s="41">
        <f t="shared" si="25"/>
        <v>78.572891036602641</v>
      </c>
      <c r="Q424" s="41">
        <f t="shared" si="26"/>
        <v>125.583696</v>
      </c>
      <c r="R424" s="41">
        <f t="shared" si="27"/>
        <v>47.010804963397362</v>
      </c>
    </row>
    <row r="425" spans="10:18">
      <c r="J425" s="118">
        <v>44231</v>
      </c>
      <c r="K425" s="116">
        <v>62.026133702288817</v>
      </c>
      <c r="L425" s="116">
        <v>58.532543999999994</v>
      </c>
      <c r="M425" s="117">
        <v>-3.4935897022888227</v>
      </c>
      <c r="O425" s="39">
        <f t="shared" si="28"/>
        <v>44399</v>
      </c>
      <c r="P425" s="41">
        <f t="shared" si="25"/>
        <v>78.30433348535712</v>
      </c>
      <c r="Q425" s="41">
        <f t="shared" si="26"/>
        <v>125.456688</v>
      </c>
      <c r="R425" s="41">
        <f t="shared" si="27"/>
        <v>47.15235451464288</v>
      </c>
    </row>
    <row r="426" spans="10:18">
      <c r="J426" s="118">
        <v>44230</v>
      </c>
      <c r="K426" s="116">
        <v>62.026133702288817</v>
      </c>
      <c r="L426" s="116">
        <v>57.543695999999997</v>
      </c>
      <c r="M426" s="117">
        <v>-4.48243770228882</v>
      </c>
      <c r="O426" s="39">
        <f t="shared" si="28"/>
        <v>44398</v>
      </c>
      <c r="P426" s="41">
        <f t="shared" si="25"/>
        <v>78.30433348535712</v>
      </c>
      <c r="Q426" s="41">
        <f t="shared" si="26"/>
        <v>125.1936</v>
      </c>
      <c r="R426" s="41">
        <f t="shared" si="27"/>
        <v>46.889266514642884</v>
      </c>
    </row>
    <row r="427" spans="10:18">
      <c r="J427" s="118">
        <v>44229</v>
      </c>
      <c r="K427" s="116">
        <v>62.026133702288817</v>
      </c>
      <c r="L427" s="116">
        <v>57.425759999999997</v>
      </c>
      <c r="M427" s="117">
        <v>-4.6003737022888203</v>
      </c>
      <c r="O427" s="39">
        <f t="shared" si="28"/>
        <v>44397</v>
      </c>
      <c r="P427" s="41">
        <f t="shared" si="25"/>
        <v>78.30433348535712</v>
      </c>
      <c r="Q427" s="41">
        <f t="shared" si="26"/>
        <v>125.71977600000001</v>
      </c>
      <c r="R427" s="41">
        <f t="shared" si="27"/>
        <v>47.415442514642891</v>
      </c>
    </row>
    <row r="428" spans="10:18">
      <c r="J428" s="118">
        <v>44228</v>
      </c>
      <c r="K428" s="116">
        <v>62.026133702288817</v>
      </c>
      <c r="L428" s="116">
        <v>60.700751999999994</v>
      </c>
      <c r="M428" s="117">
        <v>-1.3253817022888228</v>
      </c>
      <c r="O428" s="39">
        <f t="shared" si="28"/>
        <v>44396</v>
      </c>
      <c r="P428" s="41">
        <f t="shared" si="25"/>
        <v>78.30433348535712</v>
      </c>
      <c r="Q428" s="41">
        <f t="shared" si="26"/>
        <v>126.7812</v>
      </c>
      <c r="R428" s="41">
        <f t="shared" si="27"/>
        <v>48.476866514642879</v>
      </c>
    </row>
    <row r="429" spans="10:18">
      <c r="J429" s="118">
        <v>44225</v>
      </c>
      <c r="K429" s="116">
        <v>62.026133702288817</v>
      </c>
      <c r="L429" s="116">
        <v>63.485856000000005</v>
      </c>
      <c r="M429" s="117">
        <v>1.4597222977111883</v>
      </c>
      <c r="O429" s="39">
        <f t="shared" si="28"/>
        <v>44395</v>
      </c>
      <c r="P429" s="41">
        <f t="shared" si="25"/>
        <v>78.30433348535712</v>
      </c>
      <c r="Q429" s="41">
        <f t="shared" si="26"/>
        <v>123.460848</v>
      </c>
      <c r="R429" s="41">
        <f t="shared" si="27"/>
        <v>45.156514514642879</v>
      </c>
    </row>
    <row r="430" spans="10:18">
      <c r="J430" s="118">
        <v>44224</v>
      </c>
      <c r="K430" s="116">
        <v>62.610992369445739</v>
      </c>
      <c r="L430" s="116">
        <v>63.005040000000001</v>
      </c>
      <c r="M430" s="117">
        <v>0.39404763055426173</v>
      </c>
      <c r="O430" s="39">
        <f t="shared" si="28"/>
        <v>44394</v>
      </c>
      <c r="P430" s="41">
        <f t="shared" si="25"/>
        <v>78.30433348535712</v>
      </c>
      <c r="Q430" s="41">
        <f t="shared" si="26"/>
        <v>123.460848</v>
      </c>
      <c r="R430" s="41">
        <f t="shared" si="27"/>
        <v>45.156514514642879</v>
      </c>
    </row>
    <row r="431" spans="10:18">
      <c r="J431" s="118">
        <v>44223</v>
      </c>
      <c r="K431" s="116">
        <v>62.610992369445739</v>
      </c>
      <c r="L431" s="116">
        <v>60.328800000000001</v>
      </c>
      <c r="M431" s="117">
        <v>-2.2821923694457382</v>
      </c>
      <c r="O431" s="39">
        <f t="shared" si="28"/>
        <v>44393</v>
      </c>
      <c r="P431" s="41">
        <f t="shared" si="25"/>
        <v>78.30433348535712</v>
      </c>
      <c r="Q431" s="41">
        <f t="shared" si="26"/>
        <v>123.460848</v>
      </c>
      <c r="R431" s="41">
        <f t="shared" si="27"/>
        <v>45.156514514642879</v>
      </c>
    </row>
    <row r="432" spans="10:18">
      <c r="J432" s="118">
        <v>44222</v>
      </c>
      <c r="K432" s="116">
        <v>62.610992369445739</v>
      </c>
      <c r="L432" s="116">
        <v>59.421599999999998</v>
      </c>
      <c r="M432" s="117">
        <v>-3.1893923694457413</v>
      </c>
      <c r="O432" s="39">
        <f t="shared" si="28"/>
        <v>44392</v>
      </c>
      <c r="P432" s="41">
        <f t="shared" si="25"/>
        <v>75.818684149940253</v>
      </c>
      <c r="Q432" s="41">
        <f t="shared" si="26"/>
        <v>123.83280000000001</v>
      </c>
      <c r="R432" s="41">
        <f t="shared" si="27"/>
        <v>48.014115850059753</v>
      </c>
    </row>
    <row r="433" spans="10:18">
      <c r="J433" s="118">
        <v>44221</v>
      </c>
      <c r="K433" s="116">
        <v>62.610992369445739</v>
      </c>
      <c r="L433" s="116">
        <v>60.120143999999996</v>
      </c>
      <c r="M433" s="117">
        <v>-2.4908483694457431</v>
      </c>
      <c r="O433" s="39">
        <f t="shared" si="28"/>
        <v>44391</v>
      </c>
      <c r="P433" s="41">
        <f t="shared" si="25"/>
        <v>75.818684149940253</v>
      </c>
      <c r="Q433" s="41">
        <f t="shared" si="26"/>
        <v>124.5132</v>
      </c>
      <c r="R433" s="41">
        <f t="shared" si="27"/>
        <v>48.694515850059744</v>
      </c>
    </row>
    <row r="434" spans="10:18">
      <c r="J434" s="118">
        <v>44218</v>
      </c>
      <c r="K434" s="116">
        <v>62.610992369445739</v>
      </c>
      <c r="L434" s="116">
        <v>59.349024</v>
      </c>
      <c r="M434" s="117">
        <v>-3.2619683694457393</v>
      </c>
      <c r="O434" s="39">
        <f t="shared" si="28"/>
        <v>44390</v>
      </c>
      <c r="P434" s="41">
        <f t="shared" si="25"/>
        <v>75.818684149940253</v>
      </c>
      <c r="Q434" s="41">
        <f t="shared" si="26"/>
        <v>123.67857600000001</v>
      </c>
      <c r="R434" s="41">
        <f t="shared" si="27"/>
        <v>47.859891850059753</v>
      </c>
    </row>
    <row r="435" spans="10:18">
      <c r="J435" s="118">
        <v>44217</v>
      </c>
      <c r="K435" s="116">
        <v>61.293803958746224</v>
      </c>
      <c r="L435" s="116">
        <v>61.090848000000001</v>
      </c>
      <c r="M435" s="117">
        <v>-0.20295595874622308</v>
      </c>
      <c r="O435" s="39">
        <f t="shared" si="28"/>
        <v>44389</v>
      </c>
      <c r="P435" s="41">
        <f t="shared" si="25"/>
        <v>75.818684149940253</v>
      </c>
      <c r="Q435" s="41">
        <f t="shared" si="26"/>
        <v>118.3896</v>
      </c>
      <c r="R435" s="41">
        <f t="shared" si="27"/>
        <v>42.570915850059748</v>
      </c>
    </row>
    <row r="436" spans="10:18">
      <c r="J436" s="118">
        <v>44216</v>
      </c>
      <c r="K436" s="116">
        <v>61.293803958746224</v>
      </c>
      <c r="L436" s="116">
        <v>60.709824000000005</v>
      </c>
      <c r="M436" s="117">
        <v>-0.58397995874621955</v>
      </c>
      <c r="O436" s="39">
        <f t="shared" si="28"/>
        <v>44388</v>
      </c>
      <c r="P436" s="41">
        <f t="shared" si="25"/>
        <v>75.818684149940253</v>
      </c>
      <c r="Q436" s="41">
        <f t="shared" si="26"/>
        <v>118.108368</v>
      </c>
      <c r="R436" s="41">
        <f t="shared" si="27"/>
        <v>42.289683850059745</v>
      </c>
    </row>
    <row r="437" spans="10:18">
      <c r="J437" s="118">
        <v>44215</v>
      </c>
      <c r="K437" s="116">
        <v>61.293803958746224</v>
      </c>
      <c r="L437" s="116">
        <v>59.258303999999995</v>
      </c>
      <c r="M437" s="117">
        <v>-2.0354999587462288</v>
      </c>
      <c r="O437" s="39">
        <f t="shared" si="28"/>
        <v>44387</v>
      </c>
      <c r="P437" s="41">
        <f t="shared" si="25"/>
        <v>75.818684149940253</v>
      </c>
      <c r="Q437" s="41">
        <f t="shared" si="26"/>
        <v>118.108368</v>
      </c>
      <c r="R437" s="41">
        <f t="shared" si="27"/>
        <v>42.289683850059745</v>
      </c>
    </row>
    <row r="438" spans="10:18">
      <c r="J438" s="118">
        <v>44214</v>
      </c>
      <c r="K438" s="116">
        <v>61.293803958746224</v>
      </c>
      <c r="L438" s="116">
        <v>60.909407999999999</v>
      </c>
      <c r="M438" s="117">
        <v>-0.38439595874622512</v>
      </c>
      <c r="O438" s="39">
        <f t="shared" si="28"/>
        <v>44386</v>
      </c>
      <c r="P438" s="41">
        <f t="shared" si="25"/>
        <v>75.818684149940253</v>
      </c>
      <c r="Q438" s="41">
        <f t="shared" si="26"/>
        <v>118.108368</v>
      </c>
      <c r="R438" s="41">
        <f t="shared" si="27"/>
        <v>42.289683850059745</v>
      </c>
    </row>
    <row r="439" spans="10:18">
      <c r="J439" s="118">
        <v>44211</v>
      </c>
      <c r="K439" s="116">
        <v>61.293803958746224</v>
      </c>
      <c r="L439" s="116">
        <v>63.132048000000005</v>
      </c>
      <c r="M439" s="117">
        <v>1.8382440412537804</v>
      </c>
      <c r="O439" s="39">
        <f t="shared" si="28"/>
        <v>44385</v>
      </c>
      <c r="P439" s="41">
        <f t="shared" si="25"/>
        <v>73.916165918485149</v>
      </c>
      <c r="Q439" s="41">
        <f t="shared" si="26"/>
        <v>113.463504</v>
      </c>
      <c r="R439" s="41">
        <f t="shared" si="27"/>
        <v>39.547338081514852</v>
      </c>
    </row>
    <row r="440" spans="10:18">
      <c r="J440" s="118">
        <v>44210</v>
      </c>
      <c r="K440" s="116">
        <v>60.523624876109949</v>
      </c>
      <c r="L440" s="116">
        <v>64.293264000000008</v>
      </c>
      <c r="M440" s="117">
        <v>3.7696391238900588</v>
      </c>
      <c r="O440" s="39">
        <f t="shared" si="28"/>
        <v>44384</v>
      </c>
      <c r="P440" s="41">
        <f t="shared" si="25"/>
        <v>73.916165918485149</v>
      </c>
      <c r="Q440" s="41">
        <f t="shared" si="26"/>
        <v>113.708448</v>
      </c>
      <c r="R440" s="41">
        <f t="shared" si="27"/>
        <v>39.792282081514855</v>
      </c>
    </row>
    <row r="441" spans="10:18">
      <c r="J441" s="118">
        <v>44209</v>
      </c>
      <c r="K441" s="116">
        <v>60.523624876109949</v>
      </c>
      <c r="L441" s="116">
        <v>64.628928000000002</v>
      </c>
      <c r="M441" s="117">
        <v>4.105303123890053</v>
      </c>
      <c r="O441" s="39">
        <f t="shared" si="28"/>
        <v>44383</v>
      </c>
      <c r="P441" s="41">
        <f t="shared" si="25"/>
        <v>73.916165918485149</v>
      </c>
      <c r="Q441" s="41">
        <f t="shared" si="26"/>
        <v>115.62264</v>
      </c>
      <c r="R441" s="41">
        <f t="shared" si="27"/>
        <v>41.706474081514855</v>
      </c>
    </row>
    <row r="442" spans="10:18">
      <c r="J442" s="118">
        <v>44208</v>
      </c>
      <c r="K442" s="116">
        <v>60.523624876109949</v>
      </c>
      <c r="L442" s="116">
        <v>64.211616000000006</v>
      </c>
      <c r="M442" s="117">
        <v>3.6879911238900576</v>
      </c>
      <c r="O442" s="39">
        <f t="shared" si="28"/>
        <v>44382</v>
      </c>
      <c r="P442" s="41">
        <f t="shared" si="25"/>
        <v>73.916165918485149</v>
      </c>
      <c r="Q442" s="41">
        <f t="shared" si="26"/>
        <v>118.28073599999999</v>
      </c>
      <c r="R442" s="41">
        <f t="shared" si="27"/>
        <v>44.364570081514842</v>
      </c>
    </row>
    <row r="443" spans="10:18">
      <c r="J443" s="118">
        <v>44207</v>
      </c>
      <c r="K443" s="116">
        <v>60.523624876109949</v>
      </c>
      <c r="L443" s="116">
        <v>62.751024000000001</v>
      </c>
      <c r="M443" s="117">
        <v>2.2273991238900521</v>
      </c>
      <c r="O443" s="39">
        <f t="shared" si="28"/>
        <v>44381</v>
      </c>
      <c r="P443" s="41">
        <f t="shared" si="25"/>
        <v>73.916165918485149</v>
      </c>
      <c r="Q443" s="41">
        <f t="shared" si="26"/>
        <v>115.35048</v>
      </c>
      <c r="R443" s="41">
        <f t="shared" si="27"/>
        <v>41.434314081514856</v>
      </c>
    </row>
    <row r="444" spans="10:18">
      <c r="J444" s="118">
        <v>44204</v>
      </c>
      <c r="K444" s="116">
        <v>59.62341368228698</v>
      </c>
      <c r="L444" s="116">
        <v>61.553519999999992</v>
      </c>
      <c r="M444" s="117">
        <v>1.9301063177130118</v>
      </c>
      <c r="O444" s="39">
        <f t="shared" si="28"/>
        <v>44380</v>
      </c>
      <c r="P444" s="41">
        <f t="shared" si="25"/>
        <v>73.916165918485149</v>
      </c>
      <c r="Q444" s="41">
        <f t="shared" si="26"/>
        <v>115.35048</v>
      </c>
      <c r="R444" s="41">
        <f t="shared" si="27"/>
        <v>41.434314081514856</v>
      </c>
    </row>
    <row r="445" spans="10:18">
      <c r="J445" s="118">
        <v>44203</v>
      </c>
      <c r="K445" s="116">
        <v>58.150901635223825</v>
      </c>
      <c r="L445" s="116">
        <v>58.786559999999994</v>
      </c>
      <c r="M445" s="117">
        <v>0.63565836477616955</v>
      </c>
      <c r="O445" s="39">
        <f t="shared" si="28"/>
        <v>44379</v>
      </c>
      <c r="P445" s="41">
        <f t="shared" si="25"/>
        <v>73.916165918485149</v>
      </c>
      <c r="Q445" s="41">
        <f t="shared" si="26"/>
        <v>115.35048</v>
      </c>
      <c r="R445" s="41">
        <f t="shared" si="27"/>
        <v>41.434314081514856</v>
      </c>
    </row>
    <row r="446" spans="10:18">
      <c r="J446" s="118">
        <v>44202</v>
      </c>
      <c r="K446" s="116">
        <v>58.150901635223825</v>
      </c>
      <c r="L446" s="116">
        <v>57.480192000000002</v>
      </c>
      <c r="M446" s="117">
        <v>-0.67070963522382243</v>
      </c>
      <c r="O446" s="39">
        <f t="shared" si="28"/>
        <v>44378</v>
      </c>
      <c r="P446" s="41">
        <f t="shared" si="25"/>
        <v>71.177350049379541</v>
      </c>
      <c r="Q446" s="41">
        <f t="shared" si="26"/>
        <v>113.744736</v>
      </c>
      <c r="R446" s="41">
        <f t="shared" si="27"/>
        <v>42.567385950620462</v>
      </c>
    </row>
    <row r="447" spans="10:18">
      <c r="J447" s="118">
        <v>44201</v>
      </c>
      <c r="K447" s="116">
        <v>58.150901635223825</v>
      </c>
      <c r="L447" s="116">
        <v>57.970079999999996</v>
      </c>
      <c r="M447" s="117">
        <v>-0.18082163522382899</v>
      </c>
      <c r="O447" s="39">
        <f t="shared" si="28"/>
        <v>44377</v>
      </c>
      <c r="P447" s="41">
        <f t="shared" si="25"/>
        <v>71.177350049379541</v>
      </c>
      <c r="Q447" s="41">
        <f t="shared" si="26"/>
        <v>109.372032</v>
      </c>
      <c r="R447" s="41">
        <f t="shared" si="27"/>
        <v>38.194681950620463</v>
      </c>
    </row>
    <row r="448" spans="10:18">
      <c r="J448" s="118">
        <v>44200</v>
      </c>
      <c r="K448" s="116">
        <v>58.150901635223825</v>
      </c>
      <c r="L448" s="116">
        <v>62.324640000000002</v>
      </c>
      <c r="M448" s="117">
        <v>4.1737383647761774</v>
      </c>
      <c r="O448" s="39">
        <f t="shared" si="28"/>
        <v>44376</v>
      </c>
      <c r="P448" s="41">
        <f t="shared" si="25"/>
        <v>71.177350049379541</v>
      </c>
      <c r="Q448" s="41">
        <f t="shared" si="26"/>
        <v>107.630208</v>
      </c>
      <c r="R448" s="41">
        <f t="shared" si="27"/>
        <v>36.452857950620455</v>
      </c>
    </row>
    <row r="449" spans="10:18">
      <c r="J449" s="118">
        <v>44197</v>
      </c>
      <c r="K449" s="116">
        <v>58.150901635223825</v>
      </c>
      <c r="L449" s="116">
        <v>61.916400000000003</v>
      </c>
      <c r="M449" s="117">
        <v>3.7654983647761782</v>
      </c>
      <c r="O449" s="39">
        <f t="shared" si="28"/>
        <v>44375</v>
      </c>
      <c r="P449" s="41">
        <f t="shared" si="25"/>
        <v>71.177350049379541</v>
      </c>
      <c r="Q449" s="41">
        <f t="shared" si="26"/>
        <v>106.596</v>
      </c>
      <c r="R449" s="41">
        <f t="shared" si="27"/>
        <v>35.418649950620463</v>
      </c>
    </row>
    <row r="450" spans="10:18">
      <c r="J450" s="118">
        <v>44196</v>
      </c>
      <c r="K450" s="116">
        <v>57.514059021012969</v>
      </c>
      <c r="L450" s="116">
        <v>61.916400000000003</v>
      </c>
      <c r="M450" s="117">
        <v>4.4023409789870342</v>
      </c>
      <c r="O450" s="39">
        <f t="shared" si="28"/>
        <v>44374</v>
      </c>
      <c r="P450" s="41">
        <f t="shared" si="25"/>
        <v>71.177350049379541</v>
      </c>
      <c r="Q450" s="41">
        <f t="shared" si="26"/>
        <v>107.41248</v>
      </c>
      <c r="R450" s="41">
        <f t="shared" si="27"/>
        <v>36.235129950620461</v>
      </c>
    </row>
    <row r="451" spans="10:18">
      <c r="J451" s="118">
        <v>44195</v>
      </c>
      <c r="K451" s="116">
        <v>57.514059021012969</v>
      </c>
      <c r="L451" s="116">
        <v>62.524224000000004</v>
      </c>
      <c r="M451" s="117">
        <v>5.0101649789870351</v>
      </c>
      <c r="O451" s="39">
        <f t="shared" si="28"/>
        <v>44373</v>
      </c>
      <c r="P451" s="41">
        <f t="shared" si="25"/>
        <v>71.177350049379541</v>
      </c>
      <c r="Q451" s="41">
        <f t="shared" si="26"/>
        <v>107.41248</v>
      </c>
      <c r="R451" s="41">
        <f t="shared" si="27"/>
        <v>36.235129950620461</v>
      </c>
    </row>
    <row r="452" spans="10:18">
      <c r="J452" s="118">
        <v>44194</v>
      </c>
      <c r="K452" s="116">
        <v>57.514059021012969</v>
      </c>
      <c r="L452" s="116">
        <v>63.277200000000001</v>
      </c>
      <c r="M452" s="117">
        <v>5.7631409789870318</v>
      </c>
      <c r="O452" s="39">
        <f t="shared" si="28"/>
        <v>44372</v>
      </c>
      <c r="P452" s="41">
        <f t="shared" si="25"/>
        <v>71.177350049379541</v>
      </c>
      <c r="Q452" s="41">
        <f t="shared" si="26"/>
        <v>107.41248</v>
      </c>
      <c r="R452" s="41">
        <f t="shared" si="27"/>
        <v>36.235129950620461</v>
      </c>
    </row>
    <row r="453" spans="10:18">
      <c r="J453" s="118">
        <v>44193</v>
      </c>
      <c r="K453" s="116">
        <v>57.514059021012969</v>
      </c>
      <c r="L453" s="116">
        <v>63.050400000000003</v>
      </c>
      <c r="M453" s="117">
        <v>5.5363409789870346</v>
      </c>
      <c r="O453" s="39">
        <f t="shared" si="28"/>
        <v>44371</v>
      </c>
      <c r="P453" s="41">
        <f t="shared" si="25"/>
        <v>70.483183747329718</v>
      </c>
      <c r="Q453" s="41">
        <f t="shared" si="26"/>
        <v>104.11027200000001</v>
      </c>
      <c r="R453" s="41">
        <f t="shared" si="27"/>
        <v>33.627088252670291</v>
      </c>
    </row>
    <row r="454" spans="10:18">
      <c r="J454" s="118">
        <v>44190</v>
      </c>
      <c r="K454" s="116">
        <v>57.514059021012969</v>
      </c>
      <c r="L454" s="116">
        <v>63.050400000000003</v>
      </c>
      <c r="M454" s="117">
        <v>5.5363409789870346</v>
      </c>
      <c r="O454" s="39">
        <f t="shared" si="28"/>
        <v>44370</v>
      </c>
      <c r="P454" s="41">
        <f t="shared" ref="P454:P517" si="29">IFERROR(VLOOKUP($O454,$J$5:$M$403,2,FALSE),P455)</f>
        <v>70.483183747329718</v>
      </c>
      <c r="Q454" s="41">
        <f t="shared" ref="Q454:Q517" si="30">IFERROR(VLOOKUP($O454,$J$5:$M$403,3,FALSE),Q455)</f>
        <v>100.65384</v>
      </c>
      <c r="R454" s="41">
        <f t="shared" ref="R454:R517" si="31">IFERROR(VLOOKUP($O454,$J$5:$M$403,4,FALSE),R455)</f>
        <v>30.170656252670284</v>
      </c>
    </row>
    <row r="455" spans="10:18">
      <c r="J455" s="118">
        <v>44189</v>
      </c>
      <c r="K455" s="116">
        <v>57.299055928816998</v>
      </c>
      <c r="L455" s="116">
        <v>63.050400000000003</v>
      </c>
      <c r="M455" s="117">
        <v>5.7513440711830057</v>
      </c>
      <c r="O455" s="39">
        <f t="shared" ref="O455:O518" si="32">O454-1</f>
        <v>44369</v>
      </c>
      <c r="P455" s="41">
        <f t="shared" si="29"/>
        <v>70.483183747329718</v>
      </c>
      <c r="Q455" s="41">
        <f t="shared" si="30"/>
        <v>98.658000000000001</v>
      </c>
      <c r="R455" s="41">
        <f t="shared" si="31"/>
        <v>28.174816252670283</v>
      </c>
    </row>
    <row r="456" spans="10:18">
      <c r="J456" s="118">
        <v>44188</v>
      </c>
      <c r="K456" s="116">
        <v>57.299055928816998</v>
      </c>
      <c r="L456" s="116">
        <v>63.730800000000002</v>
      </c>
      <c r="M456" s="117">
        <v>6.4317440711830045</v>
      </c>
      <c r="O456" s="39">
        <f t="shared" si="32"/>
        <v>44368</v>
      </c>
      <c r="P456" s="41">
        <f t="shared" si="29"/>
        <v>70.483183747329718</v>
      </c>
      <c r="Q456" s="41">
        <f t="shared" si="30"/>
        <v>97.133904000000001</v>
      </c>
      <c r="R456" s="41">
        <f t="shared" si="31"/>
        <v>26.650720252670283</v>
      </c>
    </row>
    <row r="457" spans="10:18">
      <c r="J457" s="118">
        <v>44187</v>
      </c>
      <c r="K457" s="116">
        <v>57.299055928816998</v>
      </c>
      <c r="L457" s="116">
        <v>63.476784000000002</v>
      </c>
      <c r="M457" s="117">
        <v>6.1777280711830045</v>
      </c>
      <c r="O457" s="39">
        <f t="shared" si="32"/>
        <v>44367</v>
      </c>
      <c r="P457" s="41">
        <f t="shared" si="29"/>
        <v>70.483183747329718</v>
      </c>
      <c r="Q457" s="41">
        <f t="shared" si="30"/>
        <v>95.800319999999999</v>
      </c>
      <c r="R457" s="41">
        <f t="shared" si="31"/>
        <v>25.317136252670281</v>
      </c>
    </row>
    <row r="458" spans="10:18">
      <c r="J458" s="118">
        <v>44186</v>
      </c>
      <c r="K458" s="116">
        <v>57.299055928816998</v>
      </c>
      <c r="L458" s="116">
        <v>62.669376</v>
      </c>
      <c r="M458" s="117">
        <v>5.3703200711830021</v>
      </c>
      <c r="O458" s="39">
        <f t="shared" si="32"/>
        <v>44366</v>
      </c>
      <c r="P458" s="41">
        <f t="shared" si="29"/>
        <v>70.483183747329718</v>
      </c>
      <c r="Q458" s="41">
        <f t="shared" si="30"/>
        <v>95.800319999999999</v>
      </c>
      <c r="R458" s="41">
        <f t="shared" si="31"/>
        <v>25.317136252670281</v>
      </c>
    </row>
    <row r="459" spans="10:18">
      <c r="J459" s="118">
        <v>44183</v>
      </c>
      <c r="K459" s="116">
        <v>57.299055928816998</v>
      </c>
      <c r="L459" s="116">
        <v>62.1432</v>
      </c>
      <c r="M459" s="117">
        <v>4.8441440711830026</v>
      </c>
      <c r="O459" s="39">
        <f t="shared" si="32"/>
        <v>44365</v>
      </c>
      <c r="P459" s="41">
        <f t="shared" si="29"/>
        <v>70.483183747329718</v>
      </c>
      <c r="Q459" s="41">
        <f t="shared" si="30"/>
        <v>95.800319999999999</v>
      </c>
      <c r="R459" s="41">
        <f t="shared" si="31"/>
        <v>25.317136252670281</v>
      </c>
    </row>
    <row r="460" spans="10:18">
      <c r="J460" s="118">
        <v>44182</v>
      </c>
      <c r="K460" s="116">
        <v>56.654046652229063</v>
      </c>
      <c r="L460" s="116">
        <v>62.442575999999995</v>
      </c>
      <c r="M460" s="117">
        <v>5.7885293477709325</v>
      </c>
      <c r="O460" s="39">
        <f t="shared" si="32"/>
        <v>44364</v>
      </c>
      <c r="P460" s="41">
        <f t="shared" si="29"/>
        <v>66.836297842375231</v>
      </c>
      <c r="Q460" s="41">
        <f t="shared" si="30"/>
        <v>95.256</v>
      </c>
      <c r="R460" s="41">
        <f t="shared" si="31"/>
        <v>28.419702157624769</v>
      </c>
    </row>
    <row r="461" spans="10:18">
      <c r="J461" s="118">
        <v>44181</v>
      </c>
      <c r="K461" s="116">
        <v>56.654046652229063</v>
      </c>
      <c r="L461" s="116">
        <v>62.542367999999996</v>
      </c>
      <c r="M461" s="117">
        <v>5.8883213477709333</v>
      </c>
      <c r="O461" s="39">
        <f t="shared" si="32"/>
        <v>44363</v>
      </c>
      <c r="P461" s="41">
        <f t="shared" si="29"/>
        <v>66.836297842375231</v>
      </c>
      <c r="Q461" s="41">
        <f t="shared" si="30"/>
        <v>96.163200000000003</v>
      </c>
      <c r="R461" s="41">
        <f t="shared" si="31"/>
        <v>29.326902157624772</v>
      </c>
    </row>
    <row r="462" spans="10:18">
      <c r="J462" s="118">
        <v>44180</v>
      </c>
      <c r="K462" s="116">
        <v>56.654046652229063</v>
      </c>
      <c r="L462" s="116">
        <v>62.333711999999991</v>
      </c>
      <c r="M462" s="117">
        <v>5.6796653477709285</v>
      </c>
      <c r="O462" s="39">
        <f t="shared" si="32"/>
        <v>44362</v>
      </c>
      <c r="P462" s="41">
        <f t="shared" si="29"/>
        <v>66.836297842375231</v>
      </c>
      <c r="Q462" s="41">
        <f t="shared" si="30"/>
        <v>101.860416</v>
      </c>
      <c r="R462" s="41">
        <f t="shared" si="31"/>
        <v>35.02411815762477</v>
      </c>
    </row>
    <row r="463" spans="10:18">
      <c r="J463" s="118">
        <v>44179</v>
      </c>
      <c r="K463" s="116">
        <v>56.654046652229063</v>
      </c>
      <c r="L463" s="116">
        <v>61.562592000000002</v>
      </c>
      <c r="M463" s="117">
        <v>4.9085453477709393</v>
      </c>
      <c r="O463" s="39">
        <f t="shared" si="32"/>
        <v>44361</v>
      </c>
      <c r="P463" s="41">
        <f t="shared" si="29"/>
        <v>66.836297842375231</v>
      </c>
      <c r="Q463" s="41">
        <f t="shared" si="30"/>
        <v>107.838864</v>
      </c>
      <c r="R463" s="41">
        <f t="shared" si="31"/>
        <v>41.00256615762477</v>
      </c>
    </row>
    <row r="464" spans="10:18">
      <c r="J464" s="118">
        <v>44176</v>
      </c>
      <c r="K464" s="116">
        <v>56.654046652229063</v>
      </c>
      <c r="L464" s="116">
        <v>59.829840000000004</v>
      </c>
      <c r="M464" s="117">
        <v>3.1757933477709415</v>
      </c>
      <c r="O464" s="39">
        <f t="shared" si="32"/>
        <v>44360</v>
      </c>
      <c r="P464" s="41">
        <f t="shared" si="29"/>
        <v>66.836297842375231</v>
      </c>
      <c r="Q464" s="41">
        <f t="shared" si="30"/>
        <v>108.64627200000001</v>
      </c>
      <c r="R464" s="41">
        <f t="shared" si="31"/>
        <v>41.809974157624779</v>
      </c>
    </row>
    <row r="465" spans="10:18">
      <c r="J465" s="118">
        <v>44175</v>
      </c>
      <c r="K465" s="116">
        <v>56.994376601672947</v>
      </c>
      <c r="L465" s="116">
        <v>58.450896000000007</v>
      </c>
      <c r="M465" s="117">
        <v>1.4565193983270603</v>
      </c>
      <c r="O465" s="39">
        <f t="shared" si="32"/>
        <v>44359</v>
      </c>
      <c r="P465" s="41">
        <f t="shared" si="29"/>
        <v>66.836297842375231</v>
      </c>
      <c r="Q465" s="41">
        <f t="shared" si="30"/>
        <v>108.64627200000001</v>
      </c>
      <c r="R465" s="41">
        <f t="shared" si="31"/>
        <v>41.809974157624779</v>
      </c>
    </row>
    <row r="466" spans="10:18">
      <c r="J466" s="118">
        <v>44174</v>
      </c>
      <c r="K466" s="116">
        <v>56.994376601672947</v>
      </c>
      <c r="L466" s="116">
        <v>58.532543999999994</v>
      </c>
      <c r="M466" s="117">
        <v>1.5381673983270474</v>
      </c>
      <c r="O466" s="39">
        <f t="shared" si="32"/>
        <v>44358</v>
      </c>
      <c r="P466" s="41">
        <f t="shared" si="29"/>
        <v>66.836297842375231</v>
      </c>
      <c r="Q466" s="41">
        <f t="shared" si="30"/>
        <v>108.64627200000001</v>
      </c>
      <c r="R466" s="41">
        <f t="shared" si="31"/>
        <v>41.809974157624779</v>
      </c>
    </row>
    <row r="467" spans="10:18">
      <c r="J467" s="118">
        <v>44173</v>
      </c>
      <c r="K467" s="116">
        <v>56.994376601672947</v>
      </c>
      <c r="L467" s="116">
        <v>57.462048000000003</v>
      </c>
      <c r="M467" s="117">
        <v>0.46767139832705595</v>
      </c>
      <c r="O467" s="39">
        <f t="shared" si="32"/>
        <v>44357</v>
      </c>
      <c r="P467" s="41">
        <f t="shared" si="29"/>
        <v>64.925612948543076</v>
      </c>
      <c r="Q467" s="41">
        <f t="shared" si="30"/>
        <v>107.14032</v>
      </c>
      <c r="R467" s="41">
        <f t="shared" si="31"/>
        <v>42.214707051456926</v>
      </c>
    </row>
    <row r="468" spans="10:18">
      <c r="J468" s="118">
        <v>44172</v>
      </c>
      <c r="K468" s="116">
        <v>56.994376601672947</v>
      </c>
      <c r="L468" s="116">
        <v>58.396464000000002</v>
      </c>
      <c r="M468" s="117">
        <v>1.4020873983270548</v>
      </c>
      <c r="O468" s="39">
        <f t="shared" si="32"/>
        <v>44356</v>
      </c>
      <c r="P468" s="41">
        <f t="shared" si="29"/>
        <v>64.925612948543076</v>
      </c>
      <c r="Q468" s="41">
        <f t="shared" si="30"/>
        <v>102.89462400000001</v>
      </c>
      <c r="R468" s="41">
        <f t="shared" si="31"/>
        <v>37.969011051456931</v>
      </c>
    </row>
    <row r="469" spans="10:18">
      <c r="J469" s="118">
        <v>44169</v>
      </c>
      <c r="K469" s="116">
        <v>56.994376601672947</v>
      </c>
      <c r="L469" s="116">
        <v>57.316896</v>
      </c>
      <c r="M469" s="117">
        <v>0.3225193983270529</v>
      </c>
      <c r="O469" s="39">
        <f t="shared" si="32"/>
        <v>44355</v>
      </c>
      <c r="P469" s="41">
        <f t="shared" si="29"/>
        <v>64.925612948543076</v>
      </c>
      <c r="Q469" s="41">
        <f t="shared" si="30"/>
        <v>97.043183999999997</v>
      </c>
      <c r="R469" s="41">
        <f t="shared" si="31"/>
        <v>32.11757105145692</v>
      </c>
    </row>
    <row r="470" spans="10:18">
      <c r="J470" s="118">
        <v>44168</v>
      </c>
      <c r="K470" s="116">
        <v>55.486370983509516</v>
      </c>
      <c r="L470" s="116">
        <v>57.081023999999999</v>
      </c>
      <c r="M470" s="117">
        <v>1.5946530164904829</v>
      </c>
      <c r="O470" s="39">
        <f t="shared" si="32"/>
        <v>44354</v>
      </c>
      <c r="P470" s="41">
        <f t="shared" si="29"/>
        <v>64.925612948543076</v>
      </c>
      <c r="Q470" s="41">
        <f t="shared" si="30"/>
        <v>97.070400000000006</v>
      </c>
      <c r="R470" s="41">
        <f t="shared" si="31"/>
        <v>32.14478705145693</v>
      </c>
    </row>
    <row r="471" spans="10:18">
      <c r="J471" s="118">
        <v>44167</v>
      </c>
      <c r="K471" s="116">
        <v>55.486370983509516</v>
      </c>
      <c r="L471" s="116">
        <v>55.729295999999998</v>
      </c>
      <c r="M471" s="117">
        <v>0.24292501649048148</v>
      </c>
      <c r="O471" s="39">
        <f t="shared" si="32"/>
        <v>44353</v>
      </c>
      <c r="P471" s="41">
        <f t="shared" si="29"/>
        <v>64.925612948543076</v>
      </c>
      <c r="Q471" s="41">
        <f t="shared" si="30"/>
        <v>89.341056000000009</v>
      </c>
      <c r="R471" s="41">
        <f t="shared" si="31"/>
        <v>24.415443051456933</v>
      </c>
    </row>
    <row r="472" spans="10:18">
      <c r="J472" s="118">
        <v>44166</v>
      </c>
      <c r="K472" s="116">
        <v>55.486370983509516</v>
      </c>
      <c r="L472" s="116">
        <v>55.801871999999996</v>
      </c>
      <c r="M472" s="117">
        <v>0.31550101649047946</v>
      </c>
      <c r="O472" s="39">
        <f t="shared" si="32"/>
        <v>44352</v>
      </c>
      <c r="P472" s="41">
        <f t="shared" si="29"/>
        <v>64.925612948543076</v>
      </c>
      <c r="Q472" s="41">
        <f t="shared" si="30"/>
        <v>89.341056000000009</v>
      </c>
      <c r="R472" s="41">
        <f t="shared" si="31"/>
        <v>24.415443051456933</v>
      </c>
    </row>
    <row r="473" spans="10:18">
      <c r="J473" s="118">
        <v>44165</v>
      </c>
      <c r="K473" s="116">
        <v>55.486370983509516</v>
      </c>
      <c r="L473" s="116">
        <v>55.330128000000002</v>
      </c>
      <c r="M473" s="117">
        <v>-0.15624298350951449</v>
      </c>
      <c r="O473" s="39">
        <f t="shared" si="32"/>
        <v>44351</v>
      </c>
      <c r="P473" s="41">
        <f t="shared" si="29"/>
        <v>64.925612948543076</v>
      </c>
      <c r="Q473" s="41">
        <f t="shared" si="30"/>
        <v>89.341056000000009</v>
      </c>
      <c r="R473" s="41">
        <f t="shared" si="31"/>
        <v>24.415443051456933</v>
      </c>
    </row>
    <row r="474" spans="10:18">
      <c r="J474" s="118">
        <v>44162</v>
      </c>
      <c r="K474" s="116">
        <v>55.486370983509516</v>
      </c>
      <c r="L474" s="116">
        <v>53.552016000000002</v>
      </c>
      <c r="M474" s="117">
        <v>-1.9343549835095146</v>
      </c>
      <c r="O474" s="39">
        <f t="shared" si="32"/>
        <v>44350</v>
      </c>
      <c r="P474" s="41">
        <f t="shared" si="29"/>
        <v>63.86645965871864</v>
      </c>
      <c r="Q474" s="41">
        <f t="shared" si="30"/>
        <v>92.833776</v>
      </c>
      <c r="R474" s="41">
        <f t="shared" si="31"/>
        <v>28.967316341281361</v>
      </c>
    </row>
    <row r="475" spans="10:18">
      <c r="J475" s="118">
        <v>44161</v>
      </c>
      <c r="K475" s="116">
        <v>54.811364927805883</v>
      </c>
      <c r="L475" s="116">
        <v>52.681103999999998</v>
      </c>
      <c r="M475" s="117">
        <v>-2.1302609278058853</v>
      </c>
      <c r="O475" s="39">
        <f t="shared" si="32"/>
        <v>44349</v>
      </c>
      <c r="P475" s="41">
        <f t="shared" si="29"/>
        <v>63.86645965871864</v>
      </c>
      <c r="Q475" s="41">
        <f t="shared" si="30"/>
        <v>88.506432000000004</v>
      </c>
      <c r="R475" s="41">
        <f t="shared" si="31"/>
        <v>24.639972341281364</v>
      </c>
    </row>
    <row r="476" spans="10:18">
      <c r="J476" s="118">
        <v>44160</v>
      </c>
      <c r="K476" s="116">
        <v>54.811364927805883</v>
      </c>
      <c r="L476" s="116">
        <v>53.143775999999995</v>
      </c>
      <c r="M476" s="117">
        <v>-1.6675889278058875</v>
      </c>
      <c r="O476" s="39">
        <f t="shared" si="32"/>
        <v>44348</v>
      </c>
      <c r="P476" s="41">
        <f t="shared" si="29"/>
        <v>63.86645965871864</v>
      </c>
      <c r="Q476" s="41">
        <f t="shared" si="30"/>
        <v>88.461072000000001</v>
      </c>
      <c r="R476" s="41">
        <f t="shared" si="31"/>
        <v>24.594612341281362</v>
      </c>
    </row>
    <row r="477" spans="10:18">
      <c r="J477" s="118">
        <v>44159</v>
      </c>
      <c r="K477" s="116">
        <v>54.811364927805883</v>
      </c>
      <c r="L477" s="116">
        <v>51.773904000000002</v>
      </c>
      <c r="M477" s="117">
        <v>-3.0374609278058813</v>
      </c>
      <c r="O477" s="39">
        <f t="shared" si="32"/>
        <v>44347</v>
      </c>
      <c r="P477" s="41">
        <f t="shared" si="29"/>
        <v>63.86645965871864</v>
      </c>
      <c r="Q477" s="41">
        <f t="shared" si="30"/>
        <v>85.503600000000006</v>
      </c>
      <c r="R477" s="41">
        <f t="shared" si="31"/>
        <v>21.637140341281366</v>
      </c>
    </row>
    <row r="478" spans="10:18">
      <c r="J478" s="118">
        <v>44158</v>
      </c>
      <c r="K478" s="116">
        <v>54.811364927805883</v>
      </c>
      <c r="L478" s="116">
        <v>49.487759999999994</v>
      </c>
      <c r="M478" s="117">
        <v>-5.3236049278058886</v>
      </c>
      <c r="O478" s="39">
        <f t="shared" si="32"/>
        <v>44346</v>
      </c>
      <c r="P478" s="41">
        <f t="shared" si="29"/>
        <v>63.86645965871864</v>
      </c>
      <c r="Q478" s="41">
        <f t="shared" si="30"/>
        <v>85.503600000000006</v>
      </c>
      <c r="R478" s="41">
        <f t="shared" si="31"/>
        <v>21.637140341281366</v>
      </c>
    </row>
    <row r="479" spans="10:18">
      <c r="J479" s="118">
        <v>44155</v>
      </c>
      <c r="K479" s="116">
        <v>54.811364927805883</v>
      </c>
      <c r="L479" s="116">
        <v>47.954591999999998</v>
      </c>
      <c r="M479" s="117">
        <v>-6.8567729278058849</v>
      </c>
      <c r="O479" s="39">
        <f t="shared" si="32"/>
        <v>44345</v>
      </c>
      <c r="P479" s="41">
        <f t="shared" si="29"/>
        <v>63.86645965871864</v>
      </c>
      <c r="Q479" s="41">
        <f t="shared" si="30"/>
        <v>85.503600000000006</v>
      </c>
      <c r="R479" s="41">
        <f t="shared" si="31"/>
        <v>21.637140341281366</v>
      </c>
    </row>
    <row r="480" spans="10:18">
      <c r="J480" s="118">
        <v>44154</v>
      </c>
      <c r="K480" s="116">
        <v>54.947371266623776</v>
      </c>
      <c r="L480" s="116">
        <v>48.879936000000001</v>
      </c>
      <c r="M480" s="117">
        <v>-6.0674352666237752</v>
      </c>
      <c r="O480" s="39">
        <f t="shared" si="32"/>
        <v>44344</v>
      </c>
      <c r="P480" s="41">
        <f t="shared" si="29"/>
        <v>63.86645965871864</v>
      </c>
      <c r="Q480" s="41">
        <f t="shared" si="30"/>
        <v>85.503600000000006</v>
      </c>
      <c r="R480" s="41">
        <f t="shared" si="31"/>
        <v>21.637140341281366</v>
      </c>
    </row>
    <row r="481" spans="10:18">
      <c r="J481" s="118">
        <v>44153</v>
      </c>
      <c r="K481" s="116">
        <v>54.947371266623776</v>
      </c>
      <c r="L481" s="116">
        <v>49.660128</v>
      </c>
      <c r="M481" s="117">
        <v>-5.2872432666237756</v>
      </c>
      <c r="O481" s="39">
        <f t="shared" si="32"/>
        <v>44343</v>
      </c>
      <c r="P481" s="41">
        <f t="shared" si="29"/>
        <v>67.181339327805873</v>
      </c>
      <c r="Q481" s="41">
        <f t="shared" si="30"/>
        <v>83.607551999999998</v>
      </c>
      <c r="R481" s="41">
        <f t="shared" si="31"/>
        <v>16.426212672194126</v>
      </c>
    </row>
    <row r="482" spans="10:18">
      <c r="J482" s="118">
        <v>44152</v>
      </c>
      <c r="K482" s="116">
        <v>54.947371266623776</v>
      </c>
      <c r="L482" s="116">
        <v>49.152096</v>
      </c>
      <c r="M482" s="117">
        <v>-5.7952752666237757</v>
      </c>
      <c r="O482" s="39">
        <f t="shared" si="32"/>
        <v>44342</v>
      </c>
      <c r="P482" s="41">
        <f t="shared" si="29"/>
        <v>67.181339327805873</v>
      </c>
      <c r="Q482" s="41">
        <f t="shared" si="30"/>
        <v>82.845503999999991</v>
      </c>
      <c r="R482" s="41">
        <f t="shared" si="31"/>
        <v>15.664164672194119</v>
      </c>
    </row>
    <row r="483" spans="10:18">
      <c r="J483" s="118">
        <v>44151</v>
      </c>
      <c r="K483" s="116">
        <v>54.947371266623776</v>
      </c>
      <c r="L483" s="116">
        <v>49.387968000000001</v>
      </c>
      <c r="M483" s="117">
        <v>-5.5594032666237752</v>
      </c>
      <c r="O483" s="39">
        <f t="shared" si="32"/>
        <v>44341</v>
      </c>
      <c r="P483" s="41">
        <f t="shared" si="29"/>
        <v>67.181339327805873</v>
      </c>
      <c r="Q483" s="41">
        <f t="shared" si="30"/>
        <v>81.702432000000002</v>
      </c>
      <c r="R483" s="41">
        <f t="shared" si="31"/>
        <v>14.521092672194129</v>
      </c>
    </row>
    <row r="484" spans="10:18">
      <c r="J484" s="118">
        <v>44148</v>
      </c>
      <c r="K484" s="116">
        <v>54.947371266623776</v>
      </c>
      <c r="L484" s="116">
        <v>48.943440000000002</v>
      </c>
      <c r="M484" s="117">
        <v>-6.0039312666237734</v>
      </c>
      <c r="O484" s="39">
        <f t="shared" si="32"/>
        <v>44340</v>
      </c>
      <c r="P484" s="41">
        <f t="shared" si="29"/>
        <v>67.181339327805873</v>
      </c>
      <c r="Q484" s="41">
        <f t="shared" si="30"/>
        <v>80.269056000000006</v>
      </c>
      <c r="R484" s="41">
        <f t="shared" si="31"/>
        <v>13.087716672194134</v>
      </c>
    </row>
    <row r="485" spans="10:18">
      <c r="J485" s="118">
        <v>44147</v>
      </c>
      <c r="K485" s="116">
        <v>54.767704694328543</v>
      </c>
      <c r="L485" s="116">
        <v>48.290255999999999</v>
      </c>
      <c r="M485" s="117">
        <v>-6.4774486943285439</v>
      </c>
      <c r="O485" s="39">
        <f t="shared" si="32"/>
        <v>44339</v>
      </c>
      <c r="P485" s="41">
        <f t="shared" si="29"/>
        <v>67.181339327805873</v>
      </c>
      <c r="Q485" s="41">
        <f t="shared" si="30"/>
        <v>80.060400000000001</v>
      </c>
      <c r="R485" s="41">
        <f t="shared" si="31"/>
        <v>12.879060672194129</v>
      </c>
    </row>
    <row r="486" spans="10:18">
      <c r="J486" s="118">
        <v>44146</v>
      </c>
      <c r="K486" s="116">
        <v>54.767704694328543</v>
      </c>
      <c r="L486" s="116">
        <v>47.092751999999997</v>
      </c>
      <c r="M486" s="117">
        <v>-7.674952694328546</v>
      </c>
      <c r="O486" s="39">
        <f t="shared" si="32"/>
        <v>44338</v>
      </c>
      <c r="P486" s="41">
        <f t="shared" si="29"/>
        <v>67.181339327805873</v>
      </c>
      <c r="Q486" s="41">
        <f t="shared" si="30"/>
        <v>80.060400000000001</v>
      </c>
      <c r="R486" s="41">
        <f t="shared" si="31"/>
        <v>12.879060672194129</v>
      </c>
    </row>
    <row r="487" spans="10:18">
      <c r="J487" s="118">
        <v>44145</v>
      </c>
      <c r="K487" s="116">
        <v>54.767704694328543</v>
      </c>
      <c r="L487" s="116">
        <v>46.267200000000003</v>
      </c>
      <c r="M487" s="117">
        <v>-8.5005046943285407</v>
      </c>
      <c r="O487" s="39">
        <f t="shared" si="32"/>
        <v>44337</v>
      </c>
      <c r="P487" s="41">
        <f t="shared" si="29"/>
        <v>67.181339327805873</v>
      </c>
      <c r="Q487" s="41">
        <f t="shared" si="30"/>
        <v>80.060400000000001</v>
      </c>
      <c r="R487" s="41">
        <f t="shared" si="31"/>
        <v>12.879060672194129</v>
      </c>
    </row>
    <row r="488" spans="10:18">
      <c r="J488" s="118">
        <v>44144</v>
      </c>
      <c r="K488" s="116">
        <v>54.767704694328543</v>
      </c>
      <c r="L488" s="116">
        <v>46.512144000000006</v>
      </c>
      <c r="M488" s="117">
        <v>-8.2555606943285369</v>
      </c>
      <c r="O488" s="39">
        <f t="shared" si="32"/>
        <v>44336</v>
      </c>
      <c r="P488" s="41">
        <f t="shared" si="29"/>
        <v>67.249185446015275</v>
      </c>
      <c r="Q488" s="41">
        <f t="shared" si="30"/>
        <v>76.095935999999995</v>
      </c>
      <c r="R488" s="41">
        <f t="shared" si="31"/>
        <v>8.8467505539847195</v>
      </c>
    </row>
    <row r="489" spans="10:18">
      <c r="J489" s="118">
        <v>44141</v>
      </c>
      <c r="K489" s="116">
        <v>54.767704694328543</v>
      </c>
      <c r="L489" s="116">
        <v>47.237904</v>
      </c>
      <c r="M489" s="117">
        <v>-7.5298006943285429</v>
      </c>
      <c r="O489" s="39">
        <f t="shared" si="32"/>
        <v>44335</v>
      </c>
      <c r="P489" s="41">
        <f t="shared" si="29"/>
        <v>67.249185446015275</v>
      </c>
      <c r="Q489" s="41">
        <f t="shared" si="30"/>
        <v>75.587903999999995</v>
      </c>
      <c r="R489" s="41">
        <f t="shared" si="31"/>
        <v>8.3387185539847195</v>
      </c>
    </row>
    <row r="490" spans="10:18">
      <c r="J490" s="118">
        <v>44140</v>
      </c>
      <c r="K490" s="116">
        <v>54.833037993344973</v>
      </c>
      <c r="L490" s="116">
        <v>47.274191999999999</v>
      </c>
      <c r="M490" s="117">
        <v>-7.5588459933449741</v>
      </c>
      <c r="O490" s="39">
        <f t="shared" si="32"/>
        <v>44334</v>
      </c>
      <c r="P490" s="41">
        <f t="shared" si="29"/>
        <v>67.249185446015275</v>
      </c>
      <c r="Q490" s="41">
        <f t="shared" si="30"/>
        <v>76.867056000000005</v>
      </c>
      <c r="R490" s="41">
        <f t="shared" si="31"/>
        <v>9.61787055398473</v>
      </c>
    </row>
    <row r="491" spans="10:18">
      <c r="J491" s="118">
        <v>44139</v>
      </c>
      <c r="K491" s="116">
        <v>54.833037993344973</v>
      </c>
      <c r="L491" s="116">
        <v>46.076687999999997</v>
      </c>
      <c r="M491" s="117">
        <v>-8.7563499933449762</v>
      </c>
      <c r="O491" s="39">
        <f t="shared" si="32"/>
        <v>44333</v>
      </c>
      <c r="P491" s="41">
        <f t="shared" si="29"/>
        <v>67.249185446015275</v>
      </c>
      <c r="Q491" s="41">
        <f t="shared" si="30"/>
        <v>78.227856000000003</v>
      </c>
      <c r="R491" s="41">
        <f t="shared" si="31"/>
        <v>10.978670553984728</v>
      </c>
    </row>
    <row r="492" spans="10:18">
      <c r="J492" s="118">
        <v>44138</v>
      </c>
      <c r="K492" s="116">
        <v>54.833037993344973</v>
      </c>
      <c r="L492" s="116">
        <v>46.847808000000001</v>
      </c>
      <c r="M492" s="117">
        <v>-7.9852299933449729</v>
      </c>
      <c r="O492" s="39">
        <f t="shared" si="32"/>
        <v>44332</v>
      </c>
      <c r="P492" s="41">
        <f t="shared" si="29"/>
        <v>67.249185446015275</v>
      </c>
      <c r="Q492" s="41">
        <f t="shared" si="30"/>
        <v>79.407216000000005</v>
      </c>
      <c r="R492" s="41">
        <f t="shared" si="31"/>
        <v>12.15803055398473</v>
      </c>
    </row>
    <row r="493" spans="10:18">
      <c r="J493" s="118">
        <v>44137</v>
      </c>
      <c r="K493" s="116">
        <v>54.833037993344973</v>
      </c>
      <c r="L493" s="116">
        <v>45.731952</v>
      </c>
      <c r="M493" s="117">
        <v>-9.1010859933449737</v>
      </c>
      <c r="O493" s="39">
        <f t="shared" si="32"/>
        <v>44331</v>
      </c>
      <c r="P493" s="41">
        <f t="shared" si="29"/>
        <v>67.249185446015275</v>
      </c>
      <c r="Q493" s="41">
        <f t="shared" si="30"/>
        <v>79.407216000000005</v>
      </c>
      <c r="R493" s="41">
        <f t="shared" si="31"/>
        <v>12.15803055398473</v>
      </c>
    </row>
    <row r="494" spans="10:18">
      <c r="J494" s="118">
        <v>44134</v>
      </c>
      <c r="K494" s="116">
        <v>54.833037993344973</v>
      </c>
      <c r="L494" s="116">
        <v>46.947600000000001</v>
      </c>
      <c r="M494" s="117">
        <v>-7.8854379933449721</v>
      </c>
      <c r="O494" s="39">
        <f t="shared" si="32"/>
        <v>44330</v>
      </c>
      <c r="P494" s="41">
        <f t="shared" si="29"/>
        <v>67.249185446015275</v>
      </c>
      <c r="Q494" s="41">
        <f t="shared" si="30"/>
        <v>79.407216000000005</v>
      </c>
      <c r="R494" s="41">
        <f t="shared" si="31"/>
        <v>12.15803055398473</v>
      </c>
    </row>
    <row r="495" spans="10:18">
      <c r="J495" s="118">
        <v>44133</v>
      </c>
      <c r="K495" s="116">
        <v>55.336387087930888</v>
      </c>
      <c r="L495" s="116">
        <v>49.124879999999997</v>
      </c>
      <c r="M495" s="117">
        <v>-6.2115070879308902</v>
      </c>
      <c r="O495" s="39">
        <f t="shared" si="32"/>
        <v>44329</v>
      </c>
      <c r="P495" s="41">
        <f t="shared" si="29"/>
        <v>68.381367543634525</v>
      </c>
      <c r="Q495" s="41">
        <f t="shared" si="30"/>
        <v>79.162272000000002</v>
      </c>
      <c r="R495" s="41">
        <f t="shared" si="31"/>
        <v>10.780904456365477</v>
      </c>
    </row>
    <row r="496" spans="10:18">
      <c r="J496" s="118">
        <v>44132</v>
      </c>
      <c r="K496" s="116">
        <v>55.336387087930888</v>
      </c>
      <c r="L496" s="116">
        <v>49.061375999999996</v>
      </c>
      <c r="M496" s="117">
        <v>-6.275011087930892</v>
      </c>
      <c r="O496" s="39">
        <f t="shared" si="32"/>
        <v>44328</v>
      </c>
      <c r="P496" s="41">
        <f t="shared" si="29"/>
        <v>68.381367543634525</v>
      </c>
      <c r="Q496" s="41">
        <f t="shared" si="30"/>
        <v>79.715664000000004</v>
      </c>
      <c r="R496" s="41">
        <f t="shared" si="31"/>
        <v>11.334296456365479</v>
      </c>
    </row>
    <row r="497" spans="10:18">
      <c r="J497" s="118">
        <v>44131</v>
      </c>
      <c r="K497" s="116">
        <v>55.336387087930888</v>
      </c>
      <c r="L497" s="116">
        <v>50.159087999999997</v>
      </c>
      <c r="M497" s="117">
        <v>-5.1772990879308907</v>
      </c>
      <c r="O497" s="39">
        <f t="shared" si="32"/>
        <v>44327</v>
      </c>
      <c r="P497" s="41">
        <f t="shared" si="29"/>
        <v>68.381367543634525</v>
      </c>
      <c r="Q497" s="41">
        <f t="shared" si="30"/>
        <v>77.765184000000005</v>
      </c>
      <c r="R497" s="41">
        <f t="shared" si="31"/>
        <v>9.38381645636548</v>
      </c>
    </row>
    <row r="498" spans="10:18">
      <c r="J498" s="118">
        <v>44130</v>
      </c>
      <c r="K498" s="116">
        <v>55.336387087930888</v>
      </c>
      <c r="L498" s="116">
        <v>50.476607999999999</v>
      </c>
      <c r="M498" s="117">
        <v>-4.8597790879308889</v>
      </c>
      <c r="O498" s="39">
        <f t="shared" si="32"/>
        <v>44326</v>
      </c>
      <c r="P498" s="41">
        <f t="shared" si="29"/>
        <v>68.381367543634525</v>
      </c>
      <c r="Q498" s="41">
        <f t="shared" si="30"/>
        <v>77.910336000000001</v>
      </c>
      <c r="R498" s="41">
        <f t="shared" si="31"/>
        <v>9.528968456365476</v>
      </c>
    </row>
    <row r="499" spans="10:18">
      <c r="J499" s="118">
        <v>44127</v>
      </c>
      <c r="K499" s="116">
        <v>55.336387087930888</v>
      </c>
      <c r="L499" s="116">
        <v>50.658048000000001</v>
      </c>
      <c r="M499" s="117">
        <v>-4.6783390879308868</v>
      </c>
      <c r="O499" s="39">
        <f t="shared" si="32"/>
        <v>44325</v>
      </c>
      <c r="P499" s="41">
        <f t="shared" si="29"/>
        <v>68.381367543634525</v>
      </c>
      <c r="Q499" s="41">
        <f t="shared" si="30"/>
        <v>75.197807999999995</v>
      </c>
      <c r="R499" s="41">
        <f t="shared" si="31"/>
        <v>6.8164404563654699</v>
      </c>
    </row>
    <row r="500" spans="10:18">
      <c r="J500" s="118">
        <v>44126</v>
      </c>
      <c r="K500" s="116">
        <v>56.052226455519815</v>
      </c>
      <c r="L500" s="116">
        <v>50.830416</v>
      </c>
      <c r="M500" s="117">
        <v>-5.2218104555198153</v>
      </c>
      <c r="O500" s="39">
        <f t="shared" si="32"/>
        <v>44324</v>
      </c>
      <c r="P500" s="41">
        <f t="shared" si="29"/>
        <v>68.381367543634525</v>
      </c>
      <c r="Q500" s="41">
        <f t="shared" si="30"/>
        <v>75.197807999999995</v>
      </c>
      <c r="R500" s="41">
        <f t="shared" si="31"/>
        <v>6.8164404563654699</v>
      </c>
    </row>
    <row r="501" spans="10:18">
      <c r="J501" s="118">
        <v>44125</v>
      </c>
      <c r="K501" s="116">
        <v>56.052226455519815</v>
      </c>
      <c r="L501" s="116">
        <v>51.202368</v>
      </c>
      <c r="M501" s="117">
        <v>-4.849858455519815</v>
      </c>
      <c r="O501" s="39">
        <f t="shared" si="32"/>
        <v>44323</v>
      </c>
      <c r="P501" s="41">
        <f t="shared" si="29"/>
        <v>68.381367543634525</v>
      </c>
      <c r="Q501" s="41">
        <f t="shared" si="30"/>
        <v>75.197807999999995</v>
      </c>
      <c r="R501" s="41">
        <f t="shared" si="31"/>
        <v>6.8164404563654699</v>
      </c>
    </row>
    <row r="502" spans="10:18">
      <c r="J502" s="118">
        <v>44124</v>
      </c>
      <c r="K502" s="116">
        <v>56.052226455519815</v>
      </c>
      <c r="L502" s="116">
        <v>51.401951999999994</v>
      </c>
      <c r="M502" s="117">
        <v>-4.6502744555198205</v>
      </c>
      <c r="O502" s="39">
        <f t="shared" si="32"/>
        <v>44322</v>
      </c>
      <c r="P502" s="41">
        <f t="shared" si="29"/>
        <v>68.087367698060476</v>
      </c>
      <c r="Q502" s="41">
        <f t="shared" si="30"/>
        <v>74.617199999999997</v>
      </c>
      <c r="R502" s="41">
        <f t="shared" si="31"/>
        <v>6.5298323019395212</v>
      </c>
    </row>
    <row r="503" spans="10:18">
      <c r="J503" s="118">
        <v>44123</v>
      </c>
      <c r="K503" s="116">
        <v>56.052226455519815</v>
      </c>
      <c r="L503" s="116">
        <v>51.792048000000001</v>
      </c>
      <c r="M503" s="117">
        <v>-4.2601784555198137</v>
      </c>
      <c r="O503" s="39">
        <f t="shared" si="32"/>
        <v>44321</v>
      </c>
      <c r="P503" s="41">
        <f t="shared" si="29"/>
        <v>68.087367698060476</v>
      </c>
      <c r="Q503" s="41">
        <f t="shared" si="30"/>
        <v>72.340127999999993</v>
      </c>
      <c r="R503" s="41">
        <f t="shared" si="31"/>
        <v>4.2527603019395173</v>
      </c>
    </row>
    <row r="504" spans="10:18">
      <c r="J504" s="118">
        <v>44120</v>
      </c>
      <c r="K504" s="116">
        <v>56.052226455519815</v>
      </c>
      <c r="L504" s="116">
        <v>51.211440000000003</v>
      </c>
      <c r="M504" s="117">
        <v>-4.8407864555198117</v>
      </c>
      <c r="O504" s="39">
        <f t="shared" si="32"/>
        <v>44320</v>
      </c>
      <c r="P504" s="41">
        <f t="shared" si="29"/>
        <v>68.087367698060476</v>
      </c>
      <c r="Q504" s="41">
        <f t="shared" si="30"/>
        <v>71.569007999999997</v>
      </c>
      <c r="R504" s="41">
        <f t="shared" si="31"/>
        <v>3.481640301939521</v>
      </c>
    </row>
    <row r="505" spans="10:18">
      <c r="J505" s="118">
        <v>44119</v>
      </c>
      <c r="K505" s="116">
        <v>58.04175105153049</v>
      </c>
      <c r="L505" s="116">
        <v>50.757840000000002</v>
      </c>
      <c r="M505" s="117">
        <v>-7.2839110515304881</v>
      </c>
      <c r="O505" s="39">
        <f t="shared" si="32"/>
        <v>44319</v>
      </c>
      <c r="P505" s="41">
        <f t="shared" si="29"/>
        <v>68.087367698060476</v>
      </c>
      <c r="Q505" s="41">
        <f t="shared" si="30"/>
        <v>71.115408000000002</v>
      </c>
      <c r="R505" s="41">
        <f t="shared" si="31"/>
        <v>3.0280403019395266</v>
      </c>
    </row>
    <row r="506" spans="10:18">
      <c r="J506" s="118">
        <v>44118</v>
      </c>
      <c r="K506" s="116">
        <v>58.04175105153049</v>
      </c>
      <c r="L506" s="116">
        <v>50.830416</v>
      </c>
      <c r="M506" s="117">
        <v>-7.2113350515304901</v>
      </c>
      <c r="O506" s="39">
        <f t="shared" si="32"/>
        <v>44318</v>
      </c>
      <c r="P506" s="41">
        <f t="shared" si="29"/>
        <v>68.087367698060476</v>
      </c>
      <c r="Q506" s="41">
        <f t="shared" si="30"/>
        <v>71.115408000000002</v>
      </c>
      <c r="R506" s="41">
        <f t="shared" si="31"/>
        <v>3.0280403019395266</v>
      </c>
    </row>
    <row r="507" spans="10:18">
      <c r="J507" s="118">
        <v>44117</v>
      </c>
      <c r="K507" s="116">
        <v>58.04175105153049</v>
      </c>
      <c r="L507" s="116">
        <v>50.277024000000004</v>
      </c>
      <c r="M507" s="117">
        <v>-7.7647270515304854</v>
      </c>
      <c r="O507" s="39">
        <f t="shared" si="32"/>
        <v>44317</v>
      </c>
      <c r="P507" s="41">
        <f t="shared" si="29"/>
        <v>68.087367698060476</v>
      </c>
      <c r="Q507" s="41">
        <f t="shared" si="30"/>
        <v>71.115408000000002</v>
      </c>
      <c r="R507" s="41">
        <f t="shared" si="31"/>
        <v>3.0280403019395266</v>
      </c>
    </row>
    <row r="508" spans="10:18">
      <c r="J508" s="118">
        <v>44116</v>
      </c>
      <c r="K508" s="116">
        <v>58.04175105153049</v>
      </c>
      <c r="L508" s="116">
        <v>51.737616000000003</v>
      </c>
      <c r="M508" s="117">
        <v>-6.304135051530487</v>
      </c>
      <c r="O508" s="39">
        <f t="shared" si="32"/>
        <v>44316</v>
      </c>
      <c r="P508" s="41">
        <f t="shared" si="29"/>
        <v>68.087367698060476</v>
      </c>
      <c r="Q508" s="41">
        <f t="shared" si="30"/>
        <v>71.115408000000002</v>
      </c>
      <c r="R508" s="41">
        <f t="shared" si="31"/>
        <v>3.0280403019395266</v>
      </c>
    </row>
    <row r="509" spans="10:18">
      <c r="J509" s="118">
        <v>44113</v>
      </c>
      <c r="K509" s="116">
        <v>58.04175105153049</v>
      </c>
      <c r="L509" s="116">
        <v>52.191216000000004</v>
      </c>
      <c r="M509" s="117">
        <v>-5.8505350515304855</v>
      </c>
      <c r="O509" s="39">
        <f t="shared" si="32"/>
        <v>44315</v>
      </c>
      <c r="P509" s="41">
        <f t="shared" si="29"/>
        <v>67.839855007555855</v>
      </c>
      <c r="Q509" s="41">
        <f t="shared" si="30"/>
        <v>69.355440000000002</v>
      </c>
      <c r="R509" s="41">
        <f t="shared" si="31"/>
        <v>1.5155849924441469</v>
      </c>
    </row>
    <row r="510" spans="10:18">
      <c r="J510" s="118">
        <v>44112</v>
      </c>
      <c r="K510" s="116">
        <v>59.037769759132281</v>
      </c>
      <c r="L510" s="116">
        <v>52.599455999999996</v>
      </c>
      <c r="M510" s="117">
        <v>-6.438313759132285</v>
      </c>
      <c r="O510" s="39">
        <f t="shared" si="32"/>
        <v>44314</v>
      </c>
      <c r="P510" s="41">
        <f t="shared" si="29"/>
        <v>67.839855007555855</v>
      </c>
      <c r="Q510" s="41">
        <f t="shared" si="30"/>
        <v>68.284943999999996</v>
      </c>
      <c r="R510" s="41">
        <f t="shared" si="31"/>
        <v>0.44508899244414124</v>
      </c>
    </row>
    <row r="511" spans="10:18">
      <c r="J511" s="118">
        <v>44111</v>
      </c>
      <c r="K511" s="116">
        <v>59.037769759132281</v>
      </c>
      <c r="L511" s="116">
        <v>52.617600000000003</v>
      </c>
      <c r="M511" s="117">
        <v>-6.4201697591322784</v>
      </c>
      <c r="O511" s="39">
        <f t="shared" si="32"/>
        <v>44313</v>
      </c>
      <c r="P511" s="41">
        <f t="shared" si="29"/>
        <v>67.839855007555855</v>
      </c>
      <c r="Q511" s="41">
        <f t="shared" si="30"/>
        <v>67.903919999999999</v>
      </c>
      <c r="R511" s="41">
        <f t="shared" si="31"/>
        <v>6.4064992444144764E-2</v>
      </c>
    </row>
    <row r="512" spans="10:18">
      <c r="J512" s="118">
        <v>44110</v>
      </c>
      <c r="K512" s="116">
        <v>59.037769759132281</v>
      </c>
      <c r="L512" s="116">
        <v>52.617600000000003</v>
      </c>
      <c r="M512" s="117">
        <v>-6.4201697591322784</v>
      </c>
      <c r="O512" s="39">
        <f t="shared" si="32"/>
        <v>44312</v>
      </c>
      <c r="P512" s="41">
        <f t="shared" si="29"/>
        <v>67.839855007555855</v>
      </c>
      <c r="Q512" s="41">
        <f t="shared" si="30"/>
        <v>67.277951999999999</v>
      </c>
      <c r="R512" s="41">
        <f t="shared" si="31"/>
        <v>-0.56190300755585554</v>
      </c>
    </row>
    <row r="513" spans="10:18">
      <c r="J513" s="118">
        <v>44109</v>
      </c>
      <c r="K513" s="116">
        <v>59.037769759132281</v>
      </c>
      <c r="L513" s="116">
        <v>52.009776000000002</v>
      </c>
      <c r="M513" s="117">
        <v>-7.0279937591322792</v>
      </c>
      <c r="O513" s="39">
        <f t="shared" si="32"/>
        <v>44311</v>
      </c>
      <c r="P513" s="41">
        <f t="shared" si="29"/>
        <v>67.839855007555855</v>
      </c>
      <c r="Q513" s="41">
        <f t="shared" si="30"/>
        <v>67.259808000000007</v>
      </c>
      <c r="R513" s="41">
        <f t="shared" si="31"/>
        <v>-0.58004700755584793</v>
      </c>
    </row>
    <row r="514" spans="10:18">
      <c r="J514" s="118">
        <v>44106</v>
      </c>
      <c r="K514" s="116">
        <v>59.037769759132281</v>
      </c>
      <c r="L514" s="116">
        <v>51.57432</v>
      </c>
      <c r="M514" s="117">
        <v>-7.4634497591322813</v>
      </c>
      <c r="O514" s="39">
        <f t="shared" si="32"/>
        <v>44310</v>
      </c>
      <c r="P514" s="41">
        <f t="shared" si="29"/>
        <v>67.839855007555855</v>
      </c>
      <c r="Q514" s="41">
        <f t="shared" si="30"/>
        <v>67.259808000000007</v>
      </c>
      <c r="R514" s="41">
        <f t="shared" si="31"/>
        <v>-0.58004700755584793</v>
      </c>
    </row>
    <row r="515" spans="10:18">
      <c r="J515" s="118">
        <v>44105</v>
      </c>
      <c r="K515" s="116">
        <v>56.69173894012318</v>
      </c>
      <c r="L515" s="116">
        <v>52.300080000000001</v>
      </c>
      <c r="M515" s="117">
        <v>-4.3916589401231789</v>
      </c>
      <c r="O515" s="39">
        <f t="shared" si="32"/>
        <v>44309</v>
      </c>
      <c r="P515" s="41">
        <f t="shared" si="29"/>
        <v>67.839855007555855</v>
      </c>
      <c r="Q515" s="41">
        <f t="shared" si="30"/>
        <v>67.259808000000007</v>
      </c>
      <c r="R515" s="41">
        <f t="shared" si="31"/>
        <v>-0.58004700755584793</v>
      </c>
    </row>
    <row r="516" spans="10:18">
      <c r="J516" s="118">
        <v>44104</v>
      </c>
      <c r="K516" s="116">
        <v>56.69173894012318</v>
      </c>
      <c r="L516" s="116">
        <v>52.100496</v>
      </c>
      <c r="M516" s="117">
        <v>-4.5912429401231805</v>
      </c>
      <c r="O516" s="39">
        <f t="shared" si="32"/>
        <v>44308</v>
      </c>
      <c r="P516" s="41">
        <f t="shared" si="29"/>
        <v>64.535968922437718</v>
      </c>
      <c r="Q516" s="41">
        <f t="shared" si="30"/>
        <v>67.731551999999994</v>
      </c>
      <c r="R516" s="41">
        <f t="shared" si="31"/>
        <v>3.1955830775622758</v>
      </c>
    </row>
    <row r="517" spans="10:18">
      <c r="J517" s="118">
        <v>44103</v>
      </c>
      <c r="K517" s="116">
        <v>56.69173894012318</v>
      </c>
      <c r="L517" s="116">
        <v>52.318224000000001</v>
      </c>
      <c r="M517" s="117">
        <v>-4.3735149401231794</v>
      </c>
      <c r="O517" s="39">
        <f t="shared" si="32"/>
        <v>44307</v>
      </c>
      <c r="P517" s="41">
        <f t="shared" si="29"/>
        <v>64.535968922437718</v>
      </c>
      <c r="Q517" s="41">
        <f t="shared" si="30"/>
        <v>66.670127999999991</v>
      </c>
      <c r="R517" s="41">
        <f t="shared" si="31"/>
        <v>2.1341590775622734</v>
      </c>
    </row>
    <row r="518" spans="10:18">
      <c r="J518" s="118">
        <v>44102</v>
      </c>
      <c r="K518" s="116">
        <v>56.69173894012318</v>
      </c>
      <c r="L518" s="116">
        <v>51.819263999999997</v>
      </c>
      <c r="M518" s="117">
        <v>-4.8724749401231833</v>
      </c>
      <c r="O518" s="39">
        <f t="shared" si="32"/>
        <v>44306</v>
      </c>
      <c r="P518" s="41">
        <f t="shared" ref="P518:P581" si="33">IFERROR(VLOOKUP($O518,$J$5:$M$403,2,FALSE),P519)</f>
        <v>64.535968922437718</v>
      </c>
      <c r="Q518" s="41">
        <f t="shared" ref="Q518:Q581" si="34">IFERROR(VLOOKUP($O518,$J$5:$M$403,3,FALSE),Q519)</f>
        <v>65.726640000000003</v>
      </c>
      <c r="R518" s="41">
        <f t="shared" ref="R518:R581" si="35">IFERROR(VLOOKUP($O518,$J$5:$M$403,4,FALSE),R519)</f>
        <v>1.1906710775622855</v>
      </c>
    </row>
    <row r="519" spans="10:18">
      <c r="J519" s="118">
        <v>44099</v>
      </c>
      <c r="K519" s="116">
        <v>56.69173894012318</v>
      </c>
      <c r="L519" s="116">
        <v>49.805279999999996</v>
      </c>
      <c r="M519" s="117">
        <v>-6.8864589401231839</v>
      </c>
      <c r="O519" s="39">
        <f t="shared" ref="O519:O582" si="36">O518-1</f>
        <v>44305</v>
      </c>
      <c r="P519" s="41">
        <f t="shared" si="33"/>
        <v>64.535968922437718</v>
      </c>
      <c r="Q519" s="41">
        <f t="shared" si="34"/>
        <v>67.876703999999989</v>
      </c>
      <c r="R519" s="41">
        <f t="shared" si="35"/>
        <v>3.3407350775622717</v>
      </c>
    </row>
    <row r="520" spans="10:18">
      <c r="J520" s="118">
        <v>44098</v>
      </c>
      <c r="K520" s="116">
        <v>53.989201898115638</v>
      </c>
      <c r="L520" s="116">
        <v>48.780144</v>
      </c>
      <c r="M520" s="117">
        <v>-5.2090578981156384</v>
      </c>
      <c r="O520" s="39">
        <f t="shared" si="36"/>
        <v>44304</v>
      </c>
      <c r="P520" s="41">
        <f t="shared" si="33"/>
        <v>64.535968922437718</v>
      </c>
      <c r="Q520" s="41">
        <f t="shared" si="34"/>
        <v>67.486608000000004</v>
      </c>
      <c r="R520" s="41">
        <f t="shared" si="35"/>
        <v>2.9506390775622862</v>
      </c>
    </row>
    <row r="521" spans="10:18">
      <c r="J521" s="118">
        <v>44097</v>
      </c>
      <c r="K521" s="116">
        <v>53.989201898115638</v>
      </c>
      <c r="L521" s="116">
        <v>48.380975999999997</v>
      </c>
      <c r="M521" s="117">
        <v>-5.6082258981156414</v>
      </c>
      <c r="O521" s="39">
        <f t="shared" si="36"/>
        <v>44303</v>
      </c>
      <c r="P521" s="41">
        <f t="shared" si="33"/>
        <v>64.535968922437718</v>
      </c>
      <c r="Q521" s="41">
        <f t="shared" si="34"/>
        <v>67.486608000000004</v>
      </c>
      <c r="R521" s="41">
        <f t="shared" si="35"/>
        <v>2.9506390775622862</v>
      </c>
    </row>
    <row r="522" spans="10:18">
      <c r="J522" s="118">
        <v>44096</v>
      </c>
      <c r="K522" s="116">
        <v>53.989201898115638</v>
      </c>
      <c r="L522" s="116">
        <v>47.283263999999996</v>
      </c>
      <c r="M522" s="117">
        <v>-6.7059378981156428</v>
      </c>
      <c r="O522" s="39">
        <f t="shared" si="36"/>
        <v>44302</v>
      </c>
      <c r="P522" s="41">
        <f t="shared" si="33"/>
        <v>64.535968922437718</v>
      </c>
      <c r="Q522" s="41">
        <f t="shared" si="34"/>
        <v>67.486608000000004</v>
      </c>
      <c r="R522" s="41">
        <f t="shared" si="35"/>
        <v>2.9506390775622862</v>
      </c>
    </row>
    <row r="523" spans="10:18">
      <c r="J523" s="118">
        <v>44095</v>
      </c>
      <c r="K523" s="116">
        <v>53.989201898115638</v>
      </c>
      <c r="L523" s="116">
        <v>47.564495999999998</v>
      </c>
      <c r="M523" s="117">
        <v>-6.42470589811564</v>
      </c>
      <c r="O523" s="39">
        <f t="shared" si="36"/>
        <v>44301</v>
      </c>
      <c r="P523" s="41">
        <f t="shared" si="33"/>
        <v>63.18878373262249</v>
      </c>
      <c r="Q523" s="41">
        <f t="shared" si="34"/>
        <v>64.619855999999999</v>
      </c>
      <c r="R523" s="41">
        <f t="shared" si="35"/>
        <v>1.4310722673775089</v>
      </c>
    </row>
    <row r="524" spans="10:18">
      <c r="J524" s="118">
        <v>44092</v>
      </c>
      <c r="K524" s="116">
        <v>53.989201898115638</v>
      </c>
      <c r="L524" s="116">
        <v>47.500991999999997</v>
      </c>
      <c r="M524" s="117">
        <v>-6.4882098981156417</v>
      </c>
      <c r="O524" s="39">
        <f t="shared" si="36"/>
        <v>44300</v>
      </c>
      <c r="P524" s="41">
        <f t="shared" si="33"/>
        <v>63.18878373262249</v>
      </c>
      <c r="Q524" s="41">
        <f t="shared" si="34"/>
        <v>63.558432000000003</v>
      </c>
      <c r="R524" s="41">
        <f t="shared" si="35"/>
        <v>0.36964826737751366</v>
      </c>
    </row>
    <row r="525" spans="10:18">
      <c r="J525" s="118">
        <v>44091</v>
      </c>
      <c r="K525" s="116">
        <v>53.243365751410977</v>
      </c>
      <c r="L525" s="116">
        <v>47.972736000000005</v>
      </c>
      <c r="M525" s="117">
        <v>-5.2706297514109721</v>
      </c>
      <c r="O525" s="39">
        <f t="shared" si="36"/>
        <v>44299</v>
      </c>
      <c r="P525" s="41">
        <f t="shared" si="33"/>
        <v>63.18878373262249</v>
      </c>
      <c r="Q525" s="41">
        <f t="shared" si="34"/>
        <v>63.195551999999999</v>
      </c>
      <c r="R525" s="41">
        <f t="shared" si="35"/>
        <v>6.7682673775095736E-3</v>
      </c>
    </row>
    <row r="526" spans="10:18">
      <c r="J526" s="118">
        <v>44090</v>
      </c>
      <c r="K526" s="116">
        <v>53.243365751410977</v>
      </c>
      <c r="L526" s="116">
        <v>47.49192</v>
      </c>
      <c r="M526" s="117">
        <v>-5.7514457514109765</v>
      </c>
      <c r="O526" s="39">
        <f t="shared" si="36"/>
        <v>44298</v>
      </c>
      <c r="P526" s="41">
        <f t="shared" si="33"/>
        <v>63.18878373262249</v>
      </c>
      <c r="Q526" s="41">
        <f t="shared" si="34"/>
        <v>62.215775999999998</v>
      </c>
      <c r="R526" s="41">
        <f t="shared" si="35"/>
        <v>-0.97300773262249152</v>
      </c>
    </row>
    <row r="527" spans="10:18">
      <c r="J527" s="118">
        <v>44089</v>
      </c>
      <c r="K527" s="116">
        <v>53.243365751410977</v>
      </c>
      <c r="L527" s="116">
        <v>47.909232000000003</v>
      </c>
      <c r="M527" s="117">
        <v>-5.3341337514109739</v>
      </c>
      <c r="O527" s="39">
        <f t="shared" si="36"/>
        <v>44297</v>
      </c>
      <c r="P527" s="41">
        <f t="shared" si="33"/>
        <v>63.18878373262249</v>
      </c>
      <c r="Q527" s="41">
        <f t="shared" si="34"/>
        <v>61.199711999999998</v>
      </c>
      <c r="R527" s="41">
        <f t="shared" si="35"/>
        <v>-1.9890717326224916</v>
      </c>
    </row>
    <row r="528" spans="10:18">
      <c r="J528" s="118">
        <v>44088</v>
      </c>
      <c r="K528" s="116">
        <v>53.243365751410977</v>
      </c>
      <c r="L528" s="116">
        <v>47.76408</v>
      </c>
      <c r="M528" s="117">
        <v>-5.479285751410977</v>
      </c>
      <c r="O528" s="39">
        <f t="shared" si="36"/>
        <v>44296</v>
      </c>
      <c r="P528" s="41">
        <f t="shared" si="33"/>
        <v>63.18878373262249</v>
      </c>
      <c r="Q528" s="41">
        <f t="shared" si="34"/>
        <v>61.199711999999998</v>
      </c>
      <c r="R528" s="41">
        <f t="shared" si="35"/>
        <v>-1.9890717326224916</v>
      </c>
    </row>
    <row r="529" spans="10:18">
      <c r="J529" s="118">
        <v>44085</v>
      </c>
      <c r="K529" s="116">
        <v>53.243365751410977</v>
      </c>
      <c r="L529" s="116">
        <v>47.519136000000003</v>
      </c>
      <c r="M529" s="117">
        <v>-5.7242297514109737</v>
      </c>
      <c r="O529" s="39">
        <f t="shared" si="36"/>
        <v>44295</v>
      </c>
      <c r="P529" s="41">
        <f t="shared" si="33"/>
        <v>63.18878373262249</v>
      </c>
      <c r="Q529" s="41">
        <f t="shared" si="34"/>
        <v>61.199711999999998</v>
      </c>
      <c r="R529" s="41">
        <f t="shared" si="35"/>
        <v>-1.9890717326224916</v>
      </c>
    </row>
    <row r="530" spans="10:18">
      <c r="J530" s="118">
        <v>44084</v>
      </c>
      <c r="K530" s="116">
        <v>53.663477710230723</v>
      </c>
      <c r="L530" s="116">
        <v>47.201616000000001</v>
      </c>
      <c r="M530" s="117">
        <v>-6.4618617102307212</v>
      </c>
      <c r="O530" s="39">
        <f t="shared" si="36"/>
        <v>44294</v>
      </c>
      <c r="P530" s="41">
        <f t="shared" si="33"/>
        <v>62.56010778078867</v>
      </c>
      <c r="Q530" s="41">
        <f t="shared" si="34"/>
        <v>60.945696000000005</v>
      </c>
      <c r="R530" s="41">
        <f t="shared" si="35"/>
        <v>-1.6144117807886644</v>
      </c>
    </row>
    <row r="531" spans="10:18">
      <c r="J531" s="118">
        <v>44083</v>
      </c>
      <c r="K531" s="116">
        <v>53.663477710230723</v>
      </c>
      <c r="L531" s="116">
        <v>47.074607999999998</v>
      </c>
      <c r="M531" s="117">
        <v>-6.5888697102307248</v>
      </c>
      <c r="O531" s="39">
        <f t="shared" si="36"/>
        <v>44293</v>
      </c>
      <c r="P531" s="41">
        <f t="shared" si="33"/>
        <v>62.56010778078867</v>
      </c>
      <c r="Q531" s="41">
        <f t="shared" si="34"/>
        <v>61.798464000000003</v>
      </c>
      <c r="R531" s="41">
        <f t="shared" si="35"/>
        <v>-0.7616437807886669</v>
      </c>
    </row>
    <row r="532" spans="10:18">
      <c r="J532" s="118">
        <v>44082</v>
      </c>
      <c r="K532" s="116">
        <v>53.663477710230723</v>
      </c>
      <c r="L532" s="116">
        <v>45.895248000000002</v>
      </c>
      <c r="M532" s="117">
        <v>-7.7682297102307203</v>
      </c>
      <c r="O532" s="39">
        <f t="shared" si="36"/>
        <v>44292</v>
      </c>
      <c r="P532" s="41">
        <f t="shared" si="33"/>
        <v>62.56010778078867</v>
      </c>
      <c r="Q532" s="41">
        <f t="shared" si="34"/>
        <v>64.238832000000002</v>
      </c>
      <c r="R532" s="41">
        <f t="shared" si="35"/>
        <v>1.6787242192113325</v>
      </c>
    </row>
    <row r="533" spans="10:18">
      <c r="J533" s="118">
        <v>44081</v>
      </c>
      <c r="K533" s="116">
        <v>53.663477710230723</v>
      </c>
      <c r="L533" s="116">
        <v>46.475856</v>
      </c>
      <c r="M533" s="117">
        <v>-7.1876217102307223</v>
      </c>
      <c r="O533" s="39">
        <f t="shared" si="36"/>
        <v>44291</v>
      </c>
      <c r="P533" s="41">
        <f t="shared" si="33"/>
        <v>62.56010778078867</v>
      </c>
      <c r="Q533" s="41">
        <f t="shared" si="34"/>
        <v>62.823599999999999</v>
      </c>
      <c r="R533" s="41">
        <f t="shared" si="35"/>
        <v>0.26349221921132937</v>
      </c>
    </row>
    <row r="534" spans="10:18">
      <c r="J534" s="118">
        <v>44078</v>
      </c>
      <c r="K534" s="116">
        <v>53.663477710230723</v>
      </c>
      <c r="L534" s="116">
        <v>47.256048000000007</v>
      </c>
      <c r="M534" s="117">
        <v>-6.4074297102307156</v>
      </c>
      <c r="O534" s="39">
        <f t="shared" si="36"/>
        <v>44290</v>
      </c>
      <c r="P534" s="41">
        <f t="shared" si="33"/>
        <v>62.56010778078867</v>
      </c>
      <c r="Q534" s="41">
        <f t="shared" si="34"/>
        <v>62.823599999999999</v>
      </c>
      <c r="R534" s="41">
        <f t="shared" si="35"/>
        <v>0.26349221921132937</v>
      </c>
    </row>
    <row r="535" spans="10:18">
      <c r="J535" s="118">
        <v>44077</v>
      </c>
      <c r="K535" s="116">
        <v>53.622644398345436</v>
      </c>
      <c r="L535" s="116">
        <v>46.430495999999998</v>
      </c>
      <c r="M535" s="117">
        <v>-7.192148398345438</v>
      </c>
      <c r="O535" s="39">
        <f t="shared" si="36"/>
        <v>44289</v>
      </c>
      <c r="P535" s="41">
        <f t="shared" si="33"/>
        <v>62.56010778078867</v>
      </c>
      <c r="Q535" s="41">
        <f t="shared" si="34"/>
        <v>62.823599999999999</v>
      </c>
      <c r="R535" s="41">
        <f t="shared" si="35"/>
        <v>0.26349221921132937</v>
      </c>
    </row>
    <row r="536" spans="10:18">
      <c r="J536" s="118">
        <v>44076</v>
      </c>
      <c r="K536" s="116">
        <v>53.622644398345436</v>
      </c>
      <c r="L536" s="116">
        <v>46.911312000000002</v>
      </c>
      <c r="M536" s="117">
        <v>-6.7113323983454336</v>
      </c>
      <c r="O536" s="39">
        <f t="shared" si="36"/>
        <v>44288</v>
      </c>
      <c r="P536" s="41">
        <f t="shared" si="33"/>
        <v>62.56010778078867</v>
      </c>
      <c r="Q536" s="41">
        <f t="shared" si="34"/>
        <v>62.823599999999999</v>
      </c>
      <c r="R536" s="41">
        <f t="shared" si="35"/>
        <v>0.26349221921132937</v>
      </c>
    </row>
    <row r="537" spans="10:18">
      <c r="J537" s="118">
        <v>44075</v>
      </c>
      <c r="K537" s="116">
        <v>53.622644398345436</v>
      </c>
      <c r="L537" s="116">
        <v>47.274191999999999</v>
      </c>
      <c r="M537" s="117">
        <v>-6.3484523983454366</v>
      </c>
      <c r="O537" s="39">
        <f t="shared" si="36"/>
        <v>44287</v>
      </c>
      <c r="P537" s="41">
        <f t="shared" si="33"/>
        <v>62.2197778313448</v>
      </c>
      <c r="Q537" s="41">
        <f t="shared" si="34"/>
        <v>62.823599999999999</v>
      </c>
      <c r="R537" s="41">
        <f t="shared" si="35"/>
        <v>0.60382216865519922</v>
      </c>
    </row>
    <row r="538" spans="10:18">
      <c r="J538" s="118">
        <v>44074</v>
      </c>
      <c r="K538" s="116">
        <v>53.622644398345436</v>
      </c>
      <c r="L538" s="116">
        <v>44.706816000000003</v>
      </c>
      <c r="M538" s="117">
        <v>-8.9158283983454325</v>
      </c>
      <c r="O538" s="39">
        <f t="shared" si="36"/>
        <v>44286</v>
      </c>
      <c r="P538" s="41">
        <f t="shared" si="33"/>
        <v>62.2197778313448</v>
      </c>
      <c r="Q538" s="41">
        <f t="shared" si="34"/>
        <v>62.995967999999998</v>
      </c>
      <c r="R538" s="41">
        <f t="shared" si="35"/>
        <v>0.77619016865519797</v>
      </c>
    </row>
    <row r="539" spans="10:18">
      <c r="J539" s="118">
        <v>44071</v>
      </c>
      <c r="K539" s="116">
        <v>53.622644398345436</v>
      </c>
      <c r="L539" s="116">
        <v>44.706816000000003</v>
      </c>
      <c r="M539" s="117">
        <v>-8.9158283983454325</v>
      </c>
      <c r="O539" s="39">
        <f t="shared" si="36"/>
        <v>44285</v>
      </c>
      <c r="P539" s="41">
        <f t="shared" si="33"/>
        <v>62.2197778313448</v>
      </c>
      <c r="Q539" s="41">
        <f t="shared" si="34"/>
        <v>63.594719999999995</v>
      </c>
      <c r="R539" s="41">
        <f t="shared" si="35"/>
        <v>1.3749421686551955</v>
      </c>
    </row>
    <row r="540" spans="10:18">
      <c r="J540" s="118">
        <v>44070</v>
      </c>
      <c r="K540" s="116">
        <v>55.528774807390384</v>
      </c>
      <c r="L540" s="116">
        <v>42.656544000000004</v>
      </c>
      <c r="M540" s="117">
        <v>-12.87223080739038</v>
      </c>
      <c r="O540" s="39">
        <f t="shared" si="36"/>
        <v>44284</v>
      </c>
      <c r="P540" s="41">
        <f t="shared" si="33"/>
        <v>62.2197778313448</v>
      </c>
      <c r="Q540" s="41">
        <f t="shared" si="34"/>
        <v>64.420272000000011</v>
      </c>
      <c r="R540" s="41">
        <f t="shared" si="35"/>
        <v>2.2004941686552115</v>
      </c>
    </row>
    <row r="541" spans="10:18">
      <c r="J541" s="118">
        <v>44069</v>
      </c>
      <c r="K541" s="116">
        <v>55.528774807390384</v>
      </c>
      <c r="L541" s="116">
        <v>42.983136000000002</v>
      </c>
      <c r="M541" s="117">
        <v>-12.545638807390382</v>
      </c>
      <c r="O541" s="39">
        <f t="shared" si="36"/>
        <v>44283</v>
      </c>
      <c r="P541" s="41">
        <f t="shared" si="33"/>
        <v>62.2197778313448</v>
      </c>
      <c r="Q541" s="41">
        <f t="shared" si="34"/>
        <v>66.171167999999994</v>
      </c>
      <c r="R541" s="41">
        <f t="shared" si="35"/>
        <v>3.9513901686551947</v>
      </c>
    </row>
    <row r="542" spans="10:18">
      <c r="J542" s="118">
        <v>44068</v>
      </c>
      <c r="K542" s="116">
        <v>55.528774807390384</v>
      </c>
      <c r="L542" s="116">
        <v>42.248303999999997</v>
      </c>
      <c r="M542" s="117">
        <v>-13.280470807390387</v>
      </c>
      <c r="O542" s="39">
        <f t="shared" si="36"/>
        <v>44282</v>
      </c>
      <c r="P542" s="41">
        <f t="shared" si="33"/>
        <v>62.2197778313448</v>
      </c>
      <c r="Q542" s="41">
        <f t="shared" si="34"/>
        <v>66.171167999999994</v>
      </c>
      <c r="R542" s="41">
        <f t="shared" si="35"/>
        <v>3.9513901686551947</v>
      </c>
    </row>
    <row r="543" spans="10:18">
      <c r="J543" s="118">
        <v>44067</v>
      </c>
      <c r="K543" s="116">
        <v>55.528774807390384</v>
      </c>
      <c r="L543" s="116">
        <v>42.339024000000002</v>
      </c>
      <c r="M543" s="117">
        <v>-13.189750807390382</v>
      </c>
      <c r="O543" s="39">
        <f t="shared" si="36"/>
        <v>44281</v>
      </c>
      <c r="P543" s="41">
        <f t="shared" si="33"/>
        <v>62.2197778313448</v>
      </c>
      <c r="Q543" s="41">
        <f t="shared" si="34"/>
        <v>66.171167999999994</v>
      </c>
      <c r="R543" s="41">
        <f t="shared" si="35"/>
        <v>3.9513901686551947</v>
      </c>
    </row>
    <row r="544" spans="10:18">
      <c r="J544" s="118">
        <v>44064</v>
      </c>
      <c r="K544" s="116">
        <v>55.528774807390384</v>
      </c>
      <c r="L544" s="116">
        <v>42.075936000000006</v>
      </c>
      <c r="M544" s="117">
        <v>-13.452838807390378</v>
      </c>
      <c r="O544" s="39">
        <f t="shared" si="36"/>
        <v>44280</v>
      </c>
      <c r="P544" s="41">
        <f t="shared" si="33"/>
        <v>63.32761699303245</v>
      </c>
      <c r="Q544" s="41">
        <f t="shared" si="34"/>
        <v>66.597551999999993</v>
      </c>
      <c r="R544" s="41">
        <f t="shared" si="35"/>
        <v>3.2699350069675432</v>
      </c>
    </row>
    <row r="545" spans="10:18">
      <c r="J545" s="118">
        <v>44063</v>
      </c>
      <c r="K545" s="116">
        <v>55.591909389613015</v>
      </c>
      <c r="L545" s="116">
        <v>42.919632</v>
      </c>
      <c r="M545" s="117">
        <v>-12.672277389613015</v>
      </c>
      <c r="O545" s="39">
        <f t="shared" si="36"/>
        <v>44279</v>
      </c>
      <c r="P545" s="41">
        <f t="shared" si="33"/>
        <v>63.32761699303245</v>
      </c>
      <c r="Q545" s="41">
        <f t="shared" si="34"/>
        <v>65.000880000000009</v>
      </c>
      <c r="R545" s="41">
        <f t="shared" si="35"/>
        <v>1.6732630069675594</v>
      </c>
    </row>
    <row r="546" spans="10:18">
      <c r="J546" s="118">
        <v>44062</v>
      </c>
      <c r="K546" s="116">
        <v>55.591909389613015</v>
      </c>
      <c r="L546" s="116">
        <v>43.672608000000004</v>
      </c>
      <c r="M546" s="117">
        <v>-11.919301389613011</v>
      </c>
      <c r="O546" s="39">
        <f t="shared" si="36"/>
        <v>44278</v>
      </c>
      <c r="P546" s="41">
        <f t="shared" si="33"/>
        <v>63.32761699303245</v>
      </c>
      <c r="Q546" s="41">
        <f t="shared" si="34"/>
        <v>64.84665600000001</v>
      </c>
      <c r="R546" s="41">
        <f t="shared" si="35"/>
        <v>1.5190390069675601</v>
      </c>
    </row>
    <row r="547" spans="10:18">
      <c r="J547" s="118">
        <v>44061</v>
      </c>
      <c r="K547" s="116">
        <v>55.591909389613015</v>
      </c>
      <c r="L547" s="116">
        <v>43.300655999999996</v>
      </c>
      <c r="M547" s="117">
        <v>-12.291253389613018</v>
      </c>
      <c r="O547" s="39">
        <f t="shared" si="36"/>
        <v>44277</v>
      </c>
      <c r="P547" s="41">
        <f t="shared" si="33"/>
        <v>63.32761699303245</v>
      </c>
      <c r="Q547" s="41">
        <f t="shared" si="34"/>
        <v>65.18231999999999</v>
      </c>
      <c r="R547" s="41">
        <f t="shared" si="35"/>
        <v>1.8547030069675401</v>
      </c>
    </row>
    <row r="548" spans="10:18">
      <c r="J548" s="118">
        <v>44060</v>
      </c>
      <c r="K548" s="116">
        <v>55.591909389613015</v>
      </c>
      <c r="L548" s="116">
        <v>43.935696</v>
      </c>
      <c r="M548" s="117">
        <v>-11.656213389613015</v>
      </c>
      <c r="O548" s="39">
        <f t="shared" si="36"/>
        <v>44276</v>
      </c>
      <c r="P548" s="41">
        <f t="shared" si="33"/>
        <v>63.32761699303245</v>
      </c>
      <c r="Q548" s="41">
        <f t="shared" si="34"/>
        <v>63.830592000000003</v>
      </c>
      <c r="R548" s="41">
        <f t="shared" si="35"/>
        <v>0.50297500696755293</v>
      </c>
    </row>
    <row r="549" spans="10:18">
      <c r="J549" s="118">
        <v>44057</v>
      </c>
      <c r="K549" s="116">
        <v>55.591909389613015</v>
      </c>
      <c r="L549" s="116">
        <v>44.153424000000001</v>
      </c>
      <c r="M549" s="117">
        <v>-11.438485389613014</v>
      </c>
      <c r="O549" s="39">
        <f t="shared" si="36"/>
        <v>44275</v>
      </c>
      <c r="P549" s="41">
        <f t="shared" si="33"/>
        <v>63.32761699303245</v>
      </c>
      <c r="Q549" s="41">
        <f t="shared" si="34"/>
        <v>63.830592000000003</v>
      </c>
      <c r="R549" s="41">
        <f t="shared" si="35"/>
        <v>0.50297500696755293</v>
      </c>
    </row>
    <row r="550" spans="10:18">
      <c r="J550" s="118">
        <v>44056</v>
      </c>
      <c r="K550" s="116">
        <v>55.940248950234405</v>
      </c>
      <c r="L550" s="116">
        <v>44.398367999999998</v>
      </c>
      <c r="M550" s="117">
        <v>-11.541880950234408</v>
      </c>
      <c r="O550" s="39">
        <f t="shared" si="36"/>
        <v>44274</v>
      </c>
      <c r="P550" s="41">
        <f t="shared" si="33"/>
        <v>63.32761699303245</v>
      </c>
      <c r="Q550" s="41">
        <f t="shared" si="34"/>
        <v>63.830592000000003</v>
      </c>
      <c r="R550" s="41">
        <f t="shared" si="35"/>
        <v>0.50297500696755293</v>
      </c>
    </row>
    <row r="551" spans="10:18">
      <c r="J551" s="118">
        <v>44055</v>
      </c>
      <c r="K551" s="116">
        <v>55.940248950234405</v>
      </c>
      <c r="L551" s="116">
        <v>44.670528000000004</v>
      </c>
      <c r="M551" s="117">
        <v>-11.269720950234401</v>
      </c>
      <c r="O551" s="39">
        <f t="shared" si="36"/>
        <v>44273</v>
      </c>
      <c r="P551" s="41">
        <f t="shared" si="33"/>
        <v>62.543617404835011</v>
      </c>
      <c r="Q551" s="41">
        <f t="shared" si="34"/>
        <v>65.164175999999998</v>
      </c>
      <c r="R551" s="41">
        <f t="shared" si="35"/>
        <v>2.6205585951649866</v>
      </c>
    </row>
    <row r="552" spans="10:18">
      <c r="J552" s="118">
        <v>44054</v>
      </c>
      <c r="K552" s="116">
        <v>55.940248950234405</v>
      </c>
      <c r="L552" s="116">
        <v>45.659376000000002</v>
      </c>
      <c r="M552" s="117">
        <v>-10.280872950234404</v>
      </c>
      <c r="O552" s="39">
        <f t="shared" si="36"/>
        <v>44272</v>
      </c>
      <c r="P552" s="41">
        <f t="shared" si="33"/>
        <v>62.543617404835011</v>
      </c>
      <c r="Q552" s="41">
        <f t="shared" si="34"/>
        <v>62.1432</v>
      </c>
      <c r="R552" s="41">
        <f t="shared" si="35"/>
        <v>-0.40041740483501087</v>
      </c>
    </row>
    <row r="553" spans="10:18">
      <c r="J553" s="118">
        <v>44053</v>
      </c>
      <c r="K553" s="116">
        <v>55.940248950234405</v>
      </c>
      <c r="L553" s="116">
        <v>46.575648000000001</v>
      </c>
      <c r="M553" s="117">
        <v>-9.3646009502344043</v>
      </c>
      <c r="O553" s="39">
        <f t="shared" si="36"/>
        <v>44271</v>
      </c>
      <c r="P553" s="41">
        <f t="shared" si="33"/>
        <v>62.543617404835011</v>
      </c>
      <c r="Q553" s="41">
        <f t="shared" si="34"/>
        <v>60.882192000000003</v>
      </c>
      <c r="R553" s="41">
        <f t="shared" si="35"/>
        <v>-1.6614254048350077</v>
      </c>
    </row>
    <row r="554" spans="10:18">
      <c r="J554" s="118">
        <v>44050</v>
      </c>
      <c r="K554" s="116">
        <v>55.940248950234405</v>
      </c>
      <c r="L554" s="116">
        <v>46.35792</v>
      </c>
      <c r="M554" s="117">
        <v>-9.5823289502344053</v>
      </c>
      <c r="O554" s="39">
        <f t="shared" si="36"/>
        <v>44270</v>
      </c>
      <c r="P554" s="41">
        <f t="shared" si="33"/>
        <v>62.543617404835011</v>
      </c>
      <c r="Q554" s="41">
        <f t="shared" si="34"/>
        <v>61.426511999999995</v>
      </c>
      <c r="R554" s="41">
        <f t="shared" si="35"/>
        <v>-1.1171054048350157</v>
      </c>
    </row>
    <row r="555" spans="10:18">
      <c r="J555" s="118">
        <v>44049</v>
      </c>
      <c r="K555" s="116">
        <v>55.04756993194227</v>
      </c>
      <c r="L555" s="116">
        <v>46.203696000000001</v>
      </c>
      <c r="M555" s="117">
        <v>-8.8438739319422695</v>
      </c>
      <c r="O555" s="39">
        <f t="shared" si="36"/>
        <v>44269</v>
      </c>
      <c r="P555" s="41">
        <f t="shared" si="33"/>
        <v>62.543617404835011</v>
      </c>
      <c r="Q555" s="41">
        <f t="shared" si="34"/>
        <v>60.827759999999998</v>
      </c>
      <c r="R555" s="41">
        <f t="shared" si="35"/>
        <v>-1.7158574048350133</v>
      </c>
    </row>
    <row r="556" spans="10:18">
      <c r="J556" s="118">
        <v>44048</v>
      </c>
      <c r="K556" s="116">
        <v>55.04756993194227</v>
      </c>
      <c r="L556" s="116">
        <v>46.802448000000005</v>
      </c>
      <c r="M556" s="117">
        <v>-8.2451219319422648</v>
      </c>
      <c r="O556" s="39">
        <f t="shared" si="36"/>
        <v>44268</v>
      </c>
      <c r="P556" s="41">
        <f t="shared" si="33"/>
        <v>62.543617404835011</v>
      </c>
      <c r="Q556" s="41">
        <f t="shared" si="34"/>
        <v>60.827759999999998</v>
      </c>
      <c r="R556" s="41">
        <f t="shared" si="35"/>
        <v>-1.7158574048350133</v>
      </c>
    </row>
    <row r="557" spans="10:18">
      <c r="J557" s="118">
        <v>44047</v>
      </c>
      <c r="K557" s="116">
        <v>55.04756993194227</v>
      </c>
      <c r="L557" s="116">
        <v>46.802448000000005</v>
      </c>
      <c r="M557" s="117">
        <v>-8.2451219319422648</v>
      </c>
      <c r="O557" s="39">
        <f t="shared" si="36"/>
        <v>44267</v>
      </c>
      <c r="P557" s="41">
        <f t="shared" si="33"/>
        <v>62.543617404835011</v>
      </c>
      <c r="Q557" s="41">
        <f t="shared" si="34"/>
        <v>60.827759999999998</v>
      </c>
      <c r="R557" s="41">
        <f t="shared" si="35"/>
        <v>-1.7158574048350133</v>
      </c>
    </row>
    <row r="558" spans="10:18">
      <c r="J558" s="118">
        <v>44046</v>
      </c>
      <c r="K558" s="116">
        <v>55.04756993194227</v>
      </c>
      <c r="L558" s="116">
        <v>47.337696000000001</v>
      </c>
      <c r="M558" s="117">
        <v>-7.7098739319422691</v>
      </c>
      <c r="O558" s="39">
        <f t="shared" si="36"/>
        <v>44266</v>
      </c>
      <c r="P558" s="41">
        <f t="shared" si="33"/>
        <v>62.255114351245524</v>
      </c>
      <c r="Q558" s="41">
        <f t="shared" si="34"/>
        <v>60.020351999999995</v>
      </c>
      <c r="R558" s="41">
        <f t="shared" si="35"/>
        <v>-2.2347623512455286</v>
      </c>
    </row>
    <row r="559" spans="10:18">
      <c r="J559" s="118">
        <v>44043</v>
      </c>
      <c r="K559" s="116">
        <v>55.04756993194227</v>
      </c>
      <c r="L559" s="116">
        <v>46.176479999999998</v>
      </c>
      <c r="M559" s="117">
        <v>-8.8710899319422722</v>
      </c>
      <c r="O559" s="39">
        <f t="shared" si="36"/>
        <v>44265</v>
      </c>
      <c r="P559" s="41">
        <f t="shared" si="33"/>
        <v>62.255114351245524</v>
      </c>
      <c r="Q559" s="41">
        <f t="shared" si="34"/>
        <v>60.192719999999994</v>
      </c>
      <c r="R559" s="41">
        <f t="shared" si="35"/>
        <v>-2.0623943512455298</v>
      </c>
    </row>
    <row r="560" spans="10:18">
      <c r="J560" s="118">
        <v>44042</v>
      </c>
      <c r="K560" s="116">
        <v>55.512912636234972</v>
      </c>
      <c r="L560" s="116">
        <v>45.695664000000001</v>
      </c>
      <c r="M560" s="117">
        <v>-9.8172486362349716</v>
      </c>
      <c r="O560" s="39">
        <f t="shared" si="36"/>
        <v>44264</v>
      </c>
      <c r="P560" s="41">
        <f t="shared" si="33"/>
        <v>62.255114351245524</v>
      </c>
      <c r="Q560" s="41">
        <f t="shared" si="34"/>
        <v>59.185727999999997</v>
      </c>
      <c r="R560" s="41">
        <f t="shared" si="35"/>
        <v>-3.0693863512455266</v>
      </c>
    </row>
    <row r="561" spans="10:18">
      <c r="J561" s="118">
        <v>44041</v>
      </c>
      <c r="K561" s="116">
        <v>55.512912636234972</v>
      </c>
      <c r="L561" s="116">
        <v>45.541440000000001</v>
      </c>
      <c r="M561" s="117">
        <v>-9.9714726362349708</v>
      </c>
      <c r="O561" s="39">
        <f t="shared" si="36"/>
        <v>44263</v>
      </c>
      <c r="P561" s="41">
        <f t="shared" si="33"/>
        <v>62.255114351245524</v>
      </c>
      <c r="Q561" s="41">
        <f t="shared" si="34"/>
        <v>59.203872000000004</v>
      </c>
      <c r="R561" s="41">
        <f t="shared" si="35"/>
        <v>-3.05124235124552</v>
      </c>
    </row>
    <row r="562" spans="10:18">
      <c r="J562" s="118">
        <v>44040</v>
      </c>
      <c r="K562" s="116">
        <v>55.512912636234972</v>
      </c>
      <c r="L562" s="116">
        <v>45.187632000000001</v>
      </c>
      <c r="M562" s="117">
        <v>-10.325280636234972</v>
      </c>
      <c r="O562" s="39">
        <f t="shared" si="36"/>
        <v>44262</v>
      </c>
      <c r="P562" s="41">
        <f t="shared" si="33"/>
        <v>0</v>
      </c>
      <c r="Q562" s="41">
        <f t="shared" si="34"/>
        <v>0</v>
      </c>
      <c r="R562" s="41">
        <f t="shared" si="35"/>
        <v>0</v>
      </c>
    </row>
    <row r="563" spans="10:18">
      <c r="J563" s="118">
        <v>44039</v>
      </c>
      <c r="K563" s="116">
        <v>55.512912636234972</v>
      </c>
      <c r="L563" s="116">
        <v>45.133200000000002</v>
      </c>
      <c r="M563" s="117">
        <v>-10.37971263623497</v>
      </c>
      <c r="O563" s="39">
        <f t="shared" si="36"/>
        <v>44261</v>
      </c>
      <c r="P563" s="41">
        <f t="shared" si="33"/>
        <v>0</v>
      </c>
      <c r="Q563" s="41">
        <f t="shared" si="34"/>
        <v>0</v>
      </c>
      <c r="R563" s="41">
        <f t="shared" si="35"/>
        <v>0</v>
      </c>
    </row>
    <row r="564" spans="10:18">
      <c r="J564" s="118">
        <v>44036</v>
      </c>
      <c r="K564" s="116">
        <v>55.512912636234972</v>
      </c>
      <c r="L564" s="116">
        <v>45.260207999999999</v>
      </c>
      <c r="M564" s="117">
        <v>-10.252704636234974</v>
      </c>
      <c r="O564" s="39">
        <f t="shared" si="36"/>
        <v>44260</v>
      </c>
      <c r="P564" s="41">
        <f t="shared" si="33"/>
        <v>0</v>
      </c>
      <c r="Q564" s="41">
        <f t="shared" si="34"/>
        <v>0</v>
      </c>
      <c r="R564" s="41">
        <f t="shared" si="35"/>
        <v>0</v>
      </c>
    </row>
    <row r="565" spans="10:18">
      <c r="J565" s="118">
        <v>44035</v>
      </c>
      <c r="K565" s="116">
        <v>57.268273893703466</v>
      </c>
      <c r="L565" s="116">
        <v>45.877104000000003</v>
      </c>
      <c r="M565" s="117">
        <v>-11.391169893703463</v>
      </c>
      <c r="O565" s="39">
        <f t="shared" si="36"/>
        <v>44259</v>
      </c>
      <c r="P565" s="41">
        <f t="shared" si="33"/>
        <v>0</v>
      </c>
      <c r="Q565" s="41">
        <f t="shared" si="34"/>
        <v>0</v>
      </c>
      <c r="R565" s="41">
        <f t="shared" si="35"/>
        <v>0</v>
      </c>
    </row>
    <row r="566" spans="10:18">
      <c r="J566" s="118">
        <v>44034</v>
      </c>
      <c r="K566" s="116">
        <v>57.268273893703466</v>
      </c>
      <c r="L566" s="116">
        <v>46.239984</v>
      </c>
      <c r="M566" s="117">
        <v>-11.028289893703466</v>
      </c>
      <c r="O566" s="39">
        <f t="shared" si="36"/>
        <v>44258</v>
      </c>
      <c r="P566" s="41">
        <f t="shared" si="33"/>
        <v>0</v>
      </c>
      <c r="Q566" s="41">
        <f t="shared" si="34"/>
        <v>0</v>
      </c>
      <c r="R566" s="41">
        <f t="shared" si="35"/>
        <v>0</v>
      </c>
    </row>
    <row r="567" spans="10:18">
      <c r="J567" s="118">
        <v>44033</v>
      </c>
      <c r="K567" s="116">
        <v>57.268273893703466</v>
      </c>
      <c r="L567" s="116">
        <v>45.033408000000001</v>
      </c>
      <c r="M567" s="117">
        <v>-12.234865893703464</v>
      </c>
      <c r="O567" s="39">
        <f t="shared" si="36"/>
        <v>44257</v>
      </c>
      <c r="P567" s="41">
        <f t="shared" si="33"/>
        <v>0</v>
      </c>
      <c r="Q567" s="41">
        <f t="shared" si="34"/>
        <v>0</v>
      </c>
      <c r="R567" s="41">
        <f t="shared" si="35"/>
        <v>0</v>
      </c>
    </row>
    <row r="568" spans="10:18">
      <c r="J568" s="118">
        <v>44032</v>
      </c>
      <c r="K568" s="116">
        <v>57.268273893703466</v>
      </c>
      <c r="L568" s="116">
        <v>44.235071999999995</v>
      </c>
      <c r="M568" s="117">
        <v>-13.03320189370347</v>
      </c>
      <c r="O568" s="39">
        <f t="shared" si="36"/>
        <v>44256</v>
      </c>
      <c r="P568" s="41">
        <f t="shared" si="33"/>
        <v>0</v>
      </c>
      <c r="Q568" s="41">
        <f t="shared" si="34"/>
        <v>0</v>
      </c>
      <c r="R568" s="41">
        <f t="shared" si="35"/>
        <v>0</v>
      </c>
    </row>
    <row r="569" spans="10:18">
      <c r="J569" s="118">
        <v>44029</v>
      </c>
      <c r="K569" s="116">
        <v>57.268273893703466</v>
      </c>
      <c r="L569" s="116">
        <v>44.570736000000004</v>
      </c>
      <c r="M569" s="117">
        <v>-12.697537893703462</v>
      </c>
      <c r="O569" s="39">
        <f t="shared" si="36"/>
        <v>44255</v>
      </c>
      <c r="P569" s="41">
        <f t="shared" si="33"/>
        <v>0</v>
      </c>
      <c r="Q569" s="41">
        <f t="shared" si="34"/>
        <v>0</v>
      </c>
      <c r="R569" s="41">
        <f t="shared" si="35"/>
        <v>0</v>
      </c>
    </row>
    <row r="570" spans="10:18">
      <c r="J570" s="118">
        <v>44028</v>
      </c>
      <c r="K570" s="116">
        <v>58.170375983969123</v>
      </c>
      <c r="L570" s="116">
        <v>44.507232000000002</v>
      </c>
      <c r="M570" s="117">
        <v>-13.663143983969121</v>
      </c>
      <c r="O570" s="39">
        <f t="shared" si="36"/>
        <v>44254</v>
      </c>
      <c r="P570" s="41">
        <f t="shared" si="33"/>
        <v>0</v>
      </c>
      <c r="Q570" s="41">
        <f t="shared" si="34"/>
        <v>0</v>
      </c>
      <c r="R570" s="41">
        <f t="shared" si="35"/>
        <v>0</v>
      </c>
    </row>
    <row r="571" spans="10:18">
      <c r="J571" s="118">
        <v>44027</v>
      </c>
      <c r="K571" s="116">
        <v>58.170375983969123</v>
      </c>
      <c r="L571" s="116">
        <v>44.706816000000003</v>
      </c>
      <c r="M571" s="117">
        <v>-13.46355998396912</v>
      </c>
      <c r="O571" s="39">
        <f t="shared" si="36"/>
        <v>44253</v>
      </c>
      <c r="P571" s="41">
        <f t="shared" si="33"/>
        <v>0</v>
      </c>
      <c r="Q571" s="41">
        <f t="shared" si="34"/>
        <v>0</v>
      </c>
      <c r="R571" s="41">
        <f t="shared" si="35"/>
        <v>0</v>
      </c>
    </row>
    <row r="572" spans="10:18">
      <c r="J572" s="118">
        <v>44026</v>
      </c>
      <c r="K572" s="116">
        <v>58.170375983969123</v>
      </c>
      <c r="L572" s="116">
        <v>43.373232000000002</v>
      </c>
      <c r="M572" s="117">
        <v>-14.797143983969121</v>
      </c>
      <c r="O572" s="39">
        <f t="shared" si="36"/>
        <v>44252</v>
      </c>
      <c r="P572" s="41">
        <f t="shared" si="33"/>
        <v>0</v>
      </c>
      <c r="Q572" s="41">
        <f t="shared" si="34"/>
        <v>0</v>
      </c>
      <c r="R572" s="41">
        <f t="shared" si="35"/>
        <v>0</v>
      </c>
    </row>
    <row r="573" spans="10:18">
      <c r="J573" s="118">
        <v>44025</v>
      </c>
      <c r="K573" s="116">
        <v>58.170375983969123</v>
      </c>
      <c r="L573" s="116">
        <v>43.962912000000003</v>
      </c>
      <c r="M573" s="117">
        <v>-14.20746398396912</v>
      </c>
      <c r="O573" s="39">
        <f t="shared" si="36"/>
        <v>44251</v>
      </c>
      <c r="P573" s="41">
        <f t="shared" si="33"/>
        <v>0</v>
      </c>
      <c r="Q573" s="41">
        <f t="shared" si="34"/>
        <v>0</v>
      </c>
      <c r="R573" s="41">
        <f t="shared" si="35"/>
        <v>0</v>
      </c>
    </row>
    <row r="574" spans="10:18">
      <c r="J574" s="118">
        <v>44022</v>
      </c>
      <c r="K574" s="116">
        <v>58.170375983969123</v>
      </c>
      <c r="L574" s="116">
        <v>44.071776</v>
      </c>
      <c r="M574" s="117">
        <v>-14.098599983969123</v>
      </c>
      <c r="O574" s="39">
        <f t="shared" si="36"/>
        <v>44250</v>
      </c>
      <c r="P574" s="41">
        <f t="shared" si="33"/>
        <v>0</v>
      </c>
      <c r="Q574" s="41">
        <f t="shared" si="34"/>
        <v>0</v>
      </c>
      <c r="R574" s="41">
        <f t="shared" si="35"/>
        <v>0</v>
      </c>
    </row>
    <row r="575" spans="10:18">
      <c r="J575" s="118">
        <v>44021</v>
      </c>
      <c r="K575" s="116">
        <v>58.371715621803482</v>
      </c>
      <c r="L575" s="116">
        <v>44.643312000000002</v>
      </c>
      <c r="M575" s="117">
        <v>-13.72840362180348</v>
      </c>
      <c r="O575" s="39">
        <f t="shared" si="36"/>
        <v>44249</v>
      </c>
      <c r="P575" s="41">
        <f t="shared" si="33"/>
        <v>0</v>
      </c>
      <c r="Q575" s="41">
        <f t="shared" si="34"/>
        <v>0</v>
      </c>
      <c r="R575" s="41">
        <f t="shared" si="35"/>
        <v>0</v>
      </c>
    </row>
    <row r="576" spans="10:18">
      <c r="J576" s="118">
        <v>44020</v>
      </c>
      <c r="K576" s="116">
        <v>58.371715621803482</v>
      </c>
      <c r="L576" s="116">
        <v>45.450720000000004</v>
      </c>
      <c r="M576" s="117">
        <v>-12.920995621803478</v>
      </c>
      <c r="O576" s="39">
        <f t="shared" si="36"/>
        <v>44248</v>
      </c>
      <c r="P576" s="41">
        <f t="shared" si="33"/>
        <v>0</v>
      </c>
      <c r="Q576" s="41">
        <f t="shared" si="34"/>
        <v>0</v>
      </c>
      <c r="R576" s="41">
        <f t="shared" si="35"/>
        <v>0</v>
      </c>
    </row>
    <row r="577" spans="10:18">
      <c r="J577" s="118">
        <v>44019</v>
      </c>
      <c r="K577" s="116">
        <v>58.371715621803482</v>
      </c>
      <c r="L577" s="116">
        <v>46.158336000000006</v>
      </c>
      <c r="M577" s="117">
        <v>-12.213379621803476</v>
      </c>
      <c r="O577" s="39">
        <f t="shared" si="36"/>
        <v>44247</v>
      </c>
      <c r="P577" s="41">
        <f t="shared" si="33"/>
        <v>0</v>
      </c>
      <c r="Q577" s="41">
        <f t="shared" si="34"/>
        <v>0</v>
      </c>
      <c r="R577" s="41">
        <f t="shared" si="35"/>
        <v>0</v>
      </c>
    </row>
    <row r="578" spans="10:18">
      <c r="J578" s="118">
        <v>44018</v>
      </c>
      <c r="K578" s="116">
        <v>58.371715621803482</v>
      </c>
      <c r="L578" s="116">
        <v>46.666367999999999</v>
      </c>
      <c r="M578" s="117">
        <v>-11.705347621803483</v>
      </c>
      <c r="O578" s="39">
        <f t="shared" si="36"/>
        <v>44246</v>
      </c>
      <c r="P578" s="41">
        <f t="shared" si="33"/>
        <v>0</v>
      </c>
      <c r="Q578" s="41">
        <f t="shared" si="34"/>
        <v>0</v>
      </c>
      <c r="R578" s="41">
        <f t="shared" si="35"/>
        <v>0</v>
      </c>
    </row>
    <row r="579" spans="10:18">
      <c r="J579" s="118">
        <v>44015</v>
      </c>
      <c r="K579" s="116">
        <v>58.371715621803482</v>
      </c>
      <c r="L579" s="116">
        <v>46.158336000000006</v>
      </c>
      <c r="M579" s="117">
        <v>-12.213379621803476</v>
      </c>
      <c r="O579" s="39">
        <f t="shared" si="36"/>
        <v>44245</v>
      </c>
      <c r="P579" s="41">
        <f t="shared" si="33"/>
        <v>0</v>
      </c>
      <c r="Q579" s="41">
        <f t="shared" si="34"/>
        <v>0</v>
      </c>
      <c r="R579" s="41">
        <f t="shared" si="35"/>
        <v>0</v>
      </c>
    </row>
    <row r="580" spans="10:18">
      <c r="J580" s="118">
        <v>44014</v>
      </c>
      <c r="K580" s="116">
        <v>56.460088420773964</v>
      </c>
      <c r="L580" s="116">
        <v>46.684511999999998</v>
      </c>
      <c r="M580" s="117">
        <v>-9.7755764207739659</v>
      </c>
      <c r="O580" s="39">
        <f t="shared" si="36"/>
        <v>44244</v>
      </c>
      <c r="P580" s="41">
        <f t="shared" si="33"/>
        <v>0</v>
      </c>
      <c r="Q580" s="41">
        <f t="shared" si="34"/>
        <v>0</v>
      </c>
      <c r="R580" s="41">
        <f t="shared" si="35"/>
        <v>0</v>
      </c>
    </row>
    <row r="581" spans="10:18">
      <c r="J581" s="118">
        <v>44013</v>
      </c>
      <c r="K581" s="116">
        <v>56.460088420773964</v>
      </c>
      <c r="L581" s="116">
        <v>45.976896000000004</v>
      </c>
      <c r="M581" s="117">
        <v>-10.48319242077396</v>
      </c>
      <c r="O581" s="39">
        <f t="shared" si="36"/>
        <v>44243</v>
      </c>
      <c r="P581" s="41">
        <f t="shared" si="33"/>
        <v>0</v>
      </c>
      <c r="Q581" s="41">
        <f t="shared" si="34"/>
        <v>0</v>
      </c>
      <c r="R581" s="41">
        <f t="shared" si="35"/>
        <v>0</v>
      </c>
    </row>
    <row r="582" spans="10:18">
      <c r="J582" s="118">
        <v>44012</v>
      </c>
      <c r="K582" s="116">
        <v>56.460088420773964</v>
      </c>
      <c r="L582" s="116">
        <v>45.976896000000004</v>
      </c>
      <c r="M582" s="117">
        <v>-10.48319242077396</v>
      </c>
      <c r="O582" s="39">
        <f t="shared" si="36"/>
        <v>44242</v>
      </c>
      <c r="P582" s="41">
        <f t="shared" ref="P582:P645" si="37">IFERROR(VLOOKUP($O582,$J$5:$M$403,2,FALSE),P583)</f>
        <v>0</v>
      </c>
      <c r="Q582" s="41">
        <f t="shared" ref="Q582:Q645" si="38">IFERROR(VLOOKUP($O582,$J$5:$M$403,3,FALSE),Q583)</f>
        <v>0</v>
      </c>
      <c r="R582" s="41">
        <f t="shared" ref="R582:R645" si="39">IFERROR(VLOOKUP($O582,$J$5:$M$403,4,FALSE),R583)</f>
        <v>0</v>
      </c>
    </row>
    <row r="583" spans="10:18">
      <c r="J583" s="118">
        <v>44011</v>
      </c>
      <c r="K583" s="116">
        <v>56.460088420773964</v>
      </c>
      <c r="L583" s="116">
        <v>45.232992000000003</v>
      </c>
      <c r="M583" s="117">
        <v>-11.227096420773961</v>
      </c>
      <c r="O583" s="39">
        <f t="shared" ref="O583:O646" si="40">O582-1</f>
        <v>44241</v>
      </c>
      <c r="P583" s="41">
        <f t="shared" si="37"/>
        <v>0</v>
      </c>
      <c r="Q583" s="41">
        <f t="shared" si="38"/>
        <v>0</v>
      </c>
      <c r="R583" s="41">
        <f t="shared" si="39"/>
        <v>0</v>
      </c>
    </row>
    <row r="584" spans="10:18">
      <c r="J584" s="118">
        <v>44008</v>
      </c>
      <c r="K584" s="116">
        <v>56.460088420773964</v>
      </c>
      <c r="L584" s="116">
        <v>44.207856</v>
      </c>
      <c r="M584" s="117">
        <v>-12.252232420773964</v>
      </c>
      <c r="O584" s="39">
        <f t="shared" si="40"/>
        <v>44240</v>
      </c>
      <c r="P584" s="41">
        <f t="shared" si="37"/>
        <v>0</v>
      </c>
      <c r="Q584" s="41">
        <f t="shared" si="38"/>
        <v>0</v>
      </c>
      <c r="R584" s="41">
        <f t="shared" si="39"/>
        <v>0</v>
      </c>
    </row>
    <row r="585" spans="10:18">
      <c r="J585" s="118">
        <v>44007</v>
      </c>
      <c r="K585" s="116">
        <v>54.67206051379722</v>
      </c>
      <c r="L585" s="116">
        <v>42.765408000000001</v>
      </c>
      <c r="M585" s="117">
        <v>-11.906652513797219</v>
      </c>
      <c r="O585" s="39">
        <f t="shared" si="40"/>
        <v>44239</v>
      </c>
      <c r="P585" s="41">
        <f t="shared" si="37"/>
        <v>0</v>
      </c>
      <c r="Q585" s="41">
        <f t="shared" si="38"/>
        <v>0</v>
      </c>
      <c r="R585" s="41">
        <f t="shared" si="39"/>
        <v>0</v>
      </c>
    </row>
    <row r="586" spans="10:18">
      <c r="J586" s="118">
        <v>44006</v>
      </c>
      <c r="K586" s="116">
        <v>54.67206051379722</v>
      </c>
      <c r="L586" s="116">
        <v>43.110144000000005</v>
      </c>
      <c r="M586" s="117">
        <v>-11.561916513797215</v>
      </c>
      <c r="O586" s="39">
        <f t="shared" si="40"/>
        <v>44238</v>
      </c>
      <c r="P586" s="41">
        <f t="shared" si="37"/>
        <v>0</v>
      </c>
      <c r="Q586" s="41">
        <f t="shared" si="38"/>
        <v>0</v>
      </c>
      <c r="R586" s="41">
        <f t="shared" si="39"/>
        <v>0</v>
      </c>
    </row>
    <row r="587" spans="10:18">
      <c r="J587" s="118">
        <v>44005</v>
      </c>
      <c r="K587" s="116">
        <v>54.67206051379722</v>
      </c>
      <c r="L587" s="116">
        <v>42.075936000000006</v>
      </c>
      <c r="M587" s="117">
        <v>-12.596124513797214</v>
      </c>
      <c r="O587" s="39">
        <f t="shared" si="40"/>
        <v>44237</v>
      </c>
      <c r="P587" s="41">
        <f t="shared" si="37"/>
        <v>0</v>
      </c>
      <c r="Q587" s="41">
        <f t="shared" si="38"/>
        <v>0</v>
      </c>
      <c r="R587" s="41">
        <f t="shared" si="39"/>
        <v>0</v>
      </c>
    </row>
    <row r="588" spans="10:18">
      <c r="J588" s="118">
        <v>44004</v>
      </c>
      <c r="K588" s="116">
        <v>54.67206051379722</v>
      </c>
      <c r="L588" s="116">
        <v>40.216175999999997</v>
      </c>
      <c r="M588" s="117">
        <v>-14.455884513797223</v>
      </c>
      <c r="O588" s="39">
        <f t="shared" si="40"/>
        <v>44236</v>
      </c>
      <c r="P588" s="41">
        <f t="shared" si="37"/>
        <v>0</v>
      </c>
      <c r="Q588" s="41">
        <f t="shared" si="38"/>
        <v>0</v>
      </c>
      <c r="R588" s="41">
        <f t="shared" si="39"/>
        <v>0</v>
      </c>
    </row>
    <row r="589" spans="10:18">
      <c r="J589" s="118">
        <v>44001</v>
      </c>
      <c r="K589" s="116">
        <v>54.67206051379722</v>
      </c>
      <c r="L589" s="116">
        <v>40.842144000000005</v>
      </c>
      <c r="M589" s="117">
        <v>-13.829916513797215</v>
      </c>
      <c r="O589" s="39">
        <f t="shared" si="40"/>
        <v>44235</v>
      </c>
      <c r="P589" s="41">
        <f t="shared" si="37"/>
        <v>0</v>
      </c>
      <c r="Q589" s="41">
        <f t="shared" si="38"/>
        <v>0</v>
      </c>
      <c r="R589" s="41">
        <f t="shared" si="39"/>
        <v>0</v>
      </c>
    </row>
    <row r="590" spans="10:18">
      <c r="J590" s="118">
        <v>44000</v>
      </c>
      <c r="K590" s="116">
        <v>52.35885339549592</v>
      </c>
      <c r="L590" s="116">
        <v>40.306896000000002</v>
      </c>
      <c r="M590" s="117">
        <v>-12.051957395495918</v>
      </c>
      <c r="O590" s="39">
        <f t="shared" si="40"/>
        <v>44234</v>
      </c>
      <c r="P590" s="41">
        <f t="shared" si="37"/>
        <v>0</v>
      </c>
      <c r="Q590" s="41">
        <f t="shared" si="38"/>
        <v>0</v>
      </c>
      <c r="R590" s="41">
        <f t="shared" si="39"/>
        <v>0</v>
      </c>
    </row>
    <row r="591" spans="10:18">
      <c r="J591" s="118">
        <v>43999</v>
      </c>
      <c r="K591" s="116">
        <v>52.35885339549592</v>
      </c>
      <c r="L591" s="116">
        <v>39.463200000000001</v>
      </c>
      <c r="M591" s="117">
        <v>-12.89565339549592</v>
      </c>
      <c r="O591" s="39">
        <f t="shared" si="40"/>
        <v>44233</v>
      </c>
      <c r="P591" s="41">
        <f t="shared" si="37"/>
        <v>0</v>
      </c>
      <c r="Q591" s="41">
        <f t="shared" si="38"/>
        <v>0</v>
      </c>
      <c r="R591" s="41">
        <f t="shared" si="39"/>
        <v>0</v>
      </c>
    </row>
    <row r="592" spans="10:18">
      <c r="J592" s="118">
        <v>43998</v>
      </c>
      <c r="K592" s="116">
        <v>52.35885339549592</v>
      </c>
      <c r="L592" s="116">
        <v>41.205024000000002</v>
      </c>
      <c r="M592" s="117">
        <v>-11.153829395495919</v>
      </c>
      <c r="O592" s="39">
        <f t="shared" si="40"/>
        <v>44232</v>
      </c>
      <c r="P592" s="41">
        <f t="shared" si="37"/>
        <v>0</v>
      </c>
      <c r="Q592" s="41">
        <f t="shared" si="38"/>
        <v>0</v>
      </c>
      <c r="R592" s="41">
        <f t="shared" si="39"/>
        <v>0</v>
      </c>
    </row>
    <row r="593" spans="10:18">
      <c r="J593" s="118">
        <v>43997</v>
      </c>
      <c r="K593" s="116">
        <v>52.35885339549592</v>
      </c>
      <c r="L593" s="116">
        <v>40.651631999999999</v>
      </c>
      <c r="M593" s="117">
        <v>-11.707221395495921</v>
      </c>
      <c r="O593" s="39">
        <f t="shared" si="40"/>
        <v>44231</v>
      </c>
      <c r="P593" s="41">
        <f t="shared" si="37"/>
        <v>0</v>
      </c>
      <c r="Q593" s="41">
        <f t="shared" si="38"/>
        <v>0</v>
      </c>
      <c r="R593" s="41">
        <f t="shared" si="39"/>
        <v>0</v>
      </c>
    </row>
    <row r="594" spans="10:18">
      <c r="J594" s="118">
        <v>43994</v>
      </c>
      <c r="K594" s="116">
        <v>52.35885339549592</v>
      </c>
      <c r="L594" s="116">
        <v>40.297823999999999</v>
      </c>
      <c r="M594" s="117">
        <v>-12.061029395495922</v>
      </c>
      <c r="O594" s="39">
        <f t="shared" si="40"/>
        <v>44230</v>
      </c>
      <c r="P594" s="41">
        <f t="shared" si="37"/>
        <v>0</v>
      </c>
      <c r="Q594" s="41">
        <f t="shared" si="38"/>
        <v>0</v>
      </c>
      <c r="R594" s="41">
        <f t="shared" si="39"/>
        <v>0</v>
      </c>
    </row>
    <row r="595" spans="10:18">
      <c r="J595" s="118">
        <v>43993</v>
      </c>
      <c r="K595" s="116">
        <v>51.147831595698136</v>
      </c>
      <c r="L595" s="116">
        <v>39.426912000000002</v>
      </c>
      <c r="M595" s="117">
        <v>-11.720919595698135</v>
      </c>
      <c r="O595" s="39">
        <f t="shared" si="40"/>
        <v>44229</v>
      </c>
      <c r="P595" s="41">
        <f t="shared" si="37"/>
        <v>0</v>
      </c>
      <c r="Q595" s="41">
        <f t="shared" si="38"/>
        <v>0</v>
      </c>
      <c r="R595" s="41">
        <f t="shared" si="39"/>
        <v>0</v>
      </c>
    </row>
    <row r="596" spans="10:18">
      <c r="J596" s="118">
        <v>43992</v>
      </c>
      <c r="K596" s="116">
        <v>51.147831595698136</v>
      </c>
      <c r="L596" s="116">
        <v>40.515552</v>
      </c>
      <c r="M596" s="117">
        <v>-10.632279595698137</v>
      </c>
      <c r="O596" s="39">
        <f t="shared" si="40"/>
        <v>44228</v>
      </c>
      <c r="P596" s="41">
        <f t="shared" si="37"/>
        <v>0</v>
      </c>
      <c r="Q596" s="41">
        <f t="shared" si="38"/>
        <v>0</v>
      </c>
      <c r="R596" s="41">
        <f t="shared" si="39"/>
        <v>0</v>
      </c>
    </row>
    <row r="597" spans="10:18">
      <c r="J597" s="118">
        <v>43991</v>
      </c>
      <c r="K597" s="116">
        <v>51.147831595698136</v>
      </c>
      <c r="L597" s="116">
        <v>41.422751999999996</v>
      </c>
      <c r="M597" s="117">
        <v>-9.7250795956981406</v>
      </c>
      <c r="O597" s="39">
        <f t="shared" si="40"/>
        <v>44227</v>
      </c>
      <c r="P597" s="41">
        <f t="shared" si="37"/>
        <v>0</v>
      </c>
      <c r="Q597" s="41">
        <f t="shared" si="38"/>
        <v>0</v>
      </c>
      <c r="R597" s="41">
        <f t="shared" si="39"/>
        <v>0</v>
      </c>
    </row>
    <row r="598" spans="10:18">
      <c r="J598" s="118">
        <v>43990</v>
      </c>
      <c r="K598" s="116">
        <v>51.147831595698136</v>
      </c>
      <c r="L598" s="116">
        <v>42.012432000000004</v>
      </c>
      <c r="M598" s="117">
        <v>-9.1353995956981322</v>
      </c>
      <c r="O598" s="39">
        <f t="shared" si="40"/>
        <v>44226</v>
      </c>
      <c r="P598" s="41">
        <f t="shared" si="37"/>
        <v>0</v>
      </c>
      <c r="Q598" s="41">
        <f t="shared" si="38"/>
        <v>0</v>
      </c>
      <c r="R598" s="41">
        <f t="shared" si="39"/>
        <v>0</v>
      </c>
    </row>
    <row r="599" spans="10:18">
      <c r="J599" s="118">
        <v>43987</v>
      </c>
      <c r="K599" s="116">
        <v>51.147831595698136</v>
      </c>
      <c r="L599" s="116">
        <v>41.921711999999999</v>
      </c>
      <c r="M599" s="117">
        <v>-9.2261195956981368</v>
      </c>
      <c r="O599" s="39">
        <f t="shared" si="40"/>
        <v>44225</v>
      </c>
      <c r="P599" s="41">
        <f t="shared" si="37"/>
        <v>0</v>
      </c>
      <c r="Q599" s="41">
        <f t="shared" si="38"/>
        <v>0</v>
      </c>
      <c r="R599" s="41">
        <f t="shared" si="39"/>
        <v>0</v>
      </c>
    </row>
    <row r="600" spans="10:18">
      <c r="J600" s="118">
        <v>43986</v>
      </c>
      <c r="K600" s="116">
        <v>50.535488968618438</v>
      </c>
      <c r="L600" s="116">
        <v>41.894495999999997</v>
      </c>
      <c r="M600" s="117">
        <v>-8.6409929686184412</v>
      </c>
      <c r="O600" s="39">
        <f t="shared" si="40"/>
        <v>44224</v>
      </c>
      <c r="P600" s="41">
        <f t="shared" si="37"/>
        <v>0</v>
      </c>
      <c r="Q600" s="41">
        <f t="shared" si="38"/>
        <v>0</v>
      </c>
      <c r="R600" s="41">
        <f t="shared" si="39"/>
        <v>0</v>
      </c>
    </row>
    <row r="601" spans="10:18">
      <c r="J601" s="118">
        <v>43985</v>
      </c>
      <c r="K601" s="116">
        <v>50.535488968618438</v>
      </c>
      <c r="L601" s="116">
        <v>43.491167999999995</v>
      </c>
      <c r="M601" s="117">
        <v>-7.0443209686184431</v>
      </c>
      <c r="O601" s="39">
        <f t="shared" si="40"/>
        <v>44223</v>
      </c>
      <c r="P601" s="41">
        <f t="shared" si="37"/>
        <v>0</v>
      </c>
      <c r="Q601" s="41">
        <f t="shared" si="38"/>
        <v>0</v>
      </c>
      <c r="R601" s="41">
        <f t="shared" si="39"/>
        <v>0</v>
      </c>
    </row>
    <row r="602" spans="10:18">
      <c r="J602" s="118">
        <v>43984</v>
      </c>
      <c r="K602" s="116">
        <v>50.535488968618438</v>
      </c>
      <c r="L602" s="116">
        <v>42.202944000000002</v>
      </c>
      <c r="M602" s="117">
        <v>-8.3325449686184356</v>
      </c>
      <c r="O602" s="39">
        <f t="shared" si="40"/>
        <v>44222</v>
      </c>
      <c r="P602" s="41">
        <f t="shared" si="37"/>
        <v>0</v>
      </c>
      <c r="Q602" s="41">
        <f t="shared" si="38"/>
        <v>0</v>
      </c>
      <c r="R602" s="41">
        <f t="shared" si="39"/>
        <v>0</v>
      </c>
    </row>
    <row r="603" spans="10:18">
      <c r="J603" s="118">
        <v>43983</v>
      </c>
      <c r="K603" s="116">
        <v>50.535488968618438</v>
      </c>
      <c r="L603" s="116">
        <v>39.009599999999999</v>
      </c>
      <c r="M603" s="117">
        <v>-11.525888968618439</v>
      </c>
      <c r="O603" s="39">
        <f t="shared" si="40"/>
        <v>44221</v>
      </c>
      <c r="P603" s="41">
        <f t="shared" si="37"/>
        <v>0</v>
      </c>
      <c r="Q603" s="41">
        <f t="shared" si="38"/>
        <v>0</v>
      </c>
      <c r="R603" s="41">
        <f t="shared" si="39"/>
        <v>0</v>
      </c>
    </row>
    <row r="604" spans="10:18">
      <c r="J604" s="118">
        <v>43980</v>
      </c>
      <c r="K604" s="116">
        <v>50.535488968618438</v>
      </c>
      <c r="L604" s="116">
        <v>34.754832</v>
      </c>
      <c r="M604" s="117">
        <v>-15.780656968618437</v>
      </c>
      <c r="O604" s="39">
        <f t="shared" si="40"/>
        <v>44220</v>
      </c>
      <c r="P604" s="41">
        <f t="shared" si="37"/>
        <v>0</v>
      </c>
      <c r="Q604" s="41">
        <f t="shared" si="38"/>
        <v>0</v>
      </c>
      <c r="R604" s="41">
        <f t="shared" si="39"/>
        <v>0</v>
      </c>
    </row>
    <row r="605" spans="10:18">
      <c r="J605" s="118">
        <v>43979</v>
      </c>
      <c r="K605" s="116">
        <v>50.41031916257009</v>
      </c>
      <c r="L605" s="116">
        <v>34.274016000000003</v>
      </c>
      <c r="M605" s="117">
        <v>-16.136303162570087</v>
      </c>
      <c r="O605" s="39">
        <f t="shared" si="40"/>
        <v>44219</v>
      </c>
      <c r="P605" s="41">
        <f t="shared" si="37"/>
        <v>0</v>
      </c>
      <c r="Q605" s="41">
        <f t="shared" si="38"/>
        <v>0</v>
      </c>
      <c r="R605" s="41">
        <f t="shared" si="39"/>
        <v>0</v>
      </c>
    </row>
    <row r="606" spans="10:18">
      <c r="J606" s="118">
        <v>43978</v>
      </c>
      <c r="K606" s="116">
        <v>50.41031916257009</v>
      </c>
      <c r="L606" s="116">
        <v>34.754832</v>
      </c>
      <c r="M606" s="117">
        <v>-15.65548716257009</v>
      </c>
      <c r="O606" s="39">
        <f t="shared" si="40"/>
        <v>44218</v>
      </c>
      <c r="P606" s="41">
        <f t="shared" si="37"/>
        <v>0</v>
      </c>
      <c r="Q606" s="41">
        <f t="shared" si="38"/>
        <v>0</v>
      </c>
      <c r="R606" s="41">
        <f t="shared" si="39"/>
        <v>0</v>
      </c>
    </row>
    <row r="607" spans="10:18">
      <c r="J607" s="118">
        <v>43977</v>
      </c>
      <c r="K607" s="116">
        <v>50.41031916257009</v>
      </c>
      <c r="L607" s="116">
        <v>35.344512000000002</v>
      </c>
      <c r="M607" s="117">
        <v>-15.065807162570088</v>
      </c>
      <c r="O607" s="39">
        <f t="shared" si="40"/>
        <v>44217</v>
      </c>
      <c r="P607" s="41">
        <f t="shared" si="37"/>
        <v>0</v>
      </c>
      <c r="Q607" s="41">
        <f t="shared" si="38"/>
        <v>0</v>
      </c>
      <c r="R607" s="41">
        <f t="shared" si="39"/>
        <v>0</v>
      </c>
    </row>
    <row r="608" spans="10:18">
      <c r="J608" s="118">
        <v>43976</v>
      </c>
      <c r="K608" s="116">
        <v>50.41031916257009</v>
      </c>
      <c r="L608" s="116">
        <v>35.489663999999998</v>
      </c>
      <c r="M608" s="117">
        <v>-14.920655162570093</v>
      </c>
      <c r="O608" s="39">
        <f t="shared" si="40"/>
        <v>44216</v>
      </c>
      <c r="P608" s="41">
        <f t="shared" si="37"/>
        <v>0</v>
      </c>
      <c r="Q608" s="41">
        <f t="shared" si="38"/>
        <v>0</v>
      </c>
      <c r="R608" s="41">
        <f t="shared" si="39"/>
        <v>0</v>
      </c>
    </row>
    <row r="609" spans="10:18">
      <c r="J609" s="118">
        <v>43973</v>
      </c>
      <c r="K609" s="116">
        <v>50.41031916257009</v>
      </c>
      <c r="L609" s="116">
        <v>35.489663999999998</v>
      </c>
      <c r="M609" s="117">
        <v>-14.920655162570093</v>
      </c>
      <c r="O609" s="39">
        <f t="shared" si="40"/>
        <v>44215</v>
      </c>
      <c r="P609" s="41">
        <f t="shared" si="37"/>
        <v>0</v>
      </c>
      <c r="Q609" s="41">
        <f t="shared" si="38"/>
        <v>0</v>
      </c>
      <c r="R609" s="41">
        <f t="shared" si="39"/>
        <v>0</v>
      </c>
    </row>
    <row r="610" spans="10:18">
      <c r="J610" s="118">
        <v>43972</v>
      </c>
      <c r="K610" s="116">
        <v>50.377652513061868</v>
      </c>
      <c r="L610" s="116">
        <v>35.78904</v>
      </c>
      <c r="M610" s="117">
        <v>-14.588612513061868</v>
      </c>
      <c r="O610" s="39">
        <f t="shared" si="40"/>
        <v>44214</v>
      </c>
      <c r="P610" s="41">
        <f t="shared" si="37"/>
        <v>0</v>
      </c>
      <c r="Q610" s="41">
        <f t="shared" si="38"/>
        <v>0</v>
      </c>
      <c r="R610" s="41">
        <f t="shared" si="39"/>
        <v>0</v>
      </c>
    </row>
    <row r="611" spans="10:18">
      <c r="J611" s="118">
        <v>43971</v>
      </c>
      <c r="K611" s="116">
        <v>50.377652513061868</v>
      </c>
      <c r="L611" s="116">
        <v>35.017920000000004</v>
      </c>
      <c r="M611" s="117">
        <v>-15.359732513061864</v>
      </c>
      <c r="O611" s="39">
        <f t="shared" si="40"/>
        <v>44213</v>
      </c>
      <c r="P611" s="41">
        <f t="shared" si="37"/>
        <v>0</v>
      </c>
      <c r="Q611" s="41">
        <f t="shared" si="38"/>
        <v>0</v>
      </c>
      <c r="R611" s="41">
        <f t="shared" si="39"/>
        <v>0</v>
      </c>
    </row>
    <row r="612" spans="10:18">
      <c r="J612" s="118">
        <v>43970</v>
      </c>
      <c r="K612" s="116">
        <v>50.377652513061868</v>
      </c>
      <c r="L612" s="116">
        <v>35.199359999999999</v>
      </c>
      <c r="M612" s="117">
        <v>-15.178292513061869</v>
      </c>
      <c r="O612" s="39">
        <f t="shared" si="40"/>
        <v>44212</v>
      </c>
      <c r="P612" s="41">
        <f t="shared" si="37"/>
        <v>0</v>
      </c>
      <c r="Q612" s="41">
        <f t="shared" si="38"/>
        <v>0</v>
      </c>
      <c r="R612" s="41">
        <f t="shared" si="39"/>
        <v>0</v>
      </c>
    </row>
    <row r="613" spans="10:18">
      <c r="J613" s="118">
        <v>43969</v>
      </c>
      <c r="K613" s="116">
        <v>50.377652513061868</v>
      </c>
      <c r="L613" s="116">
        <v>34.455455999999998</v>
      </c>
      <c r="M613" s="117">
        <v>-15.92219651306187</v>
      </c>
      <c r="O613" s="39">
        <f t="shared" si="40"/>
        <v>44211</v>
      </c>
      <c r="P613" s="41">
        <f t="shared" si="37"/>
        <v>0</v>
      </c>
      <c r="Q613" s="41">
        <f t="shared" si="38"/>
        <v>0</v>
      </c>
      <c r="R613" s="41">
        <f t="shared" si="39"/>
        <v>0</v>
      </c>
    </row>
    <row r="614" spans="10:18">
      <c r="J614" s="118">
        <v>43966</v>
      </c>
      <c r="K614" s="116">
        <v>50.377652513061868</v>
      </c>
      <c r="L614" s="116">
        <v>34.999775999999997</v>
      </c>
      <c r="M614" s="117">
        <v>-15.377876513061871</v>
      </c>
      <c r="O614" s="39">
        <f t="shared" si="40"/>
        <v>44210</v>
      </c>
      <c r="P614" s="41">
        <f t="shared" si="37"/>
        <v>0</v>
      </c>
      <c r="Q614" s="41">
        <f t="shared" si="38"/>
        <v>0</v>
      </c>
      <c r="R614" s="41">
        <f t="shared" si="39"/>
        <v>0</v>
      </c>
    </row>
    <row r="615" spans="10:18">
      <c r="J615" s="118">
        <v>43965</v>
      </c>
      <c r="K615" s="116">
        <v>50.799492035076767</v>
      </c>
      <c r="L615" s="116">
        <v>34.437311999999999</v>
      </c>
      <c r="M615" s="117">
        <v>-16.362180035076769</v>
      </c>
      <c r="O615" s="39">
        <f t="shared" si="40"/>
        <v>44209</v>
      </c>
      <c r="P615" s="41">
        <f t="shared" si="37"/>
        <v>0</v>
      </c>
      <c r="Q615" s="41">
        <f t="shared" si="38"/>
        <v>0</v>
      </c>
      <c r="R615" s="41">
        <f t="shared" si="39"/>
        <v>0</v>
      </c>
    </row>
    <row r="616" spans="10:18">
      <c r="J616" s="118">
        <v>43964</v>
      </c>
      <c r="K616" s="116">
        <v>50.799492035076767</v>
      </c>
      <c r="L616" s="116">
        <v>34.482672000000001</v>
      </c>
      <c r="M616" s="117">
        <v>-16.316820035076766</v>
      </c>
      <c r="O616" s="39">
        <f t="shared" si="40"/>
        <v>44208</v>
      </c>
      <c r="P616" s="41">
        <f t="shared" si="37"/>
        <v>0</v>
      </c>
      <c r="Q616" s="41">
        <f t="shared" si="38"/>
        <v>0</v>
      </c>
      <c r="R616" s="41">
        <f t="shared" si="39"/>
        <v>0</v>
      </c>
    </row>
    <row r="617" spans="10:18">
      <c r="J617" s="118">
        <v>43963</v>
      </c>
      <c r="K617" s="116">
        <v>50.799492035076767</v>
      </c>
      <c r="L617" s="116">
        <v>34.700400000000002</v>
      </c>
      <c r="M617" s="117">
        <v>-16.099092035076765</v>
      </c>
      <c r="O617" s="39">
        <f t="shared" si="40"/>
        <v>44207</v>
      </c>
      <c r="P617" s="41">
        <f t="shared" si="37"/>
        <v>0</v>
      </c>
      <c r="Q617" s="41">
        <f t="shared" si="38"/>
        <v>0</v>
      </c>
      <c r="R617" s="41">
        <f t="shared" si="39"/>
        <v>0</v>
      </c>
    </row>
    <row r="618" spans="10:18">
      <c r="J618" s="118">
        <v>43962</v>
      </c>
      <c r="K618" s="116">
        <v>50.799492035076767</v>
      </c>
      <c r="L618" s="116">
        <v>34.890912</v>
      </c>
      <c r="M618" s="117">
        <v>-15.908580035076767</v>
      </c>
      <c r="O618" s="39">
        <f t="shared" si="40"/>
        <v>44206</v>
      </c>
      <c r="P618" s="41">
        <f t="shared" si="37"/>
        <v>0</v>
      </c>
      <c r="Q618" s="41">
        <f t="shared" si="38"/>
        <v>0</v>
      </c>
      <c r="R618" s="41">
        <f t="shared" si="39"/>
        <v>0</v>
      </c>
    </row>
    <row r="619" spans="10:18">
      <c r="J619" s="118">
        <v>43959</v>
      </c>
      <c r="K619" s="116">
        <v>50.799492035076767</v>
      </c>
      <c r="L619" s="116">
        <v>35.181215999999999</v>
      </c>
      <c r="M619" s="117">
        <v>-15.618276035076768</v>
      </c>
      <c r="O619" s="39">
        <f t="shared" si="40"/>
        <v>44205</v>
      </c>
      <c r="P619" s="41">
        <f t="shared" si="37"/>
        <v>0</v>
      </c>
      <c r="Q619" s="41">
        <f t="shared" si="38"/>
        <v>0</v>
      </c>
      <c r="R619" s="41">
        <f t="shared" si="39"/>
        <v>0</v>
      </c>
    </row>
    <row r="620" spans="10:18">
      <c r="J620" s="118">
        <v>43958</v>
      </c>
      <c r="K620" s="116">
        <v>51.191334777975918</v>
      </c>
      <c r="L620" s="116">
        <v>35.181215999999999</v>
      </c>
      <c r="M620" s="117">
        <v>-16.010118777975919</v>
      </c>
      <c r="O620" s="39">
        <f t="shared" si="40"/>
        <v>44204</v>
      </c>
      <c r="P620" s="41">
        <f t="shared" si="37"/>
        <v>0</v>
      </c>
      <c r="Q620" s="41">
        <f t="shared" si="38"/>
        <v>0</v>
      </c>
      <c r="R620" s="41">
        <f t="shared" si="39"/>
        <v>0</v>
      </c>
    </row>
    <row r="621" spans="10:18">
      <c r="J621" s="118">
        <v>43957</v>
      </c>
      <c r="K621" s="116">
        <v>51.191334777975918</v>
      </c>
      <c r="L621" s="116">
        <v>36.251711999999998</v>
      </c>
      <c r="M621" s="117">
        <v>-14.93962277797592</v>
      </c>
      <c r="O621" s="39">
        <f t="shared" si="40"/>
        <v>44203</v>
      </c>
      <c r="P621" s="41">
        <f t="shared" si="37"/>
        <v>0</v>
      </c>
      <c r="Q621" s="41">
        <f t="shared" si="38"/>
        <v>0</v>
      </c>
      <c r="R621" s="41">
        <f t="shared" si="39"/>
        <v>0</v>
      </c>
    </row>
    <row r="622" spans="10:18">
      <c r="J622" s="118">
        <v>43956</v>
      </c>
      <c r="K622" s="116">
        <v>51.191334777975918</v>
      </c>
      <c r="L622" s="116">
        <v>35.689248000000006</v>
      </c>
      <c r="M622" s="117">
        <v>-15.502086777975912</v>
      </c>
      <c r="O622" s="39">
        <f t="shared" si="40"/>
        <v>44202</v>
      </c>
      <c r="P622" s="41">
        <f t="shared" si="37"/>
        <v>0</v>
      </c>
      <c r="Q622" s="41">
        <f t="shared" si="38"/>
        <v>0</v>
      </c>
      <c r="R622" s="41">
        <f t="shared" si="39"/>
        <v>0</v>
      </c>
    </row>
    <row r="623" spans="10:18">
      <c r="J623" s="118">
        <v>43955</v>
      </c>
      <c r="K623" s="116">
        <v>51.191334777975918</v>
      </c>
      <c r="L623" s="116">
        <v>35.580384000000002</v>
      </c>
      <c r="M623" s="117">
        <v>-15.610950777975916</v>
      </c>
      <c r="O623" s="39">
        <f t="shared" si="40"/>
        <v>44201</v>
      </c>
      <c r="P623" s="41">
        <f t="shared" si="37"/>
        <v>0</v>
      </c>
      <c r="Q623" s="41">
        <f t="shared" si="38"/>
        <v>0</v>
      </c>
      <c r="R623" s="41">
        <f t="shared" si="39"/>
        <v>0</v>
      </c>
    </row>
    <row r="624" spans="10:18">
      <c r="J624" s="118">
        <v>43952</v>
      </c>
      <c r="K624" s="116">
        <v>51.191334777975918</v>
      </c>
      <c r="L624" s="116">
        <v>35.643887999999997</v>
      </c>
      <c r="M624" s="117">
        <v>-15.547446777975921</v>
      </c>
      <c r="O624" s="39">
        <f t="shared" si="40"/>
        <v>44200</v>
      </c>
      <c r="P624" s="41">
        <f t="shared" si="37"/>
        <v>0</v>
      </c>
      <c r="Q624" s="41">
        <f t="shared" si="38"/>
        <v>0</v>
      </c>
      <c r="R624" s="41">
        <f t="shared" si="39"/>
        <v>0</v>
      </c>
    </row>
    <row r="625" spans="10:18">
      <c r="J625" s="118">
        <v>43951</v>
      </c>
      <c r="K625" s="116">
        <v>51.613174299990817</v>
      </c>
      <c r="L625" s="116">
        <v>34.963487999999998</v>
      </c>
      <c r="M625" s="117">
        <v>-16.649686299990819</v>
      </c>
      <c r="O625" s="39">
        <f t="shared" si="40"/>
        <v>44199</v>
      </c>
      <c r="P625" s="41">
        <f t="shared" si="37"/>
        <v>0</v>
      </c>
      <c r="Q625" s="41">
        <f t="shared" si="38"/>
        <v>0</v>
      </c>
      <c r="R625" s="41">
        <f t="shared" si="39"/>
        <v>0</v>
      </c>
    </row>
    <row r="626" spans="10:18">
      <c r="J626" s="118">
        <v>43950</v>
      </c>
      <c r="K626" s="116">
        <v>51.613174299990817</v>
      </c>
      <c r="L626" s="116">
        <v>34.147008</v>
      </c>
      <c r="M626" s="117">
        <v>-17.466166299990817</v>
      </c>
      <c r="O626" s="39">
        <f t="shared" si="40"/>
        <v>44198</v>
      </c>
      <c r="P626" s="41">
        <f t="shared" si="37"/>
        <v>0</v>
      </c>
      <c r="Q626" s="41">
        <f t="shared" si="38"/>
        <v>0</v>
      </c>
      <c r="R626" s="41">
        <f t="shared" si="39"/>
        <v>0</v>
      </c>
    </row>
    <row r="627" spans="10:18">
      <c r="J627" s="118">
        <v>43949</v>
      </c>
      <c r="K627" s="116">
        <v>51.613174299990817</v>
      </c>
      <c r="L627" s="116">
        <v>33.747840000000004</v>
      </c>
      <c r="M627" s="117">
        <v>-17.865334299990813</v>
      </c>
      <c r="O627" s="39">
        <f t="shared" si="40"/>
        <v>44197</v>
      </c>
      <c r="P627" s="41">
        <f t="shared" si="37"/>
        <v>0</v>
      </c>
      <c r="Q627" s="41">
        <f t="shared" si="38"/>
        <v>0</v>
      </c>
      <c r="R627" s="41">
        <f t="shared" si="39"/>
        <v>0</v>
      </c>
    </row>
    <row r="628" spans="10:18">
      <c r="J628" s="118">
        <v>43948</v>
      </c>
      <c r="K628" s="116">
        <v>51.613174299990817</v>
      </c>
      <c r="L628" s="116">
        <v>35.063279999999999</v>
      </c>
      <c r="M628" s="117">
        <v>-16.549894299990818</v>
      </c>
      <c r="O628" s="39">
        <f t="shared" si="40"/>
        <v>44196</v>
      </c>
      <c r="P628" s="41">
        <f t="shared" si="37"/>
        <v>0</v>
      </c>
      <c r="Q628" s="41">
        <f t="shared" si="38"/>
        <v>0</v>
      </c>
      <c r="R628" s="41">
        <f t="shared" si="39"/>
        <v>0</v>
      </c>
    </row>
    <row r="629" spans="10:18">
      <c r="J629" s="118">
        <v>43945</v>
      </c>
      <c r="K629" s="116">
        <v>51.613174299990817</v>
      </c>
      <c r="L629" s="116">
        <v>35.816255999999996</v>
      </c>
      <c r="M629" s="117">
        <v>-15.796918299990821</v>
      </c>
      <c r="O629" s="39">
        <f t="shared" si="40"/>
        <v>44195</v>
      </c>
      <c r="P629" s="41">
        <f t="shared" si="37"/>
        <v>0</v>
      </c>
      <c r="Q629" s="41">
        <f t="shared" si="38"/>
        <v>0</v>
      </c>
      <c r="R629" s="41">
        <f t="shared" si="39"/>
        <v>0</v>
      </c>
    </row>
    <row r="630" spans="10:18">
      <c r="J630" s="118">
        <v>43944</v>
      </c>
      <c r="K630" s="116">
        <v>52.568516746906894</v>
      </c>
      <c r="L630" s="116">
        <v>36.197279999999999</v>
      </c>
      <c r="M630" s="117">
        <v>-16.371236746906895</v>
      </c>
      <c r="O630" s="39">
        <f t="shared" si="40"/>
        <v>44194</v>
      </c>
      <c r="P630" s="41">
        <f t="shared" si="37"/>
        <v>0</v>
      </c>
      <c r="Q630" s="41">
        <f t="shared" si="38"/>
        <v>0</v>
      </c>
      <c r="R630" s="41">
        <f t="shared" si="39"/>
        <v>0</v>
      </c>
    </row>
    <row r="631" spans="10:18">
      <c r="J631" s="118">
        <v>43943</v>
      </c>
      <c r="K631" s="116">
        <v>52.568516746906894</v>
      </c>
      <c r="L631" s="116">
        <v>37.031903999999997</v>
      </c>
      <c r="M631" s="117">
        <v>-15.536612746906897</v>
      </c>
      <c r="O631" s="39">
        <f t="shared" si="40"/>
        <v>44193</v>
      </c>
      <c r="P631" s="41">
        <f t="shared" si="37"/>
        <v>0</v>
      </c>
      <c r="Q631" s="41">
        <f t="shared" si="38"/>
        <v>0</v>
      </c>
      <c r="R631" s="41">
        <f t="shared" si="39"/>
        <v>0</v>
      </c>
    </row>
    <row r="632" spans="10:18">
      <c r="J632" s="118">
        <v>43942</v>
      </c>
      <c r="K632" s="116">
        <v>52.568516746906894</v>
      </c>
      <c r="L632" s="116">
        <v>38.301983999999997</v>
      </c>
      <c r="M632" s="117">
        <v>-14.266532746906897</v>
      </c>
      <c r="O632" s="39">
        <f t="shared" si="40"/>
        <v>44192</v>
      </c>
      <c r="P632" s="41">
        <f t="shared" si="37"/>
        <v>0</v>
      </c>
      <c r="Q632" s="41">
        <f t="shared" si="38"/>
        <v>0</v>
      </c>
      <c r="R632" s="41">
        <f t="shared" si="39"/>
        <v>0</v>
      </c>
    </row>
    <row r="633" spans="10:18">
      <c r="J633" s="118">
        <v>43941</v>
      </c>
      <c r="K633" s="116">
        <v>52.568516746906894</v>
      </c>
      <c r="L633" s="116">
        <v>40.515552</v>
      </c>
      <c r="M633" s="117">
        <v>-12.052964746906895</v>
      </c>
      <c r="O633" s="39">
        <f t="shared" si="40"/>
        <v>44191</v>
      </c>
      <c r="P633" s="41">
        <f t="shared" si="37"/>
        <v>0</v>
      </c>
      <c r="Q633" s="41">
        <f t="shared" si="38"/>
        <v>0</v>
      </c>
      <c r="R633" s="41">
        <f t="shared" si="39"/>
        <v>0</v>
      </c>
    </row>
    <row r="634" spans="10:18">
      <c r="J634" s="118">
        <v>43938</v>
      </c>
      <c r="K634" s="116">
        <v>52.568516746906894</v>
      </c>
      <c r="L634" s="116">
        <v>40.551840000000006</v>
      </c>
      <c r="M634" s="117">
        <v>-12.016676746906889</v>
      </c>
      <c r="O634" s="39">
        <f t="shared" si="40"/>
        <v>44190</v>
      </c>
      <c r="P634" s="41">
        <f t="shared" si="37"/>
        <v>0</v>
      </c>
      <c r="Q634" s="41">
        <f t="shared" si="38"/>
        <v>0</v>
      </c>
      <c r="R634" s="41">
        <f t="shared" si="39"/>
        <v>0</v>
      </c>
    </row>
    <row r="635" spans="10:18">
      <c r="J635" s="118">
        <v>43937</v>
      </c>
      <c r="K635" s="116">
        <v>52.005174094089533</v>
      </c>
      <c r="L635" s="116">
        <v>40.343184000000001</v>
      </c>
      <c r="M635" s="117">
        <v>-11.661990094089532</v>
      </c>
      <c r="O635" s="39">
        <f t="shared" si="40"/>
        <v>44189</v>
      </c>
      <c r="P635" s="41">
        <f t="shared" si="37"/>
        <v>0</v>
      </c>
      <c r="Q635" s="41">
        <f t="shared" si="38"/>
        <v>0</v>
      </c>
      <c r="R635" s="41">
        <f t="shared" si="39"/>
        <v>0</v>
      </c>
    </row>
    <row r="636" spans="10:18">
      <c r="J636" s="118">
        <v>43936</v>
      </c>
      <c r="K636" s="116">
        <v>52.005174094089533</v>
      </c>
      <c r="L636" s="116">
        <v>40.225248000000001</v>
      </c>
      <c r="M636" s="117">
        <v>-11.779926094089532</v>
      </c>
      <c r="O636" s="39">
        <f t="shared" si="40"/>
        <v>44188</v>
      </c>
      <c r="P636" s="41">
        <f t="shared" si="37"/>
        <v>0</v>
      </c>
      <c r="Q636" s="41">
        <f t="shared" si="38"/>
        <v>0</v>
      </c>
      <c r="R636" s="41">
        <f t="shared" si="39"/>
        <v>0</v>
      </c>
    </row>
    <row r="637" spans="10:18">
      <c r="J637" s="118">
        <v>43935</v>
      </c>
      <c r="K637" s="116">
        <v>52.005174094089533</v>
      </c>
      <c r="L637" s="116">
        <v>40.706063999999998</v>
      </c>
      <c r="M637" s="117">
        <v>-11.299110094089535</v>
      </c>
      <c r="O637" s="39">
        <f t="shared" si="40"/>
        <v>44187</v>
      </c>
      <c r="P637" s="41">
        <f t="shared" si="37"/>
        <v>0</v>
      </c>
      <c r="Q637" s="41">
        <f t="shared" si="38"/>
        <v>0</v>
      </c>
      <c r="R637" s="41">
        <f t="shared" si="39"/>
        <v>0</v>
      </c>
    </row>
    <row r="638" spans="10:18">
      <c r="J638" s="118">
        <v>43934</v>
      </c>
      <c r="K638" s="116">
        <v>52.005174094089533</v>
      </c>
      <c r="L638" s="116">
        <v>42.103151999999994</v>
      </c>
      <c r="M638" s="117">
        <v>-9.9020220940895385</v>
      </c>
      <c r="O638" s="39">
        <f t="shared" si="40"/>
        <v>44186</v>
      </c>
      <c r="P638" s="41">
        <f t="shared" si="37"/>
        <v>0</v>
      </c>
      <c r="Q638" s="41">
        <f t="shared" si="38"/>
        <v>0</v>
      </c>
      <c r="R638" s="41">
        <f t="shared" si="39"/>
        <v>0</v>
      </c>
    </row>
    <row r="639" spans="10:18">
      <c r="J639" s="118">
        <v>43931</v>
      </c>
      <c r="K639" s="116">
        <v>52.005174094089533</v>
      </c>
      <c r="L639" s="116">
        <v>42.103151999999994</v>
      </c>
      <c r="M639" s="117">
        <v>-9.9020220940895385</v>
      </c>
      <c r="O639" s="39">
        <f t="shared" si="40"/>
        <v>44185</v>
      </c>
      <c r="P639" s="41">
        <f t="shared" si="37"/>
        <v>0</v>
      </c>
      <c r="Q639" s="41">
        <f t="shared" si="38"/>
        <v>0</v>
      </c>
      <c r="R639" s="41">
        <f t="shared" si="39"/>
        <v>0</v>
      </c>
    </row>
    <row r="640" spans="10:18">
      <c r="J640" s="118">
        <v>43930</v>
      </c>
      <c r="K640" s="116">
        <v>51.436334649287616</v>
      </c>
      <c r="L640" s="116">
        <v>42.103151999999994</v>
      </c>
      <c r="M640" s="117">
        <v>-9.3331826492876218</v>
      </c>
      <c r="O640" s="39">
        <f t="shared" si="40"/>
        <v>44184</v>
      </c>
      <c r="P640" s="41">
        <f t="shared" si="37"/>
        <v>0</v>
      </c>
      <c r="Q640" s="41">
        <f t="shared" si="38"/>
        <v>0</v>
      </c>
      <c r="R640" s="41">
        <f t="shared" si="39"/>
        <v>0</v>
      </c>
    </row>
    <row r="641" spans="10:18">
      <c r="J641" s="118">
        <v>43929</v>
      </c>
      <c r="K641" s="116">
        <v>51.436334649287616</v>
      </c>
      <c r="L641" s="116">
        <v>41.758416000000004</v>
      </c>
      <c r="M641" s="117">
        <v>-9.6779186492876121</v>
      </c>
      <c r="O641" s="39">
        <f t="shared" si="40"/>
        <v>44183</v>
      </c>
      <c r="P641" s="41">
        <f t="shared" si="37"/>
        <v>0</v>
      </c>
      <c r="Q641" s="41">
        <f t="shared" si="38"/>
        <v>0</v>
      </c>
      <c r="R641" s="41">
        <f t="shared" si="39"/>
        <v>0</v>
      </c>
    </row>
    <row r="642" spans="10:18">
      <c r="J642" s="118">
        <v>43928</v>
      </c>
      <c r="K642" s="116">
        <v>51.436334649287616</v>
      </c>
      <c r="L642" s="116">
        <v>41.812848000000002</v>
      </c>
      <c r="M642" s="117">
        <v>-9.6234866492876137</v>
      </c>
      <c r="O642" s="39">
        <f t="shared" si="40"/>
        <v>44182</v>
      </c>
      <c r="P642" s="41">
        <f t="shared" si="37"/>
        <v>0</v>
      </c>
      <c r="Q642" s="41">
        <f t="shared" si="38"/>
        <v>0</v>
      </c>
      <c r="R642" s="41">
        <f t="shared" si="39"/>
        <v>0</v>
      </c>
    </row>
    <row r="643" spans="10:18">
      <c r="J643" s="118">
        <v>43927</v>
      </c>
      <c r="K643" s="116">
        <v>51.436334649287616</v>
      </c>
      <c r="L643" s="116">
        <v>39.916800000000002</v>
      </c>
      <c r="M643" s="117">
        <v>-11.519534649287614</v>
      </c>
      <c r="O643" s="39">
        <f t="shared" si="40"/>
        <v>44181</v>
      </c>
      <c r="P643" s="41">
        <f t="shared" si="37"/>
        <v>0</v>
      </c>
      <c r="Q643" s="41">
        <f t="shared" si="38"/>
        <v>0</v>
      </c>
      <c r="R643" s="41">
        <f t="shared" si="39"/>
        <v>0</v>
      </c>
    </row>
    <row r="644" spans="10:18">
      <c r="J644" s="118">
        <v>43924</v>
      </c>
      <c r="K644" s="116">
        <v>51.436334649287616</v>
      </c>
      <c r="L644" s="116">
        <v>40.923791999999999</v>
      </c>
      <c r="M644" s="117">
        <v>-10.512542649287617</v>
      </c>
      <c r="O644" s="39">
        <f t="shared" si="40"/>
        <v>44180</v>
      </c>
      <c r="P644" s="41">
        <f t="shared" si="37"/>
        <v>0</v>
      </c>
      <c r="Q644" s="41">
        <f t="shared" si="38"/>
        <v>0</v>
      </c>
      <c r="R644" s="41">
        <f t="shared" si="39"/>
        <v>0</v>
      </c>
    </row>
    <row r="645" spans="10:18">
      <c r="J645" s="118">
        <v>43923</v>
      </c>
      <c r="K645" s="116">
        <v>52.168507341630665</v>
      </c>
      <c r="L645" s="116">
        <v>42.184800000000003</v>
      </c>
      <c r="M645" s="117">
        <v>-9.9837073416306623</v>
      </c>
      <c r="O645" s="39">
        <f t="shared" si="40"/>
        <v>44179</v>
      </c>
      <c r="P645" s="41">
        <f t="shared" si="37"/>
        <v>0</v>
      </c>
      <c r="Q645" s="41">
        <f t="shared" si="38"/>
        <v>0</v>
      </c>
      <c r="R645" s="41">
        <f t="shared" si="39"/>
        <v>0</v>
      </c>
    </row>
    <row r="646" spans="10:18">
      <c r="J646" s="118">
        <v>43922</v>
      </c>
      <c r="K646" s="116">
        <v>52.168507341630665</v>
      </c>
      <c r="L646" s="116">
        <v>43.264367999999997</v>
      </c>
      <c r="M646" s="117">
        <v>-8.9041393416306676</v>
      </c>
      <c r="O646" s="39">
        <f t="shared" si="40"/>
        <v>44178</v>
      </c>
      <c r="P646" s="41">
        <f t="shared" ref="P646:P709" si="41">IFERROR(VLOOKUP($O646,$J$5:$M$403,2,FALSE),P647)</f>
        <v>0</v>
      </c>
      <c r="Q646" s="41">
        <f t="shared" ref="Q646:Q709" si="42">IFERROR(VLOOKUP($O646,$J$5:$M$403,3,FALSE),Q647)</f>
        <v>0</v>
      </c>
      <c r="R646" s="41">
        <f t="shared" ref="R646:R709" si="43">IFERROR(VLOOKUP($O646,$J$5:$M$403,4,FALSE),R647)</f>
        <v>0</v>
      </c>
    </row>
    <row r="647" spans="10:18">
      <c r="J647" s="118">
        <v>43921</v>
      </c>
      <c r="K647" s="116">
        <v>52.168507341630665</v>
      </c>
      <c r="L647" s="116">
        <v>45.205776</v>
      </c>
      <c r="M647" s="117">
        <v>-6.9627313416306649</v>
      </c>
      <c r="O647" s="39">
        <f t="shared" ref="O647:O710" si="44">O646-1</f>
        <v>44177</v>
      </c>
      <c r="P647" s="41">
        <f t="shared" si="41"/>
        <v>0</v>
      </c>
      <c r="Q647" s="41">
        <f t="shared" si="42"/>
        <v>0</v>
      </c>
      <c r="R647" s="41">
        <f t="shared" si="43"/>
        <v>0</v>
      </c>
    </row>
    <row r="648" spans="10:18">
      <c r="J648" s="118">
        <v>43920</v>
      </c>
      <c r="K648" s="116">
        <v>52.168507341630665</v>
      </c>
      <c r="L648" s="116">
        <v>46.675440000000002</v>
      </c>
      <c r="M648" s="117">
        <v>-5.4930673416306632</v>
      </c>
      <c r="O648" s="39">
        <f t="shared" si="44"/>
        <v>44176</v>
      </c>
      <c r="P648" s="41">
        <f t="shared" si="41"/>
        <v>0</v>
      </c>
      <c r="Q648" s="41">
        <f t="shared" si="42"/>
        <v>0</v>
      </c>
      <c r="R648" s="41">
        <f t="shared" si="43"/>
        <v>0</v>
      </c>
    </row>
    <row r="649" spans="10:18">
      <c r="J649" s="118">
        <v>43917</v>
      </c>
      <c r="K649" s="116">
        <v>52.168507341630665</v>
      </c>
      <c r="L649" s="116">
        <v>44.407440000000001</v>
      </c>
      <c r="M649" s="117">
        <v>-7.7610673416306639</v>
      </c>
      <c r="O649" s="39">
        <f t="shared" si="44"/>
        <v>44175</v>
      </c>
      <c r="P649" s="41">
        <f t="shared" si="41"/>
        <v>0</v>
      </c>
      <c r="Q649" s="41">
        <f t="shared" si="42"/>
        <v>0</v>
      </c>
      <c r="R649" s="41">
        <f t="shared" si="43"/>
        <v>0</v>
      </c>
    </row>
    <row r="650" spans="10:18">
      <c r="J650" s="118">
        <v>43916</v>
      </c>
      <c r="K650" s="116">
        <v>52.502712294291754</v>
      </c>
      <c r="L650" s="116">
        <v>47.936448000000006</v>
      </c>
      <c r="M650" s="117">
        <v>-4.5662642942917486</v>
      </c>
      <c r="O650" s="39">
        <f t="shared" si="44"/>
        <v>44174</v>
      </c>
      <c r="P650" s="41">
        <f t="shared" si="41"/>
        <v>0</v>
      </c>
      <c r="Q650" s="41">
        <f t="shared" si="42"/>
        <v>0</v>
      </c>
      <c r="R650" s="41">
        <f t="shared" si="43"/>
        <v>0</v>
      </c>
    </row>
    <row r="651" spans="10:18">
      <c r="J651" s="118">
        <v>43915</v>
      </c>
      <c r="K651" s="116">
        <v>52.502712294291754</v>
      </c>
      <c r="L651" s="116">
        <v>48.798287999999999</v>
      </c>
      <c r="M651" s="117">
        <v>-3.7044242942917549</v>
      </c>
      <c r="O651" s="39">
        <f t="shared" si="44"/>
        <v>44173</v>
      </c>
      <c r="P651" s="41">
        <f t="shared" si="41"/>
        <v>0</v>
      </c>
      <c r="Q651" s="41">
        <f t="shared" si="42"/>
        <v>0</v>
      </c>
      <c r="R651" s="41">
        <f t="shared" si="43"/>
        <v>0</v>
      </c>
    </row>
    <row r="652" spans="10:18">
      <c r="J652" s="118">
        <v>43914</v>
      </c>
      <c r="K652" s="116">
        <v>52.502712294291754</v>
      </c>
      <c r="L652" s="116">
        <v>44.353008000000003</v>
      </c>
      <c r="M652" s="117">
        <v>-8.1497042942917517</v>
      </c>
      <c r="O652" s="39">
        <f t="shared" si="44"/>
        <v>44172</v>
      </c>
      <c r="P652" s="41">
        <f t="shared" si="41"/>
        <v>0</v>
      </c>
      <c r="Q652" s="41">
        <f t="shared" si="42"/>
        <v>0</v>
      </c>
      <c r="R652" s="41">
        <f t="shared" si="43"/>
        <v>0</v>
      </c>
    </row>
    <row r="653" spans="10:18">
      <c r="J653" s="118">
        <v>43913</v>
      </c>
      <c r="K653" s="116">
        <v>52.502712294291754</v>
      </c>
      <c r="L653" s="116">
        <v>43.826832000000003</v>
      </c>
      <c r="M653" s="117">
        <v>-8.6758802942917512</v>
      </c>
      <c r="O653" s="39">
        <f t="shared" si="44"/>
        <v>44171</v>
      </c>
      <c r="P653" s="41">
        <f t="shared" si="41"/>
        <v>0</v>
      </c>
      <c r="Q653" s="41">
        <f t="shared" si="42"/>
        <v>0</v>
      </c>
      <c r="R653" s="41">
        <f t="shared" si="43"/>
        <v>0</v>
      </c>
    </row>
    <row r="654" spans="10:18">
      <c r="J654" s="118">
        <v>43910</v>
      </c>
      <c r="K654" s="116">
        <v>52.502712294291754</v>
      </c>
      <c r="L654" s="116">
        <v>43.990127999999999</v>
      </c>
      <c r="M654" s="117">
        <v>-8.5125842942917558</v>
      </c>
      <c r="O654" s="39">
        <f t="shared" si="44"/>
        <v>44170</v>
      </c>
      <c r="P654" s="41">
        <f t="shared" si="41"/>
        <v>0</v>
      </c>
      <c r="Q654" s="41">
        <f t="shared" si="42"/>
        <v>0</v>
      </c>
      <c r="R654" s="41">
        <f t="shared" si="43"/>
        <v>0</v>
      </c>
    </row>
    <row r="655" spans="10:18">
      <c r="J655" s="118">
        <v>43909</v>
      </c>
      <c r="K655" s="116">
        <v>53.468891273977398</v>
      </c>
      <c r="L655" s="116">
        <v>44.162495999999997</v>
      </c>
      <c r="M655" s="117">
        <v>-9.306395273977401</v>
      </c>
      <c r="O655" s="39">
        <f t="shared" si="44"/>
        <v>44169</v>
      </c>
      <c r="P655" s="41">
        <f t="shared" si="41"/>
        <v>0</v>
      </c>
      <c r="Q655" s="41">
        <f t="shared" si="42"/>
        <v>0</v>
      </c>
      <c r="R655" s="41">
        <f t="shared" si="43"/>
        <v>0</v>
      </c>
    </row>
    <row r="656" spans="10:18">
      <c r="J656" s="118">
        <v>43908</v>
      </c>
      <c r="K656" s="116">
        <v>53.468891273977398</v>
      </c>
      <c r="L656" s="116">
        <v>44.171568000000001</v>
      </c>
      <c r="M656" s="117">
        <v>-9.2973232739773977</v>
      </c>
      <c r="O656" s="39">
        <f t="shared" si="44"/>
        <v>44168</v>
      </c>
      <c r="P656" s="41">
        <f t="shared" si="41"/>
        <v>0</v>
      </c>
      <c r="Q656" s="41">
        <f t="shared" si="42"/>
        <v>0</v>
      </c>
      <c r="R656" s="41">
        <f t="shared" si="43"/>
        <v>0</v>
      </c>
    </row>
    <row r="657" spans="10:18">
      <c r="J657" s="118">
        <v>43907</v>
      </c>
      <c r="K657" s="116">
        <v>53.468891273977398</v>
      </c>
      <c r="L657" s="116">
        <v>43.091999999999999</v>
      </c>
      <c r="M657" s="117">
        <v>-10.3768912739774</v>
      </c>
      <c r="O657" s="39">
        <f t="shared" si="44"/>
        <v>44167</v>
      </c>
      <c r="P657" s="41">
        <f t="shared" si="41"/>
        <v>0</v>
      </c>
      <c r="Q657" s="41">
        <f t="shared" si="42"/>
        <v>0</v>
      </c>
      <c r="R657" s="41">
        <f t="shared" si="43"/>
        <v>0</v>
      </c>
    </row>
    <row r="658" spans="10:18">
      <c r="J658" s="118">
        <v>43906</v>
      </c>
      <c r="K658" s="116">
        <v>53.468891273977398</v>
      </c>
      <c r="L658" s="116">
        <v>42.357168000000001</v>
      </c>
      <c r="M658" s="117">
        <v>-11.111723273977397</v>
      </c>
      <c r="O658" s="39">
        <f t="shared" si="44"/>
        <v>44166</v>
      </c>
      <c r="P658" s="41">
        <f t="shared" si="41"/>
        <v>0</v>
      </c>
      <c r="Q658" s="41">
        <f t="shared" si="42"/>
        <v>0</v>
      </c>
      <c r="R658" s="41">
        <f t="shared" si="43"/>
        <v>0</v>
      </c>
    </row>
    <row r="659" spans="10:18">
      <c r="J659" s="118">
        <v>43903</v>
      </c>
      <c r="K659" s="116">
        <v>53.468891273977398</v>
      </c>
      <c r="L659" s="116">
        <v>42.293664</v>
      </c>
      <c r="M659" s="117">
        <v>-11.175227273977399</v>
      </c>
      <c r="O659" s="39">
        <f t="shared" si="44"/>
        <v>44165</v>
      </c>
      <c r="P659" s="41">
        <f t="shared" si="41"/>
        <v>0</v>
      </c>
      <c r="Q659" s="41">
        <f t="shared" si="42"/>
        <v>0</v>
      </c>
      <c r="R659" s="41">
        <f t="shared" si="43"/>
        <v>0</v>
      </c>
    </row>
    <row r="660" spans="10:18">
      <c r="J660" s="118">
        <v>43902</v>
      </c>
      <c r="K660" s="116">
        <v>54.081390952256648</v>
      </c>
      <c r="L660" s="116">
        <v>41.050800000000002</v>
      </c>
      <c r="M660" s="117">
        <v>-13.030590952256645</v>
      </c>
      <c r="O660" s="39">
        <f t="shared" si="44"/>
        <v>44164</v>
      </c>
      <c r="P660" s="41">
        <f t="shared" si="41"/>
        <v>0</v>
      </c>
      <c r="Q660" s="41">
        <f t="shared" si="42"/>
        <v>0</v>
      </c>
      <c r="R660" s="41">
        <f t="shared" si="43"/>
        <v>0</v>
      </c>
    </row>
    <row r="661" spans="10:18">
      <c r="J661" s="118">
        <v>43901</v>
      </c>
      <c r="K661" s="116">
        <v>54.081390952256648</v>
      </c>
      <c r="L661" s="116">
        <v>41.513472</v>
      </c>
      <c r="M661" s="117">
        <v>-12.567918952256647</v>
      </c>
      <c r="O661" s="39">
        <f t="shared" si="44"/>
        <v>44163</v>
      </c>
      <c r="P661" s="41">
        <f t="shared" si="41"/>
        <v>0</v>
      </c>
      <c r="Q661" s="41">
        <f t="shared" si="42"/>
        <v>0</v>
      </c>
      <c r="R661" s="41">
        <f t="shared" si="43"/>
        <v>0</v>
      </c>
    </row>
    <row r="662" spans="10:18">
      <c r="J662" s="118">
        <v>43900</v>
      </c>
      <c r="K662" s="116">
        <v>54.081390952256648</v>
      </c>
      <c r="L662" s="116">
        <v>41.250383999999997</v>
      </c>
      <c r="M662" s="117">
        <v>-12.831006952256651</v>
      </c>
      <c r="O662" s="39">
        <f t="shared" si="44"/>
        <v>44162</v>
      </c>
      <c r="P662" s="41">
        <f t="shared" si="41"/>
        <v>0</v>
      </c>
      <c r="Q662" s="41">
        <f t="shared" si="42"/>
        <v>0</v>
      </c>
      <c r="R662" s="41">
        <f t="shared" si="43"/>
        <v>0</v>
      </c>
    </row>
    <row r="663" spans="10:18">
      <c r="J663" s="118">
        <v>43899</v>
      </c>
      <c r="K663" s="116">
        <v>54.081390952256648</v>
      </c>
      <c r="L663" s="116">
        <v>41.050800000000002</v>
      </c>
      <c r="M663" s="117">
        <v>-13.030590952256645</v>
      </c>
      <c r="O663" s="39">
        <f t="shared" si="44"/>
        <v>44161</v>
      </c>
      <c r="P663" s="41">
        <f t="shared" si="41"/>
        <v>0</v>
      </c>
      <c r="Q663" s="41">
        <f t="shared" si="42"/>
        <v>0</v>
      </c>
      <c r="R663" s="41">
        <f t="shared" si="43"/>
        <v>0</v>
      </c>
    </row>
    <row r="664" spans="10:18">
      <c r="J664" s="118">
        <v>43896</v>
      </c>
      <c r="K664" s="116">
        <v>54.081390952256648</v>
      </c>
      <c r="L664" s="116">
        <v>42.937775999999999</v>
      </c>
      <c r="M664" s="117">
        <v>-11.143614952256648</v>
      </c>
      <c r="O664" s="39">
        <f t="shared" si="44"/>
        <v>44160</v>
      </c>
      <c r="P664" s="41">
        <f t="shared" si="41"/>
        <v>0</v>
      </c>
      <c r="Q664" s="41">
        <f t="shared" si="42"/>
        <v>0</v>
      </c>
      <c r="R664" s="41">
        <f t="shared" si="43"/>
        <v>0</v>
      </c>
    </row>
    <row r="665" spans="10:18">
      <c r="J665" s="118">
        <v>43895</v>
      </c>
      <c r="K665" s="116">
        <v>54.416852314514209</v>
      </c>
      <c r="L665" s="116">
        <v>43.373232000000002</v>
      </c>
      <c r="M665" s="117">
        <v>-11.043620314514207</v>
      </c>
      <c r="O665" s="39">
        <f t="shared" si="44"/>
        <v>44159</v>
      </c>
      <c r="P665" s="41">
        <f t="shared" si="41"/>
        <v>0</v>
      </c>
      <c r="Q665" s="41">
        <f t="shared" si="42"/>
        <v>0</v>
      </c>
      <c r="R665" s="41">
        <f t="shared" si="43"/>
        <v>0</v>
      </c>
    </row>
    <row r="666" spans="10:18">
      <c r="J666" s="118">
        <v>43894</v>
      </c>
      <c r="K666" s="116">
        <v>54.416852314514209</v>
      </c>
      <c r="L666" s="116">
        <v>42.710976000000002</v>
      </c>
      <c r="M666" s="117">
        <v>-11.705876314514207</v>
      </c>
      <c r="O666" s="39">
        <f t="shared" si="44"/>
        <v>44158</v>
      </c>
      <c r="P666" s="41">
        <f t="shared" si="41"/>
        <v>0</v>
      </c>
      <c r="Q666" s="41">
        <f t="shared" si="42"/>
        <v>0</v>
      </c>
      <c r="R666" s="41">
        <f t="shared" si="43"/>
        <v>0</v>
      </c>
    </row>
    <row r="667" spans="10:18">
      <c r="J667" s="118">
        <v>43893</v>
      </c>
      <c r="K667" s="116">
        <v>54.416852314514209</v>
      </c>
      <c r="L667" s="116">
        <v>42.928704000000003</v>
      </c>
      <c r="M667" s="117">
        <v>-11.488148314514206</v>
      </c>
      <c r="O667" s="39">
        <f t="shared" si="44"/>
        <v>44157</v>
      </c>
      <c r="P667" s="41">
        <f t="shared" si="41"/>
        <v>0</v>
      </c>
      <c r="Q667" s="41">
        <f t="shared" si="42"/>
        <v>0</v>
      </c>
      <c r="R667" s="41">
        <f t="shared" si="43"/>
        <v>0</v>
      </c>
    </row>
    <row r="668" spans="10:18">
      <c r="J668" s="118">
        <v>43892</v>
      </c>
      <c r="K668" s="116">
        <v>54.416852314514209</v>
      </c>
      <c r="L668" s="116">
        <v>42.4116</v>
      </c>
      <c r="M668" s="117">
        <v>-12.005252314514209</v>
      </c>
      <c r="O668" s="39">
        <f t="shared" si="44"/>
        <v>44156</v>
      </c>
      <c r="P668" s="41">
        <f t="shared" si="41"/>
        <v>0</v>
      </c>
      <c r="Q668" s="41">
        <f t="shared" si="42"/>
        <v>0</v>
      </c>
      <c r="R668" s="41">
        <f t="shared" si="43"/>
        <v>0</v>
      </c>
    </row>
    <row r="669" spans="10:18">
      <c r="J669" s="118">
        <v>43889</v>
      </c>
      <c r="K669" s="116">
        <v>54.416852314514209</v>
      </c>
      <c r="L669" s="116">
        <v>41.731200000000001</v>
      </c>
      <c r="M669" s="117">
        <v>-12.685652314514208</v>
      </c>
      <c r="O669" s="39">
        <f t="shared" si="44"/>
        <v>44155</v>
      </c>
      <c r="P669" s="41">
        <f t="shared" si="41"/>
        <v>0</v>
      </c>
      <c r="Q669" s="41">
        <f t="shared" si="42"/>
        <v>0</v>
      </c>
      <c r="R669" s="41">
        <f t="shared" si="43"/>
        <v>0</v>
      </c>
    </row>
    <row r="670" spans="10:18">
      <c r="J670" s="118">
        <v>43888</v>
      </c>
      <c r="K670" s="116">
        <v>54.359685677874808</v>
      </c>
      <c r="L670" s="116">
        <v>41.785632</v>
      </c>
      <c r="M670" s="117">
        <v>-12.574053677874808</v>
      </c>
      <c r="O670" s="39">
        <f t="shared" si="44"/>
        <v>44154</v>
      </c>
      <c r="P670" s="41">
        <f t="shared" si="41"/>
        <v>0</v>
      </c>
      <c r="Q670" s="41">
        <f t="shared" si="42"/>
        <v>0</v>
      </c>
      <c r="R670" s="41">
        <f t="shared" si="43"/>
        <v>0</v>
      </c>
    </row>
    <row r="671" spans="10:18">
      <c r="J671" s="118">
        <v>43887</v>
      </c>
      <c r="K671" s="116">
        <v>54.359685677874808</v>
      </c>
      <c r="L671" s="116">
        <v>41.486255999999997</v>
      </c>
      <c r="M671" s="117">
        <v>-12.87342967787481</v>
      </c>
      <c r="O671" s="39">
        <f t="shared" si="44"/>
        <v>44153</v>
      </c>
      <c r="P671" s="41">
        <f t="shared" si="41"/>
        <v>0</v>
      </c>
      <c r="Q671" s="41">
        <f t="shared" si="42"/>
        <v>0</v>
      </c>
      <c r="R671" s="41">
        <f t="shared" si="43"/>
        <v>0</v>
      </c>
    </row>
    <row r="672" spans="10:18">
      <c r="J672" s="118">
        <v>43886</v>
      </c>
      <c r="K672" s="116">
        <v>54.359685677874808</v>
      </c>
      <c r="L672" s="116">
        <v>42.130367999999997</v>
      </c>
      <c r="M672" s="117">
        <v>-12.22931767787481</v>
      </c>
      <c r="O672" s="39">
        <f t="shared" si="44"/>
        <v>44152</v>
      </c>
      <c r="P672" s="41">
        <f t="shared" si="41"/>
        <v>0</v>
      </c>
      <c r="Q672" s="41">
        <f t="shared" si="42"/>
        <v>0</v>
      </c>
      <c r="R672" s="41">
        <f t="shared" si="43"/>
        <v>0</v>
      </c>
    </row>
    <row r="673" spans="10:18">
      <c r="J673" s="118">
        <v>43885</v>
      </c>
      <c r="K673" s="116">
        <v>54.359685677874808</v>
      </c>
      <c r="L673" s="116">
        <v>41.957999999999998</v>
      </c>
      <c r="M673" s="117">
        <v>-12.401685677874809</v>
      </c>
      <c r="O673" s="39">
        <f t="shared" si="44"/>
        <v>44151</v>
      </c>
      <c r="P673" s="41">
        <f t="shared" si="41"/>
        <v>0</v>
      </c>
      <c r="Q673" s="41">
        <f t="shared" si="42"/>
        <v>0</v>
      </c>
      <c r="R673" s="41">
        <f t="shared" si="43"/>
        <v>0</v>
      </c>
    </row>
    <row r="674" spans="10:18">
      <c r="J674" s="118">
        <v>43882</v>
      </c>
      <c r="K674" s="116">
        <v>54.359685677874808</v>
      </c>
      <c r="L674" s="116">
        <v>42.810767999999996</v>
      </c>
      <c r="M674" s="117">
        <v>-11.548917677874812</v>
      </c>
      <c r="O674" s="39">
        <f t="shared" si="44"/>
        <v>44150</v>
      </c>
      <c r="P674" s="41">
        <f t="shared" si="41"/>
        <v>0</v>
      </c>
      <c r="Q674" s="41">
        <f t="shared" si="42"/>
        <v>0</v>
      </c>
      <c r="R674" s="41">
        <f t="shared" si="43"/>
        <v>0</v>
      </c>
    </row>
    <row r="675" spans="10:18">
      <c r="J675" s="118">
        <v>43881</v>
      </c>
      <c r="K675" s="116">
        <v>55.209018565088712</v>
      </c>
      <c r="L675" s="116">
        <v>43.581887999999999</v>
      </c>
      <c r="M675" s="117">
        <v>-11.627130565088713</v>
      </c>
      <c r="O675" s="39">
        <f t="shared" si="44"/>
        <v>44149</v>
      </c>
      <c r="P675" s="41">
        <f t="shared" si="41"/>
        <v>0</v>
      </c>
      <c r="Q675" s="41">
        <f t="shared" si="42"/>
        <v>0</v>
      </c>
      <c r="R675" s="41">
        <f t="shared" si="43"/>
        <v>0</v>
      </c>
    </row>
    <row r="676" spans="10:18">
      <c r="J676" s="118">
        <v>43880</v>
      </c>
      <c r="K676" s="116">
        <v>55.209018565088712</v>
      </c>
      <c r="L676" s="116">
        <v>43.971983999999999</v>
      </c>
      <c r="M676" s="117">
        <v>-11.237034565088713</v>
      </c>
      <c r="O676" s="39">
        <f t="shared" si="44"/>
        <v>44148</v>
      </c>
      <c r="P676" s="41">
        <f t="shared" si="41"/>
        <v>0</v>
      </c>
      <c r="Q676" s="41">
        <f t="shared" si="42"/>
        <v>0</v>
      </c>
      <c r="R676" s="41">
        <f t="shared" si="43"/>
        <v>0</v>
      </c>
    </row>
    <row r="677" spans="10:18">
      <c r="J677" s="118">
        <v>43879</v>
      </c>
      <c r="K677" s="116">
        <v>55.209018565088712</v>
      </c>
      <c r="L677" s="116">
        <v>45.169488000000001</v>
      </c>
      <c r="M677" s="117">
        <v>-10.039530565088711</v>
      </c>
      <c r="O677" s="39">
        <f t="shared" si="44"/>
        <v>44147</v>
      </c>
      <c r="P677" s="41">
        <f t="shared" si="41"/>
        <v>0</v>
      </c>
      <c r="Q677" s="41">
        <f t="shared" si="42"/>
        <v>0</v>
      </c>
      <c r="R677" s="41">
        <f t="shared" si="43"/>
        <v>0</v>
      </c>
    </row>
    <row r="678" spans="10:18">
      <c r="J678" s="118">
        <v>43878</v>
      </c>
      <c r="K678" s="116">
        <v>55.209018565088712</v>
      </c>
      <c r="L678" s="116">
        <v>46.702655999999998</v>
      </c>
      <c r="M678" s="117">
        <v>-8.5063625650887147</v>
      </c>
      <c r="O678" s="39">
        <f t="shared" si="44"/>
        <v>44146</v>
      </c>
      <c r="P678" s="41">
        <f t="shared" si="41"/>
        <v>0</v>
      </c>
      <c r="Q678" s="41">
        <f t="shared" si="42"/>
        <v>0</v>
      </c>
      <c r="R678" s="41">
        <f t="shared" si="43"/>
        <v>0</v>
      </c>
    </row>
    <row r="679" spans="10:18">
      <c r="J679" s="118">
        <v>43875</v>
      </c>
      <c r="K679" s="116">
        <v>55.209018565088712</v>
      </c>
      <c r="L679" s="116">
        <v>46.938528000000005</v>
      </c>
      <c r="M679" s="117">
        <v>-8.2704905650887071</v>
      </c>
      <c r="O679" s="39">
        <f t="shared" si="44"/>
        <v>44145</v>
      </c>
      <c r="P679" s="41">
        <f t="shared" si="41"/>
        <v>0</v>
      </c>
      <c r="Q679" s="41">
        <f t="shared" si="42"/>
        <v>0</v>
      </c>
      <c r="R679" s="41">
        <f t="shared" si="43"/>
        <v>0</v>
      </c>
    </row>
    <row r="680" spans="10:18">
      <c r="J680" s="118">
        <v>43874</v>
      </c>
      <c r="K680" s="116">
        <v>56.420354467285598</v>
      </c>
      <c r="L680" s="116">
        <v>45.487008000000003</v>
      </c>
      <c r="M680" s="117">
        <v>-10.933346467285595</v>
      </c>
      <c r="O680" s="39">
        <f t="shared" si="44"/>
        <v>44144</v>
      </c>
      <c r="P680" s="41">
        <f t="shared" si="41"/>
        <v>0</v>
      </c>
      <c r="Q680" s="41">
        <f t="shared" si="42"/>
        <v>0</v>
      </c>
      <c r="R680" s="41">
        <f t="shared" si="43"/>
        <v>0</v>
      </c>
    </row>
    <row r="681" spans="10:18">
      <c r="J681" s="118">
        <v>43873</v>
      </c>
      <c r="K681" s="116">
        <v>56.420354467285598</v>
      </c>
      <c r="L681" s="116">
        <v>44.280432000000005</v>
      </c>
      <c r="M681" s="117">
        <v>-12.139922467285594</v>
      </c>
      <c r="O681" s="39">
        <f t="shared" si="44"/>
        <v>44143</v>
      </c>
      <c r="P681" s="41">
        <f t="shared" si="41"/>
        <v>0</v>
      </c>
      <c r="Q681" s="41">
        <f t="shared" si="42"/>
        <v>0</v>
      </c>
      <c r="R681" s="41">
        <f t="shared" si="43"/>
        <v>0</v>
      </c>
    </row>
    <row r="682" spans="10:18">
      <c r="J682" s="118">
        <v>43872</v>
      </c>
      <c r="K682" s="116">
        <v>56.420354467285598</v>
      </c>
      <c r="L682" s="116">
        <v>43.427664</v>
      </c>
      <c r="M682" s="117">
        <v>-12.992690467285598</v>
      </c>
      <c r="O682" s="39">
        <f t="shared" si="44"/>
        <v>44142</v>
      </c>
      <c r="P682" s="41">
        <f t="shared" si="41"/>
        <v>0</v>
      </c>
      <c r="Q682" s="41">
        <f t="shared" si="42"/>
        <v>0</v>
      </c>
      <c r="R682" s="41">
        <f t="shared" si="43"/>
        <v>0</v>
      </c>
    </row>
    <row r="683" spans="10:18">
      <c r="J683" s="118">
        <v>43871</v>
      </c>
      <c r="K683" s="116">
        <v>56.420354467285598</v>
      </c>
      <c r="L683" s="116">
        <v>43.155504000000001</v>
      </c>
      <c r="M683" s="117">
        <v>-13.264850467285598</v>
      </c>
      <c r="O683" s="39">
        <f t="shared" si="44"/>
        <v>44141</v>
      </c>
      <c r="P683" s="41">
        <f t="shared" si="41"/>
        <v>0</v>
      </c>
      <c r="Q683" s="41">
        <f t="shared" si="42"/>
        <v>0</v>
      </c>
      <c r="R683" s="41">
        <f t="shared" si="43"/>
        <v>0</v>
      </c>
    </row>
    <row r="684" spans="10:18">
      <c r="J684" s="118">
        <v>43868</v>
      </c>
      <c r="K684" s="116">
        <v>56.420354467285598</v>
      </c>
      <c r="L684" s="116">
        <v>43.935696</v>
      </c>
      <c r="M684" s="117">
        <v>-12.484658467285598</v>
      </c>
      <c r="O684" s="39">
        <f t="shared" si="44"/>
        <v>44140</v>
      </c>
      <c r="P684" s="41">
        <f t="shared" si="41"/>
        <v>0</v>
      </c>
      <c r="Q684" s="41">
        <f t="shared" si="42"/>
        <v>0</v>
      </c>
      <c r="R684" s="41">
        <f t="shared" si="43"/>
        <v>0</v>
      </c>
    </row>
    <row r="685" spans="10:18">
      <c r="J685" s="118">
        <v>43867</v>
      </c>
      <c r="K685" s="116">
        <v>57.560703227281934</v>
      </c>
      <c r="L685" s="116">
        <v>44.715888</v>
      </c>
      <c r="M685" s="117">
        <v>-12.844815227281934</v>
      </c>
      <c r="O685" s="39">
        <f t="shared" si="44"/>
        <v>44139</v>
      </c>
      <c r="P685" s="41">
        <f t="shared" si="41"/>
        <v>0</v>
      </c>
      <c r="Q685" s="41">
        <f t="shared" si="42"/>
        <v>0</v>
      </c>
      <c r="R685" s="41">
        <f t="shared" si="43"/>
        <v>0</v>
      </c>
    </row>
    <row r="686" spans="10:18">
      <c r="J686" s="118">
        <v>43866</v>
      </c>
      <c r="K686" s="116">
        <v>57.560703227281934</v>
      </c>
      <c r="L686" s="116">
        <v>45.414432000000005</v>
      </c>
      <c r="M686" s="117">
        <v>-12.146271227281929</v>
      </c>
      <c r="O686" s="39">
        <f t="shared" si="44"/>
        <v>44138</v>
      </c>
      <c r="P686" s="41">
        <f t="shared" si="41"/>
        <v>0</v>
      </c>
      <c r="Q686" s="41">
        <f t="shared" si="42"/>
        <v>0</v>
      </c>
      <c r="R686" s="41">
        <f t="shared" si="43"/>
        <v>0</v>
      </c>
    </row>
    <row r="687" spans="10:18">
      <c r="J687" s="118">
        <v>43865</v>
      </c>
      <c r="K687" s="116">
        <v>57.560703227281934</v>
      </c>
      <c r="L687" s="116">
        <v>43.609104000000002</v>
      </c>
      <c r="M687" s="117">
        <v>-13.951599227281932</v>
      </c>
      <c r="O687" s="39">
        <f t="shared" si="44"/>
        <v>44137</v>
      </c>
      <c r="P687" s="41">
        <f t="shared" si="41"/>
        <v>0</v>
      </c>
      <c r="Q687" s="41">
        <f t="shared" si="42"/>
        <v>0</v>
      </c>
      <c r="R687" s="41">
        <f t="shared" si="43"/>
        <v>0</v>
      </c>
    </row>
    <row r="688" spans="10:18">
      <c r="J688" s="118">
        <v>43864</v>
      </c>
      <c r="K688" s="116">
        <v>57.560703227281934</v>
      </c>
      <c r="L688" s="116">
        <v>43.572816000000003</v>
      </c>
      <c r="M688" s="117">
        <v>-13.987887227281931</v>
      </c>
      <c r="O688" s="39">
        <f t="shared" si="44"/>
        <v>44136</v>
      </c>
      <c r="P688" s="41">
        <f t="shared" si="41"/>
        <v>0</v>
      </c>
      <c r="Q688" s="41">
        <f t="shared" si="42"/>
        <v>0</v>
      </c>
      <c r="R688" s="41">
        <f t="shared" si="43"/>
        <v>0</v>
      </c>
    </row>
    <row r="689" spans="10:18">
      <c r="J689" s="118">
        <v>43861</v>
      </c>
      <c r="K689" s="116">
        <v>57.560703227281934</v>
      </c>
      <c r="L689" s="116">
        <v>43.001280000000001</v>
      </c>
      <c r="M689" s="117">
        <v>-14.559423227281933</v>
      </c>
      <c r="O689" s="39">
        <f t="shared" si="44"/>
        <v>44135</v>
      </c>
      <c r="P689" s="41">
        <f t="shared" si="41"/>
        <v>0</v>
      </c>
      <c r="Q689" s="41">
        <f t="shared" si="42"/>
        <v>0</v>
      </c>
      <c r="R689" s="41">
        <f t="shared" si="43"/>
        <v>0</v>
      </c>
    </row>
    <row r="690" spans="10:18">
      <c r="J690" s="118">
        <v>43860</v>
      </c>
      <c r="K690" s="116">
        <v>58.412548933688747</v>
      </c>
      <c r="L690" s="116">
        <v>43.128287999999998</v>
      </c>
      <c r="M690" s="117">
        <v>-15.284260933688749</v>
      </c>
      <c r="O690" s="39">
        <f t="shared" si="44"/>
        <v>44134</v>
      </c>
      <c r="P690" s="41">
        <f t="shared" si="41"/>
        <v>0</v>
      </c>
      <c r="Q690" s="41">
        <f t="shared" si="42"/>
        <v>0</v>
      </c>
      <c r="R690" s="41">
        <f t="shared" si="43"/>
        <v>0</v>
      </c>
    </row>
    <row r="691" spans="10:18">
      <c r="J691" s="118">
        <v>43859</v>
      </c>
      <c r="K691" s="116">
        <v>58.412548933688747</v>
      </c>
      <c r="L691" s="116">
        <v>44.452800000000003</v>
      </c>
      <c r="M691" s="117">
        <v>-13.959748933688743</v>
      </c>
      <c r="O691" s="39">
        <f t="shared" si="44"/>
        <v>44133</v>
      </c>
      <c r="P691" s="41">
        <f t="shared" si="41"/>
        <v>0</v>
      </c>
      <c r="Q691" s="41">
        <f t="shared" si="42"/>
        <v>0</v>
      </c>
      <c r="R691" s="41">
        <f t="shared" si="43"/>
        <v>0</v>
      </c>
    </row>
    <row r="692" spans="10:18">
      <c r="J692" s="118">
        <v>43858</v>
      </c>
      <c r="K692" s="116">
        <v>58.412548933688747</v>
      </c>
      <c r="L692" s="116">
        <v>44.452800000000003</v>
      </c>
      <c r="M692" s="117">
        <v>-13.959748933688743</v>
      </c>
      <c r="O692" s="39">
        <f t="shared" si="44"/>
        <v>44132</v>
      </c>
      <c r="P692" s="41">
        <f t="shared" si="41"/>
        <v>0</v>
      </c>
      <c r="Q692" s="41">
        <f t="shared" si="42"/>
        <v>0</v>
      </c>
      <c r="R692" s="41">
        <f t="shared" si="43"/>
        <v>0</v>
      </c>
    </row>
    <row r="693" spans="10:18">
      <c r="J693" s="118">
        <v>43857</v>
      </c>
      <c r="K693" s="116">
        <v>58.412548933688747</v>
      </c>
      <c r="L693" s="116">
        <v>43.890336000000005</v>
      </c>
      <c r="M693" s="117">
        <v>-14.522212933688742</v>
      </c>
      <c r="O693" s="39">
        <f t="shared" si="44"/>
        <v>44131</v>
      </c>
      <c r="P693" s="41">
        <f t="shared" si="41"/>
        <v>0</v>
      </c>
      <c r="Q693" s="41">
        <f t="shared" si="42"/>
        <v>0</v>
      </c>
      <c r="R693" s="41">
        <f t="shared" si="43"/>
        <v>0</v>
      </c>
    </row>
    <row r="694" spans="10:18">
      <c r="J694" s="118">
        <v>43854</v>
      </c>
      <c r="K694" s="116">
        <v>58.412548933688747</v>
      </c>
      <c r="L694" s="116">
        <v>43.772399999999998</v>
      </c>
      <c r="M694" s="117">
        <v>-14.640148933688749</v>
      </c>
      <c r="O694" s="39">
        <f t="shared" si="44"/>
        <v>44130</v>
      </c>
      <c r="P694" s="41">
        <f t="shared" si="41"/>
        <v>0</v>
      </c>
      <c r="Q694" s="41">
        <f t="shared" si="42"/>
        <v>0</v>
      </c>
      <c r="R694" s="41">
        <f t="shared" si="43"/>
        <v>0</v>
      </c>
    </row>
    <row r="695" spans="10:18">
      <c r="J695" s="118">
        <v>43853</v>
      </c>
      <c r="K695" s="116">
        <v>59.313394614357946</v>
      </c>
      <c r="L695" s="116">
        <v>43.091999999999999</v>
      </c>
      <c r="M695" s="117">
        <v>-16.221394614357948</v>
      </c>
      <c r="O695" s="39">
        <f t="shared" si="44"/>
        <v>44129</v>
      </c>
      <c r="P695" s="41">
        <f t="shared" si="41"/>
        <v>0</v>
      </c>
      <c r="Q695" s="41">
        <f t="shared" si="42"/>
        <v>0</v>
      </c>
      <c r="R695" s="41">
        <f t="shared" si="43"/>
        <v>0</v>
      </c>
    </row>
    <row r="696" spans="10:18">
      <c r="J696" s="118">
        <v>43852</v>
      </c>
      <c r="K696" s="116">
        <v>59.313394614357946</v>
      </c>
      <c r="L696" s="116">
        <v>43.318800000000003</v>
      </c>
      <c r="M696" s="117">
        <v>-15.994594614357943</v>
      </c>
      <c r="O696" s="39">
        <f t="shared" si="44"/>
        <v>44128</v>
      </c>
      <c r="P696" s="41">
        <f t="shared" si="41"/>
        <v>0</v>
      </c>
      <c r="Q696" s="41">
        <f t="shared" si="42"/>
        <v>0</v>
      </c>
      <c r="R696" s="41">
        <f t="shared" si="43"/>
        <v>0</v>
      </c>
    </row>
    <row r="697" spans="10:18">
      <c r="J697" s="118">
        <v>43851</v>
      </c>
      <c r="K697" s="116">
        <v>59.313394614357946</v>
      </c>
      <c r="L697" s="116">
        <v>42.865200000000002</v>
      </c>
      <c r="M697" s="117">
        <v>-16.448194614357945</v>
      </c>
      <c r="O697" s="39">
        <f t="shared" si="44"/>
        <v>44127</v>
      </c>
      <c r="P697" s="41">
        <f t="shared" si="41"/>
        <v>0</v>
      </c>
      <c r="Q697" s="41">
        <f t="shared" si="42"/>
        <v>0</v>
      </c>
      <c r="R697" s="41">
        <f t="shared" si="43"/>
        <v>0</v>
      </c>
    </row>
    <row r="698" spans="10:18">
      <c r="J698" s="118">
        <v>43850</v>
      </c>
      <c r="K698" s="116">
        <v>59.313394614357946</v>
      </c>
      <c r="L698" s="116">
        <v>43.237151999999995</v>
      </c>
      <c r="M698" s="117">
        <v>-16.076242614357952</v>
      </c>
      <c r="O698" s="39">
        <f t="shared" si="44"/>
        <v>44126</v>
      </c>
      <c r="P698" s="41">
        <f t="shared" si="41"/>
        <v>0</v>
      </c>
      <c r="Q698" s="41">
        <f t="shared" si="42"/>
        <v>0</v>
      </c>
      <c r="R698" s="41">
        <f t="shared" si="43"/>
        <v>0</v>
      </c>
    </row>
    <row r="699" spans="10:18">
      <c r="J699" s="118">
        <v>43847</v>
      </c>
      <c r="K699" s="116">
        <v>59.313394614357946</v>
      </c>
      <c r="L699" s="116">
        <v>44.452800000000003</v>
      </c>
      <c r="M699" s="117">
        <v>-14.860594614357943</v>
      </c>
      <c r="O699" s="39">
        <f t="shared" si="44"/>
        <v>44125</v>
      </c>
      <c r="P699" s="41">
        <f t="shared" si="41"/>
        <v>0</v>
      </c>
      <c r="Q699" s="41">
        <f t="shared" si="42"/>
        <v>0</v>
      </c>
      <c r="R699" s="41">
        <f t="shared" si="43"/>
        <v>0</v>
      </c>
    </row>
    <row r="700" spans="10:18">
      <c r="J700" s="118">
        <v>43846</v>
      </c>
      <c r="K700" s="116">
        <v>60.184400567110956</v>
      </c>
      <c r="L700" s="116">
        <v>46.058544000000005</v>
      </c>
      <c r="M700" s="117">
        <v>-14.125856567110951</v>
      </c>
      <c r="O700" s="39">
        <f t="shared" si="44"/>
        <v>44124</v>
      </c>
      <c r="P700" s="41">
        <f t="shared" si="41"/>
        <v>0</v>
      </c>
      <c r="Q700" s="41">
        <f t="shared" si="42"/>
        <v>0</v>
      </c>
      <c r="R700" s="41">
        <f t="shared" si="43"/>
        <v>0</v>
      </c>
    </row>
    <row r="701" spans="10:18">
      <c r="J701" s="118">
        <v>43845</v>
      </c>
      <c r="K701" s="116">
        <v>60.184400567110956</v>
      </c>
      <c r="L701" s="116">
        <v>46.230912000000004</v>
      </c>
      <c r="M701" s="117">
        <v>-13.953488567110952</v>
      </c>
      <c r="O701" s="39">
        <f t="shared" si="44"/>
        <v>44123</v>
      </c>
      <c r="P701" s="41">
        <f t="shared" si="41"/>
        <v>0</v>
      </c>
      <c r="Q701" s="41">
        <f t="shared" si="42"/>
        <v>0</v>
      </c>
      <c r="R701" s="41">
        <f t="shared" si="43"/>
        <v>0</v>
      </c>
    </row>
    <row r="702" spans="10:18">
      <c r="J702" s="118">
        <v>43844</v>
      </c>
      <c r="K702" s="116">
        <v>60.184400567110956</v>
      </c>
      <c r="L702" s="116">
        <v>46.584720000000004</v>
      </c>
      <c r="M702" s="117">
        <v>-13.599680567110951</v>
      </c>
      <c r="O702" s="39">
        <f t="shared" si="44"/>
        <v>44122</v>
      </c>
      <c r="P702" s="41">
        <f t="shared" si="41"/>
        <v>0</v>
      </c>
      <c r="Q702" s="41">
        <f t="shared" si="42"/>
        <v>0</v>
      </c>
      <c r="R702" s="41">
        <f t="shared" si="43"/>
        <v>0</v>
      </c>
    </row>
    <row r="703" spans="10:18">
      <c r="J703" s="118">
        <v>43843</v>
      </c>
      <c r="K703" s="116">
        <v>60.184400567110956</v>
      </c>
      <c r="L703" s="116">
        <v>48.335616000000002</v>
      </c>
      <c r="M703" s="117">
        <v>-11.848784567110954</v>
      </c>
      <c r="O703" s="39">
        <f t="shared" si="44"/>
        <v>44121</v>
      </c>
      <c r="P703" s="41">
        <f t="shared" si="41"/>
        <v>0</v>
      </c>
      <c r="Q703" s="41">
        <f t="shared" si="42"/>
        <v>0</v>
      </c>
      <c r="R703" s="41">
        <f t="shared" si="43"/>
        <v>0</v>
      </c>
    </row>
    <row r="704" spans="10:18">
      <c r="J704" s="118">
        <v>43840</v>
      </c>
      <c r="K704" s="116">
        <v>60.184400567110956</v>
      </c>
      <c r="L704" s="116">
        <v>48.018096</v>
      </c>
      <c r="M704" s="117">
        <v>-12.166304567110956</v>
      </c>
      <c r="O704" s="39">
        <f t="shared" si="44"/>
        <v>44120</v>
      </c>
      <c r="P704" s="41">
        <f t="shared" si="41"/>
        <v>0</v>
      </c>
      <c r="Q704" s="41">
        <f t="shared" si="42"/>
        <v>0</v>
      </c>
      <c r="R704" s="41">
        <f t="shared" si="43"/>
        <v>0</v>
      </c>
    </row>
    <row r="705" spans="10:18">
      <c r="J705" s="118">
        <v>43839</v>
      </c>
      <c r="K705" s="116">
        <v>61.08273342858719</v>
      </c>
      <c r="L705" s="116">
        <v>47.628</v>
      </c>
      <c r="M705" s="117">
        <v>-13.45473342858719</v>
      </c>
      <c r="O705" s="39">
        <f t="shared" si="44"/>
        <v>44119</v>
      </c>
      <c r="P705" s="41">
        <f t="shared" si="41"/>
        <v>0</v>
      </c>
      <c r="Q705" s="41">
        <f t="shared" si="42"/>
        <v>0</v>
      </c>
      <c r="R705" s="41">
        <f t="shared" si="43"/>
        <v>0</v>
      </c>
    </row>
    <row r="706" spans="10:18">
      <c r="J706" s="118">
        <v>43838</v>
      </c>
      <c r="K706" s="116">
        <v>61.08273342858719</v>
      </c>
      <c r="L706" s="116">
        <v>47.700575999999998</v>
      </c>
      <c r="M706" s="117">
        <v>-13.382157428587192</v>
      </c>
      <c r="O706" s="39">
        <f t="shared" si="44"/>
        <v>44118</v>
      </c>
      <c r="P706" s="41">
        <f t="shared" si="41"/>
        <v>0</v>
      </c>
      <c r="Q706" s="41">
        <f t="shared" si="42"/>
        <v>0</v>
      </c>
      <c r="R706" s="41">
        <f t="shared" si="43"/>
        <v>0</v>
      </c>
    </row>
    <row r="707" spans="10:18">
      <c r="J707" s="118">
        <v>43837</v>
      </c>
      <c r="K707" s="116">
        <v>61.08273342858719</v>
      </c>
      <c r="L707" s="116">
        <v>47.854799999999997</v>
      </c>
      <c r="M707" s="117">
        <v>-13.227933428587193</v>
      </c>
      <c r="O707" s="39">
        <f t="shared" si="44"/>
        <v>44117</v>
      </c>
      <c r="P707" s="41">
        <f t="shared" si="41"/>
        <v>0</v>
      </c>
      <c r="Q707" s="41">
        <f t="shared" si="42"/>
        <v>0</v>
      </c>
      <c r="R707" s="41">
        <f t="shared" si="43"/>
        <v>0</v>
      </c>
    </row>
    <row r="708" spans="10:18">
      <c r="J708" s="118">
        <v>43836</v>
      </c>
      <c r="K708" s="116">
        <v>61.08273342858719</v>
      </c>
      <c r="L708" s="116">
        <v>48.308399999999999</v>
      </c>
      <c r="M708" s="117">
        <v>-12.774333428587191</v>
      </c>
      <c r="O708" s="39">
        <f t="shared" si="44"/>
        <v>44116</v>
      </c>
      <c r="P708" s="41">
        <f t="shared" si="41"/>
        <v>0</v>
      </c>
      <c r="Q708" s="41">
        <f t="shared" si="42"/>
        <v>0</v>
      </c>
      <c r="R708" s="41">
        <f t="shared" si="43"/>
        <v>0</v>
      </c>
    </row>
    <row r="709" spans="10:18">
      <c r="J709" s="118">
        <v>43833</v>
      </c>
      <c r="K709" s="116">
        <v>61.08273342858719</v>
      </c>
      <c r="L709" s="116">
        <v>48.145104000000003</v>
      </c>
      <c r="M709" s="117">
        <v>-12.937629428587186</v>
      </c>
      <c r="O709" s="39">
        <f t="shared" si="44"/>
        <v>44115</v>
      </c>
      <c r="P709" s="41">
        <f t="shared" si="41"/>
        <v>0</v>
      </c>
      <c r="Q709" s="41">
        <f t="shared" si="42"/>
        <v>0</v>
      </c>
      <c r="R709" s="41">
        <f t="shared" si="43"/>
        <v>0</v>
      </c>
    </row>
    <row r="710" spans="10:18">
      <c r="J710" s="118">
        <v>43832</v>
      </c>
      <c r="K710" s="116">
        <v>60.566192033238345</v>
      </c>
      <c r="L710" s="116">
        <v>46.720799999999997</v>
      </c>
      <c r="M710" s="117">
        <v>-13.845392033238348</v>
      </c>
      <c r="O710" s="39">
        <f t="shared" si="44"/>
        <v>44114</v>
      </c>
      <c r="P710" s="41">
        <f t="shared" ref="P710:P773" si="45">IFERROR(VLOOKUP($O710,$J$5:$M$403,2,FALSE),P711)</f>
        <v>0</v>
      </c>
      <c r="Q710" s="41">
        <f t="shared" ref="Q710:Q773" si="46">IFERROR(VLOOKUP($O710,$J$5:$M$403,3,FALSE),Q711)</f>
        <v>0</v>
      </c>
      <c r="R710" s="41">
        <f t="shared" ref="R710:R773" si="47">IFERROR(VLOOKUP($O710,$J$5:$M$403,4,FALSE),R711)</f>
        <v>0</v>
      </c>
    </row>
    <row r="711" spans="10:18">
      <c r="J711" s="118">
        <v>43831</v>
      </c>
      <c r="K711" s="116">
        <v>60.566192033238345</v>
      </c>
      <c r="L711" s="116">
        <v>46.720799999999997</v>
      </c>
      <c r="M711" s="117">
        <v>-13.845392033238348</v>
      </c>
      <c r="O711" s="39">
        <f t="shared" ref="O711:O774" si="48">O710-1</f>
        <v>44113</v>
      </c>
      <c r="P711" s="41">
        <f t="shared" si="45"/>
        <v>0</v>
      </c>
      <c r="Q711" s="41">
        <f t="shared" si="46"/>
        <v>0</v>
      </c>
      <c r="R711" s="41">
        <f t="shared" si="47"/>
        <v>0</v>
      </c>
    </row>
    <row r="712" spans="10:18">
      <c r="J712" s="118">
        <v>43830</v>
      </c>
      <c r="K712" s="116">
        <v>60.566192033238345</v>
      </c>
      <c r="L712" s="116">
        <v>46.720799999999997</v>
      </c>
      <c r="M712" s="117">
        <v>-13.845392033238348</v>
      </c>
      <c r="O712" s="39">
        <f t="shared" si="48"/>
        <v>44112</v>
      </c>
      <c r="P712" s="41">
        <f t="shared" si="45"/>
        <v>0</v>
      </c>
      <c r="Q712" s="41">
        <f t="shared" si="46"/>
        <v>0</v>
      </c>
      <c r="R712" s="41">
        <f t="shared" si="47"/>
        <v>0</v>
      </c>
    </row>
    <row r="713" spans="10:18">
      <c r="J713" s="118">
        <v>43829</v>
      </c>
      <c r="K713" s="116">
        <v>60.566192033238345</v>
      </c>
      <c r="L713" s="116">
        <v>47.401200000000003</v>
      </c>
      <c r="M713" s="117">
        <v>-13.164992033238342</v>
      </c>
      <c r="O713" s="39">
        <f t="shared" si="48"/>
        <v>44111</v>
      </c>
      <c r="P713" s="41">
        <f t="shared" si="45"/>
        <v>0</v>
      </c>
      <c r="Q713" s="41">
        <f t="shared" si="46"/>
        <v>0</v>
      </c>
      <c r="R713" s="41">
        <f t="shared" si="47"/>
        <v>0</v>
      </c>
    </row>
    <row r="714" spans="10:18">
      <c r="J714" s="118">
        <v>43826</v>
      </c>
      <c r="K714" s="116">
        <v>60.566192033238345</v>
      </c>
      <c r="L714" s="116">
        <v>48.462624000000005</v>
      </c>
      <c r="M714" s="117">
        <v>-12.103568033238339</v>
      </c>
      <c r="O714" s="39">
        <f t="shared" si="48"/>
        <v>44110</v>
      </c>
      <c r="P714" s="41">
        <f t="shared" si="45"/>
        <v>0</v>
      </c>
      <c r="Q714" s="41">
        <f t="shared" si="46"/>
        <v>0</v>
      </c>
      <c r="R714" s="41">
        <f t="shared" si="47"/>
        <v>0</v>
      </c>
    </row>
    <row r="715" spans="10:18">
      <c r="J715" s="118">
        <v>43825</v>
      </c>
      <c r="K715" s="116">
        <v>60.566192033238345</v>
      </c>
      <c r="L715" s="116">
        <v>48.362832000000004</v>
      </c>
      <c r="M715" s="117">
        <v>-12.20336003323834</v>
      </c>
      <c r="O715" s="39">
        <f t="shared" si="48"/>
        <v>44109</v>
      </c>
      <c r="P715" s="41">
        <f t="shared" si="45"/>
        <v>0</v>
      </c>
      <c r="Q715" s="41">
        <f t="shared" si="46"/>
        <v>0</v>
      </c>
      <c r="R715" s="41">
        <f t="shared" si="47"/>
        <v>0</v>
      </c>
    </row>
    <row r="716" spans="10:18">
      <c r="J716" s="118">
        <v>43824</v>
      </c>
      <c r="K716" s="116">
        <v>60.566192033238345</v>
      </c>
      <c r="L716" s="116">
        <v>48.362832000000004</v>
      </c>
      <c r="M716" s="117">
        <v>-12.20336003323834</v>
      </c>
      <c r="O716" s="39">
        <f t="shared" si="48"/>
        <v>44108</v>
      </c>
      <c r="P716" s="41">
        <f t="shared" si="45"/>
        <v>0</v>
      </c>
      <c r="Q716" s="41">
        <f t="shared" si="46"/>
        <v>0</v>
      </c>
      <c r="R716" s="41">
        <f t="shared" si="47"/>
        <v>0</v>
      </c>
    </row>
    <row r="717" spans="10:18">
      <c r="J717" s="118">
        <v>43823</v>
      </c>
      <c r="K717" s="116">
        <v>60.566192033238345</v>
      </c>
      <c r="L717" s="116">
        <v>48.362832000000004</v>
      </c>
      <c r="M717" s="117">
        <v>-12.20336003323834</v>
      </c>
      <c r="O717" s="39">
        <f t="shared" si="48"/>
        <v>44107</v>
      </c>
      <c r="P717" s="41">
        <f t="shared" si="45"/>
        <v>0</v>
      </c>
      <c r="Q717" s="41">
        <f t="shared" si="46"/>
        <v>0</v>
      </c>
      <c r="R717" s="41">
        <f t="shared" si="47"/>
        <v>0</v>
      </c>
    </row>
    <row r="718" spans="10:18">
      <c r="J718" s="118">
        <v>43822</v>
      </c>
      <c r="K718" s="116">
        <v>60.566192033238345</v>
      </c>
      <c r="L718" s="116">
        <v>47.745936</v>
      </c>
      <c r="M718" s="117">
        <v>-12.820256033238344</v>
      </c>
      <c r="O718" s="39">
        <f t="shared" si="48"/>
        <v>44106</v>
      </c>
      <c r="P718" s="41">
        <f t="shared" si="45"/>
        <v>0</v>
      </c>
      <c r="Q718" s="41">
        <f t="shared" si="46"/>
        <v>0</v>
      </c>
      <c r="R718" s="41">
        <f t="shared" si="47"/>
        <v>0</v>
      </c>
    </row>
    <row r="719" spans="10:18">
      <c r="J719" s="118">
        <v>43819</v>
      </c>
      <c r="K719" s="116">
        <v>60.566192033238345</v>
      </c>
      <c r="L719" s="116">
        <v>47.628</v>
      </c>
      <c r="M719" s="117">
        <v>-12.938192033238344</v>
      </c>
      <c r="O719" s="39">
        <f t="shared" si="48"/>
        <v>44105</v>
      </c>
      <c r="P719" s="41">
        <f t="shared" si="45"/>
        <v>0</v>
      </c>
      <c r="Q719" s="41">
        <f t="shared" si="46"/>
        <v>0</v>
      </c>
      <c r="R719" s="41">
        <f t="shared" si="47"/>
        <v>0</v>
      </c>
    </row>
    <row r="720" spans="10:18">
      <c r="J720" s="118">
        <v>43818</v>
      </c>
      <c r="K720" s="116">
        <v>60.468192084713678</v>
      </c>
      <c r="L720" s="116">
        <v>47.90016</v>
      </c>
      <c r="M720" s="117">
        <v>-12.568032084713678</v>
      </c>
      <c r="O720" s="39">
        <f t="shared" si="48"/>
        <v>44104</v>
      </c>
      <c r="P720" s="41">
        <f t="shared" si="45"/>
        <v>0</v>
      </c>
      <c r="Q720" s="41">
        <f t="shared" si="46"/>
        <v>0</v>
      </c>
      <c r="R720" s="41">
        <f t="shared" si="47"/>
        <v>0</v>
      </c>
    </row>
    <row r="721" spans="10:18">
      <c r="J721" s="118">
        <v>43817</v>
      </c>
      <c r="K721" s="116">
        <v>60.468192084713678</v>
      </c>
      <c r="L721" s="116">
        <v>48.072528000000005</v>
      </c>
      <c r="M721" s="117">
        <v>-12.395664084713673</v>
      </c>
      <c r="O721" s="39">
        <f t="shared" si="48"/>
        <v>44103</v>
      </c>
      <c r="P721" s="41">
        <f t="shared" si="45"/>
        <v>0</v>
      </c>
      <c r="Q721" s="41">
        <f t="shared" si="46"/>
        <v>0</v>
      </c>
      <c r="R721" s="41">
        <f t="shared" si="47"/>
        <v>0</v>
      </c>
    </row>
    <row r="722" spans="10:18">
      <c r="J722" s="118">
        <v>43816</v>
      </c>
      <c r="K722" s="116">
        <v>60.468192084713678</v>
      </c>
      <c r="L722" s="116">
        <v>47.745936</v>
      </c>
      <c r="M722" s="117">
        <v>-12.722256084713678</v>
      </c>
      <c r="O722" s="39">
        <f t="shared" si="48"/>
        <v>44102</v>
      </c>
      <c r="P722" s="41">
        <f t="shared" si="45"/>
        <v>0</v>
      </c>
      <c r="Q722" s="41">
        <f t="shared" si="46"/>
        <v>0</v>
      </c>
      <c r="R722" s="41">
        <f t="shared" si="47"/>
        <v>0</v>
      </c>
    </row>
    <row r="723" spans="10:18">
      <c r="J723" s="118">
        <v>43815</v>
      </c>
      <c r="K723" s="116">
        <v>60.468192084713678</v>
      </c>
      <c r="L723" s="116">
        <v>47.909232000000003</v>
      </c>
      <c r="M723" s="117">
        <v>-12.558960084713675</v>
      </c>
      <c r="O723" s="39">
        <f t="shared" si="48"/>
        <v>44101</v>
      </c>
      <c r="P723" s="41">
        <f t="shared" si="45"/>
        <v>0</v>
      </c>
      <c r="Q723" s="41">
        <f t="shared" si="46"/>
        <v>0</v>
      </c>
      <c r="R723" s="41">
        <f t="shared" si="47"/>
        <v>0</v>
      </c>
    </row>
    <row r="724" spans="10:18">
      <c r="J724" s="118">
        <v>43812</v>
      </c>
      <c r="K724" s="116">
        <v>60.468192084713678</v>
      </c>
      <c r="L724" s="116">
        <v>48.390048</v>
      </c>
      <c r="M724" s="117">
        <v>-12.078144084713678</v>
      </c>
      <c r="O724" s="39">
        <f t="shared" si="48"/>
        <v>44100</v>
      </c>
      <c r="P724" s="41">
        <f t="shared" si="45"/>
        <v>0</v>
      </c>
      <c r="Q724" s="41">
        <f t="shared" si="46"/>
        <v>0</v>
      </c>
      <c r="R724" s="41">
        <f t="shared" si="47"/>
        <v>0</v>
      </c>
    </row>
    <row r="725" spans="10:18">
      <c r="J725" s="118">
        <v>43811</v>
      </c>
      <c r="K725" s="116">
        <v>61.094198166154975</v>
      </c>
      <c r="L725" s="116">
        <v>47.927375999999995</v>
      </c>
      <c r="M725" s="117">
        <v>-13.166822166154979</v>
      </c>
      <c r="O725" s="39">
        <f t="shared" si="48"/>
        <v>44099</v>
      </c>
      <c r="P725" s="41">
        <f t="shared" si="45"/>
        <v>0</v>
      </c>
      <c r="Q725" s="41">
        <f t="shared" si="46"/>
        <v>0</v>
      </c>
      <c r="R725" s="41">
        <f t="shared" si="47"/>
        <v>0</v>
      </c>
    </row>
    <row r="726" spans="10:18">
      <c r="J726" s="118">
        <v>43810</v>
      </c>
      <c r="K726" s="116">
        <v>61.094198166154975</v>
      </c>
      <c r="L726" s="116">
        <v>48.426335999999999</v>
      </c>
      <c r="M726" s="117">
        <v>-12.667862166154976</v>
      </c>
      <c r="O726" s="39">
        <f t="shared" si="48"/>
        <v>44098</v>
      </c>
      <c r="P726" s="41">
        <f t="shared" si="45"/>
        <v>0</v>
      </c>
      <c r="Q726" s="41">
        <f t="shared" si="46"/>
        <v>0</v>
      </c>
      <c r="R726" s="41">
        <f t="shared" si="47"/>
        <v>0</v>
      </c>
    </row>
    <row r="727" spans="10:18">
      <c r="J727" s="118">
        <v>43809</v>
      </c>
      <c r="K727" s="116">
        <v>61.094198166154975</v>
      </c>
      <c r="L727" s="116">
        <v>47.818511999999998</v>
      </c>
      <c r="M727" s="117">
        <v>-13.275686166154976</v>
      </c>
      <c r="O727" s="39">
        <f t="shared" si="48"/>
        <v>44097</v>
      </c>
      <c r="P727" s="41">
        <f t="shared" si="45"/>
        <v>0</v>
      </c>
      <c r="Q727" s="41">
        <f t="shared" si="46"/>
        <v>0</v>
      </c>
      <c r="R727" s="41">
        <f t="shared" si="47"/>
        <v>0</v>
      </c>
    </row>
    <row r="728" spans="10:18">
      <c r="J728" s="118">
        <v>43808</v>
      </c>
      <c r="K728" s="116">
        <v>61.094198166154975</v>
      </c>
      <c r="L728" s="116">
        <v>48.244895999999997</v>
      </c>
      <c r="M728" s="117">
        <v>-12.849302166154978</v>
      </c>
      <c r="O728" s="39">
        <f t="shared" si="48"/>
        <v>44096</v>
      </c>
      <c r="P728" s="41">
        <f t="shared" si="45"/>
        <v>0</v>
      </c>
      <c r="Q728" s="41">
        <f t="shared" si="46"/>
        <v>0</v>
      </c>
      <c r="R728" s="41">
        <f t="shared" si="47"/>
        <v>0</v>
      </c>
    </row>
    <row r="729" spans="10:18">
      <c r="J729" s="118">
        <v>43805</v>
      </c>
      <c r="K729" s="116">
        <v>61.094198166154975</v>
      </c>
      <c r="L729" s="116">
        <v>49.224671999999998</v>
      </c>
      <c r="M729" s="117">
        <v>-11.869526166154976</v>
      </c>
      <c r="O729" s="39">
        <f t="shared" si="48"/>
        <v>44095</v>
      </c>
      <c r="P729" s="41">
        <f t="shared" si="45"/>
        <v>0</v>
      </c>
      <c r="Q729" s="41">
        <f t="shared" si="46"/>
        <v>0</v>
      </c>
      <c r="R729" s="41">
        <f t="shared" si="47"/>
        <v>0</v>
      </c>
    </row>
    <row r="730" spans="10:18">
      <c r="J730" s="118">
        <v>43804</v>
      </c>
      <c r="K730" s="116">
        <v>61.534569729717802</v>
      </c>
      <c r="L730" s="116">
        <v>50.249808000000002</v>
      </c>
      <c r="M730" s="117">
        <v>-11.2847617297178</v>
      </c>
      <c r="O730" s="39">
        <f t="shared" si="48"/>
        <v>44094</v>
      </c>
      <c r="P730" s="41">
        <f t="shared" si="45"/>
        <v>0</v>
      </c>
      <c r="Q730" s="41">
        <f t="shared" si="46"/>
        <v>0</v>
      </c>
      <c r="R730" s="41">
        <f t="shared" si="47"/>
        <v>0</v>
      </c>
    </row>
    <row r="731" spans="10:18">
      <c r="J731" s="118">
        <v>43803</v>
      </c>
      <c r="K731" s="116">
        <v>61.534569729717802</v>
      </c>
      <c r="L731" s="116">
        <v>48.952511999999999</v>
      </c>
      <c r="M731" s="117">
        <v>-12.582057729717803</v>
      </c>
      <c r="O731" s="39">
        <f t="shared" si="48"/>
        <v>44093</v>
      </c>
      <c r="P731" s="41">
        <f t="shared" si="45"/>
        <v>0</v>
      </c>
      <c r="Q731" s="41">
        <f t="shared" si="46"/>
        <v>0</v>
      </c>
      <c r="R731" s="41">
        <f t="shared" si="47"/>
        <v>0</v>
      </c>
    </row>
    <row r="732" spans="10:18">
      <c r="J732" s="118">
        <v>43802</v>
      </c>
      <c r="K732" s="116">
        <v>61.534569729717802</v>
      </c>
      <c r="L732" s="116">
        <v>51.556176000000001</v>
      </c>
      <c r="M732" s="117">
        <v>-9.9783937297178014</v>
      </c>
      <c r="O732" s="39">
        <f t="shared" si="48"/>
        <v>44092</v>
      </c>
      <c r="P732" s="41">
        <f t="shared" si="45"/>
        <v>0</v>
      </c>
      <c r="Q732" s="41">
        <f t="shared" si="46"/>
        <v>0</v>
      </c>
      <c r="R732" s="41">
        <f t="shared" si="47"/>
        <v>0</v>
      </c>
    </row>
    <row r="733" spans="10:18">
      <c r="J733" s="118">
        <v>43801</v>
      </c>
      <c r="K733" s="116">
        <v>61.534569729717802</v>
      </c>
      <c r="L733" s="116">
        <v>52.164000000000001</v>
      </c>
      <c r="M733" s="117">
        <v>-9.3705697297178006</v>
      </c>
      <c r="O733" s="39">
        <f t="shared" si="48"/>
        <v>44091</v>
      </c>
      <c r="P733" s="41">
        <f t="shared" si="45"/>
        <v>0</v>
      </c>
      <c r="Q733" s="41">
        <f t="shared" si="46"/>
        <v>0</v>
      </c>
      <c r="R733" s="41">
        <f t="shared" si="47"/>
        <v>0</v>
      </c>
    </row>
    <row r="734" spans="10:18">
      <c r="J734" s="118">
        <v>43798</v>
      </c>
      <c r="K734" s="116">
        <v>61.534569729717802</v>
      </c>
      <c r="L734" s="116">
        <v>51.43824</v>
      </c>
      <c r="M734" s="117">
        <v>-10.096329729717802</v>
      </c>
      <c r="O734" s="39">
        <f t="shared" si="48"/>
        <v>44090</v>
      </c>
      <c r="P734" s="41">
        <f t="shared" si="45"/>
        <v>0</v>
      </c>
      <c r="Q734" s="41">
        <f t="shared" si="46"/>
        <v>0</v>
      </c>
      <c r="R734" s="41">
        <f t="shared" si="47"/>
        <v>0</v>
      </c>
    </row>
    <row r="735" spans="10:18">
      <c r="J735" s="118">
        <v>43797</v>
      </c>
      <c r="K735" s="116">
        <v>60.538551022116003</v>
      </c>
      <c r="L735" s="116">
        <v>51.547103999999997</v>
      </c>
      <c r="M735" s="117">
        <v>-8.9914470221160059</v>
      </c>
      <c r="O735" s="39">
        <f t="shared" si="48"/>
        <v>44089</v>
      </c>
      <c r="P735" s="41">
        <f t="shared" si="45"/>
        <v>0</v>
      </c>
      <c r="Q735" s="41">
        <f t="shared" si="46"/>
        <v>0</v>
      </c>
      <c r="R735" s="41">
        <f t="shared" si="47"/>
        <v>0</v>
      </c>
    </row>
    <row r="736" spans="10:18">
      <c r="J736" s="118">
        <v>43796</v>
      </c>
      <c r="K736" s="116">
        <v>60.538551022116003</v>
      </c>
      <c r="L736" s="116">
        <v>52.164000000000001</v>
      </c>
      <c r="M736" s="117">
        <v>-8.3745510221160018</v>
      </c>
      <c r="O736" s="39">
        <f t="shared" si="48"/>
        <v>44088</v>
      </c>
      <c r="P736" s="41">
        <f t="shared" si="45"/>
        <v>0</v>
      </c>
      <c r="Q736" s="41">
        <f t="shared" si="46"/>
        <v>0</v>
      </c>
      <c r="R736" s="41">
        <f t="shared" si="47"/>
        <v>0</v>
      </c>
    </row>
    <row r="737" spans="10:18">
      <c r="J737" s="118">
        <v>43795</v>
      </c>
      <c r="K737" s="116">
        <v>60.538551022116003</v>
      </c>
      <c r="L737" s="116">
        <v>52.390799999999999</v>
      </c>
      <c r="M737" s="117">
        <v>-8.1477510221160045</v>
      </c>
      <c r="O737" s="39">
        <f t="shared" si="48"/>
        <v>44087</v>
      </c>
      <c r="P737" s="41">
        <f t="shared" si="45"/>
        <v>0</v>
      </c>
      <c r="Q737" s="41">
        <f t="shared" si="46"/>
        <v>0</v>
      </c>
      <c r="R737" s="41">
        <f t="shared" si="47"/>
        <v>0</v>
      </c>
    </row>
    <row r="738" spans="10:18">
      <c r="J738" s="118">
        <v>43794</v>
      </c>
      <c r="K738" s="116">
        <v>60.538551022116003</v>
      </c>
      <c r="L738" s="116">
        <v>52.971408000000004</v>
      </c>
      <c r="M738" s="117">
        <v>-7.5671430221159994</v>
      </c>
      <c r="O738" s="39">
        <f t="shared" si="48"/>
        <v>44086</v>
      </c>
      <c r="P738" s="41">
        <f t="shared" si="45"/>
        <v>0</v>
      </c>
      <c r="Q738" s="41">
        <f t="shared" si="46"/>
        <v>0</v>
      </c>
      <c r="R738" s="41">
        <f t="shared" si="47"/>
        <v>0</v>
      </c>
    </row>
    <row r="739" spans="10:18">
      <c r="J739" s="118">
        <v>43791</v>
      </c>
      <c r="K739" s="116">
        <v>60.538551022116003</v>
      </c>
      <c r="L739" s="116">
        <v>52.263792000000002</v>
      </c>
      <c r="M739" s="117">
        <v>-8.274759022116001</v>
      </c>
      <c r="O739" s="39">
        <f t="shared" si="48"/>
        <v>44085</v>
      </c>
      <c r="P739" s="41">
        <f t="shared" si="45"/>
        <v>0</v>
      </c>
      <c r="Q739" s="41">
        <f t="shared" si="46"/>
        <v>0</v>
      </c>
      <c r="R739" s="41">
        <f t="shared" si="47"/>
        <v>0</v>
      </c>
    </row>
    <row r="740" spans="10:18">
      <c r="J740" s="118">
        <v>43790</v>
      </c>
      <c r="K740" s="116">
        <v>61.89877146149464</v>
      </c>
      <c r="L740" s="116">
        <v>50.195375999999996</v>
      </c>
      <c r="M740" s="117">
        <v>-11.703395461494644</v>
      </c>
      <c r="O740" s="39">
        <f t="shared" si="48"/>
        <v>44084</v>
      </c>
      <c r="P740" s="41">
        <f t="shared" si="45"/>
        <v>0</v>
      </c>
      <c r="Q740" s="41">
        <f t="shared" si="46"/>
        <v>0</v>
      </c>
      <c r="R740" s="41">
        <f t="shared" si="47"/>
        <v>0</v>
      </c>
    </row>
    <row r="741" spans="10:18">
      <c r="J741" s="118">
        <v>43789</v>
      </c>
      <c r="K741" s="116">
        <v>61.89877146149464</v>
      </c>
      <c r="L741" s="116">
        <v>50.721551999999996</v>
      </c>
      <c r="M741" s="117">
        <v>-11.177219461494644</v>
      </c>
      <c r="O741" s="39">
        <f t="shared" si="48"/>
        <v>44083</v>
      </c>
      <c r="P741" s="41">
        <f t="shared" si="45"/>
        <v>0</v>
      </c>
      <c r="Q741" s="41">
        <f t="shared" si="46"/>
        <v>0</v>
      </c>
      <c r="R741" s="41">
        <f t="shared" si="47"/>
        <v>0</v>
      </c>
    </row>
    <row r="742" spans="10:18">
      <c r="J742" s="118">
        <v>43788</v>
      </c>
      <c r="K742" s="116">
        <v>61.89877146149464</v>
      </c>
      <c r="L742" s="116">
        <v>49.977648000000002</v>
      </c>
      <c r="M742" s="117">
        <v>-11.921123461494638</v>
      </c>
      <c r="O742" s="39">
        <f t="shared" si="48"/>
        <v>44082</v>
      </c>
      <c r="P742" s="41">
        <f t="shared" si="45"/>
        <v>0</v>
      </c>
      <c r="Q742" s="41">
        <f t="shared" si="46"/>
        <v>0</v>
      </c>
      <c r="R742" s="41">
        <f t="shared" si="47"/>
        <v>0</v>
      </c>
    </row>
    <row r="743" spans="10:18">
      <c r="J743" s="118">
        <v>43787</v>
      </c>
      <c r="K743" s="116">
        <v>61.89877146149464</v>
      </c>
      <c r="L743" s="116">
        <v>50.095584000000002</v>
      </c>
      <c r="M743" s="117">
        <v>-11.803187461494637</v>
      </c>
      <c r="O743" s="39">
        <f t="shared" si="48"/>
        <v>44081</v>
      </c>
      <c r="P743" s="41">
        <f t="shared" si="45"/>
        <v>0</v>
      </c>
      <c r="Q743" s="41">
        <f t="shared" si="46"/>
        <v>0</v>
      </c>
      <c r="R743" s="41">
        <f t="shared" si="47"/>
        <v>0</v>
      </c>
    </row>
    <row r="744" spans="10:18">
      <c r="J744" s="118">
        <v>43784</v>
      </c>
      <c r="K744" s="116">
        <v>61.89877146149464</v>
      </c>
      <c r="L744" s="116">
        <v>50.394959999999998</v>
      </c>
      <c r="M744" s="117">
        <v>-11.503811461494642</v>
      </c>
      <c r="O744" s="39">
        <f t="shared" si="48"/>
        <v>44080</v>
      </c>
      <c r="P744" s="41">
        <f t="shared" si="45"/>
        <v>0</v>
      </c>
      <c r="Q744" s="41">
        <f t="shared" si="46"/>
        <v>0</v>
      </c>
      <c r="R744" s="41">
        <f t="shared" si="47"/>
        <v>0</v>
      </c>
    </row>
    <row r="745" spans="10:18">
      <c r="J745" s="118">
        <v>43783</v>
      </c>
      <c r="K745" s="116">
        <v>62.021271397150478</v>
      </c>
      <c r="L745" s="116">
        <v>50.993712000000002</v>
      </c>
      <c r="M745" s="117">
        <v>-11.027559397150476</v>
      </c>
      <c r="O745" s="39">
        <f t="shared" si="48"/>
        <v>44079</v>
      </c>
      <c r="P745" s="41">
        <f t="shared" si="45"/>
        <v>0</v>
      </c>
      <c r="Q745" s="41">
        <f t="shared" si="46"/>
        <v>0</v>
      </c>
      <c r="R745" s="41">
        <f t="shared" si="47"/>
        <v>0</v>
      </c>
    </row>
    <row r="746" spans="10:18">
      <c r="J746" s="118">
        <v>43782</v>
      </c>
      <c r="K746" s="116">
        <v>62.021271397150478</v>
      </c>
      <c r="L746" s="116">
        <v>49.578479999999999</v>
      </c>
      <c r="M746" s="117">
        <v>-12.442791397150479</v>
      </c>
      <c r="O746" s="39">
        <f t="shared" si="48"/>
        <v>44078</v>
      </c>
      <c r="P746" s="41">
        <f t="shared" si="45"/>
        <v>0</v>
      </c>
      <c r="Q746" s="41">
        <f t="shared" si="46"/>
        <v>0</v>
      </c>
      <c r="R746" s="41">
        <f t="shared" si="47"/>
        <v>0</v>
      </c>
    </row>
    <row r="747" spans="10:18">
      <c r="J747" s="118">
        <v>43781</v>
      </c>
      <c r="K747" s="116">
        <v>62.021271397150478</v>
      </c>
      <c r="L747" s="116">
        <v>48.108816000000004</v>
      </c>
      <c r="M747" s="117">
        <v>-13.912455397150474</v>
      </c>
      <c r="O747" s="39">
        <f t="shared" si="48"/>
        <v>44077</v>
      </c>
      <c r="P747" s="41">
        <f t="shared" si="45"/>
        <v>0</v>
      </c>
      <c r="Q747" s="41">
        <f t="shared" si="46"/>
        <v>0</v>
      </c>
      <c r="R747" s="41">
        <f t="shared" si="47"/>
        <v>0</v>
      </c>
    </row>
    <row r="748" spans="10:18">
      <c r="J748" s="118">
        <v>43780</v>
      </c>
      <c r="K748" s="116">
        <v>62.021271397150478</v>
      </c>
      <c r="L748" s="116">
        <v>49.651055999999997</v>
      </c>
      <c r="M748" s="117">
        <v>-12.370215397150481</v>
      </c>
      <c r="O748" s="39">
        <f t="shared" si="48"/>
        <v>44076</v>
      </c>
      <c r="P748" s="41">
        <f t="shared" si="45"/>
        <v>0</v>
      </c>
      <c r="Q748" s="41">
        <f t="shared" si="46"/>
        <v>0</v>
      </c>
      <c r="R748" s="41">
        <f t="shared" si="47"/>
        <v>0</v>
      </c>
    </row>
    <row r="749" spans="10:18">
      <c r="J749" s="118">
        <v>43777</v>
      </c>
      <c r="K749" s="116">
        <v>62.021271397150478</v>
      </c>
      <c r="L749" s="116">
        <v>50.748767999999998</v>
      </c>
      <c r="M749" s="117">
        <v>-11.27250339715048</v>
      </c>
      <c r="O749" s="39">
        <f t="shared" si="48"/>
        <v>44075</v>
      </c>
      <c r="P749" s="41">
        <f t="shared" si="45"/>
        <v>0</v>
      </c>
      <c r="Q749" s="41">
        <f t="shared" si="46"/>
        <v>0</v>
      </c>
      <c r="R749" s="41">
        <f t="shared" si="47"/>
        <v>0</v>
      </c>
    </row>
    <row r="750" spans="10:18">
      <c r="J750" s="118">
        <v>43776</v>
      </c>
      <c r="K750" s="116">
        <v>63.157222723559151</v>
      </c>
      <c r="L750" s="116">
        <v>50.349600000000002</v>
      </c>
      <c r="M750" s="117">
        <v>-12.807622723559149</v>
      </c>
      <c r="O750" s="39">
        <f t="shared" si="48"/>
        <v>44074</v>
      </c>
      <c r="P750" s="41">
        <f t="shared" si="45"/>
        <v>0</v>
      </c>
      <c r="Q750" s="41">
        <f t="shared" si="46"/>
        <v>0</v>
      </c>
      <c r="R750" s="41">
        <f t="shared" si="47"/>
        <v>0</v>
      </c>
    </row>
    <row r="751" spans="10:18">
      <c r="J751" s="118">
        <v>43775</v>
      </c>
      <c r="K751" s="116">
        <v>63.157222723559151</v>
      </c>
      <c r="L751" s="116">
        <v>51.737616000000003</v>
      </c>
      <c r="M751" s="117">
        <v>-11.419606723559149</v>
      </c>
      <c r="O751" s="39">
        <f t="shared" si="48"/>
        <v>44073</v>
      </c>
      <c r="P751" s="41">
        <f t="shared" si="45"/>
        <v>0</v>
      </c>
      <c r="Q751" s="41">
        <f t="shared" si="46"/>
        <v>0</v>
      </c>
      <c r="R751" s="41">
        <f t="shared" si="47"/>
        <v>0</v>
      </c>
    </row>
    <row r="752" spans="10:18">
      <c r="J752" s="118">
        <v>43774</v>
      </c>
      <c r="K752" s="116">
        <v>63.157222723559151</v>
      </c>
      <c r="L752" s="116">
        <v>51.265872000000002</v>
      </c>
      <c r="M752" s="117">
        <v>-11.89135072355915</v>
      </c>
      <c r="O752" s="39">
        <f t="shared" si="48"/>
        <v>44072</v>
      </c>
      <c r="P752" s="41">
        <f t="shared" si="45"/>
        <v>0</v>
      </c>
      <c r="Q752" s="41">
        <f t="shared" si="46"/>
        <v>0</v>
      </c>
      <c r="R752" s="41">
        <f t="shared" si="47"/>
        <v>0</v>
      </c>
    </row>
    <row r="753" spans="10:18">
      <c r="J753" s="118">
        <v>43773</v>
      </c>
      <c r="K753" s="116">
        <v>63.157222723559151</v>
      </c>
      <c r="L753" s="116">
        <v>51.601536000000003</v>
      </c>
      <c r="M753" s="117">
        <v>-11.555686723559148</v>
      </c>
      <c r="O753" s="39">
        <f t="shared" si="48"/>
        <v>44071</v>
      </c>
      <c r="P753" s="41">
        <f t="shared" si="45"/>
        <v>0</v>
      </c>
      <c r="Q753" s="41">
        <f t="shared" si="46"/>
        <v>0</v>
      </c>
      <c r="R753" s="41">
        <f t="shared" si="47"/>
        <v>0</v>
      </c>
    </row>
    <row r="754" spans="10:18">
      <c r="J754" s="118">
        <v>43770</v>
      </c>
      <c r="K754" s="116">
        <v>63.157222723559151</v>
      </c>
      <c r="L754" s="116">
        <v>51.420096000000001</v>
      </c>
      <c r="M754" s="117">
        <v>-11.73712672355915</v>
      </c>
      <c r="O754" s="39">
        <f t="shared" si="48"/>
        <v>44070</v>
      </c>
      <c r="P754" s="41">
        <f t="shared" si="45"/>
        <v>0</v>
      </c>
      <c r="Q754" s="41">
        <f t="shared" si="46"/>
        <v>0</v>
      </c>
      <c r="R754" s="41">
        <f t="shared" si="47"/>
        <v>0</v>
      </c>
    </row>
    <row r="755" spans="10:18">
      <c r="J755" s="118">
        <v>43769</v>
      </c>
      <c r="K755" s="116">
        <v>63.704389102821956</v>
      </c>
      <c r="L755" s="116">
        <v>49.741776000000002</v>
      </c>
      <c r="M755" s="117">
        <v>-13.962613102821955</v>
      </c>
      <c r="O755" s="39">
        <f t="shared" si="48"/>
        <v>44069</v>
      </c>
      <c r="P755" s="41">
        <f t="shared" si="45"/>
        <v>0</v>
      </c>
      <c r="Q755" s="41">
        <f t="shared" si="46"/>
        <v>0</v>
      </c>
      <c r="R755" s="41">
        <f t="shared" si="47"/>
        <v>0</v>
      </c>
    </row>
    <row r="756" spans="10:18">
      <c r="J756" s="118">
        <v>43768</v>
      </c>
      <c r="K756" s="116">
        <v>63.704389102821956</v>
      </c>
      <c r="L756" s="116">
        <v>51.665040000000005</v>
      </c>
      <c r="M756" s="117">
        <v>-12.039349102821951</v>
      </c>
      <c r="O756" s="39">
        <f t="shared" si="48"/>
        <v>44068</v>
      </c>
      <c r="P756" s="41">
        <f t="shared" si="45"/>
        <v>0</v>
      </c>
      <c r="Q756" s="41">
        <f t="shared" si="46"/>
        <v>0</v>
      </c>
      <c r="R756" s="41">
        <f t="shared" si="47"/>
        <v>0</v>
      </c>
    </row>
    <row r="757" spans="10:18">
      <c r="J757" s="118">
        <v>43767</v>
      </c>
      <c r="K757" s="116">
        <v>63.704389102821956</v>
      </c>
      <c r="L757" s="116">
        <v>50.966495999999999</v>
      </c>
      <c r="M757" s="117">
        <v>-12.737893102821957</v>
      </c>
      <c r="O757" s="39">
        <f t="shared" si="48"/>
        <v>44067</v>
      </c>
      <c r="P757" s="41">
        <f t="shared" si="45"/>
        <v>0</v>
      </c>
      <c r="Q757" s="41">
        <f t="shared" si="46"/>
        <v>0</v>
      </c>
      <c r="R757" s="41">
        <f t="shared" si="47"/>
        <v>0</v>
      </c>
    </row>
    <row r="758" spans="10:18">
      <c r="J758" s="118">
        <v>43766</v>
      </c>
      <c r="K758" s="116">
        <v>63.704389102821956</v>
      </c>
      <c r="L758" s="116">
        <v>50.948352</v>
      </c>
      <c r="M758" s="117">
        <v>-12.756037102821956</v>
      </c>
      <c r="O758" s="39">
        <f t="shared" si="48"/>
        <v>44066</v>
      </c>
      <c r="P758" s="41">
        <f t="shared" si="45"/>
        <v>0</v>
      </c>
      <c r="Q758" s="41">
        <f t="shared" si="46"/>
        <v>0</v>
      </c>
      <c r="R758" s="41">
        <f t="shared" si="47"/>
        <v>0</v>
      </c>
    </row>
    <row r="759" spans="10:18">
      <c r="J759" s="118">
        <v>43763</v>
      </c>
      <c r="K759" s="116">
        <v>63.704389102821956</v>
      </c>
      <c r="L759" s="116">
        <v>51.919055999999998</v>
      </c>
      <c r="M759" s="117">
        <v>-11.785333102821959</v>
      </c>
      <c r="O759" s="39">
        <f t="shared" si="48"/>
        <v>44065</v>
      </c>
      <c r="P759" s="41">
        <f t="shared" si="45"/>
        <v>0</v>
      </c>
      <c r="Q759" s="41">
        <f t="shared" si="46"/>
        <v>0</v>
      </c>
      <c r="R759" s="41">
        <f t="shared" si="47"/>
        <v>0</v>
      </c>
    </row>
    <row r="760" spans="10:18">
      <c r="J760" s="118">
        <v>43762</v>
      </c>
      <c r="K760" s="116">
        <v>63.076812509385064</v>
      </c>
      <c r="L760" s="116">
        <v>51.7104</v>
      </c>
      <c r="M760" s="117">
        <v>-11.366412509385064</v>
      </c>
      <c r="O760" s="39">
        <f t="shared" si="48"/>
        <v>44064</v>
      </c>
      <c r="P760" s="41">
        <f t="shared" si="45"/>
        <v>0</v>
      </c>
      <c r="Q760" s="41">
        <f t="shared" si="46"/>
        <v>0</v>
      </c>
      <c r="R760" s="41">
        <f t="shared" si="47"/>
        <v>0</v>
      </c>
    </row>
    <row r="761" spans="10:18">
      <c r="J761" s="118">
        <v>43761</v>
      </c>
      <c r="K761" s="116">
        <v>63.076812509385064</v>
      </c>
      <c r="L761" s="116">
        <v>51.919055999999998</v>
      </c>
      <c r="M761" s="117">
        <v>-11.157756509385067</v>
      </c>
      <c r="O761" s="39">
        <f t="shared" si="48"/>
        <v>44063</v>
      </c>
      <c r="P761" s="41">
        <f t="shared" si="45"/>
        <v>0</v>
      </c>
      <c r="Q761" s="41">
        <f t="shared" si="46"/>
        <v>0</v>
      </c>
      <c r="R761" s="41">
        <f t="shared" si="47"/>
        <v>0</v>
      </c>
    </row>
    <row r="762" spans="10:18">
      <c r="J762" s="118">
        <v>43760</v>
      </c>
      <c r="K762" s="116">
        <v>63.076812509385064</v>
      </c>
      <c r="L762" s="116">
        <v>52.989551999999996</v>
      </c>
      <c r="M762" s="117">
        <v>-10.087260509385068</v>
      </c>
      <c r="O762" s="39">
        <f t="shared" si="48"/>
        <v>44062</v>
      </c>
      <c r="P762" s="41">
        <f t="shared" si="45"/>
        <v>0</v>
      </c>
      <c r="Q762" s="41">
        <f t="shared" si="46"/>
        <v>0</v>
      </c>
      <c r="R762" s="41">
        <f t="shared" si="47"/>
        <v>0</v>
      </c>
    </row>
    <row r="763" spans="10:18">
      <c r="J763" s="118">
        <v>43759</v>
      </c>
      <c r="K763" s="116">
        <v>63.076812509385064</v>
      </c>
      <c r="L763" s="116">
        <v>54.658799999999999</v>
      </c>
      <c r="M763" s="117">
        <v>-8.4180125093850648</v>
      </c>
      <c r="O763" s="39">
        <f t="shared" si="48"/>
        <v>44061</v>
      </c>
      <c r="P763" s="41">
        <f t="shared" si="45"/>
        <v>0</v>
      </c>
      <c r="Q763" s="41">
        <f t="shared" si="46"/>
        <v>0</v>
      </c>
      <c r="R763" s="41">
        <f t="shared" si="47"/>
        <v>0</v>
      </c>
    </row>
    <row r="764" spans="10:18">
      <c r="J764" s="118">
        <v>43756</v>
      </c>
      <c r="K764" s="116">
        <v>63.076812509385064</v>
      </c>
      <c r="L764" s="116">
        <v>54.776736</v>
      </c>
      <c r="M764" s="117">
        <v>-8.3000765093850646</v>
      </c>
      <c r="O764" s="39">
        <f t="shared" si="48"/>
        <v>44060</v>
      </c>
      <c r="P764" s="41">
        <f t="shared" si="45"/>
        <v>0</v>
      </c>
      <c r="Q764" s="41">
        <f t="shared" si="46"/>
        <v>0</v>
      </c>
      <c r="R764" s="41">
        <f t="shared" si="47"/>
        <v>0</v>
      </c>
    </row>
    <row r="765" spans="10:18">
      <c r="J765" s="118">
        <v>43755</v>
      </c>
      <c r="K765" s="116">
        <v>63.125812483647394</v>
      </c>
      <c r="L765" s="116">
        <v>54.486432000000001</v>
      </c>
      <c r="M765" s="117">
        <v>-8.6393804836473933</v>
      </c>
      <c r="O765" s="39">
        <f t="shared" si="48"/>
        <v>44059</v>
      </c>
      <c r="P765" s="41">
        <f t="shared" si="45"/>
        <v>0</v>
      </c>
      <c r="Q765" s="41">
        <f t="shared" si="46"/>
        <v>0</v>
      </c>
      <c r="R765" s="41">
        <f t="shared" si="47"/>
        <v>0</v>
      </c>
    </row>
    <row r="766" spans="10:18">
      <c r="J766" s="118">
        <v>43754</v>
      </c>
      <c r="K766" s="116">
        <v>63.125812483647394</v>
      </c>
      <c r="L766" s="116">
        <v>54.695087999999998</v>
      </c>
      <c r="M766" s="117">
        <v>-8.4307244836473956</v>
      </c>
      <c r="O766" s="39">
        <f t="shared" si="48"/>
        <v>44058</v>
      </c>
      <c r="P766" s="41">
        <f t="shared" si="45"/>
        <v>0</v>
      </c>
      <c r="Q766" s="41">
        <f t="shared" si="46"/>
        <v>0</v>
      </c>
      <c r="R766" s="41">
        <f t="shared" si="47"/>
        <v>0</v>
      </c>
    </row>
    <row r="767" spans="10:18">
      <c r="J767" s="118">
        <v>43753</v>
      </c>
      <c r="K767" s="116">
        <v>63.125812483647394</v>
      </c>
      <c r="L767" s="116">
        <v>55.538784</v>
      </c>
      <c r="M767" s="117">
        <v>-7.5870284836473942</v>
      </c>
      <c r="O767" s="39">
        <f t="shared" si="48"/>
        <v>44057</v>
      </c>
      <c r="P767" s="41">
        <f t="shared" si="45"/>
        <v>0</v>
      </c>
      <c r="Q767" s="41">
        <f t="shared" si="46"/>
        <v>0</v>
      </c>
      <c r="R767" s="41">
        <f t="shared" si="47"/>
        <v>0</v>
      </c>
    </row>
    <row r="768" spans="10:18">
      <c r="J768" s="118">
        <v>43752</v>
      </c>
      <c r="K768" s="116">
        <v>63.125812483647394</v>
      </c>
      <c r="L768" s="116">
        <v>54.695087999999998</v>
      </c>
      <c r="M768" s="117">
        <v>-8.4307244836473956</v>
      </c>
      <c r="O768" s="39">
        <f t="shared" si="48"/>
        <v>44056</v>
      </c>
      <c r="P768" s="41">
        <f t="shared" si="45"/>
        <v>0</v>
      </c>
      <c r="Q768" s="41">
        <f t="shared" si="46"/>
        <v>0</v>
      </c>
      <c r="R768" s="41">
        <f t="shared" si="47"/>
        <v>0</v>
      </c>
    </row>
    <row r="769" spans="10:18">
      <c r="J769" s="118">
        <v>43749</v>
      </c>
      <c r="K769" s="116">
        <v>63.125812483647394</v>
      </c>
      <c r="L769" s="116">
        <v>55.266624</v>
      </c>
      <c r="M769" s="117">
        <v>-7.8591884836473938</v>
      </c>
      <c r="O769" s="39">
        <f t="shared" si="48"/>
        <v>44055</v>
      </c>
      <c r="P769" s="41">
        <f t="shared" si="45"/>
        <v>0</v>
      </c>
      <c r="Q769" s="41">
        <f t="shared" si="46"/>
        <v>0</v>
      </c>
      <c r="R769" s="41">
        <f t="shared" si="47"/>
        <v>0</v>
      </c>
    </row>
    <row r="770" spans="10:18">
      <c r="J770" s="118">
        <v>43748</v>
      </c>
      <c r="K770" s="116">
        <v>63.236376528136773</v>
      </c>
      <c r="L770" s="116">
        <v>55.566000000000003</v>
      </c>
      <c r="M770" s="117">
        <v>-7.6703765281367708</v>
      </c>
      <c r="O770" s="39">
        <f t="shared" si="48"/>
        <v>44054</v>
      </c>
      <c r="P770" s="41">
        <f t="shared" si="45"/>
        <v>0</v>
      </c>
      <c r="Q770" s="41">
        <f t="shared" si="46"/>
        <v>0</v>
      </c>
      <c r="R770" s="41">
        <f t="shared" si="47"/>
        <v>0</v>
      </c>
    </row>
    <row r="771" spans="10:18">
      <c r="J771" s="118">
        <v>43747</v>
      </c>
      <c r="K771" s="116">
        <v>63.236376528136773</v>
      </c>
      <c r="L771" s="116">
        <v>55.874448000000001</v>
      </c>
      <c r="M771" s="117">
        <v>-7.3619285281367723</v>
      </c>
      <c r="O771" s="39">
        <f t="shared" si="48"/>
        <v>44053</v>
      </c>
      <c r="P771" s="41">
        <f t="shared" si="45"/>
        <v>0</v>
      </c>
      <c r="Q771" s="41">
        <f t="shared" si="46"/>
        <v>0</v>
      </c>
      <c r="R771" s="41">
        <f t="shared" si="47"/>
        <v>0</v>
      </c>
    </row>
    <row r="772" spans="10:18">
      <c r="J772" s="118">
        <v>43746</v>
      </c>
      <c r="K772" s="116">
        <v>63.236376528136773</v>
      </c>
      <c r="L772" s="116">
        <v>55.502496000000001</v>
      </c>
      <c r="M772" s="117">
        <v>-7.7338805281367726</v>
      </c>
      <c r="O772" s="39">
        <f t="shared" si="48"/>
        <v>44052</v>
      </c>
      <c r="P772" s="41">
        <f t="shared" si="45"/>
        <v>0</v>
      </c>
      <c r="Q772" s="41">
        <f t="shared" si="46"/>
        <v>0</v>
      </c>
      <c r="R772" s="41">
        <f t="shared" si="47"/>
        <v>0</v>
      </c>
    </row>
    <row r="773" spans="10:18">
      <c r="J773" s="118">
        <v>43745</v>
      </c>
      <c r="K773" s="116">
        <v>63.236376528136773</v>
      </c>
      <c r="L773" s="116">
        <v>54.205199999999998</v>
      </c>
      <c r="M773" s="117">
        <v>-9.0311765281367755</v>
      </c>
      <c r="O773" s="39">
        <f t="shared" si="48"/>
        <v>44051</v>
      </c>
      <c r="P773" s="41">
        <f t="shared" si="45"/>
        <v>0</v>
      </c>
      <c r="Q773" s="41">
        <f t="shared" si="46"/>
        <v>0</v>
      </c>
      <c r="R773" s="41">
        <f t="shared" si="47"/>
        <v>0</v>
      </c>
    </row>
    <row r="774" spans="10:18">
      <c r="J774" s="118">
        <v>43742</v>
      </c>
      <c r="K774" s="116">
        <v>63.236376528136773</v>
      </c>
      <c r="L774" s="116">
        <v>54.159840000000003</v>
      </c>
      <c r="M774" s="117">
        <v>-9.0765365281367707</v>
      </c>
      <c r="O774" s="39">
        <f t="shared" si="48"/>
        <v>44050</v>
      </c>
      <c r="P774" s="41">
        <f t="shared" ref="P774:P779" si="49">IFERROR(VLOOKUP($O774,$J$5:$M$403,2,FALSE),P775)</f>
        <v>0</v>
      </c>
      <c r="Q774" s="41">
        <f t="shared" ref="Q774:Q779" si="50">IFERROR(VLOOKUP($O774,$J$5:$M$403,3,FALSE),Q775)</f>
        <v>0</v>
      </c>
      <c r="R774" s="41">
        <f t="shared" ref="R774:R779" si="51">IFERROR(VLOOKUP($O774,$J$5:$M$403,4,FALSE),R775)</f>
        <v>0</v>
      </c>
    </row>
    <row r="775" spans="10:18">
      <c r="J775" s="118">
        <v>43741</v>
      </c>
      <c r="K775" s="116">
        <v>64.68658730486257</v>
      </c>
      <c r="L775" s="116">
        <v>54.38664</v>
      </c>
      <c r="M775" s="117">
        <v>-10.29994730486257</v>
      </c>
      <c r="O775" s="39">
        <f t="shared" ref="O775:O779" si="52">O774-1</f>
        <v>44049</v>
      </c>
      <c r="P775" s="41">
        <f t="shared" si="49"/>
        <v>0</v>
      </c>
      <c r="Q775" s="41">
        <f t="shared" si="50"/>
        <v>0</v>
      </c>
      <c r="R775" s="41">
        <f t="shared" si="51"/>
        <v>0</v>
      </c>
    </row>
    <row r="776" spans="10:18">
      <c r="J776" s="118">
        <v>43740</v>
      </c>
      <c r="K776" s="116">
        <v>64.68658730486257</v>
      </c>
      <c r="L776" s="116">
        <v>54.286848000000006</v>
      </c>
      <c r="M776" s="117">
        <v>-10.399739304862564</v>
      </c>
      <c r="O776" s="39">
        <f t="shared" si="52"/>
        <v>44048</v>
      </c>
      <c r="P776" s="41">
        <f t="shared" si="49"/>
        <v>0</v>
      </c>
      <c r="Q776" s="41">
        <f t="shared" si="50"/>
        <v>0</v>
      </c>
      <c r="R776" s="41">
        <f t="shared" si="51"/>
        <v>0</v>
      </c>
    </row>
    <row r="777" spans="10:18">
      <c r="J777" s="118">
        <v>43739</v>
      </c>
      <c r="K777" s="116">
        <v>64.68658730486257</v>
      </c>
      <c r="L777" s="116">
        <v>54.341279999999998</v>
      </c>
      <c r="M777" s="117">
        <v>-10.345307304862573</v>
      </c>
      <c r="O777" s="39">
        <f t="shared" si="52"/>
        <v>44047</v>
      </c>
      <c r="P777" s="41">
        <f t="shared" si="49"/>
        <v>0</v>
      </c>
      <c r="Q777" s="41">
        <f t="shared" si="50"/>
        <v>0</v>
      </c>
      <c r="R777" s="41">
        <f t="shared" si="51"/>
        <v>0</v>
      </c>
    </row>
    <row r="778" spans="10:18">
      <c r="J778" s="118">
        <v>43738</v>
      </c>
      <c r="K778" s="116">
        <v>64.68658730486257</v>
      </c>
      <c r="L778" s="116">
        <v>54.25056</v>
      </c>
      <c r="M778" s="117">
        <v>-10.43602730486257</v>
      </c>
      <c r="O778" s="39">
        <f t="shared" si="52"/>
        <v>44046</v>
      </c>
      <c r="P778" s="41">
        <f t="shared" si="49"/>
        <v>0</v>
      </c>
      <c r="Q778" s="41">
        <f t="shared" si="50"/>
        <v>0</v>
      </c>
      <c r="R778" s="41">
        <f t="shared" si="51"/>
        <v>0</v>
      </c>
    </row>
    <row r="779" spans="10:18">
      <c r="J779" s="118">
        <v>43735</v>
      </c>
      <c r="K779" s="116">
        <v>64.68658730486257</v>
      </c>
      <c r="L779" s="116">
        <v>53.062128000000001</v>
      </c>
      <c r="M779" s="117">
        <v>-11.624459304862569</v>
      </c>
      <c r="O779" s="39">
        <f t="shared" si="52"/>
        <v>44045</v>
      </c>
      <c r="P779" s="41">
        <f t="shared" si="49"/>
        <v>0</v>
      </c>
      <c r="Q779" s="41">
        <f t="shared" si="50"/>
        <v>0</v>
      </c>
      <c r="R779" s="41">
        <f t="shared" si="51"/>
        <v>0</v>
      </c>
    </row>
    <row r="780" spans="10:18">
      <c r="J780" s="118">
        <v>43734</v>
      </c>
      <c r="K780" s="116">
        <v>68.249293766853569</v>
      </c>
      <c r="L780" s="116">
        <v>52.935120000000005</v>
      </c>
      <c r="M780" s="117">
        <v>-15.314173766853564</v>
      </c>
      <c r="O780"/>
      <c r="P780" s="89"/>
      <c r="Q780" s="89"/>
      <c r="R780" s="89"/>
    </row>
    <row r="781" spans="10:18">
      <c r="J781" s="118">
        <v>43733</v>
      </c>
      <c r="K781" s="116">
        <v>68.249293766853569</v>
      </c>
      <c r="L781" s="116">
        <v>53.007696000000003</v>
      </c>
      <c r="M781" s="117">
        <v>-15.241597766853566</v>
      </c>
      <c r="O781"/>
      <c r="P781" s="89"/>
      <c r="Q781" s="89"/>
      <c r="R781" s="89"/>
    </row>
    <row r="782" spans="10:18">
      <c r="J782" s="118">
        <v>43732</v>
      </c>
      <c r="K782" s="116">
        <v>68.249293766853569</v>
      </c>
      <c r="L782" s="116">
        <v>54.686016000000002</v>
      </c>
      <c r="M782" s="117">
        <v>-13.563277766853567</v>
      </c>
      <c r="O782"/>
      <c r="P782" s="89"/>
      <c r="Q782" s="89"/>
      <c r="R782" s="89"/>
    </row>
    <row r="783" spans="10:18">
      <c r="J783" s="118">
        <v>43731</v>
      </c>
      <c r="K783" s="116">
        <v>68.249293766853569</v>
      </c>
      <c r="L783" s="116">
        <v>56.083103999999999</v>
      </c>
      <c r="M783" s="117">
        <v>-12.16618976685357</v>
      </c>
      <c r="O783"/>
      <c r="P783" s="89"/>
      <c r="Q783" s="89"/>
      <c r="R783" s="89"/>
    </row>
    <row r="784" spans="10:18">
      <c r="J784" s="118">
        <v>43728</v>
      </c>
      <c r="K784" s="116">
        <v>68.249293766853569</v>
      </c>
      <c r="L784" s="116">
        <v>56.509487999999997</v>
      </c>
      <c r="M784" s="117">
        <v>-11.739805766853571</v>
      </c>
      <c r="O784"/>
      <c r="P784" s="89"/>
      <c r="Q784" s="89"/>
      <c r="R784" s="89"/>
    </row>
    <row r="785" spans="10:13">
      <c r="J785" s="118">
        <v>43727</v>
      </c>
      <c r="K785" s="116">
        <v>67.931422138946587</v>
      </c>
      <c r="L785" s="116">
        <v>56.609279999999998</v>
      </c>
      <c r="M785" s="117">
        <v>-11.322142138946589</v>
      </c>
    </row>
    <row r="786" spans="10:13">
      <c r="J786" s="118">
        <v>43726</v>
      </c>
      <c r="K786" s="116">
        <v>67.931422138946587</v>
      </c>
      <c r="L786" s="116">
        <v>56.382480000000001</v>
      </c>
      <c r="M786" s="117">
        <v>-11.548942138946586</v>
      </c>
    </row>
    <row r="787" spans="10:13">
      <c r="J787" s="118">
        <v>43725</v>
      </c>
      <c r="K787" s="116">
        <v>67.931422138946587</v>
      </c>
      <c r="L787" s="116">
        <v>57.616272000000002</v>
      </c>
      <c r="M787" s="117">
        <v>-10.315150138946585</v>
      </c>
    </row>
    <row r="788" spans="10:13">
      <c r="J788" s="118">
        <v>43724</v>
      </c>
      <c r="K788" s="116">
        <v>67.931422138946587</v>
      </c>
      <c r="L788" s="116">
        <v>58.142448000000002</v>
      </c>
      <c r="M788" s="117">
        <v>-9.7889741389465854</v>
      </c>
    </row>
    <row r="789" spans="10:13">
      <c r="J789" s="118">
        <v>43721</v>
      </c>
      <c r="K789" s="116">
        <v>67.931422138946587</v>
      </c>
      <c r="L789" s="116">
        <v>57.090096000000003</v>
      </c>
      <c r="M789" s="117">
        <v>-10.841326138946584</v>
      </c>
    </row>
    <row r="790" spans="10:13">
      <c r="J790" s="118">
        <v>43720</v>
      </c>
      <c r="K790" s="116">
        <v>67.968957375641153</v>
      </c>
      <c r="L790" s="116">
        <v>57.226176000000002</v>
      </c>
      <c r="M790" s="117">
        <v>-10.742781375641151</v>
      </c>
    </row>
    <row r="791" spans="10:13">
      <c r="J791" s="118">
        <v>43719</v>
      </c>
      <c r="K791" s="116">
        <v>67.968957375641153</v>
      </c>
      <c r="L791" s="116">
        <v>57.398544000000001</v>
      </c>
      <c r="M791" s="117">
        <v>-10.570413375641152</v>
      </c>
    </row>
    <row r="792" spans="10:13">
      <c r="J792" s="118">
        <v>43718</v>
      </c>
      <c r="K792" s="116">
        <v>67.968957375641153</v>
      </c>
      <c r="L792" s="116">
        <v>56.382480000000001</v>
      </c>
      <c r="M792" s="117">
        <v>-11.586477375641152</v>
      </c>
    </row>
    <row r="793" spans="10:13">
      <c r="J793" s="118">
        <v>43717</v>
      </c>
      <c r="K793" s="116">
        <v>67.968957375641153</v>
      </c>
      <c r="L793" s="116">
        <v>53.869536000000004</v>
      </c>
      <c r="M793" s="117">
        <v>-14.09942137564115</v>
      </c>
    </row>
    <row r="794" spans="10:13">
      <c r="J794" s="118">
        <v>43714</v>
      </c>
      <c r="K794" s="116">
        <v>67.968957375641153</v>
      </c>
      <c r="L794" s="116">
        <v>52.617600000000003</v>
      </c>
      <c r="M794" s="117">
        <v>-15.35135737564115</v>
      </c>
    </row>
    <row r="795" spans="10:13">
      <c r="J795" s="118">
        <v>43713</v>
      </c>
      <c r="K795" s="116">
        <v>67.710294049967828</v>
      </c>
      <c r="L795" s="116">
        <v>51.157007999999998</v>
      </c>
      <c r="M795" s="117">
        <v>-16.553286049967831</v>
      </c>
    </row>
    <row r="796" spans="10:13">
      <c r="J796" s="118">
        <v>43712</v>
      </c>
      <c r="K796" s="116">
        <v>67.710294049967828</v>
      </c>
      <c r="L796" s="116">
        <v>52.245648000000003</v>
      </c>
      <c r="M796" s="117">
        <v>-15.464646049967826</v>
      </c>
    </row>
    <row r="797" spans="10:13">
      <c r="J797" s="118">
        <v>43711</v>
      </c>
      <c r="K797" s="116">
        <v>67.710294049967828</v>
      </c>
      <c r="L797" s="116">
        <v>51.465455999999996</v>
      </c>
      <c r="M797" s="117">
        <v>-16.244838049967832</v>
      </c>
    </row>
    <row r="798" spans="10:13">
      <c r="J798" s="118">
        <v>43710</v>
      </c>
      <c r="K798" s="116">
        <v>67.710294049967828</v>
      </c>
      <c r="L798" s="116">
        <v>49.995792000000002</v>
      </c>
      <c r="M798" s="117">
        <v>-17.714502049967827</v>
      </c>
    </row>
    <row r="799" spans="10:13">
      <c r="J799" s="118">
        <v>43707</v>
      </c>
      <c r="K799" s="116">
        <v>63.209238080853027</v>
      </c>
      <c r="L799" s="116">
        <v>44.752175999999999</v>
      </c>
      <c r="M799" s="117">
        <v>-18.457062080853028</v>
      </c>
    </row>
    <row r="800" spans="10:13">
      <c r="J800" s="118">
        <v>43706</v>
      </c>
      <c r="K800" s="116">
        <v>61.165373769795018</v>
      </c>
      <c r="L800" s="116">
        <v>43.727040000000002</v>
      </c>
      <c r="M800" s="117">
        <v>-17.438333769795015</v>
      </c>
    </row>
    <row r="801" spans="10:13">
      <c r="J801" s="118">
        <v>43705</v>
      </c>
      <c r="K801" s="116">
        <v>61.165373769795018</v>
      </c>
      <c r="L801" s="116">
        <v>43.899408000000001</v>
      </c>
      <c r="M801" s="117">
        <v>-17.265965769795017</v>
      </c>
    </row>
    <row r="802" spans="10:13">
      <c r="J802" s="118">
        <v>43704</v>
      </c>
      <c r="K802" s="116">
        <v>61.165373769795018</v>
      </c>
      <c r="L802" s="116">
        <v>44.470944000000003</v>
      </c>
      <c r="M802" s="117">
        <v>-16.694429769795015</v>
      </c>
    </row>
    <row r="803" spans="10:13">
      <c r="J803" s="118">
        <v>43703</v>
      </c>
      <c r="K803" s="116">
        <v>61.165373769795018</v>
      </c>
      <c r="L803" s="116">
        <v>47.219760000000001</v>
      </c>
      <c r="M803" s="117">
        <v>-13.945613769795017</v>
      </c>
    </row>
    <row r="804" spans="10:13">
      <c r="J804" s="118">
        <v>43700</v>
      </c>
      <c r="K804" s="116">
        <v>61.165373769795018</v>
      </c>
      <c r="L804" s="116">
        <v>47.219760000000001</v>
      </c>
      <c r="M804" s="117">
        <v>-13.945613769795017</v>
      </c>
    </row>
    <row r="805" spans="10:13">
      <c r="J805" s="118">
        <v>43699</v>
      </c>
      <c r="K805" s="116">
        <v>61.500206927254354</v>
      </c>
      <c r="L805" s="116">
        <v>47.609856000000001</v>
      </c>
      <c r="M805" s="117">
        <v>-13.890350927254353</v>
      </c>
    </row>
    <row r="806" spans="10:13">
      <c r="J806" s="118">
        <v>43698</v>
      </c>
      <c r="K806" s="116">
        <v>61.500206927254354</v>
      </c>
      <c r="L806" s="116">
        <v>48.535200000000003</v>
      </c>
      <c r="M806" s="117">
        <v>-12.96500692725435</v>
      </c>
    </row>
    <row r="807" spans="10:13">
      <c r="J807" s="118">
        <v>43697</v>
      </c>
      <c r="K807" s="116">
        <v>61.500206927254354</v>
      </c>
      <c r="L807" s="116">
        <v>49.288176</v>
      </c>
      <c r="M807" s="117">
        <v>-12.212030927254354</v>
      </c>
    </row>
    <row r="808" spans="10:13">
      <c r="J808" s="118">
        <v>43696</v>
      </c>
      <c r="K808" s="116">
        <v>61.500206927254354</v>
      </c>
      <c r="L808" s="116">
        <v>50.249808000000002</v>
      </c>
      <c r="M808" s="117">
        <v>-11.250398927254352</v>
      </c>
    </row>
    <row r="809" spans="10:13">
      <c r="J809" s="118">
        <v>43693</v>
      </c>
      <c r="K809" s="116">
        <v>61.500206927254354</v>
      </c>
      <c r="L809" s="116">
        <v>49.914144</v>
      </c>
      <c r="M809" s="117">
        <v>-11.586062927254353</v>
      </c>
    </row>
    <row r="810" spans="10:13">
      <c r="J810" s="88"/>
      <c r="K810" s="87"/>
      <c r="L810" s="87"/>
      <c r="M810" s="87"/>
    </row>
    <row r="811" spans="10:13">
      <c r="J811" s="88"/>
      <c r="K811" s="87"/>
      <c r="L811" s="87"/>
      <c r="M811" s="87"/>
    </row>
    <row r="812" spans="10:13">
      <c r="J812" s="88"/>
      <c r="K812" s="87"/>
      <c r="L812" s="87"/>
      <c r="M812" s="87"/>
    </row>
    <row r="813" spans="10:13">
      <c r="J813" s="88"/>
      <c r="K813" s="87"/>
      <c r="L813" s="87"/>
      <c r="M813" s="87"/>
    </row>
    <row r="814" spans="10:13">
      <c r="J814" s="88"/>
      <c r="K814" s="87"/>
      <c r="L814" s="87"/>
      <c r="M814" s="87"/>
    </row>
    <row r="815" spans="10:13">
      <c r="J815" s="46"/>
    </row>
    <row r="816" spans="10:13">
      <c r="J816" s="46"/>
    </row>
    <row r="817" spans="10:10">
      <c r="J817" s="46"/>
    </row>
    <row r="818" spans="10:10">
      <c r="J818" s="46"/>
    </row>
    <row r="819" spans="10:10">
      <c r="J819" s="46"/>
    </row>
  </sheetData>
  <mergeCells count="8">
    <mergeCell ref="F20:G22"/>
    <mergeCell ref="C10:E10"/>
    <mergeCell ref="G10:H10"/>
    <mergeCell ref="B4:B5"/>
    <mergeCell ref="C4:E4"/>
    <mergeCell ref="G4:H5"/>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305154"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305155"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305156"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305159" r:id="rId8" name="Button 7">
              <controlPr defaultSize="0" print="0" autoFill="0" autoPict="0" macro="[0]!get_EXNAPP">
                <anchor moveWithCells="1" sizeWithCells="1">
                  <from>
                    <xdr:col>5</xdr:col>
                    <xdr:colOff>0</xdr:colOff>
                    <xdr:row>14</xdr:row>
                    <xdr:rowOff>121920</xdr:rowOff>
                  </from>
                  <to>
                    <xdr:col>7</xdr:col>
                    <xdr:colOff>0</xdr:colOff>
                    <xdr:row>17</xdr:row>
                    <xdr:rowOff>0</xdr:rowOff>
                  </to>
                </anchor>
              </controlPr>
            </control>
          </mc:Choice>
        </mc:AlternateContent>
        <mc:AlternateContent xmlns:mc="http://schemas.openxmlformats.org/markup-compatibility/2006">
          <mc:Choice Requires="x14">
            <control shapeId="305160" r:id="rId9" name="Button 8">
              <controlPr defaultSize="0" print="0" autoFill="0" autoPict="0" macro="[0]!nextpage4">
                <anchor moveWithCells="1" sizeWithCells="1">
                  <from>
                    <xdr:col>5</xdr:col>
                    <xdr:colOff>0</xdr:colOff>
                    <xdr:row>23</xdr:row>
                    <xdr:rowOff>106680</xdr:rowOff>
                  </from>
                  <to>
                    <xdr:col>7</xdr:col>
                    <xdr:colOff>0</xdr:colOff>
                    <xdr:row>26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2">
    <tabColor theme="3" tint="0.39997558519241921"/>
  </sheetPr>
  <dimension ref="A1:U846"/>
  <sheetViews>
    <sheetView showGridLines="0" zoomScaleNormal="100" workbookViewId="0">
      <selection activeCell="J5" sqref="J5:O500"/>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9" style="2" customWidth="1"/>
    <col min="8" max="8" width="25.59765625" style="2" customWidth="1"/>
    <col min="9" max="9" width="10.09765625" style="2" customWidth="1"/>
    <col min="10" max="10" width="16.09765625" style="2" customWidth="1"/>
    <col min="11" max="15" width="9" style="2"/>
    <col min="16" max="16" width="9.8984375" style="2" bestFit="1" customWidth="1"/>
    <col min="17" max="16384" width="9" style="2"/>
  </cols>
  <sheetData>
    <row r="1" spans="1:21">
      <c r="A1" t="s">
        <v>2</v>
      </c>
    </row>
    <row r="3" spans="1:21" ht="14.4" thickBot="1">
      <c r="B3" s="5" t="s">
        <v>22</v>
      </c>
      <c r="C3" s="5" t="s">
        <v>23</v>
      </c>
      <c r="G3" s="5" t="s">
        <v>21</v>
      </c>
      <c r="J3" s="24" t="s">
        <v>14</v>
      </c>
      <c r="L3" s="3"/>
      <c r="M3" s="4"/>
    </row>
    <row r="4" spans="1:21" ht="31.2" thickBot="1">
      <c r="B4" s="130" t="s">
        <v>24</v>
      </c>
      <c r="C4" s="127" t="s">
        <v>52</v>
      </c>
      <c r="D4" s="128"/>
      <c r="E4" s="129"/>
      <c r="G4" s="136"/>
      <c r="H4" s="137"/>
      <c r="I4" s="8"/>
      <c r="J4" s="30" t="s">
        <v>0</v>
      </c>
      <c r="K4" s="43" t="s">
        <v>35</v>
      </c>
      <c r="L4" s="43" t="s">
        <v>32</v>
      </c>
      <c r="M4" s="43" t="s">
        <v>36</v>
      </c>
      <c r="N4" s="43" t="s">
        <v>31</v>
      </c>
      <c r="O4" s="31"/>
      <c r="P4" s="31"/>
      <c r="Q4" s="31" t="s">
        <v>35</v>
      </c>
      <c r="R4" s="31" t="s">
        <v>32</v>
      </c>
      <c r="S4" s="31" t="s">
        <v>115</v>
      </c>
      <c r="T4" s="31" t="s">
        <v>31</v>
      </c>
      <c r="U4" s="31"/>
    </row>
    <row r="5" spans="1:21" ht="14.4" thickBot="1">
      <c r="B5" s="130"/>
      <c r="G5" s="138"/>
      <c r="H5" s="139"/>
      <c r="J5" s="119">
        <v>44819</v>
      </c>
      <c r="K5" s="121">
        <v>324.59616</v>
      </c>
      <c r="L5" s="121">
        <v>243.83600000000001</v>
      </c>
      <c r="M5" s="121">
        <v>-80.760159999999985</v>
      </c>
      <c r="N5" s="120">
        <v>257</v>
      </c>
      <c r="O5" s="120">
        <v>227</v>
      </c>
      <c r="P5" s="39">
        <f>J5</f>
        <v>44819</v>
      </c>
      <c r="Q5" s="41">
        <f>IFERROR(VLOOKUP($P5,$J$5:$N$403,2,FALSE),Q6)</f>
        <v>324.59616</v>
      </c>
      <c r="R5" s="41">
        <f>IFERROR(VLOOKUP($P5,$J$5:$N$403,3,FALSE),R6)</f>
        <v>243.83600000000001</v>
      </c>
      <c r="S5" s="41">
        <f>IFERROR(VLOOKUP($P5,$J$5:$N$403,4,FALSE),S6)</f>
        <v>-80.760159999999985</v>
      </c>
      <c r="T5" s="41">
        <f>IFERROR(VLOOKUP($P5,$J$5:$N$403,5,FALSE),T6)</f>
        <v>257</v>
      </c>
      <c r="U5" s="33"/>
    </row>
    <row r="6" spans="1:21" ht="14.4" thickBot="1">
      <c r="C6" s="5" t="s">
        <v>3</v>
      </c>
      <c r="G6" s="5" t="s">
        <v>8</v>
      </c>
      <c r="J6" s="119">
        <v>44818</v>
      </c>
      <c r="K6" s="121">
        <v>324.59616</v>
      </c>
      <c r="L6" s="121">
        <v>243.83600000000001</v>
      </c>
      <c r="M6" s="121">
        <v>-80.760159999999985</v>
      </c>
      <c r="N6" s="120">
        <v>257</v>
      </c>
      <c r="O6" s="120">
        <v>227</v>
      </c>
      <c r="P6" s="39">
        <f>P5-1</f>
        <v>44818</v>
      </c>
      <c r="Q6" s="41">
        <f t="shared" ref="Q6:Q69" si="0">IFERROR(VLOOKUP($P6,$J$5:$N$403,2,FALSE),Q7)</f>
        <v>324.59616</v>
      </c>
      <c r="R6" s="41">
        <f t="shared" ref="R6:R69" si="1">IFERROR(VLOOKUP($P6,$J$5:$N$403,3,FALSE),R7)</f>
        <v>243.83600000000001</v>
      </c>
      <c r="S6" s="41">
        <f t="shared" ref="S6:S69" si="2">IFERROR(VLOOKUP($P6,$J$5:$N$403,4,FALSE),S7)</f>
        <v>-80.760159999999985</v>
      </c>
      <c r="T6" s="41">
        <f t="shared" ref="T6:T69" si="3">IFERROR(VLOOKUP($P6,$J$5:$N$403,5,FALSE),T7)</f>
        <v>257</v>
      </c>
      <c r="U6" s="33"/>
    </row>
    <row r="7" spans="1:21" ht="14.4" thickBot="1">
      <c r="C7" s="127" t="s">
        <v>20</v>
      </c>
      <c r="D7" s="128"/>
      <c r="E7" s="129"/>
      <c r="G7" s="127" t="s">
        <v>140</v>
      </c>
      <c r="H7" s="129"/>
      <c r="J7" s="119">
        <v>44817</v>
      </c>
      <c r="K7" s="121">
        <v>324.59616</v>
      </c>
      <c r="L7" s="121">
        <v>243.83600000000001</v>
      </c>
      <c r="M7" s="121">
        <v>-80.760159999999985</v>
      </c>
      <c r="N7" s="120">
        <v>257</v>
      </c>
      <c r="O7" s="120">
        <v>227</v>
      </c>
      <c r="P7" s="39">
        <f t="shared" ref="P7:P70" si="4">P6-1</f>
        <v>44817</v>
      </c>
      <c r="Q7" s="41">
        <f t="shared" si="0"/>
        <v>324.59616</v>
      </c>
      <c r="R7" s="41">
        <f t="shared" si="1"/>
        <v>243.83600000000001</v>
      </c>
      <c r="S7" s="41">
        <f t="shared" si="2"/>
        <v>-80.760159999999985</v>
      </c>
      <c r="T7" s="41">
        <f t="shared" si="3"/>
        <v>257</v>
      </c>
      <c r="U7" s="33"/>
    </row>
    <row r="8" spans="1:21">
      <c r="G8" s="35"/>
      <c r="J8" s="119">
        <v>44816</v>
      </c>
      <c r="K8" s="121">
        <v>324.59616</v>
      </c>
      <c r="L8" s="121">
        <v>243.83600000000001</v>
      </c>
      <c r="M8" s="121">
        <v>-80.760159999999985</v>
      </c>
      <c r="N8" s="120">
        <v>257</v>
      </c>
      <c r="O8" s="120">
        <v>227</v>
      </c>
      <c r="P8" s="39">
        <f t="shared" si="4"/>
        <v>44816</v>
      </c>
      <c r="Q8" s="41">
        <f t="shared" si="0"/>
        <v>324.59616</v>
      </c>
      <c r="R8" s="41">
        <f t="shared" si="1"/>
        <v>243.83600000000001</v>
      </c>
      <c r="S8" s="41">
        <f t="shared" si="2"/>
        <v>-80.760159999999985</v>
      </c>
      <c r="T8" s="41">
        <f t="shared" si="3"/>
        <v>257</v>
      </c>
      <c r="U8" s="33"/>
    </row>
    <row r="9" spans="1:21" ht="14.4" thickBot="1">
      <c r="C9" s="5" t="s">
        <v>4</v>
      </c>
      <c r="G9" s="5" t="s">
        <v>25</v>
      </c>
      <c r="J9" s="119">
        <v>44813</v>
      </c>
      <c r="K9" s="121">
        <v>324.59616</v>
      </c>
      <c r="L9" s="121">
        <v>243.83600000000001</v>
      </c>
      <c r="M9" s="121">
        <v>-80.760159999999985</v>
      </c>
      <c r="N9" s="120">
        <v>257</v>
      </c>
      <c r="O9" s="120">
        <v>227</v>
      </c>
      <c r="P9" s="39">
        <f t="shared" si="4"/>
        <v>44815</v>
      </c>
      <c r="Q9" s="41">
        <f t="shared" si="0"/>
        <v>324.59616</v>
      </c>
      <c r="R9" s="41">
        <f t="shared" si="1"/>
        <v>243.83600000000001</v>
      </c>
      <c r="S9" s="41">
        <f t="shared" si="2"/>
        <v>-80.760159999999985</v>
      </c>
      <c r="T9" s="41">
        <f t="shared" si="3"/>
        <v>257</v>
      </c>
      <c r="U9" s="33"/>
    </row>
    <row r="10" spans="1:21" ht="14.4" thickBot="1">
      <c r="C10" s="127" t="s">
        <v>143</v>
      </c>
      <c r="D10" s="128"/>
      <c r="E10" s="129"/>
      <c r="G10" s="127"/>
      <c r="H10" s="129"/>
      <c r="J10" s="119">
        <v>44812</v>
      </c>
      <c r="K10" s="121">
        <v>326.50128000000001</v>
      </c>
      <c r="L10" s="121">
        <v>243.83600000000001</v>
      </c>
      <c r="M10" s="121">
        <v>-82.665279999999996</v>
      </c>
      <c r="N10" s="120">
        <v>252</v>
      </c>
      <c r="O10" s="120">
        <v>222</v>
      </c>
      <c r="P10" s="39">
        <f t="shared" si="4"/>
        <v>44814</v>
      </c>
      <c r="Q10" s="41">
        <f t="shared" si="0"/>
        <v>324.59616</v>
      </c>
      <c r="R10" s="41">
        <f t="shared" si="1"/>
        <v>243.83600000000001</v>
      </c>
      <c r="S10" s="41">
        <f t="shared" si="2"/>
        <v>-80.760159999999985</v>
      </c>
      <c r="T10" s="41">
        <f t="shared" si="3"/>
        <v>257</v>
      </c>
      <c r="U10" s="33"/>
    </row>
    <row r="11" spans="1:21">
      <c r="J11" s="119">
        <v>44811</v>
      </c>
      <c r="K11" s="121">
        <v>326.50128000000001</v>
      </c>
      <c r="L11" s="121">
        <v>243.83600000000001</v>
      </c>
      <c r="M11" s="121">
        <v>-82.665279999999996</v>
      </c>
      <c r="N11" s="120">
        <v>252</v>
      </c>
      <c r="O11" s="120">
        <v>222</v>
      </c>
      <c r="P11" s="39">
        <f t="shared" si="4"/>
        <v>44813</v>
      </c>
      <c r="Q11" s="41">
        <f t="shared" si="0"/>
        <v>324.59616</v>
      </c>
      <c r="R11" s="41">
        <f t="shared" si="1"/>
        <v>243.83600000000001</v>
      </c>
      <c r="S11" s="41">
        <f t="shared" si="2"/>
        <v>-80.760159999999985</v>
      </c>
      <c r="T11" s="41">
        <f t="shared" si="3"/>
        <v>257</v>
      </c>
      <c r="U11" s="33"/>
    </row>
    <row r="12" spans="1:21">
      <c r="C12" s="111" t="s">
        <v>137</v>
      </c>
      <c r="J12" s="119">
        <v>44810</v>
      </c>
      <c r="K12" s="121">
        <v>326.50128000000001</v>
      </c>
      <c r="L12" s="121">
        <v>233.46</v>
      </c>
      <c r="M12" s="121">
        <v>-93.04128</v>
      </c>
      <c r="N12" s="120">
        <v>252</v>
      </c>
      <c r="O12" s="120">
        <v>222</v>
      </c>
      <c r="P12" s="39">
        <f t="shared" si="4"/>
        <v>44812</v>
      </c>
      <c r="Q12" s="41">
        <f t="shared" si="0"/>
        <v>326.50128000000001</v>
      </c>
      <c r="R12" s="41">
        <f t="shared" si="1"/>
        <v>243.83600000000001</v>
      </c>
      <c r="S12" s="41">
        <f t="shared" si="2"/>
        <v>-82.665279999999996</v>
      </c>
      <c r="T12" s="41">
        <f t="shared" si="3"/>
        <v>252</v>
      </c>
      <c r="U12" s="33"/>
    </row>
    <row r="13" spans="1:21">
      <c r="J13" s="119">
        <v>44809</v>
      </c>
      <c r="K13" s="121">
        <v>326.50128000000001</v>
      </c>
      <c r="L13" s="121">
        <v>233.46</v>
      </c>
      <c r="M13" s="121">
        <v>-93.04128</v>
      </c>
      <c r="N13" s="120">
        <v>252</v>
      </c>
      <c r="O13" s="120">
        <v>222</v>
      </c>
      <c r="P13" s="39">
        <f t="shared" si="4"/>
        <v>44811</v>
      </c>
      <c r="Q13" s="41">
        <f t="shared" si="0"/>
        <v>326.50128000000001</v>
      </c>
      <c r="R13" s="41">
        <f t="shared" si="1"/>
        <v>243.83600000000001</v>
      </c>
      <c r="S13" s="41">
        <f t="shared" si="2"/>
        <v>-82.665279999999996</v>
      </c>
      <c r="T13" s="41">
        <f t="shared" si="3"/>
        <v>252</v>
      </c>
      <c r="U13" s="33"/>
    </row>
    <row r="14" spans="1:21">
      <c r="B14" s="7"/>
      <c r="C14" s="7"/>
      <c r="D14" s="7"/>
      <c r="E14" s="7"/>
      <c r="F14" s="7"/>
      <c r="G14" s="7"/>
      <c r="H14" s="7"/>
      <c r="J14" s="119">
        <v>44806</v>
      </c>
      <c r="K14" s="121">
        <v>326.50128000000001</v>
      </c>
      <c r="L14" s="121">
        <v>233.46</v>
      </c>
      <c r="M14" s="121">
        <v>-93.04128</v>
      </c>
      <c r="N14" s="120">
        <v>252</v>
      </c>
      <c r="O14" s="120">
        <v>222</v>
      </c>
      <c r="P14" s="39">
        <f t="shared" si="4"/>
        <v>44810</v>
      </c>
      <c r="Q14" s="41">
        <f t="shared" si="0"/>
        <v>326.50128000000001</v>
      </c>
      <c r="R14" s="41">
        <f t="shared" si="1"/>
        <v>233.46</v>
      </c>
      <c r="S14" s="41">
        <f t="shared" si="2"/>
        <v>-93.04128</v>
      </c>
      <c r="T14" s="41">
        <f t="shared" si="3"/>
        <v>252</v>
      </c>
      <c r="U14" s="33"/>
    </row>
    <row r="15" spans="1:21">
      <c r="B15" s="7"/>
      <c r="C15" s="7"/>
      <c r="D15" s="7"/>
      <c r="E15" s="7"/>
      <c r="F15" s="92"/>
      <c r="G15" s="92"/>
      <c r="H15" s="7"/>
      <c r="J15" s="119">
        <v>44805</v>
      </c>
      <c r="K15" s="121">
        <v>345.64319999999998</v>
      </c>
      <c r="L15" s="121">
        <v>233.46</v>
      </c>
      <c r="M15" s="121">
        <v>-112.18319999999997</v>
      </c>
      <c r="N15" s="120">
        <v>247</v>
      </c>
      <c r="O15" s="120">
        <v>217</v>
      </c>
      <c r="P15" s="39">
        <f t="shared" si="4"/>
        <v>44809</v>
      </c>
      <c r="Q15" s="41">
        <f t="shared" si="0"/>
        <v>326.50128000000001</v>
      </c>
      <c r="R15" s="41">
        <f t="shared" si="1"/>
        <v>233.46</v>
      </c>
      <c r="S15" s="41">
        <f t="shared" si="2"/>
        <v>-93.04128</v>
      </c>
      <c r="T15" s="41">
        <f t="shared" si="3"/>
        <v>252</v>
      </c>
      <c r="U15" s="33"/>
    </row>
    <row r="16" spans="1:21">
      <c r="B16" s="7"/>
      <c r="C16" s="7"/>
      <c r="D16" s="7"/>
      <c r="E16" s="7"/>
      <c r="F16" s="92"/>
      <c r="G16" s="92"/>
      <c r="H16" s="7"/>
      <c r="J16" s="119">
        <v>44804</v>
      </c>
      <c r="K16" s="121">
        <v>345.64319999999998</v>
      </c>
      <c r="L16" s="121">
        <v>233.46</v>
      </c>
      <c r="M16" s="121">
        <v>-112.18319999999997</v>
      </c>
      <c r="N16" s="120">
        <v>247</v>
      </c>
      <c r="O16" s="120">
        <v>217</v>
      </c>
      <c r="P16" s="39">
        <f t="shared" si="4"/>
        <v>44808</v>
      </c>
      <c r="Q16" s="41">
        <f t="shared" si="0"/>
        <v>326.50128000000001</v>
      </c>
      <c r="R16" s="41">
        <f t="shared" si="1"/>
        <v>233.46</v>
      </c>
      <c r="S16" s="41">
        <f t="shared" si="2"/>
        <v>-93.04128</v>
      </c>
      <c r="T16" s="41">
        <f t="shared" si="3"/>
        <v>252</v>
      </c>
      <c r="U16" s="33"/>
    </row>
    <row r="17" spans="2:21">
      <c r="B17" s="7"/>
      <c r="C17" s="7"/>
      <c r="D17" s="7"/>
      <c r="E17" s="7"/>
      <c r="F17" s="92"/>
      <c r="G17" s="92"/>
      <c r="H17" s="7"/>
      <c r="J17" s="119">
        <v>44803</v>
      </c>
      <c r="K17" s="121">
        <v>345.64319999999998</v>
      </c>
      <c r="L17" s="121">
        <v>238.648</v>
      </c>
      <c r="M17" s="121">
        <v>-106.99519999999998</v>
      </c>
      <c r="N17" s="120">
        <v>247</v>
      </c>
      <c r="O17" s="120">
        <v>217</v>
      </c>
      <c r="P17" s="39">
        <f t="shared" si="4"/>
        <v>44807</v>
      </c>
      <c r="Q17" s="41">
        <f t="shared" si="0"/>
        <v>326.50128000000001</v>
      </c>
      <c r="R17" s="41">
        <f t="shared" si="1"/>
        <v>233.46</v>
      </c>
      <c r="S17" s="41">
        <f t="shared" si="2"/>
        <v>-93.04128</v>
      </c>
      <c r="T17" s="41">
        <f t="shared" si="3"/>
        <v>252</v>
      </c>
      <c r="U17" s="33"/>
    </row>
    <row r="18" spans="2:21">
      <c r="B18" s="7"/>
      <c r="C18" s="7"/>
      <c r="D18" s="7"/>
      <c r="E18" s="7"/>
      <c r="F18" s="92"/>
      <c r="G18" s="92"/>
      <c r="H18" s="7"/>
      <c r="J18" s="119">
        <v>44802</v>
      </c>
      <c r="K18" s="121">
        <v>345.64319999999998</v>
      </c>
      <c r="L18" s="121">
        <v>238.648</v>
      </c>
      <c r="M18" s="121">
        <v>-106.99519999999998</v>
      </c>
      <c r="N18" s="120">
        <v>247</v>
      </c>
      <c r="O18" s="120">
        <v>217</v>
      </c>
      <c r="P18" s="39">
        <f t="shared" si="4"/>
        <v>44806</v>
      </c>
      <c r="Q18" s="41">
        <f t="shared" si="0"/>
        <v>326.50128000000001</v>
      </c>
      <c r="R18" s="41">
        <f t="shared" si="1"/>
        <v>233.46</v>
      </c>
      <c r="S18" s="41">
        <f t="shared" si="2"/>
        <v>-93.04128</v>
      </c>
      <c r="T18" s="41">
        <f t="shared" si="3"/>
        <v>252</v>
      </c>
      <c r="U18" s="33"/>
    </row>
    <row r="19" spans="2:21">
      <c r="B19" s="7"/>
      <c r="C19" s="7"/>
      <c r="D19" s="7"/>
      <c r="E19" s="7"/>
      <c r="F19" s="92"/>
      <c r="G19" s="92"/>
      <c r="H19" s="7"/>
      <c r="J19" s="119">
        <v>44799</v>
      </c>
      <c r="K19" s="121">
        <v>345.64319999999998</v>
      </c>
      <c r="L19" s="121">
        <v>238.648</v>
      </c>
      <c r="M19" s="121">
        <v>-106.99519999999998</v>
      </c>
      <c r="N19" s="120">
        <v>247</v>
      </c>
      <c r="O19" s="120">
        <v>217</v>
      </c>
      <c r="P19" s="39">
        <f t="shared" si="4"/>
        <v>44805</v>
      </c>
      <c r="Q19" s="41">
        <f t="shared" si="0"/>
        <v>345.64319999999998</v>
      </c>
      <c r="R19" s="41">
        <f t="shared" si="1"/>
        <v>233.46</v>
      </c>
      <c r="S19" s="41">
        <f t="shared" si="2"/>
        <v>-112.18319999999997</v>
      </c>
      <c r="T19" s="41">
        <f t="shared" si="3"/>
        <v>247</v>
      </c>
      <c r="U19" s="33"/>
    </row>
    <row r="20" spans="2:21" ht="14.25" customHeight="1">
      <c r="B20" s="7"/>
      <c r="C20" s="7"/>
      <c r="D20" s="7"/>
      <c r="E20" s="7"/>
      <c r="F20" s="131" t="s">
        <v>111</v>
      </c>
      <c r="G20" s="131"/>
      <c r="H20" s="7"/>
      <c r="J20" s="119">
        <v>44798</v>
      </c>
      <c r="K20" s="121">
        <v>337.02480000000003</v>
      </c>
      <c r="L20" s="121">
        <v>243.83600000000001</v>
      </c>
      <c r="M20" s="121">
        <v>-93.188800000000015</v>
      </c>
      <c r="N20" s="120">
        <v>245.5</v>
      </c>
      <c r="O20" s="120">
        <v>215.5</v>
      </c>
      <c r="P20" s="39">
        <f t="shared" si="4"/>
        <v>44804</v>
      </c>
      <c r="Q20" s="41">
        <f t="shared" si="0"/>
        <v>345.64319999999998</v>
      </c>
      <c r="R20" s="41">
        <f t="shared" si="1"/>
        <v>233.46</v>
      </c>
      <c r="S20" s="41">
        <f t="shared" si="2"/>
        <v>-112.18319999999997</v>
      </c>
      <c r="T20" s="41">
        <f t="shared" si="3"/>
        <v>247</v>
      </c>
      <c r="U20" s="33"/>
    </row>
    <row r="21" spans="2:21">
      <c r="B21" s="7"/>
      <c r="C21" s="7"/>
      <c r="D21" s="7"/>
      <c r="E21" s="7"/>
      <c r="F21" s="131"/>
      <c r="G21" s="131"/>
      <c r="H21" s="7"/>
      <c r="J21" s="119">
        <v>44797</v>
      </c>
      <c r="K21" s="121">
        <v>337.02480000000003</v>
      </c>
      <c r="L21" s="121">
        <v>243.83600000000001</v>
      </c>
      <c r="M21" s="121">
        <v>-93.188800000000015</v>
      </c>
      <c r="N21" s="120">
        <v>245.5</v>
      </c>
      <c r="O21" s="120">
        <v>215.5</v>
      </c>
      <c r="P21" s="39">
        <f t="shared" si="4"/>
        <v>44803</v>
      </c>
      <c r="Q21" s="41">
        <f t="shared" si="0"/>
        <v>345.64319999999998</v>
      </c>
      <c r="R21" s="41">
        <f t="shared" si="1"/>
        <v>238.648</v>
      </c>
      <c r="S21" s="41">
        <f t="shared" si="2"/>
        <v>-106.99519999999998</v>
      </c>
      <c r="T21" s="41">
        <f t="shared" si="3"/>
        <v>247</v>
      </c>
      <c r="U21" s="33"/>
    </row>
    <row r="22" spans="2:21">
      <c r="B22" s="7"/>
      <c r="C22" s="7"/>
      <c r="D22" s="7"/>
      <c r="E22" s="7"/>
      <c r="F22" s="131"/>
      <c r="G22" s="131"/>
      <c r="H22" s="7"/>
      <c r="J22" s="119">
        <v>44796</v>
      </c>
      <c r="K22" s="121">
        <v>337.02480000000003</v>
      </c>
      <c r="L22" s="121">
        <v>243.83600000000001</v>
      </c>
      <c r="M22" s="121">
        <v>-93.188800000000015</v>
      </c>
      <c r="N22" s="120">
        <v>245.5</v>
      </c>
      <c r="O22" s="120">
        <v>215.5</v>
      </c>
      <c r="P22" s="39">
        <f t="shared" si="4"/>
        <v>44802</v>
      </c>
      <c r="Q22" s="41">
        <f t="shared" si="0"/>
        <v>345.64319999999998</v>
      </c>
      <c r="R22" s="41">
        <f t="shared" si="1"/>
        <v>238.648</v>
      </c>
      <c r="S22" s="41">
        <f t="shared" si="2"/>
        <v>-106.99519999999998</v>
      </c>
      <c r="T22" s="41">
        <f t="shared" si="3"/>
        <v>247</v>
      </c>
      <c r="U22" s="33"/>
    </row>
    <row r="23" spans="2:21">
      <c r="B23" s="7"/>
      <c r="C23" s="7"/>
      <c r="D23" s="7"/>
      <c r="E23" s="7"/>
      <c r="F23" s="92"/>
      <c r="G23" s="92"/>
      <c r="H23" s="7"/>
      <c r="J23" s="119">
        <v>44795</v>
      </c>
      <c r="K23" s="121">
        <v>337.02480000000003</v>
      </c>
      <c r="L23" s="121">
        <v>243.83600000000001</v>
      </c>
      <c r="M23" s="121">
        <v>-93.188800000000015</v>
      </c>
      <c r="N23" s="120">
        <v>245.5</v>
      </c>
      <c r="O23" s="120">
        <v>215.5</v>
      </c>
      <c r="P23" s="39">
        <f t="shared" si="4"/>
        <v>44801</v>
      </c>
      <c r="Q23" s="41">
        <f t="shared" si="0"/>
        <v>345.64319999999998</v>
      </c>
      <c r="R23" s="41">
        <f t="shared" si="1"/>
        <v>238.648</v>
      </c>
      <c r="S23" s="41">
        <f t="shared" si="2"/>
        <v>-106.99519999999998</v>
      </c>
      <c r="T23" s="41">
        <f t="shared" si="3"/>
        <v>247</v>
      </c>
      <c r="U23" s="33"/>
    </row>
    <row r="24" spans="2:21">
      <c r="B24" s="7"/>
      <c r="C24" s="7"/>
      <c r="D24" s="7"/>
      <c r="E24" s="7"/>
      <c r="F24" s="92"/>
      <c r="G24" s="92"/>
      <c r="H24" s="7"/>
      <c r="J24" s="119">
        <v>44792</v>
      </c>
      <c r="K24" s="121">
        <v>337.02480000000003</v>
      </c>
      <c r="L24" s="121">
        <v>243.83600000000001</v>
      </c>
      <c r="M24" s="121">
        <v>-93.188800000000015</v>
      </c>
      <c r="N24" s="120">
        <v>245.5</v>
      </c>
      <c r="O24" s="120">
        <v>215.5</v>
      </c>
      <c r="P24" s="39">
        <f t="shared" si="4"/>
        <v>44800</v>
      </c>
      <c r="Q24" s="41">
        <f t="shared" si="0"/>
        <v>345.64319999999998</v>
      </c>
      <c r="R24" s="41">
        <f t="shared" si="1"/>
        <v>238.648</v>
      </c>
      <c r="S24" s="41">
        <f t="shared" si="2"/>
        <v>-106.99519999999998</v>
      </c>
      <c r="T24" s="41">
        <f t="shared" si="3"/>
        <v>247</v>
      </c>
      <c r="U24" s="33"/>
    </row>
    <row r="25" spans="2:21">
      <c r="B25" s="7"/>
      <c r="C25" s="7"/>
      <c r="D25" s="7"/>
      <c r="E25" s="7"/>
      <c r="F25" s="92"/>
      <c r="G25" s="92"/>
      <c r="H25" s="7"/>
      <c r="J25" s="119">
        <v>44791</v>
      </c>
      <c r="K25" s="121">
        <v>303.05016000000001</v>
      </c>
      <c r="L25" s="121">
        <v>238.648</v>
      </c>
      <c r="M25" s="121">
        <v>-64.402160000000009</v>
      </c>
      <c r="N25" s="120">
        <v>240.4</v>
      </c>
      <c r="O25" s="120">
        <v>210.4</v>
      </c>
      <c r="P25" s="39">
        <f t="shared" si="4"/>
        <v>44799</v>
      </c>
      <c r="Q25" s="41">
        <f t="shared" si="0"/>
        <v>345.64319999999998</v>
      </c>
      <c r="R25" s="41">
        <f t="shared" si="1"/>
        <v>238.648</v>
      </c>
      <c r="S25" s="41">
        <f t="shared" si="2"/>
        <v>-106.99519999999998</v>
      </c>
      <c r="T25" s="41">
        <f t="shared" si="3"/>
        <v>247</v>
      </c>
      <c r="U25" s="33"/>
    </row>
    <row r="26" spans="2:21">
      <c r="B26" s="7"/>
      <c r="C26" s="7"/>
      <c r="D26" s="7"/>
      <c r="E26" s="7"/>
      <c r="F26" s="92"/>
      <c r="G26" s="92"/>
      <c r="H26" s="7"/>
      <c r="J26" s="119">
        <v>44790</v>
      </c>
      <c r="K26" s="121">
        <v>303.05016000000001</v>
      </c>
      <c r="L26" s="121">
        <v>238.648</v>
      </c>
      <c r="M26" s="121">
        <v>-64.402160000000009</v>
      </c>
      <c r="N26" s="120">
        <v>240.4</v>
      </c>
      <c r="O26" s="120">
        <v>210.4</v>
      </c>
      <c r="P26" s="39">
        <f t="shared" si="4"/>
        <v>44798</v>
      </c>
      <c r="Q26" s="41">
        <f t="shared" si="0"/>
        <v>337.02480000000003</v>
      </c>
      <c r="R26" s="41">
        <f t="shared" si="1"/>
        <v>243.83600000000001</v>
      </c>
      <c r="S26" s="41">
        <f t="shared" si="2"/>
        <v>-93.188800000000015</v>
      </c>
      <c r="T26" s="41">
        <f t="shared" si="3"/>
        <v>245.5</v>
      </c>
      <c r="U26" s="33"/>
    </row>
    <row r="27" spans="2:21">
      <c r="B27" s="7"/>
      <c r="C27" s="7"/>
      <c r="D27" s="7"/>
      <c r="E27" s="7"/>
      <c r="F27" s="92"/>
      <c r="G27" s="92"/>
      <c r="H27" s="7"/>
      <c r="J27" s="119">
        <v>44789</v>
      </c>
      <c r="K27" s="121">
        <v>303.05016000000001</v>
      </c>
      <c r="L27" s="121">
        <v>238.648</v>
      </c>
      <c r="M27" s="121">
        <v>-64.402160000000009</v>
      </c>
      <c r="N27" s="120">
        <v>240.4</v>
      </c>
      <c r="O27" s="120">
        <v>210.4</v>
      </c>
      <c r="P27" s="39">
        <f t="shared" si="4"/>
        <v>44797</v>
      </c>
      <c r="Q27" s="41">
        <f t="shared" si="0"/>
        <v>337.02480000000003</v>
      </c>
      <c r="R27" s="41">
        <f t="shared" si="1"/>
        <v>243.83600000000001</v>
      </c>
      <c r="S27" s="41">
        <f t="shared" si="2"/>
        <v>-93.188800000000015</v>
      </c>
      <c r="T27" s="41">
        <f t="shared" si="3"/>
        <v>245.5</v>
      </c>
      <c r="U27" s="33"/>
    </row>
    <row r="28" spans="2:21">
      <c r="B28" s="7"/>
      <c r="C28" s="7"/>
      <c r="D28" s="7"/>
      <c r="E28" s="7"/>
      <c r="F28" s="7"/>
      <c r="G28" s="7"/>
      <c r="H28" s="7"/>
      <c r="J28" s="119">
        <v>44788</v>
      </c>
      <c r="K28" s="121">
        <v>303.05016000000001</v>
      </c>
      <c r="L28" s="121">
        <v>238.648</v>
      </c>
      <c r="M28" s="121">
        <v>-64.402160000000009</v>
      </c>
      <c r="N28" s="120">
        <v>240.4</v>
      </c>
      <c r="O28" s="120">
        <v>210.4</v>
      </c>
      <c r="P28" s="39">
        <f t="shared" si="4"/>
        <v>44796</v>
      </c>
      <c r="Q28" s="41">
        <f t="shared" si="0"/>
        <v>337.02480000000003</v>
      </c>
      <c r="R28" s="41">
        <f t="shared" si="1"/>
        <v>243.83600000000001</v>
      </c>
      <c r="S28" s="41">
        <f t="shared" si="2"/>
        <v>-93.188800000000015</v>
      </c>
      <c r="T28" s="41">
        <f t="shared" si="3"/>
        <v>245.5</v>
      </c>
      <c r="U28" s="33"/>
    </row>
    <row r="29" spans="2:21">
      <c r="B29" s="7"/>
      <c r="C29" s="7"/>
      <c r="D29" s="7"/>
      <c r="E29" s="7"/>
      <c r="F29" s="7"/>
      <c r="G29" s="7"/>
      <c r="H29" s="7"/>
      <c r="J29" s="119">
        <v>44785</v>
      </c>
      <c r="K29" s="121">
        <v>303.05016000000001</v>
      </c>
      <c r="L29" s="121">
        <v>238.648</v>
      </c>
      <c r="M29" s="121">
        <v>-64.402160000000009</v>
      </c>
      <c r="N29" s="120">
        <v>240.4</v>
      </c>
      <c r="O29" s="120">
        <v>210.4</v>
      </c>
      <c r="P29" s="39">
        <f t="shared" si="4"/>
        <v>44795</v>
      </c>
      <c r="Q29" s="41">
        <f t="shared" si="0"/>
        <v>337.02480000000003</v>
      </c>
      <c r="R29" s="41">
        <f t="shared" si="1"/>
        <v>243.83600000000001</v>
      </c>
      <c r="S29" s="41">
        <f t="shared" si="2"/>
        <v>-93.188800000000015</v>
      </c>
      <c r="T29" s="41">
        <f t="shared" si="3"/>
        <v>245.5</v>
      </c>
      <c r="U29" s="33"/>
    </row>
    <row r="30" spans="2:21">
      <c r="B30" s="7"/>
      <c r="C30" s="7"/>
      <c r="D30" s="7"/>
      <c r="E30" s="7"/>
      <c r="F30" s="7"/>
      <c r="G30" s="7"/>
      <c r="H30" s="7"/>
      <c r="J30" s="119">
        <v>44784</v>
      </c>
      <c r="K30" s="121">
        <v>312.75720000000001</v>
      </c>
      <c r="L30" s="121">
        <v>238.648</v>
      </c>
      <c r="M30" s="121">
        <v>-74.109200000000016</v>
      </c>
      <c r="N30" s="120">
        <v>232.25</v>
      </c>
      <c r="O30" s="120">
        <v>202.25</v>
      </c>
      <c r="P30" s="39">
        <f t="shared" si="4"/>
        <v>44794</v>
      </c>
      <c r="Q30" s="41">
        <f t="shared" si="0"/>
        <v>337.02480000000003</v>
      </c>
      <c r="R30" s="41">
        <f t="shared" si="1"/>
        <v>243.83600000000001</v>
      </c>
      <c r="S30" s="41">
        <f t="shared" si="2"/>
        <v>-93.188800000000015</v>
      </c>
      <c r="T30" s="41">
        <f t="shared" si="3"/>
        <v>245.5</v>
      </c>
      <c r="U30" s="33"/>
    </row>
    <row r="31" spans="2:21">
      <c r="B31" s="7"/>
      <c r="C31" s="7"/>
      <c r="D31" s="7"/>
      <c r="E31" s="7"/>
      <c r="F31" s="7"/>
      <c r="G31" s="7"/>
      <c r="H31" s="7"/>
      <c r="J31" s="119">
        <v>44783</v>
      </c>
      <c r="K31" s="121">
        <v>312.75720000000001</v>
      </c>
      <c r="L31" s="121">
        <v>238.648</v>
      </c>
      <c r="M31" s="121">
        <v>-74.109200000000016</v>
      </c>
      <c r="N31" s="120">
        <v>232.25</v>
      </c>
      <c r="O31" s="120">
        <v>202.25</v>
      </c>
      <c r="P31" s="39">
        <f t="shared" si="4"/>
        <v>44793</v>
      </c>
      <c r="Q31" s="41">
        <f t="shared" si="0"/>
        <v>337.02480000000003</v>
      </c>
      <c r="R31" s="41">
        <f t="shared" si="1"/>
        <v>243.83600000000001</v>
      </c>
      <c r="S31" s="41">
        <f t="shared" si="2"/>
        <v>-93.188800000000015</v>
      </c>
      <c r="T31" s="41">
        <f t="shared" si="3"/>
        <v>245.5</v>
      </c>
      <c r="U31" s="33"/>
    </row>
    <row r="32" spans="2:21">
      <c r="B32" s="7"/>
      <c r="C32" s="7"/>
      <c r="D32" s="7"/>
      <c r="E32" s="7"/>
      <c r="F32" s="7"/>
      <c r="G32" s="7"/>
      <c r="H32" s="7"/>
      <c r="J32" s="119">
        <v>44782</v>
      </c>
      <c r="K32" s="121">
        <v>312.75720000000001</v>
      </c>
      <c r="L32" s="121">
        <v>238.648</v>
      </c>
      <c r="M32" s="121">
        <v>-74.109200000000016</v>
      </c>
      <c r="N32" s="120">
        <v>232.25</v>
      </c>
      <c r="O32" s="120">
        <v>202.25</v>
      </c>
      <c r="P32" s="39">
        <f t="shared" si="4"/>
        <v>44792</v>
      </c>
      <c r="Q32" s="41">
        <f t="shared" si="0"/>
        <v>337.02480000000003</v>
      </c>
      <c r="R32" s="41">
        <f t="shared" si="1"/>
        <v>243.83600000000001</v>
      </c>
      <c r="S32" s="41">
        <f t="shared" si="2"/>
        <v>-93.188800000000015</v>
      </c>
      <c r="T32" s="41">
        <f t="shared" si="3"/>
        <v>245.5</v>
      </c>
      <c r="U32" s="33"/>
    </row>
    <row r="33" spans="2:21">
      <c r="B33" s="7"/>
      <c r="C33" s="7"/>
      <c r="D33" s="7"/>
      <c r="E33" s="7"/>
      <c r="F33" s="7"/>
      <c r="G33" s="7"/>
      <c r="H33" s="7"/>
      <c r="J33" s="119">
        <v>44781</v>
      </c>
      <c r="K33" s="121">
        <v>312.75720000000001</v>
      </c>
      <c r="L33" s="121">
        <v>238.648</v>
      </c>
      <c r="M33" s="121">
        <v>-74.109200000000016</v>
      </c>
      <c r="N33" s="120">
        <v>232.25</v>
      </c>
      <c r="O33" s="120">
        <v>202.25</v>
      </c>
      <c r="P33" s="39">
        <f t="shared" si="4"/>
        <v>44791</v>
      </c>
      <c r="Q33" s="41">
        <f t="shared" si="0"/>
        <v>303.05016000000001</v>
      </c>
      <c r="R33" s="41">
        <f t="shared" si="1"/>
        <v>238.648</v>
      </c>
      <c r="S33" s="41">
        <f t="shared" si="2"/>
        <v>-64.402160000000009</v>
      </c>
      <c r="T33" s="41">
        <f t="shared" si="3"/>
        <v>240.4</v>
      </c>
      <c r="U33" s="33"/>
    </row>
    <row r="34" spans="2:21">
      <c r="B34" s="7"/>
      <c r="C34" s="7"/>
      <c r="D34" s="7"/>
      <c r="E34" s="7"/>
      <c r="F34" s="7"/>
      <c r="G34" s="7"/>
      <c r="H34" s="7"/>
      <c r="J34" s="119">
        <v>44778</v>
      </c>
      <c r="K34" s="121">
        <v>312.75720000000001</v>
      </c>
      <c r="L34" s="121">
        <v>238.648</v>
      </c>
      <c r="M34" s="121">
        <v>-74.109200000000016</v>
      </c>
      <c r="N34" s="120">
        <v>232.25</v>
      </c>
      <c r="O34" s="120">
        <v>202.25</v>
      </c>
      <c r="P34" s="39">
        <f t="shared" si="4"/>
        <v>44790</v>
      </c>
      <c r="Q34" s="41">
        <f t="shared" si="0"/>
        <v>303.05016000000001</v>
      </c>
      <c r="R34" s="41">
        <f t="shared" si="1"/>
        <v>238.648</v>
      </c>
      <c r="S34" s="41">
        <f t="shared" si="2"/>
        <v>-64.402160000000009</v>
      </c>
      <c r="T34" s="41">
        <f t="shared" si="3"/>
        <v>240.4</v>
      </c>
      <c r="U34" s="33"/>
    </row>
    <row r="35" spans="2:21">
      <c r="B35" s="7"/>
      <c r="C35" s="7"/>
      <c r="D35" s="7"/>
      <c r="E35" s="7"/>
      <c r="F35" s="7"/>
      <c r="G35" s="7"/>
      <c r="H35" s="7"/>
      <c r="J35" s="119">
        <v>44777</v>
      </c>
      <c r="K35" s="121">
        <v>341.47008</v>
      </c>
      <c r="L35" s="121">
        <v>238.648</v>
      </c>
      <c r="M35" s="121">
        <v>-102.82208</v>
      </c>
      <c r="N35" s="120">
        <v>236.64</v>
      </c>
      <c r="O35" s="120">
        <v>206.64</v>
      </c>
      <c r="P35" s="39">
        <f t="shared" si="4"/>
        <v>44789</v>
      </c>
      <c r="Q35" s="41">
        <f t="shared" si="0"/>
        <v>303.05016000000001</v>
      </c>
      <c r="R35" s="41">
        <f t="shared" si="1"/>
        <v>238.648</v>
      </c>
      <c r="S35" s="41">
        <f t="shared" si="2"/>
        <v>-64.402160000000009</v>
      </c>
      <c r="T35" s="41">
        <f t="shared" si="3"/>
        <v>240.4</v>
      </c>
      <c r="U35" s="33"/>
    </row>
    <row r="36" spans="2:21">
      <c r="B36" s="7"/>
      <c r="C36" s="22"/>
      <c r="D36" s="1"/>
      <c r="E36" s="1"/>
      <c r="F36" s="1"/>
      <c r="G36" s="1"/>
      <c r="H36" s="1"/>
      <c r="J36" s="119">
        <v>44776</v>
      </c>
      <c r="K36" s="121">
        <v>341.47008</v>
      </c>
      <c r="L36" s="121">
        <v>238.648</v>
      </c>
      <c r="M36" s="121">
        <v>-102.82208</v>
      </c>
      <c r="N36" s="120">
        <v>236.64</v>
      </c>
      <c r="O36" s="120">
        <v>206.64</v>
      </c>
      <c r="P36" s="39">
        <f t="shared" si="4"/>
        <v>44788</v>
      </c>
      <c r="Q36" s="41">
        <f t="shared" si="0"/>
        <v>303.05016000000001</v>
      </c>
      <c r="R36" s="41">
        <f t="shared" si="1"/>
        <v>238.648</v>
      </c>
      <c r="S36" s="41">
        <f t="shared" si="2"/>
        <v>-64.402160000000009</v>
      </c>
      <c r="T36" s="41">
        <f t="shared" si="3"/>
        <v>240.4</v>
      </c>
      <c r="U36" s="33"/>
    </row>
    <row r="37" spans="2:21">
      <c r="B37" s="7"/>
      <c r="C37" s="1"/>
      <c r="D37" s="1"/>
      <c r="E37" s="1"/>
      <c r="F37" s="25"/>
      <c r="G37" s="1"/>
      <c r="H37" s="22"/>
      <c r="J37" s="119">
        <v>44775</v>
      </c>
      <c r="K37" s="121">
        <v>341.47008</v>
      </c>
      <c r="L37" s="121">
        <v>238.648</v>
      </c>
      <c r="M37" s="121">
        <v>-102.82208</v>
      </c>
      <c r="N37" s="120">
        <v>236.64</v>
      </c>
      <c r="O37" s="120">
        <v>206.64</v>
      </c>
      <c r="P37" s="39">
        <f t="shared" si="4"/>
        <v>44787</v>
      </c>
      <c r="Q37" s="41">
        <f t="shared" si="0"/>
        <v>303.05016000000001</v>
      </c>
      <c r="R37" s="41">
        <f t="shared" si="1"/>
        <v>238.648</v>
      </c>
      <c r="S37" s="41">
        <f t="shared" si="2"/>
        <v>-64.402160000000009</v>
      </c>
      <c r="T37" s="41">
        <f t="shared" si="3"/>
        <v>240.4</v>
      </c>
      <c r="U37" s="33"/>
    </row>
    <row r="38" spans="2:21">
      <c r="B38" s="7"/>
      <c r="C38" s="1"/>
      <c r="D38" s="26"/>
      <c r="E38" s="1"/>
      <c r="F38" s="1"/>
      <c r="G38" s="1"/>
      <c r="H38" s="27"/>
      <c r="J38" s="119">
        <v>44774</v>
      </c>
      <c r="K38" s="121">
        <v>341.47008</v>
      </c>
      <c r="L38" s="121">
        <v>228.27199999999999</v>
      </c>
      <c r="M38" s="121">
        <v>-113.19808</v>
      </c>
      <c r="N38" s="120">
        <v>236.64</v>
      </c>
      <c r="O38" s="120">
        <v>206.64</v>
      </c>
      <c r="P38" s="39">
        <f t="shared" si="4"/>
        <v>44786</v>
      </c>
      <c r="Q38" s="41">
        <f t="shared" si="0"/>
        <v>303.05016000000001</v>
      </c>
      <c r="R38" s="41">
        <f t="shared" si="1"/>
        <v>238.648</v>
      </c>
      <c r="S38" s="41">
        <f t="shared" si="2"/>
        <v>-64.402160000000009</v>
      </c>
      <c r="T38" s="41">
        <f t="shared" si="3"/>
        <v>240.4</v>
      </c>
      <c r="U38" s="33"/>
    </row>
    <row r="39" spans="2:21">
      <c r="B39" s="7"/>
      <c r="C39" s="1"/>
      <c r="D39" s="26"/>
      <c r="E39" s="1"/>
      <c r="F39" s="1"/>
      <c r="G39" s="1"/>
      <c r="H39" s="27"/>
      <c r="J39" s="119">
        <v>44771</v>
      </c>
      <c r="K39" s="121">
        <v>341.47008</v>
      </c>
      <c r="L39" s="121">
        <v>228.27199999999999</v>
      </c>
      <c r="M39" s="121">
        <v>-113.19808</v>
      </c>
      <c r="N39" s="120">
        <v>236.64</v>
      </c>
      <c r="O39" s="120">
        <v>206.64</v>
      </c>
      <c r="P39" s="39">
        <f t="shared" si="4"/>
        <v>44785</v>
      </c>
      <c r="Q39" s="41">
        <f t="shared" si="0"/>
        <v>303.05016000000001</v>
      </c>
      <c r="R39" s="41">
        <f t="shared" si="1"/>
        <v>238.648</v>
      </c>
      <c r="S39" s="41">
        <f t="shared" si="2"/>
        <v>-64.402160000000009</v>
      </c>
      <c r="T39" s="41">
        <f t="shared" si="3"/>
        <v>240.4</v>
      </c>
      <c r="U39" s="33"/>
    </row>
    <row r="40" spans="2:21">
      <c r="B40" s="7"/>
      <c r="C40" s="1"/>
      <c r="D40" s="26"/>
      <c r="E40" s="1"/>
      <c r="F40" s="1"/>
      <c r="G40" s="1"/>
      <c r="H40" s="27"/>
      <c r="J40" s="119">
        <v>44770</v>
      </c>
      <c r="K40" s="121">
        <v>360.33983999999998</v>
      </c>
      <c r="L40" s="121">
        <v>228.27199999999999</v>
      </c>
      <c r="M40" s="121">
        <v>-132.06783999999999</v>
      </c>
      <c r="N40" s="120">
        <v>228.2</v>
      </c>
      <c r="O40" s="120">
        <v>198.2</v>
      </c>
      <c r="P40" s="39">
        <f t="shared" si="4"/>
        <v>44784</v>
      </c>
      <c r="Q40" s="41">
        <f t="shared" si="0"/>
        <v>312.75720000000001</v>
      </c>
      <c r="R40" s="41">
        <f t="shared" si="1"/>
        <v>238.648</v>
      </c>
      <c r="S40" s="41">
        <f t="shared" si="2"/>
        <v>-74.109200000000016</v>
      </c>
      <c r="T40" s="41">
        <f t="shared" si="3"/>
        <v>232.25</v>
      </c>
      <c r="U40" s="33"/>
    </row>
    <row r="41" spans="2:21">
      <c r="B41" s="7"/>
      <c r="C41" s="1"/>
      <c r="D41" s="1"/>
      <c r="E41" s="1"/>
      <c r="F41" s="1"/>
      <c r="G41" s="1"/>
      <c r="H41" s="27"/>
      <c r="J41" s="119">
        <v>44769</v>
      </c>
      <c r="K41" s="121">
        <v>360.33983999999998</v>
      </c>
      <c r="L41" s="121">
        <v>228.27199999999999</v>
      </c>
      <c r="M41" s="121">
        <v>-132.06783999999999</v>
      </c>
      <c r="N41" s="120">
        <v>228.2</v>
      </c>
      <c r="O41" s="120">
        <v>198.2</v>
      </c>
      <c r="P41" s="39">
        <f t="shared" si="4"/>
        <v>44783</v>
      </c>
      <c r="Q41" s="41">
        <f t="shared" si="0"/>
        <v>312.75720000000001</v>
      </c>
      <c r="R41" s="41">
        <f t="shared" si="1"/>
        <v>238.648</v>
      </c>
      <c r="S41" s="41">
        <f t="shared" si="2"/>
        <v>-74.109200000000016</v>
      </c>
      <c r="T41" s="41">
        <f t="shared" si="3"/>
        <v>232.25</v>
      </c>
      <c r="U41" s="33"/>
    </row>
    <row r="42" spans="2:21">
      <c r="B42" s="7"/>
      <c r="C42" s="1"/>
      <c r="D42" s="1"/>
      <c r="E42" s="1"/>
      <c r="F42" s="1"/>
      <c r="G42" s="1"/>
      <c r="H42" s="1"/>
      <c r="J42" s="119">
        <v>44768</v>
      </c>
      <c r="K42" s="121">
        <v>360.33983999999998</v>
      </c>
      <c r="L42" s="121">
        <v>228.27199999999999</v>
      </c>
      <c r="M42" s="121">
        <v>-132.06783999999999</v>
      </c>
      <c r="N42" s="120">
        <v>228.2</v>
      </c>
      <c r="O42" s="120">
        <v>198.2</v>
      </c>
      <c r="P42" s="39">
        <f t="shared" si="4"/>
        <v>44782</v>
      </c>
      <c r="Q42" s="41">
        <f t="shared" si="0"/>
        <v>312.75720000000001</v>
      </c>
      <c r="R42" s="41">
        <f t="shared" si="1"/>
        <v>238.648</v>
      </c>
      <c r="S42" s="41">
        <f t="shared" si="2"/>
        <v>-74.109200000000016</v>
      </c>
      <c r="T42" s="41">
        <f t="shared" si="3"/>
        <v>232.25</v>
      </c>
      <c r="U42" s="33"/>
    </row>
    <row r="43" spans="2:21" ht="14.25" customHeight="1">
      <c r="B43" s="7"/>
      <c r="C43" s="1"/>
      <c r="D43" s="1"/>
      <c r="E43" s="1"/>
      <c r="F43" s="1"/>
      <c r="G43" s="1"/>
      <c r="H43" s="29"/>
      <c r="J43" s="119">
        <v>44767</v>
      </c>
      <c r="K43" s="121">
        <v>360.33983999999998</v>
      </c>
      <c r="L43" s="121">
        <v>223.084</v>
      </c>
      <c r="M43" s="121">
        <v>-137.25583999999998</v>
      </c>
      <c r="N43" s="120">
        <v>228.2</v>
      </c>
      <c r="O43" s="120">
        <v>198.2</v>
      </c>
      <c r="P43" s="39">
        <f t="shared" si="4"/>
        <v>44781</v>
      </c>
      <c r="Q43" s="41">
        <f t="shared" si="0"/>
        <v>312.75720000000001</v>
      </c>
      <c r="R43" s="41">
        <f t="shared" si="1"/>
        <v>238.648</v>
      </c>
      <c r="S43" s="41">
        <f t="shared" si="2"/>
        <v>-74.109200000000016</v>
      </c>
      <c r="T43" s="41">
        <f t="shared" si="3"/>
        <v>232.25</v>
      </c>
      <c r="U43" s="33"/>
    </row>
    <row r="44" spans="2:21" ht="14.25" customHeight="1">
      <c r="B44" s="7"/>
      <c r="C44" s="1"/>
      <c r="D44" s="1"/>
      <c r="E44" s="1"/>
      <c r="F44" s="1"/>
      <c r="G44" s="1"/>
      <c r="H44" s="29"/>
      <c r="J44" s="119">
        <v>44764</v>
      </c>
      <c r="K44" s="121">
        <v>360.33983999999998</v>
      </c>
      <c r="L44" s="121">
        <v>223.084</v>
      </c>
      <c r="M44" s="121">
        <v>-137.25583999999998</v>
      </c>
      <c r="N44" s="120">
        <v>228.2</v>
      </c>
      <c r="O44" s="120">
        <v>198.2</v>
      </c>
      <c r="P44" s="39">
        <f t="shared" si="4"/>
        <v>44780</v>
      </c>
      <c r="Q44" s="41">
        <f t="shared" si="0"/>
        <v>312.75720000000001</v>
      </c>
      <c r="R44" s="41">
        <f t="shared" si="1"/>
        <v>238.648</v>
      </c>
      <c r="S44" s="41">
        <f t="shared" si="2"/>
        <v>-74.109200000000016</v>
      </c>
      <c r="T44" s="41">
        <f t="shared" si="3"/>
        <v>232.25</v>
      </c>
      <c r="U44" s="33"/>
    </row>
    <row r="45" spans="2:21">
      <c r="B45" s="7"/>
      <c r="C45" s="1"/>
      <c r="D45" s="1"/>
      <c r="E45" s="1"/>
      <c r="F45" s="1"/>
      <c r="G45" s="1"/>
      <c r="H45" s="27"/>
      <c r="J45" s="119">
        <v>44763</v>
      </c>
      <c r="K45" s="121">
        <v>376.26120000000003</v>
      </c>
      <c r="L45" s="121">
        <v>223.084</v>
      </c>
      <c r="M45" s="121">
        <v>-153.17720000000003</v>
      </c>
      <c r="N45" s="120">
        <v>226</v>
      </c>
      <c r="O45" s="120">
        <v>196</v>
      </c>
      <c r="P45" s="39">
        <f t="shared" si="4"/>
        <v>44779</v>
      </c>
      <c r="Q45" s="41">
        <f t="shared" si="0"/>
        <v>312.75720000000001</v>
      </c>
      <c r="R45" s="41">
        <f t="shared" si="1"/>
        <v>238.648</v>
      </c>
      <c r="S45" s="41">
        <f t="shared" si="2"/>
        <v>-74.109200000000016</v>
      </c>
      <c r="T45" s="41">
        <f t="shared" si="3"/>
        <v>232.25</v>
      </c>
      <c r="U45" s="33"/>
    </row>
    <row r="46" spans="2:21">
      <c r="C46" s="8"/>
      <c r="D46" s="8"/>
      <c r="E46" s="8"/>
      <c r="F46" s="8"/>
      <c r="G46" s="8"/>
      <c r="H46" s="23"/>
      <c r="J46" s="119">
        <v>44762</v>
      </c>
      <c r="K46" s="121">
        <v>376.26120000000003</v>
      </c>
      <c r="L46" s="121">
        <v>223.084</v>
      </c>
      <c r="M46" s="121">
        <v>-153.17720000000003</v>
      </c>
      <c r="N46" s="120">
        <v>226</v>
      </c>
      <c r="O46" s="120">
        <v>196</v>
      </c>
      <c r="P46" s="39">
        <f t="shared" si="4"/>
        <v>44778</v>
      </c>
      <c r="Q46" s="41">
        <f t="shared" si="0"/>
        <v>312.75720000000001</v>
      </c>
      <c r="R46" s="41">
        <f t="shared" si="1"/>
        <v>238.648</v>
      </c>
      <c r="S46" s="41">
        <f t="shared" si="2"/>
        <v>-74.109200000000016</v>
      </c>
      <c r="T46" s="41">
        <f t="shared" si="3"/>
        <v>232.25</v>
      </c>
      <c r="U46" s="33"/>
    </row>
    <row r="47" spans="2:21">
      <c r="B47" s="19" t="s">
        <v>7</v>
      </c>
      <c r="C47" s="10"/>
      <c r="D47" s="10"/>
      <c r="E47" s="10"/>
      <c r="F47" s="10"/>
      <c r="G47" s="10"/>
      <c r="H47" s="28"/>
      <c r="J47" s="119">
        <v>44761</v>
      </c>
      <c r="K47" s="121">
        <v>376.26120000000003</v>
      </c>
      <c r="L47" s="121">
        <v>223.084</v>
      </c>
      <c r="M47" s="121">
        <v>-153.17720000000003</v>
      </c>
      <c r="N47" s="120">
        <v>226</v>
      </c>
      <c r="O47" s="120">
        <v>196</v>
      </c>
      <c r="P47" s="39">
        <f t="shared" si="4"/>
        <v>44777</v>
      </c>
      <c r="Q47" s="41">
        <f t="shared" si="0"/>
        <v>341.47008</v>
      </c>
      <c r="R47" s="41">
        <f t="shared" si="1"/>
        <v>238.648</v>
      </c>
      <c r="S47" s="41">
        <f t="shared" si="2"/>
        <v>-102.82208</v>
      </c>
      <c r="T47" s="41">
        <f t="shared" si="3"/>
        <v>236.64</v>
      </c>
      <c r="U47" s="33"/>
    </row>
    <row r="48" spans="2:21">
      <c r="B48" s="5" t="s">
        <v>15</v>
      </c>
      <c r="G48" s="8"/>
      <c r="H48" s="8"/>
      <c r="J48" s="119">
        <v>44760</v>
      </c>
      <c r="K48" s="121">
        <v>376.26120000000003</v>
      </c>
      <c r="L48" s="121">
        <v>223.084</v>
      </c>
      <c r="M48" s="121">
        <v>-153.17720000000003</v>
      </c>
      <c r="N48" s="120">
        <v>226</v>
      </c>
      <c r="O48" s="120">
        <v>196</v>
      </c>
      <c r="P48" s="39">
        <f t="shared" si="4"/>
        <v>44776</v>
      </c>
      <c r="Q48" s="41">
        <f t="shared" si="0"/>
        <v>341.47008</v>
      </c>
      <c r="R48" s="41">
        <f t="shared" si="1"/>
        <v>238.648</v>
      </c>
      <c r="S48" s="41">
        <f t="shared" si="2"/>
        <v>-102.82208</v>
      </c>
      <c r="T48" s="41">
        <f t="shared" si="3"/>
        <v>236.64</v>
      </c>
      <c r="U48" s="33"/>
    </row>
    <row r="49" spans="2:21">
      <c r="B49" s="2" t="s">
        <v>5</v>
      </c>
      <c r="C49" s="8"/>
      <c r="D49" s="6" t="s">
        <v>9</v>
      </c>
      <c r="H49" s="8"/>
      <c r="J49" s="119">
        <v>44757</v>
      </c>
      <c r="K49" s="121">
        <v>376.26120000000003</v>
      </c>
      <c r="L49" s="121">
        <v>223.084</v>
      </c>
      <c r="M49" s="121">
        <v>-153.17720000000003</v>
      </c>
      <c r="N49" s="120">
        <v>226</v>
      </c>
      <c r="O49" s="120">
        <v>196</v>
      </c>
      <c r="P49" s="39">
        <f t="shared" si="4"/>
        <v>44775</v>
      </c>
      <c r="Q49" s="41">
        <f t="shared" si="0"/>
        <v>341.47008</v>
      </c>
      <c r="R49" s="41">
        <f t="shared" si="1"/>
        <v>238.648</v>
      </c>
      <c r="S49" s="41">
        <f t="shared" si="2"/>
        <v>-102.82208</v>
      </c>
      <c r="T49" s="41">
        <f t="shared" si="3"/>
        <v>236.64</v>
      </c>
      <c r="U49" s="33"/>
    </row>
    <row r="50" spans="2:21">
      <c r="B50" s="2" t="s">
        <v>6</v>
      </c>
      <c r="C50" s="9"/>
      <c r="D50" s="2" t="s">
        <v>10</v>
      </c>
      <c r="H50" s="8"/>
      <c r="J50" s="119">
        <v>44756</v>
      </c>
      <c r="K50" s="121">
        <v>373.31279999999998</v>
      </c>
      <c r="L50" s="121">
        <v>223.084</v>
      </c>
      <c r="M50" s="121">
        <v>-150.22879999999998</v>
      </c>
      <c r="N50" s="120">
        <v>224.5</v>
      </c>
      <c r="O50" s="120">
        <v>194.5</v>
      </c>
      <c r="P50" s="39">
        <f t="shared" si="4"/>
        <v>44774</v>
      </c>
      <c r="Q50" s="41">
        <f t="shared" si="0"/>
        <v>341.47008</v>
      </c>
      <c r="R50" s="41">
        <f t="shared" si="1"/>
        <v>228.27199999999999</v>
      </c>
      <c r="S50" s="41">
        <f t="shared" si="2"/>
        <v>-113.19808</v>
      </c>
      <c r="T50" s="41">
        <f t="shared" si="3"/>
        <v>236.64</v>
      </c>
      <c r="U50" s="33"/>
    </row>
    <row r="51" spans="2:21">
      <c r="C51" s="9"/>
      <c r="D51" s="2" t="s">
        <v>11</v>
      </c>
      <c r="J51" s="119">
        <v>44755</v>
      </c>
      <c r="K51" s="121">
        <v>373.31279999999998</v>
      </c>
      <c r="L51" s="121">
        <v>223.084</v>
      </c>
      <c r="M51" s="121">
        <v>-150.22879999999998</v>
      </c>
      <c r="N51" s="120">
        <v>224.5</v>
      </c>
      <c r="O51" s="120">
        <v>194.5</v>
      </c>
      <c r="P51" s="39">
        <f t="shared" si="4"/>
        <v>44773</v>
      </c>
      <c r="Q51" s="41">
        <f t="shared" si="0"/>
        <v>341.47008</v>
      </c>
      <c r="R51" s="41">
        <f t="shared" si="1"/>
        <v>228.27199999999999</v>
      </c>
      <c r="S51" s="41">
        <f t="shared" si="2"/>
        <v>-113.19808</v>
      </c>
      <c r="T51" s="41">
        <f t="shared" si="3"/>
        <v>236.64</v>
      </c>
      <c r="U51" s="33"/>
    </row>
    <row r="52" spans="2:21">
      <c r="C52" s="9"/>
      <c r="D52" s="8"/>
      <c r="G52" s="21" t="s">
        <v>12</v>
      </c>
      <c r="J52" s="119">
        <v>44754</v>
      </c>
      <c r="K52" s="121">
        <v>373.31279999999998</v>
      </c>
      <c r="L52" s="121">
        <v>223.084</v>
      </c>
      <c r="M52" s="121">
        <v>-150.22879999999998</v>
      </c>
      <c r="N52" s="120">
        <v>224.5</v>
      </c>
      <c r="O52" s="120">
        <v>194.5</v>
      </c>
      <c r="P52" s="39">
        <f t="shared" si="4"/>
        <v>44772</v>
      </c>
      <c r="Q52" s="41">
        <f t="shared" si="0"/>
        <v>341.47008</v>
      </c>
      <c r="R52" s="41">
        <f t="shared" si="1"/>
        <v>228.27199999999999</v>
      </c>
      <c r="S52" s="41">
        <f t="shared" si="2"/>
        <v>-113.19808</v>
      </c>
      <c r="T52" s="41">
        <f t="shared" si="3"/>
        <v>236.64</v>
      </c>
      <c r="U52" s="33"/>
    </row>
    <row r="53" spans="2:21">
      <c r="B53" s="8"/>
      <c r="C53" s="8"/>
      <c r="D53" s="8"/>
      <c r="E53" s="8"/>
      <c r="F53" s="8"/>
      <c r="G53" s="20" t="s">
        <v>17</v>
      </c>
      <c r="H53" s="8"/>
      <c r="J53" s="119">
        <v>44753</v>
      </c>
      <c r="K53" s="121">
        <v>373.31279999999998</v>
      </c>
      <c r="L53" s="121">
        <v>212.708</v>
      </c>
      <c r="M53" s="121">
        <v>-160.60479999999998</v>
      </c>
      <c r="N53" s="120">
        <v>224.5</v>
      </c>
      <c r="O53" s="120">
        <v>194.5</v>
      </c>
      <c r="P53" s="39">
        <f t="shared" si="4"/>
        <v>44771</v>
      </c>
      <c r="Q53" s="41">
        <f t="shared" si="0"/>
        <v>341.47008</v>
      </c>
      <c r="R53" s="41">
        <f t="shared" si="1"/>
        <v>228.27199999999999</v>
      </c>
      <c r="S53" s="41">
        <f t="shared" si="2"/>
        <v>-113.19808</v>
      </c>
      <c r="T53" s="41">
        <f t="shared" si="3"/>
        <v>236.64</v>
      </c>
      <c r="U53" s="33"/>
    </row>
    <row r="54" spans="2:21">
      <c r="B54" s="10"/>
      <c r="C54" s="10"/>
      <c r="D54" s="10"/>
      <c r="E54" s="10"/>
      <c r="F54" s="8"/>
      <c r="G54" s="20" t="s">
        <v>1</v>
      </c>
      <c r="H54" s="8"/>
      <c r="J54" s="119">
        <v>44750</v>
      </c>
      <c r="K54" s="121">
        <v>373.31279999999998</v>
      </c>
      <c r="L54" s="121">
        <v>212.708</v>
      </c>
      <c r="M54" s="121">
        <v>-160.60479999999998</v>
      </c>
      <c r="N54" s="120">
        <v>224.5</v>
      </c>
      <c r="O54" s="120">
        <v>194.5</v>
      </c>
      <c r="P54" s="39">
        <f t="shared" si="4"/>
        <v>44770</v>
      </c>
      <c r="Q54" s="41">
        <f t="shared" si="0"/>
        <v>360.33983999999998</v>
      </c>
      <c r="R54" s="41">
        <f t="shared" si="1"/>
        <v>228.27199999999999</v>
      </c>
      <c r="S54" s="41">
        <f t="shared" si="2"/>
        <v>-132.06783999999999</v>
      </c>
      <c r="T54" s="41">
        <f t="shared" si="3"/>
        <v>228.2</v>
      </c>
      <c r="U54" s="33"/>
    </row>
    <row r="55" spans="2:21">
      <c r="B55" s="5" t="s">
        <v>16</v>
      </c>
      <c r="G55" s="20" t="s">
        <v>18</v>
      </c>
      <c r="J55" s="119">
        <v>44749</v>
      </c>
      <c r="K55" s="121">
        <v>360.83879999999999</v>
      </c>
      <c r="L55" s="121">
        <v>212.708</v>
      </c>
      <c r="M55" s="121">
        <v>-148.13079999999999</v>
      </c>
      <c r="N55" s="120">
        <v>211.25</v>
      </c>
      <c r="O55" s="120">
        <v>181.25</v>
      </c>
      <c r="P55" s="39">
        <f t="shared" si="4"/>
        <v>44769</v>
      </c>
      <c r="Q55" s="41">
        <f t="shared" si="0"/>
        <v>360.33983999999998</v>
      </c>
      <c r="R55" s="41">
        <f t="shared" si="1"/>
        <v>228.27199999999999</v>
      </c>
      <c r="S55" s="41">
        <f t="shared" si="2"/>
        <v>-132.06783999999999</v>
      </c>
      <c r="T55" s="41">
        <f t="shared" si="3"/>
        <v>228.2</v>
      </c>
      <c r="U55" s="33"/>
    </row>
    <row r="56" spans="2:21">
      <c r="G56" s="23" t="s">
        <v>19</v>
      </c>
      <c r="J56" s="119">
        <v>44748</v>
      </c>
      <c r="K56" s="121">
        <v>360.83879999999999</v>
      </c>
      <c r="L56" s="121">
        <v>212.708</v>
      </c>
      <c r="M56" s="121">
        <v>-148.13079999999999</v>
      </c>
      <c r="N56" s="120">
        <v>211.25</v>
      </c>
      <c r="O56" s="120">
        <v>181.25</v>
      </c>
      <c r="P56" s="39">
        <f t="shared" si="4"/>
        <v>44768</v>
      </c>
      <c r="Q56" s="41">
        <f t="shared" si="0"/>
        <v>360.33983999999998</v>
      </c>
      <c r="R56" s="41">
        <f t="shared" si="1"/>
        <v>228.27199999999999</v>
      </c>
      <c r="S56" s="41">
        <f t="shared" si="2"/>
        <v>-132.06783999999999</v>
      </c>
      <c r="T56" s="41">
        <f t="shared" si="3"/>
        <v>228.2</v>
      </c>
      <c r="U56" s="33"/>
    </row>
    <row r="57" spans="2:21">
      <c r="J57" s="119">
        <v>44747</v>
      </c>
      <c r="K57" s="121">
        <v>360.83879999999999</v>
      </c>
      <c r="L57" s="121">
        <v>212.708</v>
      </c>
      <c r="M57" s="121">
        <v>-148.13079999999999</v>
      </c>
      <c r="N57" s="120">
        <v>211.25</v>
      </c>
      <c r="O57" s="120">
        <v>181.25</v>
      </c>
      <c r="P57" s="39">
        <f t="shared" si="4"/>
        <v>44767</v>
      </c>
      <c r="Q57" s="41">
        <f t="shared" si="0"/>
        <v>360.33983999999998</v>
      </c>
      <c r="R57" s="41">
        <f t="shared" si="1"/>
        <v>223.084</v>
      </c>
      <c r="S57" s="41">
        <f t="shared" si="2"/>
        <v>-137.25583999999998</v>
      </c>
      <c r="T57" s="41">
        <f t="shared" si="3"/>
        <v>228.2</v>
      </c>
      <c r="U57" s="33"/>
    </row>
    <row r="58" spans="2:21">
      <c r="J58" s="119">
        <v>44746</v>
      </c>
      <c r="K58" s="121">
        <v>360.83879999999999</v>
      </c>
      <c r="L58" s="121">
        <v>212.708</v>
      </c>
      <c r="M58" s="121">
        <v>-148.13079999999999</v>
      </c>
      <c r="N58" s="120">
        <v>211.25</v>
      </c>
      <c r="O58" s="120">
        <v>181.25</v>
      </c>
      <c r="P58" s="39">
        <f t="shared" si="4"/>
        <v>44766</v>
      </c>
      <c r="Q58" s="41">
        <f t="shared" si="0"/>
        <v>360.33983999999998</v>
      </c>
      <c r="R58" s="41">
        <f t="shared" si="1"/>
        <v>223.084</v>
      </c>
      <c r="S58" s="41">
        <f t="shared" si="2"/>
        <v>-137.25583999999998</v>
      </c>
      <c r="T58" s="41">
        <f t="shared" si="3"/>
        <v>228.2</v>
      </c>
      <c r="U58" s="33"/>
    </row>
    <row r="59" spans="2:21">
      <c r="B59" s="8"/>
      <c r="C59" s="8"/>
      <c r="D59" s="8"/>
      <c r="E59" s="8"/>
      <c r="F59" s="8"/>
      <c r="G59" s="8"/>
      <c r="H59" s="8"/>
      <c r="J59" s="119">
        <v>44743</v>
      </c>
      <c r="K59" s="121">
        <v>360.83879999999999</v>
      </c>
      <c r="L59" s="121">
        <v>212.708</v>
      </c>
      <c r="M59" s="121">
        <v>-148.13079999999999</v>
      </c>
      <c r="N59" s="120">
        <v>211.25</v>
      </c>
      <c r="O59" s="120">
        <v>181.25</v>
      </c>
      <c r="P59" s="39">
        <f t="shared" si="4"/>
        <v>44765</v>
      </c>
      <c r="Q59" s="41">
        <f t="shared" si="0"/>
        <v>360.33983999999998</v>
      </c>
      <c r="R59" s="41">
        <f t="shared" si="1"/>
        <v>223.084</v>
      </c>
      <c r="S59" s="41">
        <f t="shared" si="2"/>
        <v>-137.25583999999998</v>
      </c>
      <c r="T59" s="41">
        <f t="shared" si="3"/>
        <v>228.2</v>
      </c>
      <c r="U59" s="33"/>
    </row>
    <row r="60" spans="2:21">
      <c r="B60" s="10"/>
      <c r="C60" s="10"/>
      <c r="D60" s="10"/>
      <c r="E60" s="10"/>
      <c r="F60" s="10"/>
      <c r="G60" s="10"/>
      <c r="H60" s="10"/>
      <c r="J60" s="119">
        <v>44742</v>
      </c>
      <c r="K60" s="121">
        <v>373.53960000000001</v>
      </c>
      <c r="L60" s="121">
        <v>217.89599999999999</v>
      </c>
      <c r="M60" s="121">
        <v>-155.64360000000002</v>
      </c>
      <c r="N60" s="120">
        <v>211</v>
      </c>
      <c r="O60" s="120">
        <v>181</v>
      </c>
      <c r="P60" s="39">
        <f t="shared" si="4"/>
        <v>44764</v>
      </c>
      <c r="Q60" s="41">
        <f t="shared" si="0"/>
        <v>360.33983999999998</v>
      </c>
      <c r="R60" s="41">
        <f t="shared" si="1"/>
        <v>223.084</v>
      </c>
      <c r="S60" s="41">
        <f t="shared" si="2"/>
        <v>-137.25583999999998</v>
      </c>
      <c r="T60" s="41">
        <f t="shared" si="3"/>
        <v>228.2</v>
      </c>
      <c r="U60" s="33"/>
    </row>
    <row r="61" spans="2:21">
      <c r="J61" s="119">
        <v>44741</v>
      </c>
      <c r="K61" s="121">
        <v>373.53960000000001</v>
      </c>
      <c r="L61" s="121">
        <v>217.89599999999999</v>
      </c>
      <c r="M61" s="121">
        <v>-155.64360000000002</v>
      </c>
      <c r="N61" s="120">
        <v>211</v>
      </c>
      <c r="O61" s="120">
        <v>181</v>
      </c>
      <c r="P61" s="39">
        <f t="shared" si="4"/>
        <v>44763</v>
      </c>
      <c r="Q61" s="41">
        <f t="shared" si="0"/>
        <v>376.26120000000003</v>
      </c>
      <c r="R61" s="41">
        <f t="shared" si="1"/>
        <v>223.084</v>
      </c>
      <c r="S61" s="41">
        <f t="shared" si="2"/>
        <v>-153.17720000000003</v>
      </c>
      <c r="T61" s="41">
        <f t="shared" si="3"/>
        <v>226</v>
      </c>
      <c r="U61" s="33"/>
    </row>
    <row r="62" spans="2:21">
      <c r="J62" s="119">
        <v>44740</v>
      </c>
      <c r="K62" s="121">
        <v>373.53960000000001</v>
      </c>
      <c r="L62" s="121">
        <v>217.89599999999999</v>
      </c>
      <c r="M62" s="121">
        <v>-155.64360000000002</v>
      </c>
      <c r="N62" s="120">
        <v>211</v>
      </c>
      <c r="O62" s="120">
        <v>181</v>
      </c>
      <c r="P62" s="39">
        <f t="shared" si="4"/>
        <v>44762</v>
      </c>
      <c r="Q62" s="41">
        <f t="shared" si="0"/>
        <v>376.26120000000003</v>
      </c>
      <c r="R62" s="41">
        <f t="shared" si="1"/>
        <v>223.084</v>
      </c>
      <c r="S62" s="41">
        <f t="shared" si="2"/>
        <v>-153.17720000000003</v>
      </c>
      <c r="T62" s="41">
        <f t="shared" si="3"/>
        <v>226</v>
      </c>
      <c r="U62" s="33"/>
    </row>
    <row r="63" spans="2:21">
      <c r="J63" s="119">
        <v>44739</v>
      </c>
      <c r="K63" s="121">
        <v>373.53960000000001</v>
      </c>
      <c r="L63" s="121">
        <v>217.89599999999999</v>
      </c>
      <c r="M63" s="121">
        <v>-155.64360000000002</v>
      </c>
      <c r="N63" s="120">
        <v>211</v>
      </c>
      <c r="O63" s="120">
        <v>181</v>
      </c>
      <c r="P63" s="39">
        <f t="shared" si="4"/>
        <v>44761</v>
      </c>
      <c r="Q63" s="41">
        <f t="shared" si="0"/>
        <v>376.26120000000003</v>
      </c>
      <c r="R63" s="41">
        <f t="shared" si="1"/>
        <v>223.084</v>
      </c>
      <c r="S63" s="41">
        <f t="shared" si="2"/>
        <v>-153.17720000000003</v>
      </c>
      <c r="T63" s="41">
        <f t="shared" si="3"/>
        <v>226</v>
      </c>
      <c r="U63" s="33"/>
    </row>
    <row r="64" spans="2:21">
      <c r="C64" s="11" t="s">
        <v>13</v>
      </c>
      <c r="D64" s="12"/>
      <c r="E64" s="13"/>
      <c r="J64" s="119">
        <v>44736</v>
      </c>
      <c r="K64" s="121">
        <v>373.53960000000001</v>
      </c>
      <c r="L64" s="121">
        <v>212.708</v>
      </c>
      <c r="M64" s="121">
        <v>-160.83160000000001</v>
      </c>
      <c r="N64" s="120">
        <v>211</v>
      </c>
      <c r="O64" s="120">
        <v>181</v>
      </c>
      <c r="P64" s="39">
        <f t="shared" si="4"/>
        <v>44760</v>
      </c>
      <c r="Q64" s="41">
        <f t="shared" si="0"/>
        <v>376.26120000000003</v>
      </c>
      <c r="R64" s="41">
        <f t="shared" si="1"/>
        <v>223.084</v>
      </c>
      <c r="S64" s="41">
        <f t="shared" si="2"/>
        <v>-153.17720000000003</v>
      </c>
      <c r="T64" s="41">
        <f t="shared" si="3"/>
        <v>226</v>
      </c>
      <c r="U64" s="33"/>
    </row>
    <row r="65" spans="3:21">
      <c r="C65" s="14" t="str">
        <f>IF(G4="","Source: "&amp; G7,"Notes: " &amp; G4 &amp; CHAR(10) &amp; "Source: "&amp;G7)</f>
        <v>Source: McCloskey by OPIS</v>
      </c>
      <c r="D65" s="8"/>
      <c r="E65" s="15"/>
      <c r="J65" s="119">
        <v>44735</v>
      </c>
      <c r="K65" s="121">
        <v>351.76679999999999</v>
      </c>
      <c r="L65" s="121">
        <v>212.708</v>
      </c>
      <c r="M65" s="121">
        <v>-139.05879999999999</v>
      </c>
      <c r="N65" s="120">
        <v>198.3</v>
      </c>
      <c r="O65" s="120">
        <v>168.3</v>
      </c>
      <c r="P65" s="39">
        <f t="shared" si="4"/>
        <v>44759</v>
      </c>
      <c r="Q65" s="41">
        <f t="shared" si="0"/>
        <v>376.26120000000003</v>
      </c>
      <c r="R65" s="41">
        <f t="shared" si="1"/>
        <v>223.084</v>
      </c>
      <c r="S65" s="41">
        <f t="shared" si="2"/>
        <v>-153.17720000000003</v>
      </c>
      <c r="T65" s="41">
        <f t="shared" si="3"/>
        <v>226</v>
      </c>
      <c r="U65" s="33"/>
    </row>
    <row r="66" spans="3:21">
      <c r="C66" s="16" t="str">
        <f>CHAR(169) &amp; " 2021 "&amp;G7</f>
        <v>© 2021 McCloskey by OPIS</v>
      </c>
      <c r="D66" s="17"/>
      <c r="E66" s="18"/>
      <c r="J66" s="119">
        <v>44734</v>
      </c>
      <c r="K66" s="121">
        <v>351.76679999999999</v>
      </c>
      <c r="L66" s="121">
        <v>212.708</v>
      </c>
      <c r="M66" s="121">
        <v>-139.05879999999999</v>
      </c>
      <c r="N66" s="120">
        <v>198.3</v>
      </c>
      <c r="O66" s="120">
        <v>168.3</v>
      </c>
      <c r="P66" s="39">
        <f t="shared" si="4"/>
        <v>44758</v>
      </c>
      <c r="Q66" s="41">
        <f t="shared" si="0"/>
        <v>376.26120000000003</v>
      </c>
      <c r="R66" s="41">
        <f t="shared" si="1"/>
        <v>223.084</v>
      </c>
      <c r="S66" s="41">
        <f t="shared" si="2"/>
        <v>-153.17720000000003</v>
      </c>
      <c r="T66" s="41">
        <f t="shared" si="3"/>
        <v>226</v>
      </c>
    </row>
    <row r="67" spans="3:21">
      <c r="J67" s="119">
        <v>44733</v>
      </c>
      <c r="K67" s="121">
        <v>351.76679999999999</v>
      </c>
      <c r="L67" s="121">
        <v>207.52</v>
      </c>
      <c r="M67" s="121">
        <v>-144.24679999999998</v>
      </c>
      <c r="N67" s="120">
        <v>198.3</v>
      </c>
      <c r="O67" s="120">
        <v>168.3</v>
      </c>
      <c r="P67" s="39">
        <f t="shared" si="4"/>
        <v>44757</v>
      </c>
      <c r="Q67" s="41">
        <f t="shared" si="0"/>
        <v>376.26120000000003</v>
      </c>
      <c r="R67" s="41">
        <f t="shared" si="1"/>
        <v>223.084</v>
      </c>
      <c r="S67" s="41">
        <f t="shared" si="2"/>
        <v>-153.17720000000003</v>
      </c>
      <c r="T67" s="41">
        <f t="shared" si="3"/>
        <v>226</v>
      </c>
    </row>
    <row r="68" spans="3:21">
      <c r="J68" s="119">
        <v>44732</v>
      </c>
      <c r="K68" s="121">
        <v>351.76679999999999</v>
      </c>
      <c r="L68" s="121">
        <v>207.52</v>
      </c>
      <c r="M68" s="121">
        <v>-144.24679999999998</v>
      </c>
      <c r="N68" s="120">
        <v>198.3</v>
      </c>
      <c r="O68" s="120">
        <v>168.3</v>
      </c>
      <c r="P68" s="39">
        <f t="shared" si="4"/>
        <v>44756</v>
      </c>
      <c r="Q68" s="41">
        <f t="shared" si="0"/>
        <v>373.31279999999998</v>
      </c>
      <c r="R68" s="41">
        <f t="shared" si="1"/>
        <v>223.084</v>
      </c>
      <c r="S68" s="41">
        <f t="shared" si="2"/>
        <v>-150.22879999999998</v>
      </c>
      <c r="T68" s="41">
        <f t="shared" si="3"/>
        <v>224.5</v>
      </c>
    </row>
    <row r="69" spans="3:21">
      <c r="J69" s="119">
        <v>44729</v>
      </c>
      <c r="K69" s="121">
        <v>351.76679999999999</v>
      </c>
      <c r="L69" s="121">
        <v>207.52</v>
      </c>
      <c r="M69" s="121">
        <v>-144.24679999999998</v>
      </c>
      <c r="N69" s="120">
        <v>198.3</v>
      </c>
      <c r="O69" s="120">
        <v>168.3</v>
      </c>
      <c r="P69" s="39">
        <f t="shared" si="4"/>
        <v>44755</v>
      </c>
      <c r="Q69" s="41">
        <f t="shared" si="0"/>
        <v>373.31279999999998</v>
      </c>
      <c r="R69" s="41">
        <f t="shared" si="1"/>
        <v>223.084</v>
      </c>
      <c r="S69" s="41">
        <f t="shared" si="2"/>
        <v>-150.22879999999998</v>
      </c>
      <c r="T69" s="41">
        <f t="shared" si="3"/>
        <v>224.5</v>
      </c>
    </row>
    <row r="70" spans="3:21">
      <c r="J70" s="119">
        <v>44728</v>
      </c>
      <c r="K70" s="121">
        <v>309.1284</v>
      </c>
      <c r="L70" s="121">
        <v>197.14400000000001</v>
      </c>
      <c r="M70" s="121">
        <v>-111.98439999999999</v>
      </c>
      <c r="N70" s="120">
        <v>184.19</v>
      </c>
      <c r="O70" s="120">
        <v>154.19</v>
      </c>
      <c r="P70" s="39">
        <f t="shared" si="4"/>
        <v>44754</v>
      </c>
      <c r="Q70" s="41">
        <f t="shared" ref="Q70:Q133" si="5">IFERROR(VLOOKUP($P70,$J$5:$N$403,2,FALSE),Q71)</f>
        <v>373.31279999999998</v>
      </c>
      <c r="R70" s="41">
        <f t="shared" ref="R70:R133" si="6">IFERROR(VLOOKUP($P70,$J$5:$N$403,3,FALSE),R71)</f>
        <v>223.084</v>
      </c>
      <c r="S70" s="41">
        <f t="shared" ref="S70:S133" si="7">IFERROR(VLOOKUP($P70,$J$5:$N$403,4,FALSE),S71)</f>
        <v>-150.22879999999998</v>
      </c>
      <c r="T70" s="41">
        <f t="shared" ref="T70:T133" si="8">IFERROR(VLOOKUP($P70,$J$5:$N$403,5,FALSE),T71)</f>
        <v>224.5</v>
      </c>
    </row>
    <row r="71" spans="3:21">
      <c r="J71" s="119">
        <v>44727</v>
      </c>
      <c r="K71" s="121">
        <v>309.1284</v>
      </c>
      <c r="L71" s="121">
        <v>197.14400000000001</v>
      </c>
      <c r="M71" s="121">
        <v>-111.98439999999999</v>
      </c>
      <c r="N71" s="120">
        <v>184.19</v>
      </c>
      <c r="O71" s="120">
        <v>154.19</v>
      </c>
      <c r="P71" s="39">
        <f t="shared" ref="P71:P134" si="9">P70-1</f>
        <v>44753</v>
      </c>
      <c r="Q71" s="41">
        <f t="shared" si="5"/>
        <v>373.31279999999998</v>
      </c>
      <c r="R71" s="41">
        <f t="shared" si="6"/>
        <v>212.708</v>
      </c>
      <c r="S71" s="41">
        <f t="shared" si="7"/>
        <v>-160.60479999999998</v>
      </c>
      <c r="T71" s="41">
        <f t="shared" si="8"/>
        <v>224.5</v>
      </c>
    </row>
    <row r="72" spans="3:21">
      <c r="J72" s="119">
        <v>44726</v>
      </c>
      <c r="K72" s="121">
        <v>309.1284</v>
      </c>
      <c r="L72" s="121">
        <v>197.14400000000001</v>
      </c>
      <c r="M72" s="121">
        <v>-111.98439999999999</v>
      </c>
      <c r="N72" s="120">
        <v>184.19</v>
      </c>
      <c r="O72" s="120">
        <v>154.19</v>
      </c>
      <c r="P72" s="39">
        <f t="shared" si="9"/>
        <v>44752</v>
      </c>
      <c r="Q72" s="41">
        <f t="shared" si="5"/>
        <v>373.31279999999998</v>
      </c>
      <c r="R72" s="41">
        <f t="shared" si="6"/>
        <v>212.708</v>
      </c>
      <c r="S72" s="41">
        <f t="shared" si="7"/>
        <v>-160.60479999999998</v>
      </c>
      <c r="T72" s="41">
        <f t="shared" si="8"/>
        <v>224.5</v>
      </c>
    </row>
    <row r="73" spans="3:21">
      <c r="J73" s="119">
        <v>44725</v>
      </c>
      <c r="K73" s="121">
        <v>309.1284</v>
      </c>
      <c r="L73" s="121">
        <v>197.14400000000001</v>
      </c>
      <c r="M73" s="121">
        <v>-111.98439999999999</v>
      </c>
      <c r="N73" s="120">
        <v>184.19</v>
      </c>
      <c r="O73" s="120">
        <v>154.19</v>
      </c>
      <c r="P73" s="39">
        <f t="shared" si="9"/>
        <v>44751</v>
      </c>
      <c r="Q73" s="41">
        <f t="shared" si="5"/>
        <v>373.31279999999998</v>
      </c>
      <c r="R73" s="41">
        <f t="shared" si="6"/>
        <v>212.708</v>
      </c>
      <c r="S73" s="41">
        <f t="shared" si="7"/>
        <v>-160.60479999999998</v>
      </c>
      <c r="T73" s="41">
        <f t="shared" si="8"/>
        <v>224.5</v>
      </c>
    </row>
    <row r="74" spans="3:21">
      <c r="J74" s="119">
        <v>44722</v>
      </c>
      <c r="K74" s="121">
        <v>309.1284</v>
      </c>
      <c r="L74" s="121">
        <v>197.14400000000001</v>
      </c>
      <c r="M74" s="121">
        <v>-111.98439999999999</v>
      </c>
      <c r="N74" s="120">
        <v>184.19</v>
      </c>
      <c r="O74" s="120">
        <v>154.19</v>
      </c>
      <c r="P74" s="39">
        <f t="shared" si="9"/>
        <v>44750</v>
      </c>
      <c r="Q74" s="41">
        <f t="shared" si="5"/>
        <v>373.31279999999998</v>
      </c>
      <c r="R74" s="41">
        <f t="shared" si="6"/>
        <v>212.708</v>
      </c>
      <c r="S74" s="41">
        <f t="shared" si="7"/>
        <v>-160.60479999999998</v>
      </c>
      <c r="T74" s="41">
        <f t="shared" si="8"/>
        <v>224.5</v>
      </c>
    </row>
    <row r="75" spans="3:21">
      <c r="J75" s="119">
        <v>44721</v>
      </c>
      <c r="K75" s="121">
        <v>323.41680000000002</v>
      </c>
      <c r="L75" s="121">
        <v>197.14400000000001</v>
      </c>
      <c r="M75" s="121">
        <v>-126.27280000000002</v>
      </c>
      <c r="N75" s="120">
        <v>187</v>
      </c>
      <c r="O75" s="120">
        <v>157</v>
      </c>
      <c r="P75" s="39">
        <f t="shared" si="9"/>
        <v>44749</v>
      </c>
      <c r="Q75" s="41">
        <f t="shared" si="5"/>
        <v>360.83879999999999</v>
      </c>
      <c r="R75" s="41">
        <f t="shared" si="6"/>
        <v>212.708</v>
      </c>
      <c r="S75" s="41">
        <f t="shared" si="7"/>
        <v>-148.13079999999999</v>
      </c>
      <c r="T75" s="41">
        <f t="shared" si="8"/>
        <v>211.25</v>
      </c>
    </row>
    <row r="76" spans="3:21">
      <c r="J76" s="119">
        <v>44720</v>
      </c>
      <c r="K76" s="121">
        <v>323.41680000000002</v>
      </c>
      <c r="L76" s="121">
        <v>197.14400000000001</v>
      </c>
      <c r="M76" s="121">
        <v>-126.27280000000002</v>
      </c>
      <c r="N76" s="120">
        <v>187</v>
      </c>
      <c r="O76" s="120">
        <v>157</v>
      </c>
      <c r="P76" s="39">
        <f t="shared" si="9"/>
        <v>44748</v>
      </c>
      <c r="Q76" s="41">
        <f t="shared" si="5"/>
        <v>360.83879999999999</v>
      </c>
      <c r="R76" s="41">
        <f t="shared" si="6"/>
        <v>212.708</v>
      </c>
      <c r="S76" s="41">
        <f t="shared" si="7"/>
        <v>-148.13079999999999</v>
      </c>
      <c r="T76" s="41">
        <f t="shared" si="8"/>
        <v>211.25</v>
      </c>
    </row>
    <row r="77" spans="3:21">
      <c r="J77" s="119">
        <v>44719</v>
      </c>
      <c r="K77" s="121">
        <v>323.41680000000002</v>
      </c>
      <c r="L77" s="121">
        <v>191.95599999999999</v>
      </c>
      <c r="M77" s="121">
        <v>-131.46080000000003</v>
      </c>
      <c r="N77" s="120">
        <v>187</v>
      </c>
      <c r="O77" s="120">
        <v>157</v>
      </c>
      <c r="P77" s="39">
        <f t="shared" si="9"/>
        <v>44747</v>
      </c>
      <c r="Q77" s="41">
        <f t="shared" si="5"/>
        <v>360.83879999999999</v>
      </c>
      <c r="R77" s="41">
        <f t="shared" si="6"/>
        <v>212.708</v>
      </c>
      <c r="S77" s="41">
        <f t="shared" si="7"/>
        <v>-148.13079999999999</v>
      </c>
      <c r="T77" s="41">
        <f t="shared" si="8"/>
        <v>211.25</v>
      </c>
    </row>
    <row r="78" spans="3:21">
      <c r="J78" s="119">
        <v>44718</v>
      </c>
      <c r="K78" s="121">
        <v>323.41680000000002</v>
      </c>
      <c r="L78" s="121">
        <v>191.95599999999999</v>
      </c>
      <c r="M78" s="121">
        <v>-131.46080000000003</v>
      </c>
      <c r="N78" s="120">
        <v>187</v>
      </c>
      <c r="O78" s="120">
        <v>157</v>
      </c>
      <c r="P78" s="39">
        <f t="shared" si="9"/>
        <v>44746</v>
      </c>
      <c r="Q78" s="41">
        <f t="shared" si="5"/>
        <v>360.83879999999999</v>
      </c>
      <c r="R78" s="41">
        <f t="shared" si="6"/>
        <v>212.708</v>
      </c>
      <c r="S78" s="41">
        <f t="shared" si="7"/>
        <v>-148.13079999999999</v>
      </c>
      <c r="T78" s="41">
        <f t="shared" si="8"/>
        <v>211.25</v>
      </c>
    </row>
    <row r="79" spans="3:21">
      <c r="J79" s="119">
        <v>44715</v>
      </c>
      <c r="K79" s="121">
        <v>323.41680000000002</v>
      </c>
      <c r="L79" s="121">
        <v>191.95599999999999</v>
      </c>
      <c r="M79" s="121">
        <v>-131.46080000000003</v>
      </c>
      <c r="N79" s="120">
        <v>187</v>
      </c>
      <c r="O79" s="120">
        <v>157</v>
      </c>
      <c r="P79" s="39">
        <f t="shared" si="9"/>
        <v>44745</v>
      </c>
      <c r="Q79" s="41">
        <f t="shared" si="5"/>
        <v>360.83879999999999</v>
      </c>
      <c r="R79" s="41">
        <f t="shared" si="6"/>
        <v>212.708</v>
      </c>
      <c r="S79" s="41">
        <f t="shared" si="7"/>
        <v>-148.13079999999999</v>
      </c>
      <c r="T79" s="41">
        <f t="shared" si="8"/>
        <v>211.25</v>
      </c>
    </row>
    <row r="80" spans="3:21">
      <c r="J80" s="119">
        <v>44714</v>
      </c>
      <c r="K80" s="121">
        <v>306.40679999999998</v>
      </c>
      <c r="L80" s="121">
        <v>186.768</v>
      </c>
      <c r="M80" s="121">
        <v>-119.63879999999997</v>
      </c>
      <c r="N80" s="120">
        <v>176</v>
      </c>
      <c r="O80" s="120">
        <v>146</v>
      </c>
      <c r="P80" s="39">
        <f t="shared" si="9"/>
        <v>44744</v>
      </c>
      <c r="Q80" s="41">
        <f t="shared" si="5"/>
        <v>360.83879999999999</v>
      </c>
      <c r="R80" s="41">
        <f t="shared" si="6"/>
        <v>212.708</v>
      </c>
      <c r="S80" s="41">
        <f t="shared" si="7"/>
        <v>-148.13079999999999</v>
      </c>
      <c r="T80" s="41">
        <f t="shared" si="8"/>
        <v>211.25</v>
      </c>
    </row>
    <row r="81" spans="10:20">
      <c r="J81" s="119">
        <v>44713</v>
      </c>
      <c r="K81" s="121">
        <v>306.40679999999998</v>
      </c>
      <c r="L81" s="121">
        <v>186.768</v>
      </c>
      <c r="M81" s="121">
        <v>-119.63879999999997</v>
      </c>
      <c r="N81" s="120">
        <v>176</v>
      </c>
      <c r="O81" s="120">
        <v>146</v>
      </c>
      <c r="P81" s="39">
        <f t="shared" si="9"/>
        <v>44743</v>
      </c>
      <c r="Q81" s="41">
        <f t="shared" si="5"/>
        <v>360.83879999999999</v>
      </c>
      <c r="R81" s="41">
        <f t="shared" si="6"/>
        <v>212.708</v>
      </c>
      <c r="S81" s="41">
        <f t="shared" si="7"/>
        <v>-148.13079999999999</v>
      </c>
      <c r="T81" s="41">
        <f t="shared" si="8"/>
        <v>211.25</v>
      </c>
    </row>
    <row r="82" spans="10:20">
      <c r="J82" s="119">
        <v>44712</v>
      </c>
      <c r="K82" s="121">
        <v>306.40679999999998</v>
      </c>
      <c r="L82" s="121">
        <v>191.95599999999999</v>
      </c>
      <c r="M82" s="121">
        <v>-114.45079999999999</v>
      </c>
      <c r="N82" s="120">
        <v>176</v>
      </c>
      <c r="O82" s="120">
        <v>146</v>
      </c>
      <c r="P82" s="39">
        <f t="shared" si="9"/>
        <v>44742</v>
      </c>
      <c r="Q82" s="41">
        <f t="shared" si="5"/>
        <v>373.53960000000001</v>
      </c>
      <c r="R82" s="41">
        <f t="shared" si="6"/>
        <v>217.89599999999999</v>
      </c>
      <c r="S82" s="41">
        <f t="shared" si="7"/>
        <v>-155.64360000000002</v>
      </c>
      <c r="T82" s="41">
        <f t="shared" si="8"/>
        <v>211</v>
      </c>
    </row>
    <row r="83" spans="10:20">
      <c r="J83" s="119">
        <v>44711</v>
      </c>
      <c r="K83" s="121">
        <v>306.40679999999998</v>
      </c>
      <c r="L83" s="121">
        <v>191.95599999999999</v>
      </c>
      <c r="M83" s="121">
        <v>-114.45079999999999</v>
      </c>
      <c r="N83" s="120">
        <v>176</v>
      </c>
      <c r="O83" s="120">
        <v>146</v>
      </c>
      <c r="P83" s="39">
        <f t="shared" si="9"/>
        <v>44741</v>
      </c>
      <c r="Q83" s="41">
        <f t="shared" si="5"/>
        <v>373.53960000000001</v>
      </c>
      <c r="R83" s="41">
        <f t="shared" si="6"/>
        <v>217.89599999999999</v>
      </c>
      <c r="S83" s="41">
        <f t="shared" si="7"/>
        <v>-155.64360000000002</v>
      </c>
      <c r="T83" s="41">
        <f t="shared" si="8"/>
        <v>211</v>
      </c>
    </row>
    <row r="84" spans="10:20">
      <c r="J84" s="119">
        <v>44708</v>
      </c>
      <c r="K84" s="121">
        <v>306.40679999999998</v>
      </c>
      <c r="L84" s="121">
        <v>191.95599999999999</v>
      </c>
      <c r="M84" s="121">
        <v>-114.45079999999999</v>
      </c>
      <c r="N84" s="120">
        <v>176</v>
      </c>
      <c r="O84" s="120">
        <v>146</v>
      </c>
      <c r="P84" s="39">
        <f t="shared" si="9"/>
        <v>44740</v>
      </c>
      <c r="Q84" s="41">
        <f t="shared" si="5"/>
        <v>373.53960000000001</v>
      </c>
      <c r="R84" s="41">
        <f t="shared" si="6"/>
        <v>217.89599999999999</v>
      </c>
      <c r="S84" s="41">
        <f t="shared" si="7"/>
        <v>-155.64360000000002</v>
      </c>
      <c r="T84" s="41">
        <f t="shared" si="8"/>
        <v>211</v>
      </c>
    </row>
    <row r="85" spans="10:20">
      <c r="J85" s="119">
        <v>44707</v>
      </c>
      <c r="K85" s="121">
        <v>324.55079999999998</v>
      </c>
      <c r="L85" s="121">
        <v>191.95599999999999</v>
      </c>
      <c r="M85" s="121">
        <v>-132.59479999999999</v>
      </c>
      <c r="N85" s="120">
        <v>178</v>
      </c>
      <c r="O85" s="120">
        <v>148</v>
      </c>
      <c r="P85" s="39">
        <f t="shared" si="9"/>
        <v>44739</v>
      </c>
      <c r="Q85" s="41">
        <f t="shared" si="5"/>
        <v>373.53960000000001</v>
      </c>
      <c r="R85" s="41">
        <f t="shared" si="6"/>
        <v>217.89599999999999</v>
      </c>
      <c r="S85" s="41">
        <f t="shared" si="7"/>
        <v>-155.64360000000002</v>
      </c>
      <c r="T85" s="41">
        <f t="shared" si="8"/>
        <v>211</v>
      </c>
    </row>
    <row r="86" spans="10:20">
      <c r="J86" s="119">
        <v>44706</v>
      </c>
      <c r="K86" s="121">
        <v>324.55079999999998</v>
      </c>
      <c r="L86" s="121">
        <v>191.95599999999999</v>
      </c>
      <c r="M86" s="121">
        <v>-132.59479999999999</v>
      </c>
      <c r="N86" s="120">
        <v>178</v>
      </c>
      <c r="O86" s="120">
        <v>148</v>
      </c>
      <c r="P86" s="39">
        <f t="shared" si="9"/>
        <v>44738</v>
      </c>
      <c r="Q86" s="41">
        <f t="shared" si="5"/>
        <v>373.53960000000001</v>
      </c>
      <c r="R86" s="41">
        <f t="shared" si="6"/>
        <v>212.708</v>
      </c>
      <c r="S86" s="41">
        <f t="shared" si="7"/>
        <v>-160.83160000000001</v>
      </c>
      <c r="T86" s="41">
        <f t="shared" si="8"/>
        <v>211</v>
      </c>
    </row>
    <row r="87" spans="10:20">
      <c r="J87" s="119">
        <v>44705</v>
      </c>
      <c r="K87" s="121">
        <v>324.55079999999998</v>
      </c>
      <c r="L87" s="121">
        <v>191.95599999999999</v>
      </c>
      <c r="M87" s="121">
        <v>-132.59479999999999</v>
      </c>
      <c r="N87" s="120">
        <v>178</v>
      </c>
      <c r="O87" s="120">
        <v>148</v>
      </c>
      <c r="P87" s="39">
        <f t="shared" si="9"/>
        <v>44737</v>
      </c>
      <c r="Q87" s="41">
        <f t="shared" si="5"/>
        <v>373.53960000000001</v>
      </c>
      <c r="R87" s="41">
        <f t="shared" si="6"/>
        <v>212.708</v>
      </c>
      <c r="S87" s="41">
        <f t="shared" si="7"/>
        <v>-160.83160000000001</v>
      </c>
      <c r="T87" s="41">
        <f t="shared" si="8"/>
        <v>211</v>
      </c>
    </row>
    <row r="88" spans="10:20">
      <c r="J88" s="119">
        <v>44704</v>
      </c>
      <c r="K88" s="121">
        <v>324.55079999999998</v>
      </c>
      <c r="L88" s="121">
        <v>186.768</v>
      </c>
      <c r="M88" s="121">
        <v>-137.78279999999998</v>
      </c>
      <c r="N88" s="120">
        <v>178</v>
      </c>
      <c r="O88" s="120">
        <v>148</v>
      </c>
      <c r="P88" s="39">
        <f t="shared" si="9"/>
        <v>44736</v>
      </c>
      <c r="Q88" s="41">
        <f t="shared" si="5"/>
        <v>373.53960000000001</v>
      </c>
      <c r="R88" s="41">
        <f t="shared" si="6"/>
        <v>212.708</v>
      </c>
      <c r="S88" s="41">
        <f t="shared" si="7"/>
        <v>-160.83160000000001</v>
      </c>
      <c r="T88" s="41">
        <f t="shared" si="8"/>
        <v>211</v>
      </c>
    </row>
    <row r="89" spans="10:20">
      <c r="J89" s="119">
        <v>44701</v>
      </c>
      <c r="K89" s="121">
        <v>324.55079999999998</v>
      </c>
      <c r="L89" s="121">
        <v>186.768</v>
      </c>
      <c r="M89" s="121">
        <v>-137.78279999999998</v>
      </c>
      <c r="N89" s="120">
        <v>178</v>
      </c>
      <c r="O89" s="120">
        <v>148</v>
      </c>
      <c r="P89" s="39">
        <f t="shared" si="9"/>
        <v>44735</v>
      </c>
      <c r="Q89" s="41">
        <f t="shared" si="5"/>
        <v>351.76679999999999</v>
      </c>
      <c r="R89" s="41">
        <f t="shared" si="6"/>
        <v>212.708</v>
      </c>
      <c r="S89" s="41">
        <f t="shared" si="7"/>
        <v>-139.05879999999999</v>
      </c>
      <c r="T89" s="41">
        <f t="shared" si="8"/>
        <v>198.3</v>
      </c>
    </row>
    <row r="90" spans="10:20">
      <c r="J90" s="119">
        <v>44700</v>
      </c>
      <c r="K90" s="121">
        <v>313.6644</v>
      </c>
      <c r="L90" s="121">
        <v>181.58</v>
      </c>
      <c r="M90" s="121">
        <v>-132.08439999999999</v>
      </c>
      <c r="N90" s="120">
        <v>172.8</v>
      </c>
      <c r="O90" s="120">
        <v>142.80000000000001</v>
      </c>
      <c r="P90" s="39">
        <f t="shared" si="9"/>
        <v>44734</v>
      </c>
      <c r="Q90" s="41">
        <f t="shared" si="5"/>
        <v>351.76679999999999</v>
      </c>
      <c r="R90" s="41">
        <f t="shared" si="6"/>
        <v>212.708</v>
      </c>
      <c r="S90" s="41">
        <f t="shared" si="7"/>
        <v>-139.05879999999999</v>
      </c>
      <c r="T90" s="41">
        <f t="shared" si="8"/>
        <v>198.3</v>
      </c>
    </row>
    <row r="91" spans="10:20">
      <c r="J91" s="119">
        <v>44699</v>
      </c>
      <c r="K91" s="121">
        <v>313.6644</v>
      </c>
      <c r="L91" s="121">
        <v>176.392</v>
      </c>
      <c r="M91" s="121">
        <v>-137.2724</v>
      </c>
      <c r="N91" s="120">
        <v>172.8</v>
      </c>
      <c r="O91" s="120">
        <v>142.80000000000001</v>
      </c>
      <c r="P91" s="39">
        <f t="shared" si="9"/>
        <v>44733</v>
      </c>
      <c r="Q91" s="41">
        <f t="shared" si="5"/>
        <v>351.76679999999999</v>
      </c>
      <c r="R91" s="41">
        <f t="shared" si="6"/>
        <v>207.52</v>
      </c>
      <c r="S91" s="41">
        <f t="shared" si="7"/>
        <v>-144.24679999999998</v>
      </c>
      <c r="T91" s="41">
        <f t="shared" si="8"/>
        <v>198.3</v>
      </c>
    </row>
    <row r="92" spans="10:20">
      <c r="J92" s="119">
        <v>44698</v>
      </c>
      <c r="K92" s="121">
        <v>313.6644</v>
      </c>
      <c r="L92" s="121">
        <v>176.392</v>
      </c>
      <c r="M92" s="121">
        <v>-137.2724</v>
      </c>
      <c r="N92" s="120">
        <v>172.8</v>
      </c>
      <c r="O92" s="120">
        <v>142.80000000000001</v>
      </c>
      <c r="P92" s="39">
        <f t="shared" si="9"/>
        <v>44732</v>
      </c>
      <c r="Q92" s="41">
        <f t="shared" si="5"/>
        <v>351.76679999999999</v>
      </c>
      <c r="R92" s="41">
        <f t="shared" si="6"/>
        <v>207.52</v>
      </c>
      <c r="S92" s="41">
        <f t="shared" si="7"/>
        <v>-144.24679999999998</v>
      </c>
      <c r="T92" s="41">
        <f t="shared" si="8"/>
        <v>198.3</v>
      </c>
    </row>
    <row r="93" spans="10:20">
      <c r="J93" s="119">
        <v>44697</v>
      </c>
      <c r="K93" s="121">
        <v>313.6644</v>
      </c>
      <c r="L93" s="121">
        <v>176.392</v>
      </c>
      <c r="M93" s="121">
        <v>-137.2724</v>
      </c>
      <c r="N93" s="120">
        <v>172.8</v>
      </c>
      <c r="O93" s="120">
        <v>142.80000000000001</v>
      </c>
      <c r="P93" s="39">
        <f t="shared" si="9"/>
        <v>44731</v>
      </c>
      <c r="Q93" s="41">
        <f t="shared" si="5"/>
        <v>351.76679999999999</v>
      </c>
      <c r="R93" s="41">
        <f t="shared" si="6"/>
        <v>207.52</v>
      </c>
      <c r="S93" s="41">
        <f t="shared" si="7"/>
        <v>-144.24679999999998</v>
      </c>
      <c r="T93" s="41">
        <f t="shared" si="8"/>
        <v>198.3</v>
      </c>
    </row>
    <row r="94" spans="10:20">
      <c r="J94" s="119">
        <v>44694</v>
      </c>
      <c r="K94" s="121">
        <v>313.6644</v>
      </c>
      <c r="L94" s="121">
        <v>176.392</v>
      </c>
      <c r="M94" s="121">
        <v>-137.2724</v>
      </c>
      <c r="N94" s="120">
        <v>172.8</v>
      </c>
      <c r="O94" s="120">
        <v>142.80000000000001</v>
      </c>
      <c r="P94" s="39">
        <f t="shared" si="9"/>
        <v>44730</v>
      </c>
      <c r="Q94" s="41">
        <f t="shared" si="5"/>
        <v>351.76679999999999</v>
      </c>
      <c r="R94" s="41">
        <f t="shared" si="6"/>
        <v>207.52</v>
      </c>
      <c r="S94" s="41">
        <f t="shared" si="7"/>
        <v>-144.24679999999998</v>
      </c>
      <c r="T94" s="41">
        <f t="shared" si="8"/>
        <v>198.3</v>
      </c>
    </row>
    <row r="95" spans="10:20">
      <c r="J95" s="119">
        <v>44693</v>
      </c>
      <c r="K95" s="121">
        <v>295.5204</v>
      </c>
      <c r="L95" s="121">
        <v>176.392</v>
      </c>
      <c r="M95" s="121">
        <v>-119.1284</v>
      </c>
      <c r="N95" s="120">
        <v>171.33</v>
      </c>
      <c r="O95" s="120">
        <v>141.33000000000001</v>
      </c>
      <c r="P95" s="39">
        <f t="shared" si="9"/>
        <v>44729</v>
      </c>
      <c r="Q95" s="41">
        <f t="shared" si="5"/>
        <v>351.76679999999999</v>
      </c>
      <c r="R95" s="41">
        <f t="shared" si="6"/>
        <v>207.52</v>
      </c>
      <c r="S95" s="41">
        <f t="shared" si="7"/>
        <v>-144.24679999999998</v>
      </c>
      <c r="T95" s="41">
        <f t="shared" si="8"/>
        <v>198.3</v>
      </c>
    </row>
    <row r="96" spans="10:20">
      <c r="J96" s="119">
        <v>44692</v>
      </c>
      <c r="K96" s="121">
        <v>295.5204</v>
      </c>
      <c r="L96" s="121">
        <v>176.392</v>
      </c>
      <c r="M96" s="121">
        <v>-119.1284</v>
      </c>
      <c r="N96" s="120">
        <v>171.33</v>
      </c>
      <c r="O96" s="120">
        <v>141.33000000000001</v>
      </c>
      <c r="P96" s="39">
        <f t="shared" si="9"/>
        <v>44728</v>
      </c>
      <c r="Q96" s="41">
        <f t="shared" si="5"/>
        <v>309.1284</v>
      </c>
      <c r="R96" s="41">
        <f t="shared" si="6"/>
        <v>197.14400000000001</v>
      </c>
      <c r="S96" s="41">
        <f t="shared" si="7"/>
        <v>-111.98439999999999</v>
      </c>
      <c r="T96" s="41">
        <f t="shared" si="8"/>
        <v>184.19</v>
      </c>
    </row>
    <row r="97" spans="10:20">
      <c r="J97" s="119">
        <v>44691</v>
      </c>
      <c r="K97" s="121">
        <v>295.5204</v>
      </c>
      <c r="L97" s="121">
        <v>176.392</v>
      </c>
      <c r="M97" s="121">
        <v>-119.1284</v>
      </c>
      <c r="N97" s="120">
        <v>171.33</v>
      </c>
      <c r="O97" s="120">
        <v>141.33000000000001</v>
      </c>
      <c r="P97" s="39">
        <f t="shared" si="9"/>
        <v>44727</v>
      </c>
      <c r="Q97" s="41">
        <f t="shared" si="5"/>
        <v>309.1284</v>
      </c>
      <c r="R97" s="41">
        <f t="shared" si="6"/>
        <v>197.14400000000001</v>
      </c>
      <c r="S97" s="41">
        <f t="shared" si="7"/>
        <v>-111.98439999999999</v>
      </c>
      <c r="T97" s="41">
        <f t="shared" si="8"/>
        <v>184.19</v>
      </c>
    </row>
    <row r="98" spans="10:20">
      <c r="J98" s="119">
        <v>44690</v>
      </c>
      <c r="K98" s="121">
        <v>295.5204</v>
      </c>
      <c r="L98" s="121">
        <v>176.392</v>
      </c>
      <c r="M98" s="121">
        <v>-119.1284</v>
      </c>
      <c r="N98" s="120">
        <v>171.33</v>
      </c>
      <c r="O98" s="120">
        <v>141.33000000000001</v>
      </c>
      <c r="P98" s="39">
        <f t="shared" si="9"/>
        <v>44726</v>
      </c>
      <c r="Q98" s="41">
        <f t="shared" si="5"/>
        <v>309.1284</v>
      </c>
      <c r="R98" s="41">
        <f t="shared" si="6"/>
        <v>197.14400000000001</v>
      </c>
      <c r="S98" s="41">
        <f t="shared" si="7"/>
        <v>-111.98439999999999</v>
      </c>
      <c r="T98" s="41">
        <f t="shared" si="8"/>
        <v>184.19</v>
      </c>
    </row>
    <row r="99" spans="10:20">
      <c r="J99" s="119">
        <v>44687</v>
      </c>
      <c r="K99" s="121">
        <v>295.5204</v>
      </c>
      <c r="L99" s="121">
        <v>176.392</v>
      </c>
      <c r="M99" s="121">
        <v>-119.1284</v>
      </c>
      <c r="N99" s="120">
        <v>171.33</v>
      </c>
      <c r="O99" s="120">
        <v>141.33000000000001</v>
      </c>
      <c r="P99" s="39">
        <f t="shared" si="9"/>
        <v>44725</v>
      </c>
      <c r="Q99" s="41">
        <f t="shared" si="5"/>
        <v>309.1284</v>
      </c>
      <c r="R99" s="41">
        <f t="shared" si="6"/>
        <v>197.14400000000001</v>
      </c>
      <c r="S99" s="41">
        <f t="shared" si="7"/>
        <v>-111.98439999999999</v>
      </c>
      <c r="T99" s="41">
        <f t="shared" si="8"/>
        <v>184.19</v>
      </c>
    </row>
    <row r="100" spans="10:20">
      <c r="J100" s="119">
        <v>44686</v>
      </c>
      <c r="K100" s="121">
        <v>264.26736</v>
      </c>
      <c r="L100" s="121">
        <v>176.392</v>
      </c>
      <c r="M100" s="121">
        <v>-87.875360000000001</v>
      </c>
      <c r="N100" s="120">
        <v>168</v>
      </c>
      <c r="O100" s="120">
        <v>138</v>
      </c>
      <c r="P100" s="39">
        <f t="shared" si="9"/>
        <v>44724</v>
      </c>
      <c r="Q100" s="41">
        <f t="shared" si="5"/>
        <v>309.1284</v>
      </c>
      <c r="R100" s="41">
        <f t="shared" si="6"/>
        <v>197.14400000000001</v>
      </c>
      <c r="S100" s="41">
        <f t="shared" si="7"/>
        <v>-111.98439999999999</v>
      </c>
      <c r="T100" s="41">
        <f t="shared" si="8"/>
        <v>184.19</v>
      </c>
    </row>
    <row r="101" spans="10:20">
      <c r="J101" s="119">
        <v>44685</v>
      </c>
      <c r="K101" s="121">
        <v>264.26736</v>
      </c>
      <c r="L101" s="121">
        <v>176.392</v>
      </c>
      <c r="M101" s="121">
        <v>-87.875360000000001</v>
      </c>
      <c r="N101" s="120">
        <v>168</v>
      </c>
      <c r="O101" s="120">
        <v>138</v>
      </c>
      <c r="P101" s="39">
        <f t="shared" si="9"/>
        <v>44723</v>
      </c>
      <c r="Q101" s="41">
        <f t="shared" si="5"/>
        <v>309.1284</v>
      </c>
      <c r="R101" s="41">
        <f t="shared" si="6"/>
        <v>197.14400000000001</v>
      </c>
      <c r="S101" s="41">
        <f t="shared" si="7"/>
        <v>-111.98439999999999</v>
      </c>
      <c r="T101" s="41">
        <f t="shared" si="8"/>
        <v>184.19</v>
      </c>
    </row>
    <row r="102" spans="10:20">
      <c r="J102" s="119">
        <v>44684</v>
      </c>
      <c r="K102" s="121">
        <v>264.26736</v>
      </c>
      <c r="L102" s="121">
        <v>166.01599999999999</v>
      </c>
      <c r="M102" s="121">
        <v>-98.251360000000005</v>
      </c>
      <c r="N102" s="120">
        <v>168</v>
      </c>
      <c r="O102" s="120">
        <v>138</v>
      </c>
      <c r="P102" s="39">
        <f t="shared" si="9"/>
        <v>44722</v>
      </c>
      <c r="Q102" s="41">
        <f t="shared" si="5"/>
        <v>309.1284</v>
      </c>
      <c r="R102" s="41">
        <f t="shared" si="6"/>
        <v>197.14400000000001</v>
      </c>
      <c r="S102" s="41">
        <f t="shared" si="7"/>
        <v>-111.98439999999999</v>
      </c>
      <c r="T102" s="41">
        <f t="shared" si="8"/>
        <v>184.19</v>
      </c>
    </row>
    <row r="103" spans="10:20">
      <c r="J103" s="119">
        <v>44683</v>
      </c>
      <c r="K103" s="121">
        <v>264.26736</v>
      </c>
      <c r="L103" s="121">
        <v>166.01599999999999</v>
      </c>
      <c r="M103" s="121">
        <v>-98.251360000000005</v>
      </c>
      <c r="N103" s="120">
        <v>168</v>
      </c>
      <c r="O103" s="120">
        <v>138</v>
      </c>
      <c r="P103" s="39">
        <f t="shared" si="9"/>
        <v>44721</v>
      </c>
      <c r="Q103" s="41">
        <f t="shared" si="5"/>
        <v>323.41680000000002</v>
      </c>
      <c r="R103" s="41">
        <f t="shared" si="6"/>
        <v>197.14400000000001</v>
      </c>
      <c r="S103" s="41">
        <f t="shared" si="7"/>
        <v>-126.27280000000002</v>
      </c>
      <c r="T103" s="41">
        <f t="shared" si="8"/>
        <v>187</v>
      </c>
    </row>
    <row r="104" spans="10:20">
      <c r="J104" s="119">
        <v>44680</v>
      </c>
      <c r="K104" s="121">
        <v>264.26736</v>
      </c>
      <c r="L104" s="121">
        <v>168.09119999999999</v>
      </c>
      <c r="M104" s="121">
        <v>-96.17616000000001</v>
      </c>
      <c r="N104" s="120">
        <v>168</v>
      </c>
      <c r="O104" s="120">
        <v>138</v>
      </c>
      <c r="P104" s="39">
        <f t="shared" si="9"/>
        <v>44720</v>
      </c>
      <c r="Q104" s="41">
        <f t="shared" si="5"/>
        <v>323.41680000000002</v>
      </c>
      <c r="R104" s="41">
        <f t="shared" si="6"/>
        <v>197.14400000000001</v>
      </c>
      <c r="S104" s="41">
        <f t="shared" si="7"/>
        <v>-126.27280000000002</v>
      </c>
      <c r="T104" s="41">
        <f t="shared" si="8"/>
        <v>187</v>
      </c>
    </row>
    <row r="105" spans="10:20">
      <c r="J105" s="119">
        <v>44679</v>
      </c>
      <c r="K105" s="121">
        <v>357.43680000000001</v>
      </c>
      <c r="L105" s="121">
        <v>168.09119999999999</v>
      </c>
      <c r="M105" s="121">
        <v>-189.34560000000002</v>
      </c>
      <c r="N105" s="120">
        <v>169.4</v>
      </c>
      <c r="O105" s="120">
        <v>139.4</v>
      </c>
      <c r="P105" s="39">
        <f t="shared" si="9"/>
        <v>44719</v>
      </c>
      <c r="Q105" s="41">
        <f t="shared" si="5"/>
        <v>323.41680000000002</v>
      </c>
      <c r="R105" s="41">
        <f t="shared" si="6"/>
        <v>191.95599999999999</v>
      </c>
      <c r="S105" s="41">
        <f t="shared" si="7"/>
        <v>-131.46080000000003</v>
      </c>
      <c r="T105" s="41">
        <f t="shared" si="8"/>
        <v>187</v>
      </c>
    </row>
    <row r="106" spans="10:20">
      <c r="J106" s="119">
        <v>44678</v>
      </c>
      <c r="K106" s="121">
        <v>357.43680000000001</v>
      </c>
      <c r="L106" s="121">
        <v>168.09119999999999</v>
      </c>
      <c r="M106" s="121">
        <v>-189.34560000000002</v>
      </c>
      <c r="N106" s="120">
        <v>169.4</v>
      </c>
      <c r="O106" s="120">
        <v>139.4</v>
      </c>
      <c r="P106" s="39">
        <f t="shared" si="9"/>
        <v>44718</v>
      </c>
      <c r="Q106" s="41">
        <f t="shared" si="5"/>
        <v>323.41680000000002</v>
      </c>
      <c r="R106" s="41">
        <f t="shared" si="6"/>
        <v>191.95599999999999</v>
      </c>
      <c r="S106" s="41">
        <f t="shared" si="7"/>
        <v>-131.46080000000003</v>
      </c>
      <c r="T106" s="41">
        <f t="shared" si="8"/>
        <v>187</v>
      </c>
    </row>
    <row r="107" spans="10:20">
      <c r="J107" s="119">
        <v>44677</v>
      </c>
      <c r="K107" s="121">
        <v>357.43680000000001</v>
      </c>
      <c r="L107" s="121">
        <v>171.20400000000001</v>
      </c>
      <c r="M107" s="121">
        <v>-186.2328</v>
      </c>
      <c r="N107" s="120">
        <v>169.4</v>
      </c>
      <c r="O107" s="120">
        <v>139.4</v>
      </c>
      <c r="P107" s="39">
        <f t="shared" si="9"/>
        <v>44717</v>
      </c>
      <c r="Q107" s="41">
        <f t="shared" si="5"/>
        <v>323.41680000000002</v>
      </c>
      <c r="R107" s="41">
        <f t="shared" si="6"/>
        <v>191.95599999999999</v>
      </c>
      <c r="S107" s="41">
        <f t="shared" si="7"/>
        <v>-131.46080000000003</v>
      </c>
      <c r="T107" s="41">
        <f t="shared" si="8"/>
        <v>187</v>
      </c>
    </row>
    <row r="108" spans="10:20">
      <c r="J108" s="119">
        <v>44676</v>
      </c>
      <c r="K108" s="121">
        <v>357.43680000000001</v>
      </c>
      <c r="L108" s="121">
        <v>171.20400000000001</v>
      </c>
      <c r="M108" s="121">
        <v>-186.2328</v>
      </c>
      <c r="N108" s="120">
        <v>169.4</v>
      </c>
      <c r="O108" s="120">
        <v>139.4</v>
      </c>
      <c r="P108" s="39">
        <f t="shared" si="9"/>
        <v>44716</v>
      </c>
      <c r="Q108" s="41">
        <f t="shared" si="5"/>
        <v>323.41680000000002</v>
      </c>
      <c r="R108" s="41">
        <f t="shared" si="6"/>
        <v>191.95599999999999</v>
      </c>
      <c r="S108" s="41">
        <f t="shared" si="7"/>
        <v>-131.46080000000003</v>
      </c>
      <c r="T108" s="41">
        <f t="shared" si="8"/>
        <v>187</v>
      </c>
    </row>
    <row r="109" spans="10:20">
      <c r="J109" s="119">
        <v>44673</v>
      </c>
      <c r="K109" s="121">
        <v>357.43680000000001</v>
      </c>
      <c r="L109" s="121">
        <v>171.20400000000001</v>
      </c>
      <c r="M109" s="121">
        <v>-186.2328</v>
      </c>
      <c r="N109" s="120">
        <v>169.4</v>
      </c>
      <c r="O109" s="120">
        <v>139.4</v>
      </c>
      <c r="P109" s="39">
        <f t="shared" si="9"/>
        <v>44715</v>
      </c>
      <c r="Q109" s="41">
        <f t="shared" si="5"/>
        <v>323.41680000000002</v>
      </c>
      <c r="R109" s="41">
        <f t="shared" si="6"/>
        <v>191.95599999999999</v>
      </c>
      <c r="S109" s="41">
        <f t="shared" si="7"/>
        <v>-131.46080000000003</v>
      </c>
      <c r="T109" s="41">
        <f t="shared" si="8"/>
        <v>187</v>
      </c>
    </row>
    <row r="110" spans="10:20">
      <c r="J110" s="119">
        <v>44672</v>
      </c>
      <c r="K110" s="121">
        <v>331.85376000000002</v>
      </c>
      <c r="L110" s="121">
        <v>171.20400000000001</v>
      </c>
      <c r="M110" s="121">
        <v>-160.64976000000001</v>
      </c>
      <c r="N110" s="120">
        <v>174</v>
      </c>
      <c r="O110" s="120">
        <v>144</v>
      </c>
      <c r="P110" s="39">
        <f t="shared" si="9"/>
        <v>44714</v>
      </c>
      <c r="Q110" s="41">
        <f t="shared" si="5"/>
        <v>306.40679999999998</v>
      </c>
      <c r="R110" s="41">
        <f t="shared" si="6"/>
        <v>186.768</v>
      </c>
      <c r="S110" s="41">
        <f t="shared" si="7"/>
        <v>-119.63879999999997</v>
      </c>
      <c r="T110" s="41">
        <f t="shared" si="8"/>
        <v>176</v>
      </c>
    </row>
    <row r="111" spans="10:20">
      <c r="J111" s="119">
        <v>44671</v>
      </c>
      <c r="K111" s="121">
        <v>331.85376000000002</v>
      </c>
      <c r="L111" s="121">
        <v>171.20400000000001</v>
      </c>
      <c r="M111" s="121">
        <v>-160.64976000000001</v>
      </c>
      <c r="N111" s="120">
        <v>174</v>
      </c>
      <c r="O111" s="120">
        <v>144</v>
      </c>
      <c r="P111" s="39">
        <f t="shared" si="9"/>
        <v>44713</v>
      </c>
      <c r="Q111" s="41">
        <f t="shared" si="5"/>
        <v>306.40679999999998</v>
      </c>
      <c r="R111" s="41">
        <f t="shared" si="6"/>
        <v>186.768</v>
      </c>
      <c r="S111" s="41">
        <f t="shared" si="7"/>
        <v>-119.63879999999997</v>
      </c>
      <c r="T111" s="41">
        <f t="shared" si="8"/>
        <v>176</v>
      </c>
    </row>
    <row r="112" spans="10:20">
      <c r="J112" s="119">
        <v>44670</v>
      </c>
      <c r="K112" s="121">
        <v>331.85376000000002</v>
      </c>
      <c r="L112" s="121">
        <v>171.20400000000001</v>
      </c>
      <c r="M112" s="121">
        <v>-160.64976000000001</v>
      </c>
      <c r="N112" s="120">
        <v>174</v>
      </c>
      <c r="O112" s="120">
        <v>144</v>
      </c>
      <c r="P112" s="39">
        <f t="shared" si="9"/>
        <v>44712</v>
      </c>
      <c r="Q112" s="41">
        <f t="shared" si="5"/>
        <v>306.40679999999998</v>
      </c>
      <c r="R112" s="41">
        <f t="shared" si="6"/>
        <v>191.95599999999999</v>
      </c>
      <c r="S112" s="41">
        <f t="shared" si="7"/>
        <v>-114.45079999999999</v>
      </c>
      <c r="T112" s="41">
        <f t="shared" si="8"/>
        <v>176</v>
      </c>
    </row>
    <row r="113" spans="10:20">
      <c r="J113" s="119">
        <v>44669</v>
      </c>
      <c r="K113" s="121">
        <v>331.85376000000002</v>
      </c>
      <c r="L113" s="121">
        <v>171.20400000000001</v>
      </c>
      <c r="M113" s="121">
        <v>-160.64976000000001</v>
      </c>
      <c r="N113" s="120">
        <v>174</v>
      </c>
      <c r="O113" s="120">
        <v>144</v>
      </c>
      <c r="P113" s="39">
        <f t="shared" si="9"/>
        <v>44711</v>
      </c>
      <c r="Q113" s="41">
        <f t="shared" si="5"/>
        <v>306.40679999999998</v>
      </c>
      <c r="R113" s="41">
        <f t="shared" si="6"/>
        <v>191.95599999999999</v>
      </c>
      <c r="S113" s="41">
        <f t="shared" si="7"/>
        <v>-114.45079999999999</v>
      </c>
      <c r="T113" s="41">
        <f t="shared" si="8"/>
        <v>176</v>
      </c>
    </row>
    <row r="114" spans="10:20">
      <c r="J114" s="119">
        <v>44666</v>
      </c>
      <c r="K114" s="121">
        <v>331.85376000000002</v>
      </c>
      <c r="L114" s="121">
        <v>171.20400000000001</v>
      </c>
      <c r="M114" s="121">
        <v>-160.64976000000001</v>
      </c>
      <c r="N114" s="120">
        <v>174</v>
      </c>
      <c r="O114" s="120">
        <v>144</v>
      </c>
      <c r="P114" s="39">
        <f t="shared" si="9"/>
        <v>44710</v>
      </c>
      <c r="Q114" s="41">
        <f t="shared" si="5"/>
        <v>306.40679999999998</v>
      </c>
      <c r="R114" s="41">
        <f t="shared" si="6"/>
        <v>191.95599999999999</v>
      </c>
      <c r="S114" s="41">
        <f t="shared" si="7"/>
        <v>-114.45079999999999</v>
      </c>
      <c r="T114" s="41">
        <f t="shared" si="8"/>
        <v>176</v>
      </c>
    </row>
    <row r="115" spans="10:20">
      <c r="J115" s="119">
        <v>44665</v>
      </c>
      <c r="K115" s="121">
        <v>293.0256</v>
      </c>
      <c r="L115" s="121">
        <v>171.20400000000001</v>
      </c>
      <c r="M115" s="121">
        <v>-121.82159999999999</v>
      </c>
      <c r="N115" s="120">
        <v>169.6</v>
      </c>
      <c r="O115" s="120">
        <v>139.6</v>
      </c>
      <c r="P115" s="39">
        <f t="shared" si="9"/>
        <v>44709</v>
      </c>
      <c r="Q115" s="41">
        <f t="shared" si="5"/>
        <v>306.40679999999998</v>
      </c>
      <c r="R115" s="41">
        <f t="shared" si="6"/>
        <v>191.95599999999999</v>
      </c>
      <c r="S115" s="41">
        <f t="shared" si="7"/>
        <v>-114.45079999999999</v>
      </c>
      <c r="T115" s="41">
        <f t="shared" si="8"/>
        <v>176</v>
      </c>
    </row>
    <row r="116" spans="10:20">
      <c r="J116" s="119">
        <v>44664</v>
      </c>
      <c r="K116" s="121">
        <v>293.0256</v>
      </c>
      <c r="L116" s="121">
        <v>171.20400000000001</v>
      </c>
      <c r="M116" s="121">
        <v>-121.82159999999999</v>
      </c>
      <c r="N116" s="120">
        <v>169.6</v>
      </c>
      <c r="O116" s="120">
        <v>139.6</v>
      </c>
      <c r="P116" s="39">
        <f t="shared" si="9"/>
        <v>44708</v>
      </c>
      <c r="Q116" s="41">
        <f t="shared" si="5"/>
        <v>306.40679999999998</v>
      </c>
      <c r="R116" s="41">
        <f t="shared" si="6"/>
        <v>191.95599999999999</v>
      </c>
      <c r="S116" s="41">
        <f t="shared" si="7"/>
        <v>-114.45079999999999</v>
      </c>
      <c r="T116" s="41">
        <f t="shared" si="8"/>
        <v>176</v>
      </c>
    </row>
    <row r="117" spans="10:20">
      <c r="J117" s="119">
        <v>44663</v>
      </c>
      <c r="K117" s="121">
        <v>293.0256</v>
      </c>
      <c r="L117" s="121">
        <v>171.20400000000001</v>
      </c>
      <c r="M117" s="121">
        <v>-121.82159999999999</v>
      </c>
      <c r="N117" s="120">
        <v>169.6</v>
      </c>
      <c r="O117" s="120">
        <v>139.6</v>
      </c>
      <c r="P117" s="39">
        <f t="shared" si="9"/>
        <v>44707</v>
      </c>
      <c r="Q117" s="41">
        <f t="shared" si="5"/>
        <v>324.55079999999998</v>
      </c>
      <c r="R117" s="41">
        <f t="shared" si="6"/>
        <v>191.95599999999999</v>
      </c>
      <c r="S117" s="41">
        <f t="shared" si="7"/>
        <v>-132.59479999999999</v>
      </c>
      <c r="T117" s="41">
        <f t="shared" si="8"/>
        <v>178</v>
      </c>
    </row>
    <row r="118" spans="10:20">
      <c r="J118" s="119">
        <v>44662</v>
      </c>
      <c r="K118" s="121">
        <v>293.0256</v>
      </c>
      <c r="L118" s="121">
        <v>171.20400000000001</v>
      </c>
      <c r="M118" s="121">
        <v>-121.82159999999999</v>
      </c>
      <c r="N118" s="120">
        <v>169.6</v>
      </c>
      <c r="O118" s="120">
        <v>139.6</v>
      </c>
      <c r="P118" s="39">
        <f t="shared" si="9"/>
        <v>44706</v>
      </c>
      <c r="Q118" s="41">
        <f t="shared" si="5"/>
        <v>324.55079999999998</v>
      </c>
      <c r="R118" s="41">
        <f t="shared" si="6"/>
        <v>191.95599999999999</v>
      </c>
      <c r="S118" s="41">
        <f t="shared" si="7"/>
        <v>-132.59479999999999</v>
      </c>
      <c r="T118" s="41">
        <f t="shared" si="8"/>
        <v>178</v>
      </c>
    </row>
    <row r="119" spans="10:20">
      <c r="J119" s="119">
        <v>44659</v>
      </c>
      <c r="K119" s="121">
        <v>293.0256</v>
      </c>
      <c r="L119" s="121">
        <v>166.01599999999999</v>
      </c>
      <c r="M119" s="121">
        <v>-127.00960000000001</v>
      </c>
      <c r="N119" s="120">
        <v>169.6</v>
      </c>
      <c r="O119" s="120">
        <v>139.6</v>
      </c>
      <c r="P119" s="39">
        <f t="shared" si="9"/>
        <v>44705</v>
      </c>
      <c r="Q119" s="41">
        <f t="shared" si="5"/>
        <v>324.55079999999998</v>
      </c>
      <c r="R119" s="41">
        <f t="shared" si="6"/>
        <v>191.95599999999999</v>
      </c>
      <c r="S119" s="41">
        <f t="shared" si="7"/>
        <v>-132.59479999999999</v>
      </c>
      <c r="T119" s="41">
        <f t="shared" si="8"/>
        <v>178</v>
      </c>
    </row>
    <row r="120" spans="10:20">
      <c r="J120" s="119">
        <v>44658</v>
      </c>
      <c r="K120" s="121">
        <v>285.5412</v>
      </c>
      <c r="L120" s="121">
        <v>166.01599999999999</v>
      </c>
      <c r="M120" s="121">
        <v>-119.52520000000001</v>
      </c>
      <c r="N120" s="120">
        <v>164.67</v>
      </c>
      <c r="O120" s="120">
        <v>134.66999999999999</v>
      </c>
      <c r="P120" s="39">
        <f t="shared" si="9"/>
        <v>44704</v>
      </c>
      <c r="Q120" s="41">
        <f t="shared" si="5"/>
        <v>324.55079999999998</v>
      </c>
      <c r="R120" s="41">
        <f t="shared" si="6"/>
        <v>186.768</v>
      </c>
      <c r="S120" s="41">
        <f t="shared" si="7"/>
        <v>-137.78279999999998</v>
      </c>
      <c r="T120" s="41">
        <f t="shared" si="8"/>
        <v>178</v>
      </c>
    </row>
    <row r="121" spans="10:20">
      <c r="J121" s="119">
        <v>44657</v>
      </c>
      <c r="K121" s="121">
        <v>285.5412</v>
      </c>
      <c r="L121" s="121">
        <v>166.01599999999999</v>
      </c>
      <c r="M121" s="121">
        <v>-119.52520000000001</v>
      </c>
      <c r="N121" s="120">
        <v>164.67</v>
      </c>
      <c r="O121" s="120">
        <v>134.66999999999999</v>
      </c>
      <c r="P121" s="39">
        <f t="shared" si="9"/>
        <v>44703</v>
      </c>
      <c r="Q121" s="41">
        <f t="shared" si="5"/>
        <v>324.55079999999998</v>
      </c>
      <c r="R121" s="41">
        <f t="shared" si="6"/>
        <v>186.768</v>
      </c>
      <c r="S121" s="41">
        <f t="shared" si="7"/>
        <v>-137.78279999999998</v>
      </c>
      <c r="T121" s="41">
        <f t="shared" si="8"/>
        <v>178</v>
      </c>
    </row>
    <row r="122" spans="10:20">
      <c r="J122" s="119">
        <v>44656</v>
      </c>
      <c r="K122" s="121">
        <v>285.5412</v>
      </c>
      <c r="L122" s="121">
        <v>166.01599999999999</v>
      </c>
      <c r="M122" s="121">
        <v>-119.52520000000001</v>
      </c>
      <c r="N122" s="120">
        <v>164.67</v>
      </c>
      <c r="O122" s="120">
        <v>134.66999999999999</v>
      </c>
      <c r="P122" s="39">
        <f t="shared" si="9"/>
        <v>44702</v>
      </c>
      <c r="Q122" s="41">
        <f t="shared" si="5"/>
        <v>324.55079999999998</v>
      </c>
      <c r="R122" s="41">
        <f t="shared" si="6"/>
        <v>186.768</v>
      </c>
      <c r="S122" s="41">
        <f t="shared" si="7"/>
        <v>-137.78279999999998</v>
      </c>
      <c r="T122" s="41">
        <f t="shared" si="8"/>
        <v>178</v>
      </c>
    </row>
    <row r="123" spans="10:20">
      <c r="J123" s="119">
        <v>44655</v>
      </c>
      <c r="K123" s="121">
        <v>285.5412</v>
      </c>
      <c r="L123" s="121">
        <v>166.01599999999999</v>
      </c>
      <c r="M123" s="121">
        <v>-119.52520000000001</v>
      </c>
      <c r="N123" s="120">
        <v>164.67</v>
      </c>
      <c r="O123" s="120">
        <v>134.66999999999999</v>
      </c>
      <c r="P123" s="39">
        <f t="shared" si="9"/>
        <v>44701</v>
      </c>
      <c r="Q123" s="41">
        <f t="shared" si="5"/>
        <v>324.55079999999998</v>
      </c>
      <c r="R123" s="41">
        <f t="shared" si="6"/>
        <v>186.768</v>
      </c>
      <c r="S123" s="41">
        <f t="shared" si="7"/>
        <v>-137.78279999999998</v>
      </c>
      <c r="T123" s="41">
        <f t="shared" si="8"/>
        <v>178</v>
      </c>
    </row>
    <row r="124" spans="10:20">
      <c r="J124" s="119">
        <v>44652</v>
      </c>
      <c r="K124" s="121">
        <v>285.5412</v>
      </c>
      <c r="L124" s="121">
        <v>166.01599999999999</v>
      </c>
      <c r="M124" s="121">
        <v>-119.52520000000001</v>
      </c>
      <c r="N124" s="120">
        <v>164.67</v>
      </c>
      <c r="O124" s="120">
        <v>134.66999999999999</v>
      </c>
      <c r="P124" s="39">
        <f t="shared" si="9"/>
        <v>44700</v>
      </c>
      <c r="Q124" s="41">
        <f t="shared" si="5"/>
        <v>313.6644</v>
      </c>
      <c r="R124" s="41">
        <f t="shared" si="6"/>
        <v>181.58</v>
      </c>
      <c r="S124" s="41">
        <f t="shared" si="7"/>
        <v>-132.08439999999999</v>
      </c>
      <c r="T124" s="41">
        <f t="shared" si="8"/>
        <v>172.8</v>
      </c>
    </row>
    <row r="125" spans="10:20">
      <c r="J125" s="119">
        <v>44651</v>
      </c>
      <c r="K125" s="121">
        <v>274.428</v>
      </c>
      <c r="L125" s="121">
        <v>171.20400000000001</v>
      </c>
      <c r="M125" s="121">
        <v>-103.22399999999999</v>
      </c>
      <c r="N125" s="120">
        <v>163.75</v>
      </c>
      <c r="O125" s="120">
        <v>133.75</v>
      </c>
      <c r="P125" s="39">
        <f t="shared" si="9"/>
        <v>44699</v>
      </c>
      <c r="Q125" s="41">
        <f t="shared" si="5"/>
        <v>313.6644</v>
      </c>
      <c r="R125" s="41">
        <f t="shared" si="6"/>
        <v>176.392</v>
      </c>
      <c r="S125" s="41">
        <f t="shared" si="7"/>
        <v>-137.2724</v>
      </c>
      <c r="T125" s="41">
        <f t="shared" si="8"/>
        <v>172.8</v>
      </c>
    </row>
    <row r="126" spans="10:20">
      <c r="J126" s="119">
        <v>44650</v>
      </c>
      <c r="K126" s="121">
        <v>274.428</v>
      </c>
      <c r="L126" s="121">
        <v>171.20400000000001</v>
      </c>
      <c r="M126" s="121">
        <v>-103.22399999999999</v>
      </c>
      <c r="N126" s="120">
        <v>163.75</v>
      </c>
      <c r="O126" s="120">
        <v>133.75</v>
      </c>
      <c r="P126" s="39">
        <f t="shared" si="9"/>
        <v>44698</v>
      </c>
      <c r="Q126" s="41">
        <f t="shared" si="5"/>
        <v>313.6644</v>
      </c>
      <c r="R126" s="41">
        <f t="shared" si="6"/>
        <v>176.392</v>
      </c>
      <c r="S126" s="41">
        <f t="shared" si="7"/>
        <v>-137.2724</v>
      </c>
      <c r="T126" s="41">
        <f t="shared" si="8"/>
        <v>172.8</v>
      </c>
    </row>
    <row r="127" spans="10:20">
      <c r="J127" s="119">
        <v>44649</v>
      </c>
      <c r="K127" s="121">
        <v>274.428</v>
      </c>
      <c r="L127" s="121">
        <v>160.828</v>
      </c>
      <c r="M127" s="121">
        <v>-113.6</v>
      </c>
      <c r="N127" s="120">
        <v>163.75</v>
      </c>
      <c r="O127" s="120">
        <v>133.75</v>
      </c>
      <c r="P127" s="39">
        <f t="shared" si="9"/>
        <v>44697</v>
      </c>
      <c r="Q127" s="41">
        <f t="shared" si="5"/>
        <v>313.6644</v>
      </c>
      <c r="R127" s="41">
        <f t="shared" si="6"/>
        <v>176.392</v>
      </c>
      <c r="S127" s="41">
        <f t="shared" si="7"/>
        <v>-137.2724</v>
      </c>
      <c r="T127" s="41">
        <f t="shared" si="8"/>
        <v>172.8</v>
      </c>
    </row>
    <row r="128" spans="10:20">
      <c r="J128" s="119">
        <v>44648</v>
      </c>
      <c r="K128" s="121">
        <v>274.428</v>
      </c>
      <c r="L128" s="121">
        <v>160.828</v>
      </c>
      <c r="M128" s="121">
        <v>-113.6</v>
      </c>
      <c r="N128" s="120">
        <v>163.75</v>
      </c>
      <c r="O128" s="120">
        <v>133.75</v>
      </c>
      <c r="P128" s="39">
        <f t="shared" si="9"/>
        <v>44696</v>
      </c>
      <c r="Q128" s="41">
        <f t="shared" si="5"/>
        <v>313.6644</v>
      </c>
      <c r="R128" s="41">
        <f t="shared" si="6"/>
        <v>176.392</v>
      </c>
      <c r="S128" s="41">
        <f t="shared" si="7"/>
        <v>-137.2724</v>
      </c>
      <c r="T128" s="41">
        <f t="shared" si="8"/>
        <v>172.8</v>
      </c>
    </row>
    <row r="129" spans="10:20">
      <c r="J129" s="119">
        <v>44645</v>
      </c>
      <c r="K129" s="121">
        <v>274.428</v>
      </c>
      <c r="L129" s="121">
        <v>160.828</v>
      </c>
      <c r="M129" s="121">
        <v>-113.6</v>
      </c>
      <c r="N129" s="120">
        <v>163.75</v>
      </c>
      <c r="O129" s="120">
        <v>133.75</v>
      </c>
      <c r="P129" s="39">
        <f t="shared" si="9"/>
        <v>44695</v>
      </c>
      <c r="Q129" s="41">
        <f t="shared" si="5"/>
        <v>313.6644</v>
      </c>
      <c r="R129" s="41">
        <f t="shared" si="6"/>
        <v>176.392</v>
      </c>
      <c r="S129" s="41">
        <f t="shared" si="7"/>
        <v>-137.2724</v>
      </c>
      <c r="T129" s="41">
        <f t="shared" si="8"/>
        <v>172.8</v>
      </c>
    </row>
    <row r="130" spans="10:20">
      <c r="J130" s="119">
        <v>44644</v>
      </c>
      <c r="K130" s="121">
        <v>277.14960000000002</v>
      </c>
      <c r="L130" s="121">
        <v>160.828</v>
      </c>
      <c r="M130" s="121">
        <v>-116.32160000000002</v>
      </c>
      <c r="N130" s="120">
        <v>162</v>
      </c>
      <c r="O130" s="120">
        <v>132</v>
      </c>
      <c r="P130" s="39">
        <f t="shared" si="9"/>
        <v>44694</v>
      </c>
      <c r="Q130" s="41">
        <f t="shared" si="5"/>
        <v>313.6644</v>
      </c>
      <c r="R130" s="41">
        <f t="shared" si="6"/>
        <v>176.392</v>
      </c>
      <c r="S130" s="41">
        <f t="shared" si="7"/>
        <v>-137.2724</v>
      </c>
      <c r="T130" s="41">
        <f t="shared" si="8"/>
        <v>172.8</v>
      </c>
    </row>
    <row r="131" spans="10:20">
      <c r="J131" s="119">
        <v>44643</v>
      </c>
      <c r="K131" s="121">
        <v>277.14960000000002</v>
      </c>
      <c r="L131" s="121">
        <v>160.828</v>
      </c>
      <c r="M131" s="121">
        <v>-116.32160000000002</v>
      </c>
      <c r="N131" s="120">
        <v>162</v>
      </c>
      <c r="O131" s="120">
        <v>132</v>
      </c>
      <c r="P131" s="39">
        <f t="shared" si="9"/>
        <v>44693</v>
      </c>
      <c r="Q131" s="41">
        <f t="shared" si="5"/>
        <v>295.5204</v>
      </c>
      <c r="R131" s="41">
        <f t="shared" si="6"/>
        <v>176.392</v>
      </c>
      <c r="S131" s="41">
        <f t="shared" si="7"/>
        <v>-119.1284</v>
      </c>
      <c r="T131" s="41">
        <f t="shared" si="8"/>
        <v>171.33</v>
      </c>
    </row>
    <row r="132" spans="10:20">
      <c r="J132" s="119">
        <v>44642</v>
      </c>
      <c r="K132" s="121">
        <v>277.14960000000002</v>
      </c>
      <c r="L132" s="121">
        <v>160.828</v>
      </c>
      <c r="M132" s="121">
        <v>-116.32160000000002</v>
      </c>
      <c r="N132" s="120">
        <v>162</v>
      </c>
      <c r="O132" s="120">
        <v>132</v>
      </c>
      <c r="P132" s="39">
        <f t="shared" si="9"/>
        <v>44692</v>
      </c>
      <c r="Q132" s="41">
        <f t="shared" si="5"/>
        <v>295.5204</v>
      </c>
      <c r="R132" s="41">
        <f t="shared" si="6"/>
        <v>176.392</v>
      </c>
      <c r="S132" s="41">
        <f t="shared" si="7"/>
        <v>-119.1284</v>
      </c>
      <c r="T132" s="41">
        <f t="shared" si="8"/>
        <v>171.33</v>
      </c>
    </row>
    <row r="133" spans="10:20">
      <c r="J133" s="119">
        <v>44641</v>
      </c>
      <c r="K133" s="121">
        <v>277.14960000000002</v>
      </c>
      <c r="L133" s="121">
        <v>171.20400000000001</v>
      </c>
      <c r="M133" s="121">
        <v>-105.94560000000001</v>
      </c>
      <c r="N133" s="120">
        <v>162</v>
      </c>
      <c r="O133" s="120">
        <v>132</v>
      </c>
      <c r="P133" s="39">
        <f t="shared" si="9"/>
        <v>44691</v>
      </c>
      <c r="Q133" s="41">
        <f t="shared" si="5"/>
        <v>295.5204</v>
      </c>
      <c r="R133" s="41">
        <f t="shared" si="6"/>
        <v>176.392</v>
      </c>
      <c r="S133" s="41">
        <f t="shared" si="7"/>
        <v>-119.1284</v>
      </c>
      <c r="T133" s="41">
        <f t="shared" si="8"/>
        <v>171.33</v>
      </c>
    </row>
    <row r="134" spans="10:20">
      <c r="J134" s="119">
        <v>44638</v>
      </c>
      <c r="K134" s="121">
        <v>277.14960000000002</v>
      </c>
      <c r="L134" s="121">
        <v>171.20400000000001</v>
      </c>
      <c r="M134" s="121">
        <v>-105.94560000000001</v>
      </c>
      <c r="N134" s="120">
        <v>162</v>
      </c>
      <c r="O134" s="120">
        <v>132</v>
      </c>
      <c r="P134" s="39">
        <f t="shared" si="9"/>
        <v>44690</v>
      </c>
      <c r="Q134" s="41">
        <f t="shared" ref="Q134:Q197" si="10">IFERROR(VLOOKUP($P134,$J$5:$N$403,2,FALSE),Q135)</f>
        <v>295.5204</v>
      </c>
      <c r="R134" s="41">
        <f t="shared" ref="R134:R197" si="11">IFERROR(VLOOKUP($P134,$J$5:$N$403,3,FALSE),R135)</f>
        <v>176.392</v>
      </c>
      <c r="S134" s="41">
        <f t="shared" ref="S134:S197" si="12">IFERROR(VLOOKUP($P134,$J$5:$N$403,4,FALSE),S135)</f>
        <v>-119.1284</v>
      </c>
      <c r="T134" s="41">
        <f t="shared" ref="T134:T197" si="13">IFERROR(VLOOKUP($P134,$J$5:$N$403,5,FALSE),T135)</f>
        <v>171.33</v>
      </c>
    </row>
    <row r="135" spans="10:20">
      <c r="J135" s="119">
        <v>44637</v>
      </c>
      <c r="K135" s="121">
        <v>373.08600000000001</v>
      </c>
      <c r="L135" s="121">
        <v>171.20400000000001</v>
      </c>
      <c r="M135" s="121">
        <v>-201.88200000000001</v>
      </c>
      <c r="N135" s="120">
        <v>170.33</v>
      </c>
      <c r="O135" s="120">
        <v>140.33000000000001</v>
      </c>
      <c r="P135" s="39">
        <f t="shared" ref="P135:P198" si="14">P134-1</f>
        <v>44689</v>
      </c>
      <c r="Q135" s="41">
        <f t="shared" si="10"/>
        <v>295.5204</v>
      </c>
      <c r="R135" s="41">
        <f t="shared" si="11"/>
        <v>176.392</v>
      </c>
      <c r="S135" s="41">
        <f t="shared" si="12"/>
        <v>-119.1284</v>
      </c>
      <c r="T135" s="41">
        <f t="shared" si="13"/>
        <v>171.33</v>
      </c>
    </row>
    <row r="136" spans="10:20">
      <c r="J136" s="119">
        <v>44636</v>
      </c>
      <c r="K136" s="121">
        <v>373.08600000000001</v>
      </c>
      <c r="L136" s="121">
        <v>160.828</v>
      </c>
      <c r="M136" s="121">
        <v>-212.25800000000001</v>
      </c>
      <c r="N136" s="120">
        <v>170.33</v>
      </c>
      <c r="O136" s="120">
        <v>140.33000000000001</v>
      </c>
      <c r="P136" s="39">
        <f t="shared" si="14"/>
        <v>44688</v>
      </c>
      <c r="Q136" s="41">
        <f t="shared" si="10"/>
        <v>295.5204</v>
      </c>
      <c r="R136" s="41">
        <f t="shared" si="11"/>
        <v>176.392</v>
      </c>
      <c r="S136" s="41">
        <f t="shared" si="12"/>
        <v>-119.1284</v>
      </c>
      <c r="T136" s="41">
        <f t="shared" si="13"/>
        <v>171.33</v>
      </c>
    </row>
    <row r="137" spans="10:20">
      <c r="J137" s="119">
        <v>44635</v>
      </c>
      <c r="K137" s="121">
        <v>373.08600000000001</v>
      </c>
      <c r="L137" s="121">
        <v>160.828</v>
      </c>
      <c r="M137" s="121">
        <v>-212.25800000000001</v>
      </c>
      <c r="N137" s="120">
        <v>170.33</v>
      </c>
      <c r="O137" s="120">
        <v>140.33000000000001</v>
      </c>
      <c r="P137" s="39">
        <f t="shared" si="14"/>
        <v>44687</v>
      </c>
      <c r="Q137" s="41">
        <f t="shared" si="10"/>
        <v>295.5204</v>
      </c>
      <c r="R137" s="41">
        <f t="shared" si="11"/>
        <v>176.392</v>
      </c>
      <c r="S137" s="41">
        <f t="shared" si="12"/>
        <v>-119.1284</v>
      </c>
      <c r="T137" s="41">
        <f t="shared" si="13"/>
        <v>171.33</v>
      </c>
    </row>
    <row r="138" spans="10:20">
      <c r="J138" s="119">
        <v>44634</v>
      </c>
      <c r="K138" s="121">
        <v>373.08600000000001</v>
      </c>
      <c r="L138" s="121">
        <v>160.828</v>
      </c>
      <c r="M138" s="121">
        <v>-212.25800000000001</v>
      </c>
      <c r="N138" s="120">
        <v>170.33</v>
      </c>
      <c r="O138" s="120">
        <v>140.33000000000001</v>
      </c>
      <c r="P138" s="39">
        <f t="shared" si="14"/>
        <v>44686</v>
      </c>
      <c r="Q138" s="41">
        <f t="shared" si="10"/>
        <v>264.26736</v>
      </c>
      <c r="R138" s="41">
        <f t="shared" si="11"/>
        <v>176.392</v>
      </c>
      <c r="S138" s="41">
        <f t="shared" si="12"/>
        <v>-87.875360000000001</v>
      </c>
      <c r="T138" s="41">
        <f t="shared" si="13"/>
        <v>168</v>
      </c>
    </row>
    <row r="139" spans="10:20">
      <c r="J139" s="119">
        <v>44631</v>
      </c>
      <c r="K139" s="121">
        <v>373.08600000000001</v>
      </c>
      <c r="L139" s="121">
        <v>160.828</v>
      </c>
      <c r="M139" s="121">
        <v>-212.25800000000001</v>
      </c>
      <c r="N139" s="120">
        <v>170.33</v>
      </c>
      <c r="O139" s="120">
        <v>140.33000000000001</v>
      </c>
      <c r="P139" s="39">
        <f t="shared" si="14"/>
        <v>44685</v>
      </c>
      <c r="Q139" s="41">
        <f t="shared" si="10"/>
        <v>264.26736</v>
      </c>
      <c r="R139" s="41">
        <f t="shared" si="11"/>
        <v>176.392</v>
      </c>
      <c r="S139" s="41">
        <f t="shared" si="12"/>
        <v>-87.875360000000001</v>
      </c>
      <c r="T139" s="41">
        <f t="shared" si="13"/>
        <v>168</v>
      </c>
    </row>
    <row r="140" spans="10:20">
      <c r="J140" s="119">
        <v>44630</v>
      </c>
      <c r="K140" s="121">
        <v>311.48712</v>
      </c>
      <c r="L140" s="121">
        <v>160.828</v>
      </c>
      <c r="M140" s="121">
        <v>-150.65912</v>
      </c>
      <c r="N140" s="120">
        <v>138</v>
      </c>
      <c r="O140" s="120">
        <v>108</v>
      </c>
      <c r="P140" s="39">
        <f t="shared" si="14"/>
        <v>44684</v>
      </c>
      <c r="Q140" s="41">
        <f t="shared" si="10"/>
        <v>264.26736</v>
      </c>
      <c r="R140" s="41">
        <f t="shared" si="11"/>
        <v>166.01599999999999</v>
      </c>
      <c r="S140" s="41">
        <f t="shared" si="12"/>
        <v>-98.251360000000005</v>
      </c>
      <c r="T140" s="41">
        <f t="shared" si="13"/>
        <v>168</v>
      </c>
    </row>
    <row r="141" spans="10:20">
      <c r="J141" s="119">
        <v>44629</v>
      </c>
      <c r="K141" s="121">
        <v>311.48712</v>
      </c>
      <c r="L141" s="121">
        <v>160.828</v>
      </c>
      <c r="M141" s="121">
        <v>-150.65912</v>
      </c>
      <c r="N141" s="120">
        <v>138</v>
      </c>
      <c r="O141" s="120">
        <v>108</v>
      </c>
      <c r="P141" s="39">
        <f t="shared" si="14"/>
        <v>44683</v>
      </c>
      <c r="Q141" s="41">
        <f t="shared" si="10"/>
        <v>264.26736</v>
      </c>
      <c r="R141" s="41">
        <f t="shared" si="11"/>
        <v>166.01599999999999</v>
      </c>
      <c r="S141" s="41">
        <f t="shared" si="12"/>
        <v>-98.251360000000005</v>
      </c>
      <c r="T141" s="41">
        <f t="shared" si="13"/>
        <v>168</v>
      </c>
    </row>
    <row r="142" spans="10:20">
      <c r="J142" s="119">
        <v>44628</v>
      </c>
      <c r="K142" s="121">
        <v>311.48712</v>
      </c>
      <c r="L142" s="121">
        <v>160.828</v>
      </c>
      <c r="M142" s="121">
        <v>-150.65912</v>
      </c>
      <c r="N142" s="120">
        <v>138</v>
      </c>
      <c r="O142" s="120">
        <v>108</v>
      </c>
      <c r="P142" s="39">
        <f t="shared" si="14"/>
        <v>44682</v>
      </c>
      <c r="Q142" s="41">
        <f t="shared" si="10"/>
        <v>264.26736</v>
      </c>
      <c r="R142" s="41">
        <f t="shared" si="11"/>
        <v>168.09119999999999</v>
      </c>
      <c r="S142" s="41">
        <f t="shared" si="12"/>
        <v>-96.17616000000001</v>
      </c>
      <c r="T142" s="41">
        <f t="shared" si="13"/>
        <v>168</v>
      </c>
    </row>
    <row r="143" spans="10:20">
      <c r="J143" s="119">
        <v>44627</v>
      </c>
      <c r="K143" s="121">
        <v>311.48712</v>
      </c>
      <c r="L143" s="121">
        <v>145.26400000000001</v>
      </c>
      <c r="M143" s="121">
        <v>-166.22311999999999</v>
      </c>
      <c r="N143" s="120">
        <v>138</v>
      </c>
      <c r="O143" s="120">
        <v>108</v>
      </c>
      <c r="P143" s="39">
        <f t="shared" si="14"/>
        <v>44681</v>
      </c>
      <c r="Q143" s="41">
        <f t="shared" si="10"/>
        <v>264.26736</v>
      </c>
      <c r="R143" s="41">
        <f t="shared" si="11"/>
        <v>168.09119999999999</v>
      </c>
      <c r="S143" s="41">
        <f t="shared" si="12"/>
        <v>-96.17616000000001</v>
      </c>
      <c r="T143" s="41">
        <f t="shared" si="13"/>
        <v>168</v>
      </c>
    </row>
    <row r="144" spans="10:20">
      <c r="J144" s="119">
        <v>44624</v>
      </c>
      <c r="K144" s="121">
        <v>311.48712</v>
      </c>
      <c r="L144" s="121">
        <v>140.07599999999999</v>
      </c>
      <c r="M144" s="121">
        <v>-171.41112000000001</v>
      </c>
      <c r="N144" s="120">
        <v>138</v>
      </c>
      <c r="O144" s="120">
        <v>108</v>
      </c>
      <c r="P144" s="39">
        <f t="shared" si="14"/>
        <v>44680</v>
      </c>
      <c r="Q144" s="41">
        <f t="shared" si="10"/>
        <v>264.26736</v>
      </c>
      <c r="R144" s="41">
        <f t="shared" si="11"/>
        <v>168.09119999999999</v>
      </c>
      <c r="S144" s="41">
        <f t="shared" si="12"/>
        <v>-96.17616000000001</v>
      </c>
      <c r="T144" s="41">
        <f t="shared" si="13"/>
        <v>168</v>
      </c>
    </row>
    <row r="145" spans="10:20">
      <c r="J145" s="119">
        <v>44623</v>
      </c>
      <c r="K145" s="121">
        <v>220.58568</v>
      </c>
      <c r="L145" s="121">
        <v>132.81280000000001</v>
      </c>
      <c r="M145" s="121">
        <v>-87.772879999999986</v>
      </c>
      <c r="N145" s="120">
        <v>125.1</v>
      </c>
      <c r="O145" s="120">
        <v>95.1</v>
      </c>
      <c r="P145" s="39">
        <f t="shared" si="14"/>
        <v>44679</v>
      </c>
      <c r="Q145" s="41">
        <f t="shared" si="10"/>
        <v>357.43680000000001</v>
      </c>
      <c r="R145" s="41">
        <f t="shared" si="11"/>
        <v>168.09119999999999</v>
      </c>
      <c r="S145" s="41">
        <f t="shared" si="12"/>
        <v>-189.34560000000002</v>
      </c>
      <c r="T145" s="41">
        <f t="shared" si="13"/>
        <v>169.4</v>
      </c>
    </row>
    <row r="146" spans="10:20">
      <c r="J146" s="119">
        <v>44622</v>
      </c>
      <c r="K146" s="121">
        <v>220.58568</v>
      </c>
      <c r="L146" s="121">
        <v>132.81280000000001</v>
      </c>
      <c r="M146" s="121">
        <v>-87.772879999999986</v>
      </c>
      <c r="N146" s="120">
        <v>125.1</v>
      </c>
      <c r="O146" s="120">
        <v>95.1</v>
      </c>
      <c r="P146" s="39">
        <f t="shared" si="14"/>
        <v>44678</v>
      </c>
      <c r="Q146" s="41">
        <f t="shared" si="10"/>
        <v>357.43680000000001</v>
      </c>
      <c r="R146" s="41">
        <f t="shared" si="11"/>
        <v>168.09119999999999</v>
      </c>
      <c r="S146" s="41">
        <f t="shared" si="12"/>
        <v>-189.34560000000002</v>
      </c>
      <c r="T146" s="41">
        <f t="shared" si="13"/>
        <v>169.4</v>
      </c>
    </row>
    <row r="147" spans="10:20">
      <c r="J147" s="119">
        <v>44621</v>
      </c>
      <c r="K147" s="121">
        <v>220.58568</v>
      </c>
      <c r="L147" s="121">
        <v>132.81280000000001</v>
      </c>
      <c r="M147" s="121">
        <v>-87.772879999999986</v>
      </c>
      <c r="N147" s="120">
        <v>125.1</v>
      </c>
      <c r="O147" s="120">
        <v>95.1</v>
      </c>
      <c r="P147" s="39">
        <f t="shared" si="14"/>
        <v>44677</v>
      </c>
      <c r="Q147" s="41">
        <f t="shared" si="10"/>
        <v>357.43680000000001</v>
      </c>
      <c r="R147" s="41">
        <f t="shared" si="11"/>
        <v>171.20400000000001</v>
      </c>
      <c r="S147" s="41">
        <f t="shared" si="12"/>
        <v>-186.2328</v>
      </c>
      <c r="T147" s="41">
        <f t="shared" si="13"/>
        <v>169.4</v>
      </c>
    </row>
    <row r="148" spans="10:20">
      <c r="J148" s="119">
        <v>44620</v>
      </c>
      <c r="K148" s="121">
        <v>220.58568</v>
      </c>
      <c r="L148" s="121">
        <v>131.77520000000001</v>
      </c>
      <c r="M148" s="121">
        <v>-88.810479999999984</v>
      </c>
      <c r="N148" s="120">
        <v>125.1</v>
      </c>
      <c r="O148" s="120">
        <v>95.1</v>
      </c>
      <c r="P148" s="39">
        <f t="shared" si="14"/>
        <v>44676</v>
      </c>
      <c r="Q148" s="41">
        <f t="shared" si="10"/>
        <v>357.43680000000001</v>
      </c>
      <c r="R148" s="41">
        <f t="shared" si="11"/>
        <v>171.20400000000001</v>
      </c>
      <c r="S148" s="41">
        <f t="shared" si="12"/>
        <v>-186.2328</v>
      </c>
      <c r="T148" s="41">
        <f t="shared" si="13"/>
        <v>169.4</v>
      </c>
    </row>
    <row r="149" spans="10:20">
      <c r="J149" s="119">
        <v>44617</v>
      </c>
      <c r="K149" s="121">
        <v>220.58568</v>
      </c>
      <c r="L149" s="121">
        <v>131.77520000000001</v>
      </c>
      <c r="M149" s="121">
        <v>-88.810479999999984</v>
      </c>
      <c r="N149" s="120">
        <v>125.1</v>
      </c>
      <c r="O149" s="120">
        <v>95.1</v>
      </c>
      <c r="P149" s="39">
        <f t="shared" si="14"/>
        <v>44675</v>
      </c>
      <c r="Q149" s="41">
        <f t="shared" si="10"/>
        <v>357.43680000000001</v>
      </c>
      <c r="R149" s="41">
        <f t="shared" si="11"/>
        <v>171.20400000000001</v>
      </c>
      <c r="S149" s="41">
        <f t="shared" si="12"/>
        <v>-186.2328</v>
      </c>
      <c r="T149" s="41">
        <f t="shared" si="13"/>
        <v>169.4</v>
      </c>
    </row>
    <row r="150" spans="10:20">
      <c r="J150" s="119">
        <v>44616</v>
      </c>
      <c r="K150" s="121">
        <v>181.98432</v>
      </c>
      <c r="L150" s="121">
        <v>127.62479999999999</v>
      </c>
      <c r="M150" s="121">
        <v>-54.359520000000003</v>
      </c>
      <c r="N150" s="120">
        <v>123.9</v>
      </c>
      <c r="O150" s="120">
        <v>93.9</v>
      </c>
      <c r="P150" s="39">
        <f t="shared" si="14"/>
        <v>44674</v>
      </c>
      <c r="Q150" s="41">
        <f t="shared" si="10"/>
        <v>357.43680000000001</v>
      </c>
      <c r="R150" s="41">
        <f t="shared" si="11"/>
        <v>171.20400000000001</v>
      </c>
      <c r="S150" s="41">
        <f t="shared" si="12"/>
        <v>-186.2328</v>
      </c>
      <c r="T150" s="41">
        <f t="shared" si="13"/>
        <v>169.4</v>
      </c>
    </row>
    <row r="151" spans="10:20">
      <c r="J151" s="119">
        <v>44615</v>
      </c>
      <c r="K151" s="121">
        <v>181.98432</v>
      </c>
      <c r="L151" s="121">
        <v>127.62479999999999</v>
      </c>
      <c r="M151" s="121">
        <v>-54.359520000000003</v>
      </c>
      <c r="N151" s="120">
        <v>123.9</v>
      </c>
      <c r="O151" s="120">
        <v>93.9</v>
      </c>
      <c r="P151" s="39">
        <f t="shared" si="14"/>
        <v>44673</v>
      </c>
      <c r="Q151" s="41">
        <f t="shared" si="10"/>
        <v>357.43680000000001</v>
      </c>
      <c r="R151" s="41">
        <f t="shared" si="11"/>
        <v>171.20400000000001</v>
      </c>
      <c r="S151" s="41">
        <f t="shared" si="12"/>
        <v>-186.2328</v>
      </c>
      <c r="T151" s="41">
        <f t="shared" si="13"/>
        <v>169.4</v>
      </c>
    </row>
    <row r="152" spans="10:20">
      <c r="J152" s="119">
        <v>44614</v>
      </c>
      <c r="K152" s="121">
        <v>181.98432</v>
      </c>
      <c r="L152" s="121">
        <v>127.62479999999999</v>
      </c>
      <c r="M152" s="121">
        <v>-54.359520000000003</v>
      </c>
      <c r="N152" s="120">
        <v>123.9</v>
      </c>
      <c r="O152" s="120">
        <v>93.9</v>
      </c>
      <c r="P152" s="39">
        <f t="shared" si="14"/>
        <v>44672</v>
      </c>
      <c r="Q152" s="41">
        <f t="shared" si="10"/>
        <v>331.85376000000002</v>
      </c>
      <c r="R152" s="41">
        <f t="shared" si="11"/>
        <v>171.20400000000001</v>
      </c>
      <c r="S152" s="41">
        <f t="shared" si="12"/>
        <v>-160.64976000000001</v>
      </c>
      <c r="T152" s="41">
        <f t="shared" si="13"/>
        <v>174</v>
      </c>
    </row>
    <row r="153" spans="10:20">
      <c r="J153" s="119">
        <v>44613</v>
      </c>
      <c r="K153" s="121">
        <v>181.98432</v>
      </c>
      <c r="L153" s="121">
        <v>127.62479999999999</v>
      </c>
      <c r="M153" s="121">
        <v>-54.359520000000003</v>
      </c>
      <c r="N153" s="120">
        <v>123.9</v>
      </c>
      <c r="O153" s="120">
        <v>93.9</v>
      </c>
      <c r="P153" s="39">
        <f t="shared" si="14"/>
        <v>44671</v>
      </c>
      <c r="Q153" s="41">
        <f t="shared" si="10"/>
        <v>331.85376000000002</v>
      </c>
      <c r="R153" s="41">
        <f t="shared" si="11"/>
        <v>171.20400000000001</v>
      </c>
      <c r="S153" s="41">
        <f t="shared" si="12"/>
        <v>-160.64976000000001</v>
      </c>
      <c r="T153" s="41">
        <f t="shared" si="13"/>
        <v>174</v>
      </c>
    </row>
    <row r="154" spans="10:20">
      <c r="J154" s="119">
        <v>44610</v>
      </c>
      <c r="K154" s="121">
        <v>181.98432</v>
      </c>
      <c r="L154" s="121">
        <v>127.62479999999999</v>
      </c>
      <c r="M154" s="121">
        <v>-54.359520000000003</v>
      </c>
      <c r="N154" s="120">
        <v>123.9</v>
      </c>
      <c r="O154" s="120">
        <v>93.9</v>
      </c>
      <c r="P154" s="39">
        <f t="shared" si="14"/>
        <v>44670</v>
      </c>
      <c r="Q154" s="41">
        <f t="shared" si="10"/>
        <v>331.85376000000002</v>
      </c>
      <c r="R154" s="41">
        <f t="shared" si="11"/>
        <v>171.20400000000001</v>
      </c>
      <c r="S154" s="41">
        <f t="shared" si="12"/>
        <v>-160.64976000000001</v>
      </c>
      <c r="T154" s="41">
        <f t="shared" si="13"/>
        <v>174</v>
      </c>
    </row>
    <row r="155" spans="10:20">
      <c r="J155" s="119">
        <v>44609</v>
      </c>
      <c r="K155" s="121">
        <v>189.24191999999999</v>
      </c>
      <c r="L155" s="121">
        <v>127.62479999999999</v>
      </c>
      <c r="M155" s="121">
        <v>-61.61712</v>
      </c>
      <c r="N155" s="120">
        <v>125.02</v>
      </c>
      <c r="O155" s="120">
        <v>95.02</v>
      </c>
      <c r="P155" s="39">
        <f t="shared" si="14"/>
        <v>44669</v>
      </c>
      <c r="Q155" s="41">
        <f t="shared" si="10"/>
        <v>331.85376000000002</v>
      </c>
      <c r="R155" s="41">
        <f t="shared" si="11"/>
        <v>171.20400000000001</v>
      </c>
      <c r="S155" s="41">
        <f t="shared" si="12"/>
        <v>-160.64976000000001</v>
      </c>
      <c r="T155" s="41">
        <f t="shared" si="13"/>
        <v>174</v>
      </c>
    </row>
    <row r="156" spans="10:20">
      <c r="J156" s="119">
        <v>44608</v>
      </c>
      <c r="K156" s="121">
        <v>189.24191999999999</v>
      </c>
      <c r="L156" s="121">
        <v>127.62479999999999</v>
      </c>
      <c r="M156" s="121">
        <v>-61.61712</v>
      </c>
      <c r="N156" s="120">
        <v>125.02</v>
      </c>
      <c r="O156" s="120">
        <v>95.02</v>
      </c>
      <c r="P156" s="39">
        <f t="shared" si="14"/>
        <v>44668</v>
      </c>
      <c r="Q156" s="41">
        <f t="shared" si="10"/>
        <v>331.85376000000002</v>
      </c>
      <c r="R156" s="41">
        <f t="shared" si="11"/>
        <v>171.20400000000001</v>
      </c>
      <c r="S156" s="41">
        <f t="shared" si="12"/>
        <v>-160.64976000000001</v>
      </c>
      <c r="T156" s="41">
        <f t="shared" si="13"/>
        <v>174</v>
      </c>
    </row>
    <row r="157" spans="10:20">
      <c r="J157" s="119">
        <v>44607</v>
      </c>
      <c r="K157" s="121">
        <v>189.24191999999999</v>
      </c>
      <c r="L157" s="121">
        <v>127.62479999999999</v>
      </c>
      <c r="M157" s="121">
        <v>-61.61712</v>
      </c>
      <c r="N157" s="120">
        <v>125.02</v>
      </c>
      <c r="O157" s="120">
        <v>95.02</v>
      </c>
      <c r="P157" s="39">
        <f t="shared" si="14"/>
        <v>44667</v>
      </c>
      <c r="Q157" s="41">
        <f t="shared" si="10"/>
        <v>331.85376000000002</v>
      </c>
      <c r="R157" s="41">
        <f t="shared" si="11"/>
        <v>171.20400000000001</v>
      </c>
      <c r="S157" s="41">
        <f t="shared" si="12"/>
        <v>-160.64976000000001</v>
      </c>
      <c r="T157" s="41">
        <f t="shared" si="13"/>
        <v>174</v>
      </c>
    </row>
    <row r="158" spans="10:20">
      <c r="J158" s="119">
        <v>44606</v>
      </c>
      <c r="K158" s="121">
        <v>189.24191999999999</v>
      </c>
      <c r="L158" s="121">
        <v>127.62479999999999</v>
      </c>
      <c r="M158" s="121">
        <v>-61.61712</v>
      </c>
      <c r="N158" s="120">
        <v>125.02</v>
      </c>
      <c r="O158" s="120">
        <v>95.02</v>
      </c>
      <c r="P158" s="39">
        <f t="shared" si="14"/>
        <v>44666</v>
      </c>
      <c r="Q158" s="41">
        <f t="shared" si="10"/>
        <v>331.85376000000002</v>
      </c>
      <c r="R158" s="41">
        <f t="shared" si="11"/>
        <v>171.20400000000001</v>
      </c>
      <c r="S158" s="41">
        <f t="shared" si="12"/>
        <v>-160.64976000000001</v>
      </c>
      <c r="T158" s="41">
        <f t="shared" si="13"/>
        <v>174</v>
      </c>
    </row>
    <row r="159" spans="10:20">
      <c r="J159" s="119">
        <v>44603</v>
      </c>
      <c r="K159" s="121">
        <v>189.24191999999999</v>
      </c>
      <c r="L159" s="121">
        <v>127.62479999999999</v>
      </c>
      <c r="M159" s="121">
        <v>-61.61712</v>
      </c>
      <c r="N159" s="120">
        <v>125.02</v>
      </c>
      <c r="O159" s="120">
        <v>95.02</v>
      </c>
      <c r="P159" s="39">
        <f t="shared" si="14"/>
        <v>44665</v>
      </c>
      <c r="Q159" s="41">
        <f t="shared" si="10"/>
        <v>293.0256</v>
      </c>
      <c r="R159" s="41">
        <f t="shared" si="11"/>
        <v>171.20400000000001</v>
      </c>
      <c r="S159" s="41">
        <f t="shared" si="12"/>
        <v>-121.82159999999999</v>
      </c>
      <c r="T159" s="41">
        <f t="shared" si="13"/>
        <v>169.6</v>
      </c>
    </row>
    <row r="160" spans="10:20">
      <c r="J160" s="119">
        <v>44602</v>
      </c>
      <c r="K160" s="121">
        <v>174.1824</v>
      </c>
      <c r="L160" s="121">
        <v>127.62479999999999</v>
      </c>
      <c r="M160" s="121">
        <v>-46.557600000000008</v>
      </c>
      <c r="N160" s="120">
        <v>125.1</v>
      </c>
      <c r="O160" s="120">
        <v>95.1</v>
      </c>
      <c r="P160" s="39">
        <f t="shared" si="14"/>
        <v>44664</v>
      </c>
      <c r="Q160" s="41">
        <f t="shared" si="10"/>
        <v>293.0256</v>
      </c>
      <c r="R160" s="41">
        <f t="shared" si="11"/>
        <v>171.20400000000001</v>
      </c>
      <c r="S160" s="41">
        <f t="shared" si="12"/>
        <v>-121.82159999999999</v>
      </c>
      <c r="T160" s="41">
        <f t="shared" si="13"/>
        <v>169.6</v>
      </c>
    </row>
    <row r="161" spans="10:20">
      <c r="J161" s="119">
        <v>44601</v>
      </c>
      <c r="K161" s="121">
        <v>174.1824</v>
      </c>
      <c r="L161" s="121">
        <v>127.62479999999999</v>
      </c>
      <c r="M161" s="121">
        <v>-46.557600000000008</v>
      </c>
      <c r="N161" s="120">
        <v>125.1</v>
      </c>
      <c r="O161" s="120">
        <v>95.1</v>
      </c>
      <c r="P161" s="39">
        <f t="shared" si="14"/>
        <v>44663</v>
      </c>
      <c r="Q161" s="41">
        <f t="shared" si="10"/>
        <v>293.0256</v>
      </c>
      <c r="R161" s="41">
        <f t="shared" si="11"/>
        <v>171.20400000000001</v>
      </c>
      <c r="S161" s="41">
        <f t="shared" si="12"/>
        <v>-121.82159999999999</v>
      </c>
      <c r="T161" s="41">
        <f t="shared" si="13"/>
        <v>169.6</v>
      </c>
    </row>
    <row r="162" spans="10:20">
      <c r="J162" s="119">
        <v>44600</v>
      </c>
      <c r="K162" s="121">
        <v>174.1824</v>
      </c>
      <c r="L162" s="121">
        <v>127.62479999999999</v>
      </c>
      <c r="M162" s="121">
        <v>-46.557600000000008</v>
      </c>
      <c r="N162" s="120">
        <v>125.1</v>
      </c>
      <c r="O162" s="120">
        <v>95.1</v>
      </c>
      <c r="P162" s="39">
        <f t="shared" si="14"/>
        <v>44662</v>
      </c>
      <c r="Q162" s="41">
        <f t="shared" si="10"/>
        <v>293.0256</v>
      </c>
      <c r="R162" s="41">
        <f t="shared" si="11"/>
        <v>171.20400000000001</v>
      </c>
      <c r="S162" s="41">
        <f t="shared" si="12"/>
        <v>-121.82159999999999</v>
      </c>
      <c r="T162" s="41">
        <f t="shared" si="13"/>
        <v>169.6</v>
      </c>
    </row>
    <row r="163" spans="10:20">
      <c r="J163" s="119">
        <v>44599</v>
      </c>
      <c r="K163" s="121">
        <v>174.1824</v>
      </c>
      <c r="L163" s="121">
        <v>127.62479999999999</v>
      </c>
      <c r="M163" s="121">
        <v>-46.557600000000008</v>
      </c>
      <c r="N163" s="120">
        <v>125.1</v>
      </c>
      <c r="O163" s="120">
        <v>95.1</v>
      </c>
      <c r="P163" s="39">
        <f t="shared" si="14"/>
        <v>44661</v>
      </c>
      <c r="Q163" s="41">
        <f t="shared" si="10"/>
        <v>293.0256</v>
      </c>
      <c r="R163" s="41">
        <f t="shared" si="11"/>
        <v>166.01599999999999</v>
      </c>
      <c r="S163" s="41">
        <f t="shared" si="12"/>
        <v>-127.00960000000001</v>
      </c>
      <c r="T163" s="41">
        <f t="shared" si="13"/>
        <v>169.6</v>
      </c>
    </row>
    <row r="164" spans="10:20">
      <c r="J164" s="119">
        <v>44596</v>
      </c>
      <c r="K164" s="121">
        <v>174.1824</v>
      </c>
      <c r="L164" s="121">
        <v>127.62479999999999</v>
      </c>
      <c r="M164" s="121">
        <v>-46.557600000000008</v>
      </c>
      <c r="N164" s="120">
        <v>125.1</v>
      </c>
      <c r="O164" s="120">
        <v>95.1</v>
      </c>
      <c r="P164" s="39">
        <f t="shared" si="14"/>
        <v>44660</v>
      </c>
      <c r="Q164" s="41">
        <f t="shared" si="10"/>
        <v>293.0256</v>
      </c>
      <c r="R164" s="41">
        <f t="shared" si="11"/>
        <v>166.01599999999999</v>
      </c>
      <c r="S164" s="41">
        <f t="shared" si="12"/>
        <v>-127.00960000000001</v>
      </c>
      <c r="T164" s="41">
        <f t="shared" si="13"/>
        <v>169.6</v>
      </c>
    </row>
    <row r="165" spans="10:20">
      <c r="J165" s="119">
        <v>44595</v>
      </c>
      <c r="K165" s="121">
        <v>191.64600000000002</v>
      </c>
      <c r="L165" s="121">
        <v>127.62479999999999</v>
      </c>
      <c r="M165" s="121">
        <v>-64.021200000000022</v>
      </c>
      <c r="N165" s="120">
        <v>124.5</v>
      </c>
      <c r="O165" s="120">
        <v>94.5</v>
      </c>
      <c r="P165" s="39">
        <f t="shared" si="14"/>
        <v>44659</v>
      </c>
      <c r="Q165" s="41">
        <f t="shared" si="10"/>
        <v>293.0256</v>
      </c>
      <c r="R165" s="41">
        <f t="shared" si="11"/>
        <v>166.01599999999999</v>
      </c>
      <c r="S165" s="41">
        <f t="shared" si="12"/>
        <v>-127.00960000000001</v>
      </c>
      <c r="T165" s="41">
        <f t="shared" si="13"/>
        <v>169.6</v>
      </c>
    </row>
    <row r="166" spans="10:20">
      <c r="J166" s="119">
        <v>44594</v>
      </c>
      <c r="K166" s="121">
        <v>191.64600000000002</v>
      </c>
      <c r="L166" s="121">
        <v>127.62479999999999</v>
      </c>
      <c r="M166" s="121">
        <v>-64.021200000000022</v>
      </c>
      <c r="N166" s="120">
        <v>124.5</v>
      </c>
      <c r="O166" s="120">
        <v>94.5</v>
      </c>
      <c r="P166" s="39">
        <f t="shared" si="14"/>
        <v>44658</v>
      </c>
      <c r="Q166" s="41">
        <f t="shared" si="10"/>
        <v>285.5412</v>
      </c>
      <c r="R166" s="41">
        <f t="shared" si="11"/>
        <v>166.01599999999999</v>
      </c>
      <c r="S166" s="41">
        <f t="shared" si="12"/>
        <v>-119.52520000000001</v>
      </c>
      <c r="T166" s="41">
        <f t="shared" si="13"/>
        <v>164.67</v>
      </c>
    </row>
    <row r="167" spans="10:20">
      <c r="J167" s="119">
        <v>44593</v>
      </c>
      <c r="K167" s="121">
        <v>191.64600000000002</v>
      </c>
      <c r="L167" s="121">
        <v>127.62479999999999</v>
      </c>
      <c r="M167" s="121">
        <v>-64.021200000000022</v>
      </c>
      <c r="N167" s="120">
        <v>124.5</v>
      </c>
      <c r="O167" s="120">
        <v>94.5</v>
      </c>
      <c r="P167" s="39">
        <f t="shared" si="14"/>
        <v>44657</v>
      </c>
      <c r="Q167" s="41">
        <f t="shared" si="10"/>
        <v>285.5412</v>
      </c>
      <c r="R167" s="41">
        <f t="shared" si="11"/>
        <v>166.01599999999999</v>
      </c>
      <c r="S167" s="41">
        <f t="shared" si="12"/>
        <v>-119.52520000000001</v>
      </c>
      <c r="T167" s="41">
        <f t="shared" si="13"/>
        <v>164.67</v>
      </c>
    </row>
    <row r="168" spans="10:20">
      <c r="J168" s="119">
        <v>44592</v>
      </c>
      <c r="K168" s="121">
        <v>191.64600000000002</v>
      </c>
      <c r="L168" s="121">
        <v>129.69999999999999</v>
      </c>
      <c r="M168" s="121">
        <v>-61.946000000000026</v>
      </c>
      <c r="N168" s="120">
        <v>124.5</v>
      </c>
      <c r="O168" s="120">
        <v>94.5</v>
      </c>
      <c r="P168" s="39">
        <f t="shared" si="14"/>
        <v>44656</v>
      </c>
      <c r="Q168" s="41">
        <f t="shared" si="10"/>
        <v>285.5412</v>
      </c>
      <c r="R168" s="41">
        <f t="shared" si="11"/>
        <v>166.01599999999999</v>
      </c>
      <c r="S168" s="41">
        <f t="shared" si="12"/>
        <v>-119.52520000000001</v>
      </c>
      <c r="T168" s="41">
        <f t="shared" si="13"/>
        <v>164.67</v>
      </c>
    </row>
    <row r="169" spans="10:20">
      <c r="J169" s="119">
        <v>44589</v>
      </c>
      <c r="K169" s="121">
        <v>191.64600000000002</v>
      </c>
      <c r="L169" s="121">
        <v>129.69999999999999</v>
      </c>
      <c r="M169" s="121">
        <v>-61.946000000000026</v>
      </c>
      <c r="N169" s="120">
        <v>124.5</v>
      </c>
      <c r="O169" s="120">
        <v>94.5</v>
      </c>
      <c r="P169" s="39">
        <f t="shared" si="14"/>
        <v>44655</v>
      </c>
      <c r="Q169" s="41">
        <f t="shared" si="10"/>
        <v>285.5412</v>
      </c>
      <c r="R169" s="41">
        <f t="shared" si="11"/>
        <v>166.01599999999999</v>
      </c>
      <c r="S169" s="41">
        <f t="shared" si="12"/>
        <v>-119.52520000000001</v>
      </c>
      <c r="T169" s="41">
        <f t="shared" si="13"/>
        <v>164.67</v>
      </c>
    </row>
    <row r="170" spans="10:20">
      <c r="J170" s="119">
        <v>44588</v>
      </c>
      <c r="K170" s="121">
        <v>169.19280000000001</v>
      </c>
      <c r="L170" s="121">
        <v>129.69999999999999</v>
      </c>
      <c r="M170" s="121">
        <v>-39.492800000000017</v>
      </c>
      <c r="N170" s="120">
        <v>123.5</v>
      </c>
      <c r="O170" s="120">
        <v>93.5</v>
      </c>
      <c r="P170" s="39">
        <f t="shared" si="14"/>
        <v>44654</v>
      </c>
      <c r="Q170" s="41">
        <f t="shared" si="10"/>
        <v>285.5412</v>
      </c>
      <c r="R170" s="41">
        <f t="shared" si="11"/>
        <v>166.01599999999999</v>
      </c>
      <c r="S170" s="41">
        <f t="shared" si="12"/>
        <v>-119.52520000000001</v>
      </c>
      <c r="T170" s="41">
        <f t="shared" si="13"/>
        <v>164.67</v>
      </c>
    </row>
    <row r="171" spans="10:20">
      <c r="J171" s="119">
        <v>44587</v>
      </c>
      <c r="K171" s="121">
        <v>169.19280000000001</v>
      </c>
      <c r="L171" s="121">
        <v>124.512</v>
      </c>
      <c r="M171" s="121">
        <v>-44.680800000000005</v>
      </c>
      <c r="N171" s="120">
        <v>123.5</v>
      </c>
      <c r="O171" s="120">
        <v>93.5</v>
      </c>
      <c r="P171" s="39">
        <f t="shared" si="14"/>
        <v>44653</v>
      </c>
      <c r="Q171" s="41">
        <f t="shared" si="10"/>
        <v>285.5412</v>
      </c>
      <c r="R171" s="41">
        <f t="shared" si="11"/>
        <v>166.01599999999999</v>
      </c>
      <c r="S171" s="41">
        <f t="shared" si="12"/>
        <v>-119.52520000000001</v>
      </c>
      <c r="T171" s="41">
        <f t="shared" si="13"/>
        <v>164.67</v>
      </c>
    </row>
    <row r="172" spans="10:20">
      <c r="J172" s="119">
        <v>44586</v>
      </c>
      <c r="K172" s="121">
        <v>169.19280000000001</v>
      </c>
      <c r="L172" s="121">
        <v>124.512</v>
      </c>
      <c r="M172" s="121">
        <v>-44.680800000000005</v>
      </c>
      <c r="N172" s="120">
        <v>123.5</v>
      </c>
      <c r="O172" s="120">
        <v>93.5</v>
      </c>
      <c r="P172" s="39">
        <f t="shared" si="14"/>
        <v>44652</v>
      </c>
      <c r="Q172" s="41">
        <f t="shared" si="10"/>
        <v>285.5412</v>
      </c>
      <c r="R172" s="41">
        <f t="shared" si="11"/>
        <v>166.01599999999999</v>
      </c>
      <c r="S172" s="41">
        <f t="shared" si="12"/>
        <v>-119.52520000000001</v>
      </c>
      <c r="T172" s="41">
        <f t="shared" si="13"/>
        <v>164.67</v>
      </c>
    </row>
    <row r="173" spans="10:20">
      <c r="J173" s="119">
        <v>44585</v>
      </c>
      <c r="K173" s="121">
        <v>169.19280000000001</v>
      </c>
      <c r="L173" s="121">
        <v>124.512</v>
      </c>
      <c r="M173" s="121">
        <v>-44.680800000000005</v>
      </c>
      <c r="N173" s="120">
        <v>123.5</v>
      </c>
      <c r="O173" s="120">
        <v>93.5</v>
      </c>
      <c r="P173" s="39">
        <f t="shared" si="14"/>
        <v>44651</v>
      </c>
      <c r="Q173" s="41">
        <f t="shared" si="10"/>
        <v>274.428</v>
      </c>
      <c r="R173" s="41">
        <f t="shared" si="11"/>
        <v>171.20400000000001</v>
      </c>
      <c r="S173" s="41">
        <f t="shared" si="12"/>
        <v>-103.22399999999999</v>
      </c>
      <c r="T173" s="41">
        <f t="shared" si="13"/>
        <v>163.75</v>
      </c>
    </row>
    <row r="174" spans="10:20">
      <c r="J174" s="119">
        <v>44582</v>
      </c>
      <c r="K174" s="121">
        <v>169.19280000000001</v>
      </c>
      <c r="L174" s="121">
        <v>124.512</v>
      </c>
      <c r="M174" s="121">
        <v>-44.680800000000005</v>
      </c>
      <c r="N174" s="120">
        <v>123.5</v>
      </c>
      <c r="O174" s="120">
        <v>93.5</v>
      </c>
      <c r="P174" s="39">
        <f t="shared" si="14"/>
        <v>44650</v>
      </c>
      <c r="Q174" s="41">
        <f t="shared" si="10"/>
        <v>274.428</v>
      </c>
      <c r="R174" s="41">
        <f t="shared" si="11"/>
        <v>171.20400000000001</v>
      </c>
      <c r="S174" s="41">
        <f t="shared" si="12"/>
        <v>-103.22399999999999</v>
      </c>
      <c r="T174" s="41">
        <f t="shared" si="13"/>
        <v>163.75</v>
      </c>
    </row>
    <row r="175" spans="10:20">
      <c r="J175" s="119">
        <v>44581</v>
      </c>
      <c r="K175" s="121">
        <v>149.59728000000001</v>
      </c>
      <c r="L175" s="121">
        <v>124.512</v>
      </c>
      <c r="M175" s="121">
        <v>-25.085280000000012</v>
      </c>
      <c r="N175" s="120">
        <v>124.8</v>
      </c>
      <c r="O175" s="120">
        <v>94.8</v>
      </c>
      <c r="P175" s="39">
        <f t="shared" si="14"/>
        <v>44649</v>
      </c>
      <c r="Q175" s="41">
        <f t="shared" si="10"/>
        <v>274.428</v>
      </c>
      <c r="R175" s="41">
        <f t="shared" si="11"/>
        <v>160.828</v>
      </c>
      <c r="S175" s="41">
        <f t="shared" si="12"/>
        <v>-113.6</v>
      </c>
      <c r="T175" s="41">
        <f t="shared" si="13"/>
        <v>163.75</v>
      </c>
    </row>
    <row r="176" spans="10:20">
      <c r="J176" s="119">
        <v>44580</v>
      </c>
      <c r="K176" s="121">
        <v>149.59728000000001</v>
      </c>
      <c r="L176" s="121">
        <v>124.512</v>
      </c>
      <c r="M176" s="121">
        <v>-25.085280000000012</v>
      </c>
      <c r="N176" s="120">
        <v>124.8</v>
      </c>
      <c r="O176" s="120">
        <v>94.8</v>
      </c>
      <c r="P176" s="39">
        <f t="shared" si="14"/>
        <v>44648</v>
      </c>
      <c r="Q176" s="41">
        <f t="shared" si="10"/>
        <v>274.428</v>
      </c>
      <c r="R176" s="41">
        <f t="shared" si="11"/>
        <v>160.828</v>
      </c>
      <c r="S176" s="41">
        <f t="shared" si="12"/>
        <v>-113.6</v>
      </c>
      <c r="T176" s="41">
        <f t="shared" si="13"/>
        <v>163.75</v>
      </c>
    </row>
    <row r="177" spans="10:20">
      <c r="J177" s="119">
        <v>44579</v>
      </c>
      <c r="K177" s="121">
        <v>149.59728000000001</v>
      </c>
      <c r="L177" s="121">
        <v>119.324</v>
      </c>
      <c r="M177" s="121">
        <v>-30.273280000000014</v>
      </c>
      <c r="N177" s="120">
        <v>124.8</v>
      </c>
      <c r="O177" s="120">
        <v>94.8</v>
      </c>
      <c r="P177" s="39">
        <f t="shared" si="14"/>
        <v>44647</v>
      </c>
      <c r="Q177" s="41">
        <f t="shared" si="10"/>
        <v>274.428</v>
      </c>
      <c r="R177" s="41">
        <f t="shared" si="11"/>
        <v>160.828</v>
      </c>
      <c r="S177" s="41">
        <f t="shared" si="12"/>
        <v>-113.6</v>
      </c>
      <c r="T177" s="41">
        <f t="shared" si="13"/>
        <v>163.75</v>
      </c>
    </row>
    <row r="178" spans="10:20">
      <c r="J178" s="119">
        <v>44578</v>
      </c>
      <c r="K178" s="121">
        <v>149.59728000000001</v>
      </c>
      <c r="L178" s="121">
        <v>119.324</v>
      </c>
      <c r="M178" s="121">
        <v>-30.273280000000014</v>
      </c>
      <c r="N178" s="120">
        <v>124.8</v>
      </c>
      <c r="O178" s="120">
        <v>94.8</v>
      </c>
      <c r="P178" s="39">
        <f t="shared" si="14"/>
        <v>44646</v>
      </c>
      <c r="Q178" s="41">
        <f t="shared" si="10"/>
        <v>274.428</v>
      </c>
      <c r="R178" s="41">
        <f t="shared" si="11"/>
        <v>160.828</v>
      </c>
      <c r="S178" s="41">
        <f t="shared" si="12"/>
        <v>-113.6</v>
      </c>
      <c r="T178" s="41">
        <f t="shared" si="13"/>
        <v>163.75</v>
      </c>
    </row>
    <row r="179" spans="10:20">
      <c r="J179" s="119">
        <v>44575</v>
      </c>
      <c r="K179" s="121">
        <v>149.59728000000001</v>
      </c>
      <c r="L179" s="121">
        <v>119.324</v>
      </c>
      <c r="M179" s="121">
        <v>-30.273280000000014</v>
      </c>
      <c r="N179" s="120">
        <v>124.8</v>
      </c>
      <c r="O179" s="120">
        <v>94.8</v>
      </c>
      <c r="P179" s="39">
        <f t="shared" si="14"/>
        <v>44645</v>
      </c>
      <c r="Q179" s="41">
        <f t="shared" si="10"/>
        <v>274.428</v>
      </c>
      <c r="R179" s="41">
        <f t="shared" si="11"/>
        <v>160.828</v>
      </c>
      <c r="S179" s="41">
        <f t="shared" si="12"/>
        <v>-113.6</v>
      </c>
      <c r="T179" s="41">
        <f t="shared" si="13"/>
        <v>163.75</v>
      </c>
    </row>
    <row r="180" spans="10:20">
      <c r="J180" s="119">
        <v>44574</v>
      </c>
      <c r="K180" s="121">
        <v>137.53152</v>
      </c>
      <c r="L180" s="121">
        <v>119.324</v>
      </c>
      <c r="M180" s="121">
        <v>-18.207520000000002</v>
      </c>
      <c r="N180" s="120">
        <v>125.84</v>
      </c>
      <c r="O180" s="120">
        <v>95.84</v>
      </c>
      <c r="P180" s="39">
        <f t="shared" si="14"/>
        <v>44644</v>
      </c>
      <c r="Q180" s="41">
        <f t="shared" si="10"/>
        <v>277.14960000000002</v>
      </c>
      <c r="R180" s="41">
        <f t="shared" si="11"/>
        <v>160.828</v>
      </c>
      <c r="S180" s="41">
        <f t="shared" si="12"/>
        <v>-116.32160000000002</v>
      </c>
      <c r="T180" s="41">
        <f t="shared" si="13"/>
        <v>162</v>
      </c>
    </row>
    <row r="181" spans="10:20">
      <c r="J181" s="119">
        <v>44573</v>
      </c>
      <c r="K181" s="121">
        <v>137.53152</v>
      </c>
      <c r="L181" s="121">
        <v>119.324</v>
      </c>
      <c r="M181" s="121">
        <v>-18.207520000000002</v>
      </c>
      <c r="N181" s="120">
        <v>125.84</v>
      </c>
      <c r="O181" s="120">
        <v>95.84</v>
      </c>
      <c r="P181" s="39">
        <f t="shared" si="14"/>
        <v>44643</v>
      </c>
      <c r="Q181" s="41">
        <f t="shared" si="10"/>
        <v>277.14960000000002</v>
      </c>
      <c r="R181" s="41">
        <f t="shared" si="11"/>
        <v>160.828</v>
      </c>
      <c r="S181" s="41">
        <f t="shared" si="12"/>
        <v>-116.32160000000002</v>
      </c>
      <c r="T181" s="41">
        <f t="shared" si="13"/>
        <v>162</v>
      </c>
    </row>
    <row r="182" spans="10:20">
      <c r="J182" s="119">
        <v>44572</v>
      </c>
      <c r="K182" s="121">
        <v>137.53152</v>
      </c>
      <c r="L182" s="121">
        <v>123.4744</v>
      </c>
      <c r="M182" s="121">
        <v>-14.057119999999998</v>
      </c>
      <c r="N182" s="120">
        <v>125.84</v>
      </c>
      <c r="O182" s="120">
        <v>95.84</v>
      </c>
      <c r="P182" s="39">
        <f t="shared" si="14"/>
        <v>44642</v>
      </c>
      <c r="Q182" s="41">
        <f t="shared" si="10"/>
        <v>277.14960000000002</v>
      </c>
      <c r="R182" s="41">
        <f t="shared" si="11"/>
        <v>160.828</v>
      </c>
      <c r="S182" s="41">
        <f t="shared" si="12"/>
        <v>-116.32160000000002</v>
      </c>
      <c r="T182" s="41">
        <f t="shared" si="13"/>
        <v>162</v>
      </c>
    </row>
    <row r="183" spans="10:20">
      <c r="J183" s="119">
        <v>44571</v>
      </c>
      <c r="K183" s="121">
        <v>137.53152</v>
      </c>
      <c r="L183" s="121">
        <v>123.4744</v>
      </c>
      <c r="M183" s="121">
        <v>-14.057119999999998</v>
      </c>
      <c r="N183" s="120">
        <v>125.84</v>
      </c>
      <c r="O183" s="120">
        <v>95.84</v>
      </c>
      <c r="P183" s="39">
        <f t="shared" si="14"/>
        <v>44641</v>
      </c>
      <c r="Q183" s="41">
        <f t="shared" si="10"/>
        <v>277.14960000000002</v>
      </c>
      <c r="R183" s="41">
        <f t="shared" si="11"/>
        <v>171.20400000000001</v>
      </c>
      <c r="S183" s="41">
        <f t="shared" si="12"/>
        <v>-105.94560000000001</v>
      </c>
      <c r="T183" s="41">
        <f t="shared" si="13"/>
        <v>162</v>
      </c>
    </row>
    <row r="184" spans="10:20">
      <c r="J184" s="119">
        <v>44568</v>
      </c>
      <c r="K184" s="121">
        <v>137.53152</v>
      </c>
      <c r="L184" s="121">
        <v>123.4744</v>
      </c>
      <c r="M184" s="121">
        <v>-14.057119999999998</v>
      </c>
      <c r="N184" s="120">
        <v>125.84</v>
      </c>
      <c r="O184" s="120">
        <v>95.84</v>
      </c>
      <c r="P184" s="39">
        <f t="shared" si="14"/>
        <v>44640</v>
      </c>
      <c r="Q184" s="41">
        <f t="shared" si="10"/>
        <v>277.14960000000002</v>
      </c>
      <c r="R184" s="41">
        <f t="shared" si="11"/>
        <v>171.20400000000001</v>
      </c>
      <c r="S184" s="41">
        <f t="shared" si="12"/>
        <v>-105.94560000000001</v>
      </c>
      <c r="T184" s="41">
        <f t="shared" si="13"/>
        <v>162</v>
      </c>
    </row>
    <row r="185" spans="10:20">
      <c r="J185" s="119">
        <v>44567</v>
      </c>
      <c r="K185" s="121">
        <v>125.4204</v>
      </c>
      <c r="L185" s="121">
        <v>123.4744</v>
      </c>
      <c r="M185" s="121">
        <v>-1.945999999999998</v>
      </c>
      <c r="N185" s="120">
        <v>127.5</v>
      </c>
      <c r="O185" s="120">
        <v>97.5</v>
      </c>
      <c r="P185" s="39">
        <f t="shared" si="14"/>
        <v>44639</v>
      </c>
      <c r="Q185" s="41">
        <f t="shared" si="10"/>
        <v>277.14960000000002</v>
      </c>
      <c r="R185" s="41">
        <f t="shared" si="11"/>
        <v>171.20400000000001</v>
      </c>
      <c r="S185" s="41">
        <f t="shared" si="12"/>
        <v>-105.94560000000001</v>
      </c>
      <c r="T185" s="41">
        <f t="shared" si="13"/>
        <v>162</v>
      </c>
    </row>
    <row r="186" spans="10:20">
      <c r="J186" s="119">
        <v>44566</v>
      </c>
      <c r="K186" s="121">
        <v>125.4204</v>
      </c>
      <c r="L186" s="121">
        <v>126.5872</v>
      </c>
      <c r="M186" s="121">
        <v>1.166799999999995</v>
      </c>
      <c r="N186" s="120">
        <v>127.5</v>
      </c>
      <c r="O186" s="120">
        <v>97.5</v>
      </c>
      <c r="P186" s="39">
        <f t="shared" si="14"/>
        <v>44638</v>
      </c>
      <c r="Q186" s="41">
        <f t="shared" si="10"/>
        <v>277.14960000000002</v>
      </c>
      <c r="R186" s="41">
        <f t="shared" si="11"/>
        <v>171.20400000000001</v>
      </c>
      <c r="S186" s="41">
        <f t="shared" si="12"/>
        <v>-105.94560000000001</v>
      </c>
      <c r="T186" s="41">
        <f t="shared" si="13"/>
        <v>162</v>
      </c>
    </row>
    <row r="187" spans="10:20">
      <c r="J187" s="119">
        <v>44565</v>
      </c>
      <c r="K187" s="121">
        <v>125.4204</v>
      </c>
      <c r="L187" s="121">
        <v>126.5872</v>
      </c>
      <c r="M187" s="121">
        <v>1.166799999999995</v>
      </c>
      <c r="N187" s="120">
        <v>127.5</v>
      </c>
      <c r="O187" s="120">
        <v>97.5</v>
      </c>
      <c r="P187" s="39">
        <f t="shared" si="14"/>
        <v>44637</v>
      </c>
      <c r="Q187" s="41">
        <f t="shared" si="10"/>
        <v>373.08600000000001</v>
      </c>
      <c r="R187" s="41">
        <f t="shared" si="11"/>
        <v>171.20400000000001</v>
      </c>
      <c r="S187" s="41">
        <f t="shared" si="12"/>
        <v>-201.88200000000001</v>
      </c>
      <c r="T187" s="41">
        <f t="shared" si="13"/>
        <v>170.33</v>
      </c>
    </row>
    <row r="188" spans="10:20">
      <c r="J188" s="119">
        <v>44564</v>
      </c>
      <c r="K188" s="121">
        <v>125.4204</v>
      </c>
      <c r="L188" s="121">
        <v>126.5872</v>
      </c>
      <c r="M188" s="121">
        <v>1.166799999999995</v>
      </c>
      <c r="N188" s="120">
        <v>127.5</v>
      </c>
      <c r="O188" s="120">
        <v>97.5</v>
      </c>
      <c r="P188" s="39">
        <f t="shared" si="14"/>
        <v>44636</v>
      </c>
      <c r="Q188" s="41">
        <f t="shared" si="10"/>
        <v>373.08600000000001</v>
      </c>
      <c r="R188" s="41">
        <f t="shared" si="11"/>
        <v>160.828</v>
      </c>
      <c r="S188" s="41">
        <f t="shared" si="12"/>
        <v>-212.25800000000001</v>
      </c>
      <c r="T188" s="41">
        <f t="shared" si="13"/>
        <v>170.33</v>
      </c>
    </row>
    <row r="189" spans="10:20">
      <c r="J189" s="119">
        <v>44561</v>
      </c>
      <c r="K189" s="121">
        <v>125.4204</v>
      </c>
      <c r="L189" s="121">
        <v>127.62479999999999</v>
      </c>
      <c r="M189" s="121">
        <v>2.2043999999999926</v>
      </c>
      <c r="N189" s="120">
        <v>127.5</v>
      </c>
      <c r="O189" s="120">
        <v>97.5</v>
      </c>
      <c r="P189" s="39">
        <f t="shared" si="14"/>
        <v>44635</v>
      </c>
      <c r="Q189" s="41">
        <f t="shared" si="10"/>
        <v>373.08600000000001</v>
      </c>
      <c r="R189" s="41">
        <f t="shared" si="11"/>
        <v>160.828</v>
      </c>
      <c r="S189" s="41">
        <f t="shared" si="12"/>
        <v>-212.25800000000001</v>
      </c>
      <c r="T189" s="41">
        <f t="shared" si="13"/>
        <v>170.33</v>
      </c>
    </row>
    <row r="190" spans="10:20">
      <c r="J190" s="119">
        <v>44560</v>
      </c>
      <c r="K190" s="121">
        <v>157.80743999999999</v>
      </c>
      <c r="L190" s="121">
        <v>129.69999999999999</v>
      </c>
      <c r="M190" s="121">
        <v>-28.107439999999997</v>
      </c>
      <c r="N190" s="120">
        <v>127.1</v>
      </c>
      <c r="O190" s="120">
        <v>97.1</v>
      </c>
      <c r="P190" s="39">
        <f t="shared" si="14"/>
        <v>44634</v>
      </c>
      <c r="Q190" s="41">
        <f t="shared" si="10"/>
        <v>373.08600000000001</v>
      </c>
      <c r="R190" s="41">
        <f t="shared" si="11"/>
        <v>160.828</v>
      </c>
      <c r="S190" s="41">
        <f t="shared" si="12"/>
        <v>-212.25800000000001</v>
      </c>
      <c r="T190" s="41">
        <f t="shared" si="13"/>
        <v>170.33</v>
      </c>
    </row>
    <row r="191" spans="10:20">
      <c r="J191" s="119">
        <v>44559</v>
      </c>
      <c r="K191" s="121">
        <v>157.80743999999999</v>
      </c>
      <c r="L191" s="121">
        <v>129.69999999999999</v>
      </c>
      <c r="M191" s="121">
        <v>-28.107439999999997</v>
      </c>
      <c r="N191" s="120">
        <v>127.1</v>
      </c>
      <c r="O191" s="120">
        <v>97.1</v>
      </c>
      <c r="P191" s="39">
        <f t="shared" si="14"/>
        <v>44633</v>
      </c>
      <c r="Q191" s="41">
        <f t="shared" si="10"/>
        <v>373.08600000000001</v>
      </c>
      <c r="R191" s="41">
        <f t="shared" si="11"/>
        <v>160.828</v>
      </c>
      <c r="S191" s="41">
        <f t="shared" si="12"/>
        <v>-212.25800000000001</v>
      </c>
      <c r="T191" s="41">
        <f t="shared" si="13"/>
        <v>170.33</v>
      </c>
    </row>
    <row r="192" spans="10:20">
      <c r="J192" s="119">
        <v>44558</v>
      </c>
      <c r="K192" s="121">
        <v>157.80743999999999</v>
      </c>
      <c r="L192" s="121">
        <v>129.69999999999999</v>
      </c>
      <c r="M192" s="121">
        <v>-28.107439999999997</v>
      </c>
      <c r="N192" s="120">
        <v>127.1</v>
      </c>
      <c r="O192" s="120">
        <v>97.1</v>
      </c>
      <c r="P192" s="39">
        <f t="shared" si="14"/>
        <v>44632</v>
      </c>
      <c r="Q192" s="41">
        <f t="shared" si="10"/>
        <v>373.08600000000001</v>
      </c>
      <c r="R192" s="41">
        <f t="shared" si="11"/>
        <v>160.828</v>
      </c>
      <c r="S192" s="41">
        <f t="shared" si="12"/>
        <v>-212.25800000000001</v>
      </c>
      <c r="T192" s="41">
        <f t="shared" si="13"/>
        <v>170.33</v>
      </c>
    </row>
    <row r="193" spans="10:20">
      <c r="J193" s="119">
        <v>44557</v>
      </c>
      <c r="K193" s="121">
        <v>157.80743999999999</v>
      </c>
      <c r="L193" s="121">
        <v>129.69999999999999</v>
      </c>
      <c r="M193" s="121">
        <v>-28.107439999999997</v>
      </c>
      <c r="N193" s="120">
        <v>127.1</v>
      </c>
      <c r="O193" s="120">
        <v>97.1</v>
      </c>
      <c r="P193" s="39">
        <f t="shared" si="14"/>
        <v>44631</v>
      </c>
      <c r="Q193" s="41">
        <f t="shared" si="10"/>
        <v>373.08600000000001</v>
      </c>
      <c r="R193" s="41">
        <f t="shared" si="11"/>
        <v>160.828</v>
      </c>
      <c r="S193" s="41">
        <f t="shared" si="12"/>
        <v>-212.25800000000001</v>
      </c>
      <c r="T193" s="41">
        <f t="shared" si="13"/>
        <v>170.33</v>
      </c>
    </row>
    <row r="194" spans="10:20">
      <c r="J194" s="119">
        <v>44554</v>
      </c>
      <c r="K194" s="121">
        <v>157.80743999999999</v>
      </c>
      <c r="L194" s="121">
        <v>129.69999999999999</v>
      </c>
      <c r="M194" s="121">
        <v>-28.107439999999997</v>
      </c>
      <c r="N194" s="120">
        <v>127.1</v>
      </c>
      <c r="O194" s="120">
        <v>97.1</v>
      </c>
      <c r="P194" s="39">
        <f t="shared" si="14"/>
        <v>44630</v>
      </c>
      <c r="Q194" s="41">
        <f t="shared" si="10"/>
        <v>311.48712</v>
      </c>
      <c r="R194" s="41">
        <f t="shared" si="11"/>
        <v>160.828</v>
      </c>
      <c r="S194" s="41">
        <f t="shared" si="12"/>
        <v>-150.65912</v>
      </c>
      <c r="T194" s="41">
        <f t="shared" si="13"/>
        <v>138</v>
      </c>
    </row>
    <row r="195" spans="10:20">
      <c r="J195" s="119">
        <v>44553</v>
      </c>
      <c r="K195" s="121">
        <v>155.26728</v>
      </c>
      <c r="L195" s="121">
        <v>129.69999999999999</v>
      </c>
      <c r="M195" s="121">
        <v>-25.567280000000011</v>
      </c>
      <c r="N195" s="120">
        <v>127</v>
      </c>
      <c r="O195" s="120">
        <v>97</v>
      </c>
      <c r="P195" s="39">
        <f t="shared" si="14"/>
        <v>44629</v>
      </c>
      <c r="Q195" s="41">
        <f t="shared" si="10"/>
        <v>311.48712</v>
      </c>
      <c r="R195" s="41">
        <f t="shared" si="11"/>
        <v>160.828</v>
      </c>
      <c r="S195" s="41">
        <f t="shared" si="12"/>
        <v>-150.65912</v>
      </c>
      <c r="T195" s="41">
        <f t="shared" si="13"/>
        <v>138</v>
      </c>
    </row>
    <row r="196" spans="10:20">
      <c r="J196" s="119">
        <v>44552</v>
      </c>
      <c r="K196" s="121">
        <v>155.26728</v>
      </c>
      <c r="L196" s="121">
        <v>129.69999999999999</v>
      </c>
      <c r="M196" s="121">
        <v>-25.567280000000011</v>
      </c>
      <c r="N196" s="120">
        <v>127</v>
      </c>
      <c r="O196" s="120">
        <v>97</v>
      </c>
      <c r="P196" s="39">
        <f t="shared" si="14"/>
        <v>44628</v>
      </c>
      <c r="Q196" s="41">
        <f t="shared" si="10"/>
        <v>311.48712</v>
      </c>
      <c r="R196" s="41">
        <f t="shared" si="11"/>
        <v>160.828</v>
      </c>
      <c r="S196" s="41">
        <f t="shared" si="12"/>
        <v>-150.65912</v>
      </c>
      <c r="T196" s="41">
        <f t="shared" si="13"/>
        <v>138</v>
      </c>
    </row>
    <row r="197" spans="10:20">
      <c r="J197" s="119">
        <v>44551</v>
      </c>
      <c r="K197" s="121">
        <v>155.26728</v>
      </c>
      <c r="L197" s="121">
        <v>129.69999999999999</v>
      </c>
      <c r="M197" s="121">
        <v>-25.567280000000011</v>
      </c>
      <c r="N197" s="120">
        <v>127</v>
      </c>
      <c r="O197" s="120">
        <v>97</v>
      </c>
      <c r="P197" s="39">
        <f t="shared" si="14"/>
        <v>44627</v>
      </c>
      <c r="Q197" s="41">
        <f t="shared" si="10"/>
        <v>311.48712</v>
      </c>
      <c r="R197" s="41">
        <f t="shared" si="11"/>
        <v>145.26400000000001</v>
      </c>
      <c r="S197" s="41">
        <f t="shared" si="12"/>
        <v>-166.22311999999999</v>
      </c>
      <c r="T197" s="41">
        <f t="shared" si="13"/>
        <v>138</v>
      </c>
    </row>
    <row r="198" spans="10:20">
      <c r="J198" s="119">
        <v>44550</v>
      </c>
      <c r="K198" s="121">
        <v>155.26728</v>
      </c>
      <c r="L198" s="121">
        <v>129.69999999999999</v>
      </c>
      <c r="M198" s="121">
        <v>-25.567280000000011</v>
      </c>
      <c r="N198" s="120">
        <v>127</v>
      </c>
      <c r="O198" s="120">
        <v>97</v>
      </c>
      <c r="P198" s="39">
        <f t="shared" si="14"/>
        <v>44626</v>
      </c>
      <c r="Q198" s="41">
        <f t="shared" ref="Q198:Q261" si="15">IFERROR(VLOOKUP($P198,$J$5:$N$403,2,FALSE),Q199)</f>
        <v>311.48712</v>
      </c>
      <c r="R198" s="41">
        <f t="shared" ref="R198:R261" si="16">IFERROR(VLOOKUP($P198,$J$5:$N$403,3,FALSE),R199)</f>
        <v>140.07599999999999</v>
      </c>
      <c r="S198" s="41">
        <f t="shared" ref="S198:S261" si="17">IFERROR(VLOOKUP($P198,$J$5:$N$403,4,FALSE),S199)</f>
        <v>-171.41112000000001</v>
      </c>
      <c r="T198" s="41">
        <f t="shared" ref="T198:T261" si="18">IFERROR(VLOOKUP($P198,$J$5:$N$403,5,FALSE),T199)</f>
        <v>138</v>
      </c>
    </row>
    <row r="199" spans="10:20">
      <c r="J199" s="119">
        <v>44547</v>
      </c>
      <c r="K199" s="121">
        <v>155.26728</v>
      </c>
      <c r="L199" s="121">
        <v>129.69999999999999</v>
      </c>
      <c r="M199" s="121">
        <v>-25.567280000000011</v>
      </c>
      <c r="N199" s="120">
        <v>127</v>
      </c>
      <c r="O199" s="120">
        <v>97</v>
      </c>
      <c r="P199" s="39">
        <f t="shared" ref="P199:P262" si="19">P198-1</f>
        <v>44625</v>
      </c>
      <c r="Q199" s="41">
        <f t="shared" si="15"/>
        <v>311.48712</v>
      </c>
      <c r="R199" s="41">
        <f t="shared" si="16"/>
        <v>140.07599999999999</v>
      </c>
      <c r="S199" s="41">
        <f t="shared" si="17"/>
        <v>-171.41112000000001</v>
      </c>
      <c r="T199" s="41">
        <f t="shared" si="18"/>
        <v>138</v>
      </c>
    </row>
    <row r="200" spans="10:20">
      <c r="J200" s="119">
        <v>44546</v>
      </c>
      <c r="K200" s="121">
        <v>146.0592</v>
      </c>
      <c r="L200" s="121">
        <v>129.69999999999999</v>
      </c>
      <c r="M200" s="121">
        <v>-16.359200000000016</v>
      </c>
      <c r="N200" s="120">
        <v>129</v>
      </c>
      <c r="O200" s="120">
        <v>99</v>
      </c>
      <c r="P200" s="39">
        <f t="shared" si="19"/>
        <v>44624</v>
      </c>
      <c r="Q200" s="41">
        <f t="shared" si="15"/>
        <v>311.48712</v>
      </c>
      <c r="R200" s="41">
        <f t="shared" si="16"/>
        <v>140.07599999999999</v>
      </c>
      <c r="S200" s="41">
        <f t="shared" si="17"/>
        <v>-171.41112000000001</v>
      </c>
      <c r="T200" s="41">
        <f t="shared" si="18"/>
        <v>138</v>
      </c>
    </row>
    <row r="201" spans="10:20">
      <c r="J201" s="119">
        <v>44545</v>
      </c>
      <c r="K201" s="121">
        <v>146.0592</v>
      </c>
      <c r="L201" s="121">
        <v>129.69999999999999</v>
      </c>
      <c r="M201" s="121">
        <v>-16.359200000000016</v>
      </c>
      <c r="N201" s="120">
        <v>129</v>
      </c>
      <c r="O201" s="120">
        <v>99</v>
      </c>
      <c r="P201" s="39">
        <f t="shared" si="19"/>
        <v>44623</v>
      </c>
      <c r="Q201" s="41">
        <f t="shared" si="15"/>
        <v>220.58568</v>
      </c>
      <c r="R201" s="41">
        <f t="shared" si="16"/>
        <v>132.81280000000001</v>
      </c>
      <c r="S201" s="41">
        <f t="shared" si="17"/>
        <v>-87.772879999999986</v>
      </c>
      <c r="T201" s="41">
        <f t="shared" si="18"/>
        <v>125.1</v>
      </c>
    </row>
    <row r="202" spans="10:20">
      <c r="J202" s="119">
        <v>44544</v>
      </c>
      <c r="K202" s="121">
        <v>146.0592</v>
      </c>
      <c r="L202" s="121">
        <v>129.69999999999999</v>
      </c>
      <c r="M202" s="121">
        <v>-16.359200000000016</v>
      </c>
      <c r="N202" s="120">
        <v>129</v>
      </c>
      <c r="O202" s="120">
        <v>99</v>
      </c>
      <c r="P202" s="39">
        <f t="shared" si="19"/>
        <v>44622</v>
      </c>
      <c r="Q202" s="41">
        <f t="shared" si="15"/>
        <v>220.58568</v>
      </c>
      <c r="R202" s="41">
        <f t="shared" si="16"/>
        <v>132.81280000000001</v>
      </c>
      <c r="S202" s="41">
        <f t="shared" si="17"/>
        <v>-87.772879999999986</v>
      </c>
      <c r="T202" s="41">
        <f t="shared" si="18"/>
        <v>125.1</v>
      </c>
    </row>
    <row r="203" spans="10:20">
      <c r="J203" s="119">
        <v>44543</v>
      </c>
      <c r="K203" s="121">
        <v>146.0592</v>
      </c>
      <c r="L203" s="121">
        <v>129.69999999999999</v>
      </c>
      <c r="M203" s="121">
        <v>-16.359200000000016</v>
      </c>
      <c r="N203" s="120">
        <v>129</v>
      </c>
      <c r="O203" s="120">
        <v>99</v>
      </c>
      <c r="P203" s="39">
        <f t="shared" si="19"/>
        <v>44621</v>
      </c>
      <c r="Q203" s="41">
        <f t="shared" si="15"/>
        <v>220.58568</v>
      </c>
      <c r="R203" s="41">
        <f t="shared" si="16"/>
        <v>132.81280000000001</v>
      </c>
      <c r="S203" s="41">
        <f t="shared" si="17"/>
        <v>-87.772879999999986</v>
      </c>
      <c r="T203" s="41">
        <f t="shared" si="18"/>
        <v>125.1</v>
      </c>
    </row>
    <row r="204" spans="10:20">
      <c r="J204" s="119">
        <v>44540</v>
      </c>
      <c r="K204" s="121">
        <v>146.0592</v>
      </c>
      <c r="L204" s="121">
        <v>129.69999999999999</v>
      </c>
      <c r="M204" s="121">
        <v>-16.359200000000016</v>
      </c>
      <c r="N204" s="120">
        <v>129</v>
      </c>
      <c r="O204" s="120">
        <v>99</v>
      </c>
      <c r="P204" s="39">
        <f t="shared" si="19"/>
        <v>44620</v>
      </c>
      <c r="Q204" s="41">
        <f t="shared" si="15"/>
        <v>220.58568</v>
      </c>
      <c r="R204" s="41">
        <f t="shared" si="16"/>
        <v>131.77520000000001</v>
      </c>
      <c r="S204" s="41">
        <f t="shared" si="17"/>
        <v>-88.810479999999984</v>
      </c>
      <c r="T204" s="41">
        <f t="shared" si="18"/>
        <v>125.1</v>
      </c>
    </row>
    <row r="205" spans="10:20">
      <c r="J205" s="119">
        <v>44539</v>
      </c>
      <c r="K205" s="121">
        <v>135.62639999999999</v>
      </c>
      <c r="L205" s="121">
        <v>129.69999999999999</v>
      </c>
      <c r="M205" s="121">
        <v>-5.926400000000001</v>
      </c>
      <c r="N205" s="120">
        <v>127.08</v>
      </c>
      <c r="O205" s="120">
        <v>97.08</v>
      </c>
      <c r="P205" s="39">
        <f t="shared" si="19"/>
        <v>44619</v>
      </c>
      <c r="Q205" s="41">
        <f t="shared" si="15"/>
        <v>220.58568</v>
      </c>
      <c r="R205" s="41">
        <f t="shared" si="16"/>
        <v>131.77520000000001</v>
      </c>
      <c r="S205" s="41">
        <f t="shared" si="17"/>
        <v>-88.810479999999984</v>
      </c>
      <c r="T205" s="41">
        <f t="shared" si="18"/>
        <v>125.1</v>
      </c>
    </row>
    <row r="206" spans="10:20">
      <c r="J206" s="119">
        <v>44538</v>
      </c>
      <c r="K206" s="121">
        <v>135.62639999999999</v>
      </c>
      <c r="L206" s="121">
        <v>129.69999999999999</v>
      </c>
      <c r="M206" s="121">
        <v>-5.926400000000001</v>
      </c>
      <c r="N206" s="120">
        <v>127.08</v>
      </c>
      <c r="O206" s="120">
        <v>97.08</v>
      </c>
      <c r="P206" s="39">
        <f t="shared" si="19"/>
        <v>44618</v>
      </c>
      <c r="Q206" s="41">
        <f t="shared" si="15"/>
        <v>220.58568</v>
      </c>
      <c r="R206" s="41">
        <f t="shared" si="16"/>
        <v>131.77520000000001</v>
      </c>
      <c r="S206" s="41">
        <f t="shared" si="17"/>
        <v>-88.810479999999984</v>
      </c>
      <c r="T206" s="41">
        <f t="shared" si="18"/>
        <v>125.1</v>
      </c>
    </row>
    <row r="207" spans="10:20">
      <c r="J207" s="119">
        <v>44537</v>
      </c>
      <c r="K207" s="121">
        <v>135.62639999999999</v>
      </c>
      <c r="L207" s="121">
        <v>129.69999999999999</v>
      </c>
      <c r="M207" s="121">
        <v>-5.926400000000001</v>
      </c>
      <c r="N207" s="120">
        <v>127.08</v>
      </c>
      <c r="O207" s="120">
        <v>97.08</v>
      </c>
      <c r="P207" s="39">
        <f t="shared" si="19"/>
        <v>44617</v>
      </c>
      <c r="Q207" s="41">
        <f t="shared" si="15"/>
        <v>220.58568</v>
      </c>
      <c r="R207" s="41">
        <f t="shared" si="16"/>
        <v>131.77520000000001</v>
      </c>
      <c r="S207" s="41">
        <f t="shared" si="17"/>
        <v>-88.810479999999984</v>
      </c>
      <c r="T207" s="41">
        <f t="shared" si="18"/>
        <v>125.1</v>
      </c>
    </row>
    <row r="208" spans="10:20">
      <c r="J208" s="119">
        <v>44536</v>
      </c>
      <c r="K208" s="121">
        <v>135.62639999999999</v>
      </c>
      <c r="L208" s="121">
        <v>129.69999999999999</v>
      </c>
      <c r="M208" s="121">
        <v>-5.926400000000001</v>
      </c>
      <c r="N208" s="120">
        <v>127.08</v>
      </c>
      <c r="O208" s="120">
        <v>97.08</v>
      </c>
      <c r="P208" s="39">
        <f t="shared" si="19"/>
        <v>44616</v>
      </c>
      <c r="Q208" s="41">
        <f t="shared" si="15"/>
        <v>181.98432</v>
      </c>
      <c r="R208" s="41">
        <f t="shared" si="16"/>
        <v>127.62479999999999</v>
      </c>
      <c r="S208" s="41">
        <f t="shared" si="17"/>
        <v>-54.359520000000003</v>
      </c>
      <c r="T208" s="41">
        <f t="shared" si="18"/>
        <v>123.9</v>
      </c>
    </row>
    <row r="209" spans="10:20">
      <c r="J209" s="119">
        <v>44533</v>
      </c>
      <c r="K209" s="121">
        <v>135.62639999999999</v>
      </c>
      <c r="L209" s="121">
        <v>129.69999999999999</v>
      </c>
      <c r="M209" s="121">
        <v>-5.926400000000001</v>
      </c>
      <c r="N209" s="120">
        <v>127.08</v>
      </c>
      <c r="O209" s="120">
        <v>97.08</v>
      </c>
      <c r="P209" s="39">
        <f t="shared" si="19"/>
        <v>44615</v>
      </c>
      <c r="Q209" s="41">
        <f t="shared" si="15"/>
        <v>181.98432</v>
      </c>
      <c r="R209" s="41">
        <f t="shared" si="16"/>
        <v>127.62479999999999</v>
      </c>
      <c r="S209" s="41">
        <f t="shared" si="17"/>
        <v>-54.359520000000003</v>
      </c>
      <c r="T209" s="41">
        <f t="shared" si="18"/>
        <v>123.9</v>
      </c>
    </row>
    <row r="210" spans="10:20">
      <c r="J210" s="119">
        <v>44532</v>
      </c>
      <c r="K210" s="121">
        <v>160.80119999999999</v>
      </c>
      <c r="L210" s="121">
        <v>129.69999999999999</v>
      </c>
      <c r="M210" s="121">
        <v>-31.101200000000006</v>
      </c>
      <c r="N210" s="120">
        <v>128.70999999999998</v>
      </c>
      <c r="O210" s="120">
        <v>98.71</v>
      </c>
      <c r="P210" s="39">
        <f t="shared" si="19"/>
        <v>44614</v>
      </c>
      <c r="Q210" s="41">
        <f t="shared" si="15"/>
        <v>181.98432</v>
      </c>
      <c r="R210" s="41">
        <f t="shared" si="16"/>
        <v>127.62479999999999</v>
      </c>
      <c r="S210" s="41">
        <f t="shared" si="17"/>
        <v>-54.359520000000003</v>
      </c>
      <c r="T210" s="41">
        <f t="shared" si="18"/>
        <v>123.9</v>
      </c>
    </row>
    <row r="211" spans="10:20">
      <c r="J211" s="119">
        <v>44531</v>
      </c>
      <c r="K211" s="121">
        <v>160.80119999999999</v>
      </c>
      <c r="L211" s="121">
        <v>129.69999999999999</v>
      </c>
      <c r="M211" s="121">
        <v>-31.101200000000006</v>
      </c>
      <c r="N211" s="120">
        <v>128.70999999999998</v>
      </c>
      <c r="O211" s="120">
        <v>98.71</v>
      </c>
      <c r="P211" s="39">
        <f t="shared" si="19"/>
        <v>44613</v>
      </c>
      <c r="Q211" s="41">
        <f t="shared" si="15"/>
        <v>181.98432</v>
      </c>
      <c r="R211" s="41">
        <f t="shared" si="16"/>
        <v>127.62479999999999</v>
      </c>
      <c r="S211" s="41">
        <f t="shared" si="17"/>
        <v>-54.359520000000003</v>
      </c>
      <c r="T211" s="41">
        <f t="shared" si="18"/>
        <v>123.9</v>
      </c>
    </row>
    <row r="212" spans="10:20">
      <c r="J212" s="119">
        <v>44530</v>
      </c>
      <c r="K212" s="121">
        <v>160.80119999999999</v>
      </c>
      <c r="L212" s="121">
        <v>132.81280000000001</v>
      </c>
      <c r="M212" s="121">
        <v>-27.988399999999984</v>
      </c>
      <c r="N212" s="120">
        <v>128.70999999999998</v>
      </c>
      <c r="O212" s="120">
        <v>98.71</v>
      </c>
      <c r="P212" s="39">
        <f t="shared" si="19"/>
        <v>44612</v>
      </c>
      <c r="Q212" s="41">
        <f t="shared" si="15"/>
        <v>181.98432</v>
      </c>
      <c r="R212" s="41">
        <f t="shared" si="16"/>
        <v>127.62479999999999</v>
      </c>
      <c r="S212" s="41">
        <f t="shared" si="17"/>
        <v>-54.359520000000003</v>
      </c>
      <c r="T212" s="41">
        <f t="shared" si="18"/>
        <v>123.9</v>
      </c>
    </row>
    <row r="213" spans="10:20">
      <c r="J213" s="119">
        <v>44529</v>
      </c>
      <c r="K213" s="121">
        <v>160.80119999999999</v>
      </c>
      <c r="L213" s="121">
        <v>132.81280000000001</v>
      </c>
      <c r="M213" s="121">
        <v>-27.988399999999984</v>
      </c>
      <c r="N213" s="120">
        <v>128.70999999999998</v>
      </c>
      <c r="O213" s="120">
        <v>98.71</v>
      </c>
      <c r="P213" s="39">
        <f t="shared" si="19"/>
        <v>44611</v>
      </c>
      <c r="Q213" s="41">
        <f t="shared" si="15"/>
        <v>181.98432</v>
      </c>
      <c r="R213" s="41">
        <f t="shared" si="16"/>
        <v>127.62479999999999</v>
      </c>
      <c r="S213" s="41">
        <f t="shared" si="17"/>
        <v>-54.359520000000003</v>
      </c>
      <c r="T213" s="41">
        <f t="shared" si="18"/>
        <v>123.9</v>
      </c>
    </row>
    <row r="214" spans="10:20">
      <c r="J214" s="119">
        <v>44526</v>
      </c>
      <c r="K214" s="121">
        <v>160.80119999999999</v>
      </c>
      <c r="L214" s="121">
        <v>132.81280000000001</v>
      </c>
      <c r="M214" s="121">
        <v>-27.988399999999984</v>
      </c>
      <c r="N214" s="120">
        <v>128.70999999999998</v>
      </c>
      <c r="O214" s="120">
        <v>98.71</v>
      </c>
      <c r="P214" s="39">
        <f t="shared" si="19"/>
        <v>44610</v>
      </c>
      <c r="Q214" s="41">
        <f t="shared" si="15"/>
        <v>181.98432</v>
      </c>
      <c r="R214" s="41">
        <f t="shared" si="16"/>
        <v>127.62479999999999</v>
      </c>
      <c r="S214" s="41">
        <f t="shared" si="17"/>
        <v>-54.359520000000003</v>
      </c>
      <c r="T214" s="41">
        <f t="shared" si="18"/>
        <v>123.9</v>
      </c>
    </row>
    <row r="215" spans="10:20">
      <c r="J215" s="119">
        <v>44525</v>
      </c>
      <c r="K215" s="121">
        <v>159.71256000000002</v>
      </c>
      <c r="L215" s="121">
        <v>132.81280000000001</v>
      </c>
      <c r="M215" s="121">
        <v>-26.899760000000015</v>
      </c>
      <c r="N215" s="120">
        <v>128.70999999999998</v>
      </c>
      <c r="O215" s="120">
        <v>98.71</v>
      </c>
      <c r="P215" s="39">
        <f t="shared" si="19"/>
        <v>44609</v>
      </c>
      <c r="Q215" s="41">
        <f t="shared" si="15"/>
        <v>189.24191999999999</v>
      </c>
      <c r="R215" s="41">
        <f t="shared" si="16"/>
        <v>127.62479999999999</v>
      </c>
      <c r="S215" s="41">
        <f t="shared" si="17"/>
        <v>-61.61712</v>
      </c>
      <c r="T215" s="41">
        <f t="shared" si="18"/>
        <v>125.02</v>
      </c>
    </row>
    <row r="216" spans="10:20">
      <c r="J216" s="119">
        <v>44524</v>
      </c>
      <c r="K216" s="121">
        <v>159.71256000000002</v>
      </c>
      <c r="L216" s="121">
        <v>132.81280000000001</v>
      </c>
      <c r="M216" s="121">
        <v>-26.899760000000015</v>
      </c>
      <c r="N216" s="120">
        <v>128.70999999999998</v>
      </c>
      <c r="O216" s="120">
        <v>98.71</v>
      </c>
      <c r="P216" s="39">
        <f t="shared" si="19"/>
        <v>44608</v>
      </c>
      <c r="Q216" s="41">
        <f t="shared" si="15"/>
        <v>189.24191999999999</v>
      </c>
      <c r="R216" s="41">
        <f t="shared" si="16"/>
        <v>127.62479999999999</v>
      </c>
      <c r="S216" s="41">
        <f t="shared" si="17"/>
        <v>-61.61712</v>
      </c>
      <c r="T216" s="41">
        <f t="shared" si="18"/>
        <v>125.02</v>
      </c>
    </row>
    <row r="217" spans="10:20">
      <c r="J217" s="119">
        <v>44523</v>
      </c>
      <c r="K217" s="121">
        <v>159.71256000000002</v>
      </c>
      <c r="L217" s="121">
        <v>132.81280000000001</v>
      </c>
      <c r="M217" s="121">
        <v>-26.899760000000015</v>
      </c>
      <c r="N217" s="120">
        <v>128.70999999999998</v>
      </c>
      <c r="O217" s="120">
        <v>98.71</v>
      </c>
      <c r="P217" s="39">
        <f t="shared" si="19"/>
        <v>44607</v>
      </c>
      <c r="Q217" s="41">
        <f t="shared" si="15"/>
        <v>189.24191999999999</v>
      </c>
      <c r="R217" s="41">
        <f t="shared" si="16"/>
        <v>127.62479999999999</v>
      </c>
      <c r="S217" s="41">
        <f t="shared" si="17"/>
        <v>-61.61712</v>
      </c>
      <c r="T217" s="41">
        <f t="shared" si="18"/>
        <v>125.02</v>
      </c>
    </row>
    <row r="218" spans="10:20">
      <c r="J218" s="119">
        <v>44522</v>
      </c>
      <c r="K218" s="121">
        <v>159.71256000000002</v>
      </c>
      <c r="L218" s="121">
        <v>132.81280000000001</v>
      </c>
      <c r="M218" s="121">
        <v>-26.899760000000015</v>
      </c>
      <c r="N218" s="120">
        <v>128.70999999999998</v>
      </c>
      <c r="O218" s="120">
        <v>98.71</v>
      </c>
      <c r="P218" s="39">
        <f t="shared" si="19"/>
        <v>44606</v>
      </c>
      <c r="Q218" s="41">
        <f t="shared" si="15"/>
        <v>189.24191999999999</v>
      </c>
      <c r="R218" s="41">
        <f t="shared" si="16"/>
        <v>127.62479999999999</v>
      </c>
      <c r="S218" s="41">
        <f t="shared" si="17"/>
        <v>-61.61712</v>
      </c>
      <c r="T218" s="41">
        <f t="shared" si="18"/>
        <v>125.02</v>
      </c>
    </row>
    <row r="219" spans="10:20">
      <c r="J219" s="119">
        <v>44519</v>
      </c>
      <c r="K219" s="121">
        <v>159.71256000000002</v>
      </c>
      <c r="L219" s="121">
        <v>132.81280000000001</v>
      </c>
      <c r="M219" s="121">
        <v>-26.899760000000015</v>
      </c>
      <c r="N219" s="120">
        <v>128.70999999999998</v>
      </c>
      <c r="O219" s="120">
        <v>98.71</v>
      </c>
      <c r="P219" s="39">
        <f t="shared" si="19"/>
        <v>44605</v>
      </c>
      <c r="Q219" s="41">
        <f t="shared" si="15"/>
        <v>189.24191999999999</v>
      </c>
      <c r="R219" s="41">
        <f t="shared" si="16"/>
        <v>127.62479999999999</v>
      </c>
      <c r="S219" s="41">
        <f t="shared" si="17"/>
        <v>-61.61712</v>
      </c>
      <c r="T219" s="41">
        <f t="shared" si="18"/>
        <v>125.02</v>
      </c>
    </row>
    <row r="220" spans="10:20">
      <c r="J220" s="119">
        <v>44518</v>
      </c>
      <c r="K220" s="121">
        <v>169.46496000000002</v>
      </c>
      <c r="L220" s="121">
        <v>134.88800000000001</v>
      </c>
      <c r="M220" s="121">
        <v>-34.576960000000014</v>
      </c>
      <c r="N220" s="120">
        <v>134</v>
      </c>
      <c r="O220" s="120">
        <v>104</v>
      </c>
      <c r="P220" s="39">
        <f t="shared" si="19"/>
        <v>44604</v>
      </c>
      <c r="Q220" s="41">
        <f t="shared" si="15"/>
        <v>189.24191999999999</v>
      </c>
      <c r="R220" s="41">
        <f t="shared" si="16"/>
        <v>127.62479999999999</v>
      </c>
      <c r="S220" s="41">
        <f t="shared" si="17"/>
        <v>-61.61712</v>
      </c>
      <c r="T220" s="41">
        <f t="shared" si="18"/>
        <v>125.02</v>
      </c>
    </row>
    <row r="221" spans="10:20">
      <c r="J221" s="119">
        <v>44517</v>
      </c>
      <c r="K221" s="121">
        <v>169.46496000000002</v>
      </c>
      <c r="L221" s="121">
        <v>134.88800000000001</v>
      </c>
      <c r="M221" s="121">
        <v>-34.576960000000014</v>
      </c>
      <c r="N221" s="120">
        <v>134</v>
      </c>
      <c r="O221" s="120">
        <v>104</v>
      </c>
      <c r="P221" s="39">
        <f t="shared" si="19"/>
        <v>44603</v>
      </c>
      <c r="Q221" s="41">
        <f t="shared" si="15"/>
        <v>189.24191999999999</v>
      </c>
      <c r="R221" s="41">
        <f t="shared" si="16"/>
        <v>127.62479999999999</v>
      </c>
      <c r="S221" s="41">
        <f t="shared" si="17"/>
        <v>-61.61712</v>
      </c>
      <c r="T221" s="41">
        <f t="shared" si="18"/>
        <v>125.02</v>
      </c>
    </row>
    <row r="222" spans="10:20">
      <c r="J222" s="119">
        <v>44516</v>
      </c>
      <c r="K222" s="121">
        <v>169.46496000000002</v>
      </c>
      <c r="L222" s="121">
        <v>134.88800000000001</v>
      </c>
      <c r="M222" s="121">
        <v>-34.576960000000014</v>
      </c>
      <c r="N222" s="120">
        <v>134</v>
      </c>
      <c r="O222" s="120">
        <v>104</v>
      </c>
      <c r="P222" s="39">
        <f t="shared" si="19"/>
        <v>44602</v>
      </c>
      <c r="Q222" s="41">
        <f t="shared" si="15"/>
        <v>174.1824</v>
      </c>
      <c r="R222" s="41">
        <f t="shared" si="16"/>
        <v>127.62479999999999</v>
      </c>
      <c r="S222" s="41">
        <f t="shared" si="17"/>
        <v>-46.557600000000008</v>
      </c>
      <c r="T222" s="41">
        <f t="shared" si="18"/>
        <v>125.1</v>
      </c>
    </row>
    <row r="223" spans="10:20">
      <c r="J223" s="119">
        <v>44515</v>
      </c>
      <c r="K223" s="121">
        <v>169.46496000000002</v>
      </c>
      <c r="L223" s="121">
        <v>134.88800000000001</v>
      </c>
      <c r="M223" s="121">
        <v>-34.576960000000014</v>
      </c>
      <c r="N223" s="120">
        <v>134</v>
      </c>
      <c r="O223" s="120">
        <v>104</v>
      </c>
      <c r="P223" s="39">
        <f t="shared" si="19"/>
        <v>44601</v>
      </c>
      <c r="Q223" s="41">
        <f t="shared" si="15"/>
        <v>174.1824</v>
      </c>
      <c r="R223" s="41">
        <f t="shared" si="16"/>
        <v>127.62479999999999</v>
      </c>
      <c r="S223" s="41">
        <f t="shared" si="17"/>
        <v>-46.557600000000008</v>
      </c>
      <c r="T223" s="41">
        <f t="shared" si="18"/>
        <v>125.1</v>
      </c>
    </row>
    <row r="224" spans="10:20">
      <c r="J224" s="119">
        <v>44512</v>
      </c>
      <c r="K224" s="121">
        <v>169.46496000000002</v>
      </c>
      <c r="L224" s="121">
        <v>134.88800000000001</v>
      </c>
      <c r="M224" s="121">
        <v>-34.576960000000014</v>
      </c>
      <c r="N224" s="120">
        <v>134</v>
      </c>
      <c r="O224" s="120">
        <v>104</v>
      </c>
      <c r="P224" s="39">
        <f t="shared" si="19"/>
        <v>44600</v>
      </c>
      <c r="Q224" s="41">
        <f t="shared" si="15"/>
        <v>174.1824</v>
      </c>
      <c r="R224" s="41">
        <f t="shared" si="16"/>
        <v>127.62479999999999</v>
      </c>
      <c r="S224" s="41">
        <f t="shared" si="17"/>
        <v>-46.557600000000008</v>
      </c>
      <c r="T224" s="41">
        <f t="shared" si="18"/>
        <v>125.1</v>
      </c>
    </row>
    <row r="225" spans="10:20">
      <c r="J225" s="119">
        <v>44511</v>
      </c>
      <c r="K225" s="121">
        <v>173.36591999999999</v>
      </c>
      <c r="L225" s="121">
        <v>134.88800000000001</v>
      </c>
      <c r="M225" s="121">
        <v>-38.477919999999983</v>
      </c>
      <c r="N225" s="120">
        <v>124.2</v>
      </c>
      <c r="O225" s="120">
        <v>94.2</v>
      </c>
      <c r="P225" s="39">
        <f t="shared" si="19"/>
        <v>44599</v>
      </c>
      <c r="Q225" s="41">
        <f t="shared" si="15"/>
        <v>174.1824</v>
      </c>
      <c r="R225" s="41">
        <f t="shared" si="16"/>
        <v>127.62479999999999</v>
      </c>
      <c r="S225" s="41">
        <f t="shared" si="17"/>
        <v>-46.557600000000008</v>
      </c>
      <c r="T225" s="41">
        <f t="shared" si="18"/>
        <v>125.1</v>
      </c>
    </row>
    <row r="226" spans="10:20">
      <c r="J226" s="119">
        <v>44510</v>
      </c>
      <c r="K226" s="121">
        <v>173.36591999999999</v>
      </c>
      <c r="L226" s="121">
        <v>134.88800000000001</v>
      </c>
      <c r="M226" s="121">
        <v>-38.477919999999983</v>
      </c>
      <c r="N226" s="120">
        <v>124.2</v>
      </c>
      <c r="O226" s="120">
        <v>94.2</v>
      </c>
      <c r="P226" s="39">
        <f t="shared" si="19"/>
        <v>44598</v>
      </c>
      <c r="Q226" s="41">
        <f t="shared" si="15"/>
        <v>174.1824</v>
      </c>
      <c r="R226" s="41">
        <f t="shared" si="16"/>
        <v>127.62479999999999</v>
      </c>
      <c r="S226" s="41">
        <f t="shared" si="17"/>
        <v>-46.557600000000008</v>
      </c>
      <c r="T226" s="41">
        <f t="shared" si="18"/>
        <v>125.1</v>
      </c>
    </row>
    <row r="227" spans="10:20">
      <c r="J227" s="119">
        <v>44509</v>
      </c>
      <c r="K227" s="121">
        <v>173.36591999999999</v>
      </c>
      <c r="L227" s="121">
        <v>132.81280000000001</v>
      </c>
      <c r="M227" s="121">
        <v>-40.553119999999979</v>
      </c>
      <c r="N227" s="120">
        <v>124.2</v>
      </c>
      <c r="O227" s="120">
        <v>94.2</v>
      </c>
      <c r="P227" s="39">
        <f t="shared" si="19"/>
        <v>44597</v>
      </c>
      <c r="Q227" s="41">
        <f t="shared" si="15"/>
        <v>174.1824</v>
      </c>
      <c r="R227" s="41">
        <f t="shared" si="16"/>
        <v>127.62479999999999</v>
      </c>
      <c r="S227" s="41">
        <f t="shared" si="17"/>
        <v>-46.557600000000008</v>
      </c>
      <c r="T227" s="41">
        <f t="shared" si="18"/>
        <v>125.1</v>
      </c>
    </row>
    <row r="228" spans="10:20">
      <c r="J228" s="119">
        <v>44508</v>
      </c>
      <c r="K228" s="121">
        <v>173.36591999999999</v>
      </c>
      <c r="L228" s="121">
        <v>129.69999999999999</v>
      </c>
      <c r="M228" s="121">
        <v>-43.66592</v>
      </c>
      <c r="N228" s="120">
        <v>124.2</v>
      </c>
      <c r="O228" s="120">
        <v>94.2</v>
      </c>
      <c r="P228" s="39">
        <f t="shared" si="19"/>
        <v>44596</v>
      </c>
      <c r="Q228" s="41">
        <f t="shared" si="15"/>
        <v>174.1824</v>
      </c>
      <c r="R228" s="41">
        <f t="shared" si="16"/>
        <v>127.62479999999999</v>
      </c>
      <c r="S228" s="41">
        <f t="shared" si="17"/>
        <v>-46.557600000000008</v>
      </c>
      <c r="T228" s="41">
        <f t="shared" si="18"/>
        <v>125.1</v>
      </c>
    </row>
    <row r="229" spans="10:20">
      <c r="J229" s="119">
        <v>44505</v>
      </c>
      <c r="K229" s="121">
        <v>173.36591999999999</v>
      </c>
      <c r="L229" s="121">
        <v>134.88800000000001</v>
      </c>
      <c r="M229" s="121">
        <v>-38.477919999999983</v>
      </c>
      <c r="N229" s="120">
        <v>124.2</v>
      </c>
      <c r="O229" s="120">
        <v>94.2</v>
      </c>
      <c r="P229" s="39">
        <f t="shared" si="19"/>
        <v>44595</v>
      </c>
      <c r="Q229" s="41">
        <f t="shared" si="15"/>
        <v>191.64600000000002</v>
      </c>
      <c r="R229" s="41">
        <f t="shared" si="16"/>
        <v>127.62479999999999</v>
      </c>
      <c r="S229" s="41">
        <f t="shared" si="17"/>
        <v>-64.021200000000022</v>
      </c>
      <c r="T229" s="41">
        <f t="shared" si="18"/>
        <v>124.5</v>
      </c>
    </row>
    <row r="230" spans="10:20">
      <c r="J230" s="119">
        <v>44504</v>
      </c>
      <c r="K230" s="121">
        <v>200.49119999999999</v>
      </c>
      <c r="L230" s="121">
        <v>134.88800000000001</v>
      </c>
      <c r="M230" s="121">
        <v>-65.603199999999987</v>
      </c>
      <c r="N230" s="120">
        <v>124</v>
      </c>
      <c r="O230" s="120">
        <v>94</v>
      </c>
      <c r="P230" s="39">
        <f t="shared" si="19"/>
        <v>44594</v>
      </c>
      <c r="Q230" s="41">
        <f t="shared" si="15"/>
        <v>191.64600000000002</v>
      </c>
      <c r="R230" s="41">
        <f t="shared" si="16"/>
        <v>127.62479999999999</v>
      </c>
      <c r="S230" s="41">
        <f t="shared" si="17"/>
        <v>-64.021200000000022</v>
      </c>
      <c r="T230" s="41">
        <f t="shared" si="18"/>
        <v>124.5</v>
      </c>
    </row>
    <row r="231" spans="10:20">
      <c r="J231" s="119">
        <v>44503</v>
      </c>
      <c r="K231" s="121">
        <v>200.49119999999999</v>
      </c>
      <c r="L231" s="121">
        <v>134.88800000000001</v>
      </c>
      <c r="M231" s="121">
        <v>-65.603199999999987</v>
      </c>
      <c r="N231" s="120">
        <v>124</v>
      </c>
      <c r="O231" s="120">
        <v>94</v>
      </c>
      <c r="P231" s="39">
        <f t="shared" si="19"/>
        <v>44593</v>
      </c>
      <c r="Q231" s="41">
        <f t="shared" si="15"/>
        <v>191.64600000000002</v>
      </c>
      <c r="R231" s="41">
        <f t="shared" si="16"/>
        <v>127.62479999999999</v>
      </c>
      <c r="S231" s="41">
        <f t="shared" si="17"/>
        <v>-64.021200000000022</v>
      </c>
      <c r="T231" s="41">
        <f t="shared" si="18"/>
        <v>124.5</v>
      </c>
    </row>
    <row r="232" spans="10:20">
      <c r="J232" s="119">
        <v>44502</v>
      </c>
      <c r="K232" s="121">
        <v>200.49119999999999</v>
      </c>
      <c r="L232" s="121">
        <v>134.88800000000001</v>
      </c>
      <c r="M232" s="121">
        <v>-65.603199999999987</v>
      </c>
      <c r="N232" s="120">
        <v>124</v>
      </c>
      <c r="O232" s="120">
        <v>94</v>
      </c>
      <c r="P232" s="39">
        <f t="shared" si="19"/>
        <v>44592</v>
      </c>
      <c r="Q232" s="41">
        <f t="shared" si="15"/>
        <v>191.64600000000002</v>
      </c>
      <c r="R232" s="41">
        <f t="shared" si="16"/>
        <v>129.69999999999999</v>
      </c>
      <c r="S232" s="41">
        <f t="shared" si="17"/>
        <v>-61.946000000000026</v>
      </c>
      <c r="T232" s="41">
        <f t="shared" si="18"/>
        <v>124.5</v>
      </c>
    </row>
    <row r="233" spans="10:20">
      <c r="J233" s="119">
        <v>44501</v>
      </c>
      <c r="K233" s="121">
        <v>200.49119999999999</v>
      </c>
      <c r="L233" s="121">
        <v>134.88800000000001</v>
      </c>
      <c r="M233" s="121">
        <v>-65.603199999999987</v>
      </c>
      <c r="N233" s="120">
        <v>124</v>
      </c>
      <c r="O233" s="120">
        <v>94</v>
      </c>
      <c r="P233" s="39">
        <f t="shared" si="19"/>
        <v>44591</v>
      </c>
      <c r="Q233" s="41">
        <f t="shared" si="15"/>
        <v>191.64600000000002</v>
      </c>
      <c r="R233" s="41">
        <f t="shared" si="16"/>
        <v>129.69999999999999</v>
      </c>
      <c r="S233" s="41">
        <f t="shared" si="17"/>
        <v>-61.946000000000026</v>
      </c>
      <c r="T233" s="41">
        <f t="shared" si="18"/>
        <v>124.5</v>
      </c>
    </row>
    <row r="234" spans="10:20">
      <c r="J234" s="119">
        <v>44498</v>
      </c>
      <c r="K234" s="121">
        <v>200.49119999999999</v>
      </c>
      <c r="L234" s="121">
        <v>134.88800000000001</v>
      </c>
      <c r="M234" s="121">
        <v>-65.603199999999987</v>
      </c>
      <c r="N234" s="120">
        <v>124</v>
      </c>
      <c r="O234" s="120">
        <v>94</v>
      </c>
      <c r="P234" s="39">
        <f t="shared" si="19"/>
        <v>44590</v>
      </c>
      <c r="Q234" s="41">
        <f t="shared" si="15"/>
        <v>191.64600000000002</v>
      </c>
      <c r="R234" s="41">
        <f t="shared" si="16"/>
        <v>129.69999999999999</v>
      </c>
      <c r="S234" s="41">
        <f t="shared" si="17"/>
        <v>-61.946000000000026</v>
      </c>
      <c r="T234" s="41">
        <f t="shared" si="18"/>
        <v>124.5</v>
      </c>
    </row>
    <row r="235" spans="10:20">
      <c r="J235" s="119">
        <v>44497</v>
      </c>
      <c r="K235" s="121">
        <v>217.95480000000001</v>
      </c>
      <c r="L235" s="121">
        <v>134.88800000000001</v>
      </c>
      <c r="M235" s="121">
        <v>-83.066800000000001</v>
      </c>
      <c r="N235" s="120">
        <v>122.34</v>
      </c>
      <c r="O235" s="120">
        <v>92.34</v>
      </c>
      <c r="P235" s="39">
        <f t="shared" si="19"/>
        <v>44589</v>
      </c>
      <c r="Q235" s="41">
        <f t="shared" si="15"/>
        <v>191.64600000000002</v>
      </c>
      <c r="R235" s="41">
        <f t="shared" si="16"/>
        <v>129.69999999999999</v>
      </c>
      <c r="S235" s="41">
        <f t="shared" si="17"/>
        <v>-61.946000000000026</v>
      </c>
      <c r="T235" s="41">
        <f t="shared" si="18"/>
        <v>124.5</v>
      </c>
    </row>
    <row r="236" spans="10:20">
      <c r="J236" s="119">
        <v>44496</v>
      </c>
      <c r="K236" s="121">
        <v>217.95480000000001</v>
      </c>
      <c r="L236" s="121">
        <v>134.88800000000001</v>
      </c>
      <c r="M236" s="121">
        <v>-83.066800000000001</v>
      </c>
      <c r="N236" s="120">
        <v>122.34</v>
      </c>
      <c r="O236" s="120">
        <v>92.34</v>
      </c>
      <c r="P236" s="39">
        <f t="shared" si="19"/>
        <v>44588</v>
      </c>
      <c r="Q236" s="41">
        <f t="shared" si="15"/>
        <v>169.19280000000001</v>
      </c>
      <c r="R236" s="41">
        <f t="shared" si="16"/>
        <v>129.69999999999999</v>
      </c>
      <c r="S236" s="41">
        <f t="shared" si="17"/>
        <v>-39.492800000000017</v>
      </c>
      <c r="T236" s="41">
        <f t="shared" si="18"/>
        <v>123.5</v>
      </c>
    </row>
    <row r="237" spans="10:20">
      <c r="J237" s="119">
        <v>44495</v>
      </c>
      <c r="K237" s="121">
        <v>217.95480000000001</v>
      </c>
      <c r="L237" s="121">
        <v>134.88800000000001</v>
      </c>
      <c r="M237" s="121">
        <v>-83.066800000000001</v>
      </c>
      <c r="N237" s="120">
        <v>122.34</v>
      </c>
      <c r="O237" s="120">
        <v>92.34</v>
      </c>
      <c r="P237" s="39">
        <f t="shared" si="19"/>
        <v>44587</v>
      </c>
      <c r="Q237" s="41">
        <f t="shared" si="15"/>
        <v>169.19280000000001</v>
      </c>
      <c r="R237" s="41">
        <f t="shared" si="16"/>
        <v>124.512</v>
      </c>
      <c r="S237" s="41">
        <f t="shared" si="17"/>
        <v>-44.680800000000005</v>
      </c>
      <c r="T237" s="41">
        <f t="shared" si="18"/>
        <v>123.5</v>
      </c>
    </row>
    <row r="238" spans="10:20">
      <c r="J238" s="119">
        <v>44494</v>
      </c>
      <c r="K238" s="121">
        <v>217.95480000000001</v>
      </c>
      <c r="L238" s="121">
        <v>134.88800000000001</v>
      </c>
      <c r="M238" s="121">
        <v>-83.066800000000001</v>
      </c>
      <c r="N238" s="120">
        <v>122.34</v>
      </c>
      <c r="O238" s="120">
        <v>92.34</v>
      </c>
      <c r="P238" s="39">
        <f t="shared" si="19"/>
        <v>44586</v>
      </c>
      <c r="Q238" s="41">
        <f t="shared" si="15"/>
        <v>169.19280000000001</v>
      </c>
      <c r="R238" s="41">
        <f t="shared" si="16"/>
        <v>124.512</v>
      </c>
      <c r="S238" s="41">
        <f t="shared" si="17"/>
        <v>-44.680800000000005</v>
      </c>
      <c r="T238" s="41">
        <f t="shared" si="18"/>
        <v>123.5</v>
      </c>
    </row>
    <row r="239" spans="10:20">
      <c r="J239" s="119">
        <v>44491</v>
      </c>
      <c r="K239" s="121">
        <v>217.95480000000001</v>
      </c>
      <c r="L239" s="121">
        <v>134.88800000000001</v>
      </c>
      <c r="M239" s="121">
        <v>-83.066800000000001</v>
      </c>
      <c r="N239" s="120">
        <v>122.34</v>
      </c>
      <c r="O239" s="120">
        <v>92.34</v>
      </c>
      <c r="P239" s="39">
        <f t="shared" si="19"/>
        <v>44585</v>
      </c>
      <c r="Q239" s="41">
        <f t="shared" si="15"/>
        <v>169.19280000000001</v>
      </c>
      <c r="R239" s="41">
        <f t="shared" si="16"/>
        <v>124.512</v>
      </c>
      <c r="S239" s="41">
        <f t="shared" si="17"/>
        <v>-44.680800000000005</v>
      </c>
      <c r="T239" s="41">
        <f t="shared" si="18"/>
        <v>123.5</v>
      </c>
    </row>
    <row r="240" spans="10:20">
      <c r="J240" s="119">
        <v>44490</v>
      </c>
      <c r="K240" s="121">
        <v>232.60607999999999</v>
      </c>
      <c r="L240" s="121">
        <v>134.88800000000001</v>
      </c>
      <c r="M240" s="121">
        <v>-97.718079999999986</v>
      </c>
      <c r="N240" s="120">
        <v>123.33</v>
      </c>
      <c r="O240" s="120">
        <v>93.33</v>
      </c>
      <c r="P240" s="39">
        <f t="shared" si="19"/>
        <v>44584</v>
      </c>
      <c r="Q240" s="41">
        <f t="shared" si="15"/>
        <v>169.19280000000001</v>
      </c>
      <c r="R240" s="41">
        <f t="shared" si="16"/>
        <v>124.512</v>
      </c>
      <c r="S240" s="41">
        <f t="shared" si="17"/>
        <v>-44.680800000000005</v>
      </c>
      <c r="T240" s="41">
        <f t="shared" si="18"/>
        <v>123.5</v>
      </c>
    </row>
    <row r="241" spans="10:20">
      <c r="J241" s="119">
        <v>44489</v>
      </c>
      <c r="K241" s="121">
        <v>232.60607999999999</v>
      </c>
      <c r="L241" s="121">
        <v>134.88800000000001</v>
      </c>
      <c r="M241" s="121">
        <v>-97.718079999999986</v>
      </c>
      <c r="N241" s="120">
        <v>123.33</v>
      </c>
      <c r="O241" s="120">
        <v>93.33</v>
      </c>
      <c r="P241" s="39">
        <f t="shared" si="19"/>
        <v>44583</v>
      </c>
      <c r="Q241" s="41">
        <f t="shared" si="15"/>
        <v>169.19280000000001</v>
      </c>
      <c r="R241" s="41">
        <f t="shared" si="16"/>
        <v>124.512</v>
      </c>
      <c r="S241" s="41">
        <f t="shared" si="17"/>
        <v>-44.680800000000005</v>
      </c>
      <c r="T241" s="41">
        <f t="shared" si="18"/>
        <v>123.5</v>
      </c>
    </row>
    <row r="242" spans="10:20">
      <c r="J242" s="119">
        <v>44488</v>
      </c>
      <c r="K242" s="121">
        <v>232.60607999999999</v>
      </c>
      <c r="L242" s="121">
        <v>134.88800000000001</v>
      </c>
      <c r="M242" s="121">
        <v>-97.718079999999986</v>
      </c>
      <c r="N242" s="120">
        <v>123.33</v>
      </c>
      <c r="O242" s="120">
        <v>93.33</v>
      </c>
      <c r="P242" s="39">
        <f t="shared" si="19"/>
        <v>44582</v>
      </c>
      <c r="Q242" s="41">
        <f t="shared" si="15"/>
        <v>169.19280000000001</v>
      </c>
      <c r="R242" s="41">
        <f t="shared" si="16"/>
        <v>124.512</v>
      </c>
      <c r="S242" s="41">
        <f t="shared" si="17"/>
        <v>-44.680800000000005</v>
      </c>
      <c r="T242" s="41">
        <f t="shared" si="18"/>
        <v>123.5</v>
      </c>
    </row>
    <row r="243" spans="10:20">
      <c r="J243" s="119">
        <v>44487</v>
      </c>
      <c r="K243" s="121">
        <v>232.60607999999999</v>
      </c>
      <c r="L243" s="121">
        <v>134.88800000000001</v>
      </c>
      <c r="M243" s="121">
        <v>-97.718079999999986</v>
      </c>
      <c r="N243" s="120">
        <v>123.33</v>
      </c>
      <c r="O243" s="120">
        <v>93.33</v>
      </c>
      <c r="P243" s="39">
        <f t="shared" si="19"/>
        <v>44581</v>
      </c>
      <c r="Q243" s="41">
        <f t="shared" si="15"/>
        <v>149.59728000000001</v>
      </c>
      <c r="R243" s="41">
        <f t="shared" si="16"/>
        <v>124.512</v>
      </c>
      <c r="S243" s="41">
        <f t="shared" si="17"/>
        <v>-25.085280000000012</v>
      </c>
      <c r="T243" s="41">
        <f t="shared" si="18"/>
        <v>124.8</v>
      </c>
    </row>
    <row r="244" spans="10:20">
      <c r="J244" s="119">
        <v>44484</v>
      </c>
      <c r="K244" s="121">
        <v>232.60607999999999</v>
      </c>
      <c r="L244" s="121">
        <v>134.88800000000001</v>
      </c>
      <c r="M244" s="121">
        <v>-97.718079999999986</v>
      </c>
      <c r="N244" s="120">
        <v>123.33</v>
      </c>
      <c r="O244" s="120">
        <v>93.33</v>
      </c>
      <c r="P244" s="39">
        <f t="shared" si="19"/>
        <v>44580</v>
      </c>
      <c r="Q244" s="41">
        <f t="shared" si="15"/>
        <v>149.59728000000001</v>
      </c>
      <c r="R244" s="41">
        <f t="shared" si="16"/>
        <v>124.512</v>
      </c>
      <c r="S244" s="41">
        <f t="shared" si="17"/>
        <v>-25.085280000000012</v>
      </c>
      <c r="T244" s="41">
        <f t="shared" si="18"/>
        <v>124.8</v>
      </c>
    </row>
    <row r="245" spans="10:20">
      <c r="J245" s="119">
        <v>44483</v>
      </c>
      <c r="K245" s="121">
        <v>240.63480000000001</v>
      </c>
      <c r="L245" s="121">
        <v>128.66239999999999</v>
      </c>
      <c r="M245" s="121">
        <v>-111.97240000000002</v>
      </c>
      <c r="N245" s="120">
        <v>119.85</v>
      </c>
      <c r="O245" s="120">
        <v>89.85</v>
      </c>
      <c r="P245" s="39">
        <f t="shared" si="19"/>
        <v>44579</v>
      </c>
      <c r="Q245" s="41">
        <f t="shared" si="15"/>
        <v>149.59728000000001</v>
      </c>
      <c r="R245" s="41">
        <f t="shared" si="16"/>
        <v>119.324</v>
      </c>
      <c r="S245" s="41">
        <f t="shared" si="17"/>
        <v>-30.273280000000014</v>
      </c>
      <c r="T245" s="41">
        <f t="shared" si="18"/>
        <v>124.8</v>
      </c>
    </row>
    <row r="246" spans="10:20">
      <c r="J246" s="119">
        <v>44482</v>
      </c>
      <c r="K246" s="121">
        <v>240.63480000000001</v>
      </c>
      <c r="L246" s="121">
        <v>128.66239999999999</v>
      </c>
      <c r="M246" s="121">
        <v>-111.97240000000002</v>
      </c>
      <c r="N246" s="120">
        <v>119.85</v>
      </c>
      <c r="O246" s="120">
        <v>89.85</v>
      </c>
      <c r="P246" s="39">
        <f t="shared" si="19"/>
        <v>44578</v>
      </c>
      <c r="Q246" s="41">
        <f t="shared" si="15"/>
        <v>149.59728000000001</v>
      </c>
      <c r="R246" s="41">
        <f t="shared" si="16"/>
        <v>119.324</v>
      </c>
      <c r="S246" s="41">
        <f t="shared" si="17"/>
        <v>-30.273280000000014</v>
      </c>
      <c r="T246" s="41">
        <f t="shared" si="18"/>
        <v>124.8</v>
      </c>
    </row>
    <row r="247" spans="10:20">
      <c r="J247" s="119">
        <v>44481</v>
      </c>
      <c r="K247" s="121">
        <v>240.63480000000001</v>
      </c>
      <c r="L247" s="121">
        <v>124.512</v>
      </c>
      <c r="M247" s="121">
        <v>-116.12280000000001</v>
      </c>
      <c r="N247" s="120">
        <v>119.85</v>
      </c>
      <c r="O247" s="120">
        <v>89.85</v>
      </c>
      <c r="P247" s="39">
        <f t="shared" si="19"/>
        <v>44577</v>
      </c>
      <c r="Q247" s="41">
        <f t="shared" si="15"/>
        <v>149.59728000000001</v>
      </c>
      <c r="R247" s="41">
        <f t="shared" si="16"/>
        <v>119.324</v>
      </c>
      <c r="S247" s="41">
        <f t="shared" si="17"/>
        <v>-30.273280000000014</v>
      </c>
      <c r="T247" s="41">
        <f t="shared" si="18"/>
        <v>124.8</v>
      </c>
    </row>
    <row r="248" spans="10:20">
      <c r="J248" s="119">
        <v>44480</v>
      </c>
      <c r="K248" s="121">
        <v>240.63480000000001</v>
      </c>
      <c r="L248" s="121">
        <v>124.512</v>
      </c>
      <c r="M248" s="121">
        <v>-116.12280000000001</v>
      </c>
      <c r="N248" s="120">
        <v>119.85</v>
      </c>
      <c r="O248" s="120">
        <v>89.85</v>
      </c>
      <c r="P248" s="39">
        <f t="shared" si="19"/>
        <v>44576</v>
      </c>
      <c r="Q248" s="41">
        <f t="shared" si="15"/>
        <v>149.59728000000001</v>
      </c>
      <c r="R248" s="41">
        <f t="shared" si="16"/>
        <v>119.324</v>
      </c>
      <c r="S248" s="41">
        <f t="shared" si="17"/>
        <v>-30.273280000000014</v>
      </c>
      <c r="T248" s="41">
        <f t="shared" si="18"/>
        <v>124.8</v>
      </c>
    </row>
    <row r="249" spans="10:20">
      <c r="J249" s="119">
        <v>44477</v>
      </c>
      <c r="K249" s="121">
        <v>240.63480000000001</v>
      </c>
      <c r="L249" s="121">
        <v>122.43680000000001</v>
      </c>
      <c r="M249" s="121">
        <v>-118.19800000000001</v>
      </c>
      <c r="N249" s="120">
        <v>119.85</v>
      </c>
      <c r="O249" s="120">
        <v>89.85</v>
      </c>
      <c r="P249" s="39">
        <f t="shared" si="19"/>
        <v>44575</v>
      </c>
      <c r="Q249" s="41">
        <f t="shared" si="15"/>
        <v>149.59728000000001</v>
      </c>
      <c r="R249" s="41">
        <f t="shared" si="16"/>
        <v>119.324</v>
      </c>
      <c r="S249" s="41">
        <f t="shared" si="17"/>
        <v>-30.273280000000014</v>
      </c>
      <c r="T249" s="41">
        <f t="shared" si="18"/>
        <v>124.8</v>
      </c>
    </row>
    <row r="250" spans="10:20">
      <c r="J250" s="119">
        <v>44476</v>
      </c>
      <c r="K250" s="121">
        <v>211.55903999999998</v>
      </c>
      <c r="L250" s="121">
        <v>122.43680000000001</v>
      </c>
      <c r="M250" s="121">
        <v>-89.122239999999977</v>
      </c>
      <c r="N250" s="120">
        <v>94.56</v>
      </c>
      <c r="O250" s="120">
        <v>64.56</v>
      </c>
      <c r="P250" s="39">
        <f t="shared" si="19"/>
        <v>44574</v>
      </c>
      <c r="Q250" s="41">
        <f t="shared" si="15"/>
        <v>137.53152</v>
      </c>
      <c r="R250" s="41">
        <f t="shared" si="16"/>
        <v>119.324</v>
      </c>
      <c r="S250" s="41">
        <f t="shared" si="17"/>
        <v>-18.207520000000002</v>
      </c>
      <c r="T250" s="41">
        <f t="shared" si="18"/>
        <v>125.84</v>
      </c>
    </row>
    <row r="251" spans="10:20">
      <c r="J251" s="119">
        <v>44475</v>
      </c>
      <c r="K251" s="121">
        <v>211.55903999999998</v>
      </c>
      <c r="L251" s="121">
        <v>119.324</v>
      </c>
      <c r="M251" s="121">
        <v>-92.235039999999984</v>
      </c>
      <c r="N251" s="120">
        <v>94.56</v>
      </c>
      <c r="O251" s="120">
        <v>64.56</v>
      </c>
      <c r="P251" s="39">
        <f t="shared" si="19"/>
        <v>44573</v>
      </c>
      <c r="Q251" s="41">
        <f t="shared" si="15"/>
        <v>137.53152</v>
      </c>
      <c r="R251" s="41">
        <f t="shared" si="16"/>
        <v>119.324</v>
      </c>
      <c r="S251" s="41">
        <f t="shared" si="17"/>
        <v>-18.207520000000002</v>
      </c>
      <c r="T251" s="41">
        <f t="shared" si="18"/>
        <v>125.84</v>
      </c>
    </row>
    <row r="252" spans="10:20">
      <c r="J252" s="119">
        <v>44474</v>
      </c>
      <c r="K252" s="121">
        <v>211.55903999999998</v>
      </c>
      <c r="L252" s="121">
        <v>119.324</v>
      </c>
      <c r="M252" s="121">
        <v>-92.235039999999984</v>
      </c>
      <c r="N252" s="120">
        <v>94.56</v>
      </c>
      <c r="O252" s="120">
        <v>64.56</v>
      </c>
      <c r="P252" s="39">
        <f t="shared" si="19"/>
        <v>44572</v>
      </c>
      <c r="Q252" s="41">
        <f t="shared" si="15"/>
        <v>137.53152</v>
      </c>
      <c r="R252" s="41">
        <f t="shared" si="16"/>
        <v>123.4744</v>
      </c>
      <c r="S252" s="41">
        <f t="shared" si="17"/>
        <v>-14.057119999999998</v>
      </c>
      <c r="T252" s="41">
        <f t="shared" si="18"/>
        <v>125.84</v>
      </c>
    </row>
    <row r="253" spans="10:20">
      <c r="J253" s="119">
        <v>44473</v>
      </c>
      <c r="K253" s="121">
        <v>211.55903999999998</v>
      </c>
      <c r="L253" s="121">
        <v>119.324</v>
      </c>
      <c r="M253" s="121">
        <v>-92.235039999999984</v>
      </c>
      <c r="N253" s="120">
        <v>94.56</v>
      </c>
      <c r="O253" s="120">
        <v>64.56</v>
      </c>
      <c r="P253" s="39">
        <f t="shared" si="19"/>
        <v>44571</v>
      </c>
      <c r="Q253" s="41">
        <f t="shared" si="15"/>
        <v>137.53152</v>
      </c>
      <c r="R253" s="41">
        <f t="shared" si="16"/>
        <v>123.4744</v>
      </c>
      <c r="S253" s="41">
        <f t="shared" si="17"/>
        <v>-14.057119999999998</v>
      </c>
      <c r="T253" s="41">
        <f t="shared" si="18"/>
        <v>125.84</v>
      </c>
    </row>
    <row r="254" spans="10:20">
      <c r="J254" s="119">
        <v>44470</v>
      </c>
      <c r="K254" s="121">
        <v>211.55903999999998</v>
      </c>
      <c r="L254" s="121">
        <v>119.324</v>
      </c>
      <c r="M254" s="121">
        <v>-92.235039999999984</v>
      </c>
      <c r="N254" s="120">
        <v>94.56</v>
      </c>
      <c r="O254" s="120">
        <v>64.56</v>
      </c>
      <c r="P254" s="39">
        <f t="shared" si="19"/>
        <v>44570</v>
      </c>
      <c r="Q254" s="41">
        <f t="shared" si="15"/>
        <v>137.53152</v>
      </c>
      <c r="R254" s="41">
        <f t="shared" si="16"/>
        <v>123.4744</v>
      </c>
      <c r="S254" s="41">
        <f t="shared" si="17"/>
        <v>-14.057119999999998</v>
      </c>
      <c r="T254" s="41">
        <f t="shared" si="18"/>
        <v>125.84</v>
      </c>
    </row>
    <row r="255" spans="10:20">
      <c r="J255" s="119">
        <v>44469</v>
      </c>
      <c r="K255" s="121">
        <v>182.02968000000001</v>
      </c>
      <c r="L255" s="121">
        <v>119.324</v>
      </c>
      <c r="M255" s="121">
        <v>-62.705680000000015</v>
      </c>
      <c r="N255" s="120">
        <v>91.38</v>
      </c>
      <c r="O255" s="120">
        <v>61.38</v>
      </c>
      <c r="P255" s="39">
        <f t="shared" si="19"/>
        <v>44569</v>
      </c>
      <c r="Q255" s="41">
        <f t="shared" si="15"/>
        <v>137.53152</v>
      </c>
      <c r="R255" s="41">
        <f t="shared" si="16"/>
        <v>123.4744</v>
      </c>
      <c r="S255" s="41">
        <f t="shared" si="17"/>
        <v>-14.057119999999998</v>
      </c>
      <c r="T255" s="41">
        <f t="shared" si="18"/>
        <v>125.84</v>
      </c>
    </row>
    <row r="256" spans="10:20">
      <c r="J256" s="119">
        <v>44468</v>
      </c>
      <c r="K256" s="121">
        <v>182.02968000000001</v>
      </c>
      <c r="L256" s="121">
        <v>119.324</v>
      </c>
      <c r="M256" s="121">
        <v>-62.705680000000015</v>
      </c>
      <c r="N256" s="120">
        <v>91.38</v>
      </c>
      <c r="O256" s="120">
        <v>61.38</v>
      </c>
      <c r="P256" s="39">
        <f t="shared" si="19"/>
        <v>44568</v>
      </c>
      <c r="Q256" s="41">
        <f t="shared" si="15"/>
        <v>137.53152</v>
      </c>
      <c r="R256" s="41">
        <f t="shared" si="16"/>
        <v>123.4744</v>
      </c>
      <c r="S256" s="41">
        <f t="shared" si="17"/>
        <v>-14.057119999999998</v>
      </c>
      <c r="T256" s="41">
        <f t="shared" si="18"/>
        <v>125.84</v>
      </c>
    </row>
    <row r="257" spans="10:20">
      <c r="J257" s="119">
        <v>44467</v>
      </c>
      <c r="K257" s="121">
        <v>182.02968000000001</v>
      </c>
      <c r="L257" s="121">
        <v>117.2488</v>
      </c>
      <c r="M257" s="121">
        <v>-64.78088000000001</v>
      </c>
      <c r="N257" s="120">
        <v>91.38</v>
      </c>
      <c r="O257" s="120">
        <v>61.38</v>
      </c>
      <c r="P257" s="39">
        <f t="shared" si="19"/>
        <v>44567</v>
      </c>
      <c r="Q257" s="41">
        <f t="shared" si="15"/>
        <v>125.4204</v>
      </c>
      <c r="R257" s="41">
        <f t="shared" si="16"/>
        <v>123.4744</v>
      </c>
      <c r="S257" s="41">
        <f t="shared" si="17"/>
        <v>-1.945999999999998</v>
      </c>
      <c r="T257" s="41">
        <f t="shared" si="18"/>
        <v>127.5</v>
      </c>
    </row>
    <row r="258" spans="10:20">
      <c r="J258" s="119">
        <v>44466</v>
      </c>
      <c r="K258" s="121">
        <v>182.02968000000001</v>
      </c>
      <c r="L258" s="121">
        <v>117.2488</v>
      </c>
      <c r="M258" s="121">
        <v>-64.78088000000001</v>
      </c>
      <c r="N258" s="120">
        <v>91.38</v>
      </c>
      <c r="O258" s="120">
        <v>61.38</v>
      </c>
      <c r="P258" s="39">
        <f t="shared" si="19"/>
        <v>44566</v>
      </c>
      <c r="Q258" s="41">
        <f t="shared" si="15"/>
        <v>125.4204</v>
      </c>
      <c r="R258" s="41">
        <f t="shared" si="16"/>
        <v>126.5872</v>
      </c>
      <c r="S258" s="41">
        <f t="shared" si="17"/>
        <v>1.166799999999995</v>
      </c>
      <c r="T258" s="41">
        <f t="shared" si="18"/>
        <v>127.5</v>
      </c>
    </row>
    <row r="259" spans="10:20">
      <c r="J259" s="119">
        <v>44463</v>
      </c>
      <c r="K259" s="121">
        <v>182.02968000000001</v>
      </c>
      <c r="L259" s="121">
        <v>112.0608</v>
      </c>
      <c r="M259" s="121">
        <v>-69.968880000000013</v>
      </c>
      <c r="N259" s="120">
        <v>91.38</v>
      </c>
      <c r="O259" s="120">
        <v>61.38</v>
      </c>
      <c r="P259" s="39">
        <f t="shared" si="19"/>
        <v>44565</v>
      </c>
      <c r="Q259" s="41">
        <f t="shared" si="15"/>
        <v>125.4204</v>
      </c>
      <c r="R259" s="41">
        <f t="shared" si="16"/>
        <v>126.5872</v>
      </c>
      <c r="S259" s="41">
        <f t="shared" si="17"/>
        <v>1.166799999999995</v>
      </c>
      <c r="T259" s="41">
        <f t="shared" si="18"/>
        <v>127.5</v>
      </c>
    </row>
    <row r="260" spans="10:20">
      <c r="J260" s="119">
        <v>44462</v>
      </c>
      <c r="K260" s="121">
        <v>175.36176</v>
      </c>
      <c r="L260" s="121">
        <v>112.0608</v>
      </c>
      <c r="M260" s="121">
        <v>-63.300960000000003</v>
      </c>
      <c r="N260" s="120">
        <v>91.2</v>
      </c>
      <c r="O260" s="120">
        <v>61.2</v>
      </c>
      <c r="P260" s="39">
        <f t="shared" si="19"/>
        <v>44564</v>
      </c>
      <c r="Q260" s="41">
        <f t="shared" si="15"/>
        <v>125.4204</v>
      </c>
      <c r="R260" s="41">
        <f t="shared" si="16"/>
        <v>126.5872</v>
      </c>
      <c r="S260" s="41">
        <f t="shared" si="17"/>
        <v>1.166799999999995</v>
      </c>
      <c r="T260" s="41">
        <f t="shared" si="18"/>
        <v>127.5</v>
      </c>
    </row>
    <row r="261" spans="10:20">
      <c r="J261" s="119">
        <v>44461</v>
      </c>
      <c r="K261" s="121">
        <v>175.36176</v>
      </c>
      <c r="L261" s="121">
        <v>112.0608</v>
      </c>
      <c r="M261" s="121">
        <v>-63.300960000000003</v>
      </c>
      <c r="N261" s="120">
        <v>91.2</v>
      </c>
      <c r="O261" s="120">
        <v>61.2</v>
      </c>
      <c r="P261" s="39">
        <f t="shared" si="19"/>
        <v>44563</v>
      </c>
      <c r="Q261" s="41">
        <f t="shared" si="15"/>
        <v>125.4204</v>
      </c>
      <c r="R261" s="41">
        <f t="shared" si="16"/>
        <v>127.62479999999999</v>
      </c>
      <c r="S261" s="41">
        <f t="shared" si="17"/>
        <v>2.2043999999999926</v>
      </c>
      <c r="T261" s="41">
        <f t="shared" si="18"/>
        <v>127.5</v>
      </c>
    </row>
    <row r="262" spans="10:20">
      <c r="J262" s="119">
        <v>44460</v>
      </c>
      <c r="K262" s="121">
        <v>175.36176</v>
      </c>
      <c r="L262" s="121">
        <v>112.0608</v>
      </c>
      <c r="M262" s="121">
        <v>-63.300960000000003</v>
      </c>
      <c r="N262" s="120">
        <v>91.2</v>
      </c>
      <c r="O262" s="120">
        <v>61.2</v>
      </c>
      <c r="P262" s="39">
        <f t="shared" si="19"/>
        <v>44562</v>
      </c>
      <c r="Q262" s="41">
        <f t="shared" ref="Q262:Q325" si="20">IFERROR(VLOOKUP($P262,$J$5:$N$403,2,FALSE),Q263)</f>
        <v>125.4204</v>
      </c>
      <c r="R262" s="41">
        <f t="shared" ref="R262:R325" si="21">IFERROR(VLOOKUP($P262,$J$5:$N$403,3,FALSE),R263)</f>
        <v>127.62479999999999</v>
      </c>
      <c r="S262" s="41">
        <f t="shared" ref="S262:S325" si="22">IFERROR(VLOOKUP($P262,$J$5:$N$403,4,FALSE),S263)</f>
        <v>2.2043999999999926</v>
      </c>
      <c r="T262" s="41">
        <f t="shared" ref="T262:T325" si="23">IFERROR(VLOOKUP($P262,$J$5:$N$403,5,FALSE),T263)</f>
        <v>127.5</v>
      </c>
    </row>
    <row r="263" spans="10:20">
      <c r="J263" s="119">
        <v>44459</v>
      </c>
      <c r="K263" s="121">
        <v>175.36176</v>
      </c>
      <c r="L263" s="121">
        <v>112.0608</v>
      </c>
      <c r="M263" s="121">
        <v>-63.300960000000003</v>
      </c>
      <c r="N263" s="120">
        <v>91.2</v>
      </c>
      <c r="O263" s="120">
        <v>61.2</v>
      </c>
      <c r="P263" s="39">
        <f t="shared" ref="P263:P326" si="24">P262-1</f>
        <v>44561</v>
      </c>
      <c r="Q263" s="41">
        <f t="shared" si="20"/>
        <v>125.4204</v>
      </c>
      <c r="R263" s="41">
        <f t="shared" si="21"/>
        <v>127.62479999999999</v>
      </c>
      <c r="S263" s="41">
        <f t="shared" si="22"/>
        <v>2.2043999999999926</v>
      </c>
      <c r="T263" s="41">
        <f t="shared" si="23"/>
        <v>127.5</v>
      </c>
    </row>
    <row r="264" spans="10:20">
      <c r="J264" s="119">
        <v>44456</v>
      </c>
      <c r="K264" s="121">
        <v>175.36176</v>
      </c>
      <c r="L264" s="121">
        <v>112.0608</v>
      </c>
      <c r="M264" s="121">
        <v>-63.300960000000003</v>
      </c>
      <c r="N264" s="120">
        <v>91.2</v>
      </c>
      <c r="O264" s="120">
        <v>61.2</v>
      </c>
      <c r="P264" s="39">
        <f t="shared" si="24"/>
        <v>44560</v>
      </c>
      <c r="Q264" s="41">
        <f t="shared" si="20"/>
        <v>157.80743999999999</v>
      </c>
      <c r="R264" s="41">
        <f t="shared" si="21"/>
        <v>129.69999999999999</v>
      </c>
      <c r="S264" s="41">
        <f t="shared" si="22"/>
        <v>-28.107439999999997</v>
      </c>
      <c r="T264" s="41">
        <f t="shared" si="23"/>
        <v>127.1</v>
      </c>
    </row>
    <row r="265" spans="10:20">
      <c r="J265" s="119">
        <v>44455</v>
      </c>
      <c r="K265" s="121">
        <v>171.6876</v>
      </c>
      <c r="L265" s="121">
        <v>112.0608</v>
      </c>
      <c r="M265" s="121">
        <v>-59.626800000000003</v>
      </c>
      <c r="N265" s="120">
        <v>90.710000000000008</v>
      </c>
      <c r="O265" s="120">
        <v>60.71</v>
      </c>
      <c r="P265" s="39">
        <f t="shared" si="24"/>
        <v>44559</v>
      </c>
      <c r="Q265" s="41">
        <f t="shared" si="20"/>
        <v>157.80743999999999</v>
      </c>
      <c r="R265" s="41">
        <f t="shared" si="21"/>
        <v>129.69999999999999</v>
      </c>
      <c r="S265" s="41">
        <f t="shared" si="22"/>
        <v>-28.107439999999997</v>
      </c>
      <c r="T265" s="41">
        <f t="shared" si="23"/>
        <v>127.1</v>
      </c>
    </row>
    <row r="266" spans="10:20">
      <c r="J266" s="119">
        <v>44454</v>
      </c>
      <c r="K266" s="121">
        <v>171.6876</v>
      </c>
      <c r="L266" s="121">
        <v>112.0608</v>
      </c>
      <c r="M266" s="121">
        <v>-59.626800000000003</v>
      </c>
      <c r="N266" s="120">
        <v>90.710000000000008</v>
      </c>
      <c r="O266" s="120">
        <v>60.71</v>
      </c>
      <c r="P266" s="39">
        <f t="shared" si="24"/>
        <v>44558</v>
      </c>
      <c r="Q266" s="41">
        <f t="shared" si="20"/>
        <v>157.80743999999999</v>
      </c>
      <c r="R266" s="41">
        <f t="shared" si="21"/>
        <v>129.69999999999999</v>
      </c>
      <c r="S266" s="41">
        <f t="shared" si="22"/>
        <v>-28.107439999999997</v>
      </c>
      <c r="T266" s="41">
        <f t="shared" si="23"/>
        <v>127.1</v>
      </c>
    </row>
    <row r="267" spans="10:20">
      <c r="J267" s="119">
        <v>44453</v>
      </c>
      <c r="K267" s="121">
        <v>171.6876</v>
      </c>
      <c r="L267" s="121">
        <v>112.0608</v>
      </c>
      <c r="M267" s="121">
        <v>-59.626800000000003</v>
      </c>
      <c r="N267" s="120">
        <v>90.710000000000008</v>
      </c>
      <c r="O267" s="120">
        <v>60.71</v>
      </c>
      <c r="P267" s="39">
        <f t="shared" si="24"/>
        <v>44557</v>
      </c>
      <c r="Q267" s="41">
        <f t="shared" si="20"/>
        <v>157.80743999999999</v>
      </c>
      <c r="R267" s="41">
        <f t="shared" si="21"/>
        <v>129.69999999999999</v>
      </c>
      <c r="S267" s="41">
        <f t="shared" si="22"/>
        <v>-28.107439999999997</v>
      </c>
      <c r="T267" s="41">
        <f t="shared" si="23"/>
        <v>127.1</v>
      </c>
    </row>
    <row r="268" spans="10:20">
      <c r="J268" s="119">
        <v>44452</v>
      </c>
      <c r="K268" s="121">
        <v>171.6876</v>
      </c>
      <c r="L268" s="121">
        <v>112.0608</v>
      </c>
      <c r="M268" s="121">
        <v>-59.626800000000003</v>
      </c>
      <c r="N268" s="120">
        <v>90.710000000000008</v>
      </c>
      <c r="O268" s="120">
        <v>60.71</v>
      </c>
      <c r="P268" s="39">
        <f t="shared" si="24"/>
        <v>44556</v>
      </c>
      <c r="Q268" s="41">
        <f t="shared" si="20"/>
        <v>157.80743999999999</v>
      </c>
      <c r="R268" s="41">
        <f t="shared" si="21"/>
        <v>129.69999999999999</v>
      </c>
      <c r="S268" s="41">
        <f t="shared" si="22"/>
        <v>-28.107439999999997</v>
      </c>
      <c r="T268" s="41">
        <f t="shared" si="23"/>
        <v>127.1</v>
      </c>
    </row>
    <row r="269" spans="10:20">
      <c r="J269" s="119">
        <v>44449</v>
      </c>
      <c r="K269" s="121">
        <v>171.6876</v>
      </c>
      <c r="L269" s="121">
        <v>109.98560000000001</v>
      </c>
      <c r="M269" s="121">
        <v>-61.701999999999998</v>
      </c>
      <c r="N269" s="120">
        <v>90.710000000000008</v>
      </c>
      <c r="O269" s="120">
        <v>60.71</v>
      </c>
      <c r="P269" s="39">
        <f t="shared" si="24"/>
        <v>44555</v>
      </c>
      <c r="Q269" s="41">
        <f t="shared" si="20"/>
        <v>157.80743999999999</v>
      </c>
      <c r="R269" s="41">
        <f t="shared" si="21"/>
        <v>129.69999999999999</v>
      </c>
      <c r="S269" s="41">
        <f t="shared" si="22"/>
        <v>-28.107439999999997</v>
      </c>
      <c r="T269" s="41">
        <f t="shared" si="23"/>
        <v>127.1</v>
      </c>
    </row>
    <row r="270" spans="10:20">
      <c r="J270" s="119">
        <v>44448</v>
      </c>
      <c r="K270" s="121">
        <v>158.53319999999999</v>
      </c>
      <c r="L270" s="121">
        <v>109.98560000000001</v>
      </c>
      <c r="M270" s="121">
        <v>-48.547599999999989</v>
      </c>
      <c r="N270" s="120">
        <v>87.88</v>
      </c>
      <c r="O270" s="120">
        <v>57.88</v>
      </c>
      <c r="P270" s="39">
        <f t="shared" si="24"/>
        <v>44554</v>
      </c>
      <c r="Q270" s="41">
        <f t="shared" si="20"/>
        <v>157.80743999999999</v>
      </c>
      <c r="R270" s="41">
        <f t="shared" si="21"/>
        <v>129.69999999999999</v>
      </c>
      <c r="S270" s="41">
        <f t="shared" si="22"/>
        <v>-28.107439999999997</v>
      </c>
      <c r="T270" s="41">
        <f t="shared" si="23"/>
        <v>127.1</v>
      </c>
    </row>
    <row r="271" spans="10:20">
      <c r="J271" s="119">
        <v>44447</v>
      </c>
      <c r="K271" s="121">
        <v>158.53319999999999</v>
      </c>
      <c r="L271" s="121">
        <v>109.98560000000001</v>
      </c>
      <c r="M271" s="121">
        <v>-48.547599999999989</v>
      </c>
      <c r="N271" s="120">
        <v>87.88</v>
      </c>
      <c r="O271" s="120">
        <v>57.88</v>
      </c>
      <c r="P271" s="39">
        <f t="shared" si="24"/>
        <v>44553</v>
      </c>
      <c r="Q271" s="41">
        <f t="shared" si="20"/>
        <v>155.26728</v>
      </c>
      <c r="R271" s="41">
        <f t="shared" si="21"/>
        <v>129.69999999999999</v>
      </c>
      <c r="S271" s="41">
        <f t="shared" si="22"/>
        <v>-25.567280000000011</v>
      </c>
      <c r="T271" s="41">
        <f t="shared" si="23"/>
        <v>127</v>
      </c>
    </row>
    <row r="272" spans="10:20">
      <c r="J272" s="119">
        <v>44446</v>
      </c>
      <c r="K272" s="121">
        <v>158.53319999999999</v>
      </c>
      <c r="L272" s="121">
        <v>109.98560000000001</v>
      </c>
      <c r="M272" s="121">
        <v>-48.547599999999989</v>
      </c>
      <c r="N272" s="120">
        <v>87.88</v>
      </c>
      <c r="O272" s="120">
        <v>57.88</v>
      </c>
      <c r="P272" s="39">
        <f t="shared" si="24"/>
        <v>44552</v>
      </c>
      <c r="Q272" s="41">
        <f t="shared" si="20"/>
        <v>155.26728</v>
      </c>
      <c r="R272" s="41">
        <f t="shared" si="21"/>
        <v>129.69999999999999</v>
      </c>
      <c r="S272" s="41">
        <f t="shared" si="22"/>
        <v>-25.567280000000011</v>
      </c>
      <c r="T272" s="41">
        <f t="shared" si="23"/>
        <v>127</v>
      </c>
    </row>
    <row r="273" spans="10:20">
      <c r="J273" s="119">
        <v>44445</v>
      </c>
      <c r="K273" s="121">
        <v>158.53319999999999</v>
      </c>
      <c r="L273" s="121">
        <v>109.98560000000001</v>
      </c>
      <c r="M273" s="121">
        <v>-48.547599999999989</v>
      </c>
      <c r="N273" s="120">
        <v>87.88</v>
      </c>
      <c r="O273" s="120">
        <v>57.88</v>
      </c>
      <c r="P273" s="39">
        <f t="shared" si="24"/>
        <v>44551</v>
      </c>
      <c r="Q273" s="41">
        <f t="shared" si="20"/>
        <v>155.26728</v>
      </c>
      <c r="R273" s="41">
        <f t="shared" si="21"/>
        <v>129.69999999999999</v>
      </c>
      <c r="S273" s="41">
        <f t="shared" si="22"/>
        <v>-25.567280000000011</v>
      </c>
      <c r="T273" s="41">
        <f t="shared" si="23"/>
        <v>127</v>
      </c>
    </row>
    <row r="274" spans="10:20">
      <c r="J274" s="119">
        <v>44442</v>
      </c>
      <c r="K274" s="121">
        <v>158.53319999999999</v>
      </c>
      <c r="L274" s="121">
        <v>109.98560000000001</v>
      </c>
      <c r="M274" s="121">
        <v>-48.547599999999989</v>
      </c>
      <c r="N274" s="120">
        <v>87.88</v>
      </c>
      <c r="O274" s="120">
        <v>57.88</v>
      </c>
      <c r="P274" s="39">
        <f t="shared" si="24"/>
        <v>44550</v>
      </c>
      <c r="Q274" s="41">
        <f t="shared" si="20"/>
        <v>155.26728</v>
      </c>
      <c r="R274" s="41">
        <f t="shared" si="21"/>
        <v>129.69999999999999</v>
      </c>
      <c r="S274" s="41">
        <f t="shared" si="22"/>
        <v>-25.567280000000011</v>
      </c>
      <c r="T274" s="41">
        <f t="shared" si="23"/>
        <v>127</v>
      </c>
    </row>
    <row r="275" spans="10:20">
      <c r="J275" s="119">
        <v>44441</v>
      </c>
      <c r="K275" s="121">
        <v>151.2756</v>
      </c>
      <c r="L275" s="121">
        <v>109.98560000000001</v>
      </c>
      <c r="M275" s="121">
        <v>-41.289999999999992</v>
      </c>
      <c r="N275" s="120">
        <v>86.039999999999992</v>
      </c>
      <c r="O275" s="120">
        <v>56.04</v>
      </c>
      <c r="P275" s="39">
        <f t="shared" si="24"/>
        <v>44549</v>
      </c>
      <c r="Q275" s="41">
        <f t="shared" si="20"/>
        <v>155.26728</v>
      </c>
      <c r="R275" s="41">
        <f t="shared" si="21"/>
        <v>129.69999999999999</v>
      </c>
      <c r="S275" s="41">
        <f t="shared" si="22"/>
        <v>-25.567280000000011</v>
      </c>
      <c r="T275" s="41">
        <f t="shared" si="23"/>
        <v>127</v>
      </c>
    </row>
    <row r="276" spans="10:20">
      <c r="J276" s="119">
        <v>44440</v>
      </c>
      <c r="K276" s="121">
        <v>151.2756</v>
      </c>
      <c r="L276" s="121">
        <v>109.98560000000001</v>
      </c>
      <c r="M276" s="121">
        <v>-41.289999999999992</v>
      </c>
      <c r="N276" s="120">
        <v>86.039999999999992</v>
      </c>
      <c r="O276" s="120">
        <v>56.04</v>
      </c>
      <c r="P276" s="39">
        <f t="shared" si="24"/>
        <v>44548</v>
      </c>
      <c r="Q276" s="41">
        <f t="shared" si="20"/>
        <v>155.26728</v>
      </c>
      <c r="R276" s="41">
        <f t="shared" si="21"/>
        <v>129.69999999999999</v>
      </c>
      <c r="S276" s="41">
        <f t="shared" si="22"/>
        <v>-25.567280000000011</v>
      </c>
      <c r="T276" s="41">
        <f t="shared" si="23"/>
        <v>127</v>
      </c>
    </row>
    <row r="277" spans="10:20">
      <c r="J277" s="119">
        <v>44439</v>
      </c>
      <c r="K277" s="121">
        <v>151.2756</v>
      </c>
      <c r="L277" s="121">
        <v>109.98560000000001</v>
      </c>
      <c r="M277" s="121">
        <v>-41.289999999999992</v>
      </c>
      <c r="N277" s="120">
        <v>86.039999999999992</v>
      </c>
      <c r="O277" s="120">
        <v>56.04</v>
      </c>
      <c r="P277" s="39">
        <f t="shared" si="24"/>
        <v>44547</v>
      </c>
      <c r="Q277" s="41">
        <f t="shared" si="20"/>
        <v>155.26728</v>
      </c>
      <c r="R277" s="41">
        <f t="shared" si="21"/>
        <v>129.69999999999999</v>
      </c>
      <c r="S277" s="41">
        <f t="shared" si="22"/>
        <v>-25.567280000000011</v>
      </c>
      <c r="T277" s="41">
        <f t="shared" si="23"/>
        <v>127</v>
      </c>
    </row>
    <row r="278" spans="10:20">
      <c r="J278" s="119">
        <v>44438</v>
      </c>
      <c r="K278" s="121">
        <v>151.2756</v>
      </c>
      <c r="L278" s="121">
        <v>109.98560000000001</v>
      </c>
      <c r="M278" s="121">
        <v>-41.289999999999992</v>
      </c>
      <c r="N278" s="120">
        <v>86.039999999999992</v>
      </c>
      <c r="O278" s="120">
        <v>56.04</v>
      </c>
      <c r="P278" s="39">
        <f t="shared" si="24"/>
        <v>44546</v>
      </c>
      <c r="Q278" s="41">
        <f t="shared" si="20"/>
        <v>146.0592</v>
      </c>
      <c r="R278" s="41">
        <f t="shared" si="21"/>
        <v>129.69999999999999</v>
      </c>
      <c r="S278" s="41">
        <f t="shared" si="22"/>
        <v>-16.359200000000016</v>
      </c>
      <c r="T278" s="41">
        <f t="shared" si="23"/>
        <v>129</v>
      </c>
    </row>
    <row r="279" spans="10:20">
      <c r="J279" s="119">
        <v>44435</v>
      </c>
      <c r="K279" s="121">
        <v>151.2756</v>
      </c>
      <c r="L279" s="121">
        <v>109.98560000000001</v>
      </c>
      <c r="M279" s="121">
        <v>-41.289999999999992</v>
      </c>
      <c r="N279" s="120">
        <v>86.039999999999992</v>
      </c>
      <c r="O279" s="120">
        <v>56.04</v>
      </c>
      <c r="P279" s="39">
        <f t="shared" si="24"/>
        <v>44545</v>
      </c>
      <c r="Q279" s="41">
        <f t="shared" si="20"/>
        <v>146.0592</v>
      </c>
      <c r="R279" s="41">
        <f t="shared" si="21"/>
        <v>129.69999999999999</v>
      </c>
      <c r="S279" s="41">
        <f t="shared" si="22"/>
        <v>-16.359200000000016</v>
      </c>
      <c r="T279" s="41">
        <f t="shared" si="23"/>
        <v>129</v>
      </c>
    </row>
    <row r="280" spans="10:20">
      <c r="J280" s="119">
        <v>44434</v>
      </c>
      <c r="K280" s="121">
        <v>150.14160000000001</v>
      </c>
      <c r="L280" s="121">
        <v>106.8728</v>
      </c>
      <c r="M280" s="121">
        <v>-43.268800000000013</v>
      </c>
      <c r="N280" s="120">
        <v>84.7</v>
      </c>
      <c r="O280" s="120">
        <v>54.7</v>
      </c>
      <c r="P280" s="39">
        <f t="shared" si="24"/>
        <v>44544</v>
      </c>
      <c r="Q280" s="41">
        <f t="shared" si="20"/>
        <v>146.0592</v>
      </c>
      <c r="R280" s="41">
        <f t="shared" si="21"/>
        <v>129.69999999999999</v>
      </c>
      <c r="S280" s="41">
        <f t="shared" si="22"/>
        <v>-16.359200000000016</v>
      </c>
      <c r="T280" s="41">
        <f t="shared" si="23"/>
        <v>129</v>
      </c>
    </row>
    <row r="281" spans="10:20">
      <c r="J281" s="119">
        <v>44433</v>
      </c>
      <c r="K281" s="121">
        <v>150.14160000000001</v>
      </c>
      <c r="L281" s="121">
        <v>106.8728</v>
      </c>
      <c r="M281" s="121">
        <v>-43.268800000000013</v>
      </c>
      <c r="N281" s="120">
        <v>84.7</v>
      </c>
      <c r="O281" s="120">
        <v>54.7</v>
      </c>
      <c r="P281" s="39">
        <f t="shared" si="24"/>
        <v>44543</v>
      </c>
      <c r="Q281" s="41">
        <f t="shared" si="20"/>
        <v>146.0592</v>
      </c>
      <c r="R281" s="41">
        <f t="shared" si="21"/>
        <v>129.69999999999999</v>
      </c>
      <c r="S281" s="41">
        <f t="shared" si="22"/>
        <v>-16.359200000000016</v>
      </c>
      <c r="T281" s="41">
        <f t="shared" si="23"/>
        <v>129</v>
      </c>
    </row>
    <row r="282" spans="10:20">
      <c r="J282" s="119">
        <v>44432</v>
      </c>
      <c r="K282" s="121">
        <v>150.14160000000001</v>
      </c>
      <c r="L282" s="121">
        <v>106.8728</v>
      </c>
      <c r="M282" s="121">
        <v>-43.268800000000013</v>
      </c>
      <c r="N282" s="120">
        <v>84.7</v>
      </c>
      <c r="O282" s="120">
        <v>54.7</v>
      </c>
      <c r="P282" s="39">
        <f t="shared" si="24"/>
        <v>44542</v>
      </c>
      <c r="Q282" s="41">
        <f t="shared" si="20"/>
        <v>146.0592</v>
      </c>
      <c r="R282" s="41">
        <f t="shared" si="21"/>
        <v>129.69999999999999</v>
      </c>
      <c r="S282" s="41">
        <f t="shared" si="22"/>
        <v>-16.359200000000016</v>
      </c>
      <c r="T282" s="41">
        <f t="shared" si="23"/>
        <v>129</v>
      </c>
    </row>
    <row r="283" spans="10:20">
      <c r="J283" s="119">
        <v>44431</v>
      </c>
      <c r="K283" s="121">
        <v>150.14160000000001</v>
      </c>
      <c r="L283" s="121">
        <v>106.8728</v>
      </c>
      <c r="M283" s="121">
        <v>-43.268800000000013</v>
      </c>
      <c r="N283" s="120">
        <v>84.7</v>
      </c>
      <c r="O283" s="120">
        <v>54.7</v>
      </c>
      <c r="P283" s="39">
        <f t="shared" si="24"/>
        <v>44541</v>
      </c>
      <c r="Q283" s="41">
        <f t="shared" si="20"/>
        <v>146.0592</v>
      </c>
      <c r="R283" s="41">
        <f t="shared" si="21"/>
        <v>129.69999999999999</v>
      </c>
      <c r="S283" s="41">
        <f t="shared" si="22"/>
        <v>-16.359200000000016</v>
      </c>
      <c r="T283" s="41">
        <f t="shared" si="23"/>
        <v>129</v>
      </c>
    </row>
    <row r="284" spans="10:20">
      <c r="J284" s="119">
        <v>44428</v>
      </c>
      <c r="K284" s="121">
        <v>150.14160000000001</v>
      </c>
      <c r="L284" s="121">
        <v>106.8728</v>
      </c>
      <c r="M284" s="121">
        <v>-43.268800000000013</v>
      </c>
      <c r="N284" s="120">
        <v>84.7</v>
      </c>
      <c r="O284" s="120">
        <v>54.7</v>
      </c>
      <c r="P284" s="39">
        <f t="shared" si="24"/>
        <v>44540</v>
      </c>
      <c r="Q284" s="41">
        <f t="shared" si="20"/>
        <v>146.0592</v>
      </c>
      <c r="R284" s="41">
        <f t="shared" si="21"/>
        <v>129.69999999999999</v>
      </c>
      <c r="S284" s="41">
        <f t="shared" si="22"/>
        <v>-16.359200000000016</v>
      </c>
      <c r="T284" s="41">
        <f t="shared" si="23"/>
        <v>129</v>
      </c>
    </row>
    <row r="285" spans="10:20">
      <c r="J285" s="119">
        <v>44427</v>
      </c>
      <c r="K285" s="121">
        <v>147.87360000000001</v>
      </c>
      <c r="L285" s="121">
        <v>106.8728</v>
      </c>
      <c r="M285" s="121">
        <v>-41.000800000000012</v>
      </c>
      <c r="N285" s="120">
        <v>82.9</v>
      </c>
      <c r="O285" s="120">
        <v>52.9</v>
      </c>
      <c r="P285" s="39">
        <f t="shared" si="24"/>
        <v>44539</v>
      </c>
      <c r="Q285" s="41">
        <f t="shared" si="20"/>
        <v>135.62639999999999</v>
      </c>
      <c r="R285" s="41">
        <f t="shared" si="21"/>
        <v>129.69999999999999</v>
      </c>
      <c r="S285" s="41">
        <f t="shared" si="22"/>
        <v>-5.926400000000001</v>
      </c>
      <c r="T285" s="41">
        <f t="shared" si="23"/>
        <v>127.08</v>
      </c>
    </row>
    <row r="286" spans="10:20">
      <c r="J286" s="119">
        <v>44426</v>
      </c>
      <c r="K286" s="121">
        <v>147.87360000000001</v>
      </c>
      <c r="L286" s="121">
        <v>106.8728</v>
      </c>
      <c r="M286" s="121">
        <v>-41.000800000000012</v>
      </c>
      <c r="N286" s="120">
        <v>82.9</v>
      </c>
      <c r="O286" s="120">
        <v>52.9</v>
      </c>
      <c r="P286" s="39">
        <f t="shared" si="24"/>
        <v>44538</v>
      </c>
      <c r="Q286" s="41">
        <f t="shared" si="20"/>
        <v>135.62639999999999</v>
      </c>
      <c r="R286" s="41">
        <f t="shared" si="21"/>
        <v>129.69999999999999</v>
      </c>
      <c r="S286" s="41">
        <f t="shared" si="22"/>
        <v>-5.926400000000001</v>
      </c>
      <c r="T286" s="41">
        <f t="shared" si="23"/>
        <v>127.08</v>
      </c>
    </row>
    <row r="287" spans="10:20">
      <c r="J287" s="119">
        <v>44425</v>
      </c>
      <c r="K287" s="121">
        <v>147.87360000000001</v>
      </c>
      <c r="L287" s="121">
        <v>106.8728</v>
      </c>
      <c r="M287" s="121">
        <v>-41.000800000000012</v>
      </c>
      <c r="N287" s="120">
        <v>82.9</v>
      </c>
      <c r="O287" s="120">
        <v>52.9</v>
      </c>
      <c r="P287" s="39">
        <f t="shared" si="24"/>
        <v>44537</v>
      </c>
      <c r="Q287" s="41">
        <f t="shared" si="20"/>
        <v>135.62639999999999</v>
      </c>
      <c r="R287" s="41">
        <f t="shared" si="21"/>
        <v>129.69999999999999</v>
      </c>
      <c r="S287" s="41">
        <f t="shared" si="22"/>
        <v>-5.926400000000001</v>
      </c>
      <c r="T287" s="41">
        <f t="shared" si="23"/>
        <v>127.08</v>
      </c>
    </row>
    <row r="288" spans="10:20">
      <c r="J288" s="119">
        <v>44424</v>
      </c>
      <c r="K288" s="121">
        <v>147.87360000000001</v>
      </c>
      <c r="L288" s="121">
        <v>106.8728</v>
      </c>
      <c r="M288" s="121">
        <v>-41.000800000000012</v>
      </c>
      <c r="N288" s="120">
        <v>82.9</v>
      </c>
      <c r="O288" s="120">
        <v>52.9</v>
      </c>
      <c r="P288" s="39">
        <f t="shared" si="24"/>
        <v>44536</v>
      </c>
      <c r="Q288" s="41">
        <f t="shared" si="20"/>
        <v>135.62639999999999</v>
      </c>
      <c r="R288" s="41">
        <f t="shared" si="21"/>
        <v>129.69999999999999</v>
      </c>
      <c r="S288" s="41">
        <f t="shared" si="22"/>
        <v>-5.926400000000001</v>
      </c>
      <c r="T288" s="41">
        <f t="shared" si="23"/>
        <v>127.08</v>
      </c>
    </row>
    <row r="289" spans="10:20">
      <c r="J289" s="119">
        <v>44421</v>
      </c>
      <c r="K289" s="121">
        <v>147.87360000000001</v>
      </c>
      <c r="L289" s="121">
        <v>104.7976</v>
      </c>
      <c r="M289" s="121">
        <v>-43.076000000000008</v>
      </c>
      <c r="N289" s="120">
        <v>82.9</v>
      </c>
      <c r="O289" s="120">
        <v>52.9</v>
      </c>
      <c r="P289" s="39">
        <f t="shared" si="24"/>
        <v>44535</v>
      </c>
      <c r="Q289" s="41">
        <f t="shared" si="20"/>
        <v>135.62639999999999</v>
      </c>
      <c r="R289" s="41">
        <f t="shared" si="21"/>
        <v>129.69999999999999</v>
      </c>
      <c r="S289" s="41">
        <f t="shared" si="22"/>
        <v>-5.926400000000001</v>
      </c>
      <c r="T289" s="41">
        <f t="shared" si="23"/>
        <v>127.08</v>
      </c>
    </row>
    <row r="290" spans="10:20">
      <c r="J290" s="119">
        <v>44420</v>
      </c>
      <c r="K290" s="121">
        <v>139.7088</v>
      </c>
      <c r="L290" s="121">
        <v>104.7976</v>
      </c>
      <c r="M290" s="121">
        <v>-34.911199999999994</v>
      </c>
      <c r="N290" s="120">
        <v>81.93</v>
      </c>
      <c r="O290" s="120">
        <v>51.93</v>
      </c>
      <c r="P290" s="39">
        <f t="shared" si="24"/>
        <v>44534</v>
      </c>
      <c r="Q290" s="41">
        <f t="shared" si="20"/>
        <v>135.62639999999999</v>
      </c>
      <c r="R290" s="41">
        <f t="shared" si="21"/>
        <v>129.69999999999999</v>
      </c>
      <c r="S290" s="41">
        <f t="shared" si="22"/>
        <v>-5.926400000000001</v>
      </c>
      <c r="T290" s="41">
        <f t="shared" si="23"/>
        <v>127.08</v>
      </c>
    </row>
    <row r="291" spans="10:20">
      <c r="J291" s="119">
        <v>44419</v>
      </c>
      <c r="K291" s="121">
        <v>139.7088</v>
      </c>
      <c r="L291" s="121">
        <v>104.7976</v>
      </c>
      <c r="M291" s="121">
        <v>-34.911199999999994</v>
      </c>
      <c r="N291" s="120">
        <v>81.93</v>
      </c>
      <c r="O291" s="120">
        <v>51.93</v>
      </c>
      <c r="P291" s="39">
        <f t="shared" si="24"/>
        <v>44533</v>
      </c>
      <c r="Q291" s="41">
        <f t="shared" si="20"/>
        <v>135.62639999999999</v>
      </c>
      <c r="R291" s="41">
        <f t="shared" si="21"/>
        <v>129.69999999999999</v>
      </c>
      <c r="S291" s="41">
        <f t="shared" si="22"/>
        <v>-5.926400000000001</v>
      </c>
      <c r="T291" s="41">
        <f t="shared" si="23"/>
        <v>127.08</v>
      </c>
    </row>
    <row r="292" spans="10:20">
      <c r="J292" s="119">
        <v>44418</v>
      </c>
      <c r="K292" s="121">
        <v>139.7088</v>
      </c>
      <c r="L292" s="121">
        <v>104.7976</v>
      </c>
      <c r="M292" s="121">
        <v>-34.911199999999994</v>
      </c>
      <c r="N292" s="120">
        <v>81.93</v>
      </c>
      <c r="O292" s="120">
        <v>51.93</v>
      </c>
      <c r="P292" s="39">
        <f t="shared" si="24"/>
        <v>44532</v>
      </c>
      <c r="Q292" s="41">
        <f t="shared" si="20"/>
        <v>160.80119999999999</v>
      </c>
      <c r="R292" s="41">
        <f t="shared" si="21"/>
        <v>129.69999999999999</v>
      </c>
      <c r="S292" s="41">
        <f t="shared" si="22"/>
        <v>-31.101200000000006</v>
      </c>
      <c r="T292" s="41">
        <f t="shared" si="23"/>
        <v>128.70999999999998</v>
      </c>
    </row>
    <row r="293" spans="10:20">
      <c r="J293" s="119">
        <v>44417</v>
      </c>
      <c r="K293" s="121">
        <v>139.7088</v>
      </c>
      <c r="L293" s="121">
        <v>104.7976</v>
      </c>
      <c r="M293" s="121">
        <v>-34.911199999999994</v>
      </c>
      <c r="N293" s="120">
        <v>81.93</v>
      </c>
      <c r="O293" s="120">
        <v>51.93</v>
      </c>
      <c r="P293" s="39">
        <f t="shared" si="24"/>
        <v>44531</v>
      </c>
      <c r="Q293" s="41">
        <f t="shared" si="20"/>
        <v>160.80119999999999</v>
      </c>
      <c r="R293" s="41">
        <f t="shared" si="21"/>
        <v>129.69999999999999</v>
      </c>
      <c r="S293" s="41">
        <f t="shared" si="22"/>
        <v>-31.101200000000006</v>
      </c>
      <c r="T293" s="41">
        <f t="shared" si="23"/>
        <v>128.70999999999998</v>
      </c>
    </row>
    <row r="294" spans="10:20">
      <c r="J294" s="119">
        <v>44414</v>
      </c>
      <c r="K294" s="121">
        <v>139.7088</v>
      </c>
      <c r="L294" s="121">
        <v>104.7976</v>
      </c>
      <c r="M294" s="121">
        <v>-34.911199999999994</v>
      </c>
      <c r="N294" s="120">
        <v>81.93</v>
      </c>
      <c r="O294" s="120">
        <v>51.93</v>
      </c>
      <c r="P294" s="39">
        <f t="shared" si="24"/>
        <v>44530</v>
      </c>
      <c r="Q294" s="41">
        <f t="shared" si="20"/>
        <v>160.80119999999999</v>
      </c>
      <c r="R294" s="41">
        <f t="shared" si="21"/>
        <v>132.81280000000001</v>
      </c>
      <c r="S294" s="41">
        <f t="shared" si="22"/>
        <v>-27.988399999999984</v>
      </c>
      <c r="T294" s="41">
        <f t="shared" si="23"/>
        <v>128.70999999999998</v>
      </c>
    </row>
    <row r="295" spans="10:20">
      <c r="J295" s="119">
        <v>44413</v>
      </c>
      <c r="K295" s="121">
        <v>136.9872</v>
      </c>
      <c r="L295" s="121">
        <v>104.2788</v>
      </c>
      <c r="M295" s="121">
        <v>-32.708399999999997</v>
      </c>
      <c r="N295" s="120">
        <v>80.150000000000006</v>
      </c>
      <c r="O295" s="120">
        <v>50.15</v>
      </c>
      <c r="P295" s="39">
        <f t="shared" si="24"/>
        <v>44529</v>
      </c>
      <c r="Q295" s="41">
        <f t="shared" si="20"/>
        <v>160.80119999999999</v>
      </c>
      <c r="R295" s="41">
        <f t="shared" si="21"/>
        <v>132.81280000000001</v>
      </c>
      <c r="S295" s="41">
        <f t="shared" si="22"/>
        <v>-27.988399999999984</v>
      </c>
      <c r="T295" s="41">
        <f t="shared" si="23"/>
        <v>128.70999999999998</v>
      </c>
    </row>
    <row r="296" spans="10:20">
      <c r="J296" s="119">
        <v>44412</v>
      </c>
      <c r="K296" s="121">
        <v>136.9872</v>
      </c>
      <c r="L296" s="121">
        <v>104.2788</v>
      </c>
      <c r="M296" s="121">
        <v>-32.708399999999997</v>
      </c>
      <c r="N296" s="120">
        <v>80.150000000000006</v>
      </c>
      <c r="O296" s="120">
        <v>50.15</v>
      </c>
      <c r="P296" s="39">
        <f t="shared" si="24"/>
        <v>44528</v>
      </c>
      <c r="Q296" s="41">
        <f t="shared" si="20"/>
        <v>160.80119999999999</v>
      </c>
      <c r="R296" s="41">
        <f t="shared" si="21"/>
        <v>132.81280000000001</v>
      </c>
      <c r="S296" s="41">
        <f t="shared" si="22"/>
        <v>-27.988399999999984</v>
      </c>
      <c r="T296" s="41">
        <f t="shared" si="23"/>
        <v>128.70999999999998</v>
      </c>
    </row>
    <row r="297" spans="10:20">
      <c r="J297" s="119">
        <v>44411</v>
      </c>
      <c r="K297" s="121">
        <v>136.9872</v>
      </c>
      <c r="L297" s="121">
        <v>104.2788</v>
      </c>
      <c r="M297" s="121">
        <v>-32.708399999999997</v>
      </c>
      <c r="N297" s="120">
        <v>80.150000000000006</v>
      </c>
      <c r="O297" s="120">
        <v>50.15</v>
      </c>
      <c r="P297" s="39">
        <f t="shared" si="24"/>
        <v>44527</v>
      </c>
      <c r="Q297" s="41">
        <f t="shared" si="20"/>
        <v>160.80119999999999</v>
      </c>
      <c r="R297" s="41">
        <f t="shared" si="21"/>
        <v>132.81280000000001</v>
      </c>
      <c r="S297" s="41">
        <f t="shared" si="22"/>
        <v>-27.988399999999984</v>
      </c>
      <c r="T297" s="41">
        <f t="shared" si="23"/>
        <v>128.70999999999998</v>
      </c>
    </row>
    <row r="298" spans="10:20">
      <c r="J298" s="119">
        <v>44410</v>
      </c>
      <c r="K298" s="121">
        <v>136.9872</v>
      </c>
      <c r="L298" s="121">
        <v>104.2788</v>
      </c>
      <c r="M298" s="121">
        <v>-32.708399999999997</v>
      </c>
      <c r="N298" s="120">
        <v>80.150000000000006</v>
      </c>
      <c r="O298" s="120">
        <v>50.15</v>
      </c>
      <c r="P298" s="39">
        <f t="shared" si="24"/>
        <v>44526</v>
      </c>
      <c r="Q298" s="41">
        <f t="shared" si="20"/>
        <v>160.80119999999999</v>
      </c>
      <c r="R298" s="41">
        <f t="shared" si="21"/>
        <v>132.81280000000001</v>
      </c>
      <c r="S298" s="41">
        <f t="shared" si="22"/>
        <v>-27.988399999999984</v>
      </c>
      <c r="T298" s="41">
        <f t="shared" si="23"/>
        <v>128.70999999999998</v>
      </c>
    </row>
    <row r="299" spans="10:20">
      <c r="J299" s="119">
        <v>44407</v>
      </c>
      <c r="K299" s="121">
        <v>136.9872</v>
      </c>
      <c r="L299" s="121">
        <v>103.24120000000001</v>
      </c>
      <c r="M299" s="121">
        <v>-33.745999999999995</v>
      </c>
      <c r="N299" s="120">
        <v>80.150000000000006</v>
      </c>
      <c r="O299" s="120">
        <v>50.15</v>
      </c>
      <c r="P299" s="39">
        <f t="shared" si="24"/>
        <v>44525</v>
      </c>
      <c r="Q299" s="41">
        <f t="shared" si="20"/>
        <v>159.71256000000002</v>
      </c>
      <c r="R299" s="41">
        <f t="shared" si="21"/>
        <v>132.81280000000001</v>
      </c>
      <c r="S299" s="41">
        <f t="shared" si="22"/>
        <v>-26.899760000000015</v>
      </c>
      <c r="T299" s="41">
        <f t="shared" si="23"/>
        <v>128.70999999999998</v>
      </c>
    </row>
    <row r="300" spans="10:20">
      <c r="J300" s="119">
        <v>44406</v>
      </c>
      <c r="K300" s="121">
        <v>135.89856</v>
      </c>
      <c r="L300" s="121">
        <v>103.24120000000001</v>
      </c>
      <c r="M300" s="121">
        <v>-32.657359999999997</v>
      </c>
      <c r="N300" s="120">
        <v>79.25</v>
      </c>
      <c r="O300" s="120">
        <v>49.25</v>
      </c>
      <c r="P300" s="39">
        <f t="shared" si="24"/>
        <v>44524</v>
      </c>
      <c r="Q300" s="41">
        <f t="shared" si="20"/>
        <v>159.71256000000002</v>
      </c>
      <c r="R300" s="41">
        <f t="shared" si="21"/>
        <v>132.81280000000001</v>
      </c>
      <c r="S300" s="41">
        <f t="shared" si="22"/>
        <v>-26.899760000000015</v>
      </c>
      <c r="T300" s="41">
        <f t="shared" si="23"/>
        <v>128.70999999999998</v>
      </c>
    </row>
    <row r="301" spans="10:20">
      <c r="J301" s="119">
        <v>44405</v>
      </c>
      <c r="K301" s="121">
        <v>135.89856</v>
      </c>
      <c r="L301" s="121">
        <v>100.6472</v>
      </c>
      <c r="M301" s="121">
        <v>-35.251360000000005</v>
      </c>
      <c r="N301" s="120">
        <v>79.25</v>
      </c>
      <c r="O301" s="120">
        <v>49.25</v>
      </c>
      <c r="P301" s="39">
        <f t="shared" si="24"/>
        <v>44523</v>
      </c>
      <c r="Q301" s="41">
        <f t="shared" si="20"/>
        <v>159.71256000000002</v>
      </c>
      <c r="R301" s="41">
        <f t="shared" si="21"/>
        <v>132.81280000000001</v>
      </c>
      <c r="S301" s="41">
        <f t="shared" si="22"/>
        <v>-26.899760000000015</v>
      </c>
      <c r="T301" s="41">
        <f t="shared" si="23"/>
        <v>128.70999999999998</v>
      </c>
    </row>
    <row r="302" spans="10:20">
      <c r="J302" s="119">
        <v>44404</v>
      </c>
      <c r="K302" s="121">
        <v>135.89856</v>
      </c>
      <c r="L302" s="121">
        <v>100.6472</v>
      </c>
      <c r="M302" s="121">
        <v>-35.251360000000005</v>
      </c>
      <c r="N302" s="120">
        <v>79.25</v>
      </c>
      <c r="O302" s="120">
        <v>49.25</v>
      </c>
      <c r="P302" s="39">
        <f t="shared" si="24"/>
        <v>44522</v>
      </c>
      <c r="Q302" s="41">
        <f t="shared" si="20"/>
        <v>159.71256000000002</v>
      </c>
      <c r="R302" s="41">
        <f t="shared" si="21"/>
        <v>132.81280000000001</v>
      </c>
      <c r="S302" s="41">
        <f t="shared" si="22"/>
        <v>-26.899760000000015</v>
      </c>
      <c r="T302" s="41">
        <f t="shared" si="23"/>
        <v>128.70999999999998</v>
      </c>
    </row>
    <row r="303" spans="10:20">
      <c r="J303" s="119">
        <v>44403</v>
      </c>
      <c r="K303" s="121">
        <v>135.89856</v>
      </c>
      <c r="L303" s="121">
        <v>99.6096</v>
      </c>
      <c r="M303" s="121">
        <v>-36.288960000000003</v>
      </c>
      <c r="N303" s="120">
        <v>79.25</v>
      </c>
      <c r="O303" s="120">
        <v>49.25</v>
      </c>
      <c r="P303" s="39">
        <f t="shared" si="24"/>
        <v>44521</v>
      </c>
      <c r="Q303" s="41">
        <f t="shared" si="20"/>
        <v>159.71256000000002</v>
      </c>
      <c r="R303" s="41">
        <f t="shared" si="21"/>
        <v>132.81280000000001</v>
      </c>
      <c r="S303" s="41">
        <f t="shared" si="22"/>
        <v>-26.899760000000015</v>
      </c>
      <c r="T303" s="41">
        <f t="shared" si="23"/>
        <v>128.70999999999998</v>
      </c>
    </row>
    <row r="304" spans="10:20">
      <c r="J304" s="119">
        <v>44400</v>
      </c>
      <c r="K304" s="121">
        <v>135.89856</v>
      </c>
      <c r="L304" s="121">
        <v>99.6096</v>
      </c>
      <c r="M304" s="121">
        <v>-36.288960000000003</v>
      </c>
      <c r="N304" s="120">
        <v>79.25</v>
      </c>
      <c r="O304" s="120">
        <v>49.25</v>
      </c>
      <c r="P304" s="39">
        <f t="shared" si="24"/>
        <v>44520</v>
      </c>
      <c r="Q304" s="41">
        <f t="shared" si="20"/>
        <v>159.71256000000002</v>
      </c>
      <c r="R304" s="41">
        <f t="shared" si="21"/>
        <v>132.81280000000001</v>
      </c>
      <c r="S304" s="41">
        <f t="shared" si="22"/>
        <v>-26.899760000000015</v>
      </c>
      <c r="T304" s="41">
        <f t="shared" si="23"/>
        <v>128.70999999999998</v>
      </c>
    </row>
    <row r="305" spans="10:20">
      <c r="J305" s="119">
        <v>44399</v>
      </c>
      <c r="K305" s="121">
        <v>131.99760000000001</v>
      </c>
      <c r="L305" s="121">
        <v>98.572000000000003</v>
      </c>
      <c r="M305" s="121">
        <v>-33.425600000000003</v>
      </c>
      <c r="N305" s="120">
        <v>77.77000000000001</v>
      </c>
      <c r="O305" s="120">
        <v>47.77</v>
      </c>
      <c r="P305" s="39">
        <f t="shared" si="24"/>
        <v>44519</v>
      </c>
      <c r="Q305" s="41">
        <f t="shared" si="20"/>
        <v>159.71256000000002</v>
      </c>
      <c r="R305" s="41">
        <f t="shared" si="21"/>
        <v>132.81280000000001</v>
      </c>
      <c r="S305" s="41">
        <f t="shared" si="22"/>
        <v>-26.899760000000015</v>
      </c>
      <c r="T305" s="41">
        <f t="shared" si="23"/>
        <v>128.70999999999998</v>
      </c>
    </row>
    <row r="306" spans="10:20">
      <c r="J306" s="119">
        <v>44398</v>
      </c>
      <c r="K306" s="121">
        <v>131.99760000000001</v>
      </c>
      <c r="L306" s="121">
        <v>98.572000000000003</v>
      </c>
      <c r="M306" s="121">
        <v>-33.425600000000003</v>
      </c>
      <c r="N306" s="120">
        <v>77.77000000000001</v>
      </c>
      <c r="O306" s="120">
        <v>47.77</v>
      </c>
      <c r="P306" s="39">
        <f t="shared" si="24"/>
        <v>44518</v>
      </c>
      <c r="Q306" s="41">
        <f t="shared" si="20"/>
        <v>169.46496000000002</v>
      </c>
      <c r="R306" s="41">
        <f t="shared" si="21"/>
        <v>134.88800000000001</v>
      </c>
      <c r="S306" s="41">
        <f t="shared" si="22"/>
        <v>-34.576960000000014</v>
      </c>
      <c r="T306" s="41">
        <f t="shared" si="23"/>
        <v>134</v>
      </c>
    </row>
    <row r="307" spans="10:20">
      <c r="J307" s="119">
        <v>44397</v>
      </c>
      <c r="K307" s="121">
        <v>131.99760000000001</v>
      </c>
      <c r="L307" s="121">
        <v>98.572000000000003</v>
      </c>
      <c r="M307" s="121">
        <v>-33.425600000000003</v>
      </c>
      <c r="N307" s="120">
        <v>77.77000000000001</v>
      </c>
      <c r="O307" s="120">
        <v>47.77</v>
      </c>
      <c r="P307" s="39">
        <f t="shared" si="24"/>
        <v>44517</v>
      </c>
      <c r="Q307" s="41">
        <f t="shared" si="20"/>
        <v>169.46496000000002</v>
      </c>
      <c r="R307" s="41">
        <f t="shared" si="21"/>
        <v>134.88800000000001</v>
      </c>
      <c r="S307" s="41">
        <f t="shared" si="22"/>
        <v>-34.576960000000014</v>
      </c>
      <c r="T307" s="41">
        <f t="shared" si="23"/>
        <v>134</v>
      </c>
    </row>
    <row r="308" spans="10:20">
      <c r="J308" s="119">
        <v>44396</v>
      </c>
      <c r="K308" s="121">
        <v>131.99760000000001</v>
      </c>
      <c r="L308" s="121">
        <v>98.572000000000003</v>
      </c>
      <c r="M308" s="121">
        <v>-33.425600000000003</v>
      </c>
      <c r="N308" s="120">
        <v>77.77000000000001</v>
      </c>
      <c r="O308" s="120">
        <v>47.77</v>
      </c>
      <c r="P308" s="39">
        <f t="shared" si="24"/>
        <v>44516</v>
      </c>
      <c r="Q308" s="41">
        <f t="shared" si="20"/>
        <v>169.46496000000002</v>
      </c>
      <c r="R308" s="41">
        <f t="shared" si="21"/>
        <v>134.88800000000001</v>
      </c>
      <c r="S308" s="41">
        <f t="shared" si="22"/>
        <v>-34.576960000000014</v>
      </c>
      <c r="T308" s="41">
        <f t="shared" si="23"/>
        <v>134</v>
      </c>
    </row>
    <row r="309" spans="10:20">
      <c r="J309" s="119">
        <v>44393</v>
      </c>
      <c r="K309" s="121">
        <v>131.99760000000001</v>
      </c>
      <c r="L309" s="121">
        <v>98.572000000000003</v>
      </c>
      <c r="M309" s="121">
        <v>-33.425600000000003</v>
      </c>
      <c r="N309" s="120">
        <v>77.77000000000001</v>
      </c>
      <c r="O309" s="120">
        <v>47.77</v>
      </c>
      <c r="P309" s="39">
        <f t="shared" si="24"/>
        <v>44515</v>
      </c>
      <c r="Q309" s="41">
        <f t="shared" si="20"/>
        <v>169.46496000000002</v>
      </c>
      <c r="R309" s="41">
        <f t="shared" si="21"/>
        <v>134.88800000000001</v>
      </c>
      <c r="S309" s="41">
        <f t="shared" si="22"/>
        <v>-34.576960000000014</v>
      </c>
      <c r="T309" s="41">
        <f t="shared" si="23"/>
        <v>134</v>
      </c>
    </row>
    <row r="310" spans="10:20">
      <c r="J310" s="119">
        <v>44392</v>
      </c>
      <c r="K310" s="121">
        <v>126.10080000000001</v>
      </c>
      <c r="L310" s="121">
        <v>96.496799999999993</v>
      </c>
      <c r="M310" s="121">
        <v>-29.604000000000013</v>
      </c>
      <c r="N310" s="120">
        <v>73.27000000000001</v>
      </c>
      <c r="O310" s="120">
        <v>43.27</v>
      </c>
      <c r="P310" s="39">
        <f t="shared" si="24"/>
        <v>44514</v>
      </c>
      <c r="Q310" s="41">
        <f t="shared" si="20"/>
        <v>169.46496000000002</v>
      </c>
      <c r="R310" s="41">
        <f t="shared" si="21"/>
        <v>134.88800000000001</v>
      </c>
      <c r="S310" s="41">
        <f t="shared" si="22"/>
        <v>-34.576960000000014</v>
      </c>
      <c r="T310" s="41">
        <f t="shared" si="23"/>
        <v>134</v>
      </c>
    </row>
    <row r="311" spans="10:20">
      <c r="J311" s="119">
        <v>44391</v>
      </c>
      <c r="K311" s="121">
        <v>126.10080000000001</v>
      </c>
      <c r="L311" s="121">
        <v>96.496799999999993</v>
      </c>
      <c r="M311" s="121">
        <v>-29.604000000000013</v>
      </c>
      <c r="N311" s="120">
        <v>73.27000000000001</v>
      </c>
      <c r="O311" s="120">
        <v>43.27</v>
      </c>
      <c r="P311" s="39">
        <f t="shared" si="24"/>
        <v>44513</v>
      </c>
      <c r="Q311" s="41">
        <f t="shared" si="20"/>
        <v>169.46496000000002</v>
      </c>
      <c r="R311" s="41">
        <f t="shared" si="21"/>
        <v>134.88800000000001</v>
      </c>
      <c r="S311" s="41">
        <f t="shared" si="22"/>
        <v>-34.576960000000014</v>
      </c>
      <c r="T311" s="41">
        <f t="shared" si="23"/>
        <v>134</v>
      </c>
    </row>
    <row r="312" spans="10:20">
      <c r="J312" s="119">
        <v>44390</v>
      </c>
      <c r="K312" s="121">
        <v>126.10080000000001</v>
      </c>
      <c r="L312" s="121">
        <v>96.496799999999993</v>
      </c>
      <c r="M312" s="121">
        <v>-29.604000000000013</v>
      </c>
      <c r="N312" s="120">
        <v>73.27000000000001</v>
      </c>
      <c r="O312" s="120">
        <v>43.27</v>
      </c>
      <c r="P312" s="39">
        <f t="shared" si="24"/>
        <v>44512</v>
      </c>
      <c r="Q312" s="41">
        <f t="shared" si="20"/>
        <v>169.46496000000002</v>
      </c>
      <c r="R312" s="41">
        <f t="shared" si="21"/>
        <v>134.88800000000001</v>
      </c>
      <c r="S312" s="41">
        <f t="shared" si="22"/>
        <v>-34.576960000000014</v>
      </c>
      <c r="T312" s="41">
        <f t="shared" si="23"/>
        <v>134</v>
      </c>
    </row>
    <row r="313" spans="10:20">
      <c r="J313" s="119">
        <v>44389</v>
      </c>
      <c r="K313" s="121">
        <v>126.10080000000001</v>
      </c>
      <c r="L313" s="121">
        <v>96.496799999999993</v>
      </c>
      <c r="M313" s="121">
        <v>-29.604000000000013</v>
      </c>
      <c r="N313" s="120">
        <v>73.27000000000001</v>
      </c>
      <c r="O313" s="120">
        <v>43.27</v>
      </c>
      <c r="P313" s="39">
        <f t="shared" si="24"/>
        <v>44511</v>
      </c>
      <c r="Q313" s="41">
        <f t="shared" si="20"/>
        <v>173.36591999999999</v>
      </c>
      <c r="R313" s="41">
        <f t="shared" si="21"/>
        <v>134.88800000000001</v>
      </c>
      <c r="S313" s="41">
        <f t="shared" si="22"/>
        <v>-38.477919999999983</v>
      </c>
      <c r="T313" s="41">
        <f t="shared" si="23"/>
        <v>124.2</v>
      </c>
    </row>
    <row r="314" spans="10:20">
      <c r="J314" s="119">
        <v>44386</v>
      </c>
      <c r="K314" s="121">
        <v>126.10080000000001</v>
      </c>
      <c r="L314" s="121">
        <v>96.496799999999993</v>
      </c>
      <c r="M314" s="121">
        <v>-29.604000000000013</v>
      </c>
      <c r="N314" s="120">
        <v>73.27000000000001</v>
      </c>
      <c r="O314" s="120">
        <v>43.27</v>
      </c>
      <c r="P314" s="39">
        <f t="shared" si="24"/>
        <v>44510</v>
      </c>
      <c r="Q314" s="41">
        <f t="shared" si="20"/>
        <v>173.36591999999999</v>
      </c>
      <c r="R314" s="41">
        <f t="shared" si="21"/>
        <v>134.88800000000001</v>
      </c>
      <c r="S314" s="41">
        <f t="shared" si="22"/>
        <v>-38.477919999999983</v>
      </c>
      <c r="T314" s="41">
        <f t="shared" si="23"/>
        <v>124.2</v>
      </c>
    </row>
    <row r="315" spans="10:20">
      <c r="J315" s="119">
        <v>44385</v>
      </c>
      <c r="K315" s="121">
        <v>121.1112</v>
      </c>
      <c r="L315" s="121">
        <v>95.459199999999996</v>
      </c>
      <c r="M315" s="121">
        <v>-25.652000000000001</v>
      </c>
      <c r="N315" s="120">
        <v>70.8</v>
      </c>
      <c r="O315" s="120">
        <v>40.799999999999997</v>
      </c>
      <c r="P315" s="39">
        <f t="shared" si="24"/>
        <v>44509</v>
      </c>
      <c r="Q315" s="41">
        <f t="shared" si="20"/>
        <v>173.36591999999999</v>
      </c>
      <c r="R315" s="41">
        <f t="shared" si="21"/>
        <v>132.81280000000001</v>
      </c>
      <c r="S315" s="41">
        <f t="shared" si="22"/>
        <v>-40.553119999999979</v>
      </c>
      <c r="T315" s="41">
        <f t="shared" si="23"/>
        <v>124.2</v>
      </c>
    </row>
    <row r="316" spans="10:20">
      <c r="J316" s="119">
        <v>44384</v>
      </c>
      <c r="K316" s="121">
        <v>121.1112</v>
      </c>
      <c r="L316" s="121">
        <v>95.459199999999996</v>
      </c>
      <c r="M316" s="121">
        <v>-25.652000000000001</v>
      </c>
      <c r="N316" s="120">
        <v>70.8</v>
      </c>
      <c r="O316" s="120">
        <v>40.799999999999997</v>
      </c>
      <c r="P316" s="39">
        <f t="shared" si="24"/>
        <v>44508</v>
      </c>
      <c r="Q316" s="41">
        <f t="shared" si="20"/>
        <v>173.36591999999999</v>
      </c>
      <c r="R316" s="41">
        <f t="shared" si="21"/>
        <v>129.69999999999999</v>
      </c>
      <c r="S316" s="41">
        <f t="shared" si="22"/>
        <v>-43.66592</v>
      </c>
      <c r="T316" s="41">
        <f t="shared" si="23"/>
        <v>124.2</v>
      </c>
    </row>
    <row r="317" spans="10:20">
      <c r="J317" s="119">
        <v>44383</v>
      </c>
      <c r="K317" s="121">
        <v>121.1112</v>
      </c>
      <c r="L317" s="121">
        <v>95.459199999999996</v>
      </c>
      <c r="M317" s="121">
        <v>-25.652000000000001</v>
      </c>
      <c r="N317" s="120">
        <v>70.8</v>
      </c>
      <c r="O317" s="120">
        <v>40.799999999999997</v>
      </c>
      <c r="P317" s="39">
        <f t="shared" si="24"/>
        <v>44507</v>
      </c>
      <c r="Q317" s="41">
        <f t="shared" si="20"/>
        <v>173.36591999999999</v>
      </c>
      <c r="R317" s="41">
        <f t="shared" si="21"/>
        <v>134.88800000000001</v>
      </c>
      <c r="S317" s="41">
        <f t="shared" si="22"/>
        <v>-38.477919999999983</v>
      </c>
      <c r="T317" s="41">
        <f t="shared" si="23"/>
        <v>124.2</v>
      </c>
    </row>
    <row r="318" spans="10:20">
      <c r="J318" s="119">
        <v>44382</v>
      </c>
      <c r="K318" s="121">
        <v>121.1112</v>
      </c>
      <c r="L318" s="121">
        <v>95.459199999999996</v>
      </c>
      <c r="M318" s="121">
        <v>-25.652000000000001</v>
      </c>
      <c r="N318" s="120">
        <v>70.8</v>
      </c>
      <c r="O318" s="120">
        <v>40.799999999999997</v>
      </c>
      <c r="P318" s="39">
        <f t="shared" si="24"/>
        <v>44506</v>
      </c>
      <c r="Q318" s="41">
        <f t="shared" si="20"/>
        <v>173.36591999999999</v>
      </c>
      <c r="R318" s="41">
        <f t="shared" si="21"/>
        <v>134.88800000000001</v>
      </c>
      <c r="S318" s="41">
        <f t="shared" si="22"/>
        <v>-38.477919999999983</v>
      </c>
      <c r="T318" s="41">
        <f t="shared" si="23"/>
        <v>124.2</v>
      </c>
    </row>
    <row r="319" spans="10:20">
      <c r="J319" s="119">
        <v>44379</v>
      </c>
      <c r="K319" s="121">
        <v>121.1112</v>
      </c>
      <c r="L319" s="121">
        <v>95.459199999999996</v>
      </c>
      <c r="M319" s="121">
        <v>-25.652000000000001</v>
      </c>
      <c r="N319" s="120">
        <v>70.8</v>
      </c>
      <c r="O319" s="120">
        <v>40.799999999999997</v>
      </c>
      <c r="P319" s="39">
        <f t="shared" si="24"/>
        <v>44505</v>
      </c>
      <c r="Q319" s="41">
        <f t="shared" si="20"/>
        <v>173.36591999999999</v>
      </c>
      <c r="R319" s="41">
        <f t="shared" si="21"/>
        <v>134.88800000000001</v>
      </c>
      <c r="S319" s="41">
        <f t="shared" si="22"/>
        <v>-38.477919999999983</v>
      </c>
      <c r="T319" s="41">
        <f t="shared" si="23"/>
        <v>124.2</v>
      </c>
    </row>
    <row r="320" spans="10:20">
      <c r="J320" s="119">
        <v>44378</v>
      </c>
      <c r="K320" s="121">
        <v>113.03712</v>
      </c>
      <c r="L320" s="121">
        <v>95.459199999999996</v>
      </c>
      <c r="M320" s="121">
        <v>-17.577920000000006</v>
      </c>
      <c r="N320" s="120">
        <v>68.759999999999991</v>
      </c>
      <c r="O320" s="120">
        <v>38.76</v>
      </c>
      <c r="P320" s="39">
        <f t="shared" si="24"/>
        <v>44504</v>
      </c>
      <c r="Q320" s="41">
        <f t="shared" si="20"/>
        <v>200.49119999999999</v>
      </c>
      <c r="R320" s="41">
        <f t="shared" si="21"/>
        <v>134.88800000000001</v>
      </c>
      <c r="S320" s="41">
        <f t="shared" si="22"/>
        <v>-65.603199999999987</v>
      </c>
      <c r="T320" s="41">
        <f t="shared" si="23"/>
        <v>124</v>
      </c>
    </row>
    <row r="321" spans="10:20">
      <c r="J321" s="119">
        <v>44377</v>
      </c>
      <c r="K321" s="121">
        <v>113.03712</v>
      </c>
      <c r="L321" s="121">
        <v>96.496799999999993</v>
      </c>
      <c r="M321" s="121">
        <v>-16.540320000000008</v>
      </c>
      <c r="N321" s="120">
        <v>68.759999999999991</v>
      </c>
      <c r="O321" s="120">
        <v>38.76</v>
      </c>
      <c r="P321" s="39">
        <f t="shared" si="24"/>
        <v>44503</v>
      </c>
      <c r="Q321" s="41">
        <f t="shared" si="20"/>
        <v>200.49119999999999</v>
      </c>
      <c r="R321" s="41">
        <f t="shared" si="21"/>
        <v>134.88800000000001</v>
      </c>
      <c r="S321" s="41">
        <f t="shared" si="22"/>
        <v>-65.603199999999987</v>
      </c>
      <c r="T321" s="41">
        <f t="shared" si="23"/>
        <v>124</v>
      </c>
    </row>
    <row r="322" spans="10:20">
      <c r="J322" s="119">
        <v>44376</v>
      </c>
      <c r="K322" s="121">
        <v>113.03712</v>
      </c>
      <c r="L322" s="121">
        <v>95.459199999999996</v>
      </c>
      <c r="M322" s="121">
        <v>-17.577920000000006</v>
      </c>
      <c r="N322" s="120">
        <v>68.759999999999991</v>
      </c>
      <c r="O322" s="120">
        <v>38.76</v>
      </c>
      <c r="P322" s="39">
        <f t="shared" si="24"/>
        <v>44502</v>
      </c>
      <c r="Q322" s="41">
        <f t="shared" si="20"/>
        <v>200.49119999999999</v>
      </c>
      <c r="R322" s="41">
        <f t="shared" si="21"/>
        <v>134.88800000000001</v>
      </c>
      <c r="S322" s="41">
        <f t="shared" si="22"/>
        <v>-65.603199999999987</v>
      </c>
      <c r="T322" s="41">
        <f t="shared" si="23"/>
        <v>124</v>
      </c>
    </row>
    <row r="323" spans="10:20">
      <c r="J323" s="119">
        <v>44375</v>
      </c>
      <c r="K323" s="121">
        <v>113.03712</v>
      </c>
      <c r="L323" s="121">
        <v>95.459199999999996</v>
      </c>
      <c r="M323" s="121">
        <v>-17.577920000000006</v>
      </c>
      <c r="N323" s="120">
        <v>68.759999999999991</v>
      </c>
      <c r="O323" s="120">
        <v>38.76</v>
      </c>
      <c r="P323" s="39">
        <f t="shared" si="24"/>
        <v>44501</v>
      </c>
      <c r="Q323" s="41">
        <f t="shared" si="20"/>
        <v>200.49119999999999</v>
      </c>
      <c r="R323" s="41">
        <f t="shared" si="21"/>
        <v>134.88800000000001</v>
      </c>
      <c r="S323" s="41">
        <f t="shared" si="22"/>
        <v>-65.603199999999987</v>
      </c>
      <c r="T323" s="41">
        <f t="shared" si="23"/>
        <v>124</v>
      </c>
    </row>
    <row r="324" spans="10:20">
      <c r="J324" s="119">
        <v>44372</v>
      </c>
      <c r="K324" s="121">
        <v>113.03712</v>
      </c>
      <c r="L324" s="121">
        <v>95.459199999999996</v>
      </c>
      <c r="M324" s="121">
        <v>-17.577920000000006</v>
      </c>
      <c r="N324" s="120">
        <v>68.759999999999991</v>
      </c>
      <c r="O324" s="120">
        <v>38.76</v>
      </c>
      <c r="P324" s="39">
        <f t="shared" si="24"/>
        <v>44500</v>
      </c>
      <c r="Q324" s="41">
        <f t="shared" si="20"/>
        <v>200.49119999999999</v>
      </c>
      <c r="R324" s="41">
        <f t="shared" si="21"/>
        <v>134.88800000000001</v>
      </c>
      <c r="S324" s="41">
        <f t="shared" si="22"/>
        <v>-65.603199999999987</v>
      </c>
      <c r="T324" s="41">
        <f t="shared" si="23"/>
        <v>124</v>
      </c>
    </row>
    <row r="325" spans="10:20">
      <c r="J325" s="119">
        <v>44371</v>
      </c>
      <c r="K325" s="121">
        <v>110.6784</v>
      </c>
      <c r="L325" s="121">
        <v>93.384</v>
      </c>
      <c r="M325" s="121">
        <v>-17.294399999999996</v>
      </c>
      <c r="N325" s="120">
        <v>66.819999999999993</v>
      </c>
      <c r="O325" s="120">
        <v>36.82</v>
      </c>
      <c r="P325" s="39">
        <f t="shared" si="24"/>
        <v>44499</v>
      </c>
      <c r="Q325" s="41">
        <f t="shared" si="20"/>
        <v>200.49119999999999</v>
      </c>
      <c r="R325" s="41">
        <f t="shared" si="21"/>
        <v>134.88800000000001</v>
      </c>
      <c r="S325" s="41">
        <f t="shared" si="22"/>
        <v>-65.603199999999987</v>
      </c>
      <c r="T325" s="41">
        <f t="shared" si="23"/>
        <v>124</v>
      </c>
    </row>
    <row r="326" spans="10:20">
      <c r="J326" s="119">
        <v>44370</v>
      </c>
      <c r="K326" s="121">
        <v>110.6784</v>
      </c>
      <c r="L326" s="121">
        <v>93.384</v>
      </c>
      <c r="M326" s="121">
        <v>-17.294399999999996</v>
      </c>
      <c r="N326" s="120">
        <v>66.819999999999993</v>
      </c>
      <c r="O326" s="120">
        <v>36.82</v>
      </c>
      <c r="P326" s="39">
        <f t="shared" si="24"/>
        <v>44498</v>
      </c>
      <c r="Q326" s="41">
        <f t="shared" ref="Q326:Q389" si="25">IFERROR(VLOOKUP($P326,$J$5:$N$403,2,FALSE),Q327)</f>
        <v>200.49119999999999</v>
      </c>
      <c r="R326" s="41">
        <f t="shared" ref="R326:R389" si="26">IFERROR(VLOOKUP($P326,$J$5:$N$403,3,FALSE),R327)</f>
        <v>134.88800000000001</v>
      </c>
      <c r="S326" s="41">
        <f t="shared" ref="S326:S389" si="27">IFERROR(VLOOKUP($P326,$J$5:$N$403,4,FALSE),S327)</f>
        <v>-65.603199999999987</v>
      </c>
      <c r="T326" s="41">
        <f t="shared" ref="T326:T389" si="28">IFERROR(VLOOKUP($P326,$J$5:$N$403,5,FALSE),T327)</f>
        <v>124</v>
      </c>
    </row>
    <row r="327" spans="10:20">
      <c r="J327" s="119">
        <v>44369</v>
      </c>
      <c r="K327" s="121">
        <v>110.6784</v>
      </c>
      <c r="L327" s="121">
        <v>93.384</v>
      </c>
      <c r="M327" s="121">
        <v>-17.294399999999996</v>
      </c>
      <c r="N327" s="120">
        <v>66.819999999999993</v>
      </c>
      <c r="O327" s="120">
        <v>36.82</v>
      </c>
      <c r="P327" s="39">
        <f t="shared" ref="P327:P390" si="29">P326-1</f>
        <v>44497</v>
      </c>
      <c r="Q327" s="41">
        <f t="shared" si="25"/>
        <v>217.95480000000001</v>
      </c>
      <c r="R327" s="41">
        <f t="shared" si="26"/>
        <v>134.88800000000001</v>
      </c>
      <c r="S327" s="41">
        <f t="shared" si="27"/>
        <v>-83.066800000000001</v>
      </c>
      <c r="T327" s="41">
        <f t="shared" si="28"/>
        <v>122.34</v>
      </c>
    </row>
    <row r="328" spans="10:20">
      <c r="J328" s="119">
        <v>44368</v>
      </c>
      <c r="K328" s="121">
        <v>110.6784</v>
      </c>
      <c r="L328" s="121">
        <v>93.384</v>
      </c>
      <c r="M328" s="121">
        <v>-17.294399999999996</v>
      </c>
      <c r="N328" s="120">
        <v>66.819999999999993</v>
      </c>
      <c r="O328" s="120">
        <v>36.82</v>
      </c>
      <c r="P328" s="39">
        <f t="shared" si="29"/>
        <v>44496</v>
      </c>
      <c r="Q328" s="41">
        <f t="shared" si="25"/>
        <v>217.95480000000001</v>
      </c>
      <c r="R328" s="41">
        <f t="shared" si="26"/>
        <v>134.88800000000001</v>
      </c>
      <c r="S328" s="41">
        <f t="shared" si="27"/>
        <v>-83.066800000000001</v>
      </c>
      <c r="T328" s="41">
        <f t="shared" si="28"/>
        <v>122.34</v>
      </c>
    </row>
    <row r="329" spans="10:20">
      <c r="J329" s="119">
        <v>44365</v>
      </c>
      <c r="K329" s="121">
        <v>110.6784</v>
      </c>
      <c r="L329" s="121">
        <v>93.384</v>
      </c>
      <c r="M329" s="121">
        <v>-17.294399999999996</v>
      </c>
      <c r="N329" s="120">
        <v>66.819999999999993</v>
      </c>
      <c r="O329" s="120">
        <v>36.82</v>
      </c>
      <c r="P329" s="39">
        <f t="shared" si="29"/>
        <v>44495</v>
      </c>
      <c r="Q329" s="41">
        <f t="shared" si="25"/>
        <v>217.95480000000001</v>
      </c>
      <c r="R329" s="41">
        <f t="shared" si="26"/>
        <v>134.88800000000001</v>
      </c>
      <c r="S329" s="41">
        <f t="shared" si="27"/>
        <v>-83.066800000000001</v>
      </c>
      <c r="T329" s="41">
        <f t="shared" si="28"/>
        <v>122.34</v>
      </c>
    </row>
    <row r="330" spans="10:20">
      <c r="J330" s="119">
        <v>44364</v>
      </c>
      <c r="K330" s="121">
        <v>107.0496</v>
      </c>
      <c r="L330" s="121">
        <v>93.384</v>
      </c>
      <c r="M330" s="121">
        <v>-13.665599999999998</v>
      </c>
      <c r="N330" s="120">
        <v>66.2</v>
      </c>
      <c r="O330" s="120">
        <v>36.200000000000003</v>
      </c>
      <c r="P330" s="39">
        <f t="shared" si="29"/>
        <v>44494</v>
      </c>
      <c r="Q330" s="41">
        <f t="shared" si="25"/>
        <v>217.95480000000001</v>
      </c>
      <c r="R330" s="41">
        <f t="shared" si="26"/>
        <v>134.88800000000001</v>
      </c>
      <c r="S330" s="41">
        <f t="shared" si="27"/>
        <v>-83.066800000000001</v>
      </c>
      <c r="T330" s="41">
        <f t="shared" si="28"/>
        <v>122.34</v>
      </c>
    </row>
    <row r="331" spans="10:20">
      <c r="J331" s="119">
        <v>44363</v>
      </c>
      <c r="K331" s="121">
        <v>107.0496</v>
      </c>
      <c r="L331" s="121">
        <v>93.384</v>
      </c>
      <c r="M331" s="121">
        <v>-13.665599999999998</v>
      </c>
      <c r="N331" s="120">
        <v>66.2</v>
      </c>
      <c r="O331" s="120">
        <v>36.200000000000003</v>
      </c>
      <c r="P331" s="39">
        <f t="shared" si="29"/>
        <v>44493</v>
      </c>
      <c r="Q331" s="41">
        <f t="shared" si="25"/>
        <v>217.95480000000001</v>
      </c>
      <c r="R331" s="41">
        <f t="shared" si="26"/>
        <v>134.88800000000001</v>
      </c>
      <c r="S331" s="41">
        <f t="shared" si="27"/>
        <v>-83.066800000000001</v>
      </c>
      <c r="T331" s="41">
        <f t="shared" si="28"/>
        <v>122.34</v>
      </c>
    </row>
    <row r="332" spans="10:20">
      <c r="J332" s="119">
        <v>44362</v>
      </c>
      <c r="K332" s="121">
        <v>107.0496</v>
      </c>
      <c r="L332" s="121">
        <v>93.384</v>
      </c>
      <c r="M332" s="121">
        <v>-13.665599999999998</v>
      </c>
      <c r="N332" s="120">
        <v>66.2</v>
      </c>
      <c r="O332" s="120">
        <v>36.200000000000003</v>
      </c>
      <c r="P332" s="39">
        <f t="shared" si="29"/>
        <v>44492</v>
      </c>
      <c r="Q332" s="41">
        <f t="shared" si="25"/>
        <v>217.95480000000001</v>
      </c>
      <c r="R332" s="41">
        <f t="shared" si="26"/>
        <v>134.88800000000001</v>
      </c>
      <c r="S332" s="41">
        <f t="shared" si="27"/>
        <v>-83.066800000000001</v>
      </c>
      <c r="T332" s="41">
        <f t="shared" si="28"/>
        <v>122.34</v>
      </c>
    </row>
    <row r="333" spans="10:20">
      <c r="J333" s="119">
        <v>44361</v>
      </c>
      <c r="K333" s="121">
        <v>107.0496</v>
      </c>
      <c r="L333" s="121">
        <v>93.384</v>
      </c>
      <c r="M333" s="121">
        <v>-13.665599999999998</v>
      </c>
      <c r="N333" s="120">
        <v>66.2</v>
      </c>
      <c r="O333" s="120">
        <v>36.200000000000003</v>
      </c>
      <c r="P333" s="39">
        <f t="shared" si="29"/>
        <v>44491</v>
      </c>
      <c r="Q333" s="41">
        <f t="shared" si="25"/>
        <v>217.95480000000001</v>
      </c>
      <c r="R333" s="41">
        <f t="shared" si="26"/>
        <v>134.88800000000001</v>
      </c>
      <c r="S333" s="41">
        <f t="shared" si="27"/>
        <v>-83.066800000000001</v>
      </c>
      <c r="T333" s="41">
        <f t="shared" si="28"/>
        <v>122.34</v>
      </c>
    </row>
    <row r="334" spans="10:20">
      <c r="J334" s="119">
        <v>44358</v>
      </c>
      <c r="K334" s="121">
        <v>107.0496</v>
      </c>
      <c r="L334" s="121">
        <v>93.384</v>
      </c>
      <c r="M334" s="121">
        <v>-13.665599999999998</v>
      </c>
      <c r="N334" s="120">
        <v>66.2</v>
      </c>
      <c r="O334" s="120">
        <v>36.200000000000003</v>
      </c>
      <c r="P334" s="39">
        <f t="shared" si="29"/>
        <v>44490</v>
      </c>
      <c r="Q334" s="41">
        <f t="shared" si="25"/>
        <v>232.60607999999999</v>
      </c>
      <c r="R334" s="41">
        <f t="shared" si="26"/>
        <v>134.88800000000001</v>
      </c>
      <c r="S334" s="41">
        <f t="shared" si="27"/>
        <v>-97.718079999999986</v>
      </c>
      <c r="T334" s="41">
        <f t="shared" si="28"/>
        <v>123.33</v>
      </c>
    </row>
    <row r="335" spans="10:20">
      <c r="J335" s="119">
        <v>44357</v>
      </c>
      <c r="K335" s="121">
        <v>93.895200000000003</v>
      </c>
      <c r="L335" s="121">
        <v>93.384</v>
      </c>
      <c r="M335" s="121">
        <v>-0.51120000000000232</v>
      </c>
      <c r="N335" s="120">
        <v>65.13</v>
      </c>
      <c r="O335" s="120">
        <v>35.130000000000003</v>
      </c>
      <c r="P335" s="39">
        <f t="shared" si="29"/>
        <v>44489</v>
      </c>
      <c r="Q335" s="41">
        <f t="shared" si="25"/>
        <v>232.60607999999999</v>
      </c>
      <c r="R335" s="41">
        <f t="shared" si="26"/>
        <v>134.88800000000001</v>
      </c>
      <c r="S335" s="41">
        <f t="shared" si="27"/>
        <v>-97.718079999999986</v>
      </c>
      <c r="T335" s="41">
        <f t="shared" si="28"/>
        <v>123.33</v>
      </c>
    </row>
    <row r="336" spans="10:20">
      <c r="J336" s="119">
        <v>44356</v>
      </c>
      <c r="K336" s="121">
        <v>93.895200000000003</v>
      </c>
      <c r="L336" s="121">
        <v>93.384</v>
      </c>
      <c r="M336" s="121">
        <v>-0.51120000000000232</v>
      </c>
      <c r="N336" s="120">
        <v>65.13</v>
      </c>
      <c r="O336" s="120">
        <v>35.130000000000003</v>
      </c>
      <c r="P336" s="39">
        <f t="shared" si="29"/>
        <v>44488</v>
      </c>
      <c r="Q336" s="41">
        <f t="shared" si="25"/>
        <v>232.60607999999999</v>
      </c>
      <c r="R336" s="41">
        <f t="shared" si="26"/>
        <v>134.88800000000001</v>
      </c>
      <c r="S336" s="41">
        <f t="shared" si="27"/>
        <v>-97.718079999999986</v>
      </c>
      <c r="T336" s="41">
        <f t="shared" si="28"/>
        <v>123.33</v>
      </c>
    </row>
    <row r="337" spans="10:20">
      <c r="J337" s="119">
        <v>44355</v>
      </c>
      <c r="K337" s="121">
        <v>93.895200000000003</v>
      </c>
      <c r="L337" s="121">
        <v>93.384</v>
      </c>
      <c r="M337" s="121">
        <v>-0.51120000000000232</v>
      </c>
      <c r="N337" s="120">
        <v>65.13</v>
      </c>
      <c r="O337" s="120">
        <v>35.130000000000003</v>
      </c>
      <c r="P337" s="39">
        <f t="shared" si="29"/>
        <v>44487</v>
      </c>
      <c r="Q337" s="41">
        <f t="shared" si="25"/>
        <v>232.60607999999999</v>
      </c>
      <c r="R337" s="41">
        <f t="shared" si="26"/>
        <v>134.88800000000001</v>
      </c>
      <c r="S337" s="41">
        <f t="shared" si="27"/>
        <v>-97.718079999999986</v>
      </c>
      <c r="T337" s="41">
        <f t="shared" si="28"/>
        <v>123.33</v>
      </c>
    </row>
    <row r="338" spans="10:20">
      <c r="J338" s="119">
        <v>44354</v>
      </c>
      <c r="K338" s="121">
        <v>93.895200000000003</v>
      </c>
      <c r="L338" s="121">
        <v>93.384</v>
      </c>
      <c r="M338" s="121">
        <v>-0.51120000000000232</v>
      </c>
      <c r="N338" s="120">
        <v>65.13</v>
      </c>
      <c r="O338" s="120">
        <v>35.130000000000003</v>
      </c>
      <c r="P338" s="39">
        <f t="shared" si="29"/>
        <v>44486</v>
      </c>
      <c r="Q338" s="41">
        <f t="shared" si="25"/>
        <v>232.60607999999999</v>
      </c>
      <c r="R338" s="41">
        <f t="shared" si="26"/>
        <v>134.88800000000001</v>
      </c>
      <c r="S338" s="41">
        <f t="shared" si="27"/>
        <v>-97.718079999999986</v>
      </c>
      <c r="T338" s="41">
        <f t="shared" si="28"/>
        <v>123.33</v>
      </c>
    </row>
    <row r="339" spans="10:20">
      <c r="J339" s="119">
        <v>44351</v>
      </c>
      <c r="K339" s="121">
        <v>93.895200000000003</v>
      </c>
      <c r="L339" s="121">
        <v>93.384</v>
      </c>
      <c r="M339" s="121">
        <v>-0.51120000000000232</v>
      </c>
      <c r="N339" s="120">
        <v>65.13</v>
      </c>
      <c r="O339" s="120">
        <v>35.130000000000003</v>
      </c>
      <c r="P339" s="39">
        <f t="shared" si="29"/>
        <v>44485</v>
      </c>
      <c r="Q339" s="41">
        <f t="shared" si="25"/>
        <v>232.60607999999999</v>
      </c>
      <c r="R339" s="41">
        <f t="shared" si="26"/>
        <v>134.88800000000001</v>
      </c>
      <c r="S339" s="41">
        <f t="shared" si="27"/>
        <v>-97.718079999999986</v>
      </c>
      <c r="T339" s="41">
        <f t="shared" si="28"/>
        <v>123.33</v>
      </c>
    </row>
    <row r="340" spans="10:20">
      <c r="J340" s="119">
        <v>44350</v>
      </c>
      <c r="K340" s="121">
        <v>89.359200000000001</v>
      </c>
      <c r="L340" s="121">
        <v>92.346400000000003</v>
      </c>
      <c r="M340" s="121">
        <v>2.9872000000000014</v>
      </c>
      <c r="N340" s="120">
        <v>64.789999999999992</v>
      </c>
      <c r="O340" s="120">
        <v>34.79</v>
      </c>
      <c r="P340" s="39">
        <f t="shared" si="29"/>
        <v>44484</v>
      </c>
      <c r="Q340" s="41">
        <f t="shared" si="25"/>
        <v>232.60607999999999</v>
      </c>
      <c r="R340" s="41">
        <f t="shared" si="26"/>
        <v>134.88800000000001</v>
      </c>
      <c r="S340" s="41">
        <f t="shared" si="27"/>
        <v>-97.718079999999986</v>
      </c>
      <c r="T340" s="41">
        <f t="shared" si="28"/>
        <v>123.33</v>
      </c>
    </row>
    <row r="341" spans="10:20">
      <c r="J341" s="119">
        <v>44349</v>
      </c>
      <c r="K341" s="121">
        <v>89.359200000000001</v>
      </c>
      <c r="L341" s="121">
        <v>91.308800000000005</v>
      </c>
      <c r="M341" s="121">
        <v>1.9496000000000038</v>
      </c>
      <c r="N341" s="120">
        <v>64.789999999999992</v>
      </c>
      <c r="O341" s="120">
        <v>34.79</v>
      </c>
      <c r="P341" s="39">
        <f t="shared" si="29"/>
        <v>44483</v>
      </c>
      <c r="Q341" s="41">
        <f t="shared" si="25"/>
        <v>240.63480000000001</v>
      </c>
      <c r="R341" s="41">
        <f t="shared" si="26"/>
        <v>128.66239999999999</v>
      </c>
      <c r="S341" s="41">
        <f t="shared" si="27"/>
        <v>-111.97240000000002</v>
      </c>
      <c r="T341" s="41">
        <f t="shared" si="28"/>
        <v>119.85</v>
      </c>
    </row>
    <row r="342" spans="10:20">
      <c r="J342" s="119">
        <v>44348</v>
      </c>
      <c r="K342" s="121">
        <v>89.359200000000001</v>
      </c>
      <c r="L342" s="121">
        <v>91.308800000000005</v>
      </c>
      <c r="M342" s="121">
        <v>1.9496000000000038</v>
      </c>
      <c r="N342" s="120">
        <v>64.789999999999992</v>
      </c>
      <c r="O342" s="120">
        <v>34.79</v>
      </c>
      <c r="P342" s="39">
        <f t="shared" si="29"/>
        <v>44482</v>
      </c>
      <c r="Q342" s="41">
        <f t="shared" si="25"/>
        <v>240.63480000000001</v>
      </c>
      <c r="R342" s="41">
        <f t="shared" si="26"/>
        <v>128.66239999999999</v>
      </c>
      <c r="S342" s="41">
        <f t="shared" si="27"/>
        <v>-111.97240000000002</v>
      </c>
      <c r="T342" s="41">
        <f t="shared" si="28"/>
        <v>119.85</v>
      </c>
    </row>
    <row r="343" spans="10:20">
      <c r="J343" s="119">
        <v>44347</v>
      </c>
      <c r="K343" s="121">
        <v>89.359200000000001</v>
      </c>
      <c r="L343" s="121">
        <v>92.346400000000003</v>
      </c>
      <c r="M343" s="121">
        <v>2.9872000000000014</v>
      </c>
      <c r="N343" s="120">
        <v>64.789999999999992</v>
      </c>
      <c r="O343" s="120">
        <v>34.79</v>
      </c>
      <c r="P343" s="39">
        <f t="shared" si="29"/>
        <v>44481</v>
      </c>
      <c r="Q343" s="41">
        <f t="shared" si="25"/>
        <v>240.63480000000001</v>
      </c>
      <c r="R343" s="41">
        <f t="shared" si="26"/>
        <v>124.512</v>
      </c>
      <c r="S343" s="41">
        <f t="shared" si="27"/>
        <v>-116.12280000000001</v>
      </c>
      <c r="T343" s="41">
        <f t="shared" si="28"/>
        <v>119.85</v>
      </c>
    </row>
    <row r="344" spans="10:20">
      <c r="J344" s="119">
        <v>44344</v>
      </c>
      <c r="K344" s="121">
        <v>89.359200000000001</v>
      </c>
      <c r="L344" s="121">
        <v>92.346400000000003</v>
      </c>
      <c r="M344" s="121">
        <v>2.9872000000000014</v>
      </c>
      <c r="N344" s="120">
        <v>64.789999999999992</v>
      </c>
      <c r="O344" s="120">
        <v>34.79</v>
      </c>
      <c r="P344" s="39">
        <f t="shared" si="29"/>
        <v>44480</v>
      </c>
      <c r="Q344" s="41">
        <f t="shared" si="25"/>
        <v>240.63480000000001</v>
      </c>
      <c r="R344" s="41">
        <f t="shared" si="26"/>
        <v>124.512</v>
      </c>
      <c r="S344" s="41">
        <f t="shared" si="27"/>
        <v>-116.12280000000001</v>
      </c>
      <c r="T344" s="41">
        <f t="shared" si="28"/>
        <v>119.85</v>
      </c>
    </row>
    <row r="345" spans="10:20">
      <c r="J345" s="119">
        <v>44343</v>
      </c>
      <c r="K345" s="121">
        <v>87.998400000000004</v>
      </c>
      <c r="L345" s="121">
        <v>92.346400000000003</v>
      </c>
      <c r="M345" s="121">
        <v>4.347999999999999</v>
      </c>
      <c r="N345" s="120">
        <v>64.52000000000001</v>
      </c>
      <c r="O345" s="120">
        <v>34.520000000000003</v>
      </c>
      <c r="P345" s="39">
        <f t="shared" si="29"/>
        <v>44479</v>
      </c>
      <c r="Q345" s="41">
        <f t="shared" si="25"/>
        <v>240.63480000000001</v>
      </c>
      <c r="R345" s="41">
        <f t="shared" si="26"/>
        <v>122.43680000000001</v>
      </c>
      <c r="S345" s="41">
        <f t="shared" si="27"/>
        <v>-118.19800000000001</v>
      </c>
      <c r="T345" s="41">
        <f t="shared" si="28"/>
        <v>119.85</v>
      </c>
    </row>
    <row r="346" spans="10:20">
      <c r="J346" s="119">
        <v>44342</v>
      </c>
      <c r="K346" s="121">
        <v>87.998400000000004</v>
      </c>
      <c r="L346" s="121">
        <v>90.271199999999993</v>
      </c>
      <c r="M346" s="121">
        <v>2.2727999999999895</v>
      </c>
      <c r="N346" s="120">
        <v>64.52000000000001</v>
      </c>
      <c r="O346" s="120">
        <v>34.520000000000003</v>
      </c>
      <c r="P346" s="39">
        <f t="shared" si="29"/>
        <v>44478</v>
      </c>
      <c r="Q346" s="41">
        <f t="shared" si="25"/>
        <v>240.63480000000001</v>
      </c>
      <c r="R346" s="41">
        <f t="shared" si="26"/>
        <v>122.43680000000001</v>
      </c>
      <c r="S346" s="41">
        <f t="shared" si="27"/>
        <v>-118.19800000000001</v>
      </c>
      <c r="T346" s="41">
        <f t="shared" si="28"/>
        <v>119.85</v>
      </c>
    </row>
    <row r="347" spans="10:20">
      <c r="J347" s="119">
        <v>44341</v>
      </c>
      <c r="K347" s="121">
        <v>87.998400000000004</v>
      </c>
      <c r="L347" s="121">
        <v>89.752399999999994</v>
      </c>
      <c r="M347" s="121">
        <v>1.7539999999999907</v>
      </c>
      <c r="N347" s="120">
        <v>64.52000000000001</v>
      </c>
      <c r="O347" s="120">
        <v>34.520000000000003</v>
      </c>
      <c r="P347" s="39">
        <f t="shared" si="29"/>
        <v>44477</v>
      </c>
      <c r="Q347" s="41">
        <f t="shared" si="25"/>
        <v>240.63480000000001</v>
      </c>
      <c r="R347" s="41">
        <f t="shared" si="26"/>
        <v>122.43680000000001</v>
      </c>
      <c r="S347" s="41">
        <f t="shared" si="27"/>
        <v>-118.19800000000001</v>
      </c>
      <c r="T347" s="41">
        <f t="shared" si="28"/>
        <v>119.85</v>
      </c>
    </row>
    <row r="348" spans="10:20">
      <c r="J348" s="119">
        <v>44340</v>
      </c>
      <c r="K348" s="121">
        <v>87.998400000000004</v>
      </c>
      <c r="L348" s="121">
        <v>89.752399999999994</v>
      </c>
      <c r="M348" s="121">
        <v>1.7539999999999907</v>
      </c>
      <c r="N348" s="120">
        <v>64.52000000000001</v>
      </c>
      <c r="O348" s="120">
        <v>34.520000000000003</v>
      </c>
      <c r="P348" s="39">
        <f t="shared" si="29"/>
        <v>44476</v>
      </c>
      <c r="Q348" s="41">
        <f t="shared" si="25"/>
        <v>211.55903999999998</v>
      </c>
      <c r="R348" s="41">
        <f t="shared" si="26"/>
        <v>122.43680000000001</v>
      </c>
      <c r="S348" s="41">
        <f t="shared" si="27"/>
        <v>-89.122239999999977</v>
      </c>
      <c r="T348" s="41">
        <f t="shared" si="28"/>
        <v>94.56</v>
      </c>
    </row>
    <row r="349" spans="10:20">
      <c r="J349" s="119">
        <v>44337</v>
      </c>
      <c r="K349" s="121">
        <v>87.998400000000004</v>
      </c>
      <c r="L349" s="121">
        <v>89.752399999999994</v>
      </c>
      <c r="M349" s="121">
        <v>1.7539999999999907</v>
      </c>
      <c r="N349" s="120">
        <v>64.52000000000001</v>
      </c>
      <c r="O349" s="120">
        <v>34.520000000000003</v>
      </c>
      <c r="P349" s="39">
        <f t="shared" si="29"/>
        <v>44475</v>
      </c>
      <c r="Q349" s="41">
        <f t="shared" si="25"/>
        <v>211.55903999999998</v>
      </c>
      <c r="R349" s="41">
        <f t="shared" si="26"/>
        <v>119.324</v>
      </c>
      <c r="S349" s="41">
        <f t="shared" si="27"/>
        <v>-92.235039999999984</v>
      </c>
      <c r="T349" s="41">
        <f t="shared" si="28"/>
        <v>94.56</v>
      </c>
    </row>
    <row r="350" spans="10:20">
      <c r="J350" s="119">
        <v>44336</v>
      </c>
      <c r="K350" s="121">
        <v>89.359200000000001</v>
      </c>
      <c r="L350" s="121">
        <v>89.752399999999994</v>
      </c>
      <c r="M350" s="121">
        <v>0.39319999999999311</v>
      </c>
      <c r="N350" s="120">
        <v>64.349999999999994</v>
      </c>
      <c r="O350" s="120">
        <v>34.35</v>
      </c>
      <c r="P350" s="39">
        <f t="shared" si="29"/>
        <v>44474</v>
      </c>
      <c r="Q350" s="41">
        <f t="shared" si="25"/>
        <v>211.55903999999998</v>
      </c>
      <c r="R350" s="41">
        <f t="shared" si="26"/>
        <v>119.324</v>
      </c>
      <c r="S350" s="41">
        <f t="shared" si="27"/>
        <v>-92.235039999999984</v>
      </c>
      <c r="T350" s="41">
        <f t="shared" si="28"/>
        <v>94.56</v>
      </c>
    </row>
    <row r="351" spans="10:20">
      <c r="J351" s="119">
        <v>44335</v>
      </c>
      <c r="K351" s="121">
        <v>89.359200000000001</v>
      </c>
      <c r="L351" s="121">
        <v>89.752399999999994</v>
      </c>
      <c r="M351" s="121">
        <v>0.39319999999999311</v>
      </c>
      <c r="N351" s="120">
        <v>64.349999999999994</v>
      </c>
      <c r="O351" s="120">
        <v>34.35</v>
      </c>
      <c r="P351" s="39">
        <f t="shared" si="29"/>
        <v>44473</v>
      </c>
      <c r="Q351" s="41">
        <f t="shared" si="25"/>
        <v>211.55903999999998</v>
      </c>
      <c r="R351" s="41">
        <f t="shared" si="26"/>
        <v>119.324</v>
      </c>
      <c r="S351" s="41">
        <f t="shared" si="27"/>
        <v>-92.235039999999984</v>
      </c>
      <c r="T351" s="41">
        <f t="shared" si="28"/>
        <v>94.56</v>
      </c>
    </row>
    <row r="352" spans="10:20">
      <c r="J352" s="119">
        <v>44334</v>
      </c>
      <c r="K352" s="121">
        <v>89.359200000000001</v>
      </c>
      <c r="L352" s="121">
        <v>89.752399999999994</v>
      </c>
      <c r="M352" s="121">
        <v>0.39319999999999311</v>
      </c>
      <c r="N352" s="120">
        <v>64.349999999999994</v>
      </c>
      <c r="O352" s="120">
        <v>34.35</v>
      </c>
      <c r="P352" s="39">
        <f t="shared" si="29"/>
        <v>44472</v>
      </c>
      <c r="Q352" s="41">
        <f t="shared" si="25"/>
        <v>211.55903999999998</v>
      </c>
      <c r="R352" s="41">
        <f t="shared" si="26"/>
        <v>119.324</v>
      </c>
      <c r="S352" s="41">
        <f t="shared" si="27"/>
        <v>-92.235039999999984</v>
      </c>
      <c r="T352" s="41">
        <f t="shared" si="28"/>
        <v>94.56</v>
      </c>
    </row>
    <row r="353" spans="10:20">
      <c r="J353" s="119">
        <v>44333</v>
      </c>
      <c r="K353" s="121">
        <v>89.359200000000001</v>
      </c>
      <c r="L353" s="121">
        <v>89.752399999999994</v>
      </c>
      <c r="M353" s="121">
        <v>0.39319999999999311</v>
      </c>
      <c r="N353" s="120">
        <v>64.349999999999994</v>
      </c>
      <c r="O353" s="120">
        <v>34.35</v>
      </c>
      <c r="P353" s="39">
        <f t="shared" si="29"/>
        <v>44471</v>
      </c>
      <c r="Q353" s="41">
        <f t="shared" si="25"/>
        <v>211.55903999999998</v>
      </c>
      <c r="R353" s="41">
        <f t="shared" si="26"/>
        <v>119.324</v>
      </c>
      <c r="S353" s="41">
        <f t="shared" si="27"/>
        <v>-92.235039999999984</v>
      </c>
      <c r="T353" s="41">
        <f t="shared" si="28"/>
        <v>94.56</v>
      </c>
    </row>
    <row r="354" spans="10:20">
      <c r="J354" s="119">
        <v>44330</v>
      </c>
      <c r="K354" s="121">
        <v>89.359200000000001</v>
      </c>
      <c r="L354" s="121">
        <v>89.752399999999994</v>
      </c>
      <c r="M354" s="121">
        <v>0.39319999999999311</v>
      </c>
      <c r="N354" s="120">
        <v>64.349999999999994</v>
      </c>
      <c r="O354" s="120">
        <v>34.35</v>
      </c>
      <c r="P354" s="39">
        <f t="shared" si="29"/>
        <v>44470</v>
      </c>
      <c r="Q354" s="41">
        <f t="shared" si="25"/>
        <v>211.55903999999998</v>
      </c>
      <c r="R354" s="41">
        <f t="shared" si="26"/>
        <v>119.324</v>
      </c>
      <c r="S354" s="41">
        <f t="shared" si="27"/>
        <v>-92.235039999999984</v>
      </c>
      <c r="T354" s="41">
        <f t="shared" si="28"/>
        <v>94.56</v>
      </c>
    </row>
    <row r="355" spans="10:20">
      <c r="J355" s="119">
        <v>44329</v>
      </c>
      <c r="K355" s="121">
        <v>87.317999999999998</v>
      </c>
      <c r="L355" s="121">
        <v>89.752399999999994</v>
      </c>
      <c r="M355" s="121">
        <v>2.4343999999999966</v>
      </c>
      <c r="N355" s="120">
        <v>64</v>
      </c>
      <c r="O355" s="120">
        <v>34</v>
      </c>
      <c r="P355" s="39">
        <f t="shared" si="29"/>
        <v>44469</v>
      </c>
      <c r="Q355" s="41">
        <f t="shared" si="25"/>
        <v>182.02968000000001</v>
      </c>
      <c r="R355" s="41">
        <f t="shared" si="26"/>
        <v>119.324</v>
      </c>
      <c r="S355" s="41">
        <f t="shared" si="27"/>
        <v>-62.705680000000015</v>
      </c>
      <c r="T355" s="41">
        <f t="shared" si="28"/>
        <v>91.38</v>
      </c>
    </row>
    <row r="356" spans="10:20">
      <c r="J356" s="119">
        <v>44328</v>
      </c>
      <c r="K356" s="121">
        <v>87.317999999999998</v>
      </c>
      <c r="L356" s="121">
        <v>89.752399999999994</v>
      </c>
      <c r="M356" s="121">
        <v>2.4343999999999966</v>
      </c>
      <c r="N356" s="120">
        <v>64</v>
      </c>
      <c r="O356" s="120">
        <v>34</v>
      </c>
      <c r="P356" s="39">
        <f t="shared" si="29"/>
        <v>44468</v>
      </c>
      <c r="Q356" s="41">
        <f t="shared" si="25"/>
        <v>182.02968000000001</v>
      </c>
      <c r="R356" s="41">
        <f t="shared" si="26"/>
        <v>119.324</v>
      </c>
      <c r="S356" s="41">
        <f t="shared" si="27"/>
        <v>-62.705680000000015</v>
      </c>
      <c r="T356" s="41">
        <f t="shared" si="28"/>
        <v>91.38</v>
      </c>
    </row>
    <row r="357" spans="10:20">
      <c r="J357" s="119">
        <v>44327</v>
      </c>
      <c r="K357" s="121">
        <v>87.317999999999998</v>
      </c>
      <c r="L357" s="121">
        <v>89.752399999999994</v>
      </c>
      <c r="M357" s="121">
        <v>2.4343999999999966</v>
      </c>
      <c r="N357" s="120">
        <v>64</v>
      </c>
      <c r="O357" s="120">
        <v>34</v>
      </c>
      <c r="P357" s="39">
        <f t="shared" si="29"/>
        <v>44467</v>
      </c>
      <c r="Q357" s="41">
        <f t="shared" si="25"/>
        <v>182.02968000000001</v>
      </c>
      <c r="R357" s="41">
        <f t="shared" si="26"/>
        <v>117.2488</v>
      </c>
      <c r="S357" s="41">
        <f t="shared" si="27"/>
        <v>-64.78088000000001</v>
      </c>
      <c r="T357" s="41">
        <f t="shared" si="28"/>
        <v>91.38</v>
      </c>
    </row>
    <row r="358" spans="10:20">
      <c r="J358" s="119">
        <v>44326</v>
      </c>
      <c r="K358" s="121">
        <v>87.317999999999998</v>
      </c>
      <c r="L358" s="121">
        <v>89.752399999999994</v>
      </c>
      <c r="M358" s="121">
        <v>2.4343999999999966</v>
      </c>
      <c r="N358" s="120">
        <v>64</v>
      </c>
      <c r="O358" s="120">
        <v>34</v>
      </c>
      <c r="P358" s="39">
        <f t="shared" si="29"/>
        <v>44466</v>
      </c>
      <c r="Q358" s="41">
        <f t="shared" si="25"/>
        <v>182.02968000000001</v>
      </c>
      <c r="R358" s="41">
        <f t="shared" si="26"/>
        <v>117.2488</v>
      </c>
      <c r="S358" s="41">
        <f t="shared" si="27"/>
        <v>-64.78088000000001</v>
      </c>
      <c r="T358" s="41">
        <f t="shared" si="28"/>
        <v>91.38</v>
      </c>
    </row>
    <row r="359" spans="10:20">
      <c r="J359" s="119">
        <v>44323</v>
      </c>
      <c r="K359" s="121">
        <v>87.317999999999998</v>
      </c>
      <c r="L359" s="121">
        <v>88.195999999999998</v>
      </c>
      <c r="M359" s="121">
        <v>0.87800000000000011</v>
      </c>
      <c r="N359" s="120">
        <v>64</v>
      </c>
      <c r="O359" s="120">
        <v>34</v>
      </c>
      <c r="P359" s="39">
        <f t="shared" si="29"/>
        <v>44465</v>
      </c>
      <c r="Q359" s="41">
        <f t="shared" si="25"/>
        <v>182.02968000000001</v>
      </c>
      <c r="R359" s="41">
        <f t="shared" si="26"/>
        <v>112.0608</v>
      </c>
      <c r="S359" s="41">
        <f t="shared" si="27"/>
        <v>-69.968880000000013</v>
      </c>
      <c r="T359" s="41">
        <f t="shared" si="28"/>
        <v>91.38</v>
      </c>
    </row>
    <row r="360" spans="10:20">
      <c r="J360" s="119">
        <v>44322</v>
      </c>
      <c r="K360" s="121">
        <v>85.05</v>
      </c>
      <c r="L360" s="121">
        <v>88.195999999999998</v>
      </c>
      <c r="M360" s="121">
        <v>3.1460000000000008</v>
      </c>
      <c r="N360" s="120">
        <v>63.75</v>
      </c>
      <c r="O360" s="120">
        <v>33.75</v>
      </c>
      <c r="P360" s="39">
        <f t="shared" si="29"/>
        <v>44464</v>
      </c>
      <c r="Q360" s="41">
        <f t="shared" si="25"/>
        <v>182.02968000000001</v>
      </c>
      <c r="R360" s="41">
        <f t="shared" si="26"/>
        <v>112.0608</v>
      </c>
      <c r="S360" s="41">
        <f t="shared" si="27"/>
        <v>-69.968880000000013</v>
      </c>
      <c r="T360" s="41">
        <f t="shared" si="28"/>
        <v>91.38</v>
      </c>
    </row>
    <row r="361" spans="10:20">
      <c r="J361" s="119">
        <v>44321</v>
      </c>
      <c r="K361" s="121">
        <v>85.05</v>
      </c>
      <c r="L361" s="121">
        <v>88.195999999999998</v>
      </c>
      <c r="M361" s="121">
        <v>3.1460000000000008</v>
      </c>
      <c r="N361" s="120">
        <v>63.75</v>
      </c>
      <c r="O361" s="120">
        <v>33.75</v>
      </c>
      <c r="P361" s="39">
        <f t="shared" si="29"/>
        <v>44463</v>
      </c>
      <c r="Q361" s="41">
        <f t="shared" si="25"/>
        <v>182.02968000000001</v>
      </c>
      <c r="R361" s="41">
        <f t="shared" si="26"/>
        <v>112.0608</v>
      </c>
      <c r="S361" s="41">
        <f t="shared" si="27"/>
        <v>-69.968880000000013</v>
      </c>
      <c r="T361" s="41">
        <f t="shared" si="28"/>
        <v>91.38</v>
      </c>
    </row>
    <row r="362" spans="10:20">
      <c r="J362" s="119">
        <v>44320</v>
      </c>
      <c r="K362" s="121">
        <v>85.05</v>
      </c>
      <c r="L362" s="121">
        <v>88.195999999999998</v>
      </c>
      <c r="M362" s="121">
        <v>3.1460000000000008</v>
      </c>
      <c r="N362" s="120">
        <v>63.75</v>
      </c>
      <c r="O362" s="120">
        <v>33.75</v>
      </c>
      <c r="P362" s="39">
        <f t="shared" si="29"/>
        <v>44462</v>
      </c>
      <c r="Q362" s="41">
        <f t="shared" si="25"/>
        <v>175.36176</v>
      </c>
      <c r="R362" s="41">
        <f t="shared" si="26"/>
        <v>112.0608</v>
      </c>
      <c r="S362" s="41">
        <f t="shared" si="27"/>
        <v>-63.300960000000003</v>
      </c>
      <c r="T362" s="41">
        <f t="shared" si="28"/>
        <v>91.2</v>
      </c>
    </row>
    <row r="363" spans="10:20">
      <c r="J363" s="119">
        <v>44319</v>
      </c>
      <c r="K363" s="121">
        <v>85.05</v>
      </c>
      <c r="L363" s="121">
        <v>88.195999999999998</v>
      </c>
      <c r="M363" s="121">
        <v>3.1460000000000008</v>
      </c>
      <c r="N363" s="120">
        <v>63.75</v>
      </c>
      <c r="O363" s="120">
        <v>33.75</v>
      </c>
      <c r="P363" s="39">
        <f t="shared" si="29"/>
        <v>44461</v>
      </c>
      <c r="Q363" s="41">
        <f t="shared" si="25"/>
        <v>175.36176</v>
      </c>
      <c r="R363" s="41">
        <f t="shared" si="26"/>
        <v>112.0608</v>
      </c>
      <c r="S363" s="41">
        <f t="shared" si="27"/>
        <v>-63.300960000000003</v>
      </c>
      <c r="T363" s="41">
        <f t="shared" si="28"/>
        <v>91.2</v>
      </c>
    </row>
    <row r="364" spans="10:20">
      <c r="J364" s="119">
        <v>44316</v>
      </c>
      <c r="K364" s="121">
        <v>85.05</v>
      </c>
      <c r="L364" s="121">
        <v>88.195999999999998</v>
      </c>
      <c r="M364" s="121">
        <v>3.1460000000000008</v>
      </c>
      <c r="N364" s="120">
        <v>63.75</v>
      </c>
      <c r="O364" s="120">
        <v>33.75</v>
      </c>
      <c r="P364" s="39">
        <f t="shared" si="29"/>
        <v>44460</v>
      </c>
      <c r="Q364" s="41">
        <f t="shared" si="25"/>
        <v>175.36176</v>
      </c>
      <c r="R364" s="41">
        <f t="shared" si="26"/>
        <v>112.0608</v>
      </c>
      <c r="S364" s="41">
        <f t="shared" si="27"/>
        <v>-63.300960000000003</v>
      </c>
      <c r="T364" s="41">
        <f t="shared" si="28"/>
        <v>91.2</v>
      </c>
    </row>
    <row r="365" spans="10:20">
      <c r="J365" s="119">
        <v>44315</v>
      </c>
      <c r="K365" s="121">
        <v>83.6892</v>
      </c>
      <c r="L365" s="121">
        <v>88.195999999999998</v>
      </c>
      <c r="M365" s="121">
        <v>4.5067999999999984</v>
      </c>
      <c r="N365" s="120">
        <v>63.99</v>
      </c>
      <c r="O365" s="120">
        <v>33.99</v>
      </c>
      <c r="P365" s="39">
        <f t="shared" si="29"/>
        <v>44459</v>
      </c>
      <c r="Q365" s="41">
        <f t="shared" si="25"/>
        <v>175.36176</v>
      </c>
      <c r="R365" s="41">
        <f t="shared" si="26"/>
        <v>112.0608</v>
      </c>
      <c r="S365" s="41">
        <f t="shared" si="27"/>
        <v>-63.300960000000003</v>
      </c>
      <c r="T365" s="41">
        <f t="shared" si="28"/>
        <v>91.2</v>
      </c>
    </row>
    <row r="366" spans="10:20">
      <c r="J366" s="119">
        <v>44314</v>
      </c>
      <c r="K366" s="121">
        <v>83.6892</v>
      </c>
      <c r="L366" s="121">
        <v>88.195999999999998</v>
      </c>
      <c r="M366" s="121">
        <v>4.5067999999999984</v>
      </c>
      <c r="N366" s="120">
        <v>63.99</v>
      </c>
      <c r="O366" s="120">
        <v>33.99</v>
      </c>
      <c r="P366" s="39">
        <f t="shared" si="29"/>
        <v>44458</v>
      </c>
      <c r="Q366" s="41">
        <f t="shared" si="25"/>
        <v>175.36176</v>
      </c>
      <c r="R366" s="41">
        <f t="shared" si="26"/>
        <v>112.0608</v>
      </c>
      <c r="S366" s="41">
        <f t="shared" si="27"/>
        <v>-63.300960000000003</v>
      </c>
      <c r="T366" s="41">
        <f t="shared" si="28"/>
        <v>91.2</v>
      </c>
    </row>
    <row r="367" spans="10:20">
      <c r="J367" s="119">
        <v>44313</v>
      </c>
      <c r="K367" s="121">
        <v>83.6892</v>
      </c>
      <c r="L367" s="121">
        <v>88.195999999999998</v>
      </c>
      <c r="M367" s="121">
        <v>4.5067999999999984</v>
      </c>
      <c r="N367" s="120">
        <v>63.99</v>
      </c>
      <c r="O367" s="120">
        <v>33.99</v>
      </c>
      <c r="P367" s="39">
        <f t="shared" si="29"/>
        <v>44457</v>
      </c>
      <c r="Q367" s="41">
        <f t="shared" si="25"/>
        <v>175.36176</v>
      </c>
      <c r="R367" s="41">
        <f t="shared" si="26"/>
        <v>112.0608</v>
      </c>
      <c r="S367" s="41">
        <f t="shared" si="27"/>
        <v>-63.300960000000003</v>
      </c>
      <c r="T367" s="41">
        <f t="shared" si="28"/>
        <v>91.2</v>
      </c>
    </row>
    <row r="368" spans="10:20">
      <c r="J368" s="119">
        <v>44312</v>
      </c>
      <c r="K368" s="121">
        <v>83.6892</v>
      </c>
      <c r="L368" s="121">
        <v>88.195999999999998</v>
      </c>
      <c r="M368" s="121">
        <v>4.5067999999999984</v>
      </c>
      <c r="N368" s="120">
        <v>63.99</v>
      </c>
      <c r="O368" s="120">
        <v>33.99</v>
      </c>
      <c r="P368" s="39">
        <f t="shared" si="29"/>
        <v>44456</v>
      </c>
      <c r="Q368" s="41">
        <f t="shared" si="25"/>
        <v>175.36176</v>
      </c>
      <c r="R368" s="41">
        <f t="shared" si="26"/>
        <v>112.0608</v>
      </c>
      <c r="S368" s="41">
        <f t="shared" si="27"/>
        <v>-63.300960000000003</v>
      </c>
      <c r="T368" s="41">
        <f t="shared" si="28"/>
        <v>91.2</v>
      </c>
    </row>
    <row r="369" spans="10:20">
      <c r="J369" s="119">
        <v>44309</v>
      </c>
      <c r="K369" s="121">
        <v>83.6892</v>
      </c>
      <c r="L369" s="121">
        <v>88.195999999999998</v>
      </c>
      <c r="M369" s="121">
        <v>4.5067999999999984</v>
      </c>
      <c r="N369" s="120">
        <v>63.99</v>
      </c>
      <c r="O369" s="120">
        <v>33.99</v>
      </c>
      <c r="P369" s="39">
        <f t="shared" si="29"/>
        <v>44455</v>
      </c>
      <c r="Q369" s="41">
        <f t="shared" si="25"/>
        <v>171.6876</v>
      </c>
      <c r="R369" s="41">
        <f t="shared" si="26"/>
        <v>112.0608</v>
      </c>
      <c r="S369" s="41">
        <f t="shared" si="27"/>
        <v>-59.626800000000003</v>
      </c>
      <c r="T369" s="41">
        <f t="shared" si="28"/>
        <v>90.710000000000008</v>
      </c>
    </row>
    <row r="370" spans="10:20">
      <c r="J370" s="119">
        <v>44308</v>
      </c>
      <c r="K370" s="121">
        <v>80.060400000000001</v>
      </c>
      <c r="L370" s="121">
        <v>87.677199999999999</v>
      </c>
      <c r="M370" s="121">
        <v>7.6167999999999978</v>
      </c>
      <c r="N370" s="120">
        <v>63.7</v>
      </c>
      <c r="O370" s="120">
        <v>33.700000000000003</v>
      </c>
      <c r="P370" s="39">
        <f t="shared" si="29"/>
        <v>44454</v>
      </c>
      <c r="Q370" s="41">
        <f t="shared" si="25"/>
        <v>171.6876</v>
      </c>
      <c r="R370" s="41">
        <f t="shared" si="26"/>
        <v>112.0608</v>
      </c>
      <c r="S370" s="41">
        <f t="shared" si="27"/>
        <v>-59.626800000000003</v>
      </c>
      <c r="T370" s="41">
        <f t="shared" si="28"/>
        <v>90.710000000000008</v>
      </c>
    </row>
    <row r="371" spans="10:20">
      <c r="J371" s="119">
        <v>44307</v>
      </c>
      <c r="K371" s="121">
        <v>80.060400000000001</v>
      </c>
      <c r="L371" s="121">
        <v>87.677199999999999</v>
      </c>
      <c r="M371" s="121">
        <v>7.6167999999999978</v>
      </c>
      <c r="N371" s="120">
        <v>63.7</v>
      </c>
      <c r="O371" s="120">
        <v>33.700000000000003</v>
      </c>
      <c r="P371" s="39">
        <f t="shared" si="29"/>
        <v>44453</v>
      </c>
      <c r="Q371" s="41">
        <f t="shared" si="25"/>
        <v>171.6876</v>
      </c>
      <c r="R371" s="41">
        <f t="shared" si="26"/>
        <v>112.0608</v>
      </c>
      <c r="S371" s="41">
        <f t="shared" si="27"/>
        <v>-59.626800000000003</v>
      </c>
      <c r="T371" s="41">
        <f t="shared" si="28"/>
        <v>90.710000000000008</v>
      </c>
    </row>
    <row r="372" spans="10:20">
      <c r="J372" s="119">
        <v>44306</v>
      </c>
      <c r="K372" s="121">
        <v>80.060400000000001</v>
      </c>
      <c r="L372" s="121">
        <v>87.677199999999999</v>
      </c>
      <c r="M372" s="121">
        <v>7.6167999999999978</v>
      </c>
      <c r="N372" s="120">
        <v>63.7</v>
      </c>
      <c r="O372" s="120">
        <v>33.700000000000003</v>
      </c>
      <c r="P372" s="39">
        <f t="shared" si="29"/>
        <v>44452</v>
      </c>
      <c r="Q372" s="41">
        <f t="shared" si="25"/>
        <v>171.6876</v>
      </c>
      <c r="R372" s="41">
        <f t="shared" si="26"/>
        <v>112.0608</v>
      </c>
      <c r="S372" s="41">
        <f t="shared" si="27"/>
        <v>-59.626800000000003</v>
      </c>
      <c r="T372" s="41">
        <f t="shared" si="28"/>
        <v>90.710000000000008</v>
      </c>
    </row>
    <row r="373" spans="10:20">
      <c r="J373" s="119">
        <v>44305</v>
      </c>
      <c r="K373" s="121">
        <v>80.060400000000001</v>
      </c>
      <c r="L373" s="121">
        <v>87.677199999999999</v>
      </c>
      <c r="M373" s="121">
        <v>7.6167999999999978</v>
      </c>
      <c r="N373" s="120">
        <v>63.7</v>
      </c>
      <c r="O373" s="120">
        <v>33.700000000000003</v>
      </c>
      <c r="P373" s="39">
        <f t="shared" si="29"/>
        <v>44451</v>
      </c>
      <c r="Q373" s="41">
        <f t="shared" si="25"/>
        <v>171.6876</v>
      </c>
      <c r="R373" s="41">
        <f t="shared" si="26"/>
        <v>109.98560000000001</v>
      </c>
      <c r="S373" s="41">
        <f t="shared" si="27"/>
        <v>-61.701999999999998</v>
      </c>
      <c r="T373" s="41">
        <f t="shared" si="28"/>
        <v>90.710000000000008</v>
      </c>
    </row>
    <row r="374" spans="10:20">
      <c r="J374" s="119">
        <v>44302</v>
      </c>
      <c r="K374" s="121">
        <v>80.060400000000001</v>
      </c>
      <c r="L374" s="121">
        <v>87.677199999999999</v>
      </c>
      <c r="M374" s="121">
        <v>7.6167999999999978</v>
      </c>
      <c r="N374" s="120">
        <v>63.7</v>
      </c>
      <c r="O374" s="120">
        <v>33.700000000000003</v>
      </c>
      <c r="P374" s="39">
        <f t="shared" si="29"/>
        <v>44450</v>
      </c>
      <c r="Q374" s="41">
        <f t="shared" si="25"/>
        <v>171.6876</v>
      </c>
      <c r="R374" s="41">
        <f t="shared" si="26"/>
        <v>109.98560000000001</v>
      </c>
      <c r="S374" s="41">
        <f t="shared" si="27"/>
        <v>-61.701999999999998</v>
      </c>
      <c r="T374" s="41">
        <f t="shared" si="28"/>
        <v>90.710000000000008</v>
      </c>
    </row>
    <row r="375" spans="10:20">
      <c r="J375" s="119">
        <v>44301</v>
      </c>
      <c r="K375" s="121">
        <v>77.565600000000003</v>
      </c>
      <c r="L375" s="121">
        <v>87.677199999999999</v>
      </c>
      <c r="M375" s="121">
        <v>10.111599999999996</v>
      </c>
      <c r="N375" s="120">
        <v>63.64</v>
      </c>
      <c r="O375" s="120">
        <v>33.64</v>
      </c>
      <c r="P375" s="39">
        <f t="shared" si="29"/>
        <v>44449</v>
      </c>
      <c r="Q375" s="41">
        <f t="shared" si="25"/>
        <v>171.6876</v>
      </c>
      <c r="R375" s="41">
        <f t="shared" si="26"/>
        <v>109.98560000000001</v>
      </c>
      <c r="S375" s="41">
        <f t="shared" si="27"/>
        <v>-61.701999999999998</v>
      </c>
      <c r="T375" s="41">
        <f t="shared" si="28"/>
        <v>90.710000000000008</v>
      </c>
    </row>
    <row r="376" spans="10:20">
      <c r="J376" s="119">
        <v>44300</v>
      </c>
      <c r="K376" s="121">
        <v>77.565600000000003</v>
      </c>
      <c r="L376" s="121">
        <v>87.677199999999999</v>
      </c>
      <c r="M376" s="121">
        <v>10.111599999999996</v>
      </c>
      <c r="N376" s="120">
        <v>63.64</v>
      </c>
      <c r="O376" s="120">
        <v>33.64</v>
      </c>
      <c r="P376" s="39">
        <f t="shared" si="29"/>
        <v>44448</v>
      </c>
      <c r="Q376" s="41">
        <f t="shared" si="25"/>
        <v>158.53319999999999</v>
      </c>
      <c r="R376" s="41">
        <f t="shared" si="26"/>
        <v>109.98560000000001</v>
      </c>
      <c r="S376" s="41">
        <f t="shared" si="27"/>
        <v>-48.547599999999989</v>
      </c>
      <c r="T376" s="41">
        <f t="shared" si="28"/>
        <v>87.88</v>
      </c>
    </row>
    <row r="377" spans="10:20">
      <c r="J377" s="119">
        <v>44299</v>
      </c>
      <c r="K377" s="121">
        <v>77.565600000000003</v>
      </c>
      <c r="L377" s="121">
        <v>87.677199999999999</v>
      </c>
      <c r="M377" s="121">
        <v>10.111599999999996</v>
      </c>
      <c r="N377" s="120">
        <v>63.64</v>
      </c>
      <c r="O377" s="120">
        <v>33.64</v>
      </c>
      <c r="P377" s="39">
        <f t="shared" si="29"/>
        <v>44447</v>
      </c>
      <c r="Q377" s="41">
        <f t="shared" si="25"/>
        <v>158.53319999999999</v>
      </c>
      <c r="R377" s="41">
        <f t="shared" si="26"/>
        <v>109.98560000000001</v>
      </c>
      <c r="S377" s="41">
        <f t="shared" si="27"/>
        <v>-48.547599999999989</v>
      </c>
      <c r="T377" s="41">
        <f t="shared" si="28"/>
        <v>87.88</v>
      </c>
    </row>
    <row r="378" spans="10:20">
      <c r="J378" s="119">
        <v>44298</v>
      </c>
      <c r="K378" s="121">
        <v>77.565600000000003</v>
      </c>
      <c r="L378" s="121">
        <v>87.677199999999999</v>
      </c>
      <c r="M378" s="121">
        <v>10.111599999999996</v>
      </c>
      <c r="N378" s="120">
        <v>63.64</v>
      </c>
      <c r="O378" s="120">
        <v>33.64</v>
      </c>
      <c r="P378" s="39">
        <f t="shared" si="29"/>
        <v>44446</v>
      </c>
      <c r="Q378" s="41">
        <f t="shared" si="25"/>
        <v>158.53319999999999</v>
      </c>
      <c r="R378" s="41">
        <f t="shared" si="26"/>
        <v>109.98560000000001</v>
      </c>
      <c r="S378" s="41">
        <f t="shared" si="27"/>
        <v>-48.547599999999989</v>
      </c>
      <c r="T378" s="41">
        <f t="shared" si="28"/>
        <v>87.88</v>
      </c>
    </row>
    <row r="379" spans="10:20">
      <c r="J379" s="119">
        <v>44295</v>
      </c>
      <c r="K379" s="121">
        <v>77.565600000000003</v>
      </c>
      <c r="L379" s="121">
        <v>87.677199999999999</v>
      </c>
      <c r="M379" s="121">
        <v>10.111599999999996</v>
      </c>
      <c r="N379" s="120">
        <v>63.64</v>
      </c>
      <c r="O379" s="120">
        <v>33.64</v>
      </c>
      <c r="P379" s="39">
        <f t="shared" si="29"/>
        <v>44445</v>
      </c>
      <c r="Q379" s="41">
        <f t="shared" si="25"/>
        <v>158.53319999999999</v>
      </c>
      <c r="R379" s="41">
        <f t="shared" si="26"/>
        <v>109.98560000000001</v>
      </c>
      <c r="S379" s="41">
        <f t="shared" si="27"/>
        <v>-48.547599999999989</v>
      </c>
      <c r="T379" s="41">
        <f t="shared" si="28"/>
        <v>87.88</v>
      </c>
    </row>
    <row r="380" spans="10:20">
      <c r="J380" s="119">
        <v>44294</v>
      </c>
      <c r="K380" s="121">
        <v>77.792400000000001</v>
      </c>
      <c r="L380" s="121">
        <v>87.677199999999999</v>
      </c>
      <c r="M380" s="121">
        <v>9.8847999999999985</v>
      </c>
      <c r="N380" s="120">
        <v>63.6</v>
      </c>
      <c r="O380" s="120">
        <v>33.6</v>
      </c>
      <c r="P380" s="39">
        <f t="shared" si="29"/>
        <v>44444</v>
      </c>
      <c r="Q380" s="41">
        <f t="shared" si="25"/>
        <v>158.53319999999999</v>
      </c>
      <c r="R380" s="41">
        <f t="shared" si="26"/>
        <v>109.98560000000001</v>
      </c>
      <c r="S380" s="41">
        <f t="shared" si="27"/>
        <v>-48.547599999999989</v>
      </c>
      <c r="T380" s="41">
        <f t="shared" si="28"/>
        <v>87.88</v>
      </c>
    </row>
    <row r="381" spans="10:20">
      <c r="J381" s="119">
        <v>44293</v>
      </c>
      <c r="K381" s="121">
        <v>77.792400000000001</v>
      </c>
      <c r="L381" s="121">
        <v>87.677199999999999</v>
      </c>
      <c r="M381" s="121">
        <v>9.8847999999999985</v>
      </c>
      <c r="N381" s="120">
        <v>63.6</v>
      </c>
      <c r="O381" s="120">
        <v>33.6</v>
      </c>
      <c r="P381" s="39">
        <f t="shared" si="29"/>
        <v>44443</v>
      </c>
      <c r="Q381" s="41">
        <f t="shared" si="25"/>
        <v>158.53319999999999</v>
      </c>
      <c r="R381" s="41">
        <f t="shared" si="26"/>
        <v>109.98560000000001</v>
      </c>
      <c r="S381" s="41">
        <f t="shared" si="27"/>
        <v>-48.547599999999989</v>
      </c>
      <c r="T381" s="41">
        <f t="shared" si="28"/>
        <v>87.88</v>
      </c>
    </row>
    <row r="382" spans="10:20">
      <c r="J382" s="119">
        <v>44292</v>
      </c>
      <c r="K382" s="121">
        <v>77.792400000000001</v>
      </c>
      <c r="L382" s="121">
        <v>87.677199999999999</v>
      </c>
      <c r="M382" s="121">
        <v>9.8847999999999985</v>
      </c>
      <c r="N382" s="120">
        <v>63.6</v>
      </c>
      <c r="O382" s="120">
        <v>33.6</v>
      </c>
      <c r="P382" s="39">
        <f t="shared" si="29"/>
        <v>44442</v>
      </c>
      <c r="Q382" s="41">
        <f t="shared" si="25"/>
        <v>158.53319999999999</v>
      </c>
      <c r="R382" s="41">
        <f t="shared" si="26"/>
        <v>109.98560000000001</v>
      </c>
      <c r="S382" s="41">
        <f t="shared" si="27"/>
        <v>-48.547599999999989</v>
      </c>
      <c r="T382" s="41">
        <f t="shared" si="28"/>
        <v>87.88</v>
      </c>
    </row>
    <row r="383" spans="10:20">
      <c r="J383" s="119">
        <v>44291</v>
      </c>
      <c r="K383" s="121">
        <v>77.792400000000001</v>
      </c>
      <c r="L383" s="121">
        <v>87.677199999999999</v>
      </c>
      <c r="M383" s="121">
        <v>9.8847999999999985</v>
      </c>
      <c r="N383" s="120">
        <v>63.6</v>
      </c>
      <c r="O383" s="120">
        <v>33.6</v>
      </c>
      <c r="P383" s="39">
        <f t="shared" si="29"/>
        <v>44441</v>
      </c>
      <c r="Q383" s="41">
        <f t="shared" si="25"/>
        <v>151.2756</v>
      </c>
      <c r="R383" s="41">
        <f t="shared" si="26"/>
        <v>109.98560000000001</v>
      </c>
      <c r="S383" s="41">
        <f t="shared" si="27"/>
        <v>-41.289999999999992</v>
      </c>
      <c r="T383" s="41">
        <f t="shared" si="28"/>
        <v>86.039999999999992</v>
      </c>
    </row>
    <row r="384" spans="10:20">
      <c r="J384" s="119">
        <v>44288</v>
      </c>
      <c r="K384" s="121">
        <v>77.792400000000001</v>
      </c>
      <c r="L384" s="121">
        <v>87.677199999999999</v>
      </c>
      <c r="M384" s="121">
        <v>9.8847999999999985</v>
      </c>
      <c r="N384" s="120">
        <v>63.6</v>
      </c>
      <c r="O384" s="120">
        <v>33.6</v>
      </c>
      <c r="P384" s="39">
        <f t="shared" si="29"/>
        <v>44440</v>
      </c>
      <c r="Q384" s="41">
        <f t="shared" si="25"/>
        <v>151.2756</v>
      </c>
      <c r="R384" s="41">
        <f t="shared" si="26"/>
        <v>109.98560000000001</v>
      </c>
      <c r="S384" s="41">
        <f t="shared" si="27"/>
        <v>-41.289999999999992</v>
      </c>
      <c r="T384" s="41">
        <f t="shared" si="28"/>
        <v>86.039999999999992</v>
      </c>
    </row>
    <row r="385" spans="10:20">
      <c r="J385" s="119">
        <v>44287</v>
      </c>
      <c r="K385" s="121">
        <v>78.926400000000001</v>
      </c>
      <c r="L385" s="121">
        <v>87.677199999999999</v>
      </c>
      <c r="M385" s="121">
        <v>8.7507999999999981</v>
      </c>
      <c r="N385" s="120">
        <v>63.25</v>
      </c>
      <c r="O385" s="120">
        <v>33.25</v>
      </c>
      <c r="P385" s="39">
        <f t="shared" si="29"/>
        <v>44439</v>
      </c>
      <c r="Q385" s="41">
        <f t="shared" si="25"/>
        <v>151.2756</v>
      </c>
      <c r="R385" s="41">
        <f t="shared" si="26"/>
        <v>109.98560000000001</v>
      </c>
      <c r="S385" s="41">
        <f t="shared" si="27"/>
        <v>-41.289999999999992</v>
      </c>
      <c r="T385" s="41">
        <f t="shared" si="28"/>
        <v>86.039999999999992</v>
      </c>
    </row>
    <row r="386" spans="10:20">
      <c r="J386" s="119">
        <v>44286</v>
      </c>
      <c r="K386" s="121">
        <v>78.926400000000001</v>
      </c>
      <c r="L386" s="121">
        <v>87.677199999999999</v>
      </c>
      <c r="M386" s="121">
        <v>8.7507999999999981</v>
      </c>
      <c r="N386" s="120">
        <v>63.25</v>
      </c>
      <c r="O386" s="120">
        <v>33.25</v>
      </c>
      <c r="P386" s="39">
        <f t="shared" si="29"/>
        <v>44438</v>
      </c>
      <c r="Q386" s="41">
        <f t="shared" si="25"/>
        <v>151.2756</v>
      </c>
      <c r="R386" s="41">
        <f t="shared" si="26"/>
        <v>109.98560000000001</v>
      </c>
      <c r="S386" s="41">
        <f t="shared" si="27"/>
        <v>-41.289999999999992</v>
      </c>
      <c r="T386" s="41">
        <f t="shared" si="28"/>
        <v>86.039999999999992</v>
      </c>
    </row>
    <row r="387" spans="10:20">
      <c r="J387" s="119">
        <v>44285</v>
      </c>
      <c r="K387" s="121">
        <v>78.926400000000001</v>
      </c>
      <c r="L387" s="121">
        <v>87.677199999999999</v>
      </c>
      <c r="M387" s="121">
        <v>8.7507999999999981</v>
      </c>
      <c r="N387" s="120">
        <v>63.25</v>
      </c>
      <c r="O387" s="120">
        <v>33.25</v>
      </c>
      <c r="P387" s="39">
        <f t="shared" si="29"/>
        <v>44437</v>
      </c>
      <c r="Q387" s="41">
        <f t="shared" si="25"/>
        <v>151.2756</v>
      </c>
      <c r="R387" s="41">
        <f t="shared" si="26"/>
        <v>109.98560000000001</v>
      </c>
      <c r="S387" s="41">
        <f t="shared" si="27"/>
        <v>-41.289999999999992</v>
      </c>
      <c r="T387" s="41">
        <f t="shared" si="28"/>
        <v>86.039999999999992</v>
      </c>
    </row>
    <row r="388" spans="10:20">
      <c r="J388" s="119">
        <v>44284</v>
      </c>
      <c r="K388" s="121">
        <v>78.926400000000001</v>
      </c>
      <c r="L388" s="121">
        <v>87.677199999999999</v>
      </c>
      <c r="M388" s="121">
        <v>8.7507999999999981</v>
      </c>
      <c r="N388" s="120">
        <v>63.25</v>
      </c>
      <c r="O388" s="120">
        <v>33.25</v>
      </c>
      <c r="P388" s="39">
        <f t="shared" si="29"/>
        <v>44436</v>
      </c>
      <c r="Q388" s="41">
        <f t="shared" si="25"/>
        <v>151.2756</v>
      </c>
      <c r="R388" s="41">
        <f t="shared" si="26"/>
        <v>109.98560000000001</v>
      </c>
      <c r="S388" s="41">
        <f t="shared" si="27"/>
        <v>-41.289999999999992</v>
      </c>
      <c r="T388" s="41">
        <f t="shared" si="28"/>
        <v>86.039999999999992</v>
      </c>
    </row>
    <row r="389" spans="10:20">
      <c r="J389" s="119">
        <v>44281</v>
      </c>
      <c r="K389" s="121">
        <v>78.926400000000001</v>
      </c>
      <c r="L389" s="121">
        <v>87.677199999999999</v>
      </c>
      <c r="M389" s="121">
        <v>8.7507999999999981</v>
      </c>
      <c r="N389" s="120">
        <v>63.25</v>
      </c>
      <c r="O389" s="120">
        <v>33.25</v>
      </c>
      <c r="P389" s="39">
        <f t="shared" si="29"/>
        <v>44435</v>
      </c>
      <c r="Q389" s="41">
        <f t="shared" si="25"/>
        <v>151.2756</v>
      </c>
      <c r="R389" s="41">
        <f t="shared" si="26"/>
        <v>109.98560000000001</v>
      </c>
      <c r="S389" s="41">
        <f t="shared" si="27"/>
        <v>-41.289999999999992</v>
      </c>
      <c r="T389" s="41">
        <f t="shared" si="28"/>
        <v>86.039999999999992</v>
      </c>
    </row>
    <row r="390" spans="10:20">
      <c r="J390" s="119">
        <v>44280</v>
      </c>
      <c r="K390" s="121">
        <v>77.792400000000001</v>
      </c>
      <c r="L390" s="121">
        <v>88.195999999999998</v>
      </c>
      <c r="M390" s="121">
        <v>10.403599999999997</v>
      </c>
      <c r="N390" s="120">
        <v>63.3</v>
      </c>
      <c r="O390" s="120">
        <v>33.299999999999997</v>
      </c>
      <c r="P390" s="39">
        <f t="shared" si="29"/>
        <v>44434</v>
      </c>
      <c r="Q390" s="41">
        <f t="shared" ref="Q390:Q453" si="30">IFERROR(VLOOKUP($P390,$J$5:$N$403,2,FALSE),Q391)</f>
        <v>150.14160000000001</v>
      </c>
      <c r="R390" s="41">
        <f t="shared" ref="R390:R453" si="31">IFERROR(VLOOKUP($P390,$J$5:$N$403,3,FALSE),R391)</f>
        <v>106.8728</v>
      </c>
      <c r="S390" s="41">
        <f t="shared" ref="S390:S453" si="32">IFERROR(VLOOKUP($P390,$J$5:$N$403,4,FALSE),S391)</f>
        <v>-43.268800000000013</v>
      </c>
      <c r="T390" s="41">
        <f t="shared" ref="T390:T453" si="33">IFERROR(VLOOKUP($P390,$J$5:$N$403,5,FALSE),T391)</f>
        <v>84.7</v>
      </c>
    </row>
    <row r="391" spans="10:20">
      <c r="J391" s="119">
        <v>44279</v>
      </c>
      <c r="K391" s="121">
        <v>77.792400000000001</v>
      </c>
      <c r="L391" s="121">
        <v>88.195999999999998</v>
      </c>
      <c r="M391" s="121">
        <v>10.403599999999997</v>
      </c>
      <c r="N391" s="120">
        <v>63.3</v>
      </c>
      <c r="O391" s="120">
        <v>33.299999999999997</v>
      </c>
      <c r="P391" s="39">
        <f t="shared" ref="P391:P454" si="34">P390-1</f>
        <v>44433</v>
      </c>
      <c r="Q391" s="41">
        <f t="shared" si="30"/>
        <v>150.14160000000001</v>
      </c>
      <c r="R391" s="41">
        <f t="shared" si="31"/>
        <v>106.8728</v>
      </c>
      <c r="S391" s="41">
        <f t="shared" si="32"/>
        <v>-43.268800000000013</v>
      </c>
      <c r="T391" s="41">
        <f t="shared" si="33"/>
        <v>84.7</v>
      </c>
    </row>
    <row r="392" spans="10:20">
      <c r="J392" s="119">
        <v>44278</v>
      </c>
      <c r="K392" s="121">
        <v>77.792400000000001</v>
      </c>
      <c r="L392" s="121">
        <v>88.195999999999998</v>
      </c>
      <c r="M392" s="121">
        <v>10.403599999999997</v>
      </c>
      <c r="N392" s="120">
        <v>63.3</v>
      </c>
      <c r="O392" s="120">
        <v>33.299999999999997</v>
      </c>
      <c r="P392" s="39">
        <f t="shared" si="34"/>
        <v>44432</v>
      </c>
      <c r="Q392" s="41">
        <f t="shared" si="30"/>
        <v>150.14160000000001</v>
      </c>
      <c r="R392" s="41">
        <f t="shared" si="31"/>
        <v>106.8728</v>
      </c>
      <c r="S392" s="41">
        <f t="shared" si="32"/>
        <v>-43.268800000000013</v>
      </c>
      <c r="T392" s="41">
        <f t="shared" si="33"/>
        <v>84.7</v>
      </c>
    </row>
    <row r="393" spans="10:20">
      <c r="J393" s="119">
        <v>44277</v>
      </c>
      <c r="K393" s="121">
        <v>77.792400000000001</v>
      </c>
      <c r="L393" s="121">
        <v>88.195999999999998</v>
      </c>
      <c r="M393" s="121">
        <v>10.403599999999997</v>
      </c>
      <c r="N393" s="120">
        <v>63.3</v>
      </c>
      <c r="O393" s="120">
        <v>33.299999999999997</v>
      </c>
      <c r="P393" s="39">
        <f t="shared" si="34"/>
        <v>44431</v>
      </c>
      <c r="Q393" s="41">
        <f t="shared" si="30"/>
        <v>150.14160000000001</v>
      </c>
      <c r="R393" s="41">
        <f t="shared" si="31"/>
        <v>106.8728</v>
      </c>
      <c r="S393" s="41">
        <f t="shared" si="32"/>
        <v>-43.268800000000013</v>
      </c>
      <c r="T393" s="41">
        <f t="shared" si="33"/>
        <v>84.7</v>
      </c>
    </row>
    <row r="394" spans="10:20">
      <c r="J394" s="119">
        <v>44274</v>
      </c>
      <c r="K394" s="121">
        <v>77.792400000000001</v>
      </c>
      <c r="L394" s="121">
        <v>88.195999999999998</v>
      </c>
      <c r="M394" s="121">
        <v>10.403599999999997</v>
      </c>
      <c r="N394" s="120">
        <v>63.3</v>
      </c>
      <c r="O394" s="120">
        <v>33.299999999999997</v>
      </c>
      <c r="P394" s="39">
        <f t="shared" si="34"/>
        <v>44430</v>
      </c>
      <c r="Q394" s="41">
        <f t="shared" si="30"/>
        <v>150.14160000000001</v>
      </c>
      <c r="R394" s="41">
        <f t="shared" si="31"/>
        <v>106.8728</v>
      </c>
      <c r="S394" s="41">
        <f t="shared" si="32"/>
        <v>-43.268800000000013</v>
      </c>
      <c r="T394" s="41">
        <f t="shared" si="33"/>
        <v>84.7</v>
      </c>
    </row>
    <row r="395" spans="10:20">
      <c r="J395" s="119">
        <v>44273</v>
      </c>
      <c r="K395" s="121">
        <v>77.111999999999995</v>
      </c>
      <c r="L395" s="121">
        <v>88.195999999999998</v>
      </c>
      <c r="M395" s="121">
        <v>11.084000000000003</v>
      </c>
      <c r="N395" s="120">
        <v>63.02</v>
      </c>
      <c r="O395" s="120">
        <v>33.020000000000003</v>
      </c>
      <c r="P395" s="39">
        <f t="shared" si="34"/>
        <v>44429</v>
      </c>
      <c r="Q395" s="41">
        <f t="shared" si="30"/>
        <v>150.14160000000001</v>
      </c>
      <c r="R395" s="41">
        <f t="shared" si="31"/>
        <v>106.8728</v>
      </c>
      <c r="S395" s="41">
        <f t="shared" si="32"/>
        <v>-43.268800000000013</v>
      </c>
      <c r="T395" s="41">
        <f t="shared" si="33"/>
        <v>84.7</v>
      </c>
    </row>
    <row r="396" spans="10:20">
      <c r="J396" s="119">
        <v>44272</v>
      </c>
      <c r="K396" s="121">
        <v>77.111999999999995</v>
      </c>
      <c r="L396" s="121">
        <v>88.195999999999998</v>
      </c>
      <c r="M396" s="121">
        <v>11.084000000000003</v>
      </c>
      <c r="N396" s="120">
        <v>63.02</v>
      </c>
      <c r="O396" s="120">
        <v>33.020000000000003</v>
      </c>
      <c r="P396" s="39">
        <f t="shared" si="34"/>
        <v>44428</v>
      </c>
      <c r="Q396" s="41">
        <f t="shared" si="30"/>
        <v>150.14160000000001</v>
      </c>
      <c r="R396" s="41">
        <f t="shared" si="31"/>
        <v>106.8728</v>
      </c>
      <c r="S396" s="41">
        <f t="shared" si="32"/>
        <v>-43.268800000000013</v>
      </c>
      <c r="T396" s="41">
        <f t="shared" si="33"/>
        <v>84.7</v>
      </c>
    </row>
    <row r="397" spans="10:20">
      <c r="J397" s="119">
        <v>44271</v>
      </c>
      <c r="K397" s="121">
        <v>77.111999999999995</v>
      </c>
      <c r="L397" s="121">
        <v>88.195999999999998</v>
      </c>
      <c r="M397" s="121">
        <v>11.084000000000003</v>
      </c>
      <c r="N397" s="120">
        <v>63.02</v>
      </c>
      <c r="O397" s="120">
        <v>33.020000000000003</v>
      </c>
      <c r="P397" s="39">
        <f t="shared" si="34"/>
        <v>44427</v>
      </c>
      <c r="Q397" s="41">
        <f t="shared" si="30"/>
        <v>147.87360000000001</v>
      </c>
      <c r="R397" s="41">
        <f t="shared" si="31"/>
        <v>106.8728</v>
      </c>
      <c r="S397" s="41">
        <f t="shared" si="32"/>
        <v>-41.000800000000012</v>
      </c>
      <c r="T397" s="41">
        <f t="shared" si="33"/>
        <v>82.9</v>
      </c>
    </row>
    <row r="398" spans="10:20">
      <c r="J398" s="119">
        <v>44270</v>
      </c>
      <c r="K398" s="121">
        <v>77.111999999999995</v>
      </c>
      <c r="L398" s="121">
        <v>88.195999999999998</v>
      </c>
      <c r="M398" s="121">
        <v>11.084000000000003</v>
      </c>
      <c r="N398" s="120">
        <v>63.02</v>
      </c>
      <c r="O398" s="120">
        <v>33.020000000000003</v>
      </c>
      <c r="P398" s="39">
        <f t="shared" si="34"/>
        <v>44426</v>
      </c>
      <c r="Q398" s="41">
        <f t="shared" si="30"/>
        <v>147.87360000000001</v>
      </c>
      <c r="R398" s="41">
        <f t="shared" si="31"/>
        <v>106.8728</v>
      </c>
      <c r="S398" s="41">
        <f t="shared" si="32"/>
        <v>-41.000800000000012</v>
      </c>
      <c r="T398" s="41">
        <f t="shared" si="33"/>
        <v>82.9</v>
      </c>
    </row>
    <row r="399" spans="10:20">
      <c r="J399" s="119">
        <v>44267</v>
      </c>
      <c r="K399" s="121">
        <v>77.111999999999995</v>
      </c>
      <c r="L399" s="121">
        <v>88.195999999999998</v>
      </c>
      <c r="M399" s="121">
        <v>11.084000000000003</v>
      </c>
      <c r="N399" s="120">
        <v>63.02</v>
      </c>
      <c r="O399" s="120">
        <v>33.020000000000003</v>
      </c>
      <c r="P399" s="39">
        <f t="shared" si="34"/>
        <v>44425</v>
      </c>
      <c r="Q399" s="41">
        <f t="shared" si="30"/>
        <v>147.87360000000001</v>
      </c>
      <c r="R399" s="41">
        <f t="shared" si="31"/>
        <v>106.8728</v>
      </c>
      <c r="S399" s="41">
        <f t="shared" si="32"/>
        <v>-41.000800000000012</v>
      </c>
      <c r="T399" s="41">
        <f t="shared" si="33"/>
        <v>82.9</v>
      </c>
    </row>
    <row r="400" spans="10:20">
      <c r="J400" s="119">
        <v>44266</v>
      </c>
      <c r="K400" s="121">
        <v>77.338800000000006</v>
      </c>
      <c r="L400" s="121">
        <v>88.195999999999998</v>
      </c>
      <c r="M400" s="121">
        <v>10.857199999999992</v>
      </c>
      <c r="N400" s="120">
        <v>63.3</v>
      </c>
      <c r="O400" s="120">
        <v>33.299999999999997</v>
      </c>
      <c r="P400" s="39">
        <f t="shared" si="34"/>
        <v>44424</v>
      </c>
      <c r="Q400" s="41">
        <f t="shared" si="30"/>
        <v>147.87360000000001</v>
      </c>
      <c r="R400" s="41">
        <f t="shared" si="31"/>
        <v>106.8728</v>
      </c>
      <c r="S400" s="41">
        <f t="shared" si="32"/>
        <v>-41.000800000000012</v>
      </c>
      <c r="T400" s="41">
        <f t="shared" si="33"/>
        <v>82.9</v>
      </c>
    </row>
    <row r="401" spans="10:20">
      <c r="J401" s="119">
        <v>44265</v>
      </c>
      <c r="K401" s="121">
        <v>77.338800000000006</v>
      </c>
      <c r="L401" s="121">
        <v>88.195999999999998</v>
      </c>
      <c r="M401" s="121">
        <v>10.857199999999992</v>
      </c>
      <c r="N401" s="120">
        <v>63.3</v>
      </c>
      <c r="O401" s="120">
        <v>33.299999999999997</v>
      </c>
      <c r="P401" s="39">
        <f t="shared" si="34"/>
        <v>44423</v>
      </c>
      <c r="Q401" s="41">
        <f t="shared" si="30"/>
        <v>147.87360000000001</v>
      </c>
      <c r="R401" s="41">
        <f t="shared" si="31"/>
        <v>104.7976</v>
      </c>
      <c r="S401" s="41">
        <f t="shared" si="32"/>
        <v>-43.076000000000008</v>
      </c>
      <c r="T401" s="41">
        <f t="shared" si="33"/>
        <v>82.9</v>
      </c>
    </row>
    <row r="402" spans="10:20">
      <c r="J402" s="119">
        <v>44264</v>
      </c>
      <c r="K402" s="121">
        <v>77.338800000000006</v>
      </c>
      <c r="L402" s="121">
        <v>88.195999999999998</v>
      </c>
      <c r="M402" s="121">
        <v>10.857199999999992</v>
      </c>
      <c r="N402" s="120">
        <v>63.3</v>
      </c>
      <c r="O402" s="120">
        <v>33.299999999999997</v>
      </c>
      <c r="P402" s="39">
        <f t="shared" si="34"/>
        <v>44422</v>
      </c>
      <c r="Q402" s="41">
        <f t="shared" si="30"/>
        <v>147.87360000000001</v>
      </c>
      <c r="R402" s="41">
        <f t="shared" si="31"/>
        <v>104.7976</v>
      </c>
      <c r="S402" s="41">
        <f t="shared" si="32"/>
        <v>-43.076000000000008</v>
      </c>
      <c r="T402" s="41">
        <f t="shared" si="33"/>
        <v>82.9</v>
      </c>
    </row>
    <row r="403" spans="10:20">
      <c r="J403" s="119">
        <v>44263</v>
      </c>
      <c r="K403" s="121">
        <v>77.338800000000006</v>
      </c>
      <c r="L403" s="121">
        <v>88.195999999999998</v>
      </c>
      <c r="M403" s="121">
        <v>10.857199999999992</v>
      </c>
      <c r="N403" s="120">
        <v>63.3</v>
      </c>
      <c r="O403" s="120">
        <v>33.299999999999997</v>
      </c>
      <c r="P403" s="39">
        <f t="shared" si="34"/>
        <v>44421</v>
      </c>
      <c r="Q403" s="41">
        <f t="shared" si="30"/>
        <v>147.87360000000001</v>
      </c>
      <c r="R403" s="41">
        <f t="shared" si="31"/>
        <v>104.7976</v>
      </c>
      <c r="S403" s="41">
        <f t="shared" si="32"/>
        <v>-43.076000000000008</v>
      </c>
      <c r="T403" s="41">
        <f t="shared" si="33"/>
        <v>82.9</v>
      </c>
    </row>
    <row r="404" spans="10:20">
      <c r="J404" s="119">
        <v>44260</v>
      </c>
      <c r="K404" s="121">
        <v>77.338800000000006</v>
      </c>
      <c r="L404" s="121">
        <v>88.195999999999998</v>
      </c>
      <c r="M404" s="121">
        <v>10.857199999999992</v>
      </c>
      <c r="N404" s="120">
        <v>63.3</v>
      </c>
      <c r="O404" s="120">
        <v>33.299999999999997</v>
      </c>
      <c r="P404" s="39">
        <f t="shared" si="34"/>
        <v>44420</v>
      </c>
      <c r="Q404" s="41">
        <f t="shared" si="30"/>
        <v>139.7088</v>
      </c>
      <c r="R404" s="41">
        <f t="shared" si="31"/>
        <v>104.7976</v>
      </c>
      <c r="S404" s="41">
        <f t="shared" si="32"/>
        <v>-34.911199999999994</v>
      </c>
      <c r="T404" s="41">
        <f t="shared" si="33"/>
        <v>81.93</v>
      </c>
    </row>
    <row r="405" spans="10:20">
      <c r="J405" s="119">
        <v>44259</v>
      </c>
      <c r="K405" s="121">
        <v>75.5244</v>
      </c>
      <c r="L405" s="121">
        <v>88.195999999999998</v>
      </c>
      <c r="M405" s="121">
        <v>12.671599999999998</v>
      </c>
      <c r="N405" s="120">
        <v>62.8</v>
      </c>
      <c r="O405" s="120">
        <v>32.799999999999997</v>
      </c>
      <c r="P405" s="39">
        <f t="shared" si="34"/>
        <v>44419</v>
      </c>
      <c r="Q405" s="41">
        <f t="shared" si="30"/>
        <v>139.7088</v>
      </c>
      <c r="R405" s="41">
        <f t="shared" si="31"/>
        <v>104.7976</v>
      </c>
      <c r="S405" s="41">
        <f t="shared" si="32"/>
        <v>-34.911199999999994</v>
      </c>
      <c r="T405" s="41">
        <f t="shared" si="33"/>
        <v>81.93</v>
      </c>
    </row>
    <row r="406" spans="10:20">
      <c r="J406" s="119">
        <v>44258</v>
      </c>
      <c r="K406" s="121">
        <v>75.5244</v>
      </c>
      <c r="L406" s="121">
        <v>88.195999999999998</v>
      </c>
      <c r="M406" s="121">
        <v>12.671599999999998</v>
      </c>
      <c r="N406" s="120">
        <v>62.8</v>
      </c>
      <c r="O406" s="120">
        <v>32.799999999999997</v>
      </c>
      <c r="P406" s="39">
        <f t="shared" si="34"/>
        <v>44418</v>
      </c>
      <c r="Q406" s="41">
        <f t="shared" si="30"/>
        <v>139.7088</v>
      </c>
      <c r="R406" s="41">
        <f t="shared" si="31"/>
        <v>104.7976</v>
      </c>
      <c r="S406" s="41">
        <f t="shared" si="32"/>
        <v>-34.911199999999994</v>
      </c>
      <c r="T406" s="41">
        <f t="shared" si="33"/>
        <v>81.93</v>
      </c>
    </row>
    <row r="407" spans="10:20">
      <c r="J407" s="119">
        <v>44257</v>
      </c>
      <c r="K407" s="121">
        <v>75.5244</v>
      </c>
      <c r="L407" s="121">
        <v>86.120800000000003</v>
      </c>
      <c r="M407" s="121">
        <v>10.596400000000003</v>
      </c>
      <c r="N407" s="120">
        <v>62.8</v>
      </c>
      <c r="O407" s="120">
        <v>32.799999999999997</v>
      </c>
      <c r="P407" s="39">
        <f t="shared" si="34"/>
        <v>44417</v>
      </c>
      <c r="Q407" s="41">
        <f t="shared" si="30"/>
        <v>139.7088</v>
      </c>
      <c r="R407" s="41">
        <f t="shared" si="31"/>
        <v>104.7976</v>
      </c>
      <c r="S407" s="41">
        <f t="shared" si="32"/>
        <v>-34.911199999999994</v>
      </c>
      <c r="T407" s="41">
        <f t="shared" si="33"/>
        <v>81.93</v>
      </c>
    </row>
    <row r="408" spans="10:20">
      <c r="J408" s="119">
        <v>44256</v>
      </c>
      <c r="K408" s="121">
        <v>75.5244</v>
      </c>
      <c r="L408" s="121">
        <v>86.120800000000003</v>
      </c>
      <c r="M408" s="121">
        <v>10.596400000000003</v>
      </c>
      <c r="N408" s="120">
        <v>62.8</v>
      </c>
      <c r="O408" s="120">
        <v>32.799999999999997</v>
      </c>
      <c r="P408" s="39">
        <f t="shared" si="34"/>
        <v>44416</v>
      </c>
      <c r="Q408" s="41">
        <f t="shared" si="30"/>
        <v>139.7088</v>
      </c>
      <c r="R408" s="41">
        <f t="shared" si="31"/>
        <v>104.7976</v>
      </c>
      <c r="S408" s="41">
        <f t="shared" si="32"/>
        <v>-34.911199999999994</v>
      </c>
      <c r="T408" s="41">
        <f t="shared" si="33"/>
        <v>81.93</v>
      </c>
    </row>
    <row r="409" spans="10:20">
      <c r="J409" s="119">
        <v>44253</v>
      </c>
      <c r="K409" s="121">
        <v>75.5244</v>
      </c>
      <c r="L409" s="121">
        <v>86.639600000000002</v>
      </c>
      <c r="M409" s="121">
        <v>11.115200000000002</v>
      </c>
      <c r="N409" s="120">
        <v>62.8</v>
      </c>
      <c r="O409" s="120">
        <v>32.799999999999997</v>
      </c>
      <c r="P409" s="39">
        <f t="shared" si="34"/>
        <v>44415</v>
      </c>
      <c r="Q409" s="41">
        <f t="shared" si="30"/>
        <v>139.7088</v>
      </c>
      <c r="R409" s="41">
        <f t="shared" si="31"/>
        <v>104.7976</v>
      </c>
      <c r="S409" s="41">
        <f t="shared" si="32"/>
        <v>-34.911199999999994</v>
      </c>
      <c r="T409" s="41">
        <f t="shared" si="33"/>
        <v>81.93</v>
      </c>
    </row>
    <row r="410" spans="10:20">
      <c r="J410" s="119">
        <v>44252</v>
      </c>
      <c r="K410" s="121">
        <v>75.977999999999994</v>
      </c>
      <c r="L410" s="121">
        <v>86.639600000000002</v>
      </c>
      <c r="M410" s="121">
        <v>10.661600000000007</v>
      </c>
      <c r="N410" s="120">
        <v>62.88</v>
      </c>
      <c r="O410" s="120">
        <v>32.880000000000003</v>
      </c>
      <c r="P410" s="39">
        <f t="shared" si="34"/>
        <v>44414</v>
      </c>
      <c r="Q410" s="41">
        <f t="shared" si="30"/>
        <v>139.7088</v>
      </c>
      <c r="R410" s="41">
        <f t="shared" si="31"/>
        <v>104.7976</v>
      </c>
      <c r="S410" s="41">
        <f t="shared" si="32"/>
        <v>-34.911199999999994</v>
      </c>
      <c r="T410" s="41">
        <f t="shared" si="33"/>
        <v>81.93</v>
      </c>
    </row>
    <row r="411" spans="10:20">
      <c r="J411" s="119">
        <v>44251</v>
      </c>
      <c r="K411" s="121">
        <v>75.977999999999994</v>
      </c>
      <c r="L411" s="121">
        <v>86.639600000000002</v>
      </c>
      <c r="M411" s="121">
        <v>10.661600000000007</v>
      </c>
      <c r="N411" s="120">
        <v>62.88</v>
      </c>
      <c r="O411" s="120">
        <v>32.880000000000003</v>
      </c>
      <c r="P411" s="39">
        <f t="shared" si="34"/>
        <v>44413</v>
      </c>
      <c r="Q411" s="41">
        <f t="shared" si="30"/>
        <v>136.9872</v>
      </c>
      <c r="R411" s="41">
        <f t="shared" si="31"/>
        <v>104.2788</v>
      </c>
      <c r="S411" s="41">
        <f t="shared" si="32"/>
        <v>-32.708399999999997</v>
      </c>
      <c r="T411" s="41">
        <f t="shared" si="33"/>
        <v>80.150000000000006</v>
      </c>
    </row>
    <row r="412" spans="10:20">
      <c r="J412" s="119">
        <v>44250</v>
      </c>
      <c r="K412" s="121">
        <v>75.977999999999994</v>
      </c>
      <c r="L412" s="121">
        <v>86.639600000000002</v>
      </c>
      <c r="M412" s="121">
        <v>10.661600000000007</v>
      </c>
      <c r="N412" s="120">
        <v>62.88</v>
      </c>
      <c r="O412" s="120">
        <v>32.880000000000003</v>
      </c>
      <c r="P412" s="39">
        <f t="shared" si="34"/>
        <v>44412</v>
      </c>
      <c r="Q412" s="41">
        <f t="shared" si="30"/>
        <v>136.9872</v>
      </c>
      <c r="R412" s="41">
        <f t="shared" si="31"/>
        <v>104.2788</v>
      </c>
      <c r="S412" s="41">
        <f t="shared" si="32"/>
        <v>-32.708399999999997</v>
      </c>
      <c r="T412" s="41">
        <f t="shared" si="33"/>
        <v>80.150000000000006</v>
      </c>
    </row>
    <row r="413" spans="10:20">
      <c r="J413" s="119">
        <v>44249</v>
      </c>
      <c r="K413" s="121">
        <v>75.977999999999994</v>
      </c>
      <c r="L413" s="121">
        <v>86.639600000000002</v>
      </c>
      <c r="M413" s="121">
        <v>10.661600000000007</v>
      </c>
      <c r="N413" s="120">
        <v>62.88</v>
      </c>
      <c r="O413" s="120">
        <v>32.880000000000003</v>
      </c>
      <c r="P413" s="39">
        <f t="shared" si="34"/>
        <v>44411</v>
      </c>
      <c r="Q413" s="41">
        <f t="shared" si="30"/>
        <v>136.9872</v>
      </c>
      <c r="R413" s="41">
        <f t="shared" si="31"/>
        <v>104.2788</v>
      </c>
      <c r="S413" s="41">
        <f t="shared" si="32"/>
        <v>-32.708399999999997</v>
      </c>
      <c r="T413" s="41">
        <f t="shared" si="33"/>
        <v>80.150000000000006</v>
      </c>
    </row>
    <row r="414" spans="10:20">
      <c r="J414" s="119">
        <v>44246</v>
      </c>
      <c r="K414" s="121">
        <v>75.977999999999994</v>
      </c>
      <c r="L414" s="121">
        <v>86.639600000000002</v>
      </c>
      <c r="M414" s="121">
        <v>10.661600000000007</v>
      </c>
      <c r="N414" s="120">
        <v>62.88</v>
      </c>
      <c r="O414" s="120">
        <v>32.880000000000003</v>
      </c>
      <c r="P414" s="39">
        <f t="shared" si="34"/>
        <v>44410</v>
      </c>
      <c r="Q414" s="41">
        <f t="shared" si="30"/>
        <v>136.9872</v>
      </c>
      <c r="R414" s="41">
        <f t="shared" si="31"/>
        <v>104.2788</v>
      </c>
      <c r="S414" s="41">
        <f t="shared" si="32"/>
        <v>-32.708399999999997</v>
      </c>
      <c r="T414" s="41">
        <f t="shared" si="33"/>
        <v>80.150000000000006</v>
      </c>
    </row>
    <row r="415" spans="10:20">
      <c r="J415" s="119">
        <v>44245</v>
      </c>
      <c r="K415" s="121">
        <v>77.338800000000006</v>
      </c>
      <c r="L415" s="121">
        <v>86.639600000000002</v>
      </c>
      <c r="M415" s="121">
        <v>9.3007999999999953</v>
      </c>
      <c r="N415" s="120">
        <v>62.93</v>
      </c>
      <c r="O415" s="120">
        <v>32.93</v>
      </c>
      <c r="P415" s="39">
        <f t="shared" si="34"/>
        <v>44409</v>
      </c>
      <c r="Q415" s="41">
        <f t="shared" si="30"/>
        <v>136.9872</v>
      </c>
      <c r="R415" s="41">
        <f t="shared" si="31"/>
        <v>103.24120000000001</v>
      </c>
      <c r="S415" s="41">
        <f t="shared" si="32"/>
        <v>-33.745999999999995</v>
      </c>
      <c r="T415" s="41">
        <f t="shared" si="33"/>
        <v>80.150000000000006</v>
      </c>
    </row>
    <row r="416" spans="10:20">
      <c r="J416" s="119">
        <v>44244</v>
      </c>
      <c r="K416" s="121">
        <v>77.338800000000006</v>
      </c>
      <c r="L416" s="121">
        <v>86.639600000000002</v>
      </c>
      <c r="M416" s="121">
        <v>9.3007999999999953</v>
      </c>
      <c r="N416" s="120">
        <v>62.93</v>
      </c>
      <c r="O416" s="120">
        <v>32.93</v>
      </c>
      <c r="P416" s="39">
        <f t="shared" si="34"/>
        <v>44408</v>
      </c>
      <c r="Q416" s="41">
        <f t="shared" si="30"/>
        <v>136.9872</v>
      </c>
      <c r="R416" s="41">
        <f t="shared" si="31"/>
        <v>103.24120000000001</v>
      </c>
      <c r="S416" s="41">
        <f t="shared" si="32"/>
        <v>-33.745999999999995</v>
      </c>
      <c r="T416" s="41">
        <f t="shared" si="33"/>
        <v>80.150000000000006</v>
      </c>
    </row>
    <row r="417" spans="10:20">
      <c r="J417" s="119">
        <v>44243</v>
      </c>
      <c r="K417" s="121">
        <v>77.338800000000006</v>
      </c>
      <c r="L417" s="121">
        <v>86.639600000000002</v>
      </c>
      <c r="M417" s="121">
        <v>9.3007999999999953</v>
      </c>
      <c r="N417" s="120">
        <v>62.93</v>
      </c>
      <c r="O417" s="120">
        <v>32.93</v>
      </c>
      <c r="P417" s="39">
        <f t="shared" si="34"/>
        <v>44407</v>
      </c>
      <c r="Q417" s="41">
        <f t="shared" si="30"/>
        <v>136.9872</v>
      </c>
      <c r="R417" s="41">
        <f t="shared" si="31"/>
        <v>103.24120000000001</v>
      </c>
      <c r="S417" s="41">
        <f t="shared" si="32"/>
        <v>-33.745999999999995</v>
      </c>
      <c r="T417" s="41">
        <f t="shared" si="33"/>
        <v>80.150000000000006</v>
      </c>
    </row>
    <row r="418" spans="10:20">
      <c r="J418" s="119">
        <v>44242</v>
      </c>
      <c r="K418" s="121">
        <v>77.338800000000006</v>
      </c>
      <c r="L418" s="121">
        <v>86.639600000000002</v>
      </c>
      <c r="M418" s="121">
        <v>9.3007999999999953</v>
      </c>
      <c r="N418" s="120">
        <v>62.93</v>
      </c>
      <c r="O418" s="120">
        <v>32.93</v>
      </c>
      <c r="P418" s="39">
        <f t="shared" si="34"/>
        <v>44406</v>
      </c>
      <c r="Q418" s="41">
        <f t="shared" si="30"/>
        <v>135.89856</v>
      </c>
      <c r="R418" s="41">
        <f t="shared" si="31"/>
        <v>103.24120000000001</v>
      </c>
      <c r="S418" s="41">
        <f t="shared" si="32"/>
        <v>-32.657359999999997</v>
      </c>
      <c r="T418" s="41">
        <f t="shared" si="33"/>
        <v>79.25</v>
      </c>
    </row>
    <row r="419" spans="10:20">
      <c r="J419" s="119">
        <v>44239</v>
      </c>
      <c r="K419" s="121">
        <v>77.338800000000006</v>
      </c>
      <c r="L419" s="121">
        <v>86.639600000000002</v>
      </c>
      <c r="M419" s="121">
        <v>9.3007999999999953</v>
      </c>
      <c r="N419" s="120">
        <v>62.93</v>
      </c>
      <c r="O419" s="120">
        <v>32.93</v>
      </c>
      <c r="P419" s="39">
        <f t="shared" si="34"/>
        <v>44405</v>
      </c>
      <c r="Q419" s="41">
        <f t="shared" si="30"/>
        <v>135.89856</v>
      </c>
      <c r="R419" s="41">
        <f t="shared" si="31"/>
        <v>100.6472</v>
      </c>
      <c r="S419" s="41">
        <f t="shared" si="32"/>
        <v>-35.251360000000005</v>
      </c>
      <c r="T419" s="41">
        <f t="shared" si="33"/>
        <v>79.25</v>
      </c>
    </row>
    <row r="420" spans="10:20">
      <c r="J420" s="119">
        <v>44238</v>
      </c>
      <c r="K420" s="121">
        <v>74.3904</v>
      </c>
      <c r="L420" s="121">
        <v>86.639600000000002</v>
      </c>
      <c r="M420" s="121">
        <v>12.249200000000002</v>
      </c>
      <c r="N420" s="120">
        <v>62.9</v>
      </c>
      <c r="O420" s="120">
        <v>32.9</v>
      </c>
      <c r="P420" s="39">
        <f t="shared" si="34"/>
        <v>44404</v>
      </c>
      <c r="Q420" s="41">
        <f t="shared" si="30"/>
        <v>135.89856</v>
      </c>
      <c r="R420" s="41">
        <f t="shared" si="31"/>
        <v>100.6472</v>
      </c>
      <c r="S420" s="41">
        <f t="shared" si="32"/>
        <v>-35.251360000000005</v>
      </c>
      <c r="T420" s="41">
        <f t="shared" si="33"/>
        <v>79.25</v>
      </c>
    </row>
    <row r="421" spans="10:20">
      <c r="J421" s="119">
        <v>44237</v>
      </c>
      <c r="K421" s="121">
        <v>74.3904</v>
      </c>
      <c r="L421" s="121">
        <v>86.639600000000002</v>
      </c>
      <c r="M421" s="121">
        <v>12.249200000000002</v>
      </c>
      <c r="N421" s="120">
        <v>62.9</v>
      </c>
      <c r="O421" s="120">
        <v>32.9</v>
      </c>
      <c r="P421" s="39">
        <f t="shared" si="34"/>
        <v>44403</v>
      </c>
      <c r="Q421" s="41">
        <f t="shared" si="30"/>
        <v>135.89856</v>
      </c>
      <c r="R421" s="41">
        <f t="shared" si="31"/>
        <v>99.6096</v>
      </c>
      <c r="S421" s="41">
        <f t="shared" si="32"/>
        <v>-36.288960000000003</v>
      </c>
      <c r="T421" s="41">
        <f t="shared" si="33"/>
        <v>79.25</v>
      </c>
    </row>
    <row r="422" spans="10:20">
      <c r="J422" s="119">
        <v>44236</v>
      </c>
      <c r="K422" s="121">
        <v>74.3904</v>
      </c>
      <c r="L422" s="121">
        <v>86.639600000000002</v>
      </c>
      <c r="M422" s="121">
        <v>12.249200000000002</v>
      </c>
      <c r="N422" s="120">
        <v>62.9</v>
      </c>
      <c r="O422" s="120">
        <v>32.9</v>
      </c>
      <c r="P422" s="39">
        <f t="shared" si="34"/>
        <v>44402</v>
      </c>
      <c r="Q422" s="41">
        <f t="shared" si="30"/>
        <v>135.89856</v>
      </c>
      <c r="R422" s="41">
        <f t="shared" si="31"/>
        <v>99.6096</v>
      </c>
      <c r="S422" s="41">
        <f t="shared" si="32"/>
        <v>-36.288960000000003</v>
      </c>
      <c r="T422" s="41">
        <f t="shared" si="33"/>
        <v>79.25</v>
      </c>
    </row>
    <row r="423" spans="10:20">
      <c r="J423" s="119">
        <v>44235</v>
      </c>
      <c r="K423" s="121">
        <v>74.3904</v>
      </c>
      <c r="L423" s="121">
        <v>86.639600000000002</v>
      </c>
      <c r="M423" s="121">
        <v>12.249200000000002</v>
      </c>
      <c r="N423" s="120">
        <v>62.9</v>
      </c>
      <c r="O423" s="120">
        <v>32.9</v>
      </c>
      <c r="P423" s="39">
        <f t="shared" si="34"/>
        <v>44401</v>
      </c>
      <c r="Q423" s="41">
        <f t="shared" si="30"/>
        <v>135.89856</v>
      </c>
      <c r="R423" s="41">
        <f t="shared" si="31"/>
        <v>99.6096</v>
      </c>
      <c r="S423" s="41">
        <f t="shared" si="32"/>
        <v>-36.288960000000003</v>
      </c>
      <c r="T423" s="41">
        <f t="shared" si="33"/>
        <v>79.25</v>
      </c>
    </row>
    <row r="424" spans="10:20">
      <c r="J424" s="119">
        <v>44232</v>
      </c>
      <c r="K424" s="121">
        <v>74.3904</v>
      </c>
      <c r="L424" s="121">
        <v>86.639600000000002</v>
      </c>
      <c r="M424" s="121">
        <v>12.249200000000002</v>
      </c>
      <c r="N424" s="120">
        <v>62.9</v>
      </c>
      <c r="O424" s="120">
        <v>32.9</v>
      </c>
      <c r="P424" s="39">
        <f t="shared" si="34"/>
        <v>44400</v>
      </c>
      <c r="Q424" s="41">
        <f t="shared" si="30"/>
        <v>135.89856</v>
      </c>
      <c r="R424" s="41">
        <f t="shared" si="31"/>
        <v>99.6096</v>
      </c>
      <c r="S424" s="41">
        <f t="shared" si="32"/>
        <v>-36.288960000000003</v>
      </c>
      <c r="T424" s="41">
        <f t="shared" si="33"/>
        <v>79.25</v>
      </c>
    </row>
    <row r="425" spans="10:20">
      <c r="J425" s="119">
        <v>44231</v>
      </c>
      <c r="K425" s="121">
        <v>75.5244</v>
      </c>
      <c r="L425" s="121">
        <v>86.639600000000002</v>
      </c>
      <c r="M425" s="121">
        <v>11.115200000000002</v>
      </c>
      <c r="N425" s="120">
        <v>62.74</v>
      </c>
      <c r="O425" s="120">
        <v>32.74</v>
      </c>
      <c r="P425" s="39">
        <f t="shared" si="34"/>
        <v>44399</v>
      </c>
      <c r="Q425" s="41">
        <f t="shared" si="30"/>
        <v>131.99760000000001</v>
      </c>
      <c r="R425" s="41">
        <f t="shared" si="31"/>
        <v>98.572000000000003</v>
      </c>
      <c r="S425" s="41">
        <f t="shared" si="32"/>
        <v>-33.425600000000003</v>
      </c>
      <c r="T425" s="41">
        <f t="shared" si="33"/>
        <v>77.77000000000001</v>
      </c>
    </row>
    <row r="426" spans="10:20">
      <c r="J426" s="119">
        <v>44230</v>
      </c>
      <c r="K426" s="121">
        <v>75.5244</v>
      </c>
      <c r="L426" s="121">
        <v>86.639600000000002</v>
      </c>
      <c r="M426" s="121">
        <v>11.115200000000002</v>
      </c>
      <c r="N426" s="120">
        <v>62.74</v>
      </c>
      <c r="O426" s="120">
        <v>32.74</v>
      </c>
      <c r="P426" s="39">
        <f t="shared" si="34"/>
        <v>44398</v>
      </c>
      <c r="Q426" s="41">
        <f t="shared" si="30"/>
        <v>131.99760000000001</v>
      </c>
      <c r="R426" s="41">
        <f t="shared" si="31"/>
        <v>98.572000000000003</v>
      </c>
      <c r="S426" s="41">
        <f t="shared" si="32"/>
        <v>-33.425600000000003</v>
      </c>
      <c r="T426" s="41">
        <f t="shared" si="33"/>
        <v>77.77000000000001</v>
      </c>
    </row>
    <row r="427" spans="10:20">
      <c r="J427" s="119">
        <v>44229</v>
      </c>
      <c r="K427" s="121">
        <v>75.5244</v>
      </c>
      <c r="L427" s="121">
        <v>86.639600000000002</v>
      </c>
      <c r="M427" s="121">
        <v>11.115200000000002</v>
      </c>
      <c r="N427" s="120">
        <v>62.74</v>
      </c>
      <c r="O427" s="120">
        <v>32.74</v>
      </c>
      <c r="P427" s="39">
        <f t="shared" si="34"/>
        <v>44397</v>
      </c>
      <c r="Q427" s="41">
        <f t="shared" si="30"/>
        <v>131.99760000000001</v>
      </c>
      <c r="R427" s="41">
        <f t="shared" si="31"/>
        <v>98.572000000000003</v>
      </c>
      <c r="S427" s="41">
        <f t="shared" si="32"/>
        <v>-33.425600000000003</v>
      </c>
      <c r="T427" s="41">
        <f t="shared" si="33"/>
        <v>77.77000000000001</v>
      </c>
    </row>
    <row r="428" spans="10:20">
      <c r="J428" s="119">
        <v>44228</v>
      </c>
      <c r="K428" s="121">
        <v>75.5244</v>
      </c>
      <c r="L428" s="121">
        <v>86.639600000000002</v>
      </c>
      <c r="M428" s="121">
        <v>11.115200000000002</v>
      </c>
      <c r="N428" s="120">
        <v>62.74</v>
      </c>
      <c r="O428" s="120">
        <v>32.74</v>
      </c>
      <c r="P428" s="39">
        <f t="shared" si="34"/>
        <v>44396</v>
      </c>
      <c r="Q428" s="41">
        <f t="shared" si="30"/>
        <v>131.99760000000001</v>
      </c>
      <c r="R428" s="41">
        <f t="shared" si="31"/>
        <v>98.572000000000003</v>
      </c>
      <c r="S428" s="41">
        <f t="shared" si="32"/>
        <v>-33.425600000000003</v>
      </c>
      <c r="T428" s="41">
        <f t="shared" si="33"/>
        <v>77.77000000000001</v>
      </c>
    </row>
    <row r="429" spans="10:20">
      <c r="J429" s="119">
        <v>44225</v>
      </c>
      <c r="K429" s="121">
        <v>75.5244</v>
      </c>
      <c r="L429" s="121">
        <v>86.639600000000002</v>
      </c>
      <c r="M429" s="121">
        <v>11.115200000000002</v>
      </c>
      <c r="N429" s="120">
        <v>62.74</v>
      </c>
      <c r="O429" s="120">
        <v>32.74</v>
      </c>
      <c r="P429" s="39">
        <f t="shared" si="34"/>
        <v>44395</v>
      </c>
      <c r="Q429" s="41">
        <f t="shared" si="30"/>
        <v>131.99760000000001</v>
      </c>
      <c r="R429" s="41">
        <f t="shared" si="31"/>
        <v>98.572000000000003</v>
      </c>
      <c r="S429" s="41">
        <f t="shared" si="32"/>
        <v>-33.425600000000003</v>
      </c>
      <c r="T429" s="41">
        <f t="shared" si="33"/>
        <v>77.77000000000001</v>
      </c>
    </row>
    <row r="430" spans="10:20">
      <c r="J430" s="119">
        <v>44224</v>
      </c>
      <c r="K430" s="121">
        <v>76.885199999999998</v>
      </c>
      <c r="L430" s="121">
        <v>86.639600000000002</v>
      </c>
      <c r="M430" s="121">
        <v>9.754400000000004</v>
      </c>
      <c r="N430" s="120">
        <v>62.85</v>
      </c>
      <c r="O430" s="120">
        <v>32.85</v>
      </c>
      <c r="P430" s="39">
        <f t="shared" si="34"/>
        <v>44394</v>
      </c>
      <c r="Q430" s="41">
        <f t="shared" si="30"/>
        <v>131.99760000000001</v>
      </c>
      <c r="R430" s="41">
        <f t="shared" si="31"/>
        <v>98.572000000000003</v>
      </c>
      <c r="S430" s="41">
        <f t="shared" si="32"/>
        <v>-33.425600000000003</v>
      </c>
      <c r="T430" s="41">
        <f t="shared" si="33"/>
        <v>77.77000000000001</v>
      </c>
    </row>
    <row r="431" spans="10:20">
      <c r="J431" s="119">
        <v>44223</v>
      </c>
      <c r="K431" s="121">
        <v>76.885199999999998</v>
      </c>
      <c r="L431" s="121">
        <v>86.639600000000002</v>
      </c>
      <c r="M431" s="121">
        <v>9.754400000000004</v>
      </c>
      <c r="N431" s="120">
        <v>62.85</v>
      </c>
      <c r="O431" s="120">
        <v>32.85</v>
      </c>
      <c r="P431" s="39">
        <f t="shared" si="34"/>
        <v>44393</v>
      </c>
      <c r="Q431" s="41">
        <f t="shared" si="30"/>
        <v>131.99760000000001</v>
      </c>
      <c r="R431" s="41">
        <f t="shared" si="31"/>
        <v>98.572000000000003</v>
      </c>
      <c r="S431" s="41">
        <f t="shared" si="32"/>
        <v>-33.425600000000003</v>
      </c>
      <c r="T431" s="41">
        <f t="shared" si="33"/>
        <v>77.77000000000001</v>
      </c>
    </row>
    <row r="432" spans="10:20">
      <c r="J432" s="119">
        <v>44222</v>
      </c>
      <c r="K432" s="121">
        <v>76.885199999999998</v>
      </c>
      <c r="L432" s="121">
        <v>86.639600000000002</v>
      </c>
      <c r="M432" s="121">
        <v>9.754400000000004</v>
      </c>
      <c r="N432" s="120">
        <v>62.85</v>
      </c>
      <c r="O432" s="120">
        <v>32.85</v>
      </c>
      <c r="P432" s="39">
        <f t="shared" si="34"/>
        <v>44392</v>
      </c>
      <c r="Q432" s="41">
        <f t="shared" si="30"/>
        <v>126.10080000000001</v>
      </c>
      <c r="R432" s="41">
        <f t="shared" si="31"/>
        <v>96.496799999999993</v>
      </c>
      <c r="S432" s="41">
        <f t="shared" si="32"/>
        <v>-29.604000000000013</v>
      </c>
      <c r="T432" s="41">
        <f t="shared" si="33"/>
        <v>73.27000000000001</v>
      </c>
    </row>
    <row r="433" spans="10:20">
      <c r="J433" s="119">
        <v>44221</v>
      </c>
      <c r="K433" s="121">
        <v>76.885199999999998</v>
      </c>
      <c r="L433" s="121">
        <v>86.639600000000002</v>
      </c>
      <c r="M433" s="121">
        <v>9.754400000000004</v>
      </c>
      <c r="N433" s="120">
        <v>62.85</v>
      </c>
      <c r="O433" s="120">
        <v>32.85</v>
      </c>
      <c r="P433" s="39">
        <f t="shared" si="34"/>
        <v>44391</v>
      </c>
      <c r="Q433" s="41">
        <f t="shared" si="30"/>
        <v>126.10080000000001</v>
      </c>
      <c r="R433" s="41">
        <f t="shared" si="31"/>
        <v>96.496799999999993</v>
      </c>
      <c r="S433" s="41">
        <f t="shared" si="32"/>
        <v>-29.604000000000013</v>
      </c>
      <c r="T433" s="41">
        <f t="shared" si="33"/>
        <v>73.27000000000001</v>
      </c>
    </row>
    <row r="434" spans="10:20">
      <c r="J434" s="119">
        <v>44218</v>
      </c>
      <c r="K434" s="121">
        <v>76.885199999999998</v>
      </c>
      <c r="L434" s="121">
        <v>86.639600000000002</v>
      </c>
      <c r="M434" s="121">
        <v>9.754400000000004</v>
      </c>
      <c r="N434" s="120">
        <v>62.85</v>
      </c>
      <c r="O434" s="120">
        <v>32.85</v>
      </c>
      <c r="P434" s="39">
        <f t="shared" si="34"/>
        <v>44390</v>
      </c>
      <c r="Q434" s="41">
        <f t="shared" si="30"/>
        <v>126.10080000000001</v>
      </c>
      <c r="R434" s="41">
        <f t="shared" si="31"/>
        <v>96.496799999999993</v>
      </c>
      <c r="S434" s="41">
        <f t="shared" si="32"/>
        <v>-29.604000000000013</v>
      </c>
      <c r="T434" s="41">
        <f t="shared" si="33"/>
        <v>73.27000000000001</v>
      </c>
    </row>
    <row r="435" spans="10:20">
      <c r="J435" s="119">
        <v>44217</v>
      </c>
      <c r="K435" s="121">
        <v>77.111999999999995</v>
      </c>
      <c r="L435" s="121">
        <v>86.639600000000002</v>
      </c>
      <c r="M435" s="121">
        <v>9.5276000000000067</v>
      </c>
      <c r="N435" s="120">
        <v>62.58</v>
      </c>
      <c r="O435" s="120">
        <v>32.58</v>
      </c>
      <c r="P435" s="39">
        <f t="shared" si="34"/>
        <v>44389</v>
      </c>
      <c r="Q435" s="41">
        <f t="shared" si="30"/>
        <v>126.10080000000001</v>
      </c>
      <c r="R435" s="41">
        <f t="shared" si="31"/>
        <v>96.496799999999993</v>
      </c>
      <c r="S435" s="41">
        <f t="shared" si="32"/>
        <v>-29.604000000000013</v>
      </c>
      <c r="T435" s="41">
        <f t="shared" si="33"/>
        <v>73.27000000000001</v>
      </c>
    </row>
    <row r="436" spans="10:20">
      <c r="J436" s="119">
        <v>44216</v>
      </c>
      <c r="K436" s="121">
        <v>77.111999999999995</v>
      </c>
      <c r="L436" s="121">
        <v>86.639600000000002</v>
      </c>
      <c r="M436" s="121">
        <v>9.5276000000000067</v>
      </c>
      <c r="N436" s="120">
        <v>62.58</v>
      </c>
      <c r="O436" s="120">
        <v>32.58</v>
      </c>
      <c r="P436" s="39">
        <f t="shared" si="34"/>
        <v>44388</v>
      </c>
      <c r="Q436" s="41">
        <f t="shared" si="30"/>
        <v>126.10080000000001</v>
      </c>
      <c r="R436" s="41">
        <f t="shared" si="31"/>
        <v>96.496799999999993</v>
      </c>
      <c r="S436" s="41">
        <f t="shared" si="32"/>
        <v>-29.604000000000013</v>
      </c>
      <c r="T436" s="41">
        <f t="shared" si="33"/>
        <v>73.27000000000001</v>
      </c>
    </row>
    <row r="437" spans="10:20">
      <c r="J437" s="119">
        <v>44215</v>
      </c>
      <c r="K437" s="121">
        <v>77.111999999999995</v>
      </c>
      <c r="L437" s="121">
        <v>86.639600000000002</v>
      </c>
      <c r="M437" s="121">
        <v>9.5276000000000067</v>
      </c>
      <c r="N437" s="120">
        <v>62.58</v>
      </c>
      <c r="O437" s="120">
        <v>32.58</v>
      </c>
      <c r="P437" s="39">
        <f t="shared" si="34"/>
        <v>44387</v>
      </c>
      <c r="Q437" s="41">
        <f t="shared" si="30"/>
        <v>126.10080000000001</v>
      </c>
      <c r="R437" s="41">
        <f t="shared" si="31"/>
        <v>96.496799999999993</v>
      </c>
      <c r="S437" s="41">
        <f t="shared" si="32"/>
        <v>-29.604000000000013</v>
      </c>
      <c r="T437" s="41">
        <f t="shared" si="33"/>
        <v>73.27000000000001</v>
      </c>
    </row>
    <row r="438" spans="10:20">
      <c r="J438" s="119">
        <v>44214</v>
      </c>
      <c r="K438" s="121">
        <v>77.111999999999995</v>
      </c>
      <c r="L438" s="121">
        <v>86.639600000000002</v>
      </c>
      <c r="M438" s="121">
        <v>9.5276000000000067</v>
      </c>
      <c r="N438" s="120">
        <v>62.58</v>
      </c>
      <c r="O438" s="120">
        <v>32.58</v>
      </c>
      <c r="P438" s="39">
        <f t="shared" si="34"/>
        <v>44386</v>
      </c>
      <c r="Q438" s="41">
        <f t="shared" si="30"/>
        <v>126.10080000000001</v>
      </c>
      <c r="R438" s="41">
        <f t="shared" si="31"/>
        <v>96.496799999999993</v>
      </c>
      <c r="S438" s="41">
        <f t="shared" si="32"/>
        <v>-29.604000000000013</v>
      </c>
      <c r="T438" s="41">
        <f t="shared" si="33"/>
        <v>73.27000000000001</v>
      </c>
    </row>
    <row r="439" spans="10:20">
      <c r="J439" s="119">
        <v>44211</v>
      </c>
      <c r="K439" s="121">
        <v>77.111999999999995</v>
      </c>
      <c r="L439" s="121">
        <v>86.639600000000002</v>
      </c>
      <c r="M439" s="121">
        <v>9.5276000000000067</v>
      </c>
      <c r="N439" s="120">
        <v>62.58</v>
      </c>
      <c r="O439" s="120">
        <v>32.58</v>
      </c>
      <c r="P439" s="39">
        <f t="shared" si="34"/>
        <v>44385</v>
      </c>
      <c r="Q439" s="41">
        <f t="shared" si="30"/>
        <v>121.1112</v>
      </c>
      <c r="R439" s="41">
        <f t="shared" si="31"/>
        <v>95.459199999999996</v>
      </c>
      <c r="S439" s="41">
        <f t="shared" si="32"/>
        <v>-25.652000000000001</v>
      </c>
      <c r="T439" s="41">
        <f t="shared" si="33"/>
        <v>70.8</v>
      </c>
    </row>
    <row r="440" spans="10:20">
      <c r="J440" s="119">
        <v>44210</v>
      </c>
      <c r="K440" s="121">
        <v>75.297600000000003</v>
      </c>
      <c r="L440" s="121">
        <v>86.639600000000002</v>
      </c>
      <c r="M440" s="121">
        <v>11.341999999999999</v>
      </c>
      <c r="N440" s="120">
        <v>62.41</v>
      </c>
      <c r="O440" s="120">
        <v>32.409999999999997</v>
      </c>
      <c r="P440" s="39">
        <f t="shared" si="34"/>
        <v>44384</v>
      </c>
      <c r="Q440" s="41">
        <f t="shared" si="30"/>
        <v>121.1112</v>
      </c>
      <c r="R440" s="41">
        <f t="shared" si="31"/>
        <v>95.459199999999996</v>
      </c>
      <c r="S440" s="41">
        <f t="shared" si="32"/>
        <v>-25.652000000000001</v>
      </c>
      <c r="T440" s="41">
        <f t="shared" si="33"/>
        <v>70.8</v>
      </c>
    </row>
    <row r="441" spans="10:20">
      <c r="J441" s="119">
        <v>44209</v>
      </c>
      <c r="K441" s="121">
        <v>75.297600000000003</v>
      </c>
      <c r="L441" s="121">
        <v>86.120800000000003</v>
      </c>
      <c r="M441" s="121">
        <v>10.8232</v>
      </c>
      <c r="N441" s="120">
        <v>62.41</v>
      </c>
      <c r="O441" s="120">
        <v>32.409999999999997</v>
      </c>
      <c r="P441" s="39">
        <f t="shared" si="34"/>
        <v>44383</v>
      </c>
      <c r="Q441" s="41">
        <f t="shared" si="30"/>
        <v>121.1112</v>
      </c>
      <c r="R441" s="41">
        <f t="shared" si="31"/>
        <v>95.459199999999996</v>
      </c>
      <c r="S441" s="41">
        <f t="shared" si="32"/>
        <v>-25.652000000000001</v>
      </c>
      <c r="T441" s="41">
        <f t="shared" si="33"/>
        <v>70.8</v>
      </c>
    </row>
    <row r="442" spans="10:20">
      <c r="J442" s="119">
        <v>44208</v>
      </c>
      <c r="K442" s="121">
        <v>75.297600000000003</v>
      </c>
      <c r="L442" s="121">
        <v>84.045599999999993</v>
      </c>
      <c r="M442" s="121">
        <v>8.7479999999999905</v>
      </c>
      <c r="N442" s="120">
        <v>62.41</v>
      </c>
      <c r="O442" s="120">
        <v>32.409999999999997</v>
      </c>
      <c r="P442" s="39">
        <f t="shared" si="34"/>
        <v>44382</v>
      </c>
      <c r="Q442" s="41">
        <f t="shared" si="30"/>
        <v>121.1112</v>
      </c>
      <c r="R442" s="41">
        <f t="shared" si="31"/>
        <v>95.459199999999996</v>
      </c>
      <c r="S442" s="41">
        <f t="shared" si="32"/>
        <v>-25.652000000000001</v>
      </c>
      <c r="T442" s="41">
        <f t="shared" si="33"/>
        <v>70.8</v>
      </c>
    </row>
    <row r="443" spans="10:20">
      <c r="J443" s="119">
        <v>44207</v>
      </c>
      <c r="K443" s="121">
        <v>75.297600000000003</v>
      </c>
      <c r="L443" s="121">
        <v>84.045599999999993</v>
      </c>
      <c r="M443" s="121">
        <v>8.7479999999999905</v>
      </c>
      <c r="N443" s="120">
        <v>62.41</v>
      </c>
      <c r="O443" s="120">
        <v>32.409999999999997</v>
      </c>
      <c r="P443" s="39">
        <f t="shared" si="34"/>
        <v>44381</v>
      </c>
      <c r="Q443" s="41">
        <f t="shared" si="30"/>
        <v>121.1112</v>
      </c>
      <c r="R443" s="41">
        <f t="shared" si="31"/>
        <v>95.459199999999996</v>
      </c>
      <c r="S443" s="41">
        <f t="shared" si="32"/>
        <v>-25.652000000000001</v>
      </c>
      <c r="T443" s="41">
        <f t="shared" si="33"/>
        <v>70.8</v>
      </c>
    </row>
    <row r="444" spans="10:20">
      <c r="J444" s="119">
        <v>44204</v>
      </c>
      <c r="K444" s="121">
        <v>75.297600000000003</v>
      </c>
      <c r="L444" s="121">
        <v>83.526799999999994</v>
      </c>
      <c r="M444" s="121">
        <v>8.2291999999999916</v>
      </c>
      <c r="N444" s="120">
        <v>62.41</v>
      </c>
      <c r="O444" s="120">
        <v>32.409999999999997</v>
      </c>
      <c r="P444" s="39">
        <f t="shared" si="34"/>
        <v>44380</v>
      </c>
      <c r="Q444" s="41">
        <f t="shared" si="30"/>
        <v>121.1112</v>
      </c>
      <c r="R444" s="41">
        <f t="shared" si="31"/>
        <v>95.459199999999996</v>
      </c>
      <c r="S444" s="41">
        <f t="shared" si="32"/>
        <v>-25.652000000000001</v>
      </c>
      <c r="T444" s="41">
        <f t="shared" si="33"/>
        <v>70.8</v>
      </c>
    </row>
    <row r="445" spans="10:20">
      <c r="J445" s="119">
        <v>44203</v>
      </c>
      <c r="K445" s="121">
        <v>73.483199999999997</v>
      </c>
      <c r="L445" s="121">
        <v>83.526799999999994</v>
      </c>
      <c r="M445" s="121">
        <v>10.043599999999998</v>
      </c>
      <c r="N445" s="120">
        <v>62.19</v>
      </c>
      <c r="O445" s="120">
        <v>32.19</v>
      </c>
      <c r="P445" s="39">
        <f t="shared" si="34"/>
        <v>44379</v>
      </c>
      <c r="Q445" s="41">
        <f t="shared" si="30"/>
        <v>121.1112</v>
      </c>
      <c r="R445" s="41">
        <f t="shared" si="31"/>
        <v>95.459199999999996</v>
      </c>
      <c r="S445" s="41">
        <f t="shared" si="32"/>
        <v>-25.652000000000001</v>
      </c>
      <c r="T445" s="41">
        <f t="shared" si="33"/>
        <v>70.8</v>
      </c>
    </row>
    <row r="446" spans="10:20">
      <c r="J446" s="119">
        <v>44202</v>
      </c>
      <c r="K446" s="121">
        <v>73.483199999999997</v>
      </c>
      <c r="L446" s="121">
        <v>83.526799999999994</v>
      </c>
      <c r="M446" s="121">
        <v>10.043599999999998</v>
      </c>
      <c r="N446" s="120">
        <v>62.19</v>
      </c>
      <c r="O446" s="120">
        <v>32.19</v>
      </c>
      <c r="P446" s="39">
        <f t="shared" si="34"/>
        <v>44378</v>
      </c>
      <c r="Q446" s="41">
        <f t="shared" si="30"/>
        <v>113.03712</v>
      </c>
      <c r="R446" s="41">
        <f t="shared" si="31"/>
        <v>95.459199999999996</v>
      </c>
      <c r="S446" s="41">
        <f t="shared" si="32"/>
        <v>-17.577920000000006</v>
      </c>
      <c r="T446" s="41">
        <f t="shared" si="33"/>
        <v>68.759999999999991</v>
      </c>
    </row>
    <row r="447" spans="10:20">
      <c r="J447" s="119">
        <v>44201</v>
      </c>
      <c r="K447" s="121">
        <v>73.483199999999997</v>
      </c>
      <c r="L447" s="121">
        <v>83.526799999999994</v>
      </c>
      <c r="M447" s="121">
        <v>10.043599999999998</v>
      </c>
      <c r="N447" s="120">
        <v>62.19</v>
      </c>
      <c r="O447" s="120">
        <v>32.19</v>
      </c>
      <c r="P447" s="39">
        <f t="shared" si="34"/>
        <v>44377</v>
      </c>
      <c r="Q447" s="41">
        <f t="shared" si="30"/>
        <v>113.03712</v>
      </c>
      <c r="R447" s="41">
        <f t="shared" si="31"/>
        <v>96.496799999999993</v>
      </c>
      <c r="S447" s="41">
        <f t="shared" si="32"/>
        <v>-16.540320000000008</v>
      </c>
      <c r="T447" s="41">
        <f t="shared" si="33"/>
        <v>68.759999999999991</v>
      </c>
    </row>
    <row r="448" spans="10:20">
      <c r="J448" s="119">
        <v>44200</v>
      </c>
      <c r="K448" s="121">
        <v>73.483199999999997</v>
      </c>
      <c r="L448" s="121">
        <v>83.526799999999994</v>
      </c>
      <c r="M448" s="121">
        <v>10.043599999999998</v>
      </c>
      <c r="N448" s="120">
        <v>62.19</v>
      </c>
      <c r="O448" s="120">
        <v>32.19</v>
      </c>
      <c r="P448" s="39">
        <f t="shared" si="34"/>
        <v>44376</v>
      </c>
      <c r="Q448" s="41">
        <f t="shared" si="30"/>
        <v>113.03712</v>
      </c>
      <c r="R448" s="41">
        <f t="shared" si="31"/>
        <v>95.459199999999996</v>
      </c>
      <c r="S448" s="41">
        <f t="shared" si="32"/>
        <v>-17.577920000000006</v>
      </c>
      <c r="T448" s="41">
        <f t="shared" si="33"/>
        <v>68.759999999999991</v>
      </c>
    </row>
    <row r="449" spans="10:20">
      <c r="J449" s="119">
        <v>44197</v>
      </c>
      <c r="K449" s="121">
        <v>73.483199999999997</v>
      </c>
      <c r="L449" s="121">
        <v>83.007999999999996</v>
      </c>
      <c r="M449" s="121">
        <v>9.524799999999999</v>
      </c>
      <c r="N449" s="120">
        <v>62.19</v>
      </c>
      <c r="O449" s="120">
        <v>32.19</v>
      </c>
      <c r="P449" s="39">
        <f t="shared" si="34"/>
        <v>44375</v>
      </c>
      <c r="Q449" s="41">
        <f t="shared" si="30"/>
        <v>113.03712</v>
      </c>
      <c r="R449" s="41">
        <f t="shared" si="31"/>
        <v>95.459199999999996</v>
      </c>
      <c r="S449" s="41">
        <f t="shared" si="32"/>
        <v>-17.577920000000006</v>
      </c>
      <c r="T449" s="41">
        <f t="shared" si="33"/>
        <v>68.759999999999991</v>
      </c>
    </row>
    <row r="450" spans="10:20">
      <c r="J450" s="119">
        <v>44196</v>
      </c>
      <c r="K450" s="121">
        <v>73.256399999999999</v>
      </c>
      <c r="L450" s="121">
        <v>83.007999999999996</v>
      </c>
      <c r="M450" s="121">
        <v>9.7515999999999963</v>
      </c>
      <c r="N450" s="120">
        <v>62.3</v>
      </c>
      <c r="O450" s="120">
        <v>32.299999999999997</v>
      </c>
      <c r="P450" s="39">
        <f t="shared" si="34"/>
        <v>44374</v>
      </c>
      <c r="Q450" s="41">
        <f t="shared" si="30"/>
        <v>113.03712</v>
      </c>
      <c r="R450" s="41">
        <f t="shared" si="31"/>
        <v>95.459199999999996</v>
      </c>
      <c r="S450" s="41">
        <f t="shared" si="32"/>
        <v>-17.577920000000006</v>
      </c>
      <c r="T450" s="41">
        <f t="shared" si="33"/>
        <v>68.759999999999991</v>
      </c>
    </row>
    <row r="451" spans="10:20">
      <c r="J451" s="119">
        <v>44195</v>
      </c>
      <c r="K451" s="121">
        <v>73.256399999999999</v>
      </c>
      <c r="L451" s="121">
        <v>83.007999999999996</v>
      </c>
      <c r="M451" s="121">
        <v>9.7515999999999963</v>
      </c>
      <c r="N451" s="120">
        <v>62.3</v>
      </c>
      <c r="O451" s="120">
        <v>32.299999999999997</v>
      </c>
      <c r="P451" s="39">
        <f t="shared" si="34"/>
        <v>44373</v>
      </c>
      <c r="Q451" s="41">
        <f t="shared" si="30"/>
        <v>113.03712</v>
      </c>
      <c r="R451" s="41">
        <f t="shared" si="31"/>
        <v>95.459199999999996</v>
      </c>
      <c r="S451" s="41">
        <f t="shared" si="32"/>
        <v>-17.577920000000006</v>
      </c>
      <c r="T451" s="41">
        <f t="shared" si="33"/>
        <v>68.759999999999991</v>
      </c>
    </row>
    <row r="452" spans="10:20">
      <c r="J452" s="119">
        <v>44194</v>
      </c>
      <c r="K452" s="121">
        <v>73.256399999999999</v>
      </c>
      <c r="L452" s="121">
        <v>83.007999999999996</v>
      </c>
      <c r="M452" s="121">
        <v>9.7515999999999963</v>
      </c>
      <c r="N452" s="120">
        <v>62.3</v>
      </c>
      <c r="O452" s="120">
        <v>32.299999999999997</v>
      </c>
      <c r="P452" s="39">
        <f t="shared" si="34"/>
        <v>44372</v>
      </c>
      <c r="Q452" s="41">
        <f t="shared" si="30"/>
        <v>113.03712</v>
      </c>
      <c r="R452" s="41">
        <f t="shared" si="31"/>
        <v>95.459199999999996</v>
      </c>
      <c r="S452" s="41">
        <f t="shared" si="32"/>
        <v>-17.577920000000006</v>
      </c>
      <c r="T452" s="41">
        <f t="shared" si="33"/>
        <v>68.759999999999991</v>
      </c>
    </row>
    <row r="453" spans="10:20">
      <c r="J453" s="119">
        <v>44193</v>
      </c>
      <c r="K453" s="121">
        <v>73.256399999999999</v>
      </c>
      <c r="L453" s="121">
        <v>83.007999999999996</v>
      </c>
      <c r="M453" s="121">
        <v>9.7515999999999963</v>
      </c>
      <c r="N453" s="120">
        <v>62.3</v>
      </c>
      <c r="O453" s="120">
        <v>32.299999999999997</v>
      </c>
      <c r="P453" s="39">
        <f t="shared" si="34"/>
        <v>44371</v>
      </c>
      <c r="Q453" s="41">
        <f t="shared" si="30"/>
        <v>110.6784</v>
      </c>
      <c r="R453" s="41">
        <f t="shared" si="31"/>
        <v>93.384</v>
      </c>
      <c r="S453" s="41">
        <f t="shared" si="32"/>
        <v>-17.294399999999996</v>
      </c>
      <c r="T453" s="41">
        <f t="shared" si="33"/>
        <v>66.819999999999993</v>
      </c>
    </row>
    <row r="454" spans="10:20">
      <c r="J454" s="119">
        <v>44190</v>
      </c>
      <c r="K454" s="121">
        <v>73.256399999999999</v>
      </c>
      <c r="L454" s="121">
        <v>83.007999999999996</v>
      </c>
      <c r="M454" s="121">
        <v>9.7515999999999963</v>
      </c>
      <c r="N454" s="120">
        <v>62.3</v>
      </c>
      <c r="O454" s="120">
        <v>32.299999999999997</v>
      </c>
      <c r="P454" s="39">
        <f t="shared" si="34"/>
        <v>44370</v>
      </c>
      <c r="Q454" s="41">
        <f t="shared" ref="Q454:Q500" si="35">IFERROR(VLOOKUP($P454,$J$5:$N$403,2,FALSE),Q455)</f>
        <v>110.6784</v>
      </c>
      <c r="R454" s="41">
        <f t="shared" ref="R454:R500" si="36">IFERROR(VLOOKUP($P454,$J$5:$N$403,3,FALSE),R455)</f>
        <v>93.384</v>
      </c>
      <c r="S454" s="41">
        <f t="shared" ref="S454:S500" si="37">IFERROR(VLOOKUP($P454,$J$5:$N$403,4,FALSE),S455)</f>
        <v>-17.294399999999996</v>
      </c>
      <c r="T454" s="41">
        <f t="shared" ref="T454:T500" si="38">IFERROR(VLOOKUP($P454,$J$5:$N$403,5,FALSE),T455)</f>
        <v>66.819999999999993</v>
      </c>
    </row>
    <row r="455" spans="10:20">
      <c r="J455" s="119">
        <v>44189</v>
      </c>
      <c r="K455" s="121">
        <v>72.575999999999993</v>
      </c>
      <c r="L455" s="121">
        <v>83.007999999999996</v>
      </c>
      <c r="M455" s="121">
        <v>10.432000000000002</v>
      </c>
      <c r="N455" s="120">
        <v>62.19</v>
      </c>
      <c r="O455" s="120">
        <v>32.19</v>
      </c>
      <c r="P455" s="39">
        <f t="shared" ref="P455:P518" si="39">P454-1</f>
        <v>44369</v>
      </c>
      <c r="Q455" s="41">
        <f t="shared" si="35"/>
        <v>110.6784</v>
      </c>
      <c r="R455" s="41">
        <f t="shared" si="36"/>
        <v>93.384</v>
      </c>
      <c r="S455" s="41">
        <f t="shared" si="37"/>
        <v>-17.294399999999996</v>
      </c>
      <c r="T455" s="41">
        <f t="shared" si="38"/>
        <v>66.819999999999993</v>
      </c>
    </row>
    <row r="456" spans="10:20">
      <c r="J456" s="119">
        <v>44188</v>
      </c>
      <c r="K456" s="121">
        <v>72.575999999999993</v>
      </c>
      <c r="L456" s="121">
        <v>83.007999999999996</v>
      </c>
      <c r="M456" s="121">
        <v>10.432000000000002</v>
      </c>
      <c r="N456" s="120">
        <v>62.19</v>
      </c>
      <c r="O456" s="120">
        <v>32.19</v>
      </c>
      <c r="P456" s="39">
        <f t="shared" si="39"/>
        <v>44368</v>
      </c>
      <c r="Q456" s="41">
        <f t="shared" si="35"/>
        <v>110.6784</v>
      </c>
      <c r="R456" s="41">
        <f t="shared" si="36"/>
        <v>93.384</v>
      </c>
      <c r="S456" s="41">
        <f t="shared" si="37"/>
        <v>-17.294399999999996</v>
      </c>
      <c r="T456" s="41">
        <f t="shared" si="38"/>
        <v>66.819999999999993</v>
      </c>
    </row>
    <row r="457" spans="10:20">
      <c r="J457" s="119">
        <v>44187</v>
      </c>
      <c r="K457" s="121">
        <v>72.575999999999993</v>
      </c>
      <c r="L457" s="121">
        <v>83.007999999999996</v>
      </c>
      <c r="M457" s="121">
        <v>10.432000000000002</v>
      </c>
      <c r="N457" s="120">
        <v>62.19</v>
      </c>
      <c r="O457" s="120">
        <v>32.19</v>
      </c>
      <c r="P457" s="39">
        <f t="shared" si="39"/>
        <v>44367</v>
      </c>
      <c r="Q457" s="41">
        <f t="shared" si="35"/>
        <v>110.6784</v>
      </c>
      <c r="R457" s="41">
        <f t="shared" si="36"/>
        <v>93.384</v>
      </c>
      <c r="S457" s="41">
        <f t="shared" si="37"/>
        <v>-17.294399999999996</v>
      </c>
      <c r="T457" s="41">
        <f t="shared" si="38"/>
        <v>66.819999999999993</v>
      </c>
    </row>
    <row r="458" spans="10:20">
      <c r="J458" s="119">
        <v>44186</v>
      </c>
      <c r="K458" s="121">
        <v>72.575999999999993</v>
      </c>
      <c r="L458" s="121">
        <v>84.045599999999993</v>
      </c>
      <c r="M458" s="121">
        <v>11.4696</v>
      </c>
      <c r="N458" s="120">
        <v>62.19</v>
      </c>
      <c r="O458" s="120">
        <v>32.19</v>
      </c>
      <c r="P458" s="39">
        <f t="shared" si="39"/>
        <v>44366</v>
      </c>
      <c r="Q458" s="41">
        <f t="shared" si="35"/>
        <v>110.6784</v>
      </c>
      <c r="R458" s="41">
        <f t="shared" si="36"/>
        <v>93.384</v>
      </c>
      <c r="S458" s="41">
        <f t="shared" si="37"/>
        <v>-17.294399999999996</v>
      </c>
      <c r="T458" s="41">
        <f t="shared" si="38"/>
        <v>66.819999999999993</v>
      </c>
    </row>
    <row r="459" spans="10:20">
      <c r="J459" s="119">
        <v>44183</v>
      </c>
      <c r="K459" s="121">
        <v>72.575999999999993</v>
      </c>
      <c r="L459" s="121">
        <v>84.045599999999993</v>
      </c>
      <c r="M459" s="121">
        <v>11.4696</v>
      </c>
      <c r="N459" s="120">
        <v>62.19</v>
      </c>
      <c r="O459" s="120">
        <v>32.19</v>
      </c>
      <c r="P459" s="39">
        <f t="shared" si="39"/>
        <v>44365</v>
      </c>
      <c r="Q459" s="41">
        <f t="shared" si="35"/>
        <v>110.6784</v>
      </c>
      <c r="R459" s="41">
        <f t="shared" si="36"/>
        <v>93.384</v>
      </c>
      <c r="S459" s="41">
        <f t="shared" si="37"/>
        <v>-17.294399999999996</v>
      </c>
      <c r="T459" s="41">
        <f t="shared" si="38"/>
        <v>66.819999999999993</v>
      </c>
    </row>
    <row r="460" spans="10:20">
      <c r="J460" s="119">
        <v>44182</v>
      </c>
      <c r="K460" s="121">
        <v>66.452399999999997</v>
      </c>
      <c r="L460" s="121">
        <v>84.045599999999993</v>
      </c>
      <c r="M460" s="121">
        <v>17.593199999999996</v>
      </c>
      <c r="N460" s="120">
        <v>61.629999999999995</v>
      </c>
      <c r="O460" s="120">
        <v>31.63</v>
      </c>
      <c r="P460" s="39">
        <f t="shared" si="39"/>
        <v>44364</v>
      </c>
      <c r="Q460" s="41">
        <f t="shared" si="35"/>
        <v>107.0496</v>
      </c>
      <c r="R460" s="41">
        <f t="shared" si="36"/>
        <v>93.384</v>
      </c>
      <c r="S460" s="41">
        <f t="shared" si="37"/>
        <v>-13.665599999999998</v>
      </c>
      <c r="T460" s="41">
        <f t="shared" si="38"/>
        <v>66.2</v>
      </c>
    </row>
    <row r="461" spans="10:20">
      <c r="J461" s="119">
        <v>44181</v>
      </c>
      <c r="K461" s="121">
        <v>66.452399999999997</v>
      </c>
      <c r="L461" s="121">
        <v>84.045599999999993</v>
      </c>
      <c r="M461" s="121">
        <v>17.593199999999996</v>
      </c>
      <c r="N461" s="120">
        <v>61.629999999999995</v>
      </c>
      <c r="O461" s="120">
        <v>31.63</v>
      </c>
      <c r="P461" s="39">
        <f t="shared" si="39"/>
        <v>44363</v>
      </c>
      <c r="Q461" s="41">
        <f t="shared" si="35"/>
        <v>107.0496</v>
      </c>
      <c r="R461" s="41">
        <f t="shared" si="36"/>
        <v>93.384</v>
      </c>
      <c r="S461" s="41">
        <f t="shared" si="37"/>
        <v>-13.665599999999998</v>
      </c>
      <c r="T461" s="41">
        <f t="shared" si="38"/>
        <v>66.2</v>
      </c>
    </row>
    <row r="462" spans="10:20">
      <c r="J462" s="119">
        <v>44180</v>
      </c>
      <c r="K462" s="121">
        <v>66.452399999999997</v>
      </c>
      <c r="L462" s="121">
        <v>84.045599999999993</v>
      </c>
      <c r="M462" s="121">
        <v>17.593199999999996</v>
      </c>
      <c r="N462" s="120">
        <v>61.629999999999995</v>
      </c>
      <c r="O462" s="120">
        <v>31.63</v>
      </c>
      <c r="P462" s="39">
        <f t="shared" si="39"/>
        <v>44362</v>
      </c>
      <c r="Q462" s="41">
        <f t="shared" si="35"/>
        <v>107.0496</v>
      </c>
      <c r="R462" s="41">
        <f t="shared" si="36"/>
        <v>93.384</v>
      </c>
      <c r="S462" s="41">
        <f t="shared" si="37"/>
        <v>-13.665599999999998</v>
      </c>
      <c r="T462" s="41">
        <f t="shared" si="38"/>
        <v>66.2</v>
      </c>
    </row>
    <row r="463" spans="10:20">
      <c r="J463" s="119">
        <v>44179</v>
      </c>
      <c r="K463" s="121">
        <v>66.452399999999997</v>
      </c>
      <c r="L463" s="121">
        <v>84.045599999999993</v>
      </c>
      <c r="M463" s="121">
        <v>17.593199999999996</v>
      </c>
      <c r="N463" s="120">
        <v>61.629999999999995</v>
      </c>
      <c r="O463" s="120">
        <v>31.63</v>
      </c>
      <c r="P463" s="39">
        <f t="shared" si="39"/>
        <v>44361</v>
      </c>
      <c r="Q463" s="41">
        <f t="shared" si="35"/>
        <v>107.0496</v>
      </c>
      <c r="R463" s="41">
        <f t="shared" si="36"/>
        <v>93.384</v>
      </c>
      <c r="S463" s="41">
        <f t="shared" si="37"/>
        <v>-13.665599999999998</v>
      </c>
      <c r="T463" s="41">
        <f t="shared" si="38"/>
        <v>66.2</v>
      </c>
    </row>
    <row r="464" spans="10:20">
      <c r="J464" s="119">
        <v>44176</v>
      </c>
      <c r="K464" s="121">
        <v>66.452399999999997</v>
      </c>
      <c r="L464" s="121">
        <v>84.045599999999993</v>
      </c>
      <c r="M464" s="121">
        <v>17.593199999999996</v>
      </c>
      <c r="N464" s="120">
        <v>61.629999999999995</v>
      </c>
      <c r="O464" s="120">
        <v>31.63</v>
      </c>
      <c r="P464" s="39">
        <f t="shared" si="39"/>
        <v>44360</v>
      </c>
      <c r="Q464" s="41">
        <f t="shared" si="35"/>
        <v>107.0496</v>
      </c>
      <c r="R464" s="41">
        <f t="shared" si="36"/>
        <v>93.384</v>
      </c>
      <c r="S464" s="41">
        <f t="shared" si="37"/>
        <v>-13.665599999999998</v>
      </c>
      <c r="T464" s="41">
        <f t="shared" si="38"/>
        <v>66.2</v>
      </c>
    </row>
    <row r="465" spans="10:20">
      <c r="J465" s="119">
        <v>44175</v>
      </c>
      <c r="K465" s="121">
        <v>65.318399999999997</v>
      </c>
      <c r="L465" s="121">
        <v>84.045599999999993</v>
      </c>
      <c r="M465" s="121">
        <v>18.727199999999996</v>
      </c>
      <c r="N465" s="120">
        <v>61.61</v>
      </c>
      <c r="O465" s="120">
        <v>31.61</v>
      </c>
      <c r="P465" s="39">
        <f t="shared" si="39"/>
        <v>44359</v>
      </c>
      <c r="Q465" s="41">
        <f t="shared" si="35"/>
        <v>107.0496</v>
      </c>
      <c r="R465" s="41">
        <f t="shared" si="36"/>
        <v>93.384</v>
      </c>
      <c r="S465" s="41">
        <f t="shared" si="37"/>
        <v>-13.665599999999998</v>
      </c>
      <c r="T465" s="41">
        <f t="shared" si="38"/>
        <v>66.2</v>
      </c>
    </row>
    <row r="466" spans="10:20">
      <c r="J466" s="119">
        <v>44174</v>
      </c>
      <c r="K466" s="121">
        <v>65.318399999999997</v>
      </c>
      <c r="L466" s="121">
        <v>84.045599999999993</v>
      </c>
      <c r="M466" s="121">
        <v>18.727199999999996</v>
      </c>
      <c r="N466" s="120">
        <v>61.61</v>
      </c>
      <c r="O466" s="120">
        <v>31.61</v>
      </c>
      <c r="P466" s="39">
        <f t="shared" si="39"/>
        <v>44358</v>
      </c>
      <c r="Q466" s="41">
        <f t="shared" si="35"/>
        <v>107.0496</v>
      </c>
      <c r="R466" s="41">
        <f t="shared" si="36"/>
        <v>93.384</v>
      </c>
      <c r="S466" s="41">
        <f t="shared" si="37"/>
        <v>-13.665599999999998</v>
      </c>
      <c r="T466" s="41">
        <f t="shared" si="38"/>
        <v>66.2</v>
      </c>
    </row>
    <row r="467" spans="10:20">
      <c r="J467" s="119">
        <v>44173</v>
      </c>
      <c r="K467" s="121">
        <v>65.318399999999997</v>
      </c>
      <c r="L467" s="121">
        <v>83.526799999999994</v>
      </c>
      <c r="M467" s="121">
        <v>18.208399999999997</v>
      </c>
      <c r="N467" s="120">
        <v>61.61</v>
      </c>
      <c r="O467" s="120">
        <v>31.61</v>
      </c>
      <c r="P467" s="39">
        <f t="shared" si="39"/>
        <v>44357</v>
      </c>
      <c r="Q467" s="41">
        <f t="shared" si="35"/>
        <v>93.895200000000003</v>
      </c>
      <c r="R467" s="41">
        <f t="shared" si="36"/>
        <v>93.384</v>
      </c>
      <c r="S467" s="41">
        <f t="shared" si="37"/>
        <v>-0.51120000000000232</v>
      </c>
      <c r="T467" s="41">
        <f t="shared" si="38"/>
        <v>65.13</v>
      </c>
    </row>
    <row r="468" spans="10:20">
      <c r="J468" s="119">
        <v>44172</v>
      </c>
      <c r="K468" s="121">
        <v>65.318399999999997</v>
      </c>
      <c r="L468" s="121">
        <v>83.526799999999994</v>
      </c>
      <c r="M468" s="121">
        <v>18.208399999999997</v>
      </c>
      <c r="N468" s="120">
        <v>61.61</v>
      </c>
      <c r="O468" s="120">
        <v>31.61</v>
      </c>
      <c r="P468" s="39">
        <f t="shared" si="39"/>
        <v>44356</v>
      </c>
      <c r="Q468" s="41">
        <f t="shared" si="35"/>
        <v>93.895200000000003</v>
      </c>
      <c r="R468" s="41">
        <f t="shared" si="36"/>
        <v>93.384</v>
      </c>
      <c r="S468" s="41">
        <f t="shared" si="37"/>
        <v>-0.51120000000000232</v>
      </c>
      <c r="T468" s="41">
        <f t="shared" si="38"/>
        <v>65.13</v>
      </c>
    </row>
    <row r="469" spans="10:20">
      <c r="J469" s="119">
        <v>44169</v>
      </c>
      <c r="K469" s="121">
        <v>65.318399999999997</v>
      </c>
      <c r="L469" s="121">
        <v>83.526799999999994</v>
      </c>
      <c r="M469" s="121">
        <v>18.208399999999997</v>
      </c>
      <c r="N469" s="120">
        <v>61.61</v>
      </c>
      <c r="O469" s="120">
        <v>31.61</v>
      </c>
      <c r="P469" s="39">
        <f t="shared" si="39"/>
        <v>44355</v>
      </c>
      <c r="Q469" s="41">
        <f t="shared" si="35"/>
        <v>93.895200000000003</v>
      </c>
      <c r="R469" s="41">
        <f t="shared" si="36"/>
        <v>93.384</v>
      </c>
      <c r="S469" s="41">
        <f t="shared" si="37"/>
        <v>-0.51120000000000232</v>
      </c>
      <c r="T469" s="41">
        <f t="shared" si="38"/>
        <v>65.13</v>
      </c>
    </row>
    <row r="470" spans="10:20">
      <c r="J470" s="119">
        <v>44168</v>
      </c>
      <c r="K470" s="121">
        <v>63.503999999999998</v>
      </c>
      <c r="L470" s="121">
        <v>83.526799999999994</v>
      </c>
      <c r="M470" s="121">
        <v>20.022799999999997</v>
      </c>
      <c r="N470" s="120">
        <v>61.730000000000004</v>
      </c>
      <c r="O470" s="120">
        <v>31.73</v>
      </c>
      <c r="P470" s="39">
        <f t="shared" si="39"/>
        <v>44354</v>
      </c>
      <c r="Q470" s="41">
        <f t="shared" si="35"/>
        <v>93.895200000000003</v>
      </c>
      <c r="R470" s="41">
        <f t="shared" si="36"/>
        <v>93.384</v>
      </c>
      <c r="S470" s="41">
        <f t="shared" si="37"/>
        <v>-0.51120000000000232</v>
      </c>
      <c r="T470" s="41">
        <f t="shared" si="38"/>
        <v>65.13</v>
      </c>
    </row>
    <row r="471" spans="10:20">
      <c r="J471" s="119">
        <v>44167</v>
      </c>
      <c r="K471" s="121">
        <v>63.503999999999998</v>
      </c>
      <c r="L471" s="121">
        <v>83.526799999999994</v>
      </c>
      <c r="M471" s="121">
        <v>20.022799999999997</v>
      </c>
      <c r="N471" s="120">
        <v>61.730000000000004</v>
      </c>
      <c r="O471" s="120">
        <v>31.73</v>
      </c>
      <c r="P471" s="39">
        <f t="shared" si="39"/>
        <v>44353</v>
      </c>
      <c r="Q471" s="41">
        <f t="shared" si="35"/>
        <v>93.895200000000003</v>
      </c>
      <c r="R471" s="41">
        <f t="shared" si="36"/>
        <v>93.384</v>
      </c>
      <c r="S471" s="41">
        <f t="shared" si="37"/>
        <v>-0.51120000000000232</v>
      </c>
      <c r="T471" s="41">
        <f t="shared" si="38"/>
        <v>65.13</v>
      </c>
    </row>
    <row r="472" spans="10:20">
      <c r="J472" s="119">
        <v>44166</v>
      </c>
      <c r="K472" s="121">
        <v>63.503999999999998</v>
      </c>
      <c r="L472" s="121">
        <v>83.526799999999994</v>
      </c>
      <c r="M472" s="121">
        <v>20.022799999999997</v>
      </c>
      <c r="N472" s="120">
        <v>61.730000000000004</v>
      </c>
      <c r="O472" s="120">
        <v>31.73</v>
      </c>
      <c r="P472" s="39">
        <f t="shared" si="39"/>
        <v>44352</v>
      </c>
      <c r="Q472" s="41">
        <f t="shared" si="35"/>
        <v>93.895200000000003</v>
      </c>
      <c r="R472" s="41">
        <f t="shared" si="36"/>
        <v>93.384</v>
      </c>
      <c r="S472" s="41">
        <f t="shared" si="37"/>
        <v>-0.51120000000000232</v>
      </c>
      <c r="T472" s="41">
        <f t="shared" si="38"/>
        <v>65.13</v>
      </c>
    </row>
    <row r="473" spans="10:20">
      <c r="J473" s="119">
        <v>44165</v>
      </c>
      <c r="K473" s="121">
        <v>63.503999999999998</v>
      </c>
      <c r="L473" s="121">
        <v>82.748599999999996</v>
      </c>
      <c r="M473" s="121">
        <v>19.244599999999998</v>
      </c>
      <c r="N473" s="120">
        <v>61.730000000000004</v>
      </c>
      <c r="O473" s="120">
        <v>31.73</v>
      </c>
      <c r="P473" s="39">
        <f t="shared" si="39"/>
        <v>44351</v>
      </c>
      <c r="Q473" s="41">
        <f t="shared" si="35"/>
        <v>93.895200000000003</v>
      </c>
      <c r="R473" s="41">
        <f t="shared" si="36"/>
        <v>93.384</v>
      </c>
      <c r="S473" s="41">
        <f t="shared" si="37"/>
        <v>-0.51120000000000232</v>
      </c>
      <c r="T473" s="41">
        <f t="shared" si="38"/>
        <v>65.13</v>
      </c>
    </row>
    <row r="474" spans="10:20">
      <c r="J474" s="119">
        <v>44162</v>
      </c>
      <c r="K474" s="121">
        <v>63.503999999999998</v>
      </c>
      <c r="L474" s="121">
        <v>82.748599999999996</v>
      </c>
      <c r="M474" s="121">
        <v>19.244599999999998</v>
      </c>
      <c r="N474" s="120">
        <v>61.730000000000004</v>
      </c>
      <c r="O474" s="120">
        <v>31.73</v>
      </c>
      <c r="P474" s="39">
        <f t="shared" si="39"/>
        <v>44350</v>
      </c>
      <c r="Q474" s="41">
        <f t="shared" si="35"/>
        <v>89.359200000000001</v>
      </c>
      <c r="R474" s="41">
        <f t="shared" si="36"/>
        <v>92.346400000000003</v>
      </c>
      <c r="S474" s="41">
        <f t="shared" si="37"/>
        <v>2.9872000000000014</v>
      </c>
      <c r="T474" s="41">
        <f t="shared" si="38"/>
        <v>64.789999999999992</v>
      </c>
    </row>
    <row r="475" spans="10:20">
      <c r="J475" s="119">
        <v>44161</v>
      </c>
      <c r="K475" s="121">
        <v>62.1432</v>
      </c>
      <c r="L475" s="121">
        <v>82.748599999999996</v>
      </c>
      <c r="M475" s="121">
        <v>20.605399999999996</v>
      </c>
      <c r="N475" s="120">
        <v>61.17</v>
      </c>
      <c r="O475" s="120">
        <v>31.17</v>
      </c>
      <c r="P475" s="39">
        <f t="shared" si="39"/>
        <v>44349</v>
      </c>
      <c r="Q475" s="41">
        <f t="shared" si="35"/>
        <v>89.359200000000001</v>
      </c>
      <c r="R475" s="41">
        <f t="shared" si="36"/>
        <v>91.308800000000005</v>
      </c>
      <c r="S475" s="41">
        <f t="shared" si="37"/>
        <v>1.9496000000000038</v>
      </c>
      <c r="T475" s="41">
        <f t="shared" si="38"/>
        <v>64.789999999999992</v>
      </c>
    </row>
    <row r="476" spans="10:20">
      <c r="J476" s="119">
        <v>44160</v>
      </c>
      <c r="K476" s="121">
        <v>62.1432</v>
      </c>
      <c r="L476" s="121">
        <v>82.748599999999996</v>
      </c>
      <c r="M476" s="121">
        <v>20.605399999999996</v>
      </c>
      <c r="N476" s="120">
        <v>61.17</v>
      </c>
      <c r="O476" s="120">
        <v>31.17</v>
      </c>
      <c r="P476" s="39">
        <f t="shared" si="39"/>
        <v>44348</v>
      </c>
      <c r="Q476" s="41">
        <f t="shared" si="35"/>
        <v>89.359200000000001</v>
      </c>
      <c r="R476" s="41">
        <f t="shared" si="36"/>
        <v>91.308800000000005</v>
      </c>
      <c r="S476" s="41">
        <f t="shared" si="37"/>
        <v>1.9496000000000038</v>
      </c>
      <c r="T476" s="41">
        <f t="shared" si="38"/>
        <v>64.789999999999992</v>
      </c>
    </row>
    <row r="477" spans="10:20">
      <c r="J477" s="119">
        <v>44159</v>
      </c>
      <c r="K477" s="121">
        <v>62.1432</v>
      </c>
      <c r="L477" s="121">
        <v>82.748599999999996</v>
      </c>
      <c r="M477" s="121">
        <v>20.605399999999996</v>
      </c>
      <c r="N477" s="120">
        <v>61.17</v>
      </c>
      <c r="O477" s="120">
        <v>31.17</v>
      </c>
      <c r="P477" s="39">
        <f t="shared" si="39"/>
        <v>44347</v>
      </c>
      <c r="Q477" s="41">
        <f t="shared" si="35"/>
        <v>89.359200000000001</v>
      </c>
      <c r="R477" s="41">
        <f t="shared" si="36"/>
        <v>92.346400000000003</v>
      </c>
      <c r="S477" s="41">
        <f t="shared" si="37"/>
        <v>2.9872000000000014</v>
      </c>
      <c r="T477" s="41">
        <f t="shared" si="38"/>
        <v>64.789999999999992</v>
      </c>
    </row>
    <row r="478" spans="10:20">
      <c r="J478" s="119">
        <v>44158</v>
      </c>
      <c r="K478" s="121">
        <v>62.1432</v>
      </c>
      <c r="L478" s="121">
        <v>82.748599999999996</v>
      </c>
      <c r="M478" s="121">
        <v>20.605399999999996</v>
      </c>
      <c r="N478" s="120">
        <v>61.17</v>
      </c>
      <c r="O478" s="120">
        <v>31.17</v>
      </c>
      <c r="P478" s="39">
        <f t="shared" si="39"/>
        <v>44346</v>
      </c>
      <c r="Q478" s="41">
        <f t="shared" si="35"/>
        <v>89.359200000000001</v>
      </c>
      <c r="R478" s="41">
        <f t="shared" si="36"/>
        <v>92.346400000000003</v>
      </c>
      <c r="S478" s="41">
        <f t="shared" si="37"/>
        <v>2.9872000000000014</v>
      </c>
      <c r="T478" s="41">
        <f t="shared" si="38"/>
        <v>64.789999999999992</v>
      </c>
    </row>
    <row r="479" spans="10:20">
      <c r="J479" s="119">
        <v>44155</v>
      </c>
      <c r="K479" s="121">
        <v>62.1432</v>
      </c>
      <c r="L479" s="121">
        <v>82.748599999999996</v>
      </c>
      <c r="M479" s="121">
        <v>20.605399999999996</v>
      </c>
      <c r="N479" s="120">
        <v>61.17</v>
      </c>
      <c r="O479" s="120">
        <v>31.17</v>
      </c>
      <c r="P479" s="39">
        <f t="shared" si="39"/>
        <v>44345</v>
      </c>
      <c r="Q479" s="41">
        <f t="shared" si="35"/>
        <v>89.359200000000001</v>
      </c>
      <c r="R479" s="41">
        <f t="shared" si="36"/>
        <v>92.346400000000003</v>
      </c>
      <c r="S479" s="41">
        <f t="shared" si="37"/>
        <v>2.9872000000000014</v>
      </c>
      <c r="T479" s="41">
        <f t="shared" si="38"/>
        <v>64.789999999999992</v>
      </c>
    </row>
    <row r="480" spans="10:20">
      <c r="J480" s="119">
        <v>44154</v>
      </c>
      <c r="K480" s="121">
        <v>61.462800000000001</v>
      </c>
      <c r="L480" s="121">
        <v>82.748599999999996</v>
      </c>
      <c r="M480" s="121">
        <v>21.285799999999995</v>
      </c>
      <c r="N480" s="120">
        <v>61.29</v>
      </c>
      <c r="O480" s="120">
        <v>31.29</v>
      </c>
      <c r="P480" s="39">
        <f t="shared" si="39"/>
        <v>44344</v>
      </c>
      <c r="Q480" s="41">
        <f t="shared" si="35"/>
        <v>89.359200000000001</v>
      </c>
      <c r="R480" s="41">
        <f t="shared" si="36"/>
        <v>92.346400000000003</v>
      </c>
      <c r="S480" s="41">
        <f t="shared" si="37"/>
        <v>2.9872000000000014</v>
      </c>
      <c r="T480" s="41">
        <f t="shared" si="38"/>
        <v>64.789999999999992</v>
      </c>
    </row>
    <row r="481" spans="10:20">
      <c r="J481" s="119">
        <v>44153</v>
      </c>
      <c r="K481" s="121">
        <v>61.462800000000001</v>
      </c>
      <c r="L481" s="121">
        <v>82.748599999999996</v>
      </c>
      <c r="M481" s="121">
        <v>21.285799999999995</v>
      </c>
      <c r="N481" s="120">
        <v>61.29</v>
      </c>
      <c r="O481" s="120">
        <v>31.29</v>
      </c>
      <c r="P481" s="39">
        <f t="shared" si="39"/>
        <v>44343</v>
      </c>
      <c r="Q481" s="41">
        <f t="shared" si="35"/>
        <v>87.998400000000004</v>
      </c>
      <c r="R481" s="41">
        <f t="shared" si="36"/>
        <v>92.346400000000003</v>
      </c>
      <c r="S481" s="41">
        <f t="shared" si="37"/>
        <v>4.347999999999999</v>
      </c>
      <c r="T481" s="41">
        <f t="shared" si="38"/>
        <v>64.52000000000001</v>
      </c>
    </row>
    <row r="482" spans="10:20">
      <c r="J482" s="119">
        <v>44152</v>
      </c>
      <c r="K482" s="121">
        <v>61.462800000000001</v>
      </c>
      <c r="L482" s="121">
        <v>82.748599999999996</v>
      </c>
      <c r="M482" s="121">
        <v>21.285799999999995</v>
      </c>
      <c r="N482" s="120">
        <v>61.29</v>
      </c>
      <c r="O482" s="120">
        <v>31.29</v>
      </c>
      <c r="P482" s="39">
        <f t="shared" si="39"/>
        <v>44342</v>
      </c>
      <c r="Q482" s="41">
        <f t="shared" si="35"/>
        <v>87.998400000000004</v>
      </c>
      <c r="R482" s="41">
        <f t="shared" si="36"/>
        <v>90.271199999999993</v>
      </c>
      <c r="S482" s="41">
        <f t="shared" si="37"/>
        <v>2.2727999999999895</v>
      </c>
      <c r="T482" s="41">
        <f t="shared" si="38"/>
        <v>64.52000000000001</v>
      </c>
    </row>
    <row r="483" spans="10:20">
      <c r="J483" s="119">
        <v>44151</v>
      </c>
      <c r="K483" s="121">
        <v>61.462800000000001</v>
      </c>
      <c r="L483" s="121">
        <v>82.748599999999996</v>
      </c>
      <c r="M483" s="121">
        <v>21.285799999999995</v>
      </c>
      <c r="N483" s="120">
        <v>61.29</v>
      </c>
      <c r="O483" s="120">
        <v>31.29</v>
      </c>
      <c r="P483" s="39">
        <f t="shared" si="39"/>
        <v>44341</v>
      </c>
      <c r="Q483" s="41">
        <f t="shared" si="35"/>
        <v>87.998400000000004</v>
      </c>
      <c r="R483" s="41">
        <f t="shared" si="36"/>
        <v>89.752399999999994</v>
      </c>
      <c r="S483" s="41">
        <f t="shared" si="37"/>
        <v>1.7539999999999907</v>
      </c>
      <c r="T483" s="41">
        <f t="shared" si="38"/>
        <v>64.52000000000001</v>
      </c>
    </row>
    <row r="484" spans="10:20">
      <c r="J484" s="119">
        <v>44148</v>
      </c>
      <c r="K484" s="121">
        <v>61.462800000000001</v>
      </c>
      <c r="L484" s="121">
        <v>82.748599999999996</v>
      </c>
      <c r="M484" s="121">
        <v>21.285799999999995</v>
      </c>
      <c r="N484" s="120">
        <v>61.29</v>
      </c>
      <c r="O484" s="120">
        <v>31.29</v>
      </c>
      <c r="P484" s="39">
        <f t="shared" si="39"/>
        <v>44340</v>
      </c>
      <c r="Q484" s="41">
        <f t="shared" si="35"/>
        <v>87.998400000000004</v>
      </c>
      <c r="R484" s="41">
        <f t="shared" si="36"/>
        <v>89.752399999999994</v>
      </c>
      <c r="S484" s="41">
        <f t="shared" si="37"/>
        <v>1.7539999999999907</v>
      </c>
      <c r="T484" s="41">
        <f t="shared" si="38"/>
        <v>64.52000000000001</v>
      </c>
    </row>
    <row r="485" spans="10:20">
      <c r="J485" s="119">
        <v>44147</v>
      </c>
      <c r="K485" s="121">
        <v>60.782400000000003</v>
      </c>
      <c r="L485" s="121">
        <v>82.748599999999996</v>
      </c>
      <c r="M485" s="121">
        <v>21.966199999999994</v>
      </c>
      <c r="N485" s="120">
        <v>61.129999999999995</v>
      </c>
      <c r="O485" s="120">
        <v>31.13</v>
      </c>
      <c r="P485" s="39">
        <f t="shared" si="39"/>
        <v>44339</v>
      </c>
      <c r="Q485" s="41">
        <f t="shared" si="35"/>
        <v>87.998400000000004</v>
      </c>
      <c r="R485" s="41">
        <f t="shared" si="36"/>
        <v>89.752399999999994</v>
      </c>
      <c r="S485" s="41">
        <f t="shared" si="37"/>
        <v>1.7539999999999907</v>
      </c>
      <c r="T485" s="41">
        <f t="shared" si="38"/>
        <v>64.52000000000001</v>
      </c>
    </row>
    <row r="486" spans="10:20">
      <c r="J486" s="119">
        <v>44146</v>
      </c>
      <c r="K486" s="121">
        <v>60.782400000000003</v>
      </c>
      <c r="L486" s="121">
        <v>82.748599999999996</v>
      </c>
      <c r="M486" s="121">
        <v>21.966199999999994</v>
      </c>
      <c r="N486" s="120">
        <v>61.129999999999995</v>
      </c>
      <c r="O486" s="120">
        <v>31.13</v>
      </c>
      <c r="P486" s="39">
        <f t="shared" si="39"/>
        <v>44338</v>
      </c>
      <c r="Q486" s="41">
        <f t="shared" si="35"/>
        <v>87.998400000000004</v>
      </c>
      <c r="R486" s="41">
        <f t="shared" si="36"/>
        <v>89.752399999999994</v>
      </c>
      <c r="S486" s="41">
        <f t="shared" si="37"/>
        <v>1.7539999999999907</v>
      </c>
      <c r="T486" s="41">
        <f t="shared" si="38"/>
        <v>64.52000000000001</v>
      </c>
    </row>
    <row r="487" spans="10:20">
      <c r="J487" s="119">
        <v>44145</v>
      </c>
      <c r="K487" s="121">
        <v>60.782400000000003</v>
      </c>
      <c r="L487" s="121">
        <v>82.748599999999996</v>
      </c>
      <c r="M487" s="121">
        <v>21.966199999999994</v>
      </c>
      <c r="N487" s="120">
        <v>61.129999999999995</v>
      </c>
      <c r="O487" s="120">
        <v>31.13</v>
      </c>
      <c r="P487" s="39">
        <f t="shared" si="39"/>
        <v>44337</v>
      </c>
      <c r="Q487" s="41">
        <f t="shared" si="35"/>
        <v>87.998400000000004</v>
      </c>
      <c r="R487" s="41">
        <f t="shared" si="36"/>
        <v>89.752399999999994</v>
      </c>
      <c r="S487" s="41">
        <f t="shared" si="37"/>
        <v>1.7539999999999907</v>
      </c>
      <c r="T487" s="41">
        <f t="shared" si="38"/>
        <v>64.52000000000001</v>
      </c>
    </row>
    <row r="488" spans="10:20">
      <c r="J488" s="119">
        <v>44144</v>
      </c>
      <c r="K488" s="121">
        <v>60.782400000000003</v>
      </c>
      <c r="L488" s="121">
        <v>82.748599999999996</v>
      </c>
      <c r="M488" s="121">
        <v>21.966199999999994</v>
      </c>
      <c r="N488" s="120">
        <v>61.129999999999995</v>
      </c>
      <c r="O488" s="120">
        <v>31.13</v>
      </c>
      <c r="P488" s="39">
        <f t="shared" si="39"/>
        <v>44336</v>
      </c>
      <c r="Q488" s="41">
        <f t="shared" si="35"/>
        <v>89.359200000000001</v>
      </c>
      <c r="R488" s="41">
        <f t="shared" si="36"/>
        <v>89.752399999999994</v>
      </c>
      <c r="S488" s="41">
        <f t="shared" si="37"/>
        <v>0.39319999999999311</v>
      </c>
      <c r="T488" s="41">
        <f t="shared" si="38"/>
        <v>64.349999999999994</v>
      </c>
    </row>
    <row r="489" spans="10:20">
      <c r="J489" s="119">
        <v>44141</v>
      </c>
      <c r="K489" s="121">
        <v>60.782400000000003</v>
      </c>
      <c r="L489" s="121">
        <v>82.489199999999997</v>
      </c>
      <c r="M489" s="121">
        <v>21.706799999999994</v>
      </c>
      <c r="N489" s="120">
        <v>61.129999999999995</v>
      </c>
      <c r="O489" s="120">
        <v>31.13</v>
      </c>
      <c r="P489" s="39">
        <f t="shared" si="39"/>
        <v>44335</v>
      </c>
      <c r="Q489" s="41">
        <f t="shared" si="35"/>
        <v>89.359200000000001</v>
      </c>
      <c r="R489" s="41">
        <f t="shared" si="36"/>
        <v>89.752399999999994</v>
      </c>
      <c r="S489" s="41">
        <f t="shared" si="37"/>
        <v>0.39319999999999311</v>
      </c>
      <c r="T489" s="41">
        <f t="shared" si="38"/>
        <v>64.349999999999994</v>
      </c>
    </row>
    <row r="490" spans="10:20">
      <c r="J490" s="119">
        <v>44140</v>
      </c>
      <c r="K490" s="121">
        <v>62.1432</v>
      </c>
      <c r="L490" s="121">
        <v>82.229799999999997</v>
      </c>
      <c r="M490" s="121">
        <v>20.086599999999997</v>
      </c>
      <c r="N490" s="120">
        <v>61.75</v>
      </c>
      <c r="O490" s="120">
        <v>31.75</v>
      </c>
      <c r="P490" s="39">
        <f t="shared" si="39"/>
        <v>44334</v>
      </c>
      <c r="Q490" s="41">
        <f t="shared" si="35"/>
        <v>89.359200000000001</v>
      </c>
      <c r="R490" s="41">
        <f t="shared" si="36"/>
        <v>89.752399999999994</v>
      </c>
      <c r="S490" s="41">
        <f t="shared" si="37"/>
        <v>0.39319999999999311</v>
      </c>
      <c r="T490" s="41">
        <f t="shared" si="38"/>
        <v>64.349999999999994</v>
      </c>
    </row>
    <row r="491" spans="10:20">
      <c r="J491" s="119">
        <v>44139</v>
      </c>
      <c r="K491" s="121">
        <v>62.1432</v>
      </c>
      <c r="L491" s="121">
        <v>82.229799999999997</v>
      </c>
      <c r="M491" s="121">
        <v>20.086599999999997</v>
      </c>
      <c r="N491" s="120">
        <v>61.75</v>
      </c>
      <c r="O491" s="120">
        <v>31.75</v>
      </c>
      <c r="P491" s="39">
        <f t="shared" si="39"/>
        <v>44333</v>
      </c>
      <c r="Q491" s="41">
        <f t="shared" si="35"/>
        <v>89.359200000000001</v>
      </c>
      <c r="R491" s="41">
        <f t="shared" si="36"/>
        <v>89.752399999999994</v>
      </c>
      <c r="S491" s="41">
        <f t="shared" si="37"/>
        <v>0.39319999999999311</v>
      </c>
      <c r="T491" s="41">
        <f t="shared" si="38"/>
        <v>64.349999999999994</v>
      </c>
    </row>
    <row r="492" spans="10:20">
      <c r="J492" s="119">
        <v>44138</v>
      </c>
      <c r="K492" s="121">
        <v>62.1432</v>
      </c>
      <c r="L492" s="121">
        <v>82.229799999999997</v>
      </c>
      <c r="M492" s="121">
        <v>20.086599999999997</v>
      </c>
      <c r="N492" s="120">
        <v>61.75</v>
      </c>
      <c r="O492" s="120">
        <v>31.75</v>
      </c>
      <c r="P492" s="39">
        <f t="shared" si="39"/>
        <v>44332</v>
      </c>
      <c r="Q492" s="41">
        <f t="shared" si="35"/>
        <v>89.359200000000001</v>
      </c>
      <c r="R492" s="41">
        <f t="shared" si="36"/>
        <v>89.752399999999994</v>
      </c>
      <c r="S492" s="41">
        <f t="shared" si="37"/>
        <v>0.39319999999999311</v>
      </c>
      <c r="T492" s="41">
        <f t="shared" si="38"/>
        <v>64.349999999999994</v>
      </c>
    </row>
    <row r="493" spans="10:20">
      <c r="J493" s="119">
        <v>44137</v>
      </c>
      <c r="K493" s="121">
        <v>62.1432</v>
      </c>
      <c r="L493" s="121">
        <v>82.229799999999997</v>
      </c>
      <c r="M493" s="121">
        <v>20.086599999999997</v>
      </c>
      <c r="N493" s="120">
        <v>61.75</v>
      </c>
      <c r="O493" s="120">
        <v>31.75</v>
      </c>
      <c r="P493" s="39">
        <f t="shared" si="39"/>
        <v>44331</v>
      </c>
      <c r="Q493" s="41">
        <f t="shared" si="35"/>
        <v>89.359200000000001</v>
      </c>
      <c r="R493" s="41">
        <f t="shared" si="36"/>
        <v>89.752399999999994</v>
      </c>
      <c r="S493" s="41">
        <f t="shared" si="37"/>
        <v>0.39319999999999311</v>
      </c>
      <c r="T493" s="41">
        <f t="shared" si="38"/>
        <v>64.349999999999994</v>
      </c>
    </row>
    <row r="494" spans="10:20">
      <c r="J494" s="119">
        <v>44134</v>
      </c>
      <c r="K494" s="121">
        <v>62.1432</v>
      </c>
      <c r="L494" s="121">
        <v>81.710999999999999</v>
      </c>
      <c r="M494" s="121">
        <v>19.567799999999998</v>
      </c>
      <c r="N494" s="120">
        <v>61.75</v>
      </c>
      <c r="O494" s="120">
        <v>31.75</v>
      </c>
      <c r="P494" s="39">
        <f t="shared" si="39"/>
        <v>44330</v>
      </c>
      <c r="Q494" s="41">
        <f t="shared" si="35"/>
        <v>89.359200000000001</v>
      </c>
      <c r="R494" s="41">
        <f t="shared" si="36"/>
        <v>89.752399999999994</v>
      </c>
      <c r="S494" s="41">
        <f t="shared" si="37"/>
        <v>0.39319999999999311</v>
      </c>
      <c r="T494" s="41">
        <f t="shared" si="38"/>
        <v>64.349999999999994</v>
      </c>
    </row>
    <row r="495" spans="10:20">
      <c r="J495" s="119">
        <v>44133</v>
      </c>
      <c r="K495" s="121">
        <v>64.184399999999997</v>
      </c>
      <c r="L495" s="121">
        <v>81.710999999999999</v>
      </c>
      <c r="M495" s="121">
        <v>17.526600000000002</v>
      </c>
      <c r="N495" s="120">
        <v>61.41</v>
      </c>
      <c r="O495" s="120">
        <v>31.41</v>
      </c>
      <c r="P495" s="39">
        <f t="shared" si="39"/>
        <v>44329</v>
      </c>
      <c r="Q495" s="41">
        <f t="shared" si="35"/>
        <v>87.317999999999998</v>
      </c>
      <c r="R495" s="41">
        <f t="shared" si="36"/>
        <v>89.752399999999994</v>
      </c>
      <c r="S495" s="41">
        <f t="shared" si="37"/>
        <v>2.4343999999999966</v>
      </c>
      <c r="T495" s="41">
        <f t="shared" si="38"/>
        <v>64</v>
      </c>
    </row>
    <row r="496" spans="10:20">
      <c r="J496" s="119">
        <v>44132</v>
      </c>
      <c r="K496" s="121">
        <v>64.184399999999997</v>
      </c>
      <c r="L496" s="121">
        <v>81.710999999999999</v>
      </c>
      <c r="M496" s="121">
        <v>17.526600000000002</v>
      </c>
      <c r="N496" s="120">
        <v>61.41</v>
      </c>
      <c r="O496" s="120">
        <v>31.41</v>
      </c>
      <c r="P496" s="39">
        <f t="shared" si="39"/>
        <v>44328</v>
      </c>
      <c r="Q496" s="41">
        <f t="shared" si="35"/>
        <v>87.317999999999998</v>
      </c>
      <c r="R496" s="41">
        <f t="shared" si="36"/>
        <v>89.752399999999994</v>
      </c>
      <c r="S496" s="41">
        <f t="shared" si="37"/>
        <v>2.4343999999999966</v>
      </c>
      <c r="T496" s="41">
        <f t="shared" si="38"/>
        <v>64</v>
      </c>
    </row>
    <row r="497" spans="10:20">
      <c r="J497" s="119">
        <v>44131</v>
      </c>
      <c r="K497" s="121">
        <v>64.184399999999997</v>
      </c>
      <c r="L497" s="121">
        <v>81.710999999999999</v>
      </c>
      <c r="M497" s="121">
        <v>17.526600000000002</v>
      </c>
      <c r="N497" s="120">
        <v>61.41</v>
      </c>
      <c r="O497" s="120">
        <v>31.41</v>
      </c>
      <c r="P497" s="39">
        <f t="shared" si="39"/>
        <v>44327</v>
      </c>
      <c r="Q497" s="41">
        <f t="shared" si="35"/>
        <v>87.317999999999998</v>
      </c>
      <c r="R497" s="41">
        <f t="shared" si="36"/>
        <v>89.752399999999994</v>
      </c>
      <c r="S497" s="41">
        <f t="shared" si="37"/>
        <v>2.4343999999999966</v>
      </c>
      <c r="T497" s="41">
        <f t="shared" si="38"/>
        <v>64</v>
      </c>
    </row>
    <row r="498" spans="10:20">
      <c r="J498" s="119">
        <v>44130</v>
      </c>
      <c r="K498" s="121">
        <v>64.184399999999997</v>
      </c>
      <c r="L498" s="121">
        <v>81.710999999999999</v>
      </c>
      <c r="M498" s="121">
        <v>17.526600000000002</v>
      </c>
      <c r="N498" s="120">
        <v>61.41</v>
      </c>
      <c r="O498" s="120">
        <v>31.41</v>
      </c>
      <c r="P498" s="39">
        <f t="shared" si="39"/>
        <v>44326</v>
      </c>
      <c r="Q498" s="41">
        <f t="shared" si="35"/>
        <v>87.317999999999998</v>
      </c>
      <c r="R498" s="41">
        <f t="shared" si="36"/>
        <v>89.752399999999994</v>
      </c>
      <c r="S498" s="41">
        <f t="shared" si="37"/>
        <v>2.4343999999999966</v>
      </c>
      <c r="T498" s="41">
        <f t="shared" si="38"/>
        <v>64</v>
      </c>
    </row>
    <row r="499" spans="10:20">
      <c r="J499" s="119">
        <v>44127</v>
      </c>
      <c r="K499" s="121">
        <v>64.184399999999997</v>
      </c>
      <c r="L499" s="121">
        <v>81.710999999999999</v>
      </c>
      <c r="M499" s="121">
        <v>17.526600000000002</v>
      </c>
      <c r="N499" s="120">
        <v>61.41</v>
      </c>
      <c r="O499" s="120">
        <v>31.41</v>
      </c>
      <c r="P499" s="39">
        <f t="shared" si="39"/>
        <v>44325</v>
      </c>
      <c r="Q499" s="41">
        <f t="shared" si="35"/>
        <v>0</v>
      </c>
      <c r="R499" s="41">
        <f t="shared" si="36"/>
        <v>0</v>
      </c>
      <c r="S499" s="41">
        <f t="shared" si="37"/>
        <v>0</v>
      </c>
      <c r="T499" s="41">
        <f t="shared" si="38"/>
        <v>0</v>
      </c>
    </row>
    <row r="500" spans="10:20">
      <c r="J500" s="119">
        <v>44126</v>
      </c>
      <c r="K500" s="121">
        <v>63.730800000000002</v>
      </c>
      <c r="L500" s="121">
        <v>81.710999999999999</v>
      </c>
      <c r="M500" s="121">
        <v>17.980199999999996</v>
      </c>
      <c r="N500" s="120">
        <v>61.19</v>
      </c>
      <c r="O500" s="120">
        <v>31.19</v>
      </c>
      <c r="P500" s="39">
        <f t="shared" si="39"/>
        <v>44324</v>
      </c>
      <c r="Q500" s="41">
        <f t="shared" si="35"/>
        <v>0</v>
      </c>
      <c r="R500" s="41">
        <f t="shared" si="36"/>
        <v>0</v>
      </c>
      <c r="S500" s="41">
        <f t="shared" si="37"/>
        <v>0</v>
      </c>
      <c r="T500" s="41">
        <f t="shared" si="38"/>
        <v>0</v>
      </c>
    </row>
    <row r="501" spans="10:20">
      <c r="J501" s="2">
        <v>44020</v>
      </c>
      <c r="K501" s="2">
        <v>56.076093377171681</v>
      </c>
      <c r="L501" s="2">
        <v>45.450720000000004</v>
      </c>
      <c r="M501" s="2">
        <v>-10.625373377171677</v>
      </c>
      <c r="P501" s="39">
        <f t="shared" si="39"/>
        <v>44323</v>
      </c>
    </row>
    <row r="502" spans="10:20">
      <c r="J502" s="2">
        <v>44019</v>
      </c>
      <c r="K502" s="2">
        <v>56.076093377171681</v>
      </c>
      <c r="L502" s="2">
        <v>46.158336000000006</v>
      </c>
      <c r="M502" s="2">
        <v>-9.9177573771716752</v>
      </c>
      <c r="P502" s="39">
        <f t="shared" si="39"/>
        <v>44322</v>
      </c>
    </row>
    <row r="503" spans="10:20">
      <c r="J503" s="2">
        <v>44018</v>
      </c>
      <c r="K503" s="2">
        <v>56.076093377171681</v>
      </c>
      <c r="L503" s="2">
        <v>46.666367999999999</v>
      </c>
      <c r="M503" s="2">
        <v>-9.4097253771716822</v>
      </c>
      <c r="P503" s="39">
        <f t="shared" si="39"/>
        <v>44321</v>
      </c>
    </row>
    <row r="504" spans="10:20">
      <c r="J504" s="2">
        <v>44015</v>
      </c>
      <c r="K504" s="2">
        <v>56.076093377171681</v>
      </c>
      <c r="L504" s="2">
        <v>46.158336000000006</v>
      </c>
      <c r="M504" s="2">
        <v>-9.9177573771716752</v>
      </c>
      <c r="P504" s="39">
        <f t="shared" si="39"/>
        <v>44320</v>
      </c>
    </row>
    <row r="505" spans="10:20">
      <c r="J505" s="2">
        <v>44014</v>
      </c>
      <c r="K505" s="2">
        <v>57.382947736725669</v>
      </c>
      <c r="L505" s="2">
        <v>46.684511999999998</v>
      </c>
      <c r="M505" s="2">
        <v>-10.698435736725671</v>
      </c>
      <c r="P505" s="39">
        <f t="shared" si="39"/>
        <v>44319</v>
      </c>
    </row>
    <row r="506" spans="10:20">
      <c r="J506" s="2">
        <v>44013</v>
      </c>
      <c r="K506" s="2">
        <v>57.382947736725669</v>
      </c>
      <c r="L506" s="2">
        <v>45.976896000000004</v>
      </c>
      <c r="M506" s="2">
        <v>-11.406051736725665</v>
      </c>
      <c r="P506" s="39">
        <f t="shared" si="39"/>
        <v>44318</v>
      </c>
    </row>
    <row r="507" spans="10:20">
      <c r="J507" s="2">
        <v>44012</v>
      </c>
      <c r="K507" s="2">
        <v>57.382947736725669</v>
      </c>
      <c r="L507" s="2">
        <v>45.976896000000004</v>
      </c>
      <c r="M507" s="2">
        <v>-11.406051736725665</v>
      </c>
      <c r="P507" s="39">
        <f t="shared" si="39"/>
        <v>44317</v>
      </c>
    </row>
    <row r="508" spans="10:20">
      <c r="J508" s="2">
        <v>44011</v>
      </c>
      <c r="K508" s="2">
        <v>57.382947736725669</v>
      </c>
      <c r="L508" s="2">
        <v>45.232992000000003</v>
      </c>
      <c r="M508" s="2">
        <v>-12.149955736725666</v>
      </c>
      <c r="P508" s="39">
        <f t="shared" si="39"/>
        <v>44316</v>
      </c>
    </row>
    <row r="509" spans="10:20">
      <c r="J509" s="2">
        <v>44008</v>
      </c>
      <c r="K509" s="2">
        <v>57.382947736725669</v>
      </c>
      <c r="L509" s="2">
        <v>44.207856</v>
      </c>
      <c r="M509" s="2">
        <v>-13.175091736725669</v>
      </c>
      <c r="P509" s="39">
        <f t="shared" si="39"/>
        <v>44315</v>
      </c>
    </row>
    <row r="510" spans="10:20">
      <c r="J510" s="2">
        <v>44007</v>
      </c>
      <c r="K510" s="2">
        <v>57.36271265477523</v>
      </c>
      <c r="L510" s="2">
        <v>42.765408000000001</v>
      </c>
      <c r="M510" s="2">
        <v>-14.597304654775229</v>
      </c>
      <c r="P510" s="39">
        <f t="shared" si="39"/>
        <v>44314</v>
      </c>
    </row>
    <row r="511" spans="10:20">
      <c r="J511" s="2">
        <v>44006</v>
      </c>
      <c r="K511" s="2">
        <v>57.36271265477523</v>
      </c>
      <c r="L511" s="2">
        <v>43.110144000000005</v>
      </c>
      <c r="M511" s="2">
        <v>-14.252568654775224</v>
      </c>
      <c r="P511" s="39">
        <f t="shared" si="39"/>
        <v>44313</v>
      </c>
    </row>
    <row r="512" spans="10:20">
      <c r="J512" s="2">
        <v>44005</v>
      </c>
      <c r="K512" s="2">
        <v>57.36271265477523</v>
      </c>
      <c r="L512" s="2">
        <v>42.075936000000006</v>
      </c>
      <c r="M512" s="2">
        <v>-15.286776654775224</v>
      </c>
      <c r="P512" s="39">
        <f t="shared" si="39"/>
        <v>44312</v>
      </c>
    </row>
    <row r="513" spans="10:16">
      <c r="J513" s="2">
        <v>44004</v>
      </c>
      <c r="K513" s="2">
        <v>57.36271265477523</v>
      </c>
      <c r="L513" s="2">
        <v>40.216175999999997</v>
      </c>
      <c r="M513" s="2">
        <v>-17.146536654775232</v>
      </c>
      <c r="P513" s="39">
        <f t="shared" si="39"/>
        <v>44311</v>
      </c>
    </row>
    <row r="514" spans="10:16">
      <c r="J514" s="2">
        <v>44001</v>
      </c>
      <c r="K514" s="2">
        <v>57.36271265477523</v>
      </c>
      <c r="L514" s="2">
        <v>40.842144000000005</v>
      </c>
      <c r="M514" s="2">
        <v>-16.520568654775225</v>
      </c>
      <c r="P514" s="39">
        <f t="shared" si="39"/>
        <v>44310</v>
      </c>
    </row>
    <row r="515" spans="10:16">
      <c r="J515" s="2">
        <v>44000</v>
      </c>
      <c r="K515" s="2">
        <v>53.213497300513282</v>
      </c>
      <c r="L515" s="2">
        <v>40.306896000000002</v>
      </c>
      <c r="M515" s="2">
        <v>-12.90660130051328</v>
      </c>
      <c r="P515" s="39">
        <f t="shared" si="39"/>
        <v>44309</v>
      </c>
    </row>
    <row r="516" spans="10:16">
      <c r="J516" s="2">
        <v>43999</v>
      </c>
      <c r="K516" s="2">
        <v>53.213497300513282</v>
      </c>
      <c r="L516" s="2">
        <v>39.463200000000001</v>
      </c>
      <c r="M516" s="2">
        <v>-13.750297300513282</v>
      </c>
      <c r="P516" s="39">
        <f t="shared" si="39"/>
        <v>44308</v>
      </c>
    </row>
    <row r="517" spans="10:16">
      <c r="J517" s="2">
        <v>43998</v>
      </c>
      <c r="K517" s="2">
        <v>53.213497300513282</v>
      </c>
      <c r="L517" s="2">
        <v>41.205024000000002</v>
      </c>
      <c r="M517" s="2">
        <v>-12.00847330051328</v>
      </c>
      <c r="P517" s="39">
        <f t="shared" si="39"/>
        <v>44307</v>
      </c>
    </row>
    <row r="518" spans="10:16">
      <c r="J518" s="2">
        <v>43997</v>
      </c>
      <c r="K518" s="2">
        <v>53.213497300513282</v>
      </c>
      <c r="L518" s="2">
        <v>40.651631999999999</v>
      </c>
      <c r="M518" s="2">
        <v>-12.561865300513283</v>
      </c>
      <c r="P518" s="39">
        <f t="shared" si="39"/>
        <v>44306</v>
      </c>
    </row>
    <row r="519" spans="10:16">
      <c r="J519" s="2">
        <v>43994</v>
      </c>
      <c r="K519" s="2">
        <v>53.213497300513282</v>
      </c>
      <c r="L519" s="2">
        <v>40.297823999999999</v>
      </c>
      <c r="M519" s="2">
        <v>-12.915673300513284</v>
      </c>
      <c r="P519" s="39">
        <f t="shared" ref="P519:P582" si="40">P518-1</f>
        <v>44305</v>
      </c>
    </row>
    <row r="520" spans="10:16">
      <c r="J520" s="2">
        <v>43993</v>
      </c>
      <c r="K520" s="2">
        <v>53.087223213270796</v>
      </c>
      <c r="L520" s="2">
        <v>39.426912000000002</v>
      </c>
      <c r="M520" s="2">
        <v>-13.660311213270795</v>
      </c>
      <c r="P520" s="39">
        <f t="shared" si="40"/>
        <v>44304</v>
      </c>
    </row>
    <row r="521" spans="10:16">
      <c r="J521" s="2">
        <v>43992</v>
      </c>
      <c r="K521" s="2">
        <v>53.087223213270796</v>
      </c>
      <c r="L521" s="2">
        <v>40.515552</v>
      </c>
      <c r="M521" s="2">
        <v>-12.571671213270797</v>
      </c>
      <c r="P521" s="39">
        <f t="shared" si="40"/>
        <v>44303</v>
      </c>
    </row>
    <row r="522" spans="10:16">
      <c r="J522" s="2">
        <v>43991</v>
      </c>
      <c r="K522" s="2">
        <v>53.087223213270796</v>
      </c>
      <c r="L522" s="2">
        <v>41.422751999999996</v>
      </c>
      <c r="M522" s="2">
        <v>-11.664471213270801</v>
      </c>
      <c r="P522" s="39">
        <f t="shared" si="40"/>
        <v>44302</v>
      </c>
    </row>
    <row r="523" spans="10:16">
      <c r="J523" s="2">
        <v>43990</v>
      </c>
      <c r="K523" s="2">
        <v>53.087223213270796</v>
      </c>
      <c r="L523" s="2">
        <v>42.012432000000004</v>
      </c>
      <c r="M523" s="2">
        <v>-11.074791213270792</v>
      </c>
      <c r="P523" s="39">
        <f t="shared" si="40"/>
        <v>44301</v>
      </c>
    </row>
    <row r="524" spans="10:16">
      <c r="J524" s="2">
        <v>43987</v>
      </c>
      <c r="K524" s="2">
        <v>53.087223213270796</v>
      </c>
      <c r="L524" s="2">
        <v>41.921711999999999</v>
      </c>
      <c r="M524" s="2">
        <v>-11.165511213270797</v>
      </c>
      <c r="P524" s="39">
        <f t="shared" si="40"/>
        <v>44300</v>
      </c>
    </row>
    <row r="525" spans="10:16">
      <c r="J525" s="2">
        <v>43986</v>
      </c>
      <c r="K525" s="2">
        <v>53.600887708980537</v>
      </c>
      <c r="L525" s="2">
        <v>41.894495999999997</v>
      </c>
      <c r="M525" s="2">
        <v>-11.70639170898054</v>
      </c>
      <c r="P525" s="39">
        <f t="shared" si="40"/>
        <v>44299</v>
      </c>
    </row>
    <row r="526" spans="10:16">
      <c r="J526" s="2">
        <v>43985</v>
      </c>
      <c r="K526" s="2">
        <v>53.600887708980537</v>
      </c>
      <c r="L526" s="2">
        <v>43.491167999999995</v>
      </c>
      <c r="M526" s="2">
        <v>-10.109719708980542</v>
      </c>
      <c r="P526" s="39">
        <f t="shared" si="40"/>
        <v>44298</v>
      </c>
    </row>
    <row r="527" spans="10:16">
      <c r="J527" s="2">
        <v>43984</v>
      </c>
      <c r="K527" s="2">
        <v>53.600887708980537</v>
      </c>
      <c r="L527" s="2">
        <v>42.202944000000002</v>
      </c>
      <c r="M527" s="2">
        <v>-11.397943708980534</v>
      </c>
      <c r="P527" s="39">
        <f t="shared" si="40"/>
        <v>44297</v>
      </c>
    </row>
    <row r="528" spans="10:16">
      <c r="J528" s="2">
        <v>43983</v>
      </c>
      <c r="K528" s="2">
        <v>53.600887708980537</v>
      </c>
      <c r="L528" s="2">
        <v>39.009599999999999</v>
      </c>
      <c r="M528" s="2">
        <v>-14.591287708980538</v>
      </c>
      <c r="P528" s="39">
        <f t="shared" si="40"/>
        <v>44296</v>
      </c>
    </row>
    <row r="529" spans="10:16">
      <c r="J529" s="2">
        <v>43980</v>
      </c>
      <c r="K529" s="2">
        <v>54.767975011040704</v>
      </c>
      <c r="L529" s="2">
        <v>34.754832</v>
      </c>
      <c r="M529" s="2">
        <v>-20.013143011040704</v>
      </c>
      <c r="P529" s="39">
        <f t="shared" si="40"/>
        <v>44295</v>
      </c>
    </row>
    <row r="530" spans="10:16">
      <c r="J530" s="2">
        <v>43979</v>
      </c>
      <c r="K530" s="2">
        <v>54.162967258895584</v>
      </c>
      <c r="L530" s="2">
        <v>34.274016000000003</v>
      </c>
      <c r="M530" s="2">
        <v>-19.888951258895581</v>
      </c>
      <c r="P530" s="39">
        <f t="shared" si="40"/>
        <v>44294</v>
      </c>
    </row>
    <row r="531" spans="10:16">
      <c r="J531" s="2">
        <v>43978</v>
      </c>
      <c r="K531" s="2">
        <v>54.162967258895584</v>
      </c>
      <c r="L531" s="2">
        <v>34.754832</v>
      </c>
      <c r="M531" s="2">
        <v>-19.408135258895584</v>
      </c>
      <c r="P531" s="39">
        <f t="shared" si="40"/>
        <v>44293</v>
      </c>
    </row>
    <row r="532" spans="10:16">
      <c r="J532" s="2">
        <v>43977</v>
      </c>
      <c r="K532" s="2">
        <v>54.162967258895584</v>
      </c>
      <c r="L532" s="2">
        <v>35.344512000000002</v>
      </c>
      <c r="M532" s="2">
        <v>-18.818455258895582</v>
      </c>
      <c r="P532" s="39">
        <f t="shared" si="40"/>
        <v>44292</v>
      </c>
    </row>
    <row r="533" spans="10:16">
      <c r="J533" s="2">
        <v>43976</v>
      </c>
      <c r="K533" s="2">
        <v>54.162967258895584</v>
      </c>
      <c r="L533" s="2">
        <v>35.489663999999998</v>
      </c>
      <c r="M533" s="2">
        <v>-18.673303258895587</v>
      </c>
      <c r="P533" s="39">
        <f t="shared" si="40"/>
        <v>44291</v>
      </c>
    </row>
    <row r="534" spans="10:16">
      <c r="J534" s="2">
        <v>43973</v>
      </c>
      <c r="K534" s="2">
        <v>54.162967258895584</v>
      </c>
      <c r="L534" s="2">
        <v>35.489663999999998</v>
      </c>
      <c r="M534" s="2">
        <v>-18.673303258895587</v>
      </c>
      <c r="P534" s="39">
        <f t="shared" si="40"/>
        <v>44290</v>
      </c>
    </row>
    <row r="535" spans="10:16">
      <c r="J535" s="2">
        <v>43972</v>
      </c>
      <c r="K535" s="2">
        <v>54.524618239730977</v>
      </c>
      <c r="L535" s="2">
        <v>35.78904</v>
      </c>
      <c r="M535" s="2">
        <v>-18.735578239730977</v>
      </c>
      <c r="P535" s="39">
        <f t="shared" si="40"/>
        <v>44289</v>
      </c>
    </row>
    <row r="536" spans="10:16">
      <c r="J536" s="2">
        <v>43971</v>
      </c>
      <c r="K536" s="2">
        <v>54.524618239730977</v>
      </c>
      <c r="L536" s="2">
        <v>35.017920000000004</v>
      </c>
      <c r="M536" s="2">
        <v>-19.506698239730973</v>
      </c>
      <c r="P536" s="39">
        <f t="shared" si="40"/>
        <v>44288</v>
      </c>
    </row>
    <row r="537" spans="10:16">
      <c r="J537" s="2">
        <v>43970</v>
      </c>
      <c r="K537" s="2">
        <v>54.524618239730977</v>
      </c>
      <c r="L537" s="2">
        <v>35.199359999999999</v>
      </c>
      <c r="M537" s="2">
        <v>-19.325258239730978</v>
      </c>
      <c r="P537" s="39">
        <f t="shared" si="40"/>
        <v>44287</v>
      </c>
    </row>
    <row r="538" spans="10:16">
      <c r="J538" s="2">
        <v>43969</v>
      </c>
      <c r="K538" s="2">
        <v>54.524618239730977</v>
      </c>
      <c r="L538" s="2">
        <v>34.455455999999998</v>
      </c>
      <c r="M538" s="2">
        <v>-20.069162239730979</v>
      </c>
      <c r="P538" s="39">
        <f t="shared" si="40"/>
        <v>44286</v>
      </c>
    </row>
    <row r="539" spans="10:16">
      <c r="J539" s="2">
        <v>43966</v>
      </c>
      <c r="K539" s="2">
        <v>54.524618239730977</v>
      </c>
      <c r="L539" s="2">
        <v>34.999775999999997</v>
      </c>
      <c r="M539" s="2">
        <v>-19.52484223973098</v>
      </c>
      <c r="P539" s="39">
        <f t="shared" si="40"/>
        <v>44285</v>
      </c>
    </row>
    <row r="540" spans="10:16">
      <c r="J540" s="2">
        <v>43965</v>
      </c>
      <c r="K540" s="2">
        <v>55.15965823973098</v>
      </c>
      <c r="L540" s="2">
        <v>34.437311999999999</v>
      </c>
      <c r="M540" s="2">
        <v>-20.722346239730982</v>
      </c>
      <c r="P540" s="39">
        <f t="shared" si="40"/>
        <v>44284</v>
      </c>
    </row>
    <row r="541" spans="10:16">
      <c r="J541" s="2">
        <v>43964</v>
      </c>
      <c r="K541" s="2">
        <v>55.15965823973098</v>
      </c>
      <c r="L541" s="2">
        <v>34.482672000000001</v>
      </c>
      <c r="M541" s="2">
        <v>-20.676986239730979</v>
      </c>
      <c r="P541" s="39">
        <f t="shared" si="40"/>
        <v>44283</v>
      </c>
    </row>
    <row r="542" spans="10:16">
      <c r="J542" s="2">
        <v>43963</v>
      </c>
      <c r="K542" s="2">
        <v>55.15965823973098</v>
      </c>
      <c r="L542" s="2">
        <v>34.700400000000002</v>
      </c>
      <c r="M542" s="2">
        <v>-20.459258239730978</v>
      </c>
      <c r="P542" s="39">
        <f t="shared" si="40"/>
        <v>44282</v>
      </c>
    </row>
    <row r="543" spans="10:16">
      <c r="J543" s="2">
        <v>43962</v>
      </c>
      <c r="K543" s="2">
        <v>55.15965823973098</v>
      </c>
      <c r="L543" s="2">
        <v>34.890912</v>
      </c>
      <c r="M543" s="2">
        <v>-20.26874623973098</v>
      </c>
      <c r="P543" s="39">
        <f t="shared" si="40"/>
        <v>44281</v>
      </c>
    </row>
    <row r="544" spans="10:16">
      <c r="J544" s="2">
        <v>43959</v>
      </c>
      <c r="K544" s="2">
        <v>55.15965823973098</v>
      </c>
      <c r="L544" s="2">
        <v>35.181215999999999</v>
      </c>
      <c r="M544" s="2">
        <v>-19.978442239730981</v>
      </c>
      <c r="P544" s="39">
        <f t="shared" si="40"/>
        <v>44280</v>
      </c>
    </row>
    <row r="545" spans="10:16">
      <c r="J545" s="2">
        <v>43958</v>
      </c>
      <c r="K545" s="2">
        <v>55.827188525915048</v>
      </c>
      <c r="L545" s="2">
        <v>35.181215999999999</v>
      </c>
      <c r="M545" s="2">
        <v>-20.645972525915049</v>
      </c>
      <c r="P545" s="39">
        <f t="shared" si="40"/>
        <v>44279</v>
      </c>
    </row>
    <row r="546" spans="10:16">
      <c r="J546" s="2">
        <v>43957</v>
      </c>
      <c r="K546" s="2">
        <v>55.827188525915048</v>
      </c>
      <c r="L546" s="2">
        <v>36.251711999999998</v>
      </c>
      <c r="M546" s="2">
        <v>-19.57547652591505</v>
      </c>
      <c r="P546" s="39">
        <f t="shared" si="40"/>
        <v>44278</v>
      </c>
    </row>
    <row r="547" spans="10:16">
      <c r="J547" s="2">
        <v>43956</v>
      </c>
      <c r="K547" s="2">
        <v>55.827188525915048</v>
      </c>
      <c r="L547" s="2">
        <v>35.689248000000006</v>
      </c>
      <c r="M547" s="2">
        <v>-20.137940525915042</v>
      </c>
      <c r="P547" s="39">
        <f t="shared" si="40"/>
        <v>44277</v>
      </c>
    </row>
    <row r="548" spans="10:16">
      <c r="J548" s="2">
        <v>43955</v>
      </c>
      <c r="K548" s="2">
        <v>55.827188525915048</v>
      </c>
      <c r="L548" s="2">
        <v>35.580384000000002</v>
      </c>
      <c r="M548" s="2">
        <v>-20.246804525915046</v>
      </c>
      <c r="P548" s="39">
        <f t="shared" si="40"/>
        <v>44276</v>
      </c>
    </row>
    <row r="549" spans="10:16">
      <c r="J549" s="2">
        <v>43952</v>
      </c>
      <c r="K549" s="2">
        <v>55.827188525915048</v>
      </c>
      <c r="L549" s="2">
        <v>35.643887999999997</v>
      </c>
      <c r="M549" s="2">
        <v>-20.183300525915051</v>
      </c>
      <c r="P549" s="39">
        <f t="shared" si="40"/>
        <v>44275</v>
      </c>
    </row>
    <row r="550" spans="10:16">
      <c r="J550" s="2">
        <v>43951</v>
      </c>
      <c r="K550" s="2">
        <v>56.981414861012396</v>
      </c>
      <c r="L550" s="2">
        <v>34.963487999999998</v>
      </c>
      <c r="M550" s="2">
        <v>-22.017926861012398</v>
      </c>
      <c r="P550" s="39">
        <f t="shared" si="40"/>
        <v>44274</v>
      </c>
    </row>
    <row r="551" spans="10:16">
      <c r="J551" s="2">
        <v>43950</v>
      </c>
      <c r="K551" s="2">
        <v>56.981414861012396</v>
      </c>
      <c r="L551" s="2">
        <v>34.147008</v>
      </c>
      <c r="M551" s="2">
        <v>-22.834406861012397</v>
      </c>
      <c r="P551" s="39">
        <f t="shared" si="40"/>
        <v>44273</v>
      </c>
    </row>
    <row r="552" spans="10:16">
      <c r="J552" s="2">
        <v>43949</v>
      </c>
      <c r="K552" s="2">
        <v>56.981414861012396</v>
      </c>
      <c r="L552" s="2">
        <v>33.747840000000004</v>
      </c>
      <c r="M552" s="2">
        <v>-23.233574861012393</v>
      </c>
      <c r="P552" s="39">
        <f t="shared" si="40"/>
        <v>44272</v>
      </c>
    </row>
    <row r="553" spans="10:16">
      <c r="J553" s="2">
        <v>43948</v>
      </c>
      <c r="K553" s="2">
        <v>56.981414861012396</v>
      </c>
      <c r="L553" s="2">
        <v>35.063279999999999</v>
      </c>
      <c r="M553" s="2">
        <v>-21.918134861012398</v>
      </c>
      <c r="P553" s="39">
        <f t="shared" si="40"/>
        <v>44271</v>
      </c>
    </row>
    <row r="554" spans="10:16">
      <c r="J554" s="2">
        <v>43945</v>
      </c>
      <c r="K554" s="2">
        <v>56.981414861012396</v>
      </c>
      <c r="L554" s="2">
        <v>35.816255999999996</v>
      </c>
      <c r="M554" s="2">
        <v>-21.165158861012401</v>
      </c>
      <c r="P554" s="39">
        <f t="shared" si="40"/>
        <v>44270</v>
      </c>
    </row>
    <row r="555" spans="10:16">
      <c r="J555" s="2">
        <v>43944</v>
      </c>
      <c r="K555" s="2">
        <v>57.95113739505134</v>
      </c>
      <c r="L555" s="2">
        <v>36.197279999999999</v>
      </c>
      <c r="M555" s="2">
        <v>-21.753857395051341</v>
      </c>
      <c r="P555" s="39">
        <f t="shared" si="40"/>
        <v>44269</v>
      </c>
    </row>
    <row r="556" spans="10:16">
      <c r="J556" s="2">
        <v>43943</v>
      </c>
      <c r="K556" s="2">
        <v>57.95113739505134</v>
      </c>
      <c r="L556" s="2">
        <v>37.031903999999997</v>
      </c>
      <c r="M556" s="2">
        <v>-20.919233395051343</v>
      </c>
      <c r="P556" s="39">
        <f t="shared" si="40"/>
        <v>44268</v>
      </c>
    </row>
    <row r="557" spans="10:16">
      <c r="J557" s="2">
        <v>43942</v>
      </c>
      <c r="K557" s="2">
        <v>57.95113739505134</v>
      </c>
      <c r="L557" s="2">
        <v>38.301983999999997</v>
      </c>
      <c r="M557" s="2">
        <v>-19.649153395051343</v>
      </c>
      <c r="P557" s="39">
        <f t="shared" si="40"/>
        <v>44267</v>
      </c>
    </row>
    <row r="558" spans="10:16">
      <c r="J558" s="2">
        <v>43941</v>
      </c>
      <c r="K558" s="2">
        <v>57.95113739505134</v>
      </c>
      <c r="L558" s="2">
        <v>40.515552</v>
      </c>
      <c r="M558" s="2">
        <v>-17.435585395051341</v>
      </c>
      <c r="P558" s="39">
        <f t="shared" si="40"/>
        <v>44266</v>
      </c>
    </row>
    <row r="559" spans="10:16">
      <c r="J559" s="2">
        <v>43938</v>
      </c>
      <c r="K559" s="2">
        <v>57.95113739505134</v>
      </c>
      <c r="L559" s="2">
        <v>40.551840000000006</v>
      </c>
      <c r="M559" s="2">
        <v>-17.399297395051335</v>
      </c>
      <c r="P559" s="39">
        <f t="shared" si="40"/>
        <v>44265</v>
      </c>
    </row>
    <row r="560" spans="10:16">
      <c r="J560" s="2">
        <v>43937</v>
      </c>
      <c r="K560" s="2">
        <v>57.84938246312921</v>
      </c>
      <c r="L560" s="2">
        <v>40.343184000000001</v>
      </c>
      <c r="M560" s="2">
        <v>-17.506198463129209</v>
      </c>
      <c r="P560" s="39">
        <f t="shared" si="40"/>
        <v>44264</v>
      </c>
    </row>
    <row r="561" spans="10:16">
      <c r="J561" s="2">
        <v>43936</v>
      </c>
      <c r="K561" s="2">
        <v>57.84938246312921</v>
      </c>
      <c r="L561" s="2">
        <v>40.225248000000001</v>
      </c>
      <c r="M561" s="2">
        <v>-17.624134463129209</v>
      </c>
      <c r="P561" s="39">
        <f t="shared" si="40"/>
        <v>44263</v>
      </c>
    </row>
    <row r="562" spans="10:16">
      <c r="J562" s="2">
        <v>43935</v>
      </c>
      <c r="K562" s="2">
        <v>57.84938246312921</v>
      </c>
      <c r="L562" s="2">
        <v>40.706063999999998</v>
      </c>
      <c r="M562" s="2">
        <v>-17.143318463129212</v>
      </c>
      <c r="P562" s="39">
        <f t="shared" si="40"/>
        <v>44262</v>
      </c>
    </row>
    <row r="563" spans="10:16">
      <c r="J563" s="2">
        <v>43934</v>
      </c>
      <c r="K563" s="2">
        <v>57.84938246312921</v>
      </c>
      <c r="L563" s="2">
        <v>42.103151999999994</v>
      </c>
      <c r="M563" s="2">
        <v>-15.746230463129216</v>
      </c>
      <c r="P563" s="39">
        <f t="shared" si="40"/>
        <v>44261</v>
      </c>
    </row>
    <row r="564" spans="10:16">
      <c r="J564" s="2">
        <v>43931</v>
      </c>
      <c r="K564" s="2">
        <v>57.84938246312921</v>
      </c>
      <c r="L564" s="2">
        <v>42.103151999999994</v>
      </c>
      <c r="M564" s="2">
        <v>-15.746230463129216</v>
      </c>
      <c r="P564" s="39">
        <f t="shared" si="40"/>
        <v>44260</v>
      </c>
    </row>
    <row r="565" spans="10:16">
      <c r="J565" s="2">
        <v>43930</v>
      </c>
      <c r="K565" s="2">
        <v>58.010596128031857</v>
      </c>
      <c r="L565" s="2">
        <v>42.103151999999994</v>
      </c>
      <c r="M565" s="2">
        <v>-15.907444128031862</v>
      </c>
      <c r="P565" s="39">
        <f t="shared" si="40"/>
        <v>44259</v>
      </c>
    </row>
    <row r="566" spans="10:16">
      <c r="J566" s="2">
        <v>43929</v>
      </c>
      <c r="K566" s="2">
        <v>58.010596128031857</v>
      </c>
      <c r="L566" s="2">
        <v>41.758416000000004</v>
      </c>
      <c r="M566" s="2">
        <v>-16.252180128031853</v>
      </c>
      <c r="P566" s="39">
        <f t="shared" si="40"/>
        <v>44258</v>
      </c>
    </row>
    <row r="567" spans="10:16">
      <c r="J567" s="2">
        <v>43928</v>
      </c>
      <c r="K567" s="2">
        <v>58.010596128031857</v>
      </c>
      <c r="L567" s="2">
        <v>41.812848000000002</v>
      </c>
      <c r="M567" s="2">
        <v>-16.197748128031854</v>
      </c>
      <c r="P567" s="39">
        <f t="shared" si="40"/>
        <v>44257</v>
      </c>
    </row>
    <row r="568" spans="10:16">
      <c r="J568" s="2">
        <v>43927</v>
      </c>
      <c r="K568" s="2">
        <v>58.010596128031857</v>
      </c>
      <c r="L568" s="2">
        <v>39.916800000000002</v>
      </c>
      <c r="M568" s="2">
        <v>-18.093796128031855</v>
      </c>
      <c r="P568" s="39">
        <f t="shared" si="40"/>
        <v>44256</v>
      </c>
    </row>
    <row r="569" spans="10:16">
      <c r="J569" s="2">
        <v>43924</v>
      </c>
      <c r="K569" s="2">
        <v>58.010596128031857</v>
      </c>
      <c r="L569" s="2">
        <v>40.923791999999999</v>
      </c>
      <c r="M569" s="2">
        <v>-17.086804128031858</v>
      </c>
      <c r="P569" s="39">
        <f t="shared" si="40"/>
        <v>44255</v>
      </c>
    </row>
    <row r="570" spans="10:16">
      <c r="J570" s="2">
        <v>43923</v>
      </c>
      <c r="K570" s="2">
        <v>58.778037817391152</v>
      </c>
      <c r="L570" s="2">
        <v>42.184800000000003</v>
      </c>
      <c r="M570" s="2">
        <v>-16.593237817391149</v>
      </c>
      <c r="P570" s="39">
        <f t="shared" si="40"/>
        <v>44254</v>
      </c>
    </row>
    <row r="571" spans="10:16">
      <c r="J571" s="2">
        <v>43922</v>
      </c>
      <c r="K571" s="2">
        <v>58.778037817391152</v>
      </c>
      <c r="L571" s="2">
        <v>43.264367999999997</v>
      </c>
      <c r="M571" s="2">
        <v>-15.513669817391154</v>
      </c>
      <c r="P571" s="39">
        <f t="shared" si="40"/>
        <v>44253</v>
      </c>
    </row>
    <row r="572" spans="10:16">
      <c r="J572" s="2">
        <v>43921</v>
      </c>
      <c r="K572" s="2">
        <v>58.778037817391152</v>
      </c>
      <c r="L572" s="2">
        <v>45.205776</v>
      </c>
      <c r="M572" s="2">
        <v>-13.572261817391151</v>
      </c>
      <c r="P572" s="39">
        <f t="shared" si="40"/>
        <v>44252</v>
      </c>
    </row>
    <row r="573" spans="10:16">
      <c r="J573" s="2">
        <v>43920</v>
      </c>
      <c r="K573" s="2">
        <v>58.778037817391152</v>
      </c>
      <c r="L573" s="2">
        <v>46.675440000000002</v>
      </c>
      <c r="M573" s="2">
        <v>-12.10259781739115</v>
      </c>
      <c r="P573" s="39">
        <f t="shared" si="40"/>
        <v>44251</v>
      </c>
    </row>
    <row r="574" spans="10:16">
      <c r="J574" s="2">
        <v>43917</v>
      </c>
      <c r="K574" s="2">
        <v>58.778037817391152</v>
      </c>
      <c r="L574" s="2">
        <v>44.407440000000001</v>
      </c>
      <c r="M574" s="2">
        <v>-14.37059781739115</v>
      </c>
      <c r="P574" s="39">
        <f t="shared" si="40"/>
        <v>44250</v>
      </c>
    </row>
    <row r="575" spans="10:16">
      <c r="J575" s="2">
        <v>43916</v>
      </c>
      <c r="K575" s="2">
        <v>58.947828375886729</v>
      </c>
      <c r="L575" s="2">
        <v>47.936448000000006</v>
      </c>
      <c r="M575" s="2">
        <v>-11.011380375886723</v>
      </c>
      <c r="P575" s="39">
        <f t="shared" si="40"/>
        <v>44249</v>
      </c>
    </row>
    <row r="576" spans="10:16">
      <c r="J576" s="2">
        <v>43915</v>
      </c>
      <c r="K576" s="2">
        <v>58.947828375886729</v>
      </c>
      <c r="L576" s="2">
        <v>48.798287999999999</v>
      </c>
      <c r="M576" s="2">
        <v>-10.14954037588673</v>
      </c>
      <c r="P576" s="39">
        <f t="shared" si="40"/>
        <v>44248</v>
      </c>
    </row>
    <row r="577" spans="10:16">
      <c r="J577" s="2">
        <v>43914</v>
      </c>
      <c r="K577" s="2">
        <v>58.947828375886729</v>
      </c>
      <c r="L577" s="2">
        <v>44.353008000000003</v>
      </c>
      <c r="M577" s="2">
        <v>-14.594820375886727</v>
      </c>
      <c r="P577" s="39">
        <f t="shared" si="40"/>
        <v>44247</v>
      </c>
    </row>
    <row r="578" spans="10:16">
      <c r="J578" s="2">
        <v>43913</v>
      </c>
      <c r="K578" s="2">
        <v>58.947828375886729</v>
      </c>
      <c r="L578" s="2">
        <v>43.826832000000003</v>
      </c>
      <c r="M578" s="2">
        <v>-15.120996375886726</v>
      </c>
      <c r="P578" s="39">
        <f t="shared" si="40"/>
        <v>44246</v>
      </c>
    </row>
    <row r="579" spans="10:16">
      <c r="J579" s="2">
        <v>43910</v>
      </c>
      <c r="K579" s="2">
        <v>58.947828375886729</v>
      </c>
      <c r="L579" s="2">
        <v>43.990127999999999</v>
      </c>
      <c r="M579" s="2">
        <v>-14.957700375886731</v>
      </c>
      <c r="P579" s="39">
        <f t="shared" si="40"/>
        <v>44245</v>
      </c>
    </row>
    <row r="580" spans="10:16">
      <c r="J580" s="2">
        <v>43909</v>
      </c>
      <c r="K580" s="2">
        <v>61.245860623741599</v>
      </c>
      <c r="L580" s="2">
        <v>44.162495999999997</v>
      </c>
      <c r="M580" s="2">
        <v>-17.083364623741602</v>
      </c>
      <c r="P580" s="39">
        <f t="shared" si="40"/>
        <v>44244</v>
      </c>
    </row>
    <row r="581" spans="10:16">
      <c r="J581" s="2">
        <v>43908</v>
      </c>
      <c r="K581" s="2">
        <v>61.245860623741599</v>
      </c>
      <c r="L581" s="2">
        <v>44.171568000000001</v>
      </c>
      <c r="M581" s="2">
        <v>-17.074292623741599</v>
      </c>
      <c r="P581" s="39">
        <f t="shared" si="40"/>
        <v>44243</v>
      </c>
    </row>
    <row r="582" spans="10:16">
      <c r="J582" s="2">
        <v>43907</v>
      </c>
      <c r="K582" s="2">
        <v>61.245860623741599</v>
      </c>
      <c r="L582" s="2">
        <v>43.091999999999999</v>
      </c>
      <c r="M582" s="2">
        <v>-18.1538606237416</v>
      </c>
      <c r="P582" s="39">
        <f t="shared" si="40"/>
        <v>44242</v>
      </c>
    </row>
    <row r="583" spans="10:16">
      <c r="J583" s="2">
        <v>43906</v>
      </c>
      <c r="K583" s="2">
        <v>61.245860623741599</v>
      </c>
      <c r="L583" s="2">
        <v>42.357168000000001</v>
      </c>
      <c r="M583" s="2">
        <v>-18.888692623741598</v>
      </c>
      <c r="P583" s="39">
        <f t="shared" ref="P583:P646" si="41">P582-1</f>
        <v>44241</v>
      </c>
    </row>
    <row r="584" spans="10:16">
      <c r="J584" s="2">
        <v>43903</v>
      </c>
      <c r="K584" s="2">
        <v>61.245860623741599</v>
      </c>
      <c r="L584" s="2">
        <v>42.293664</v>
      </c>
      <c r="M584" s="2">
        <v>-18.9521966237416</v>
      </c>
      <c r="P584" s="39">
        <f t="shared" si="41"/>
        <v>44240</v>
      </c>
    </row>
    <row r="585" spans="10:16">
      <c r="J585" s="2">
        <v>43902</v>
      </c>
      <c r="K585" s="2">
        <v>62.278105691819462</v>
      </c>
      <c r="L585" s="2">
        <v>41.050800000000002</v>
      </c>
      <c r="M585" s="2">
        <v>-21.22730569181946</v>
      </c>
      <c r="P585" s="39">
        <f t="shared" si="41"/>
        <v>44239</v>
      </c>
    </row>
    <row r="586" spans="10:16">
      <c r="J586" s="2">
        <v>43901</v>
      </c>
      <c r="K586" s="2">
        <v>62.278105691819462</v>
      </c>
      <c r="L586" s="2">
        <v>41.513472</v>
      </c>
      <c r="M586" s="2">
        <v>-20.764633691819462</v>
      </c>
      <c r="P586" s="39">
        <f t="shared" si="41"/>
        <v>44238</v>
      </c>
    </row>
    <row r="587" spans="10:16">
      <c r="J587" s="2">
        <v>43900</v>
      </c>
      <c r="K587" s="2">
        <v>62.278105691819462</v>
      </c>
      <c r="L587" s="2">
        <v>41.250383999999997</v>
      </c>
      <c r="M587" s="2">
        <v>-21.027721691819465</v>
      </c>
      <c r="P587" s="39">
        <f t="shared" si="41"/>
        <v>44237</v>
      </c>
    </row>
    <row r="588" spans="10:16">
      <c r="J588" s="2">
        <v>43899</v>
      </c>
      <c r="K588" s="2">
        <v>62.278105691819462</v>
      </c>
      <c r="L588" s="2">
        <v>41.050800000000002</v>
      </c>
      <c r="M588" s="2">
        <v>-21.22730569181946</v>
      </c>
      <c r="P588" s="39">
        <f t="shared" si="41"/>
        <v>44236</v>
      </c>
    </row>
    <row r="589" spans="10:16">
      <c r="J589" s="2">
        <v>43896</v>
      </c>
      <c r="K589" s="2">
        <v>62.278105691819462</v>
      </c>
      <c r="L589" s="2">
        <v>42.937775999999999</v>
      </c>
      <c r="M589" s="2">
        <v>-19.340329691819463</v>
      </c>
      <c r="P589" s="39">
        <f t="shared" si="41"/>
        <v>44235</v>
      </c>
    </row>
    <row r="590" spans="10:16">
      <c r="J590" s="2">
        <v>43895</v>
      </c>
      <c r="K590" s="2">
        <v>60.068335405635402</v>
      </c>
      <c r="L590" s="2">
        <v>43.373232000000002</v>
      </c>
      <c r="M590" s="2">
        <v>-16.6951034056354</v>
      </c>
      <c r="P590" s="39">
        <f t="shared" si="41"/>
        <v>44234</v>
      </c>
    </row>
    <row r="591" spans="10:16">
      <c r="J591" s="2">
        <v>43894</v>
      </c>
      <c r="K591" s="2">
        <v>60.068335405635402</v>
      </c>
      <c r="L591" s="2">
        <v>42.710976000000002</v>
      </c>
      <c r="M591" s="2">
        <v>-17.3573594056354</v>
      </c>
      <c r="P591" s="39">
        <f t="shared" si="41"/>
        <v>44233</v>
      </c>
    </row>
    <row r="592" spans="10:16">
      <c r="J592" s="2">
        <v>43893</v>
      </c>
      <c r="K592" s="2">
        <v>60.068335405635402</v>
      </c>
      <c r="L592" s="2">
        <v>42.928704000000003</v>
      </c>
      <c r="M592" s="2">
        <v>-17.139631405635399</v>
      </c>
      <c r="P592" s="39">
        <f t="shared" si="41"/>
        <v>44232</v>
      </c>
    </row>
    <row r="593" spans="10:16">
      <c r="J593" s="2">
        <v>43892</v>
      </c>
      <c r="K593" s="2">
        <v>60.068335405635402</v>
      </c>
      <c r="L593" s="2">
        <v>42.4116</v>
      </c>
      <c r="M593" s="2">
        <v>-17.656735405635402</v>
      </c>
      <c r="P593" s="39">
        <f t="shared" si="41"/>
        <v>44231</v>
      </c>
    </row>
    <row r="594" spans="10:16">
      <c r="J594" s="2">
        <v>43889</v>
      </c>
      <c r="K594" s="2">
        <v>60.068335405635402</v>
      </c>
      <c r="L594" s="2">
        <v>41.731200000000001</v>
      </c>
      <c r="M594" s="2">
        <v>-18.337135405635401</v>
      </c>
      <c r="P594" s="39">
        <f t="shared" si="41"/>
        <v>44230</v>
      </c>
    </row>
    <row r="595" spans="10:16">
      <c r="J595" s="2">
        <v>43888</v>
      </c>
      <c r="K595" s="2">
        <v>59.973937094994696</v>
      </c>
      <c r="L595" s="2">
        <v>41.785632</v>
      </c>
      <c r="M595" s="2">
        <v>-18.188305094994696</v>
      </c>
      <c r="P595" s="39">
        <f t="shared" si="41"/>
        <v>44229</v>
      </c>
    </row>
    <row r="596" spans="10:16">
      <c r="J596" s="2">
        <v>43887</v>
      </c>
      <c r="K596" s="2">
        <v>59.973937094994696</v>
      </c>
      <c r="L596" s="2">
        <v>41.486255999999997</v>
      </c>
      <c r="M596" s="2">
        <v>-18.487681094994699</v>
      </c>
      <c r="P596" s="39">
        <f t="shared" si="41"/>
        <v>44228</v>
      </c>
    </row>
    <row r="597" spans="10:16">
      <c r="J597" s="2">
        <v>43886</v>
      </c>
      <c r="K597" s="2">
        <v>59.973937094994696</v>
      </c>
      <c r="L597" s="2">
        <v>42.130367999999997</v>
      </c>
      <c r="M597" s="2">
        <v>-17.843569094994699</v>
      </c>
      <c r="P597" s="39">
        <f t="shared" si="41"/>
        <v>44227</v>
      </c>
    </row>
    <row r="598" spans="10:16">
      <c r="J598" s="2">
        <v>43885</v>
      </c>
      <c r="K598" s="2">
        <v>59.973937094994696</v>
      </c>
      <c r="L598" s="2">
        <v>41.957999999999998</v>
      </c>
      <c r="M598" s="2">
        <v>-18.015937094994698</v>
      </c>
      <c r="P598" s="39">
        <f t="shared" si="41"/>
        <v>44226</v>
      </c>
    </row>
    <row r="599" spans="10:16">
      <c r="J599" s="2">
        <v>43882</v>
      </c>
      <c r="K599" s="2">
        <v>59.973937094994696</v>
      </c>
      <c r="L599" s="2">
        <v>42.810767999999996</v>
      </c>
      <c r="M599" s="2">
        <v>-17.1631690949947</v>
      </c>
      <c r="P599" s="39">
        <f t="shared" si="41"/>
        <v>44225</v>
      </c>
    </row>
    <row r="600" spans="10:16">
      <c r="J600" s="2">
        <v>43881</v>
      </c>
      <c r="K600" s="2">
        <v>60.168246808810615</v>
      </c>
      <c r="L600" s="2">
        <v>43.581887999999999</v>
      </c>
      <c r="M600" s="2">
        <v>-16.586358808810616</v>
      </c>
      <c r="P600" s="39">
        <f t="shared" si="41"/>
        <v>44224</v>
      </c>
    </row>
    <row r="601" spans="10:16">
      <c r="J601" s="2">
        <v>43880</v>
      </c>
      <c r="K601" s="2">
        <v>60.168246808810615</v>
      </c>
      <c r="L601" s="2">
        <v>43.971983999999999</v>
      </c>
      <c r="M601" s="2">
        <v>-16.196262808810616</v>
      </c>
      <c r="P601" s="39">
        <f t="shared" si="41"/>
        <v>44223</v>
      </c>
    </row>
    <row r="602" spans="10:16">
      <c r="J602" s="2">
        <v>43879</v>
      </c>
      <c r="K602" s="2">
        <v>60.168246808810615</v>
      </c>
      <c r="L602" s="2">
        <v>45.169488000000001</v>
      </c>
      <c r="M602" s="2">
        <v>-14.998758808810614</v>
      </c>
      <c r="P602" s="39">
        <f t="shared" si="41"/>
        <v>44222</v>
      </c>
    </row>
    <row r="603" spans="10:16">
      <c r="J603" s="2">
        <v>43878</v>
      </c>
      <c r="K603" s="2">
        <v>60.168246808810615</v>
      </c>
      <c r="L603" s="2">
        <v>46.702655999999998</v>
      </c>
      <c r="M603" s="2">
        <v>-13.465590808810617</v>
      </c>
      <c r="P603" s="39">
        <f t="shared" si="41"/>
        <v>44221</v>
      </c>
    </row>
    <row r="604" spans="10:16">
      <c r="J604" s="2">
        <v>43875</v>
      </c>
      <c r="K604" s="2">
        <v>60.168246808810615</v>
      </c>
      <c r="L604" s="2">
        <v>46.938528000000005</v>
      </c>
      <c r="M604" s="2">
        <v>-13.22971880881061</v>
      </c>
      <c r="P604" s="39">
        <f t="shared" si="41"/>
        <v>44220</v>
      </c>
    </row>
    <row r="605" spans="10:16">
      <c r="J605" s="2">
        <v>43874</v>
      </c>
      <c r="K605" s="2">
        <v>60.352136100286735</v>
      </c>
      <c r="L605" s="2">
        <v>45.487008000000003</v>
      </c>
      <c r="M605" s="2">
        <v>-14.865128100286732</v>
      </c>
      <c r="P605" s="39">
        <f t="shared" si="41"/>
        <v>44219</v>
      </c>
    </row>
    <row r="606" spans="10:16">
      <c r="J606" s="2">
        <v>43873</v>
      </c>
      <c r="K606" s="2">
        <v>60.352136100286735</v>
      </c>
      <c r="L606" s="2">
        <v>44.280432000000005</v>
      </c>
      <c r="M606" s="2">
        <v>-16.07170410028673</v>
      </c>
      <c r="P606" s="39">
        <f t="shared" si="41"/>
        <v>44218</v>
      </c>
    </row>
    <row r="607" spans="10:16">
      <c r="J607" s="2">
        <v>43872</v>
      </c>
      <c r="K607" s="2">
        <v>60.352136100286735</v>
      </c>
      <c r="L607" s="2">
        <v>43.427664</v>
      </c>
      <c r="M607" s="2">
        <v>-16.924472100286735</v>
      </c>
      <c r="P607" s="39">
        <f t="shared" si="41"/>
        <v>44217</v>
      </c>
    </row>
    <row r="608" spans="10:16">
      <c r="J608" s="2">
        <v>43871</v>
      </c>
      <c r="K608" s="2">
        <v>60.352136100286735</v>
      </c>
      <c r="L608" s="2">
        <v>43.155504000000001</v>
      </c>
      <c r="M608" s="2">
        <v>-17.196632100286735</v>
      </c>
      <c r="P608" s="39">
        <f t="shared" si="41"/>
        <v>44216</v>
      </c>
    </row>
    <row r="609" spans="10:16">
      <c r="J609" s="2">
        <v>43868</v>
      </c>
      <c r="K609" s="2">
        <v>60.352136100286735</v>
      </c>
      <c r="L609" s="2">
        <v>43.935696</v>
      </c>
      <c r="M609" s="2">
        <v>-16.416440100286735</v>
      </c>
      <c r="P609" s="39">
        <f t="shared" si="41"/>
        <v>44215</v>
      </c>
    </row>
    <row r="610" spans="10:16">
      <c r="J610" s="2">
        <v>43867</v>
      </c>
      <c r="K610" s="2">
        <v>61.84104496942301</v>
      </c>
      <c r="L610" s="2">
        <v>44.715888</v>
      </c>
      <c r="M610" s="2">
        <v>-17.12515696942301</v>
      </c>
      <c r="P610" s="39">
        <f t="shared" si="41"/>
        <v>44214</v>
      </c>
    </row>
    <row r="611" spans="10:16">
      <c r="J611" s="2">
        <v>43866</v>
      </c>
      <c r="K611" s="2">
        <v>61.84104496942301</v>
      </c>
      <c r="L611" s="2">
        <v>45.414432000000005</v>
      </c>
      <c r="M611" s="2">
        <v>-16.426612969423005</v>
      </c>
      <c r="P611" s="39">
        <f t="shared" si="41"/>
        <v>44213</v>
      </c>
    </row>
    <row r="612" spans="10:16">
      <c r="J612" s="2">
        <v>43865</v>
      </c>
      <c r="K612" s="2">
        <v>61.84104496942301</v>
      </c>
      <c r="L612" s="2">
        <v>43.609104000000002</v>
      </c>
      <c r="M612" s="2">
        <v>-18.231940969423007</v>
      </c>
      <c r="P612" s="39">
        <f t="shared" si="41"/>
        <v>44212</v>
      </c>
    </row>
    <row r="613" spans="10:16">
      <c r="J613" s="2">
        <v>43864</v>
      </c>
      <c r="K613" s="2">
        <v>61.84104496942301</v>
      </c>
      <c r="L613" s="2">
        <v>43.572816000000003</v>
      </c>
      <c r="M613" s="2">
        <v>-18.268228969423006</v>
      </c>
      <c r="P613" s="39">
        <f t="shared" si="41"/>
        <v>44211</v>
      </c>
    </row>
    <row r="614" spans="10:16">
      <c r="J614" s="2">
        <v>43861</v>
      </c>
      <c r="K614" s="2">
        <v>61.84104496942301</v>
      </c>
      <c r="L614" s="2">
        <v>43.001280000000001</v>
      </c>
      <c r="M614" s="2">
        <v>-18.839764969423008</v>
      </c>
      <c r="P614" s="39">
        <f t="shared" si="41"/>
        <v>44210</v>
      </c>
    </row>
    <row r="615" spans="10:16">
      <c r="J615" s="2">
        <v>43860</v>
      </c>
      <c r="K615" s="2">
        <v>62.157950459840698</v>
      </c>
      <c r="L615" s="2">
        <v>43.128287999999998</v>
      </c>
      <c r="M615" s="2">
        <v>-19.029662459840701</v>
      </c>
      <c r="P615" s="39">
        <f t="shared" si="41"/>
        <v>44209</v>
      </c>
    </row>
    <row r="616" spans="10:16">
      <c r="J616" s="2">
        <v>43859</v>
      </c>
      <c r="K616" s="2">
        <v>62.157950459840698</v>
      </c>
      <c r="L616" s="2">
        <v>44.452800000000003</v>
      </c>
      <c r="M616" s="2">
        <v>-17.705150459840695</v>
      </c>
      <c r="P616" s="39">
        <f t="shared" si="41"/>
        <v>44208</v>
      </c>
    </row>
    <row r="617" spans="10:16">
      <c r="J617" s="2">
        <v>43858</v>
      </c>
      <c r="K617" s="2">
        <v>62.157950459840698</v>
      </c>
      <c r="L617" s="2">
        <v>44.452800000000003</v>
      </c>
      <c r="M617" s="2">
        <v>-17.705150459840695</v>
      </c>
      <c r="P617" s="39">
        <f t="shared" si="41"/>
        <v>44207</v>
      </c>
    </row>
    <row r="618" spans="10:16">
      <c r="J618" s="2">
        <v>43857</v>
      </c>
      <c r="K618" s="2">
        <v>62.157950459840698</v>
      </c>
      <c r="L618" s="2">
        <v>43.890336000000005</v>
      </c>
      <c r="M618" s="2">
        <v>-18.267614459840694</v>
      </c>
      <c r="P618" s="39">
        <f t="shared" si="41"/>
        <v>44206</v>
      </c>
    </row>
    <row r="619" spans="10:16">
      <c r="J619" s="2">
        <v>43854</v>
      </c>
      <c r="K619" s="2">
        <v>62.157950459840698</v>
      </c>
      <c r="L619" s="2">
        <v>43.772399999999998</v>
      </c>
      <c r="M619" s="2">
        <v>-18.385550459840701</v>
      </c>
      <c r="P619" s="39">
        <f t="shared" si="41"/>
        <v>44205</v>
      </c>
    </row>
    <row r="620" spans="10:16">
      <c r="J620" s="2">
        <v>43853</v>
      </c>
      <c r="K620" s="2">
        <v>63.878566658782304</v>
      </c>
      <c r="L620" s="2">
        <v>43.091999999999999</v>
      </c>
      <c r="M620" s="2">
        <v>-20.786566658782306</v>
      </c>
      <c r="P620" s="39">
        <f t="shared" si="41"/>
        <v>44204</v>
      </c>
    </row>
    <row r="621" spans="10:16">
      <c r="J621" s="2">
        <v>43852</v>
      </c>
      <c r="K621" s="2">
        <v>63.878566658782304</v>
      </c>
      <c r="L621" s="2">
        <v>43.318800000000003</v>
      </c>
      <c r="M621" s="2">
        <v>-20.559766658782301</v>
      </c>
      <c r="P621" s="39">
        <f t="shared" si="41"/>
        <v>44203</v>
      </c>
    </row>
    <row r="622" spans="10:16">
      <c r="J622" s="2">
        <v>43851</v>
      </c>
      <c r="K622" s="2">
        <v>63.878566658782304</v>
      </c>
      <c r="L622" s="2">
        <v>42.865200000000002</v>
      </c>
      <c r="M622" s="2">
        <v>-21.013366658782303</v>
      </c>
      <c r="P622" s="39">
        <f t="shared" si="41"/>
        <v>44202</v>
      </c>
    </row>
    <row r="623" spans="10:16">
      <c r="J623" s="2">
        <v>43850</v>
      </c>
      <c r="K623" s="2">
        <v>63.878566658782304</v>
      </c>
      <c r="L623" s="2">
        <v>43.237151999999995</v>
      </c>
      <c r="M623" s="2">
        <v>-20.64141465878231</v>
      </c>
      <c r="P623" s="39">
        <f t="shared" si="41"/>
        <v>44201</v>
      </c>
    </row>
    <row r="624" spans="10:16">
      <c r="J624" s="2">
        <v>43847</v>
      </c>
      <c r="K624" s="2">
        <v>63.878566658782304</v>
      </c>
      <c r="L624" s="2">
        <v>44.452800000000003</v>
      </c>
      <c r="M624" s="2">
        <v>-19.425766658782301</v>
      </c>
      <c r="P624" s="39">
        <f t="shared" si="41"/>
        <v>44200</v>
      </c>
    </row>
    <row r="625" spans="10:16">
      <c r="J625" s="2">
        <v>43846</v>
      </c>
      <c r="K625" s="2">
        <v>64.417364819394692</v>
      </c>
      <c r="L625" s="2">
        <v>46.058544000000005</v>
      </c>
      <c r="M625" s="2">
        <v>-18.358820819394687</v>
      </c>
      <c r="P625" s="39">
        <f t="shared" si="41"/>
        <v>44199</v>
      </c>
    </row>
    <row r="626" spans="10:16">
      <c r="J626" s="2">
        <v>43845</v>
      </c>
      <c r="K626" s="2">
        <v>64.417364819394692</v>
      </c>
      <c r="L626" s="2">
        <v>46.230912000000004</v>
      </c>
      <c r="M626" s="2">
        <v>-18.186452819394688</v>
      </c>
      <c r="P626" s="39">
        <f t="shared" si="41"/>
        <v>44198</v>
      </c>
    </row>
    <row r="627" spans="10:16">
      <c r="J627" s="2">
        <v>43844</v>
      </c>
      <c r="K627" s="2">
        <v>64.417364819394692</v>
      </c>
      <c r="L627" s="2">
        <v>46.584720000000004</v>
      </c>
      <c r="M627" s="2">
        <v>-17.832644819394687</v>
      </c>
      <c r="P627" s="39">
        <f t="shared" si="41"/>
        <v>44197</v>
      </c>
    </row>
    <row r="628" spans="10:16">
      <c r="J628" s="2">
        <v>43843</v>
      </c>
      <c r="K628" s="2">
        <v>64.417364819394692</v>
      </c>
      <c r="L628" s="2">
        <v>48.335616000000002</v>
      </c>
      <c r="M628" s="2">
        <v>-16.08174881939469</v>
      </c>
      <c r="P628" s="39">
        <f t="shared" si="41"/>
        <v>44196</v>
      </c>
    </row>
    <row r="629" spans="10:16">
      <c r="J629" s="2">
        <v>43840</v>
      </c>
      <c r="K629" s="2">
        <v>64.417364819394692</v>
      </c>
      <c r="L629" s="2">
        <v>48.018096</v>
      </c>
      <c r="M629" s="2">
        <v>-16.399268819394692</v>
      </c>
      <c r="P629" s="39">
        <f t="shared" si="41"/>
        <v>44195</v>
      </c>
    </row>
    <row r="630" spans="10:16">
      <c r="J630" s="2">
        <v>43839</v>
      </c>
      <c r="K630" s="2">
        <v>65.830258184240705</v>
      </c>
      <c r="L630" s="2">
        <v>47.628</v>
      </c>
      <c r="M630" s="2">
        <v>-18.202258184240705</v>
      </c>
      <c r="P630" s="39">
        <f t="shared" si="41"/>
        <v>44194</v>
      </c>
    </row>
    <row r="631" spans="10:16">
      <c r="J631" s="2">
        <v>43838</v>
      </c>
      <c r="K631" s="2">
        <v>65.830258184240705</v>
      </c>
      <c r="L631" s="2">
        <v>47.700575999999998</v>
      </c>
      <c r="M631" s="2">
        <v>-18.129682184240707</v>
      </c>
      <c r="P631" s="39">
        <f t="shared" si="41"/>
        <v>44193</v>
      </c>
    </row>
    <row r="632" spans="10:16">
      <c r="J632" s="2">
        <v>43837</v>
      </c>
      <c r="K632" s="2">
        <v>65.830258184240705</v>
      </c>
      <c r="L632" s="2">
        <v>47.854799999999997</v>
      </c>
      <c r="M632" s="2">
        <v>-17.975458184240708</v>
      </c>
      <c r="P632" s="39">
        <f t="shared" si="41"/>
        <v>44192</v>
      </c>
    </row>
    <row r="633" spans="10:16">
      <c r="J633" s="2">
        <v>43836</v>
      </c>
      <c r="K633" s="2">
        <v>65.830258184240705</v>
      </c>
      <c r="L633" s="2">
        <v>48.308399999999999</v>
      </c>
      <c r="M633" s="2">
        <v>-17.521858184240706</v>
      </c>
      <c r="P633" s="39">
        <f t="shared" si="41"/>
        <v>44191</v>
      </c>
    </row>
    <row r="634" spans="10:16">
      <c r="J634" s="2">
        <v>43833</v>
      </c>
      <c r="K634" s="2">
        <v>65.830258184240705</v>
      </c>
      <c r="L634" s="2">
        <v>48.145104000000003</v>
      </c>
      <c r="M634" s="2">
        <v>-17.685154184240702</v>
      </c>
      <c r="P634" s="39">
        <f t="shared" si="41"/>
        <v>44190</v>
      </c>
    </row>
    <row r="635" spans="10:16">
      <c r="J635" s="2">
        <v>43832</v>
      </c>
      <c r="K635" s="2">
        <v>66.193138184240709</v>
      </c>
      <c r="L635" s="2">
        <v>46.720799999999997</v>
      </c>
      <c r="M635" s="2">
        <v>-19.472338184240712</v>
      </c>
      <c r="P635" s="39">
        <f t="shared" si="41"/>
        <v>44189</v>
      </c>
    </row>
    <row r="636" spans="10:16">
      <c r="J636" s="2">
        <v>43831</v>
      </c>
      <c r="K636" s="2">
        <v>66.193138184240709</v>
      </c>
      <c r="L636" s="2">
        <v>46.720799999999997</v>
      </c>
      <c r="M636" s="2">
        <v>-19.472338184240712</v>
      </c>
      <c r="P636" s="39">
        <f t="shared" si="41"/>
        <v>44188</v>
      </c>
    </row>
    <row r="637" spans="10:16">
      <c r="J637" s="2">
        <v>43830</v>
      </c>
      <c r="K637" s="2">
        <v>66.714159301231859</v>
      </c>
      <c r="L637" s="2">
        <v>46.720799999999997</v>
      </c>
      <c r="M637" s="2">
        <v>-19.993359301231862</v>
      </c>
      <c r="P637" s="39">
        <f t="shared" si="41"/>
        <v>44187</v>
      </c>
    </row>
    <row r="638" spans="10:16">
      <c r="J638" s="2">
        <v>43829</v>
      </c>
      <c r="K638" s="2">
        <v>66.714159301231859</v>
      </c>
      <c r="L638" s="2">
        <v>47.401200000000003</v>
      </c>
      <c r="M638" s="2">
        <v>-19.312959301231857</v>
      </c>
      <c r="P638" s="39">
        <f t="shared" si="41"/>
        <v>44186</v>
      </c>
    </row>
    <row r="639" spans="10:16">
      <c r="J639" s="2">
        <v>43826</v>
      </c>
      <c r="K639" s="2">
        <v>66.714159301231859</v>
      </c>
      <c r="L639" s="2">
        <v>48.462624000000005</v>
      </c>
      <c r="M639" s="2">
        <v>-18.251535301231854</v>
      </c>
      <c r="P639" s="39">
        <f t="shared" si="41"/>
        <v>44185</v>
      </c>
    </row>
    <row r="640" spans="10:16">
      <c r="J640" s="2">
        <v>43825</v>
      </c>
      <c r="K640" s="2">
        <v>66.714159301231859</v>
      </c>
      <c r="L640" s="2">
        <v>48.362832000000004</v>
      </c>
      <c r="M640" s="2">
        <v>-18.351327301231855</v>
      </c>
      <c r="P640" s="39">
        <f t="shared" si="41"/>
        <v>44184</v>
      </c>
    </row>
    <row r="641" spans="10:16">
      <c r="J641" s="2">
        <v>43824</v>
      </c>
      <c r="K641" s="2">
        <v>66.714159301231859</v>
      </c>
      <c r="L641" s="2">
        <v>48.362832000000004</v>
      </c>
      <c r="M641" s="2">
        <v>-18.351327301231855</v>
      </c>
      <c r="P641" s="39">
        <f t="shared" si="41"/>
        <v>44183</v>
      </c>
    </row>
    <row r="642" spans="10:16">
      <c r="J642" s="2">
        <v>43823</v>
      </c>
      <c r="K642" s="2">
        <v>66.714159301231859</v>
      </c>
      <c r="L642" s="2">
        <v>48.362832000000004</v>
      </c>
      <c r="M642" s="2">
        <v>-18.351327301231855</v>
      </c>
      <c r="P642" s="39">
        <f t="shared" si="41"/>
        <v>44182</v>
      </c>
    </row>
    <row r="643" spans="10:16">
      <c r="J643" s="2">
        <v>43822</v>
      </c>
      <c r="K643" s="2">
        <v>66.714159301231859</v>
      </c>
      <c r="L643" s="2">
        <v>47.745936</v>
      </c>
      <c r="M643" s="2">
        <v>-18.968223301231859</v>
      </c>
      <c r="P643" s="39">
        <f t="shared" si="41"/>
        <v>44181</v>
      </c>
    </row>
    <row r="644" spans="10:16">
      <c r="J644" s="2">
        <v>43819</v>
      </c>
      <c r="K644" s="2">
        <v>66.714159301231859</v>
      </c>
      <c r="L644" s="2">
        <v>47.628</v>
      </c>
      <c r="M644" s="2">
        <v>-19.086159301231859</v>
      </c>
      <c r="P644" s="39">
        <f t="shared" si="41"/>
        <v>44180</v>
      </c>
    </row>
    <row r="645" spans="10:16">
      <c r="J645" s="2">
        <v>43818</v>
      </c>
      <c r="K645" s="2">
        <v>67.756824791649564</v>
      </c>
      <c r="L645" s="2">
        <v>47.90016</v>
      </c>
      <c r="M645" s="2">
        <v>-19.856664791649564</v>
      </c>
      <c r="P645" s="39">
        <f t="shared" si="41"/>
        <v>44179</v>
      </c>
    </row>
    <row r="646" spans="10:16">
      <c r="J646" s="2">
        <v>43817</v>
      </c>
      <c r="K646" s="2">
        <v>67.756824791649564</v>
      </c>
      <c r="L646" s="2">
        <v>48.072528000000005</v>
      </c>
      <c r="M646" s="2">
        <v>-19.684296791649558</v>
      </c>
      <c r="P646" s="39">
        <f t="shared" si="41"/>
        <v>44178</v>
      </c>
    </row>
    <row r="647" spans="10:16">
      <c r="J647" s="2">
        <v>43816</v>
      </c>
      <c r="K647" s="2">
        <v>67.756824791649564</v>
      </c>
      <c r="L647" s="2">
        <v>47.745936</v>
      </c>
      <c r="M647" s="2">
        <v>-20.010888791649563</v>
      </c>
      <c r="P647" s="39">
        <f t="shared" ref="P647:P710" si="42">P646-1</f>
        <v>44177</v>
      </c>
    </row>
    <row r="648" spans="10:16">
      <c r="J648" s="2">
        <v>43815</v>
      </c>
      <c r="K648" s="2">
        <v>67.756824791649564</v>
      </c>
      <c r="L648" s="2">
        <v>47.909232000000003</v>
      </c>
      <c r="M648" s="2">
        <v>-19.847592791649561</v>
      </c>
      <c r="P648" s="39">
        <f t="shared" si="42"/>
        <v>44176</v>
      </c>
    </row>
    <row r="649" spans="10:16">
      <c r="J649" s="2">
        <v>43812</v>
      </c>
      <c r="K649" s="2">
        <v>67.756824791649564</v>
      </c>
      <c r="L649" s="2">
        <v>48.390048</v>
      </c>
      <c r="M649" s="2">
        <v>-19.366776791649563</v>
      </c>
      <c r="P649" s="39">
        <f t="shared" si="42"/>
        <v>44175</v>
      </c>
    </row>
    <row r="650" spans="10:16">
      <c r="J650" s="2">
        <v>43811</v>
      </c>
      <c r="K650" s="2">
        <v>67.42826985972745</v>
      </c>
      <c r="L650" s="2">
        <v>47.927375999999995</v>
      </c>
      <c r="M650" s="2">
        <v>-19.500893859727455</v>
      </c>
      <c r="P650" s="39">
        <f t="shared" si="42"/>
        <v>44174</v>
      </c>
    </row>
    <row r="651" spans="10:16">
      <c r="J651" s="2">
        <v>43810</v>
      </c>
      <c r="K651" s="2">
        <v>67.42826985972745</v>
      </c>
      <c r="L651" s="2">
        <v>48.426335999999999</v>
      </c>
      <c r="M651" s="2">
        <v>-19.001933859727451</v>
      </c>
      <c r="P651" s="39">
        <f t="shared" si="42"/>
        <v>44173</v>
      </c>
    </row>
    <row r="652" spans="10:16">
      <c r="J652" s="2">
        <v>43809</v>
      </c>
      <c r="K652" s="2">
        <v>67.42826985972745</v>
      </c>
      <c r="L652" s="2">
        <v>47.818511999999998</v>
      </c>
      <c r="M652" s="2">
        <v>-19.609757859727452</v>
      </c>
      <c r="P652" s="39">
        <f t="shared" si="42"/>
        <v>44172</v>
      </c>
    </row>
    <row r="653" spans="10:16">
      <c r="J653" s="2">
        <v>43808</v>
      </c>
      <c r="K653" s="2">
        <v>67.42826985972745</v>
      </c>
      <c r="L653" s="2">
        <v>48.244895999999997</v>
      </c>
      <c r="M653" s="2">
        <v>-19.183373859727453</v>
      </c>
      <c r="P653" s="39">
        <f t="shared" si="42"/>
        <v>44171</v>
      </c>
    </row>
    <row r="654" spans="10:16">
      <c r="J654" s="2">
        <v>43805</v>
      </c>
      <c r="K654" s="2">
        <v>67.42826985972745</v>
      </c>
      <c r="L654" s="2">
        <v>49.224671999999998</v>
      </c>
      <c r="M654" s="2">
        <v>-18.203597859727452</v>
      </c>
      <c r="P654" s="39">
        <f t="shared" si="42"/>
        <v>44170</v>
      </c>
    </row>
    <row r="655" spans="10:16">
      <c r="J655" s="2">
        <v>43804</v>
      </c>
      <c r="K655" s="2">
        <v>65.141878306523907</v>
      </c>
      <c r="L655" s="2">
        <v>50.249808000000002</v>
      </c>
      <c r="M655" s="2">
        <v>-14.892070306523905</v>
      </c>
      <c r="P655" s="39">
        <f t="shared" si="42"/>
        <v>44169</v>
      </c>
    </row>
    <row r="656" spans="10:16">
      <c r="J656" s="2">
        <v>43803</v>
      </c>
      <c r="K656" s="2">
        <v>65.141878306523907</v>
      </c>
      <c r="L656" s="2">
        <v>48.952511999999999</v>
      </c>
      <c r="M656" s="2">
        <v>-16.189366306523908</v>
      </c>
      <c r="P656" s="39">
        <f t="shared" si="42"/>
        <v>44168</v>
      </c>
    </row>
    <row r="657" spans="10:16">
      <c r="J657" s="2">
        <v>43802</v>
      </c>
      <c r="K657" s="2">
        <v>65.141878306523907</v>
      </c>
      <c r="L657" s="2">
        <v>51.556176000000001</v>
      </c>
      <c r="M657" s="2">
        <v>-13.585702306523906</v>
      </c>
      <c r="P657" s="39">
        <f t="shared" si="42"/>
        <v>44167</v>
      </c>
    </row>
    <row r="658" spans="10:16">
      <c r="J658" s="2">
        <v>43801</v>
      </c>
      <c r="K658" s="2">
        <v>65.141878306523907</v>
      </c>
      <c r="L658" s="2">
        <v>52.164000000000001</v>
      </c>
      <c r="M658" s="2">
        <v>-12.977878306523905</v>
      </c>
      <c r="P658" s="39">
        <f t="shared" si="42"/>
        <v>44166</v>
      </c>
    </row>
    <row r="659" spans="10:16">
      <c r="J659" s="2">
        <v>43798</v>
      </c>
      <c r="K659" s="2">
        <v>65.141878306523907</v>
      </c>
      <c r="L659" s="2">
        <v>51.43824</v>
      </c>
      <c r="M659" s="2">
        <v>-13.703638306523906</v>
      </c>
      <c r="P659" s="39">
        <f t="shared" si="42"/>
        <v>44165</v>
      </c>
    </row>
    <row r="660" spans="10:16">
      <c r="J660" s="2">
        <v>43797</v>
      </c>
      <c r="K660" s="2">
        <v>63.851571971426537</v>
      </c>
      <c r="L660" s="2">
        <v>51.547103999999997</v>
      </c>
      <c r="M660" s="2">
        <v>-12.30446797142654</v>
      </c>
      <c r="P660" s="39">
        <f t="shared" si="42"/>
        <v>44164</v>
      </c>
    </row>
    <row r="661" spans="10:16">
      <c r="J661" s="2">
        <v>43796</v>
      </c>
      <c r="K661" s="2">
        <v>63.851571971426537</v>
      </c>
      <c r="L661" s="2">
        <v>52.164000000000001</v>
      </c>
      <c r="M661" s="2">
        <v>-11.687571971426536</v>
      </c>
      <c r="P661" s="39">
        <f t="shared" si="42"/>
        <v>44163</v>
      </c>
    </row>
    <row r="662" spans="10:16">
      <c r="J662" s="2">
        <v>43795</v>
      </c>
      <c r="K662" s="2">
        <v>63.851571971426537</v>
      </c>
      <c r="L662" s="2">
        <v>52.390799999999999</v>
      </c>
      <c r="M662" s="2">
        <v>-11.460771971426539</v>
      </c>
      <c r="P662" s="39">
        <f t="shared" si="42"/>
        <v>44162</v>
      </c>
    </row>
    <row r="663" spans="10:16">
      <c r="J663" s="2">
        <v>43794</v>
      </c>
      <c r="K663" s="2">
        <v>63.851571971426537</v>
      </c>
      <c r="L663" s="2">
        <v>52.971408000000004</v>
      </c>
      <c r="M663" s="2">
        <v>-10.880163971426533</v>
      </c>
      <c r="P663" s="39">
        <f t="shared" si="42"/>
        <v>44161</v>
      </c>
    </row>
    <row r="664" spans="10:16">
      <c r="J664" s="2">
        <v>43791</v>
      </c>
      <c r="K664" s="2">
        <v>63.851571971426537</v>
      </c>
      <c r="L664" s="2">
        <v>52.263792000000002</v>
      </c>
      <c r="M664" s="2">
        <v>-11.587779971426535</v>
      </c>
      <c r="P664" s="39">
        <f t="shared" si="42"/>
        <v>44160</v>
      </c>
    </row>
    <row r="665" spans="10:16">
      <c r="J665" s="2">
        <v>43790</v>
      </c>
      <c r="K665" s="2">
        <v>64.069786330980534</v>
      </c>
      <c r="L665" s="2">
        <v>50.195375999999996</v>
      </c>
      <c r="M665" s="2">
        <v>-13.874410330980538</v>
      </c>
      <c r="P665" s="39">
        <f t="shared" si="42"/>
        <v>44159</v>
      </c>
    </row>
    <row r="666" spans="10:16">
      <c r="J666" s="2">
        <v>43789</v>
      </c>
      <c r="K666" s="2">
        <v>64.069786330980534</v>
      </c>
      <c r="L666" s="2">
        <v>50.721551999999996</v>
      </c>
      <c r="M666" s="2">
        <v>-13.348234330980539</v>
      </c>
      <c r="P666" s="39">
        <f t="shared" si="42"/>
        <v>44158</v>
      </c>
    </row>
    <row r="667" spans="10:16">
      <c r="J667" s="2">
        <v>43788</v>
      </c>
      <c r="K667" s="2">
        <v>64.069786330980534</v>
      </c>
      <c r="L667" s="2">
        <v>49.977648000000002</v>
      </c>
      <c r="M667" s="2">
        <v>-14.092138330980532</v>
      </c>
      <c r="P667" s="39">
        <f t="shared" si="42"/>
        <v>44157</v>
      </c>
    </row>
    <row r="668" spans="10:16">
      <c r="J668" s="2">
        <v>43787</v>
      </c>
      <c r="K668" s="2">
        <v>64.069786330980534</v>
      </c>
      <c r="L668" s="2">
        <v>50.095584000000002</v>
      </c>
      <c r="M668" s="2">
        <v>-13.974202330980532</v>
      </c>
      <c r="P668" s="39">
        <f t="shared" si="42"/>
        <v>44156</v>
      </c>
    </row>
    <row r="669" spans="10:16">
      <c r="J669" s="2">
        <v>43784</v>
      </c>
      <c r="K669" s="2">
        <v>64.069786330980534</v>
      </c>
      <c r="L669" s="2">
        <v>50.394959999999998</v>
      </c>
      <c r="M669" s="2">
        <v>-13.674826330980537</v>
      </c>
      <c r="P669" s="39">
        <f t="shared" si="42"/>
        <v>44155</v>
      </c>
    </row>
    <row r="670" spans="10:16">
      <c r="J670" s="2">
        <v>43783</v>
      </c>
      <c r="K670" s="2">
        <v>64.609199001175227</v>
      </c>
      <c r="L670" s="2">
        <v>50.993712000000002</v>
      </c>
      <c r="M670" s="2">
        <v>-13.615487001175225</v>
      </c>
      <c r="P670" s="39">
        <f t="shared" si="42"/>
        <v>44154</v>
      </c>
    </row>
    <row r="671" spans="10:16">
      <c r="J671" s="2">
        <v>43782</v>
      </c>
      <c r="K671" s="2">
        <v>64.609199001175227</v>
      </c>
      <c r="L671" s="2">
        <v>49.578479999999999</v>
      </c>
      <c r="M671" s="2">
        <v>-15.030719001175228</v>
      </c>
      <c r="P671" s="39">
        <f t="shared" si="42"/>
        <v>44153</v>
      </c>
    </row>
    <row r="672" spans="10:16">
      <c r="J672" s="2">
        <v>43781</v>
      </c>
      <c r="K672" s="2">
        <v>64.609199001175227</v>
      </c>
      <c r="L672" s="2">
        <v>48.108816000000004</v>
      </c>
      <c r="M672" s="2">
        <v>-16.500383001175223</v>
      </c>
      <c r="P672" s="39">
        <f t="shared" si="42"/>
        <v>44152</v>
      </c>
    </row>
    <row r="673" spans="10:16">
      <c r="J673" s="2">
        <v>43780</v>
      </c>
      <c r="K673" s="2">
        <v>64.609199001175227</v>
      </c>
      <c r="L673" s="2">
        <v>49.651055999999997</v>
      </c>
      <c r="M673" s="2">
        <v>-14.95814300117523</v>
      </c>
      <c r="P673" s="39">
        <f t="shared" si="42"/>
        <v>44151</v>
      </c>
    </row>
    <row r="674" spans="10:16">
      <c r="J674" s="2">
        <v>43777</v>
      </c>
      <c r="K674" s="2">
        <v>64.609199001175227</v>
      </c>
      <c r="L674" s="2">
        <v>50.748767999999998</v>
      </c>
      <c r="M674" s="2">
        <v>-13.860431001175229</v>
      </c>
      <c r="P674" s="39">
        <f t="shared" si="42"/>
        <v>44150</v>
      </c>
    </row>
    <row r="675" spans="10:16">
      <c r="J675" s="2">
        <v>43776</v>
      </c>
      <c r="K675" s="2">
        <v>65.099582107582293</v>
      </c>
      <c r="L675" s="2">
        <v>50.349600000000002</v>
      </c>
      <c r="M675" s="2">
        <v>-14.749982107582291</v>
      </c>
      <c r="P675" s="39">
        <f t="shared" si="42"/>
        <v>44149</v>
      </c>
    </row>
    <row r="676" spans="10:16">
      <c r="J676" s="2">
        <v>43775</v>
      </c>
      <c r="K676" s="2">
        <v>65.099582107582293</v>
      </c>
      <c r="L676" s="2">
        <v>51.737616000000003</v>
      </c>
      <c r="M676" s="2">
        <v>-13.36196610758229</v>
      </c>
      <c r="P676" s="39">
        <f t="shared" si="42"/>
        <v>44148</v>
      </c>
    </row>
    <row r="677" spans="10:16">
      <c r="J677" s="2">
        <v>43774</v>
      </c>
      <c r="K677" s="2">
        <v>65.099582107582293</v>
      </c>
      <c r="L677" s="2">
        <v>51.265872000000002</v>
      </c>
      <c r="M677" s="2">
        <v>-13.833710107582291</v>
      </c>
      <c r="P677" s="39">
        <f t="shared" si="42"/>
        <v>44147</v>
      </c>
    </row>
    <row r="678" spans="10:16">
      <c r="J678" s="2">
        <v>43773</v>
      </c>
      <c r="K678" s="2">
        <v>65.099582107582293</v>
      </c>
      <c r="L678" s="2">
        <v>51.601536000000003</v>
      </c>
      <c r="M678" s="2">
        <v>-13.49804610758229</v>
      </c>
      <c r="P678" s="39">
        <f t="shared" si="42"/>
        <v>44146</v>
      </c>
    </row>
    <row r="679" spans="10:16">
      <c r="J679" s="2">
        <v>43770</v>
      </c>
      <c r="K679" s="2">
        <v>65.099582107582293</v>
      </c>
      <c r="L679" s="2">
        <v>51.420096000000001</v>
      </c>
      <c r="M679" s="2">
        <v>-13.679486107582292</v>
      </c>
      <c r="P679" s="39">
        <f t="shared" si="42"/>
        <v>44145</v>
      </c>
    </row>
    <row r="680" spans="10:16">
      <c r="J680" s="2">
        <v>43769</v>
      </c>
      <c r="K680" s="2">
        <v>66.381917311815926</v>
      </c>
      <c r="L680" s="2">
        <v>49.741776000000002</v>
      </c>
      <c r="M680" s="2">
        <v>-16.640141311815924</v>
      </c>
      <c r="P680" s="39">
        <f t="shared" si="42"/>
        <v>44144</v>
      </c>
    </row>
    <row r="681" spans="10:16">
      <c r="J681" s="2">
        <v>43768</v>
      </c>
      <c r="K681" s="2">
        <v>66.381917311815926</v>
      </c>
      <c r="L681" s="2">
        <v>51.665040000000005</v>
      </c>
      <c r="M681" s="2">
        <v>-14.716877311815921</v>
      </c>
      <c r="P681" s="39">
        <f t="shared" si="42"/>
        <v>44143</v>
      </c>
    </row>
    <row r="682" spans="10:16">
      <c r="J682" s="2">
        <v>43767</v>
      </c>
      <c r="K682" s="2">
        <v>66.381917311815926</v>
      </c>
      <c r="L682" s="2">
        <v>50.966495999999999</v>
      </c>
      <c r="M682" s="2">
        <v>-15.415421311815926</v>
      </c>
      <c r="P682" s="39">
        <f t="shared" si="42"/>
        <v>44142</v>
      </c>
    </row>
    <row r="683" spans="10:16">
      <c r="J683" s="2">
        <v>43766</v>
      </c>
      <c r="K683" s="2">
        <v>66.381917311815926</v>
      </c>
      <c r="L683" s="2">
        <v>50.948352</v>
      </c>
      <c r="M683" s="2">
        <v>-15.433565311815926</v>
      </c>
      <c r="P683" s="39">
        <f t="shared" si="42"/>
        <v>44141</v>
      </c>
    </row>
    <row r="684" spans="10:16">
      <c r="J684" s="2">
        <v>43763</v>
      </c>
      <c r="K684" s="2">
        <v>66.381917311815926</v>
      </c>
      <c r="L684" s="2">
        <v>51.919055999999998</v>
      </c>
      <c r="M684" s="2">
        <v>-14.462861311815928</v>
      </c>
      <c r="P684" s="39">
        <f t="shared" si="42"/>
        <v>44140</v>
      </c>
    </row>
    <row r="685" spans="10:16">
      <c r="J685" s="2">
        <v>43762</v>
      </c>
      <c r="K685" s="2">
        <v>67.085607447971682</v>
      </c>
      <c r="L685" s="2">
        <v>51.7104</v>
      </c>
      <c r="M685" s="2">
        <v>-15.375207447971682</v>
      </c>
      <c r="P685" s="39">
        <f t="shared" si="42"/>
        <v>44139</v>
      </c>
    </row>
    <row r="686" spans="10:16">
      <c r="J686" s="2">
        <v>43761</v>
      </c>
      <c r="K686" s="2">
        <v>67.085607447971682</v>
      </c>
      <c r="L686" s="2">
        <v>51.919055999999998</v>
      </c>
      <c r="M686" s="2">
        <v>-15.166551447971685</v>
      </c>
      <c r="P686" s="39">
        <f t="shared" si="42"/>
        <v>44138</v>
      </c>
    </row>
    <row r="687" spans="10:16">
      <c r="J687" s="2">
        <v>43760</v>
      </c>
      <c r="K687" s="2">
        <v>67.085607447971682</v>
      </c>
      <c r="L687" s="2">
        <v>52.989551999999996</v>
      </c>
      <c r="M687" s="2">
        <v>-14.096055447971686</v>
      </c>
      <c r="P687" s="39">
        <f t="shared" si="42"/>
        <v>44137</v>
      </c>
    </row>
    <row r="688" spans="10:16">
      <c r="J688" s="2">
        <v>43759</v>
      </c>
      <c r="K688" s="2">
        <v>67.085607447971682</v>
      </c>
      <c r="L688" s="2">
        <v>54.658799999999999</v>
      </c>
      <c r="M688" s="2">
        <v>-12.426807447971683</v>
      </c>
      <c r="P688" s="39">
        <f t="shared" si="42"/>
        <v>44136</v>
      </c>
    </row>
    <row r="689" spans="10:16">
      <c r="J689" s="2">
        <v>43756</v>
      </c>
      <c r="K689" s="2">
        <v>67.085607447971682</v>
      </c>
      <c r="L689" s="2">
        <v>54.776736</v>
      </c>
      <c r="M689" s="2">
        <v>-12.308871447971683</v>
      </c>
      <c r="P689" s="39">
        <f t="shared" si="42"/>
        <v>44135</v>
      </c>
    </row>
    <row r="690" spans="10:16">
      <c r="J690" s="2">
        <v>43755</v>
      </c>
      <c r="K690" s="2">
        <v>67.333248292651334</v>
      </c>
      <c r="L690" s="2">
        <v>54.486432000000001</v>
      </c>
      <c r="M690" s="2">
        <v>-12.846816292651333</v>
      </c>
      <c r="P690" s="39">
        <f t="shared" si="42"/>
        <v>44134</v>
      </c>
    </row>
    <row r="691" spans="10:16">
      <c r="J691" s="2">
        <v>43754</v>
      </c>
      <c r="K691" s="2">
        <v>67.333248292651334</v>
      </c>
      <c r="L691" s="2">
        <v>54.695087999999998</v>
      </c>
      <c r="M691" s="2">
        <v>-12.638160292651335</v>
      </c>
      <c r="P691" s="39">
        <f t="shared" si="42"/>
        <v>44133</v>
      </c>
    </row>
    <row r="692" spans="10:16">
      <c r="J692" s="2">
        <v>43753</v>
      </c>
      <c r="K692" s="2">
        <v>67.333248292651334</v>
      </c>
      <c r="L692" s="2">
        <v>55.538784</v>
      </c>
      <c r="M692" s="2">
        <v>-11.794464292651334</v>
      </c>
      <c r="P692" s="39">
        <f t="shared" si="42"/>
        <v>44132</v>
      </c>
    </row>
    <row r="693" spans="10:16">
      <c r="J693" s="2">
        <v>43752</v>
      </c>
      <c r="K693" s="2">
        <v>67.333248292651334</v>
      </c>
      <c r="L693" s="2">
        <v>54.695087999999998</v>
      </c>
      <c r="M693" s="2">
        <v>-12.638160292651335</v>
      </c>
      <c r="P693" s="39">
        <f t="shared" si="42"/>
        <v>44131</v>
      </c>
    </row>
    <row r="694" spans="10:16">
      <c r="J694" s="2">
        <v>43749</v>
      </c>
      <c r="K694" s="2">
        <v>67.333248292651334</v>
      </c>
      <c r="L694" s="2">
        <v>55.266624</v>
      </c>
      <c r="M694" s="2">
        <v>-12.066624292651333</v>
      </c>
      <c r="P694" s="39">
        <f t="shared" si="42"/>
        <v>44130</v>
      </c>
    </row>
    <row r="695" spans="10:16">
      <c r="J695" s="2">
        <v>43748</v>
      </c>
      <c r="K695" s="2">
        <v>68.185888142623028</v>
      </c>
      <c r="L695" s="2">
        <v>55.566000000000003</v>
      </c>
      <c r="M695" s="2">
        <v>-12.619888142623026</v>
      </c>
      <c r="P695" s="39">
        <f t="shared" si="42"/>
        <v>44129</v>
      </c>
    </row>
    <row r="696" spans="10:16">
      <c r="J696" s="2">
        <v>43747</v>
      </c>
      <c r="K696" s="2">
        <v>68.185888142623028</v>
      </c>
      <c r="L696" s="2">
        <v>55.874448000000001</v>
      </c>
      <c r="M696" s="2">
        <v>-12.311440142623027</v>
      </c>
      <c r="P696" s="39">
        <f t="shared" si="42"/>
        <v>44128</v>
      </c>
    </row>
    <row r="697" spans="10:16">
      <c r="J697" s="2">
        <v>43746</v>
      </c>
      <c r="K697" s="2">
        <v>68.185888142623028</v>
      </c>
      <c r="L697" s="2">
        <v>55.502496000000001</v>
      </c>
      <c r="M697" s="2">
        <v>-12.683392142623028</v>
      </c>
      <c r="P697" s="39">
        <f t="shared" si="42"/>
        <v>44127</v>
      </c>
    </row>
    <row r="698" spans="10:16">
      <c r="J698" s="2">
        <v>43745</v>
      </c>
      <c r="K698" s="2">
        <v>68.185888142623028</v>
      </c>
      <c r="L698" s="2">
        <v>54.205199999999998</v>
      </c>
      <c r="M698" s="2">
        <v>-13.980688142623031</v>
      </c>
      <c r="P698" s="39">
        <f t="shared" si="42"/>
        <v>44126</v>
      </c>
    </row>
    <row r="699" spans="10:16">
      <c r="J699" s="2">
        <v>43742</v>
      </c>
      <c r="K699" s="2">
        <v>68.185888142623028</v>
      </c>
      <c r="L699" s="2">
        <v>54.159840000000003</v>
      </c>
      <c r="M699" s="2">
        <v>-14.026048142623026</v>
      </c>
      <c r="P699" s="39">
        <f t="shared" si="42"/>
        <v>44125</v>
      </c>
    </row>
    <row r="700" spans="10:16">
      <c r="J700" s="2">
        <v>43741</v>
      </c>
      <c r="K700" s="2">
        <v>68.109881385185844</v>
      </c>
      <c r="L700" s="2">
        <v>54.38664</v>
      </c>
      <c r="M700" s="2">
        <v>-13.723241385185844</v>
      </c>
      <c r="P700" s="39">
        <f t="shared" si="42"/>
        <v>44124</v>
      </c>
    </row>
    <row r="701" spans="10:16">
      <c r="J701" s="2">
        <v>43740</v>
      </c>
      <c r="K701" s="2">
        <v>68.109881385185844</v>
      </c>
      <c r="L701" s="2">
        <v>54.286848000000006</v>
      </c>
      <c r="M701" s="2">
        <v>-13.823033385185838</v>
      </c>
      <c r="P701" s="39">
        <f t="shared" si="42"/>
        <v>44123</v>
      </c>
    </row>
    <row r="702" spans="10:16">
      <c r="J702" s="2">
        <v>43739</v>
      </c>
      <c r="K702" s="2">
        <v>68.109881385185844</v>
      </c>
      <c r="L702" s="2">
        <v>54.341279999999998</v>
      </c>
      <c r="M702" s="2">
        <v>-13.768601385185846</v>
      </c>
      <c r="P702" s="39">
        <f t="shared" si="42"/>
        <v>44122</v>
      </c>
    </row>
    <row r="703" spans="10:16">
      <c r="J703" s="2">
        <v>43738</v>
      </c>
      <c r="K703" s="2">
        <v>68.109881385185844</v>
      </c>
      <c r="L703" s="2">
        <v>54.25056</v>
      </c>
      <c r="M703" s="2">
        <v>-13.859321385185844</v>
      </c>
      <c r="P703" s="39">
        <f t="shared" si="42"/>
        <v>44121</v>
      </c>
    </row>
    <row r="704" spans="10:16">
      <c r="J704" s="2">
        <v>43735</v>
      </c>
      <c r="K704" s="2">
        <v>68.109881385185844</v>
      </c>
      <c r="L704" s="2">
        <v>53.062128000000001</v>
      </c>
      <c r="M704" s="2">
        <v>-15.047753385185842</v>
      </c>
      <c r="P704" s="39">
        <f t="shared" si="42"/>
        <v>44120</v>
      </c>
    </row>
    <row r="705" spans="10:16">
      <c r="J705" s="2">
        <v>43734</v>
      </c>
      <c r="K705" s="2">
        <v>68.576351099001769</v>
      </c>
      <c r="L705" s="2">
        <v>52.935120000000005</v>
      </c>
      <c r="M705" s="2">
        <v>-15.641231099001764</v>
      </c>
      <c r="P705" s="39">
        <f t="shared" si="42"/>
        <v>44119</v>
      </c>
    </row>
    <row r="706" spans="10:16">
      <c r="J706" s="2">
        <v>43733</v>
      </c>
      <c r="K706" s="2">
        <v>68.576351099001769</v>
      </c>
      <c r="L706" s="2">
        <v>53.007696000000003</v>
      </c>
      <c r="M706" s="2">
        <v>-15.568655099001766</v>
      </c>
      <c r="P706" s="39">
        <f t="shared" si="42"/>
        <v>44118</v>
      </c>
    </row>
    <row r="707" spans="10:16">
      <c r="J707" s="2">
        <v>43732</v>
      </c>
      <c r="K707" s="2">
        <v>68.576351099001769</v>
      </c>
      <c r="L707" s="2">
        <v>54.686016000000002</v>
      </c>
      <c r="M707" s="2">
        <v>-13.890335099001767</v>
      </c>
      <c r="P707" s="39">
        <f t="shared" si="42"/>
        <v>44117</v>
      </c>
    </row>
    <row r="708" spans="10:16">
      <c r="J708" s="2">
        <v>43731</v>
      </c>
      <c r="K708" s="2">
        <v>68.576351099001769</v>
      </c>
      <c r="L708" s="2">
        <v>56.083103999999999</v>
      </c>
      <c r="M708" s="2">
        <v>-12.493247099001771</v>
      </c>
      <c r="P708" s="39">
        <f t="shared" si="42"/>
        <v>44116</v>
      </c>
    </row>
    <row r="709" spans="10:16">
      <c r="J709" s="2">
        <v>43728</v>
      </c>
      <c r="K709" s="2">
        <v>68.576351099001769</v>
      </c>
      <c r="L709" s="2">
        <v>56.509487999999997</v>
      </c>
      <c r="M709" s="2">
        <v>-12.066863099001772</v>
      </c>
      <c r="P709" s="39">
        <f t="shared" si="42"/>
        <v>44115</v>
      </c>
    </row>
    <row r="710" spans="10:16">
      <c r="J710" s="2">
        <v>43727</v>
      </c>
      <c r="K710" s="2">
        <v>69.356047992594696</v>
      </c>
      <c r="L710" s="2">
        <v>56.609279999999998</v>
      </c>
      <c r="M710" s="2">
        <v>-12.746767992594698</v>
      </c>
      <c r="P710" s="39">
        <f t="shared" si="42"/>
        <v>44114</v>
      </c>
    </row>
    <row r="711" spans="10:16">
      <c r="J711" s="2">
        <v>43726</v>
      </c>
      <c r="K711" s="2">
        <v>69.356047992594696</v>
      </c>
      <c r="L711" s="2">
        <v>56.382480000000001</v>
      </c>
      <c r="M711" s="2">
        <v>-12.973567992594695</v>
      </c>
      <c r="P711" s="39">
        <f t="shared" ref="P711:P774" si="43">P710-1</f>
        <v>44113</v>
      </c>
    </row>
    <row r="712" spans="10:16">
      <c r="J712" s="2">
        <v>43725</v>
      </c>
      <c r="K712" s="2">
        <v>69.356047992594696</v>
      </c>
      <c r="L712" s="2">
        <v>57.616272000000002</v>
      </c>
      <c r="M712" s="2">
        <v>-11.739775992594694</v>
      </c>
      <c r="P712" s="39">
        <f t="shared" si="43"/>
        <v>44112</v>
      </c>
    </row>
    <row r="713" spans="10:16">
      <c r="J713" s="2">
        <v>43724</v>
      </c>
      <c r="K713" s="2">
        <v>69.356047992594696</v>
      </c>
      <c r="L713" s="2">
        <v>58.142448000000002</v>
      </c>
      <c r="M713" s="2">
        <v>-11.213599992594695</v>
      </c>
      <c r="P713" s="39">
        <f t="shared" si="43"/>
        <v>44111</v>
      </c>
    </row>
    <row r="714" spans="10:16">
      <c r="J714" s="2">
        <v>43721</v>
      </c>
      <c r="K714" s="2">
        <v>69.356047992594696</v>
      </c>
      <c r="L714" s="2">
        <v>57.090096000000003</v>
      </c>
      <c r="M714" s="2">
        <v>-12.265951992594694</v>
      </c>
      <c r="P714" s="39">
        <f t="shared" si="43"/>
        <v>44110</v>
      </c>
    </row>
    <row r="715" spans="10:16">
      <c r="J715" s="2">
        <v>43720</v>
      </c>
      <c r="K715" s="2">
        <v>69.777772215992911</v>
      </c>
      <c r="L715" s="2">
        <v>57.226176000000002</v>
      </c>
      <c r="M715" s="2">
        <v>-12.551596215992909</v>
      </c>
      <c r="P715" s="39">
        <f t="shared" si="43"/>
        <v>44109</v>
      </c>
    </row>
    <row r="716" spans="10:16">
      <c r="J716" s="2">
        <v>43719</v>
      </c>
      <c r="K716" s="2">
        <v>69.777772215992911</v>
      </c>
      <c r="L716" s="2">
        <v>57.398544000000001</v>
      </c>
      <c r="M716" s="2">
        <v>-12.37922821599291</v>
      </c>
      <c r="P716" s="39">
        <f t="shared" si="43"/>
        <v>44108</v>
      </c>
    </row>
    <row r="717" spans="10:16">
      <c r="J717" s="2">
        <v>43718</v>
      </c>
      <c r="K717" s="2">
        <v>69.777772215992911</v>
      </c>
      <c r="L717" s="2">
        <v>56.382480000000001</v>
      </c>
      <c r="M717" s="2">
        <v>-13.39529221599291</v>
      </c>
      <c r="P717" s="39">
        <f t="shared" si="43"/>
        <v>44107</v>
      </c>
    </row>
    <row r="718" spans="10:16">
      <c r="J718" s="2">
        <v>43717</v>
      </c>
      <c r="K718" s="2">
        <v>69.777772215992911</v>
      </c>
      <c r="L718" s="2">
        <v>53.869536000000004</v>
      </c>
      <c r="M718" s="2">
        <v>-15.908236215992908</v>
      </c>
      <c r="P718" s="39">
        <f t="shared" si="43"/>
        <v>44106</v>
      </c>
    </row>
    <row r="719" spans="10:16">
      <c r="J719" s="2">
        <v>43714</v>
      </c>
      <c r="K719" s="2">
        <v>69.777772215992911</v>
      </c>
      <c r="L719" s="2">
        <v>52.617600000000003</v>
      </c>
      <c r="M719" s="2">
        <v>-17.160172215992908</v>
      </c>
      <c r="P719" s="39">
        <f t="shared" si="43"/>
        <v>44105</v>
      </c>
    </row>
    <row r="720" spans="10:16">
      <c r="J720" s="2">
        <v>43713</v>
      </c>
      <c r="K720" s="2">
        <v>72.759268264906183</v>
      </c>
      <c r="L720" s="2">
        <v>51.157007999999998</v>
      </c>
      <c r="M720" s="2">
        <v>-21.602260264906185</v>
      </c>
      <c r="P720" s="39">
        <f t="shared" si="43"/>
        <v>44104</v>
      </c>
    </row>
    <row r="721" spans="10:16">
      <c r="J721" s="2">
        <v>43712</v>
      </c>
      <c r="K721" s="2">
        <v>72.759268264906183</v>
      </c>
      <c r="L721" s="2">
        <v>52.245648000000003</v>
      </c>
      <c r="M721" s="2">
        <v>-20.51362026490618</v>
      </c>
      <c r="P721" s="39">
        <f t="shared" si="43"/>
        <v>44103</v>
      </c>
    </row>
    <row r="722" spans="10:16">
      <c r="J722" s="2">
        <v>43711</v>
      </c>
      <c r="K722" s="2">
        <v>72.759268264906183</v>
      </c>
      <c r="L722" s="2">
        <v>51.465455999999996</v>
      </c>
      <c r="M722" s="2">
        <v>-21.293812264906187</v>
      </c>
      <c r="P722" s="39">
        <f t="shared" si="43"/>
        <v>44102</v>
      </c>
    </row>
    <row r="723" spans="10:16">
      <c r="J723" s="2">
        <v>43710</v>
      </c>
      <c r="K723" s="2">
        <v>72.759268264906183</v>
      </c>
      <c r="L723" s="2">
        <v>49.995792000000002</v>
      </c>
      <c r="M723" s="2">
        <v>-22.763476264906181</v>
      </c>
      <c r="P723" s="39">
        <f t="shared" si="43"/>
        <v>44101</v>
      </c>
    </row>
    <row r="724" spans="10:16">
      <c r="J724" s="2">
        <v>43707</v>
      </c>
      <c r="K724" s="2">
        <v>73.280289381897347</v>
      </c>
      <c r="L724" s="2">
        <v>44.752175999999999</v>
      </c>
      <c r="M724" s="2">
        <v>-28.528113381897349</v>
      </c>
      <c r="P724" s="39">
        <f t="shared" si="43"/>
        <v>44100</v>
      </c>
    </row>
    <row r="725" spans="10:16">
      <c r="J725" s="2">
        <v>43706</v>
      </c>
      <c r="K725" s="2">
        <v>72.064760785072565</v>
      </c>
      <c r="L725" s="2">
        <v>43.727040000000002</v>
      </c>
      <c r="M725" s="2">
        <v>-28.337720785072563</v>
      </c>
      <c r="P725" s="39">
        <f t="shared" si="43"/>
        <v>44099</v>
      </c>
    </row>
    <row r="726" spans="10:16">
      <c r="J726" s="2">
        <v>43705</v>
      </c>
      <c r="K726" s="2">
        <v>72.064760785072565</v>
      </c>
      <c r="L726" s="2">
        <v>43.899408000000001</v>
      </c>
      <c r="M726" s="2">
        <v>-28.165352785072564</v>
      </c>
      <c r="P726" s="39">
        <f t="shared" si="43"/>
        <v>44098</v>
      </c>
    </row>
    <row r="727" spans="10:16">
      <c r="J727" s="2">
        <v>43704</v>
      </c>
      <c r="K727" s="2">
        <v>72.064760785072565</v>
      </c>
      <c r="L727" s="2">
        <v>44.470944000000003</v>
      </c>
      <c r="M727" s="2">
        <v>-27.593816785072562</v>
      </c>
      <c r="P727" s="39">
        <f t="shared" si="43"/>
        <v>44097</v>
      </c>
    </row>
    <row r="728" spans="10:16">
      <c r="J728" s="2">
        <v>43703</v>
      </c>
      <c r="K728" s="2">
        <v>72.064760785072565</v>
      </c>
      <c r="L728" s="2">
        <v>47.219760000000001</v>
      </c>
      <c r="M728" s="2">
        <v>-24.845000785072564</v>
      </c>
      <c r="P728" s="39">
        <f t="shared" si="43"/>
        <v>44096</v>
      </c>
    </row>
    <row r="729" spans="10:16">
      <c r="J729" s="2">
        <v>43700</v>
      </c>
      <c r="K729" s="2">
        <v>72.064760785072565</v>
      </c>
      <c r="L729" s="2">
        <v>47.219760000000001</v>
      </c>
      <c r="M729" s="2">
        <v>-24.845000785072564</v>
      </c>
      <c r="P729" s="39">
        <f t="shared" si="43"/>
        <v>44095</v>
      </c>
    </row>
    <row r="730" spans="10:16">
      <c r="J730" s="2">
        <v>43699</v>
      </c>
      <c r="K730" s="2">
        <v>72.593753032927438</v>
      </c>
      <c r="L730" s="2">
        <v>47.609856000000001</v>
      </c>
      <c r="M730" s="2">
        <v>-24.983897032927437</v>
      </c>
      <c r="P730" s="39">
        <f t="shared" si="43"/>
        <v>44094</v>
      </c>
    </row>
    <row r="731" spans="10:16">
      <c r="J731" s="2">
        <v>43698</v>
      </c>
      <c r="K731" s="2">
        <v>72.593753032927438</v>
      </c>
      <c r="L731" s="2">
        <v>48.535200000000003</v>
      </c>
      <c r="M731" s="2">
        <v>-24.058553032927435</v>
      </c>
      <c r="P731" s="39">
        <f t="shared" si="43"/>
        <v>44093</v>
      </c>
    </row>
    <row r="732" spans="10:16">
      <c r="J732" s="2">
        <v>43697</v>
      </c>
      <c r="K732" s="2">
        <v>72.593753032927438</v>
      </c>
      <c r="L732" s="2">
        <v>49.288176</v>
      </c>
      <c r="M732" s="2">
        <v>-23.305577032927438</v>
      </c>
      <c r="P732" s="39">
        <f t="shared" si="43"/>
        <v>44092</v>
      </c>
    </row>
    <row r="733" spans="10:16">
      <c r="J733" s="2">
        <v>43696</v>
      </c>
      <c r="K733" s="2">
        <v>72.593753032927438</v>
      </c>
      <c r="L733" s="2">
        <v>50.249808000000002</v>
      </c>
      <c r="M733" s="2">
        <v>-22.343945032927437</v>
      </c>
      <c r="P733" s="39">
        <f t="shared" si="43"/>
        <v>44091</v>
      </c>
    </row>
    <row r="734" spans="10:16">
      <c r="J734" s="2">
        <v>43693</v>
      </c>
      <c r="K734" s="2">
        <v>72.593753032927438</v>
      </c>
      <c r="L734" s="2">
        <v>49.914144</v>
      </c>
      <c r="M734" s="2">
        <v>-22.679609032927438</v>
      </c>
      <c r="P734" s="39">
        <f t="shared" si="43"/>
        <v>44090</v>
      </c>
    </row>
    <row r="735" spans="10:16">
      <c r="J735" s="2">
        <v>43692</v>
      </c>
      <c r="K735" s="2">
        <v>70.950372610587607</v>
      </c>
      <c r="L735" s="2">
        <v>48.816431999999999</v>
      </c>
      <c r="M735" s="2">
        <v>-22.133940610587608</v>
      </c>
      <c r="P735" s="39">
        <f t="shared" si="43"/>
        <v>44089</v>
      </c>
    </row>
    <row r="736" spans="10:16">
      <c r="J736" s="2">
        <v>43691</v>
      </c>
      <c r="K736" s="2">
        <v>70.950372610587607</v>
      </c>
      <c r="L736" s="2">
        <v>49.896000000000001</v>
      </c>
      <c r="M736" s="2">
        <v>-21.054372610587606</v>
      </c>
      <c r="P736" s="39">
        <f t="shared" si="43"/>
        <v>44088</v>
      </c>
    </row>
    <row r="737" spans="10:16">
      <c r="J737" s="2">
        <v>43690</v>
      </c>
      <c r="K737" s="2">
        <v>70.950372610587607</v>
      </c>
      <c r="L737" s="2">
        <v>50.349600000000002</v>
      </c>
      <c r="M737" s="2">
        <v>-20.600772610587605</v>
      </c>
      <c r="P737" s="39">
        <f t="shared" si="43"/>
        <v>44087</v>
      </c>
    </row>
    <row r="738" spans="10:16">
      <c r="J738" s="2">
        <v>43689</v>
      </c>
      <c r="K738" s="2">
        <v>70.950372610587607</v>
      </c>
      <c r="L738" s="2">
        <v>50.204448000000006</v>
      </c>
      <c r="M738" s="2">
        <v>-20.745924610587601</v>
      </c>
      <c r="P738" s="39">
        <f t="shared" si="43"/>
        <v>44086</v>
      </c>
    </row>
    <row r="739" spans="10:16">
      <c r="J739" s="2">
        <v>43686</v>
      </c>
      <c r="K739" s="2">
        <v>70.950372610587607</v>
      </c>
      <c r="L739" s="2">
        <v>50.213520000000003</v>
      </c>
      <c r="M739" s="2">
        <v>-20.736852610587604</v>
      </c>
      <c r="P739" s="39">
        <f t="shared" si="43"/>
        <v>44085</v>
      </c>
    </row>
    <row r="740" spans="10:16">
      <c r="J740" s="2">
        <v>43685</v>
      </c>
      <c r="K740" s="2">
        <v>71.585403863734513</v>
      </c>
      <c r="L740" s="2">
        <v>50.131872000000001</v>
      </c>
      <c r="M740" s="2">
        <v>-21.453531863734511</v>
      </c>
      <c r="P740" s="39">
        <f t="shared" si="43"/>
        <v>44084</v>
      </c>
    </row>
    <row r="741" spans="10:16">
      <c r="J741" s="2">
        <v>43684</v>
      </c>
      <c r="K741" s="2">
        <v>71.585403863734513</v>
      </c>
      <c r="L741" s="2">
        <v>50.231663999999995</v>
      </c>
      <c r="M741" s="2">
        <v>-21.353739863734518</v>
      </c>
      <c r="P741" s="39">
        <f t="shared" si="43"/>
        <v>44083</v>
      </c>
    </row>
    <row r="742" spans="10:16">
      <c r="J742" s="2">
        <v>43683</v>
      </c>
      <c r="K742" s="2">
        <v>71.585403863734513</v>
      </c>
      <c r="L742" s="2">
        <v>49.923216000000004</v>
      </c>
      <c r="M742" s="2">
        <v>-21.662187863734509</v>
      </c>
      <c r="P742" s="39">
        <f t="shared" si="43"/>
        <v>44082</v>
      </c>
    </row>
    <row r="743" spans="10:16">
      <c r="J743" s="2">
        <v>43682</v>
      </c>
      <c r="K743" s="2">
        <v>71.585403863734513</v>
      </c>
      <c r="L743" s="2">
        <v>51.229584000000003</v>
      </c>
      <c r="M743" s="2">
        <v>-20.35581986373451</v>
      </c>
      <c r="P743" s="39">
        <f t="shared" si="43"/>
        <v>44081</v>
      </c>
    </row>
    <row r="744" spans="10:16">
      <c r="J744" s="2">
        <v>43679</v>
      </c>
      <c r="K744" s="2">
        <v>71.585403863734513</v>
      </c>
      <c r="L744" s="2">
        <v>52.245648000000003</v>
      </c>
      <c r="M744" s="2">
        <v>-19.33975586373451</v>
      </c>
      <c r="P744" s="39">
        <f t="shared" si="43"/>
        <v>44080</v>
      </c>
    </row>
    <row r="745" spans="10:16">
      <c r="J745" s="2">
        <v>43678</v>
      </c>
      <c r="K745" s="2">
        <v>74.012159490307965</v>
      </c>
      <c r="L745" s="2">
        <v>53.524799999999999</v>
      </c>
      <c r="M745" s="2">
        <v>-20.487359490307966</v>
      </c>
      <c r="P745" s="39">
        <f t="shared" si="43"/>
        <v>44079</v>
      </c>
    </row>
    <row r="746" spans="10:16">
      <c r="J746" s="2">
        <v>43677</v>
      </c>
      <c r="K746" s="2">
        <v>74.012159490307965</v>
      </c>
      <c r="L746" s="2">
        <v>52.944192000000001</v>
      </c>
      <c r="M746" s="2">
        <v>-21.067967490307964</v>
      </c>
      <c r="P746" s="39">
        <f t="shared" si="43"/>
        <v>44078</v>
      </c>
    </row>
    <row r="747" spans="10:16">
      <c r="J747" s="2">
        <v>43676</v>
      </c>
      <c r="K747" s="2">
        <v>74.012159490307965</v>
      </c>
      <c r="L747" s="2">
        <v>53.207279999999997</v>
      </c>
      <c r="M747" s="2">
        <v>-20.804879490307968</v>
      </c>
      <c r="P747" s="39">
        <f t="shared" si="43"/>
        <v>44077</v>
      </c>
    </row>
    <row r="748" spans="10:16">
      <c r="J748" s="2">
        <v>43675</v>
      </c>
      <c r="K748" s="2">
        <v>74.012159490307965</v>
      </c>
      <c r="L748" s="2">
        <v>54.38664</v>
      </c>
      <c r="M748" s="2">
        <v>-19.625519490307965</v>
      </c>
      <c r="P748" s="39">
        <f t="shared" si="43"/>
        <v>44076</v>
      </c>
    </row>
    <row r="749" spans="10:16">
      <c r="J749" s="2">
        <v>43672</v>
      </c>
      <c r="K749" s="2">
        <v>74.012159490307965</v>
      </c>
      <c r="L749" s="2">
        <v>55.085183999999998</v>
      </c>
      <c r="M749" s="2">
        <v>-18.926975490307967</v>
      </c>
      <c r="P749" s="39">
        <f t="shared" si="43"/>
        <v>44075</v>
      </c>
    </row>
    <row r="750" spans="10:16">
      <c r="J750" s="2">
        <v>43671</v>
      </c>
      <c r="K750" s="2">
        <v>74.952455539221233</v>
      </c>
      <c r="L750" s="2">
        <v>55.556927999999999</v>
      </c>
      <c r="M750" s="2">
        <v>-19.395527539221234</v>
      </c>
      <c r="P750" s="39">
        <f t="shared" si="43"/>
        <v>44074</v>
      </c>
    </row>
    <row r="751" spans="10:16">
      <c r="J751" s="2">
        <v>43670</v>
      </c>
      <c r="K751" s="2">
        <v>74.952455539221233</v>
      </c>
      <c r="L751" s="2">
        <v>56.300832</v>
      </c>
      <c r="M751" s="2">
        <v>-18.651623539221234</v>
      </c>
      <c r="P751" s="39">
        <f t="shared" si="43"/>
        <v>44073</v>
      </c>
    </row>
    <row r="752" spans="10:16">
      <c r="J752" s="2">
        <v>43669</v>
      </c>
      <c r="K752" s="2">
        <v>74.952455539221233</v>
      </c>
      <c r="L752" s="2">
        <v>55.883520000000004</v>
      </c>
      <c r="M752" s="2">
        <v>-19.068935539221229</v>
      </c>
      <c r="P752" s="39">
        <f t="shared" si="43"/>
        <v>44072</v>
      </c>
    </row>
    <row r="753" spans="10:16">
      <c r="J753" s="2">
        <v>43668</v>
      </c>
      <c r="K753" s="2">
        <v>74.952455539221233</v>
      </c>
      <c r="L753" s="2">
        <v>56.228255999999995</v>
      </c>
      <c r="M753" s="2">
        <v>-18.724199539221239</v>
      </c>
      <c r="P753" s="39">
        <f t="shared" si="43"/>
        <v>44071</v>
      </c>
    </row>
    <row r="754" spans="10:16">
      <c r="J754" s="2">
        <v>43665</v>
      </c>
      <c r="K754" s="2">
        <v>74.952455539221233</v>
      </c>
      <c r="L754" s="2">
        <v>55.012608</v>
      </c>
      <c r="M754" s="2">
        <v>-19.939847539221233</v>
      </c>
      <c r="P754" s="39">
        <f t="shared" si="43"/>
        <v>44070</v>
      </c>
    </row>
    <row r="755" spans="10:16">
      <c r="J755" s="2">
        <v>43664</v>
      </c>
      <c r="K755" s="2">
        <v>74.092450321115038</v>
      </c>
      <c r="L755" s="2">
        <v>54.096336000000001</v>
      </c>
      <c r="M755" s="2">
        <v>-19.996114321115037</v>
      </c>
      <c r="P755" s="39">
        <f t="shared" si="43"/>
        <v>44069</v>
      </c>
    </row>
    <row r="756" spans="10:16">
      <c r="J756" s="2">
        <v>43663</v>
      </c>
      <c r="K756" s="2">
        <v>74.092450321115038</v>
      </c>
      <c r="L756" s="2">
        <v>52.907904000000002</v>
      </c>
      <c r="M756" s="2">
        <v>-21.184546321115036</v>
      </c>
      <c r="P756" s="39">
        <f t="shared" si="43"/>
        <v>44068</v>
      </c>
    </row>
    <row r="757" spans="10:16">
      <c r="J757" s="2">
        <v>43662</v>
      </c>
      <c r="K757" s="2">
        <v>74.092450321115038</v>
      </c>
      <c r="L757" s="2">
        <v>52.762751999999999</v>
      </c>
      <c r="M757" s="2">
        <v>-21.329698321115039</v>
      </c>
      <c r="P757" s="39">
        <f t="shared" si="43"/>
        <v>44067</v>
      </c>
    </row>
    <row r="758" spans="10:16">
      <c r="J758" s="2">
        <v>43661</v>
      </c>
      <c r="K758" s="2">
        <v>74.092450321115038</v>
      </c>
      <c r="L758" s="2">
        <v>54.377567999999997</v>
      </c>
      <c r="M758" s="2">
        <v>-19.714882321115041</v>
      </c>
      <c r="P758" s="39">
        <f t="shared" si="43"/>
        <v>44066</v>
      </c>
    </row>
    <row r="759" spans="10:16">
      <c r="J759" s="2">
        <v>43658</v>
      </c>
      <c r="K759" s="2">
        <v>74.092450321115038</v>
      </c>
      <c r="L759" s="2">
        <v>54.341279999999998</v>
      </c>
      <c r="M759" s="2">
        <v>-19.75117032111504</v>
      </c>
      <c r="P759" s="39">
        <f t="shared" si="43"/>
        <v>44065</v>
      </c>
    </row>
    <row r="760" spans="10:16">
      <c r="J760" s="2">
        <v>43657</v>
      </c>
      <c r="K760" s="2">
        <v>73.275961574261956</v>
      </c>
      <c r="L760" s="2">
        <v>54.513648000000003</v>
      </c>
      <c r="M760" s="2">
        <v>-18.762313574261952</v>
      </c>
      <c r="P760" s="39">
        <f t="shared" si="43"/>
        <v>44064</v>
      </c>
    </row>
    <row r="761" spans="10:16">
      <c r="J761" s="2">
        <v>43656</v>
      </c>
      <c r="K761" s="2">
        <v>73.275961574261956</v>
      </c>
      <c r="L761" s="2">
        <v>52.608528</v>
      </c>
      <c r="M761" s="2">
        <v>-20.667433574261956</v>
      </c>
      <c r="P761" s="39">
        <f t="shared" si="43"/>
        <v>44063</v>
      </c>
    </row>
    <row r="762" spans="10:16">
      <c r="J762" s="2">
        <v>43655</v>
      </c>
      <c r="K762" s="2">
        <v>73.275961574261956</v>
      </c>
      <c r="L762" s="2">
        <v>52.454304</v>
      </c>
      <c r="M762" s="2">
        <v>-20.821657574261955</v>
      </c>
      <c r="P762" s="39">
        <f t="shared" si="43"/>
        <v>44062</v>
      </c>
    </row>
    <row r="763" spans="10:16">
      <c r="J763" s="2">
        <v>43654</v>
      </c>
      <c r="K763" s="2">
        <v>73.275961574261956</v>
      </c>
      <c r="L763" s="2">
        <v>53.896751999999999</v>
      </c>
      <c r="M763" s="2">
        <v>-19.379209574261957</v>
      </c>
      <c r="P763" s="39">
        <f t="shared" si="43"/>
        <v>44061</v>
      </c>
    </row>
    <row r="764" spans="10:16">
      <c r="J764" s="2">
        <v>43651</v>
      </c>
      <c r="K764" s="2">
        <v>73.275961574261956</v>
      </c>
      <c r="L764" s="2">
        <v>52.209359999999997</v>
      </c>
      <c r="M764" s="2">
        <v>-21.066601574261959</v>
      </c>
      <c r="P764" s="39">
        <f t="shared" si="43"/>
        <v>44060</v>
      </c>
    </row>
    <row r="765" spans="10:16">
      <c r="J765" s="2">
        <v>43650</v>
      </c>
      <c r="K765" s="2">
        <v>71.998524952980532</v>
      </c>
      <c r="L765" s="2">
        <v>49.03416</v>
      </c>
      <c r="M765" s="2">
        <v>-22.964364952980532</v>
      </c>
      <c r="P765" s="39">
        <f t="shared" si="43"/>
        <v>44059</v>
      </c>
    </row>
    <row r="766" spans="10:16">
      <c r="J766" s="2">
        <v>43649</v>
      </c>
      <c r="K766" s="2">
        <v>71.998524952980532</v>
      </c>
      <c r="L766" s="2">
        <v>48.063455999999995</v>
      </c>
      <c r="M766" s="2">
        <v>-23.935068952980536</v>
      </c>
      <c r="P766" s="39">
        <f t="shared" si="43"/>
        <v>44058</v>
      </c>
    </row>
    <row r="767" spans="10:16">
      <c r="J767" s="2">
        <v>43648</v>
      </c>
      <c r="K767" s="2">
        <v>71.998524952980532</v>
      </c>
      <c r="L767" s="2">
        <v>46.666367999999999</v>
      </c>
      <c r="M767" s="2">
        <v>-25.332156952980533</v>
      </c>
      <c r="P767" s="39">
        <f t="shared" si="43"/>
        <v>44057</v>
      </c>
    </row>
    <row r="768" spans="10:16">
      <c r="J768" s="2">
        <v>43647</v>
      </c>
      <c r="K768" s="2">
        <v>71.998524952980532</v>
      </c>
      <c r="L768" s="2">
        <v>46.748016</v>
      </c>
      <c r="M768" s="2">
        <v>-25.250508952980532</v>
      </c>
      <c r="P768" s="39">
        <f t="shared" si="43"/>
        <v>44056</v>
      </c>
    </row>
    <row r="769" spans="10:16">
      <c r="J769" s="2">
        <v>43644</v>
      </c>
      <c r="K769" s="2">
        <v>71.998524952980532</v>
      </c>
      <c r="L769" s="2">
        <v>42.710976000000002</v>
      </c>
      <c r="M769" s="2">
        <v>-29.287548952980529</v>
      </c>
      <c r="P769" s="39">
        <f t="shared" si="43"/>
        <v>44055</v>
      </c>
    </row>
    <row r="770" spans="10:16">
      <c r="J770" s="2">
        <v>43643</v>
      </c>
      <c r="K770" s="2">
        <v>70.319590443398241</v>
      </c>
      <c r="L770" s="2">
        <v>43.119216000000002</v>
      </c>
      <c r="M770" s="2">
        <v>-27.200374443398239</v>
      </c>
      <c r="P770" s="39">
        <f t="shared" si="43"/>
        <v>44054</v>
      </c>
    </row>
    <row r="771" spans="10:16">
      <c r="J771" s="2">
        <v>43642</v>
      </c>
      <c r="K771" s="2">
        <v>70.319590443398241</v>
      </c>
      <c r="L771" s="2">
        <v>43.327871999999999</v>
      </c>
      <c r="M771" s="2">
        <v>-26.991718443398241</v>
      </c>
      <c r="P771" s="39">
        <f t="shared" si="43"/>
        <v>44053</v>
      </c>
    </row>
    <row r="772" spans="10:16">
      <c r="J772" s="2">
        <v>43641</v>
      </c>
      <c r="K772" s="2">
        <v>70.319590443398241</v>
      </c>
      <c r="L772" s="2">
        <v>43.300655999999996</v>
      </c>
      <c r="M772" s="2">
        <v>-27.018934443398244</v>
      </c>
      <c r="P772" s="39">
        <f t="shared" si="43"/>
        <v>44052</v>
      </c>
    </row>
    <row r="773" spans="10:16">
      <c r="J773" s="2">
        <v>43640</v>
      </c>
      <c r="K773" s="2">
        <v>70.319590443398241</v>
      </c>
      <c r="L773" s="2">
        <v>43.600032000000006</v>
      </c>
      <c r="M773" s="2">
        <v>-26.719558443398235</v>
      </c>
      <c r="P773" s="39">
        <f t="shared" si="43"/>
        <v>44051</v>
      </c>
    </row>
    <row r="774" spans="10:16">
      <c r="J774" s="2">
        <v>43637</v>
      </c>
      <c r="K774" s="2">
        <v>70.319590443398241</v>
      </c>
      <c r="L774" s="2">
        <v>43.754255999999998</v>
      </c>
      <c r="M774" s="2">
        <v>-26.565334443398243</v>
      </c>
      <c r="P774" s="39">
        <f t="shared" si="43"/>
        <v>44050</v>
      </c>
    </row>
    <row r="775" spans="10:16">
      <c r="J775" s="2">
        <v>43636</v>
      </c>
      <c r="K775" s="2">
        <v>70.626075511476117</v>
      </c>
      <c r="L775" s="2">
        <v>43.5456</v>
      </c>
      <c r="M775" s="2">
        <v>-27.080475511476116</v>
      </c>
      <c r="P775" s="39">
        <f t="shared" ref="P775:P779" si="44">P774-1</f>
        <v>44049</v>
      </c>
    </row>
    <row r="776" spans="10:16">
      <c r="J776" s="2">
        <v>43635</v>
      </c>
      <c r="K776" s="2">
        <v>70.626075511476117</v>
      </c>
      <c r="L776" s="2">
        <v>42.874271999999998</v>
      </c>
      <c r="M776" s="2">
        <v>-27.751803511476119</v>
      </c>
      <c r="P776" s="39">
        <f t="shared" si="44"/>
        <v>44048</v>
      </c>
    </row>
    <row r="777" spans="10:16">
      <c r="J777" s="2">
        <v>43634</v>
      </c>
      <c r="K777" s="2">
        <v>70.626075511476117</v>
      </c>
      <c r="L777" s="2">
        <v>43.554671999999997</v>
      </c>
      <c r="M777" s="2">
        <v>-27.07140351147612</v>
      </c>
      <c r="P777" s="39">
        <f t="shared" si="44"/>
        <v>44047</v>
      </c>
    </row>
    <row r="778" spans="10:16">
      <c r="J778" s="2">
        <v>43633</v>
      </c>
      <c r="K778" s="2">
        <v>70.626075511476117</v>
      </c>
      <c r="L778" s="2">
        <v>43.373232000000002</v>
      </c>
      <c r="M778" s="2">
        <v>-27.252843511476115</v>
      </c>
      <c r="P778" s="39">
        <f t="shared" si="44"/>
        <v>44046</v>
      </c>
    </row>
    <row r="779" spans="10:16">
      <c r="J779" s="2">
        <v>43630</v>
      </c>
      <c r="K779" s="2">
        <v>70.626075511476117</v>
      </c>
      <c r="L779" s="2">
        <v>43.95384</v>
      </c>
      <c r="M779" s="2">
        <v>-26.672235511476117</v>
      </c>
      <c r="P779" s="39">
        <f t="shared" si="44"/>
        <v>44045</v>
      </c>
    </row>
    <row r="780" spans="10:16">
      <c r="J780" s="2">
        <v>43629</v>
      </c>
      <c r="K780" s="2">
        <v>71.294826069971691</v>
      </c>
      <c r="L780" s="2">
        <v>44.425584000000001</v>
      </c>
      <c r="M780" s="2">
        <v>-26.869242069971691</v>
      </c>
    </row>
    <row r="781" spans="10:16">
      <c r="J781" s="2">
        <v>43628</v>
      </c>
      <c r="K781" s="2">
        <v>71.294826069971691</v>
      </c>
      <c r="L781" s="2">
        <v>45.051551999999994</v>
      </c>
      <c r="M781" s="2">
        <v>-26.243274069971697</v>
      </c>
    </row>
    <row r="782" spans="10:16">
      <c r="J782" s="2">
        <v>43627</v>
      </c>
      <c r="K782" s="2">
        <v>71.294826069971691</v>
      </c>
      <c r="L782" s="2">
        <v>45.332783999999997</v>
      </c>
      <c r="M782" s="2">
        <v>-25.962042069971695</v>
      </c>
    </row>
    <row r="783" spans="10:16">
      <c r="J783" s="2">
        <v>43626</v>
      </c>
      <c r="K783" s="2">
        <v>71.294826069971691</v>
      </c>
      <c r="L783" s="2">
        <v>46.22184</v>
      </c>
      <c r="M783" s="2">
        <v>-25.072986069971691</v>
      </c>
    </row>
    <row r="784" spans="10:16">
      <c r="J784" s="2">
        <v>43623</v>
      </c>
      <c r="K784" s="2">
        <v>71.294826069971691</v>
      </c>
      <c r="L784" s="2">
        <v>46.494</v>
      </c>
      <c r="M784" s="2">
        <v>-24.800826069971691</v>
      </c>
    </row>
    <row r="785" spans="10:13">
      <c r="J785" s="2">
        <v>43622</v>
      </c>
      <c r="K785" s="2">
        <v>72.376109448690258</v>
      </c>
      <c r="L785" s="2">
        <v>45.133200000000002</v>
      </c>
      <c r="M785" s="2">
        <v>-27.242909448690256</v>
      </c>
    </row>
    <row r="786" spans="10:13">
      <c r="J786" s="2">
        <v>43621</v>
      </c>
      <c r="K786" s="2">
        <v>72.376109448690258</v>
      </c>
      <c r="L786" s="2">
        <v>45.813600000000001</v>
      </c>
      <c r="M786" s="2">
        <v>-26.562509448690257</v>
      </c>
    </row>
    <row r="787" spans="10:13">
      <c r="J787" s="2">
        <v>43620</v>
      </c>
      <c r="K787" s="2">
        <v>72.376109448690258</v>
      </c>
      <c r="L787" s="2">
        <v>46.167408000000002</v>
      </c>
      <c r="M787" s="2">
        <v>-26.208701448690256</v>
      </c>
    </row>
    <row r="788" spans="10:13">
      <c r="J788" s="2">
        <v>43619</v>
      </c>
      <c r="K788" s="2">
        <v>72.376109448690258</v>
      </c>
      <c r="L788" s="2">
        <v>45.976896000000004</v>
      </c>
      <c r="M788" s="2">
        <v>-26.399213448690254</v>
      </c>
    </row>
    <row r="789" spans="10:13">
      <c r="J789" s="2">
        <v>43616</v>
      </c>
      <c r="K789" s="2">
        <v>72.376109448690258</v>
      </c>
      <c r="L789" s="2">
        <v>44.861040000000003</v>
      </c>
      <c r="M789" s="2">
        <v>-27.515069448690255</v>
      </c>
    </row>
    <row r="790" spans="10:13">
      <c r="J790" s="2">
        <v>43615</v>
      </c>
      <c r="K790" s="2">
        <v>72.602909448690255</v>
      </c>
      <c r="L790" s="2">
        <v>45.768240000000006</v>
      </c>
      <c r="M790" s="2">
        <v>-26.834669448690249</v>
      </c>
    </row>
    <row r="791" spans="10:13">
      <c r="J791" s="2">
        <v>43614</v>
      </c>
      <c r="K791" s="2">
        <v>72.602909448690255</v>
      </c>
      <c r="L791" s="2">
        <v>46.965744000000001</v>
      </c>
      <c r="M791" s="2">
        <v>-25.637165448690254</v>
      </c>
    </row>
    <row r="792" spans="10:13">
      <c r="J792" s="2">
        <v>43613</v>
      </c>
      <c r="K792" s="2">
        <v>72.602909448690255</v>
      </c>
      <c r="L792" s="2">
        <v>48.362832000000004</v>
      </c>
      <c r="M792" s="2">
        <v>-24.240077448690251</v>
      </c>
    </row>
    <row r="793" spans="10:13">
      <c r="J793" s="2">
        <v>43612</v>
      </c>
      <c r="K793" s="2">
        <v>72.602909448690255</v>
      </c>
      <c r="L793" s="2">
        <v>48.988799999999998</v>
      </c>
      <c r="M793" s="2">
        <v>-23.614109448690257</v>
      </c>
    </row>
    <row r="794" spans="10:13">
      <c r="J794" s="2">
        <v>43609</v>
      </c>
      <c r="K794" s="2">
        <v>72.602909448690255</v>
      </c>
      <c r="L794" s="2">
        <v>48.988799999999998</v>
      </c>
      <c r="M794" s="2">
        <v>-23.614109448690257</v>
      </c>
    </row>
    <row r="795" spans="10:13">
      <c r="J795" s="2">
        <v>43608</v>
      </c>
      <c r="K795" s="2">
        <v>73.1135101433416</v>
      </c>
      <c r="L795" s="2">
        <v>49.896000000000001</v>
      </c>
      <c r="M795" s="2">
        <v>-23.217510143341599</v>
      </c>
    </row>
    <row r="796" spans="10:13">
      <c r="J796" s="2">
        <v>43607</v>
      </c>
      <c r="K796" s="2">
        <v>73.1135101433416</v>
      </c>
      <c r="L796" s="2">
        <v>50.902991999999998</v>
      </c>
      <c r="M796" s="2">
        <v>-22.210518143341602</v>
      </c>
    </row>
    <row r="797" spans="10:13">
      <c r="J797" s="2">
        <v>43606</v>
      </c>
      <c r="K797" s="2">
        <v>73.1135101433416</v>
      </c>
      <c r="L797" s="2">
        <v>50.349600000000002</v>
      </c>
      <c r="M797" s="2">
        <v>-22.763910143341597</v>
      </c>
    </row>
    <row r="798" spans="10:13">
      <c r="J798" s="2">
        <v>43605</v>
      </c>
      <c r="K798" s="2">
        <v>73.1135101433416</v>
      </c>
      <c r="L798" s="2">
        <v>51.628751999999999</v>
      </c>
      <c r="M798" s="2">
        <v>-21.484758143341601</v>
      </c>
    </row>
    <row r="799" spans="10:13">
      <c r="J799" s="2">
        <v>43602</v>
      </c>
      <c r="K799" s="2">
        <v>73.1135101433416</v>
      </c>
      <c r="L799" s="2">
        <v>52.100496</v>
      </c>
      <c r="M799" s="2">
        <v>-21.0130141433416</v>
      </c>
    </row>
    <row r="800" spans="10:13">
      <c r="J800" s="2">
        <v>43601</v>
      </c>
      <c r="K800" s="2">
        <v>72.988465075263719</v>
      </c>
      <c r="L800" s="2">
        <v>52.508736000000006</v>
      </c>
      <c r="M800" s="2">
        <v>-20.479729075263712</v>
      </c>
    </row>
    <row r="801" spans="10:13">
      <c r="J801" s="2">
        <v>43600</v>
      </c>
      <c r="K801" s="2">
        <v>72.988465075263719</v>
      </c>
      <c r="L801" s="2">
        <v>52.789968000000002</v>
      </c>
      <c r="M801" s="2">
        <v>-20.198497075263717</v>
      </c>
    </row>
    <row r="802" spans="10:13">
      <c r="J802" s="2">
        <v>43599</v>
      </c>
      <c r="K802" s="2">
        <v>72.988465075263719</v>
      </c>
      <c r="L802" s="2">
        <v>52.916975999999998</v>
      </c>
      <c r="M802" s="2">
        <v>-20.07148907526372</v>
      </c>
    </row>
    <row r="803" spans="10:13">
      <c r="J803" s="2">
        <v>43598</v>
      </c>
      <c r="K803" s="2">
        <v>72.988465075263719</v>
      </c>
      <c r="L803" s="2">
        <v>53.379648000000003</v>
      </c>
      <c r="M803" s="2">
        <v>-19.608817075263715</v>
      </c>
    </row>
    <row r="804" spans="10:13">
      <c r="J804" s="2">
        <v>43595</v>
      </c>
      <c r="K804" s="2">
        <v>72.988465075263719</v>
      </c>
      <c r="L804" s="2">
        <v>53.379648000000003</v>
      </c>
      <c r="M804" s="2">
        <v>-19.608817075263715</v>
      </c>
    </row>
    <row r="805" spans="10:13">
      <c r="J805" s="2">
        <v>43594</v>
      </c>
      <c r="K805" s="2">
        <v>74.238915756042474</v>
      </c>
      <c r="L805" s="2">
        <v>54.159840000000003</v>
      </c>
      <c r="M805" s="2">
        <v>-20.079075756042471</v>
      </c>
    </row>
    <row r="806" spans="10:13">
      <c r="J806" s="2">
        <v>43593</v>
      </c>
      <c r="K806" s="2">
        <v>74.238915756042474</v>
      </c>
      <c r="L806" s="2">
        <v>54.132624</v>
      </c>
      <c r="M806" s="2">
        <v>-20.106291756042474</v>
      </c>
    </row>
    <row r="807" spans="10:13">
      <c r="J807" s="2">
        <v>43592</v>
      </c>
      <c r="K807" s="2">
        <v>74.238915756042474</v>
      </c>
      <c r="L807" s="2">
        <v>53.624592</v>
      </c>
      <c r="M807" s="2">
        <v>-20.614323756042474</v>
      </c>
    </row>
    <row r="808" spans="10:13">
      <c r="J808" s="2">
        <v>43591</v>
      </c>
      <c r="K808" s="2">
        <v>74.238915756042474</v>
      </c>
      <c r="L808" s="2">
        <v>54.277775999999996</v>
      </c>
      <c r="M808" s="2">
        <v>-19.961139756042478</v>
      </c>
    </row>
    <row r="809" spans="10:13">
      <c r="J809" s="2">
        <v>43588</v>
      </c>
      <c r="K809" s="2">
        <v>74.238915756042474</v>
      </c>
      <c r="L809" s="2">
        <v>54.277775999999996</v>
      </c>
      <c r="M809" s="2">
        <v>-19.961139756042478</v>
      </c>
    </row>
    <row r="810" spans="10:13">
      <c r="J810" s="2">
        <v>43587</v>
      </c>
      <c r="K810" s="2">
        <v>73.253250960276105</v>
      </c>
      <c r="L810" s="2">
        <v>52.617600000000003</v>
      </c>
      <c r="M810" s="2">
        <v>-20.635650960276102</v>
      </c>
    </row>
    <row r="811" spans="10:13">
      <c r="J811" s="2">
        <v>43586</v>
      </c>
      <c r="K811" s="2">
        <v>73.253250960276105</v>
      </c>
      <c r="L811" s="2">
        <v>52.000703999999999</v>
      </c>
      <c r="M811" s="2">
        <v>-21.252546960276106</v>
      </c>
    </row>
    <row r="812" spans="10:13">
      <c r="J812" s="2">
        <v>43585</v>
      </c>
      <c r="K812" s="2">
        <v>72.732229843284955</v>
      </c>
      <c r="L812" s="2">
        <v>51.928128000000001</v>
      </c>
      <c r="M812" s="2">
        <v>-20.804101843284954</v>
      </c>
    </row>
    <row r="813" spans="10:13">
      <c r="J813" s="2">
        <v>43584</v>
      </c>
      <c r="K813" s="2">
        <v>72.732229843284955</v>
      </c>
      <c r="L813" s="2">
        <v>52.735536000000003</v>
      </c>
      <c r="M813" s="2">
        <v>-19.996693843284952</v>
      </c>
    </row>
    <row r="814" spans="10:13">
      <c r="J814" s="2">
        <v>43581</v>
      </c>
      <c r="K814" s="2">
        <v>72.732229843284955</v>
      </c>
      <c r="L814" s="2">
        <v>52.563167999999997</v>
      </c>
      <c r="M814" s="2">
        <v>-20.169061843284958</v>
      </c>
    </row>
    <row r="815" spans="10:13">
      <c r="J815" s="2">
        <v>43580</v>
      </c>
      <c r="K815" s="2">
        <v>73.182757295373449</v>
      </c>
      <c r="L815" s="2">
        <v>52.309151999999997</v>
      </c>
      <c r="M815" s="2">
        <v>-20.873605295373451</v>
      </c>
    </row>
    <row r="816" spans="10:13">
      <c r="J816" s="2">
        <v>43579</v>
      </c>
      <c r="K816" s="2">
        <v>73.182757295373449</v>
      </c>
      <c r="L816" s="2">
        <v>53.996544</v>
      </c>
      <c r="M816" s="2">
        <v>-19.186213295373449</v>
      </c>
    </row>
    <row r="817" spans="10:13">
      <c r="J817" s="2">
        <v>43578</v>
      </c>
      <c r="K817" s="2">
        <v>73.182757295373449</v>
      </c>
      <c r="L817" s="2">
        <v>54.676944000000006</v>
      </c>
      <c r="M817" s="2">
        <v>-18.505813295373443</v>
      </c>
    </row>
    <row r="818" spans="10:13">
      <c r="J818" s="2">
        <v>43577</v>
      </c>
      <c r="K818" s="2">
        <v>73.182757295373449</v>
      </c>
      <c r="L818" s="2">
        <v>54.277775999999996</v>
      </c>
      <c r="M818" s="2">
        <v>-18.904981295373453</v>
      </c>
    </row>
    <row r="819" spans="10:13">
      <c r="J819" s="2">
        <v>43574</v>
      </c>
      <c r="K819" s="2">
        <v>73.182757295373449</v>
      </c>
      <c r="L819" s="2">
        <v>54.277775999999996</v>
      </c>
      <c r="M819" s="2">
        <v>-18.904981295373453</v>
      </c>
    </row>
    <row r="820" spans="10:13">
      <c r="J820" s="2">
        <v>43573</v>
      </c>
      <c r="K820" s="2">
        <v>71.876508698548662</v>
      </c>
      <c r="L820" s="2">
        <v>54.277775999999996</v>
      </c>
      <c r="M820" s="2">
        <v>-17.598732698548666</v>
      </c>
    </row>
    <row r="821" spans="10:13">
      <c r="J821" s="2">
        <v>43572</v>
      </c>
      <c r="K821" s="2">
        <v>71.876508698548662</v>
      </c>
      <c r="L821" s="2">
        <v>54.368496</v>
      </c>
      <c r="M821" s="2">
        <v>-17.508012698548661</v>
      </c>
    </row>
    <row r="822" spans="10:13">
      <c r="J822" s="2">
        <v>43571</v>
      </c>
      <c r="K822" s="2">
        <v>71.876508698548662</v>
      </c>
      <c r="L822" s="2">
        <v>53.660879999999999</v>
      </c>
      <c r="M822" s="2">
        <v>-18.215628698548663</v>
      </c>
    </row>
    <row r="823" spans="10:13">
      <c r="J823" s="2">
        <v>43570</v>
      </c>
      <c r="K823" s="2">
        <v>71.876508698548662</v>
      </c>
      <c r="L823" s="2">
        <v>54.050975999999999</v>
      </c>
      <c r="M823" s="2">
        <v>-17.825532698548663</v>
      </c>
    </row>
    <row r="824" spans="10:13">
      <c r="J824" s="2">
        <v>43567</v>
      </c>
      <c r="K824" s="2">
        <v>71.876508698548662</v>
      </c>
      <c r="L824" s="2">
        <v>55.239407999999997</v>
      </c>
      <c r="M824" s="2">
        <v>-16.637100698548664</v>
      </c>
    </row>
    <row r="825" spans="10:13">
      <c r="J825" s="2">
        <v>43566</v>
      </c>
      <c r="K825" s="2">
        <v>71.876508698548662</v>
      </c>
      <c r="L825" s="2">
        <v>54.658799999999999</v>
      </c>
      <c r="M825" s="2">
        <v>-17.217708698548662</v>
      </c>
    </row>
    <row r="826" spans="10:13">
      <c r="J826" s="2">
        <v>43565</v>
      </c>
      <c r="K826" s="2">
        <v>71.876508698548662</v>
      </c>
      <c r="L826" s="2">
        <v>55.910736</v>
      </c>
      <c r="M826" s="2">
        <v>-15.965772698548662</v>
      </c>
    </row>
    <row r="827" spans="10:13">
      <c r="J827" s="2">
        <v>43564</v>
      </c>
      <c r="K827" s="2">
        <v>71.876508698548662</v>
      </c>
      <c r="L827" s="2">
        <v>54.11448</v>
      </c>
      <c r="M827" s="2">
        <v>-17.762028698548662</v>
      </c>
    </row>
    <row r="828" spans="10:13">
      <c r="J828" s="2">
        <v>43563</v>
      </c>
      <c r="K828" s="2">
        <v>71.876508698548662</v>
      </c>
      <c r="L828" s="2">
        <v>52.635744000000003</v>
      </c>
      <c r="M828" s="2">
        <v>-19.240764698548659</v>
      </c>
    </row>
    <row r="829" spans="10:13">
      <c r="J829" s="2">
        <v>43560</v>
      </c>
      <c r="K829" s="2">
        <v>71.876508698548662</v>
      </c>
      <c r="L829" s="2">
        <v>51.828336</v>
      </c>
      <c r="M829" s="2">
        <v>-20.048172698548662</v>
      </c>
    </row>
    <row r="830" spans="10:13">
      <c r="J830" s="2">
        <v>43559</v>
      </c>
      <c r="K830" s="2">
        <v>71.323603058102677</v>
      </c>
      <c r="L830" s="2">
        <v>47.555424000000002</v>
      </c>
      <c r="M830" s="2">
        <v>-23.768179058102675</v>
      </c>
    </row>
    <row r="831" spans="10:13">
      <c r="J831" s="2">
        <v>43558</v>
      </c>
      <c r="K831" s="2">
        <v>71.323603058102677</v>
      </c>
      <c r="L831" s="2">
        <v>46.203696000000001</v>
      </c>
      <c r="M831" s="2">
        <v>-25.119907058102676</v>
      </c>
    </row>
    <row r="832" spans="10:13">
      <c r="J832" s="2">
        <v>43557</v>
      </c>
      <c r="K832" s="2">
        <v>71.323603058102677</v>
      </c>
      <c r="L832" s="2">
        <v>49.669200000000004</v>
      </c>
      <c r="M832" s="2">
        <v>-21.654403058102673</v>
      </c>
    </row>
    <row r="833" spans="10:13">
      <c r="J833" s="2">
        <v>43556</v>
      </c>
      <c r="K833" s="2">
        <v>71.323603058102677</v>
      </c>
      <c r="L833" s="2">
        <v>52.463375999999997</v>
      </c>
      <c r="M833" s="2">
        <v>-18.86022705810268</v>
      </c>
    </row>
    <row r="834" spans="10:13">
      <c r="J834" s="2">
        <v>43553</v>
      </c>
      <c r="K834" s="2">
        <v>71.323603058102677</v>
      </c>
      <c r="L834" s="2">
        <v>53.443151999999998</v>
      </c>
      <c r="M834" s="2">
        <v>-17.880451058102679</v>
      </c>
    </row>
    <row r="835" spans="10:13">
      <c r="J835" s="2">
        <v>43552</v>
      </c>
      <c r="K835" s="2">
        <v>73.424253044230099</v>
      </c>
      <c r="L835" s="2">
        <v>55.847232000000005</v>
      </c>
      <c r="M835" s="2">
        <v>-17.577021044230094</v>
      </c>
    </row>
    <row r="836" spans="10:13">
      <c r="J836" s="2">
        <v>43551</v>
      </c>
      <c r="K836" s="2">
        <v>73.424253044230099</v>
      </c>
      <c r="L836" s="2">
        <v>55.865375999999998</v>
      </c>
      <c r="M836" s="2">
        <v>-17.558877044230101</v>
      </c>
    </row>
    <row r="837" spans="10:13">
      <c r="J837" s="2">
        <v>43550</v>
      </c>
      <c r="K837" s="2">
        <v>73.424253044230099</v>
      </c>
      <c r="L837" s="2">
        <v>56.536704</v>
      </c>
      <c r="M837" s="2">
        <v>-16.887549044230099</v>
      </c>
    </row>
    <row r="838" spans="10:13">
      <c r="J838" s="2">
        <v>43549</v>
      </c>
      <c r="K838" s="2">
        <v>73.424253044230099</v>
      </c>
      <c r="L838" s="2">
        <v>58.840992</v>
      </c>
      <c r="M838" s="2">
        <v>-14.583261044230099</v>
      </c>
    </row>
    <row r="839" spans="10:13">
      <c r="J839" s="2">
        <v>43546</v>
      </c>
      <c r="K839" s="2">
        <v>73.424253044230099</v>
      </c>
      <c r="L839" s="2">
        <v>59.240159999999996</v>
      </c>
      <c r="M839" s="2">
        <v>-14.184093044230103</v>
      </c>
    </row>
    <row r="840" spans="10:13">
      <c r="J840" s="2">
        <v>43545</v>
      </c>
      <c r="K840" s="2">
        <v>73.538877689968146</v>
      </c>
      <c r="L840" s="2">
        <v>61.027343999999999</v>
      </c>
      <c r="M840" s="2">
        <v>-12.511533689968147</v>
      </c>
    </row>
    <row r="841" spans="10:13">
      <c r="J841" s="2">
        <v>43544</v>
      </c>
      <c r="K841" s="2">
        <v>73.538877689968146</v>
      </c>
      <c r="L841" s="2">
        <v>60.954768000000001</v>
      </c>
      <c r="M841" s="2">
        <v>-12.584109689968145</v>
      </c>
    </row>
    <row r="842" spans="10:13">
      <c r="J842" s="2">
        <v>43543</v>
      </c>
      <c r="K842" s="2">
        <v>73.538877689968146</v>
      </c>
      <c r="L842" s="2">
        <v>62.088768000000002</v>
      </c>
      <c r="M842" s="2">
        <v>-11.450109689968144</v>
      </c>
    </row>
    <row r="843" spans="10:13">
      <c r="J843" s="2">
        <v>43542</v>
      </c>
      <c r="K843" s="2">
        <v>73.538877689968146</v>
      </c>
      <c r="L843" s="2">
        <v>61.988976000000001</v>
      </c>
      <c r="M843" s="2">
        <v>-11.549901689968145</v>
      </c>
    </row>
    <row r="844" spans="10:13">
      <c r="J844" s="2">
        <v>43539</v>
      </c>
      <c r="K844" s="2">
        <v>73.538877689968146</v>
      </c>
      <c r="L844" s="2">
        <v>63.150191999999997</v>
      </c>
      <c r="M844" s="2">
        <v>-10.388685689968149</v>
      </c>
    </row>
    <row r="845" spans="10:13">
      <c r="J845" s="2">
        <v>43538</v>
      </c>
      <c r="K845" s="2">
        <v>72.376065714424783</v>
      </c>
      <c r="L845" s="2">
        <v>63.621935999999998</v>
      </c>
      <c r="M845" s="2">
        <v>-8.7541297144247849</v>
      </c>
    </row>
    <row r="846" spans="10:13">
      <c r="J846" s="2">
        <v>43537</v>
      </c>
      <c r="K846" s="2">
        <v>72.376065714424783</v>
      </c>
      <c r="L846" s="2">
        <v>63.885024000000001</v>
      </c>
      <c r="M846" s="2">
        <v>-8.4910417144247816</v>
      </c>
    </row>
  </sheetData>
  <mergeCells count="8">
    <mergeCell ref="F20:G22"/>
    <mergeCell ref="C10:E10"/>
    <mergeCell ref="G10:H10"/>
    <mergeCell ref="B4:B5"/>
    <mergeCell ref="C4:E4"/>
    <mergeCell ref="G4:H5"/>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301058"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301059"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301060"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301063" r:id="rId8" name="Button 7">
              <controlPr defaultSize="0" print="0" autoFill="0" autoPict="0" macro="[0]!get_ImpArb">
                <anchor moveWithCells="1" sizeWithCells="1">
                  <from>
                    <xdr:col>5</xdr:col>
                    <xdr:colOff>0</xdr:colOff>
                    <xdr:row>14</xdr:row>
                    <xdr:rowOff>121920</xdr:rowOff>
                  </from>
                  <to>
                    <xdr:col>7</xdr:col>
                    <xdr:colOff>0</xdr:colOff>
                    <xdr:row>17</xdr:row>
                    <xdr:rowOff>0</xdr:rowOff>
                  </to>
                </anchor>
              </controlPr>
            </control>
          </mc:Choice>
        </mc:AlternateContent>
        <mc:AlternateContent xmlns:mc="http://schemas.openxmlformats.org/markup-compatibility/2006">
          <mc:Choice Requires="x14">
            <control shapeId="301064" r:id="rId9" name="Button 8">
              <controlPr defaultSize="0" print="0" autoFill="0" autoPict="0" macro="[0]!nextpage5">
                <anchor moveWithCells="1" sizeWithCells="1">
                  <from>
                    <xdr:col>5</xdr:col>
                    <xdr:colOff>0</xdr:colOff>
                    <xdr:row>23</xdr:row>
                    <xdr:rowOff>106680</xdr:rowOff>
                  </from>
                  <to>
                    <xdr:col>7</xdr:col>
                    <xdr:colOff>0</xdr:colOff>
                    <xdr:row>26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3" tint="0.39997558519241921"/>
  </sheetPr>
  <dimension ref="A1:T846"/>
  <sheetViews>
    <sheetView showGridLines="0" topLeftCell="A4" zoomScaleNormal="100" workbookViewId="0">
      <selection activeCell="J5" sqref="J5:M846"/>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7" width="9" style="2" customWidth="1"/>
    <col min="8" max="8" width="12.8984375" style="2" customWidth="1"/>
    <col min="9" max="9" width="7.59765625" style="2" customWidth="1"/>
    <col min="10" max="10" width="16.09765625" style="2" customWidth="1"/>
    <col min="11" max="14" width="9" style="2"/>
    <col min="15" max="15" width="11.59765625" style="2" customWidth="1"/>
    <col min="16" max="16384" width="9" style="2"/>
  </cols>
  <sheetData>
    <row r="1" spans="1:20">
      <c r="A1" t="s">
        <v>2</v>
      </c>
    </row>
    <row r="3" spans="1:20" ht="14.4" thickBot="1">
      <c r="B3" s="5" t="s">
        <v>22</v>
      </c>
      <c r="C3" s="5" t="s">
        <v>23</v>
      </c>
      <c r="G3" s="5" t="s">
        <v>21</v>
      </c>
      <c r="J3" s="24" t="s">
        <v>14</v>
      </c>
      <c r="L3" s="3"/>
      <c r="M3" s="4"/>
    </row>
    <row r="4" spans="1:20" ht="51.6" thickBot="1">
      <c r="B4" s="130" t="s">
        <v>24</v>
      </c>
      <c r="C4" s="127" t="s">
        <v>48</v>
      </c>
      <c r="D4" s="128"/>
      <c r="E4" s="129"/>
      <c r="G4" s="136"/>
      <c r="H4" s="137"/>
      <c r="I4" s="8"/>
      <c r="J4" s="30"/>
      <c r="K4" s="43" t="s">
        <v>49</v>
      </c>
      <c r="L4" s="43" t="s">
        <v>50</v>
      </c>
      <c r="M4" s="31" t="s">
        <v>51</v>
      </c>
      <c r="N4" s="31"/>
      <c r="O4" s="31"/>
      <c r="P4" s="31" t="s">
        <v>49</v>
      </c>
      <c r="Q4" s="31" t="s">
        <v>33</v>
      </c>
      <c r="R4" s="31" t="s">
        <v>29</v>
      </c>
      <c r="S4" s="31"/>
    </row>
    <row r="5" spans="1:20" ht="14.4" thickBot="1">
      <c r="B5" s="130"/>
      <c r="G5" s="138"/>
      <c r="H5" s="139"/>
      <c r="J5" s="122">
        <v>44819</v>
      </c>
      <c r="K5" s="123">
        <v>290.52035573957522</v>
      </c>
      <c r="L5" s="123">
        <v>292.95302400000003</v>
      </c>
      <c r="M5" s="124">
        <v>2.4326682604248049</v>
      </c>
      <c r="N5" s="41"/>
      <c r="O5" s="39">
        <f>J5</f>
        <v>44819</v>
      </c>
      <c r="P5" s="41">
        <f>IFERROR(VLOOKUP($O5,$J$5:$M$403,2,FALSE),P6)</f>
        <v>290.52035573957522</v>
      </c>
      <c r="Q5" s="41">
        <f>IFERROR(VLOOKUP($O5,$J$5:$M$403,3,FALSE),Q6)</f>
        <v>292.95302400000003</v>
      </c>
      <c r="R5" s="41">
        <f>IFERROR(VLOOKUP($O5,$J$5:$M$403,4,FALSE),R6)</f>
        <v>2.4326682604248049</v>
      </c>
      <c r="S5" s="41"/>
      <c r="T5" s="90"/>
    </row>
    <row r="6" spans="1:20" ht="14.4" thickBot="1">
      <c r="C6" s="5" t="s">
        <v>3</v>
      </c>
      <c r="G6" s="5" t="s">
        <v>8</v>
      </c>
      <c r="J6" s="122">
        <v>44818</v>
      </c>
      <c r="K6" s="123">
        <v>290.52035573957522</v>
      </c>
      <c r="L6" s="123">
        <v>293.36126400000001</v>
      </c>
      <c r="M6" s="124">
        <v>2.8409082604247828</v>
      </c>
      <c r="N6" s="41"/>
      <c r="O6" s="39">
        <f>O5-1</f>
        <v>44818</v>
      </c>
      <c r="P6" s="41">
        <f t="shared" ref="P6:P69" si="0">IFERROR(VLOOKUP($O6,$J$5:$M$403,2,FALSE),P7)</f>
        <v>290.52035573957522</v>
      </c>
      <c r="Q6" s="41">
        <f t="shared" ref="Q6:Q69" si="1">IFERROR(VLOOKUP($O6,$J$5:$M$403,3,FALSE),Q7)</f>
        <v>293.36126400000001</v>
      </c>
      <c r="R6" s="41">
        <f t="shared" ref="R6:R69" si="2">IFERROR(VLOOKUP($O6,$J$5:$M$403,4,FALSE),R7)</f>
        <v>2.8409082604247828</v>
      </c>
      <c r="S6" s="41"/>
      <c r="T6" s="90"/>
    </row>
    <row r="7" spans="1:20" ht="14.4" thickBot="1">
      <c r="C7" s="127" t="s">
        <v>20</v>
      </c>
      <c r="D7" s="128"/>
      <c r="E7" s="129"/>
      <c r="G7" s="127" t="s">
        <v>140</v>
      </c>
      <c r="H7" s="129"/>
      <c r="J7" s="122">
        <v>44817</v>
      </c>
      <c r="K7" s="123">
        <v>290.52035573957522</v>
      </c>
      <c r="L7" s="123">
        <v>285.62284799999998</v>
      </c>
      <c r="M7" s="124">
        <v>-4.8975077395752464</v>
      </c>
      <c r="N7" s="41"/>
      <c r="O7" s="39">
        <f t="shared" ref="O7:O70" si="3">O6-1</f>
        <v>44817</v>
      </c>
      <c r="P7" s="41">
        <f t="shared" si="0"/>
        <v>290.52035573957522</v>
      </c>
      <c r="Q7" s="41">
        <f t="shared" si="1"/>
        <v>285.62284799999998</v>
      </c>
      <c r="R7" s="41">
        <f t="shared" si="2"/>
        <v>-4.8975077395752464</v>
      </c>
      <c r="S7" s="41"/>
      <c r="T7" s="90"/>
    </row>
    <row r="8" spans="1:20">
      <c r="G8" s="35"/>
      <c r="J8" s="122">
        <v>44816</v>
      </c>
      <c r="K8" s="123">
        <v>290.52035573957522</v>
      </c>
      <c r="L8" s="123">
        <v>282.36599999999999</v>
      </c>
      <c r="M8" s="124">
        <v>-8.1543557395752373</v>
      </c>
      <c r="N8" s="41"/>
      <c r="O8" s="39">
        <f t="shared" si="3"/>
        <v>44816</v>
      </c>
      <c r="P8" s="41">
        <f t="shared" si="0"/>
        <v>290.52035573957522</v>
      </c>
      <c r="Q8" s="41">
        <f t="shared" si="1"/>
        <v>282.36599999999999</v>
      </c>
      <c r="R8" s="41">
        <f t="shared" si="2"/>
        <v>-8.1543557395752373</v>
      </c>
      <c r="S8" s="41"/>
      <c r="T8" s="90"/>
    </row>
    <row r="9" spans="1:20" ht="14.4" thickBot="1">
      <c r="C9" s="5" t="s">
        <v>4</v>
      </c>
      <c r="G9" s="5" t="s">
        <v>25</v>
      </c>
      <c r="J9" s="122">
        <v>44813</v>
      </c>
      <c r="K9" s="123">
        <v>290.52035573957522</v>
      </c>
      <c r="L9" s="123">
        <v>296.20080000000002</v>
      </c>
      <c r="M9" s="124">
        <v>5.6804442604247924</v>
      </c>
      <c r="N9" s="41"/>
      <c r="O9" s="39">
        <f t="shared" si="3"/>
        <v>44815</v>
      </c>
      <c r="P9" s="41">
        <f t="shared" si="0"/>
        <v>290.52035573957522</v>
      </c>
      <c r="Q9" s="41">
        <f t="shared" si="1"/>
        <v>296.20080000000002</v>
      </c>
      <c r="R9" s="41">
        <f t="shared" si="2"/>
        <v>5.6804442604247924</v>
      </c>
      <c r="S9" s="41"/>
      <c r="T9" s="90"/>
    </row>
    <row r="10" spans="1:20" ht="14.4" thickBot="1">
      <c r="C10" s="127" t="s">
        <v>143</v>
      </c>
      <c r="D10" s="128"/>
      <c r="E10" s="129"/>
      <c r="G10" s="127"/>
      <c r="H10" s="129"/>
      <c r="J10" s="122">
        <v>44812</v>
      </c>
      <c r="K10" s="123">
        <v>283.17822456966377</v>
      </c>
      <c r="L10" s="123">
        <v>309.72715200000005</v>
      </c>
      <c r="M10" s="124">
        <v>26.548927430336278</v>
      </c>
      <c r="N10" s="41"/>
      <c r="O10" s="39">
        <f t="shared" si="3"/>
        <v>44814</v>
      </c>
      <c r="P10" s="41">
        <f t="shared" si="0"/>
        <v>290.52035573957522</v>
      </c>
      <c r="Q10" s="41">
        <f t="shared" si="1"/>
        <v>296.20080000000002</v>
      </c>
      <c r="R10" s="41">
        <f t="shared" si="2"/>
        <v>5.6804442604247924</v>
      </c>
      <c r="S10" s="41"/>
      <c r="T10" s="90"/>
    </row>
    <row r="11" spans="1:20">
      <c r="J11" s="122">
        <v>44811</v>
      </c>
      <c r="K11" s="123">
        <v>283.17822456966377</v>
      </c>
      <c r="L11" s="123">
        <v>335.66399999999999</v>
      </c>
      <c r="M11" s="124">
        <v>52.485775430336219</v>
      </c>
      <c r="N11" s="41"/>
      <c r="O11" s="39">
        <f t="shared" si="3"/>
        <v>44813</v>
      </c>
      <c r="P11" s="41">
        <f t="shared" si="0"/>
        <v>290.52035573957522</v>
      </c>
      <c r="Q11" s="41">
        <f t="shared" si="1"/>
        <v>296.20080000000002</v>
      </c>
      <c r="R11" s="41">
        <f t="shared" si="2"/>
        <v>5.6804442604247924</v>
      </c>
      <c r="S11" s="82"/>
      <c r="T11" s="90"/>
    </row>
    <row r="12" spans="1:20">
      <c r="C12" s="111" t="s">
        <v>137</v>
      </c>
      <c r="J12" s="122">
        <v>44810</v>
      </c>
      <c r="K12" s="123">
        <v>283.17822456966377</v>
      </c>
      <c r="L12" s="123">
        <v>349.27199999999999</v>
      </c>
      <c r="M12" s="124">
        <v>66.093775430336223</v>
      </c>
      <c r="N12" s="41"/>
      <c r="O12" s="39">
        <f t="shared" si="3"/>
        <v>44812</v>
      </c>
      <c r="P12" s="41">
        <f t="shared" si="0"/>
        <v>283.17822456966377</v>
      </c>
      <c r="Q12" s="41">
        <f t="shared" si="1"/>
        <v>309.72715200000005</v>
      </c>
      <c r="R12" s="41">
        <f t="shared" si="2"/>
        <v>26.548927430336278</v>
      </c>
      <c r="S12" s="82"/>
      <c r="T12" s="90"/>
    </row>
    <row r="13" spans="1:20">
      <c r="J13" s="122">
        <v>44809</v>
      </c>
      <c r="K13" s="123">
        <v>283.17822456966377</v>
      </c>
      <c r="L13" s="123">
        <v>362.88</v>
      </c>
      <c r="M13" s="124">
        <v>79.701775430336227</v>
      </c>
      <c r="N13" s="41"/>
      <c r="O13" s="39">
        <f t="shared" si="3"/>
        <v>44811</v>
      </c>
      <c r="P13" s="41">
        <f t="shared" si="0"/>
        <v>283.17822456966377</v>
      </c>
      <c r="Q13" s="41">
        <f t="shared" si="1"/>
        <v>335.66399999999999</v>
      </c>
      <c r="R13" s="41">
        <f t="shared" si="2"/>
        <v>52.485775430336219</v>
      </c>
      <c r="S13" s="82"/>
      <c r="T13" s="90"/>
    </row>
    <row r="14" spans="1:20">
      <c r="B14" s="7"/>
      <c r="C14" s="7"/>
      <c r="D14" s="7"/>
      <c r="E14" s="7"/>
      <c r="F14" s="7"/>
      <c r="G14" s="7"/>
      <c r="H14" s="7"/>
      <c r="J14" s="122">
        <v>44806</v>
      </c>
      <c r="K14" s="123">
        <v>283.17822456966377</v>
      </c>
      <c r="L14" s="123">
        <v>335.66399999999999</v>
      </c>
      <c r="M14" s="124">
        <v>52.485775430336219</v>
      </c>
      <c r="N14" s="41"/>
      <c r="O14" s="39">
        <f t="shared" si="3"/>
        <v>44810</v>
      </c>
      <c r="P14" s="41">
        <f t="shared" si="0"/>
        <v>283.17822456966377</v>
      </c>
      <c r="Q14" s="41">
        <f t="shared" si="1"/>
        <v>349.27199999999999</v>
      </c>
      <c r="R14" s="41">
        <f t="shared" si="2"/>
        <v>66.093775430336223</v>
      </c>
      <c r="S14" s="82"/>
      <c r="T14" s="90"/>
    </row>
    <row r="15" spans="1:20">
      <c r="B15" s="7"/>
      <c r="C15" s="7"/>
      <c r="D15" s="7"/>
      <c r="E15" s="7"/>
      <c r="F15" s="92"/>
      <c r="G15" s="92"/>
      <c r="H15" s="7"/>
      <c r="J15" s="122">
        <v>44805</v>
      </c>
      <c r="K15" s="123">
        <v>277.06081339975225</v>
      </c>
      <c r="L15" s="123">
        <v>331.80840000000001</v>
      </c>
      <c r="M15" s="124">
        <v>54.747586600247757</v>
      </c>
      <c r="N15" s="41"/>
      <c r="O15" s="39">
        <f t="shared" si="3"/>
        <v>44809</v>
      </c>
      <c r="P15" s="41">
        <f t="shared" si="0"/>
        <v>283.17822456966377</v>
      </c>
      <c r="Q15" s="41">
        <f t="shared" si="1"/>
        <v>362.88</v>
      </c>
      <c r="R15" s="41">
        <f t="shared" si="2"/>
        <v>79.701775430336227</v>
      </c>
      <c r="S15" s="82"/>
      <c r="T15" s="90"/>
    </row>
    <row r="16" spans="1:20">
      <c r="B16" s="7"/>
      <c r="C16" s="7"/>
      <c r="D16" s="7"/>
      <c r="E16" s="7"/>
      <c r="F16" s="92"/>
      <c r="G16" s="92"/>
      <c r="H16" s="7"/>
      <c r="J16" s="122">
        <v>44804</v>
      </c>
      <c r="K16" s="123">
        <v>277.06081339975225</v>
      </c>
      <c r="L16" s="123">
        <v>330.61996800000003</v>
      </c>
      <c r="M16" s="124">
        <v>53.55915460024778</v>
      </c>
      <c r="N16" s="41"/>
      <c r="O16" s="39">
        <f t="shared" si="3"/>
        <v>44808</v>
      </c>
      <c r="P16" s="41">
        <f t="shared" si="0"/>
        <v>283.17822456966377</v>
      </c>
      <c r="Q16" s="41">
        <f t="shared" si="1"/>
        <v>335.66399999999999</v>
      </c>
      <c r="R16" s="41">
        <f t="shared" si="2"/>
        <v>52.485775430336219</v>
      </c>
      <c r="S16" s="82"/>
      <c r="T16" s="90"/>
    </row>
    <row r="17" spans="2:20">
      <c r="B17" s="7"/>
      <c r="C17" s="7"/>
      <c r="D17" s="7"/>
      <c r="E17" s="7"/>
      <c r="F17" s="92"/>
      <c r="G17" s="92"/>
      <c r="H17" s="7"/>
      <c r="J17" s="122">
        <v>44803</v>
      </c>
      <c r="K17" s="123">
        <v>277.06081339975225</v>
      </c>
      <c r="L17" s="123">
        <v>328.86</v>
      </c>
      <c r="M17" s="124">
        <v>51.799186600247765</v>
      </c>
      <c r="N17" s="41"/>
      <c r="O17" s="39">
        <f t="shared" si="3"/>
        <v>44807</v>
      </c>
      <c r="P17" s="41">
        <f t="shared" si="0"/>
        <v>283.17822456966377</v>
      </c>
      <c r="Q17" s="41">
        <f t="shared" si="1"/>
        <v>335.66399999999999</v>
      </c>
      <c r="R17" s="41">
        <f t="shared" si="2"/>
        <v>52.485775430336219</v>
      </c>
      <c r="S17" s="82"/>
      <c r="T17" s="90"/>
    </row>
    <row r="18" spans="2:20">
      <c r="B18" s="7"/>
      <c r="C18" s="7"/>
      <c r="D18" s="7"/>
      <c r="E18" s="7"/>
      <c r="F18" s="92"/>
      <c r="G18" s="92"/>
      <c r="H18" s="7"/>
      <c r="J18" s="122">
        <v>44802</v>
      </c>
      <c r="K18" s="123">
        <v>277.06081339975225</v>
      </c>
      <c r="L18" s="123">
        <v>338.83920000000001</v>
      </c>
      <c r="M18" s="124">
        <v>61.778386600247757</v>
      </c>
      <c r="N18" s="41"/>
      <c r="O18" s="39">
        <f t="shared" si="3"/>
        <v>44806</v>
      </c>
      <c r="P18" s="41">
        <f t="shared" si="0"/>
        <v>283.17822456966377</v>
      </c>
      <c r="Q18" s="41">
        <f t="shared" si="1"/>
        <v>335.66399999999999</v>
      </c>
      <c r="R18" s="41">
        <f t="shared" si="2"/>
        <v>52.485775430336219</v>
      </c>
      <c r="S18" s="82"/>
      <c r="T18" s="90"/>
    </row>
    <row r="19" spans="2:20">
      <c r="B19" s="7"/>
      <c r="C19" s="7"/>
      <c r="D19" s="7"/>
      <c r="E19" s="7"/>
      <c r="F19" s="92"/>
      <c r="G19" s="92"/>
      <c r="H19" s="7"/>
      <c r="J19" s="122">
        <v>44799</v>
      </c>
      <c r="K19" s="123">
        <v>277.06081339975225</v>
      </c>
      <c r="L19" s="123">
        <v>338.83920000000001</v>
      </c>
      <c r="M19" s="124">
        <v>61.778386600247757</v>
      </c>
      <c r="N19" s="41"/>
      <c r="O19" s="39">
        <f t="shared" si="3"/>
        <v>44805</v>
      </c>
      <c r="P19" s="41">
        <f t="shared" si="0"/>
        <v>277.06081339975225</v>
      </c>
      <c r="Q19" s="41">
        <f t="shared" si="1"/>
        <v>331.80840000000001</v>
      </c>
      <c r="R19" s="41">
        <f t="shared" si="2"/>
        <v>54.747586600247757</v>
      </c>
      <c r="S19" s="82"/>
      <c r="T19" s="90"/>
    </row>
    <row r="20" spans="2:20" ht="14.25" customHeight="1">
      <c r="B20" s="7"/>
      <c r="C20" s="7"/>
      <c r="D20" s="7"/>
      <c r="E20" s="7"/>
      <c r="F20" s="131" t="s">
        <v>111</v>
      </c>
      <c r="G20" s="131"/>
      <c r="H20" s="7"/>
      <c r="J20" s="122">
        <v>44798</v>
      </c>
      <c r="K20" s="123">
        <v>277.31215004877885</v>
      </c>
      <c r="L20" s="123">
        <v>343.656432</v>
      </c>
      <c r="M20" s="124">
        <v>66.344281951221149</v>
      </c>
      <c r="N20" s="41"/>
      <c r="O20" s="39">
        <f t="shared" si="3"/>
        <v>44804</v>
      </c>
      <c r="P20" s="41">
        <f t="shared" si="0"/>
        <v>277.06081339975225</v>
      </c>
      <c r="Q20" s="41">
        <f t="shared" si="1"/>
        <v>330.61996800000003</v>
      </c>
      <c r="R20" s="41">
        <f t="shared" si="2"/>
        <v>53.55915460024778</v>
      </c>
      <c r="S20" s="82"/>
      <c r="T20" s="90"/>
    </row>
    <row r="21" spans="2:20">
      <c r="B21" s="7"/>
      <c r="C21" s="7"/>
      <c r="D21" s="7"/>
      <c r="E21" s="7"/>
      <c r="F21" s="131"/>
      <c r="G21" s="131"/>
      <c r="H21" s="7"/>
      <c r="J21" s="122">
        <v>44797</v>
      </c>
      <c r="K21" s="123">
        <v>277.31215004877885</v>
      </c>
      <c r="L21" s="123">
        <v>346.09680000000003</v>
      </c>
      <c r="M21" s="124">
        <v>68.784649951221184</v>
      </c>
      <c r="N21" s="41"/>
      <c r="O21" s="39">
        <f t="shared" si="3"/>
        <v>44803</v>
      </c>
      <c r="P21" s="41">
        <f t="shared" si="0"/>
        <v>277.06081339975225</v>
      </c>
      <c r="Q21" s="41">
        <f t="shared" si="1"/>
        <v>328.86</v>
      </c>
      <c r="R21" s="41">
        <f t="shared" si="2"/>
        <v>51.799186600247765</v>
      </c>
      <c r="S21" s="82"/>
      <c r="T21" s="90"/>
    </row>
    <row r="22" spans="2:20">
      <c r="B22" s="7"/>
      <c r="C22" s="7"/>
      <c r="D22" s="7"/>
      <c r="E22" s="7"/>
      <c r="F22" s="131"/>
      <c r="G22" s="131"/>
      <c r="H22" s="7"/>
      <c r="J22" s="122">
        <v>44796</v>
      </c>
      <c r="K22" s="123">
        <v>277.31215004877885</v>
      </c>
      <c r="L22" s="123">
        <v>356.07600000000002</v>
      </c>
      <c r="M22" s="124">
        <v>78.763849951221175</v>
      </c>
      <c r="N22" s="41"/>
      <c r="O22" s="39">
        <f t="shared" si="3"/>
        <v>44802</v>
      </c>
      <c r="P22" s="41">
        <f t="shared" si="0"/>
        <v>277.06081339975225</v>
      </c>
      <c r="Q22" s="41">
        <f t="shared" si="1"/>
        <v>338.83920000000001</v>
      </c>
      <c r="R22" s="41">
        <f t="shared" si="2"/>
        <v>61.778386600247757</v>
      </c>
      <c r="S22" s="82"/>
      <c r="T22" s="90"/>
    </row>
    <row r="23" spans="2:20">
      <c r="B23" s="7"/>
      <c r="C23" s="7"/>
      <c r="D23" s="7"/>
      <c r="E23" s="7"/>
      <c r="F23" s="92"/>
      <c r="G23" s="92"/>
      <c r="H23" s="7"/>
      <c r="J23" s="122">
        <v>44795</v>
      </c>
      <c r="K23" s="123">
        <v>277.31215004877885</v>
      </c>
      <c r="L23" s="123">
        <v>376.488</v>
      </c>
      <c r="M23" s="124">
        <v>99.175849951221153</v>
      </c>
      <c r="N23" s="41"/>
      <c r="O23" s="39">
        <f t="shared" si="3"/>
        <v>44801</v>
      </c>
      <c r="P23" s="41">
        <f t="shared" si="0"/>
        <v>277.06081339975225</v>
      </c>
      <c r="Q23" s="41">
        <f t="shared" si="1"/>
        <v>338.83920000000001</v>
      </c>
      <c r="R23" s="41">
        <f t="shared" si="2"/>
        <v>61.778386600247757</v>
      </c>
      <c r="S23" s="82"/>
      <c r="T23" s="90"/>
    </row>
    <row r="24" spans="2:20">
      <c r="B24" s="7"/>
      <c r="C24" s="7"/>
      <c r="D24" s="7"/>
      <c r="E24" s="7"/>
      <c r="F24" s="92"/>
      <c r="G24" s="92"/>
      <c r="H24" s="7"/>
      <c r="J24" s="122">
        <v>44792</v>
      </c>
      <c r="K24" s="123">
        <v>277.31215004877885</v>
      </c>
      <c r="L24" s="123">
        <v>362.12702400000001</v>
      </c>
      <c r="M24" s="124">
        <v>84.814873951221159</v>
      </c>
      <c r="N24" s="41"/>
      <c r="O24" s="39">
        <f t="shared" si="3"/>
        <v>44800</v>
      </c>
      <c r="P24" s="41">
        <f t="shared" si="0"/>
        <v>277.06081339975225</v>
      </c>
      <c r="Q24" s="41">
        <f t="shared" si="1"/>
        <v>338.83920000000001</v>
      </c>
      <c r="R24" s="41">
        <f t="shared" si="2"/>
        <v>61.778386600247757</v>
      </c>
      <c r="S24" s="82"/>
      <c r="T24" s="90"/>
    </row>
    <row r="25" spans="2:20">
      <c r="B25" s="7"/>
      <c r="C25" s="7"/>
      <c r="D25" s="7"/>
      <c r="E25" s="7"/>
      <c r="F25" s="92"/>
      <c r="G25" s="92"/>
      <c r="H25" s="7"/>
      <c r="J25" s="122">
        <v>44791</v>
      </c>
      <c r="K25" s="123">
        <v>274.71933465546903</v>
      </c>
      <c r="L25" s="123">
        <v>343.26633600000002</v>
      </c>
      <c r="M25" s="124">
        <v>68.547001344530997</v>
      </c>
      <c r="N25" s="41"/>
      <c r="O25" s="39">
        <f t="shared" si="3"/>
        <v>44799</v>
      </c>
      <c r="P25" s="41">
        <f t="shared" si="0"/>
        <v>277.06081339975225</v>
      </c>
      <c r="Q25" s="41">
        <f t="shared" si="1"/>
        <v>338.83920000000001</v>
      </c>
      <c r="R25" s="41">
        <f t="shared" si="2"/>
        <v>61.778386600247757</v>
      </c>
      <c r="S25" s="82"/>
      <c r="T25" s="90"/>
    </row>
    <row r="26" spans="2:20">
      <c r="B26" s="7"/>
      <c r="C26" s="7"/>
      <c r="D26" s="7"/>
      <c r="E26" s="7"/>
      <c r="F26" s="92"/>
      <c r="G26" s="92"/>
      <c r="H26" s="7"/>
      <c r="J26" s="122">
        <v>44790</v>
      </c>
      <c r="K26" s="123">
        <v>274.71933465546903</v>
      </c>
      <c r="L26" s="123">
        <v>349.11777599999999</v>
      </c>
      <c r="M26" s="124">
        <v>74.398441344530966</v>
      </c>
      <c r="N26" s="41"/>
      <c r="O26" s="39">
        <f t="shared" si="3"/>
        <v>44798</v>
      </c>
      <c r="P26" s="41">
        <f t="shared" si="0"/>
        <v>277.31215004877885</v>
      </c>
      <c r="Q26" s="41">
        <f t="shared" si="1"/>
        <v>343.656432</v>
      </c>
      <c r="R26" s="41">
        <f t="shared" si="2"/>
        <v>66.344281951221149</v>
      </c>
      <c r="S26" s="82"/>
      <c r="T26" s="90"/>
    </row>
    <row r="27" spans="2:20">
      <c r="B27" s="7"/>
      <c r="C27" s="7"/>
      <c r="D27" s="7"/>
      <c r="E27" s="7"/>
      <c r="F27" s="92"/>
      <c r="G27" s="92"/>
      <c r="H27" s="7"/>
      <c r="J27" s="122">
        <v>44789</v>
      </c>
      <c r="K27" s="123">
        <v>274.71933465546903</v>
      </c>
      <c r="L27" s="123">
        <v>347.45760000000001</v>
      </c>
      <c r="M27" s="124">
        <v>72.738265344530987</v>
      </c>
      <c r="N27" s="41"/>
      <c r="O27" s="39">
        <f t="shared" si="3"/>
        <v>44797</v>
      </c>
      <c r="P27" s="41">
        <f t="shared" si="0"/>
        <v>277.31215004877885</v>
      </c>
      <c r="Q27" s="41">
        <f t="shared" si="1"/>
        <v>346.09680000000003</v>
      </c>
      <c r="R27" s="41">
        <f t="shared" si="2"/>
        <v>68.784649951221184</v>
      </c>
      <c r="S27" s="82"/>
      <c r="T27" s="90"/>
    </row>
    <row r="28" spans="2:20">
      <c r="B28" s="7"/>
      <c r="C28" s="7"/>
      <c r="D28" s="7"/>
      <c r="E28" s="7"/>
      <c r="F28" s="7"/>
      <c r="G28" s="7"/>
      <c r="H28" s="7"/>
      <c r="J28" s="122">
        <v>44788</v>
      </c>
      <c r="K28" s="123">
        <v>274.71933465546903</v>
      </c>
      <c r="L28" s="123">
        <v>320.92200000000003</v>
      </c>
      <c r="M28" s="124">
        <v>46.202665344530999</v>
      </c>
      <c r="N28" s="41"/>
      <c r="O28" s="39">
        <f t="shared" si="3"/>
        <v>44796</v>
      </c>
      <c r="P28" s="41">
        <f t="shared" si="0"/>
        <v>277.31215004877885</v>
      </c>
      <c r="Q28" s="41">
        <f t="shared" si="1"/>
        <v>356.07600000000002</v>
      </c>
      <c r="R28" s="41">
        <f t="shared" si="2"/>
        <v>78.763849951221175</v>
      </c>
      <c r="S28" s="82"/>
      <c r="T28" s="90"/>
    </row>
    <row r="29" spans="2:20">
      <c r="B29" s="7"/>
      <c r="C29" s="7"/>
      <c r="D29" s="7"/>
      <c r="E29" s="7"/>
      <c r="F29" s="7"/>
      <c r="G29" s="7"/>
      <c r="H29" s="7"/>
      <c r="J29" s="122">
        <v>44785</v>
      </c>
      <c r="K29" s="123">
        <v>274.71933465546903</v>
      </c>
      <c r="L29" s="123">
        <v>315.25200000000001</v>
      </c>
      <c r="M29" s="124">
        <v>40.532665344530983</v>
      </c>
      <c r="N29" s="41"/>
      <c r="O29" s="39">
        <f t="shared" si="3"/>
        <v>44795</v>
      </c>
      <c r="P29" s="41">
        <f t="shared" si="0"/>
        <v>277.31215004877885</v>
      </c>
      <c r="Q29" s="41">
        <f t="shared" si="1"/>
        <v>376.488</v>
      </c>
      <c r="R29" s="41">
        <f t="shared" si="2"/>
        <v>99.175849951221153</v>
      </c>
      <c r="S29" s="82"/>
      <c r="T29" s="90"/>
    </row>
    <row r="30" spans="2:20">
      <c r="B30" s="7"/>
      <c r="C30" s="7"/>
      <c r="D30" s="7"/>
      <c r="E30" s="7"/>
      <c r="F30" s="7"/>
      <c r="G30" s="7"/>
      <c r="H30" s="7"/>
      <c r="J30" s="122">
        <v>44784</v>
      </c>
      <c r="K30" s="123">
        <v>267.8142904485133</v>
      </c>
      <c r="L30" s="123">
        <v>322.05599999999998</v>
      </c>
      <c r="M30" s="124">
        <v>54.241709551486679</v>
      </c>
      <c r="N30" s="41"/>
      <c r="O30" s="39">
        <f t="shared" si="3"/>
        <v>44794</v>
      </c>
      <c r="P30" s="41">
        <f t="shared" si="0"/>
        <v>277.31215004877885</v>
      </c>
      <c r="Q30" s="41">
        <f t="shared" si="1"/>
        <v>362.12702400000001</v>
      </c>
      <c r="R30" s="41">
        <f t="shared" si="2"/>
        <v>84.814873951221159</v>
      </c>
      <c r="S30" s="82"/>
      <c r="T30" s="90"/>
    </row>
    <row r="31" spans="2:20">
      <c r="B31" s="7"/>
      <c r="C31" s="7"/>
      <c r="D31" s="7"/>
      <c r="E31" s="7"/>
      <c r="F31" s="7"/>
      <c r="G31" s="7"/>
      <c r="H31" s="7"/>
      <c r="J31" s="122">
        <v>44783</v>
      </c>
      <c r="K31" s="123">
        <v>267.8142904485133</v>
      </c>
      <c r="L31" s="123">
        <v>315.25200000000001</v>
      </c>
      <c r="M31" s="124">
        <v>47.437709551486705</v>
      </c>
      <c r="N31" s="41"/>
      <c r="O31" s="39">
        <f t="shared" si="3"/>
        <v>44793</v>
      </c>
      <c r="P31" s="41">
        <f t="shared" si="0"/>
        <v>277.31215004877885</v>
      </c>
      <c r="Q31" s="41">
        <f t="shared" si="1"/>
        <v>362.12702400000001</v>
      </c>
      <c r="R31" s="41">
        <f t="shared" si="2"/>
        <v>84.814873951221159</v>
      </c>
      <c r="S31" s="82"/>
      <c r="T31" s="90"/>
    </row>
    <row r="32" spans="2:20">
      <c r="B32" s="7"/>
      <c r="C32" s="7"/>
      <c r="D32" s="7"/>
      <c r="E32" s="7"/>
      <c r="F32" s="7"/>
      <c r="G32" s="7"/>
      <c r="H32" s="7"/>
      <c r="J32" s="122">
        <v>44782</v>
      </c>
      <c r="K32" s="123">
        <v>267.8142904485133</v>
      </c>
      <c r="L32" s="123">
        <v>288.31723199999999</v>
      </c>
      <c r="M32" s="124">
        <v>20.502941551486686</v>
      </c>
      <c r="N32" s="41"/>
      <c r="O32" s="39">
        <f t="shared" si="3"/>
        <v>44792</v>
      </c>
      <c r="P32" s="41">
        <f t="shared" si="0"/>
        <v>277.31215004877885</v>
      </c>
      <c r="Q32" s="41">
        <f t="shared" si="1"/>
        <v>362.12702400000001</v>
      </c>
      <c r="R32" s="41">
        <f t="shared" si="2"/>
        <v>84.814873951221159</v>
      </c>
      <c r="S32" s="82"/>
      <c r="T32" s="90"/>
    </row>
    <row r="33" spans="2:20">
      <c r="B33" s="7"/>
      <c r="C33" s="7"/>
      <c r="D33" s="7"/>
      <c r="E33" s="7"/>
      <c r="F33" s="7"/>
      <c r="G33" s="7"/>
      <c r="H33" s="7"/>
      <c r="J33" s="122">
        <v>44781</v>
      </c>
      <c r="K33" s="123">
        <v>267.8142904485133</v>
      </c>
      <c r="L33" s="123">
        <v>279.50832000000003</v>
      </c>
      <c r="M33" s="124">
        <v>11.694029551486722</v>
      </c>
      <c r="N33" s="41"/>
      <c r="O33" s="39">
        <f t="shared" si="3"/>
        <v>44791</v>
      </c>
      <c r="P33" s="41">
        <f t="shared" si="0"/>
        <v>274.71933465546903</v>
      </c>
      <c r="Q33" s="41">
        <f t="shared" si="1"/>
        <v>343.26633600000002</v>
      </c>
      <c r="R33" s="41">
        <f t="shared" si="2"/>
        <v>68.547001344530997</v>
      </c>
      <c r="S33" s="82"/>
      <c r="T33" s="90"/>
    </row>
    <row r="34" spans="2:20">
      <c r="B34" s="7"/>
      <c r="C34" s="7"/>
      <c r="D34" s="7"/>
      <c r="E34" s="7"/>
      <c r="F34" s="7"/>
      <c r="G34" s="7"/>
      <c r="H34" s="7"/>
      <c r="J34" s="122">
        <v>44778</v>
      </c>
      <c r="K34" s="123">
        <v>266.77224821453098</v>
      </c>
      <c r="L34" s="123">
        <v>281.4588</v>
      </c>
      <c r="M34" s="124">
        <v>14.686551785469021</v>
      </c>
      <c r="N34" s="41"/>
      <c r="O34" s="39">
        <f t="shared" si="3"/>
        <v>44790</v>
      </c>
      <c r="P34" s="41">
        <f t="shared" si="0"/>
        <v>274.71933465546903</v>
      </c>
      <c r="Q34" s="41">
        <f t="shared" si="1"/>
        <v>349.11777599999999</v>
      </c>
      <c r="R34" s="41">
        <f t="shared" si="2"/>
        <v>74.398441344530966</v>
      </c>
      <c r="S34" s="82"/>
      <c r="T34" s="90"/>
    </row>
    <row r="35" spans="2:20">
      <c r="B35" s="7"/>
      <c r="C35" s="7"/>
      <c r="D35" s="7"/>
      <c r="E35" s="7"/>
      <c r="F35" s="7"/>
      <c r="G35" s="7"/>
      <c r="H35" s="7"/>
      <c r="J35" s="122">
        <v>44777</v>
      </c>
      <c r="K35" s="123">
        <v>272.02721362171326</v>
      </c>
      <c r="L35" s="123">
        <v>300.47371199999998</v>
      </c>
      <c r="M35" s="124">
        <v>28.446498378286719</v>
      </c>
      <c r="N35" s="41"/>
      <c r="O35" s="39">
        <f t="shared" si="3"/>
        <v>44789</v>
      </c>
      <c r="P35" s="41">
        <f t="shared" si="0"/>
        <v>274.71933465546903</v>
      </c>
      <c r="Q35" s="41">
        <f t="shared" si="1"/>
        <v>347.45760000000001</v>
      </c>
      <c r="R35" s="41">
        <f t="shared" si="2"/>
        <v>72.738265344530987</v>
      </c>
      <c r="S35" s="82"/>
      <c r="T35" s="90"/>
    </row>
    <row r="36" spans="2:20">
      <c r="B36" s="7"/>
      <c r="C36" s="22"/>
      <c r="D36" s="1"/>
      <c r="E36" s="1"/>
      <c r="F36" s="1"/>
      <c r="G36" s="1"/>
      <c r="H36" s="1"/>
      <c r="J36" s="122">
        <v>44776</v>
      </c>
      <c r="K36" s="123">
        <v>272.02721362171326</v>
      </c>
      <c r="L36" s="123">
        <v>326.84601599999996</v>
      </c>
      <c r="M36" s="124">
        <v>54.818802378286705</v>
      </c>
      <c r="N36" s="41"/>
      <c r="O36" s="39">
        <f t="shared" si="3"/>
        <v>44788</v>
      </c>
      <c r="P36" s="41">
        <f t="shared" si="0"/>
        <v>274.71933465546903</v>
      </c>
      <c r="Q36" s="41">
        <f t="shared" si="1"/>
        <v>320.92200000000003</v>
      </c>
      <c r="R36" s="41">
        <f t="shared" si="2"/>
        <v>46.202665344530999</v>
      </c>
      <c r="S36" s="82"/>
      <c r="T36" s="90"/>
    </row>
    <row r="37" spans="2:20">
      <c r="B37" s="7"/>
      <c r="C37" s="1"/>
      <c r="D37" s="1"/>
      <c r="E37" s="1"/>
      <c r="F37" s="25"/>
      <c r="G37" s="1"/>
      <c r="H37" s="22"/>
      <c r="J37" s="122">
        <v>44775</v>
      </c>
      <c r="K37" s="123">
        <v>272.02721362171326</v>
      </c>
      <c r="L37" s="123">
        <v>343.520352</v>
      </c>
      <c r="M37" s="124">
        <v>71.493138378286744</v>
      </c>
      <c r="N37" s="41"/>
      <c r="O37" s="39">
        <f t="shared" si="3"/>
        <v>44787</v>
      </c>
      <c r="P37" s="41">
        <f t="shared" si="0"/>
        <v>274.71933465546903</v>
      </c>
      <c r="Q37" s="41">
        <f t="shared" si="1"/>
        <v>315.25200000000001</v>
      </c>
      <c r="R37" s="41">
        <f t="shared" si="2"/>
        <v>40.532665344530983</v>
      </c>
      <c r="S37" s="82"/>
      <c r="T37" s="90"/>
    </row>
    <row r="38" spans="2:20">
      <c r="B38" s="7"/>
      <c r="C38" s="1"/>
      <c r="D38" s="26"/>
      <c r="E38" s="1"/>
      <c r="F38" s="1"/>
      <c r="G38" s="1"/>
      <c r="H38" s="27"/>
      <c r="J38" s="122">
        <v>44774</v>
      </c>
      <c r="K38" s="123">
        <v>272.02721362171326</v>
      </c>
      <c r="L38" s="123">
        <v>362.77113600000001</v>
      </c>
      <c r="M38" s="124">
        <v>90.743922378286754</v>
      </c>
      <c r="N38" s="41"/>
      <c r="O38" s="39">
        <f t="shared" si="3"/>
        <v>44786</v>
      </c>
      <c r="P38" s="41">
        <f t="shared" si="0"/>
        <v>274.71933465546903</v>
      </c>
      <c r="Q38" s="41">
        <f t="shared" si="1"/>
        <v>315.25200000000001</v>
      </c>
      <c r="R38" s="41">
        <f t="shared" si="2"/>
        <v>40.532665344530983</v>
      </c>
      <c r="S38" s="82"/>
      <c r="T38" s="90"/>
    </row>
    <row r="39" spans="2:20">
      <c r="B39" s="7"/>
      <c r="C39" s="1"/>
      <c r="D39" s="26"/>
      <c r="E39" s="1"/>
      <c r="F39" s="1"/>
      <c r="G39" s="1"/>
      <c r="H39" s="27"/>
      <c r="J39" s="122">
        <v>44771</v>
      </c>
      <c r="K39" s="123">
        <v>272.02721362171326</v>
      </c>
      <c r="L39" s="123">
        <v>373.31279999999998</v>
      </c>
      <c r="M39" s="124">
        <v>101.28558637828672</v>
      </c>
      <c r="N39" s="41"/>
      <c r="O39" s="39">
        <f t="shared" si="3"/>
        <v>44785</v>
      </c>
      <c r="P39" s="41">
        <f t="shared" si="0"/>
        <v>274.71933465546903</v>
      </c>
      <c r="Q39" s="41">
        <f t="shared" si="1"/>
        <v>315.25200000000001</v>
      </c>
      <c r="R39" s="41">
        <f t="shared" si="2"/>
        <v>40.532665344530983</v>
      </c>
      <c r="S39" s="82"/>
      <c r="T39" s="90"/>
    </row>
    <row r="40" spans="2:20">
      <c r="B40" s="7"/>
      <c r="C40" s="1"/>
      <c r="D40" s="26"/>
      <c r="E40" s="1"/>
      <c r="F40" s="1"/>
      <c r="G40" s="1"/>
      <c r="H40" s="27"/>
      <c r="J40" s="122">
        <v>44770</v>
      </c>
      <c r="K40" s="123">
        <v>263.68597716690266</v>
      </c>
      <c r="L40" s="123">
        <v>378.9828</v>
      </c>
      <c r="M40" s="124">
        <v>115.29682283309734</v>
      </c>
      <c r="N40" s="41"/>
      <c r="O40" s="39">
        <f t="shared" si="3"/>
        <v>44784</v>
      </c>
      <c r="P40" s="41">
        <f t="shared" si="0"/>
        <v>267.8142904485133</v>
      </c>
      <c r="Q40" s="41">
        <f t="shared" si="1"/>
        <v>322.05599999999998</v>
      </c>
      <c r="R40" s="41">
        <f t="shared" si="2"/>
        <v>54.241709551486679</v>
      </c>
      <c r="S40" s="82"/>
      <c r="T40" s="90"/>
    </row>
    <row r="41" spans="2:20">
      <c r="B41" s="7"/>
      <c r="C41" s="1"/>
      <c r="D41" s="1"/>
      <c r="E41" s="1"/>
      <c r="F41" s="1"/>
      <c r="G41" s="1"/>
      <c r="H41" s="27"/>
      <c r="J41" s="122">
        <v>44769</v>
      </c>
      <c r="K41" s="123">
        <v>263.68597716690266</v>
      </c>
      <c r="L41" s="123">
        <v>371.67984000000001</v>
      </c>
      <c r="M41" s="124">
        <v>107.99386283309735</v>
      </c>
      <c r="N41" s="41"/>
      <c r="O41" s="39">
        <f t="shared" si="3"/>
        <v>44783</v>
      </c>
      <c r="P41" s="41">
        <f t="shared" si="0"/>
        <v>267.8142904485133</v>
      </c>
      <c r="Q41" s="41">
        <f t="shared" si="1"/>
        <v>315.25200000000001</v>
      </c>
      <c r="R41" s="41">
        <f t="shared" si="2"/>
        <v>47.437709551486705</v>
      </c>
      <c r="S41" s="82"/>
      <c r="T41" s="90"/>
    </row>
    <row r="42" spans="2:20">
      <c r="B42" s="7"/>
      <c r="C42" s="1"/>
      <c r="D42" s="1"/>
      <c r="E42" s="1"/>
      <c r="F42" s="1"/>
      <c r="G42" s="1"/>
      <c r="H42" s="1"/>
      <c r="J42" s="122">
        <v>44768</v>
      </c>
      <c r="K42" s="123">
        <v>263.68597716690266</v>
      </c>
      <c r="L42" s="123">
        <v>373.203936</v>
      </c>
      <c r="M42" s="124">
        <v>109.51795883309734</v>
      </c>
      <c r="N42" s="41"/>
      <c r="O42" s="39">
        <f t="shared" si="3"/>
        <v>44782</v>
      </c>
      <c r="P42" s="41">
        <f t="shared" si="0"/>
        <v>267.8142904485133</v>
      </c>
      <c r="Q42" s="41">
        <f t="shared" si="1"/>
        <v>288.31723199999999</v>
      </c>
      <c r="R42" s="41">
        <f t="shared" si="2"/>
        <v>20.502941551486686</v>
      </c>
      <c r="S42" s="82"/>
      <c r="T42" s="90"/>
    </row>
    <row r="43" spans="2:20" ht="14.25" customHeight="1">
      <c r="B43" s="7"/>
      <c r="C43" s="1"/>
      <c r="D43" s="1"/>
      <c r="E43" s="1"/>
      <c r="F43" s="1"/>
      <c r="G43" s="1"/>
      <c r="H43" s="29"/>
      <c r="J43" s="122">
        <v>44767</v>
      </c>
      <c r="K43" s="123">
        <v>263.68597716690266</v>
      </c>
      <c r="L43" s="123">
        <v>351.08640000000003</v>
      </c>
      <c r="M43" s="124">
        <v>87.400422833097366</v>
      </c>
      <c r="N43" s="41"/>
      <c r="O43" s="39">
        <f t="shared" si="3"/>
        <v>44781</v>
      </c>
      <c r="P43" s="41">
        <f t="shared" si="0"/>
        <v>267.8142904485133</v>
      </c>
      <c r="Q43" s="41">
        <f t="shared" si="1"/>
        <v>279.50832000000003</v>
      </c>
      <c r="R43" s="41">
        <f t="shared" si="2"/>
        <v>11.694029551486722</v>
      </c>
      <c r="S43" s="82"/>
      <c r="T43" s="90"/>
    </row>
    <row r="44" spans="2:20" ht="14.25" customHeight="1">
      <c r="B44" s="7"/>
      <c r="C44" s="1"/>
      <c r="D44" s="1"/>
      <c r="E44" s="1"/>
      <c r="F44" s="1"/>
      <c r="G44" s="1"/>
      <c r="H44" s="29"/>
      <c r="J44" s="122">
        <v>44764</v>
      </c>
      <c r="K44" s="123">
        <v>257.43372376300886</v>
      </c>
      <c r="L44" s="123">
        <v>339.41073599999999</v>
      </c>
      <c r="M44" s="124">
        <v>81.977012236991129</v>
      </c>
      <c r="N44" s="41"/>
      <c r="O44" s="39">
        <f t="shared" si="3"/>
        <v>44780</v>
      </c>
      <c r="P44" s="41">
        <f t="shared" si="0"/>
        <v>266.77224821453098</v>
      </c>
      <c r="Q44" s="41">
        <f t="shared" si="1"/>
        <v>281.4588</v>
      </c>
      <c r="R44" s="41">
        <f t="shared" si="2"/>
        <v>14.686551785469021</v>
      </c>
      <c r="S44" s="82"/>
      <c r="T44" s="90"/>
    </row>
    <row r="45" spans="2:20">
      <c r="B45" s="7"/>
      <c r="C45" s="1"/>
      <c r="D45" s="1"/>
      <c r="E45" s="1"/>
      <c r="F45" s="1"/>
      <c r="G45" s="1"/>
      <c r="H45" s="27"/>
      <c r="J45" s="122">
        <v>44763</v>
      </c>
      <c r="K45" s="123">
        <v>254.50619084824785</v>
      </c>
      <c r="L45" s="123">
        <v>335.87265600000001</v>
      </c>
      <c r="M45" s="124">
        <v>81.366465151752152</v>
      </c>
      <c r="N45" s="41"/>
      <c r="O45" s="39">
        <f t="shared" si="3"/>
        <v>44779</v>
      </c>
      <c r="P45" s="41">
        <f t="shared" si="0"/>
        <v>266.77224821453098</v>
      </c>
      <c r="Q45" s="41">
        <f t="shared" si="1"/>
        <v>281.4588</v>
      </c>
      <c r="R45" s="41">
        <f t="shared" si="2"/>
        <v>14.686551785469021</v>
      </c>
      <c r="S45" s="82"/>
      <c r="T45" s="90"/>
    </row>
    <row r="46" spans="2:20">
      <c r="C46" s="8"/>
      <c r="D46" s="8"/>
      <c r="E46" s="8"/>
      <c r="F46" s="8"/>
      <c r="G46" s="8"/>
      <c r="H46" s="23"/>
      <c r="J46" s="122">
        <v>44762</v>
      </c>
      <c r="K46" s="123">
        <v>254.50619084824785</v>
      </c>
      <c r="L46" s="123">
        <v>336.97944000000001</v>
      </c>
      <c r="M46" s="124">
        <v>82.473249151752157</v>
      </c>
      <c r="N46" s="41"/>
      <c r="O46" s="39">
        <f t="shared" si="3"/>
        <v>44778</v>
      </c>
      <c r="P46" s="41">
        <f t="shared" si="0"/>
        <v>266.77224821453098</v>
      </c>
      <c r="Q46" s="41">
        <f t="shared" si="1"/>
        <v>281.4588</v>
      </c>
      <c r="R46" s="41">
        <f t="shared" si="2"/>
        <v>14.686551785469021</v>
      </c>
      <c r="S46" s="82"/>
      <c r="T46" s="90"/>
    </row>
    <row r="47" spans="2:20">
      <c r="B47" s="19" t="s">
        <v>7</v>
      </c>
      <c r="C47" s="10"/>
      <c r="D47" s="10"/>
      <c r="E47" s="10"/>
      <c r="F47" s="10"/>
      <c r="G47" s="10"/>
      <c r="H47" s="28"/>
      <c r="J47" s="122">
        <v>44761</v>
      </c>
      <c r="K47" s="123">
        <v>254.50619084824785</v>
      </c>
      <c r="L47" s="123">
        <v>332.48880000000003</v>
      </c>
      <c r="M47" s="124">
        <v>77.982609151752172</v>
      </c>
      <c r="N47" s="41"/>
      <c r="O47" s="39">
        <f t="shared" si="3"/>
        <v>44777</v>
      </c>
      <c r="P47" s="41">
        <f t="shared" si="0"/>
        <v>272.02721362171326</v>
      </c>
      <c r="Q47" s="41">
        <f t="shared" si="1"/>
        <v>300.47371199999998</v>
      </c>
      <c r="R47" s="41">
        <f t="shared" si="2"/>
        <v>28.446498378286719</v>
      </c>
      <c r="S47" s="82"/>
      <c r="T47" s="90"/>
    </row>
    <row r="48" spans="2:20">
      <c r="B48" s="5" t="s">
        <v>15</v>
      </c>
      <c r="G48" s="8"/>
      <c r="H48" s="8"/>
      <c r="J48" s="122">
        <v>44760</v>
      </c>
      <c r="K48" s="123">
        <v>254.50619084824785</v>
      </c>
      <c r="L48" s="123">
        <v>334.53000000000003</v>
      </c>
      <c r="M48" s="124">
        <v>80.023809151752175</v>
      </c>
      <c r="N48" s="41"/>
      <c r="O48" s="39">
        <f t="shared" si="3"/>
        <v>44776</v>
      </c>
      <c r="P48" s="41">
        <f t="shared" si="0"/>
        <v>272.02721362171326</v>
      </c>
      <c r="Q48" s="41">
        <f t="shared" si="1"/>
        <v>326.84601599999996</v>
      </c>
      <c r="R48" s="41">
        <f t="shared" si="2"/>
        <v>54.818802378286705</v>
      </c>
      <c r="S48" s="82"/>
      <c r="T48" s="90"/>
    </row>
    <row r="49" spans="2:20">
      <c r="B49" s="2" t="s">
        <v>5</v>
      </c>
      <c r="C49" s="8"/>
      <c r="D49" s="6" t="s">
        <v>9</v>
      </c>
      <c r="H49" s="8"/>
      <c r="J49" s="122">
        <v>44757</v>
      </c>
      <c r="K49" s="123">
        <v>254.50619084824785</v>
      </c>
      <c r="L49" s="123">
        <v>346.67740800000001</v>
      </c>
      <c r="M49" s="124">
        <v>92.17121715175216</v>
      </c>
      <c r="N49" s="41"/>
      <c r="O49" s="39">
        <f t="shared" si="3"/>
        <v>44775</v>
      </c>
      <c r="P49" s="41">
        <f t="shared" si="0"/>
        <v>272.02721362171326</v>
      </c>
      <c r="Q49" s="41">
        <f t="shared" si="1"/>
        <v>343.520352</v>
      </c>
      <c r="R49" s="41">
        <f t="shared" si="2"/>
        <v>71.493138378286744</v>
      </c>
      <c r="S49" s="82"/>
      <c r="T49" s="90"/>
    </row>
    <row r="50" spans="2:20">
      <c r="B50" s="2" t="s">
        <v>6</v>
      </c>
      <c r="C50" s="9"/>
      <c r="D50" s="2" t="s">
        <v>10</v>
      </c>
      <c r="H50" s="8"/>
      <c r="J50" s="122">
        <v>44756</v>
      </c>
      <c r="K50" s="123">
        <v>254.75752749727437</v>
      </c>
      <c r="L50" s="123">
        <v>365.14800000000002</v>
      </c>
      <c r="M50" s="124">
        <v>110.39047250272566</v>
      </c>
      <c r="N50" s="41"/>
      <c r="O50" s="39">
        <f t="shared" si="3"/>
        <v>44774</v>
      </c>
      <c r="P50" s="41">
        <f t="shared" si="0"/>
        <v>272.02721362171326</v>
      </c>
      <c r="Q50" s="41">
        <f t="shared" si="1"/>
        <v>362.77113600000001</v>
      </c>
      <c r="R50" s="41">
        <f t="shared" si="2"/>
        <v>90.743922378286754</v>
      </c>
      <c r="S50" s="82"/>
      <c r="T50" s="90"/>
    </row>
    <row r="51" spans="2:20">
      <c r="C51" s="9"/>
      <c r="D51" s="2" t="s">
        <v>11</v>
      </c>
      <c r="J51" s="122">
        <v>44755</v>
      </c>
      <c r="K51" s="123">
        <v>254.75752749727437</v>
      </c>
      <c r="L51" s="123">
        <v>369.68400000000003</v>
      </c>
      <c r="M51" s="124">
        <v>114.92647250272566</v>
      </c>
      <c r="N51" s="41"/>
      <c r="O51" s="39">
        <f t="shared" si="3"/>
        <v>44773</v>
      </c>
      <c r="P51" s="41">
        <f t="shared" si="0"/>
        <v>272.02721362171326</v>
      </c>
      <c r="Q51" s="41">
        <f t="shared" si="1"/>
        <v>373.31279999999998</v>
      </c>
      <c r="R51" s="41">
        <f t="shared" si="2"/>
        <v>101.28558637828672</v>
      </c>
      <c r="S51" s="82"/>
      <c r="T51" s="90"/>
    </row>
    <row r="52" spans="2:20">
      <c r="C52" s="9"/>
      <c r="D52" s="8"/>
      <c r="G52" s="21" t="s">
        <v>12</v>
      </c>
      <c r="J52" s="122">
        <v>44754</v>
      </c>
      <c r="K52" s="123">
        <v>254.75752749727437</v>
      </c>
      <c r="L52" s="123">
        <v>368.81308799999999</v>
      </c>
      <c r="M52" s="124">
        <v>114.05556050272563</v>
      </c>
      <c r="N52" s="41"/>
      <c r="O52" s="39">
        <f t="shared" si="3"/>
        <v>44772</v>
      </c>
      <c r="P52" s="41">
        <f t="shared" si="0"/>
        <v>272.02721362171326</v>
      </c>
      <c r="Q52" s="41">
        <f t="shared" si="1"/>
        <v>373.31279999999998</v>
      </c>
      <c r="R52" s="41">
        <f t="shared" si="2"/>
        <v>101.28558637828672</v>
      </c>
      <c r="S52" s="82"/>
      <c r="T52" s="90"/>
    </row>
    <row r="53" spans="2:20">
      <c r="B53" s="8"/>
      <c r="C53" s="8"/>
      <c r="D53" s="8"/>
      <c r="E53" s="8"/>
      <c r="F53" s="8"/>
      <c r="G53" s="20" t="s">
        <v>17</v>
      </c>
      <c r="H53" s="8"/>
      <c r="J53" s="122">
        <v>44753</v>
      </c>
      <c r="K53" s="123">
        <v>254.75752749727437</v>
      </c>
      <c r="L53" s="123">
        <v>368.77679999999998</v>
      </c>
      <c r="M53" s="124">
        <v>114.01927250272561</v>
      </c>
      <c r="N53" s="41"/>
      <c r="O53" s="39">
        <f t="shared" si="3"/>
        <v>44771</v>
      </c>
      <c r="P53" s="41">
        <f t="shared" si="0"/>
        <v>272.02721362171326</v>
      </c>
      <c r="Q53" s="41">
        <f t="shared" si="1"/>
        <v>373.31279999999998</v>
      </c>
      <c r="R53" s="41">
        <f t="shared" si="2"/>
        <v>101.28558637828672</v>
      </c>
      <c r="S53" s="82"/>
      <c r="T53" s="90"/>
    </row>
    <row r="54" spans="2:20">
      <c r="B54" s="10"/>
      <c r="C54" s="10"/>
      <c r="D54" s="10"/>
      <c r="E54" s="10"/>
      <c r="F54" s="8"/>
      <c r="G54" s="20" t="s">
        <v>1</v>
      </c>
      <c r="H54" s="8"/>
      <c r="J54" s="122">
        <v>44750</v>
      </c>
      <c r="K54" s="123">
        <v>248.24476353488495</v>
      </c>
      <c r="L54" s="123">
        <v>356.98320000000001</v>
      </c>
      <c r="M54" s="124">
        <v>108.73843646511506</v>
      </c>
      <c r="N54" s="41"/>
      <c r="O54" s="39">
        <f t="shared" si="3"/>
        <v>44770</v>
      </c>
      <c r="P54" s="41">
        <f t="shared" si="0"/>
        <v>263.68597716690266</v>
      </c>
      <c r="Q54" s="41">
        <f t="shared" si="1"/>
        <v>378.9828</v>
      </c>
      <c r="R54" s="41">
        <f t="shared" si="2"/>
        <v>115.29682283309734</v>
      </c>
      <c r="S54" s="82"/>
      <c r="T54" s="90"/>
    </row>
    <row r="55" spans="2:20">
      <c r="B55" s="5" t="s">
        <v>16</v>
      </c>
      <c r="G55" s="20" t="s">
        <v>18</v>
      </c>
      <c r="J55" s="122">
        <v>44749</v>
      </c>
      <c r="K55" s="123">
        <v>234.52842393461944</v>
      </c>
      <c r="L55" s="123">
        <v>349.27199999999999</v>
      </c>
      <c r="M55" s="124">
        <v>114.74357606538055</v>
      </c>
      <c r="N55" s="41"/>
      <c r="O55" s="39">
        <f t="shared" si="3"/>
        <v>44769</v>
      </c>
      <c r="P55" s="41">
        <f t="shared" si="0"/>
        <v>263.68597716690266</v>
      </c>
      <c r="Q55" s="41">
        <f t="shared" si="1"/>
        <v>371.67984000000001</v>
      </c>
      <c r="R55" s="41">
        <f t="shared" si="2"/>
        <v>107.99386283309735</v>
      </c>
      <c r="S55" s="82"/>
      <c r="T55" s="90"/>
    </row>
    <row r="56" spans="2:20">
      <c r="G56" s="23" t="s">
        <v>19</v>
      </c>
      <c r="J56" s="122">
        <v>44748</v>
      </c>
      <c r="K56" s="123">
        <v>234.52842393461944</v>
      </c>
      <c r="L56" s="123">
        <v>346.21473600000002</v>
      </c>
      <c r="M56" s="124">
        <v>111.68631206538058</v>
      </c>
      <c r="N56" s="41"/>
      <c r="O56" s="39">
        <f t="shared" si="3"/>
        <v>44768</v>
      </c>
      <c r="P56" s="41">
        <f t="shared" si="0"/>
        <v>263.68597716690266</v>
      </c>
      <c r="Q56" s="41">
        <f t="shared" si="1"/>
        <v>373.203936</v>
      </c>
      <c r="R56" s="41">
        <f t="shared" si="2"/>
        <v>109.51795883309734</v>
      </c>
      <c r="S56" s="82"/>
      <c r="T56" s="90"/>
    </row>
    <row r="57" spans="2:20">
      <c r="J57" s="122">
        <v>44747</v>
      </c>
      <c r="K57" s="123">
        <v>234.52842393461944</v>
      </c>
      <c r="L57" s="123">
        <v>355.89456000000001</v>
      </c>
      <c r="M57" s="124">
        <v>121.36613606538057</v>
      </c>
      <c r="N57" s="41"/>
      <c r="O57" s="39">
        <f t="shared" si="3"/>
        <v>44767</v>
      </c>
      <c r="P57" s="41">
        <f t="shared" si="0"/>
        <v>263.68597716690266</v>
      </c>
      <c r="Q57" s="41">
        <f t="shared" si="1"/>
        <v>351.08640000000003</v>
      </c>
      <c r="R57" s="41">
        <f t="shared" si="2"/>
        <v>87.400422833097366</v>
      </c>
      <c r="S57" s="82"/>
      <c r="T57" s="90"/>
    </row>
    <row r="58" spans="2:20">
      <c r="J58" s="122">
        <v>44746</v>
      </c>
      <c r="K58" s="123">
        <v>234.52842393461944</v>
      </c>
      <c r="L58" s="123">
        <v>352.111536</v>
      </c>
      <c r="M58" s="124">
        <v>117.58311206538056</v>
      </c>
      <c r="N58" s="41"/>
      <c r="O58" s="39">
        <f t="shared" si="3"/>
        <v>44766</v>
      </c>
      <c r="P58" s="41">
        <f t="shared" si="0"/>
        <v>257.43372376300886</v>
      </c>
      <c r="Q58" s="41">
        <f t="shared" si="1"/>
        <v>339.41073599999999</v>
      </c>
      <c r="R58" s="41">
        <f t="shared" si="2"/>
        <v>81.977012236991129</v>
      </c>
      <c r="S58" s="82"/>
      <c r="T58" s="90"/>
    </row>
    <row r="59" spans="2:20">
      <c r="B59" s="8"/>
      <c r="C59" s="8"/>
      <c r="D59" s="8"/>
      <c r="E59" s="8"/>
      <c r="F59" s="8"/>
      <c r="G59" s="8"/>
      <c r="H59" s="8"/>
      <c r="J59" s="122">
        <v>44743</v>
      </c>
      <c r="K59" s="123">
        <v>234.52842393461944</v>
      </c>
      <c r="L59" s="123">
        <v>340.59916800000002</v>
      </c>
      <c r="M59" s="124">
        <v>106.07074406538058</v>
      </c>
      <c r="N59" s="41"/>
      <c r="O59" s="39">
        <f t="shared" si="3"/>
        <v>44765</v>
      </c>
      <c r="P59" s="41">
        <f t="shared" si="0"/>
        <v>257.43372376300886</v>
      </c>
      <c r="Q59" s="41">
        <f t="shared" si="1"/>
        <v>339.41073599999999</v>
      </c>
      <c r="R59" s="41">
        <f t="shared" si="2"/>
        <v>81.977012236991129</v>
      </c>
      <c r="S59" s="82"/>
      <c r="T59" s="90"/>
    </row>
    <row r="60" spans="2:20">
      <c r="B60" s="10"/>
      <c r="C60" s="10"/>
      <c r="D60" s="10"/>
      <c r="E60" s="10"/>
      <c r="F60" s="10"/>
      <c r="G60" s="10"/>
      <c r="H60" s="10"/>
      <c r="J60" s="122">
        <v>44742</v>
      </c>
      <c r="K60" s="123">
        <v>234.81223337612397</v>
      </c>
      <c r="L60" s="123">
        <v>333.06033600000001</v>
      </c>
      <c r="M60" s="124">
        <v>98.248102623876036</v>
      </c>
      <c r="N60" s="41"/>
      <c r="O60" s="39">
        <f t="shared" si="3"/>
        <v>44764</v>
      </c>
      <c r="P60" s="41">
        <f t="shared" si="0"/>
        <v>257.43372376300886</v>
      </c>
      <c r="Q60" s="41">
        <f t="shared" si="1"/>
        <v>339.41073599999999</v>
      </c>
      <c r="R60" s="41">
        <f t="shared" si="2"/>
        <v>81.977012236991129</v>
      </c>
      <c r="S60" s="82"/>
      <c r="T60" s="90"/>
    </row>
    <row r="61" spans="2:20">
      <c r="J61" s="122">
        <v>44741</v>
      </c>
      <c r="K61" s="123">
        <v>234.81223337612397</v>
      </c>
      <c r="L61" s="123">
        <v>333.77702400000004</v>
      </c>
      <c r="M61" s="124">
        <v>98.96479062387607</v>
      </c>
      <c r="N61" s="41"/>
      <c r="O61" s="39">
        <f t="shared" si="3"/>
        <v>44763</v>
      </c>
      <c r="P61" s="41">
        <f t="shared" si="0"/>
        <v>254.50619084824785</v>
      </c>
      <c r="Q61" s="41">
        <f t="shared" si="1"/>
        <v>335.87265600000001</v>
      </c>
      <c r="R61" s="41">
        <f t="shared" si="2"/>
        <v>81.366465151752152</v>
      </c>
      <c r="S61" s="82"/>
      <c r="T61" s="90"/>
    </row>
    <row r="62" spans="2:20">
      <c r="J62" s="122">
        <v>44740</v>
      </c>
      <c r="K62" s="123">
        <v>234.81223337612397</v>
      </c>
      <c r="L62" s="123">
        <v>337.30603200000002</v>
      </c>
      <c r="M62" s="124">
        <v>102.49379862387605</v>
      </c>
      <c r="N62" s="41"/>
      <c r="O62" s="39">
        <f t="shared" si="3"/>
        <v>44762</v>
      </c>
      <c r="P62" s="41">
        <f t="shared" si="0"/>
        <v>254.50619084824785</v>
      </c>
      <c r="Q62" s="41">
        <f t="shared" si="1"/>
        <v>336.97944000000001</v>
      </c>
      <c r="R62" s="41">
        <f t="shared" si="2"/>
        <v>82.473249151752157</v>
      </c>
      <c r="S62" s="82"/>
      <c r="T62" s="90"/>
    </row>
    <row r="63" spans="2:20">
      <c r="J63" s="122">
        <v>44739</v>
      </c>
      <c r="K63" s="123">
        <v>234.81223337612397</v>
      </c>
      <c r="L63" s="123">
        <v>370.43697600000002</v>
      </c>
      <c r="M63" s="124">
        <v>135.62474262387605</v>
      </c>
      <c r="N63" s="41"/>
      <c r="O63" s="39">
        <f t="shared" si="3"/>
        <v>44761</v>
      </c>
      <c r="P63" s="41">
        <f t="shared" si="0"/>
        <v>254.50619084824785</v>
      </c>
      <c r="Q63" s="41">
        <f t="shared" si="1"/>
        <v>332.48880000000003</v>
      </c>
      <c r="R63" s="41">
        <f t="shared" si="2"/>
        <v>77.982609151752172</v>
      </c>
      <c r="S63" s="82"/>
      <c r="T63" s="90"/>
    </row>
    <row r="64" spans="2:20">
      <c r="C64" s="11" t="s">
        <v>13</v>
      </c>
      <c r="D64" s="12"/>
      <c r="E64" s="13"/>
      <c r="J64" s="122">
        <v>44736</v>
      </c>
      <c r="K64" s="123">
        <v>234.81223337612397</v>
      </c>
      <c r="L64" s="123">
        <v>380.05329599999999</v>
      </c>
      <c r="M64" s="124">
        <v>145.24106262387602</v>
      </c>
      <c r="N64" s="41"/>
      <c r="O64" s="39">
        <f t="shared" si="3"/>
        <v>44760</v>
      </c>
      <c r="P64" s="41">
        <f t="shared" si="0"/>
        <v>254.50619084824785</v>
      </c>
      <c r="Q64" s="41">
        <f t="shared" si="1"/>
        <v>334.53000000000003</v>
      </c>
      <c r="R64" s="41">
        <f t="shared" si="2"/>
        <v>80.023809151752175</v>
      </c>
      <c r="S64" s="82"/>
      <c r="T64" s="90"/>
    </row>
    <row r="65" spans="3:20">
      <c r="C65" s="14" t="str">
        <f>IF(G4="","Source: "&amp; G7,"Notes: " &amp; G4 &amp; CHAR(10) &amp; "Source: "&amp;G7)</f>
        <v>Source: McCloskey by OPIS</v>
      </c>
      <c r="D65" s="8"/>
      <c r="E65" s="15"/>
      <c r="J65" s="122">
        <v>44735</v>
      </c>
      <c r="K65" s="123">
        <v>221.71437700454871</v>
      </c>
      <c r="L65" s="123">
        <v>386.24040000000002</v>
      </c>
      <c r="M65" s="124">
        <v>164.52602299545131</v>
      </c>
      <c r="N65" s="41"/>
      <c r="O65" s="39">
        <f t="shared" si="3"/>
        <v>44759</v>
      </c>
      <c r="P65" s="41">
        <f t="shared" si="0"/>
        <v>254.50619084824785</v>
      </c>
      <c r="Q65" s="41">
        <f t="shared" si="1"/>
        <v>346.67740800000001</v>
      </c>
      <c r="R65" s="41">
        <f t="shared" si="2"/>
        <v>92.17121715175216</v>
      </c>
      <c r="S65" s="82"/>
      <c r="T65" s="90"/>
    </row>
    <row r="66" spans="3:20">
      <c r="C66" s="16" t="str">
        <f>CHAR(169) &amp; " 2021 "&amp;G7</f>
        <v>© 2021 McCloskey by OPIS</v>
      </c>
      <c r="D66" s="17"/>
      <c r="E66" s="18"/>
      <c r="J66" s="122">
        <v>44734</v>
      </c>
      <c r="K66" s="123">
        <v>221.71437700454871</v>
      </c>
      <c r="L66" s="123">
        <v>373.65753599999999</v>
      </c>
      <c r="M66" s="124">
        <v>151.94315899545128</v>
      </c>
      <c r="O66" s="39">
        <f t="shared" si="3"/>
        <v>44758</v>
      </c>
      <c r="P66" s="41">
        <f t="shared" si="0"/>
        <v>254.50619084824785</v>
      </c>
      <c r="Q66" s="41">
        <f t="shared" si="1"/>
        <v>346.67740800000001</v>
      </c>
      <c r="R66" s="41">
        <f t="shared" si="2"/>
        <v>92.17121715175216</v>
      </c>
    </row>
    <row r="67" spans="3:20">
      <c r="J67" s="122">
        <v>44733</v>
      </c>
      <c r="K67" s="123">
        <v>221.71437700454871</v>
      </c>
      <c r="L67" s="123">
        <v>363.10680000000002</v>
      </c>
      <c r="M67" s="124">
        <v>141.39242299545131</v>
      </c>
      <c r="O67" s="39">
        <f t="shared" si="3"/>
        <v>44757</v>
      </c>
      <c r="P67" s="41">
        <f t="shared" si="0"/>
        <v>254.50619084824785</v>
      </c>
      <c r="Q67" s="41">
        <f t="shared" si="1"/>
        <v>346.67740800000001</v>
      </c>
      <c r="R67" s="41">
        <f t="shared" si="2"/>
        <v>92.17121715175216</v>
      </c>
    </row>
    <row r="68" spans="3:20">
      <c r="J68" s="122">
        <v>44732</v>
      </c>
      <c r="K68" s="123">
        <v>221.71437700454871</v>
      </c>
      <c r="L68" s="123">
        <v>342.78552000000002</v>
      </c>
      <c r="M68" s="124">
        <v>121.07114299545131</v>
      </c>
      <c r="O68" s="39">
        <f t="shared" si="3"/>
        <v>44756</v>
      </c>
      <c r="P68" s="41">
        <f t="shared" si="0"/>
        <v>254.75752749727437</v>
      </c>
      <c r="Q68" s="41">
        <f t="shared" si="1"/>
        <v>365.14800000000002</v>
      </c>
      <c r="R68" s="41">
        <f t="shared" si="2"/>
        <v>110.39047250272566</v>
      </c>
    </row>
    <row r="69" spans="3:20">
      <c r="J69" s="122">
        <v>44729</v>
      </c>
      <c r="K69" s="123">
        <v>221.71437700454871</v>
      </c>
      <c r="L69" s="123">
        <v>324.23327999999998</v>
      </c>
      <c r="M69" s="124">
        <v>102.51890299545127</v>
      </c>
      <c r="N69" s="5"/>
      <c r="O69" s="39">
        <f t="shared" si="3"/>
        <v>44755</v>
      </c>
      <c r="P69" s="41">
        <f t="shared" si="0"/>
        <v>254.75752749727437</v>
      </c>
      <c r="Q69" s="41">
        <f t="shared" si="1"/>
        <v>369.68400000000003</v>
      </c>
      <c r="R69" s="41">
        <f t="shared" si="2"/>
        <v>114.92647250272566</v>
      </c>
    </row>
    <row r="70" spans="3:20">
      <c r="J70" s="122">
        <v>44728</v>
      </c>
      <c r="K70" s="123">
        <v>205.74108108305842</v>
      </c>
      <c r="L70" s="123">
        <v>331.30944</v>
      </c>
      <c r="M70" s="124">
        <v>125.56835891694158</v>
      </c>
      <c r="O70" s="39">
        <f t="shared" si="3"/>
        <v>44754</v>
      </c>
      <c r="P70" s="41">
        <f t="shared" ref="P70:P133" si="4">IFERROR(VLOOKUP($O70,$J$5:$M$403,2,FALSE),P71)</f>
        <v>254.75752749727437</v>
      </c>
      <c r="Q70" s="41">
        <f t="shared" ref="Q70:Q133" si="5">IFERROR(VLOOKUP($O70,$J$5:$M$403,3,FALSE),Q71)</f>
        <v>368.81308799999999</v>
      </c>
      <c r="R70" s="41">
        <f t="shared" ref="R70:R133" si="6">IFERROR(VLOOKUP($O70,$J$5:$M$403,4,FALSE),R71)</f>
        <v>114.05556050272563</v>
      </c>
    </row>
    <row r="71" spans="3:20">
      <c r="J71" s="122">
        <v>44727</v>
      </c>
      <c r="K71" s="123">
        <v>205.74108108305842</v>
      </c>
      <c r="L71" s="123">
        <v>310.03559999999999</v>
      </c>
      <c r="M71" s="124">
        <v>104.29451891694157</v>
      </c>
      <c r="O71" s="39">
        <f t="shared" ref="O71:O134" si="7">O70-1</f>
        <v>44753</v>
      </c>
      <c r="P71" s="41">
        <f t="shared" si="4"/>
        <v>254.75752749727437</v>
      </c>
      <c r="Q71" s="41">
        <f t="shared" si="5"/>
        <v>368.77679999999998</v>
      </c>
      <c r="R71" s="41">
        <f t="shared" si="6"/>
        <v>114.01927250272561</v>
      </c>
    </row>
    <row r="72" spans="3:20">
      <c r="J72" s="122">
        <v>44726</v>
      </c>
      <c r="K72" s="123">
        <v>205.74108108305842</v>
      </c>
      <c r="L72" s="123">
        <v>307.80388800000003</v>
      </c>
      <c r="M72" s="124">
        <v>102.06280691694161</v>
      </c>
      <c r="O72" s="39">
        <f t="shared" si="7"/>
        <v>44752</v>
      </c>
      <c r="P72" s="41">
        <f t="shared" si="4"/>
        <v>248.24476353488495</v>
      </c>
      <c r="Q72" s="41">
        <f t="shared" si="5"/>
        <v>356.98320000000001</v>
      </c>
      <c r="R72" s="41">
        <f t="shared" si="6"/>
        <v>108.73843646511506</v>
      </c>
    </row>
    <row r="73" spans="3:20">
      <c r="J73" s="122">
        <v>44725</v>
      </c>
      <c r="K73" s="123">
        <v>205.74108108305842</v>
      </c>
      <c r="L73" s="123">
        <v>282.32971199999997</v>
      </c>
      <c r="M73" s="124">
        <v>76.588630916941554</v>
      </c>
      <c r="O73" s="39">
        <f t="shared" si="7"/>
        <v>44751</v>
      </c>
      <c r="P73" s="41">
        <f t="shared" si="4"/>
        <v>248.24476353488495</v>
      </c>
      <c r="Q73" s="41">
        <f t="shared" si="5"/>
        <v>356.98320000000001</v>
      </c>
      <c r="R73" s="41">
        <f t="shared" si="6"/>
        <v>108.73843646511506</v>
      </c>
    </row>
    <row r="74" spans="3:20">
      <c r="J74" s="122">
        <v>44722</v>
      </c>
      <c r="K74" s="123">
        <v>205.74108108305842</v>
      </c>
      <c r="L74" s="123">
        <v>283.61793599999999</v>
      </c>
      <c r="M74" s="124">
        <v>77.876854916941568</v>
      </c>
      <c r="O74" s="39">
        <f t="shared" si="7"/>
        <v>44750</v>
      </c>
      <c r="P74" s="41">
        <f t="shared" si="4"/>
        <v>248.24476353488495</v>
      </c>
      <c r="Q74" s="41">
        <f t="shared" si="5"/>
        <v>356.98320000000001</v>
      </c>
      <c r="R74" s="41">
        <f t="shared" si="6"/>
        <v>108.73843646511506</v>
      </c>
    </row>
    <row r="75" spans="3:20">
      <c r="J75" s="122">
        <v>44721</v>
      </c>
      <c r="K75" s="123">
        <v>209.57641976054867</v>
      </c>
      <c r="L75" s="123">
        <v>289.21536000000003</v>
      </c>
      <c r="M75" s="124">
        <v>79.638940239451358</v>
      </c>
      <c r="O75" s="39">
        <f t="shared" si="7"/>
        <v>44749</v>
      </c>
      <c r="P75" s="41">
        <f t="shared" si="4"/>
        <v>234.52842393461944</v>
      </c>
      <c r="Q75" s="41">
        <f t="shared" si="5"/>
        <v>349.27199999999999</v>
      </c>
      <c r="R75" s="41">
        <f t="shared" si="6"/>
        <v>114.74357606538055</v>
      </c>
    </row>
    <row r="76" spans="3:20">
      <c r="J76" s="122">
        <v>44720</v>
      </c>
      <c r="K76" s="123">
        <v>209.57641976054867</v>
      </c>
      <c r="L76" s="123">
        <v>289.39679999999998</v>
      </c>
      <c r="M76" s="124">
        <v>79.82038023945131</v>
      </c>
      <c r="O76" s="39">
        <f t="shared" si="7"/>
        <v>44748</v>
      </c>
      <c r="P76" s="41">
        <f t="shared" si="4"/>
        <v>234.52842393461944</v>
      </c>
      <c r="Q76" s="41">
        <f t="shared" si="5"/>
        <v>346.21473600000002</v>
      </c>
      <c r="R76" s="41">
        <f t="shared" si="6"/>
        <v>111.68631206538058</v>
      </c>
    </row>
    <row r="77" spans="3:20">
      <c r="J77" s="122">
        <v>44719</v>
      </c>
      <c r="K77" s="123">
        <v>209.57641976054867</v>
      </c>
      <c r="L77" s="123">
        <v>300.50092799999999</v>
      </c>
      <c r="M77" s="124">
        <v>90.924508239451313</v>
      </c>
      <c r="O77" s="39">
        <f t="shared" si="7"/>
        <v>44747</v>
      </c>
      <c r="P77" s="41">
        <f t="shared" si="4"/>
        <v>234.52842393461944</v>
      </c>
      <c r="Q77" s="41">
        <f t="shared" si="5"/>
        <v>355.89456000000001</v>
      </c>
      <c r="R77" s="41">
        <f t="shared" si="6"/>
        <v>121.36613606538057</v>
      </c>
    </row>
    <row r="78" spans="3:20">
      <c r="J78" s="122">
        <v>44718</v>
      </c>
      <c r="K78" s="123">
        <v>209.57641976054867</v>
      </c>
      <c r="L78" s="123">
        <v>305.42702400000002</v>
      </c>
      <c r="M78" s="124">
        <v>95.850604239451343</v>
      </c>
      <c r="O78" s="39">
        <f t="shared" si="7"/>
        <v>44746</v>
      </c>
      <c r="P78" s="41">
        <f t="shared" si="4"/>
        <v>234.52842393461944</v>
      </c>
      <c r="Q78" s="41">
        <f t="shared" si="5"/>
        <v>352.111536</v>
      </c>
      <c r="R78" s="41">
        <f t="shared" si="6"/>
        <v>117.58311206538056</v>
      </c>
    </row>
    <row r="79" spans="3:20">
      <c r="J79" s="122">
        <v>44715</v>
      </c>
      <c r="K79" s="123">
        <v>209.57641976054867</v>
      </c>
      <c r="L79" s="123">
        <v>301.08153599999997</v>
      </c>
      <c r="M79" s="124">
        <v>91.505116239451297</v>
      </c>
      <c r="O79" s="39">
        <f t="shared" si="7"/>
        <v>44745</v>
      </c>
      <c r="P79" s="41">
        <f t="shared" si="4"/>
        <v>234.52842393461944</v>
      </c>
      <c r="Q79" s="41">
        <f t="shared" si="5"/>
        <v>340.59916800000002</v>
      </c>
      <c r="R79" s="41">
        <f t="shared" si="6"/>
        <v>106.07074406538058</v>
      </c>
    </row>
    <row r="80" spans="3:20">
      <c r="J80" s="122">
        <v>44714</v>
      </c>
      <c r="K80" s="123">
        <v>202.1963551867434</v>
      </c>
      <c r="L80" s="123">
        <v>301.08153599999997</v>
      </c>
      <c r="M80" s="124">
        <v>98.885180813256568</v>
      </c>
      <c r="O80" s="39">
        <f t="shared" si="7"/>
        <v>44744</v>
      </c>
      <c r="P80" s="41">
        <f t="shared" si="4"/>
        <v>234.52842393461944</v>
      </c>
      <c r="Q80" s="41">
        <f t="shared" si="5"/>
        <v>340.59916800000002</v>
      </c>
      <c r="R80" s="41">
        <f t="shared" si="6"/>
        <v>106.07074406538058</v>
      </c>
    </row>
    <row r="81" spans="10:18">
      <c r="J81" s="122">
        <v>44713</v>
      </c>
      <c r="K81" s="123">
        <v>202.1963551867434</v>
      </c>
      <c r="L81" s="123">
        <v>301.08153599999997</v>
      </c>
      <c r="M81" s="124">
        <v>98.885180813256568</v>
      </c>
      <c r="O81" s="39">
        <f t="shared" si="7"/>
        <v>44743</v>
      </c>
      <c r="P81" s="41">
        <f t="shared" si="4"/>
        <v>234.52842393461944</v>
      </c>
      <c r="Q81" s="41">
        <f t="shared" si="5"/>
        <v>340.59916800000002</v>
      </c>
      <c r="R81" s="41">
        <f t="shared" si="6"/>
        <v>106.07074406538058</v>
      </c>
    </row>
    <row r="82" spans="10:18">
      <c r="J82" s="122">
        <v>44712</v>
      </c>
      <c r="K82" s="123">
        <v>201.88374251654866</v>
      </c>
      <c r="L82" s="123">
        <v>324.89553599999999</v>
      </c>
      <c r="M82" s="124">
        <v>123.01179348345133</v>
      </c>
      <c r="O82" s="39">
        <f t="shared" si="7"/>
        <v>44742</v>
      </c>
      <c r="P82" s="41">
        <f t="shared" si="4"/>
        <v>234.81223337612397</v>
      </c>
      <c r="Q82" s="41">
        <f t="shared" si="5"/>
        <v>333.06033600000001</v>
      </c>
      <c r="R82" s="41">
        <f t="shared" si="6"/>
        <v>98.248102623876036</v>
      </c>
    </row>
    <row r="83" spans="10:18">
      <c r="J83" s="122">
        <v>44711</v>
      </c>
      <c r="K83" s="123">
        <v>201.88374251654866</v>
      </c>
      <c r="L83" s="123">
        <v>292.572</v>
      </c>
      <c r="M83" s="124">
        <v>90.688257483451338</v>
      </c>
      <c r="O83" s="39">
        <f t="shared" si="7"/>
        <v>44741</v>
      </c>
      <c r="P83" s="41">
        <f t="shared" si="4"/>
        <v>234.81223337612397</v>
      </c>
      <c r="Q83" s="41">
        <f t="shared" si="5"/>
        <v>333.77702400000004</v>
      </c>
      <c r="R83" s="41">
        <f t="shared" si="6"/>
        <v>98.96479062387607</v>
      </c>
    </row>
    <row r="84" spans="10:18">
      <c r="J84" s="122">
        <v>44708</v>
      </c>
      <c r="K84" s="123">
        <v>207.35446424495578</v>
      </c>
      <c r="L84" s="123">
        <v>275.10840000000002</v>
      </c>
      <c r="M84" s="124">
        <v>67.753935755044239</v>
      </c>
      <c r="O84" s="39">
        <f t="shared" si="7"/>
        <v>44740</v>
      </c>
      <c r="P84" s="41">
        <f t="shared" si="4"/>
        <v>234.81223337612397</v>
      </c>
      <c r="Q84" s="41">
        <f t="shared" si="5"/>
        <v>337.30603200000002</v>
      </c>
      <c r="R84" s="41">
        <f t="shared" si="6"/>
        <v>102.49379862387605</v>
      </c>
    </row>
    <row r="85" spans="10:18">
      <c r="J85" s="122">
        <v>44707</v>
      </c>
      <c r="K85" s="123">
        <v>209.43854871292035</v>
      </c>
      <c r="L85" s="123">
        <v>289.17</v>
      </c>
      <c r="M85" s="124">
        <v>79.731451287079665</v>
      </c>
      <c r="O85" s="39">
        <f t="shared" si="7"/>
        <v>44739</v>
      </c>
      <c r="P85" s="41">
        <f t="shared" si="4"/>
        <v>234.81223337612397</v>
      </c>
      <c r="Q85" s="41">
        <f t="shared" si="5"/>
        <v>370.43697600000002</v>
      </c>
      <c r="R85" s="41">
        <f t="shared" si="6"/>
        <v>135.62474262387605</v>
      </c>
    </row>
    <row r="86" spans="10:18">
      <c r="J86" s="122">
        <v>44706</v>
      </c>
      <c r="K86" s="123">
        <v>209.43854871292035</v>
      </c>
      <c r="L86" s="123">
        <v>276.69600000000003</v>
      </c>
      <c r="M86" s="124">
        <v>67.257451287079675</v>
      </c>
      <c r="O86" s="39">
        <f t="shared" si="7"/>
        <v>44738</v>
      </c>
      <c r="P86" s="41">
        <f t="shared" si="4"/>
        <v>234.81223337612397</v>
      </c>
      <c r="Q86" s="41">
        <f t="shared" si="5"/>
        <v>380.05329599999999</v>
      </c>
      <c r="R86" s="41">
        <f t="shared" si="6"/>
        <v>145.24106262387602</v>
      </c>
    </row>
    <row r="87" spans="10:18">
      <c r="J87" s="122">
        <v>44705</v>
      </c>
      <c r="K87" s="123">
        <v>209.43854871292035</v>
      </c>
      <c r="L87" s="123">
        <v>297.67953599999998</v>
      </c>
      <c r="M87" s="124">
        <v>88.240987287079633</v>
      </c>
      <c r="O87" s="39">
        <f t="shared" si="7"/>
        <v>44737</v>
      </c>
      <c r="P87" s="41">
        <f t="shared" si="4"/>
        <v>234.81223337612397</v>
      </c>
      <c r="Q87" s="41">
        <f t="shared" si="5"/>
        <v>380.05329599999999</v>
      </c>
      <c r="R87" s="41">
        <f t="shared" si="6"/>
        <v>145.24106262387602</v>
      </c>
    </row>
    <row r="88" spans="10:18">
      <c r="J88" s="122">
        <v>44704</v>
      </c>
      <c r="K88" s="123">
        <v>209.43854871292035</v>
      </c>
      <c r="L88" s="123">
        <v>314.11799999999999</v>
      </c>
      <c r="M88" s="124">
        <v>104.67945128707964</v>
      </c>
      <c r="O88" s="39">
        <f t="shared" si="7"/>
        <v>44736</v>
      </c>
      <c r="P88" s="41">
        <f t="shared" si="4"/>
        <v>234.81223337612397</v>
      </c>
      <c r="Q88" s="41">
        <f t="shared" si="5"/>
        <v>380.05329599999999</v>
      </c>
      <c r="R88" s="41">
        <f t="shared" si="6"/>
        <v>145.24106262387602</v>
      </c>
    </row>
    <row r="89" spans="10:18">
      <c r="J89" s="122">
        <v>44701</v>
      </c>
      <c r="K89" s="123">
        <v>209.43854871292035</v>
      </c>
      <c r="L89" s="123">
        <v>325.45800000000003</v>
      </c>
      <c r="M89" s="124">
        <v>116.01945128707968</v>
      </c>
      <c r="O89" s="39">
        <f t="shared" si="7"/>
        <v>44735</v>
      </c>
      <c r="P89" s="41">
        <f t="shared" si="4"/>
        <v>221.71437700454871</v>
      </c>
      <c r="Q89" s="41">
        <f t="shared" si="5"/>
        <v>386.24040000000002</v>
      </c>
      <c r="R89" s="41">
        <f t="shared" si="6"/>
        <v>164.52602299545131</v>
      </c>
    </row>
    <row r="90" spans="10:18">
      <c r="J90" s="122">
        <v>44700</v>
      </c>
      <c r="K90" s="123">
        <v>203.11272909621243</v>
      </c>
      <c r="L90" s="123">
        <v>320.24160000000001</v>
      </c>
      <c r="M90" s="124">
        <v>117.12887090378757</v>
      </c>
      <c r="O90" s="39">
        <f t="shared" si="7"/>
        <v>44734</v>
      </c>
      <c r="P90" s="41">
        <f t="shared" si="4"/>
        <v>221.71437700454871</v>
      </c>
      <c r="Q90" s="41">
        <f t="shared" si="5"/>
        <v>373.65753599999999</v>
      </c>
      <c r="R90" s="41">
        <f t="shared" si="6"/>
        <v>151.94315899545128</v>
      </c>
    </row>
    <row r="91" spans="10:18">
      <c r="J91" s="122">
        <v>44699</v>
      </c>
      <c r="K91" s="123">
        <v>203.11272909621243</v>
      </c>
      <c r="L91" s="123">
        <v>320.89478400000002</v>
      </c>
      <c r="M91" s="124">
        <v>117.78205490378758</v>
      </c>
      <c r="O91" s="39">
        <f t="shared" si="7"/>
        <v>44733</v>
      </c>
      <c r="P91" s="41">
        <f t="shared" si="4"/>
        <v>221.71437700454871</v>
      </c>
      <c r="Q91" s="41">
        <f t="shared" si="5"/>
        <v>363.10680000000002</v>
      </c>
      <c r="R91" s="41">
        <f t="shared" si="6"/>
        <v>141.39242299545131</v>
      </c>
    </row>
    <row r="92" spans="10:18">
      <c r="J92" s="122">
        <v>44698</v>
      </c>
      <c r="K92" s="123">
        <v>203.11272909621243</v>
      </c>
      <c r="L92" s="123">
        <v>303.80313599999999</v>
      </c>
      <c r="M92" s="124">
        <v>100.69040690378756</v>
      </c>
      <c r="O92" s="39">
        <f t="shared" si="7"/>
        <v>44732</v>
      </c>
      <c r="P92" s="41">
        <f t="shared" si="4"/>
        <v>221.71437700454871</v>
      </c>
      <c r="Q92" s="41">
        <f t="shared" si="5"/>
        <v>342.78552000000002</v>
      </c>
      <c r="R92" s="41">
        <f t="shared" si="6"/>
        <v>121.07114299545131</v>
      </c>
    </row>
    <row r="93" spans="10:18">
      <c r="J93" s="122">
        <v>44697</v>
      </c>
      <c r="K93" s="123">
        <v>203.11272909621243</v>
      </c>
      <c r="L93" s="123">
        <v>295.10308800000001</v>
      </c>
      <c r="M93" s="124">
        <v>91.99035890378758</v>
      </c>
      <c r="O93" s="39">
        <f t="shared" si="7"/>
        <v>44731</v>
      </c>
      <c r="P93" s="41">
        <f t="shared" si="4"/>
        <v>221.71437700454871</v>
      </c>
      <c r="Q93" s="41">
        <f t="shared" si="5"/>
        <v>324.23327999999998</v>
      </c>
      <c r="R93" s="41">
        <f t="shared" si="6"/>
        <v>102.51890299545127</v>
      </c>
    </row>
    <row r="94" spans="10:18">
      <c r="J94" s="122">
        <v>44694</v>
      </c>
      <c r="K94" s="123">
        <v>204.15477133019471</v>
      </c>
      <c r="L94" s="123">
        <v>290.24049600000001</v>
      </c>
      <c r="M94" s="124">
        <v>86.085724669805302</v>
      </c>
      <c r="O94" s="39">
        <f t="shared" si="7"/>
        <v>44730</v>
      </c>
      <c r="P94" s="41">
        <f t="shared" si="4"/>
        <v>221.71437700454871</v>
      </c>
      <c r="Q94" s="41">
        <f t="shared" si="5"/>
        <v>324.23327999999998</v>
      </c>
      <c r="R94" s="41">
        <f t="shared" si="6"/>
        <v>102.51890299545127</v>
      </c>
    </row>
    <row r="95" spans="10:18">
      <c r="J95" s="122">
        <v>44693</v>
      </c>
      <c r="K95" s="123">
        <v>200.80856924624075</v>
      </c>
      <c r="L95" s="123">
        <v>302.47862400000002</v>
      </c>
      <c r="M95" s="124">
        <v>101.67005475375927</v>
      </c>
      <c r="O95" s="39">
        <f t="shared" si="7"/>
        <v>44729</v>
      </c>
      <c r="P95" s="41">
        <f t="shared" si="4"/>
        <v>221.71437700454871</v>
      </c>
      <c r="Q95" s="41">
        <f t="shared" si="5"/>
        <v>324.23327999999998</v>
      </c>
      <c r="R95" s="41">
        <f t="shared" si="6"/>
        <v>102.51890299545127</v>
      </c>
    </row>
    <row r="96" spans="10:18">
      <c r="J96" s="122">
        <v>44692</v>
      </c>
      <c r="K96" s="123">
        <v>200.80856924624075</v>
      </c>
      <c r="L96" s="123">
        <v>294.83999999999997</v>
      </c>
      <c r="M96" s="124">
        <v>94.031430753759224</v>
      </c>
      <c r="O96" s="39">
        <f t="shared" si="7"/>
        <v>44728</v>
      </c>
      <c r="P96" s="41">
        <f t="shared" si="4"/>
        <v>205.74108108305842</v>
      </c>
      <c r="Q96" s="41">
        <f t="shared" si="5"/>
        <v>331.30944</v>
      </c>
      <c r="R96" s="41">
        <f t="shared" si="6"/>
        <v>125.56835891694158</v>
      </c>
    </row>
    <row r="97" spans="10:18">
      <c r="J97" s="122">
        <v>44691</v>
      </c>
      <c r="K97" s="123">
        <v>200.80856924624075</v>
      </c>
      <c r="L97" s="123">
        <v>284.57956799999999</v>
      </c>
      <c r="M97" s="124">
        <v>83.770998753759244</v>
      </c>
      <c r="O97" s="39">
        <f t="shared" si="7"/>
        <v>44727</v>
      </c>
      <c r="P97" s="41">
        <f t="shared" si="4"/>
        <v>205.74108108305842</v>
      </c>
      <c r="Q97" s="41">
        <f t="shared" si="5"/>
        <v>310.03559999999999</v>
      </c>
      <c r="R97" s="41">
        <f t="shared" si="6"/>
        <v>104.29451891694157</v>
      </c>
    </row>
    <row r="98" spans="10:18">
      <c r="J98" s="122">
        <v>44690</v>
      </c>
      <c r="K98" s="123">
        <v>200.80856924624075</v>
      </c>
      <c r="L98" s="123">
        <v>287.12880000000001</v>
      </c>
      <c r="M98" s="124">
        <v>86.320230753759262</v>
      </c>
      <c r="O98" s="39">
        <f t="shared" si="7"/>
        <v>44726</v>
      </c>
      <c r="P98" s="41">
        <f t="shared" si="4"/>
        <v>205.74108108305842</v>
      </c>
      <c r="Q98" s="41">
        <f t="shared" si="5"/>
        <v>307.80388800000003</v>
      </c>
      <c r="R98" s="41">
        <f t="shared" si="6"/>
        <v>102.06280691694161</v>
      </c>
    </row>
    <row r="99" spans="10:18">
      <c r="J99" s="122">
        <v>44687</v>
      </c>
      <c r="K99" s="123">
        <v>200.80856924624075</v>
      </c>
      <c r="L99" s="123">
        <v>307.03276799999998</v>
      </c>
      <c r="M99" s="124">
        <v>106.22419875375923</v>
      </c>
      <c r="O99" s="39">
        <f t="shared" si="7"/>
        <v>44725</v>
      </c>
      <c r="P99" s="41">
        <f t="shared" si="4"/>
        <v>205.74108108305842</v>
      </c>
      <c r="Q99" s="41">
        <f t="shared" si="5"/>
        <v>282.32971199999997</v>
      </c>
      <c r="R99" s="41">
        <f t="shared" si="6"/>
        <v>76.588630916941554</v>
      </c>
    </row>
    <row r="100" spans="10:18">
      <c r="J100" s="122">
        <v>44686</v>
      </c>
      <c r="K100" s="123">
        <v>195.52416860707967</v>
      </c>
      <c r="L100" s="123">
        <v>306.18</v>
      </c>
      <c r="M100" s="124">
        <v>110.65583139292033</v>
      </c>
      <c r="O100" s="39">
        <f t="shared" si="7"/>
        <v>44724</v>
      </c>
      <c r="P100" s="41">
        <f t="shared" si="4"/>
        <v>205.74108108305842</v>
      </c>
      <c r="Q100" s="41">
        <f t="shared" si="5"/>
        <v>283.61793599999999</v>
      </c>
      <c r="R100" s="41">
        <f t="shared" si="6"/>
        <v>77.876854916941568</v>
      </c>
    </row>
    <row r="101" spans="10:18">
      <c r="J101" s="122">
        <v>44685</v>
      </c>
      <c r="K101" s="123">
        <v>195.52416860707967</v>
      </c>
      <c r="L101" s="123">
        <v>296.65440000000001</v>
      </c>
      <c r="M101" s="124">
        <v>101.13023139292034</v>
      </c>
      <c r="O101" s="39">
        <f t="shared" si="7"/>
        <v>44723</v>
      </c>
      <c r="P101" s="41">
        <f t="shared" si="4"/>
        <v>205.74108108305842</v>
      </c>
      <c r="Q101" s="41">
        <f t="shared" si="5"/>
        <v>283.61793599999999</v>
      </c>
      <c r="R101" s="41">
        <f t="shared" si="6"/>
        <v>77.876854916941568</v>
      </c>
    </row>
    <row r="102" spans="10:18">
      <c r="J102" s="122">
        <v>44684</v>
      </c>
      <c r="K102" s="123">
        <v>195.52416860707967</v>
      </c>
      <c r="L102" s="123">
        <v>276.69600000000003</v>
      </c>
      <c r="M102" s="124">
        <v>81.171831392920353</v>
      </c>
      <c r="O102" s="39">
        <f t="shared" si="7"/>
        <v>44722</v>
      </c>
      <c r="P102" s="41">
        <f t="shared" si="4"/>
        <v>205.74108108305842</v>
      </c>
      <c r="Q102" s="41">
        <f t="shared" si="5"/>
        <v>283.61793599999999</v>
      </c>
      <c r="R102" s="41">
        <f t="shared" si="6"/>
        <v>77.876854916941568</v>
      </c>
    </row>
    <row r="103" spans="10:18">
      <c r="J103" s="122">
        <v>44683</v>
      </c>
      <c r="K103" s="123">
        <v>195.52416860707967</v>
      </c>
      <c r="L103" s="123">
        <v>259.68599999999998</v>
      </c>
      <c r="M103" s="124">
        <v>64.161831392920305</v>
      </c>
      <c r="O103" s="39">
        <f t="shared" si="7"/>
        <v>44721</v>
      </c>
      <c r="P103" s="41">
        <f t="shared" si="4"/>
        <v>209.57641976054867</v>
      </c>
      <c r="Q103" s="41">
        <f t="shared" si="5"/>
        <v>289.21536000000003</v>
      </c>
      <c r="R103" s="41">
        <f t="shared" si="6"/>
        <v>79.638940239451358</v>
      </c>
    </row>
    <row r="104" spans="10:18">
      <c r="J104" s="122">
        <v>44680</v>
      </c>
      <c r="K104" s="123">
        <v>196.56621084106197</v>
      </c>
      <c r="L104" s="123">
        <v>259.68599999999998</v>
      </c>
      <c r="M104" s="124">
        <v>63.119789158938005</v>
      </c>
      <c r="O104" s="39">
        <f t="shared" si="7"/>
        <v>44720</v>
      </c>
      <c r="P104" s="41">
        <f t="shared" si="4"/>
        <v>209.57641976054867</v>
      </c>
      <c r="Q104" s="41">
        <f t="shared" si="5"/>
        <v>289.39679999999998</v>
      </c>
      <c r="R104" s="41">
        <f t="shared" si="6"/>
        <v>79.82038023945131</v>
      </c>
    </row>
    <row r="105" spans="10:18">
      <c r="J105" s="122">
        <v>44679</v>
      </c>
      <c r="K105" s="123">
        <v>198.70546996863717</v>
      </c>
      <c r="L105" s="123">
        <v>263.08800000000002</v>
      </c>
      <c r="M105" s="124">
        <v>64.382530031362847</v>
      </c>
      <c r="O105" s="39">
        <f t="shared" si="7"/>
        <v>44719</v>
      </c>
      <c r="P105" s="41">
        <f t="shared" si="4"/>
        <v>209.57641976054867</v>
      </c>
      <c r="Q105" s="41">
        <f t="shared" si="5"/>
        <v>300.50092799999999</v>
      </c>
      <c r="R105" s="41">
        <f t="shared" si="6"/>
        <v>90.924508239451313</v>
      </c>
    </row>
    <row r="106" spans="10:18">
      <c r="J106" s="122">
        <v>44678</v>
      </c>
      <c r="K106" s="123">
        <v>198.70546996863717</v>
      </c>
      <c r="L106" s="123">
        <v>284.52513599999997</v>
      </c>
      <c r="M106" s="124">
        <v>85.8196660313628</v>
      </c>
      <c r="O106" s="39">
        <f t="shared" si="7"/>
        <v>44718</v>
      </c>
      <c r="P106" s="41">
        <f t="shared" si="4"/>
        <v>209.57641976054867</v>
      </c>
      <c r="Q106" s="41">
        <f t="shared" si="5"/>
        <v>305.42702400000002</v>
      </c>
      <c r="R106" s="41">
        <f t="shared" si="6"/>
        <v>95.850604239451343</v>
      </c>
    </row>
    <row r="107" spans="10:18">
      <c r="J107" s="122">
        <v>44677</v>
      </c>
      <c r="K107" s="123">
        <v>198.70546996863717</v>
      </c>
      <c r="L107" s="123">
        <v>284.73379199999999</v>
      </c>
      <c r="M107" s="124">
        <v>86.028322031362819</v>
      </c>
      <c r="O107" s="39">
        <f t="shared" si="7"/>
        <v>44717</v>
      </c>
      <c r="P107" s="41">
        <f t="shared" si="4"/>
        <v>209.57641976054867</v>
      </c>
      <c r="Q107" s="41">
        <f t="shared" si="5"/>
        <v>301.08153599999997</v>
      </c>
      <c r="R107" s="41">
        <f t="shared" si="6"/>
        <v>91.505116239451297</v>
      </c>
    </row>
    <row r="108" spans="10:18">
      <c r="J108" s="122">
        <v>44676</v>
      </c>
      <c r="K108" s="123">
        <v>198.70546996863717</v>
      </c>
      <c r="L108" s="123">
        <v>303.40396800000002</v>
      </c>
      <c r="M108" s="124">
        <v>104.69849803136285</v>
      </c>
      <c r="O108" s="39">
        <f t="shared" si="7"/>
        <v>44716</v>
      </c>
      <c r="P108" s="41">
        <f t="shared" si="4"/>
        <v>209.57641976054867</v>
      </c>
      <c r="Q108" s="41">
        <f t="shared" si="5"/>
        <v>301.08153599999997</v>
      </c>
      <c r="R108" s="41">
        <f t="shared" si="6"/>
        <v>91.505116239451297</v>
      </c>
    </row>
    <row r="109" spans="10:18">
      <c r="J109" s="122">
        <v>44673</v>
      </c>
      <c r="K109" s="123">
        <v>198.70546996863717</v>
      </c>
      <c r="L109" s="123">
        <v>311.23310399999997</v>
      </c>
      <c r="M109" s="124">
        <v>112.52763403136279</v>
      </c>
      <c r="O109" s="39">
        <f t="shared" si="7"/>
        <v>44715</v>
      </c>
      <c r="P109" s="41">
        <f t="shared" si="4"/>
        <v>209.57641976054867</v>
      </c>
      <c r="Q109" s="41">
        <f t="shared" si="5"/>
        <v>301.08153599999997</v>
      </c>
      <c r="R109" s="41">
        <f t="shared" si="6"/>
        <v>91.505116239451297</v>
      </c>
    </row>
    <row r="110" spans="10:18">
      <c r="J110" s="122">
        <v>44672</v>
      </c>
      <c r="K110" s="123">
        <v>203.4988642449558</v>
      </c>
      <c r="L110" s="123">
        <v>319.67913599999997</v>
      </c>
      <c r="M110" s="124">
        <v>116.18027175504417</v>
      </c>
      <c r="O110" s="39">
        <f t="shared" si="7"/>
        <v>44714</v>
      </c>
      <c r="P110" s="41">
        <f t="shared" si="4"/>
        <v>202.1963551867434</v>
      </c>
      <c r="Q110" s="41">
        <f t="shared" si="5"/>
        <v>301.08153599999997</v>
      </c>
      <c r="R110" s="41">
        <f t="shared" si="6"/>
        <v>98.885180813256568</v>
      </c>
    </row>
    <row r="111" spans="10:18">
      <c r="J111" s="122">
        <v>44671</v>
      </c>
      <c r="K111" s="123">
        <v>203.4988642449558</v>
      </c>
      <c r="L111" s="123">
        <v>320.849424</v>
      </c>
      <c r="M111" s="124">
        <v>117.3505597550442</v>
      </c>
      <c r="O111" s="39">
        <f t="shared" si="7"/>
        <v>44713</v>
      </c>
      <c r="P111" s="41">
        <f t="shared" si="4"/>
        <v>202.1963551867434</v>
      </c>
      <c r="Q111" s="41">
        <f t="shared" si="5"/>
        <v>301.08153599999997</v>
      </c>
      <c r="R111" s="41">
        <f t="shared" si="6"/>
        <v>98.885180813256568</v>
      </c>
    </row>
    <row r="112" spans="10:18">
      <c r="J112" s="122">
        <v>44670</v>
      </c>
      <c r="K112" s="123">
        <v>203.4988642449558</v>
      </c>
      <c r="L112" s="123">
        <v>323.19</v>
      </c>
      <c r="M112" s="124">
        <v>119.6911357550442</v>
      </c>
      <c r="O112" s="39">
        <f t="shared" si="7"/>
        <v>44712</v>
      </c>
      <c r="P112" s="41">
        <f t="shared" si="4"/>
        <v>201.88374251654866</v>
      </c>
      <c r="Q112" s="41">
        <f t="shared" si="5"/>
        <v>324.89553599999999</v>
      </c>
      <c r="R112" s="41">
        <f t="shared" si="6"/>
        <v>123.01179348345133</v>
      </c>
    </row>
    <row r="113" spans="10:18">
      <c r="J113" s="122">
        <v>44669</v>
      </c>
      <c r="K113" s="123">
        <v>203.4988642449558</v>
      </c>
      <c r="L113" s="123">
        <v>326.59199999999998</v>
      </c>
      <c r="M113" s="124">
        <v>123.09313575504419</v>
      </c>
      <c r="O113" s="39">
        <f t="shared" si="7"/>
        <v>44711</v>
      </c>
      <c r="P113" s="41">
        <f t="shared" si="4"/>
        <v>201.88374251654866</v>
      </c>
      <c r="Q113" s="41">
        <f t="shared" si="5"/>
        <v>292.572</v>
      </c>
      <c r="R113" s="41">
        <f t="shared" si="6"/>
        <v>90.688257483451338</v>
      </c>
    </row>
    <row r="114" spans="10:18">
      <c r="J114" s="122">
        <v>44666</v>
      </c>
      <c r="K114" s="123">
        <v>206.10396982991151</v>
      </c>
      <c r="L114" s="123">
        <v>326.59199999999998</v>
      </c>
      <c r="M114" s="124">
        <v>120.48803017008848</v>
      </c>
      <c r="O114" s="39">
        <f t="shared" si="7"/>
        <v>44710</v>
      </c>
      <c r="P114" s="41">
        <f t="shared" si="4"/>
        <v>207.35446424495578</v>
      </c>
      <c r="Q114" s="41">
        <f t="shared" si="5"/>
        <v>275.10840000000002</v>
      </c>
      <c r="R114" s="41">
        <f t="shared" si="6"/>
        <v>67.753935755044239</v>
      </c>
    </row>
    <row r="115" spans="10:18">
      <c r="J115" s="122">
        <v>44665</v>
      </c>
      <c r="K115" s="123">
        <v>201.51898400038939</v>
      </c>
      <c r="L115" s="123">
        <v>326.59199999999998</v>
      </c>
      <c r="M115" s="124">
        <v>125.07301599961059</v>
      </c>
      <c r="O115" s="39">
        <f t="shared" si="7"/>
        <v>44709</v>
      </c>
      <c r="P115" s="41">
        <f t="shared" si="4"/>
        <v>207.35446424495578</v>
      </c>
      <c r="Q115" s="41">
        <f t="shared" si="5"/>
        <v>275.10840000000002</v>
      </c>
      <c r="R115" s="41">
        <f t="shared" si="6"/>
        <v>67.753935755044239</v>
      </c>
    </row>
    <row r="116" spans="10:18">
      <c r="J116" s="122">
        <v>44664</v>
      </c>
      <c r="K116" s="123">
        <v>201.51898400038939</v>
      </c>
      <c r="L116" s="123">
        <v>331.12799999999999</v>
      </c>
      <c r="M116" s="124">
        <v>129.60901599961059</v>
      </c>
      <c r="O116" s="39">
        <f t="shared" si="7"/>
        <v>44708</v>
      </c>
      <c r="P116" s="41">
        <f t="shared" si="4"/>
        <v>207.35446424495578</v>
      </c>
      <c r="Q116" s="41">
        <f t="shared" si="5"/>
        <v>275.10840000000002</v>
      </c>
      <c r="R116" s="41">
        <f t="shared" si="6"/>
        <v>67.753935755044239</v>
      </c>
    </row>
    <row r="117" spans="10:18">
      <c r="J117" s="122">
        <v>44663</v>
      </c>
      <c r="K117" s="123">
        <v>201.51898400038939</v>
      </c>
      <c r="L117" s="123">
        <v>328.29753599999998</v>
      </c>
      <c r="M117" s="124">
        <v>126.77855199961058</v>
      </c>
      <c r="O117" s="39">
        <f t="shared" si="7"/>
        <v>44707</v>
      </c>
      <c r="P117" s="41">
        <f t="shared" si="4"/>
        <v>209.43854871292035</v>
      </c>
      <c r="Q117" s="41">
        <f t="shared" si="5"/>
        <v>289.17</v>
      </c>
      <c r="R117" s="41">
        <f t="shared" si="6"/>
        <v>79.731451287079665</v>
      </c>
    </row>
    <row r="118" spans="10:18">
      <c r="J118" s="122">
        <v>44662</v>
      </c>
      <c r="K118" s="123">
        <v>201.51898400038939</v>
      </c>
      <c r="L118" s="123">
        <v>307.54079999999999</v>
      </c>
      <c r="M118" s="124">
        <v>106.0218159996106</v>
      </c>
      <c r="O118" s="39">
        <f t="shared" si="7"/>
        <v>44706</v>
      </c>
      <c r="P118" s="41">
        <f t="shared" si="4"/>
        <v>209.43854871292035</v>
      </c>
      <c r="Q118" s="41">
        <f t="shared" si="5"/>
        <v>276.69600000000003</v>
      </c>
      <c r="R118" s="41">
        <f t="shared" si="6"/>
        <v>67.257451287079675</v>
      </c>
    </row>
    <row r="119" spans="10:18">
      <c r="J119" s="122">
        <v>44659</v>
      </c>
      <c r="K119" s="123">
        <v>201.51898400038939</v>
      </c>
      <c r="L119" s="123">
        <v>291.99139200000002</v>
      </c>
      <c r="M119" s="124">
        <v>90.472407999610624</v>
      </c>
      <c r="O119" s="39">
        <f t="shared" si="7"/>
        <v>44705</v>
      </c>
      <c r="P119" s="41">
        <f t="shared" si="4"/>
        <v>209.43854871292035</v>
      </c>
      <c r="Q119" s="41">
        <f t="shared" si="5"/>
        <v>297.67953599999998</v>
      </c>
      <c r="R119" s="41">
        <f t="shared" si="6"/>
        <v>88.240987287079633</v>
      </c>
    </row>
    <row r="120" spans="10:18">
      <c r="J120" s="122">
        <v>44658</v>
      </c>
      <c r="K120" s="123">
        <v>196.38171578685663</v>
      </c>
      <c r="L120" s="123">
        <v>279.87119999999999</v>
      </c>
      <c r="M120" s="124">
        <v>83.489484213143356</v>
      </c>
      <c r="O120" s="39">
        <f t="shared" si="7"/>
        <v>44704</v>
      </c>
      <c r="P120" s="41">
        <f t="shared" si="4"/>
        <v>209.43854871292035</v>
      </c>
      <c r="Q120" s="41">
        <f t="shared" si="5"/>
        <v>314.11799999999999</v>
      </c>
      <c r="R120" s="41">
        <f t="shared" si="6"/>
        <v>104.67945128707964</v>
      </c>
    </row>
    <row r="121" spans="10:18">
      <c r="J121" s="122">
        <v>44657</v>
      </c>
      <c r="K121" s="123">
        <v>196.38171578685663</v>
      </c>
      <c r="L121" s="123">
        <v>286.67520000000002</v>
      </c>
      <c r="M121" s="124">
        <v>90.293484213143387</v>
      </c>
      <c r="O121" s="39">
        <f t="shared" si="7"/>
        <v>44703</v>
      </c>
      <c r="P121" s="41">
        <f t="shared" si="4"/>
        <v>209.43854871292035</v>
      </c>
      <c r="Q121" s="41">
        <f t="shared" si="5"/>
        <v>325.45800000000003</v>
      </c>
      <c r="R121" s="41">
        <f t="shared" si="6"/>
        <v>116.01945128707968</v>
      </c>
    </row>
    <row r="122" spans="10:18">
      <c r="J122" s="122">
        <v>44656</v>
      </c>
      <c r="K122" s="123">
        <v>196.38171578685663</v>
      </c>
      <c r="L122" s="123">
        <v>273.67502400000001</v>
      </c>
      <c r="M122" s="124">
        <v>77.293308213143376</v>
      </c>
      <c r="O122" s="39">
        <f t="shared" si="7"/>
        <v>44702</v>
      </c>
      <c r="P122" s="41">
        <f t="shared" si="4"/>
        <v>209.43854871292035</v>
      </c>
      <c r="Q122" s="41">
        <f t="shared" si="5"/>
        <v>325.45800000000003</v>
      </c>
      <c r="R122" s="41">
        <f t="shared" si="6"/>
        <v>116.01945128707968</v>
      </c>
    </row>
    <row r="123" spans="10:18">
      <c r="J123" s="122">
        <v>44655</v>
      </c>
      <c r="K123" s="123">
        <v>196.38171578685663</v>
      </c>
      <c r="L123" s="123">
        <v>247.84703999999999</v>
      </c>
      <c r="M123" s="124">
        <v>51.465324213143361</v>
      </c>
      <c r="O123" s="39">
        <f t="shared" si="7"/>
        <v>44701</v>
      </c>
      <c r="P123" s="41">
        <f t="shared" si="4"/>
        <v>209.43854871292035</v>
      </c>
      <c r="Q123" s="41">
        <f t="shared" si="5"/>
        <v>325.45800000000003</v>
      </c>
      <c r="R123" s="41">
        <f t="shared" si="6"/>
        <v>116.01945128707968</v>
      </c>
    </row>
    <row r="124" spans="10:18">
      <c r="J124" s="122">
        <v>44652</v>
      </c>
      <c r="K124" s="123">
        <v>188.04537791499823</v>
      </c>
      <c r="L124" s="123">
        <v>251.36697599999999</v>
      </c>
      <c r="M124" s="124">
        <v>63.321598085001767</v>
      </c>
      <c r="O124" s="39">
        <f t="shared" si="7"/>
        <v>44700</v>
      </c>
      <c r="P124" s="41">
        <f t="shared" si="4"/>
        <v>203.11272909621243</v>
      </c>
      <c r="Q124" s="41">
        <f t="shared" si="5"/>
        <v>320.24160000000001</v>
      </c>
      <c r="R124" s="41">
        <f t="shared" si="6"/>
        <v>117.12887090378757</v>
      </c>
    </row>
    <row r="125" spans="10:18">
      <c r="J125" s="122">
        <v>44651</v>
      </c>
      <c r="K125" s="123">
        <v>189.26397905973451</v>
      </c>
      <c r="L125" s="123">
        <v>247.856112</v>
      </c>
      <c r="M125" s="124">
        <v>58.592132940265486</v>
      </c>
      <c r="O125" s="39">
        <f t="shared" si="7"/>
        <v>44699</v>
      </c>
      <c r="P125" s="41">
        <f t="shared" si="4"/>
        <v>203.11272909621243</v>
      </c>
      <c r="Q125" s="41">
        <f t="shared" si="5"/>
        <v>320.89478400000002</v>
      </c>
      <c r="R125" s="41">
        <f t="shared" si="6"/>
        <v>117.78205490378758</v>
      </c>
    </row>
    <row r="126" spans="10:18">
      <c r="J126" s="122">
        <v>44650</v>
      </c>
      <c r="K126" s="123">
        <v>189.26397905973451</v>
      </c>
      <c r="L126" s="123">
        <v>258.83323200000001</v>
      </c>
      <c r="M126" s="124">
        <v>69.5692529402655</v>
      </c>
      <c r="O126" s="39">
        <f t="shared" si="7"/>
        <v>44698</v>
      </c>
      <c r="P126" s="41">
        <f t="shared" si="4"/>
        <v>203.11272909621243</v>
      </c>
      <c r="Q126" s="41">
        <f t="shared" si="5"/>
        <v>303.80313599999999</v>
      </c>
      <c r="R126" s="41">
        <f t="shared" si="6"/>
        <v>100.69040690378756</v>
      </c>
    </row>
    <row r="127" spans="10:18">
      <c r="J127" s="122">
        <v>44649</v>
      </c>
      <c r="K127" s="123">
        <v>189.26397905973451</v>
      </c>
      <c r="L127" s="123">
        <v>252.65520000000001</v>
      </c>
      <c r="M127" s="124">
        <v>63.391220940265498</v>
      </c>
      <c r="O127" s="39">
        <f t="shared" si="7"/>
        <v>44697</v>
      </c>
      <c r="P127" s="41">
        <f t="shared" si="4"/>
        <v>203.11272909621243</v>
      </c>
      <c r="Q127" s="41">
        <f t="shared" si="5"/>
        <v>295.10308800000001</v>
      </c>
      <c r="R127" s="41">
        <f t="shared" si="6"/>
        <v>91.99035890378758</v>
      </c>
    </row>
    <row r="128" spans="10:18">
      <c r="J128" s="122">
        <v>44648</v>
      </c>
      <c r="K128" s="123">
        <v>189.26397905973451</v>
      </c>
      <c r="L128" s="123">
        <v>253.63497599999999</v>
      </c>
      <c r="M128" s="124">
        <v>64.370996940265485</v>
      </c>
      <c r="O128" s="39">
        <f t="shared" si="7"/>
        <v>44696</v>
      </c>
      <c r="P128" s="41">
        <f t="shared" si="4"/>
        <v>204.15477133019471</v>
      </c>
      <c r="Q128" s="41">
        <f t="shared" si="5"/>
        <v>290.24049600000001</v>
      </c>
      <c r="R128" s="41">
        <f t="shared" si="6"/>
        <v>86.085724669805302</v>
      </c>
    </row>
    <row r="129" spans="10:18">
      <c r="J129" s="122">
        <v>44645</v>
      </c>
      <c r="K129" s="123">
        <v>189.26397905973451</v>
      </c>
      <c r="L129" s="123">
        <v>261.79070400000001</v>
      </c>
      <c r="M129" s="124">
        <v>72.526724940265495</v>
      </c>
      <c r="O129" s="39">
        <f t="shared" si="7"/>
        <v>44695</v>
      </c>
      <c r="P129" s="41">
        <f t="shared" si="4"/>
        <v>204.15477133019471</v>
      </c>
      <c r="Q129" s="41">
        <f t="shared" si="5"/>
        <v>290.24049600000001</v>
      </c>
      <c r="R129" s="41">
        <f t="shared" si="6"/>
        <v>86.085724669805302</v>
      </c>
    </row>
    <row r="130" spans="10:18">
      <c r="J130" s="122">
        <v>44644</v>
      </c>
      <c r="K130" s="123">
        <v>183.63016515026547</v>
      </c>
      <c r="L130" s="123">
        <v>265.845888</v>
      </c>
      <c r="M130" s="124">
        <v>82.215722849734533</v>
      </c>
      <c r="O130" s="39">
        <f t="shared" si="7"/>
        <v>44694</v>
      </c>
      <c r="P130" s="41">
        <f t="shared" si="4"/>
        <v>204.15477133019471</v>
      </c>
      <c r="Q130" s="41">
        <f t="shared" si="5"/>
        <v>290.24049600000001</v>
      </c>
      <c r="R130" s="41">
        <f t="shared" si="6"/>
        <v>86.085724669805302</v>
      </c>
    </row>
    <row r="131" spans="10:18">
      <c r="J131" s="122">
        <v>44643</v>
      </c>
      <c r="K131" s="123">
        <v>183.63016515026547</v>
      </c>
      <c r="L131" s="123">
        <v>290.30399999999997</v>
      </c>
      <c r="M131" s="124">
        <v>106.6738348497345</v>
      </c>
      <c r="O131" s="39">
        <f t="shared" si="7"/>
        <v>44693</v>
      </c>
      <c r="P131" s="41">
        <f t="shared" si="4"/>
        <v>200.80856924624075</v>
      </c>
      <c r="Q131" s="41">
        <f t="shared" si="5"/>
        <v>302.47862400000002</v>
      </c>
      <c r="R131" s="41">
        <f t="shared" si="6"/>
        <v>101.67005475375927</v>
      </c>
    </row>
    <row r="132" spans="10:18">
      <c r="J132" s="122">
        <v>44642</v>
      </c>
      <c r="K132" s="123">
        <v>183.63016515026547</v>
      </c>
      <c r="L132" s="123">
        <v>252.74592000000001</v>
      </c>
      <c r="M132" s="124">
        <v>69.115754849734543</v>
      </c>
      <c r="O132" s="39">
        <f t="shared" si="7"/>
        <v>44692</v>
      </c>
      <c r="P132" s="41">
        <f t="shared" si="4"/>
        <v>200.80856924624075</v>
      </c>
      <c r="Q132" s="41">
        <f t="shared" si="5"/>
        <v>294.83999999999997</v>
      </c>
      <c r="R132" s="41">
        <f t="shared" si="6"/>
        <v>94.031430753759224</v>
      </c>
    </row>
    <row r="133" spans="10:18">
      <c r="J133" s="122">
        <v>44641</v>
      </c>
      <c r="K133" s="123">
        <v>183.63016515026547</v>
      </c>
      <c r="L133" s="123">
        <v>234.502128</v>
      </c>
      <c r="M133" s="124">
        <v>50.87196284973453</v>
      </c>
      <c r="O133" s="39">
        <f t="shared" si="7"/>
        <v>44691</v>
      </c>
      <c r="P133" s="41">
        <f t="shared" si="4"/>
        <v>200.80856924624075</v>
      </c>
      <c r="Q133" s="41">
        <f t="shared" si="5"/>
        <v>284.57956799999999</v>
      </c>
      <c r="R133" s="41">
        <f t="shared" si="6"/>
        <v>83.770998753759244</v>
      </c>
    </row>
    <row r="134" spans="10:18">
      <c r="J134" s="122">
        <v>44638</v>
      </c>
      <c r="K134" s="123">
        <v>187.27731296920354</v>
      </c>
      <c r="L134" s="123">
        <v>251.26718400000001</v>
      </c>
      <c r="M134" s="124">
        <v>63.989871030796479</v>
      </c>
      <c r="O134" s="39">
        <f t="shared" si="7"/>
        <v>44690</v>
      </c>
      <c r="P134" s="41">
        <f t="shared" ref="P134:P197" si="8">IFERROR(VLOOKUP($O134,$J$5:$M$403,2,FALSE),P135)</f>
        <v>200.80856924624075</v>
      </c>
      <c r="Q134" s="41">
        <f t="shared" ref="Q134:Q197" si="9">IFERROR(VLOOKUP($O134,$J$5:$M$403,3,FALSE),Q135)</f>
        <v>287.12880000000001</v>
      </c>
      <c r="R134" s="41">
        <f t="shared" ref="R134:R197" si="10">IFERROR(VLOOKUP($O134,$J$5:$M$403,4,FALSE),R135)</f>
        <v>86.320230753759262</v>
      </c>
    </row>
    <row r="135" spans="10:18">
      <c r="J135" s="122">
        <v>44637</v>
      </c>
      <c r="K135" s="123">
        <v>195.95752477827614</v>
      </c>
      <c r="L135" s="123">
        <v>264.86611199999999</v>
      </c>
      <c r="M135" s="124">
        <v>68.908587221723849</v>
      </c>
      <c r="O135" s="39">
        <f t="shared" ref="O135:O198" si="11">O134-1</f>
        <v>44689</v>
      </c>
      <c r="P135" s="41">
        <f t="shared" si="8"/>
        <v>200.80856924624075</v>
      </c>
      <c r="Q135" s="41">
        <f t="shared" si="9"/>
        <v>307.03276799999998</v>
      </c>
      <c r="R135" s="41">
        <f t="shared" si="10"/>
        <v>106.22419875375923</v>
      </c>
    </row>
    <row r="136" spans="10:18">
      <c r="J136" s="122">
        <v>44636</v>
      </c>
      <c r="K136" s="123">
        <v>195.95752477827614</v>
      </c>
      <c r="L136" s="123">
        <v>240.752736</v>
      </c>
      <c r="M136" s="124">
        <v>44.795211221723861</v>
      </c>
      <c r="O136" s="39">
        <f t="shared" si="11"/>
        <v>44688</v>
      </c>
      <c r="P136" s="41">
        <f t="shared" si="8"/>
        <v>200.80856924624075</v>
      </c>
      <c r="Q136" s="41">
        <f t="shared" si="9"/>
        <v>307.03276799999998</v>
      </c>
      <c r="R136" s="41">
        <f t="shared" si="10"/>
        <v>106.22419875375923</v>
      </c>
    </row>
    <row r="137" spans="10:18">
      <c r="J137" s="122">
        <v>44635</v>
      </c>
      <c r="K137" s="123">
        <v>195.95752477827614</v>
      </c>
      <c r="L137" s="123">
        <v>280.32479999999998</v>
      </c>
      <c r="M137" s="124">
        <v>84.367275221723844</v>
      </c>
      <c r="O137" s="39">
        <f t="shared" si="11"/>
        <v>44687</v>
      </c>
      <c r="P137" s="41">
        <f t="shared" si="8"/>
        <v>200.80856924624075</v>
      </c>
      <c r="Q137" s="41">
        <f t="shared" si="9"/>
        <v>307.03276799999998</v>
      </c>
      <c r="R137" s="41">
        <f t="shared" si="10"/>
        <v>106.22419875375923</v>
      </c>
    </row>
    <row r="138" spans="10:18">
      <c r="J138" s="122">
        <v>44634</v>
      </c>
      <c r="K138" s="123">
        <v>195.95752477827614</v>
      </c>
      <c r="L138" s="123">
        <v>305.61753599999997</v>
      </c>
      <c r="M138" s="124">
        <v>109.66001122172383</v>
      </c>
      <c r="O138" s="39">
        <f t="shared" si="11"/>
        <v>44686</v>
      </c>
      <c r="P138" s="41">
        <f t="shared" si="8"/>
        <v>195.52416860707967</v>
      </c>
      <c r="Q138" s="41">
        <f t="shared" si="9"/>
        <v>306.18</v>
      </c>
      <c r="R138" s="41">
        <f t="shared" si="10"/>
        <v>110.65583139292033</v>
      </c>
    </row>
    <row r="139" spans="10:18">
      <c r="J139" s="122">
        <v>44631</v>
      </c>
      <c r="K139" s="123">
        <v>195.95752477827614</v>
      </c>
      <c r="L139" s="123">
        <v>332.57952</v>
      </c>
      <c r="M139" s="124">
        <v>136.62199522172386</v>
      </c>
      <c r="O139" s="39">
        <f t="shared" si="11"/>
        <v>44685</v>
      </c>
      <c r="P139" s="41">
        <f t="shared" si="8"/>
        <v>195.52416860707967</v>
      </c>
      <c r="Q139" s="41">
        <f t="shared" si="9"/>
        <v>296.65440000000001</v>
      </c>
      <c r="R139" s="41">
        <f t="shared" si="10"/>
        <v>101.13023139292034</v>
      </c>
    </row>
    <row r="140" spans="10:18">
      <c r="J140" s="122">
        <v>44630</v>
      </c>
      <c r="K140" s="123">
        <v>160.40853935362833</v>
      </c>
      <c r="L140" s="123">
        <v>326.59199999999998</v>
      </c>
      <c r="M140" s="124">
        <v>166.18346064637166</v>
      </c>
      <c r="O140" s="39">
        <f t="shared" si="11"/>
        <v>44684</v>
      </c>
      <c r="P140" s="41">
        <f t="shared" si="8"/>
        <v>195.52416860707967</v>
      </c>
      <c r="Q140" s="41">
        <f t="shared" si="9"/>
        <v>276.69600000000003</v>
      </c>
      <c r="R140" s="41">
        <f t="shared" si="10"/>
        <v>81.171831392920353</v>
      </c>
    </row>
    <row r="141" spans="10:18">
      <c r="J141" s="122">
        <v>44629</v>
      </c>
      <c r="K141" s="123">
        <v>160.40853935362833</v>
      </c>
      <c r="L141" s="123">
        <v>378.81950399999999</v>
      </c>
      <c r="M141" s="124">
        <v>218.41096464637167</v>
      </c>
      <c r="O141" s="39">
        <f t="shared" si="11"/>
        <v>44683</v>
      </c>
      <c r="P141" s="41">
        <f t="shared" si="8"/>
        <v>195.52416860707967</v>
      </c>
      <c r="Q141" s="41">
        <f t="shared" si="9"/>
        <v>259.68599999999998</v>
      </c>
      <c r="R141" s="41">
        <f t="shared" si="10"/>
        <v>64.161831392920305</v>
      </c>
    </row>
    <row r="142" spans="10:18">
      <c r="J142" s="122">
        <v>44628</v>
      </c>
      <c r="K142" s="123">
        <v>160.40853935362833</v>
      </c>
      <c r="L142" s="123">
        <v>374.67360000000002</v>
      </c>
      <c r="M142" s="124">
        <v>214.26506064637169</v>
      </c>
      <c r="O142" s="39">
        <f t="shared" si="11"/>
        <v>44682</v>
      </c>
      <c r="P142" s="41">
        <f t="shared" si="8"/>
        <v>196.56621084106197</v>
      </c>
      <c r="Q142" s="41">
        <f t="shared" si="9"/>
        <v>259.68599999999998</v>
      </c>
      <c r="R142" s="41">
        <f t="shared" si="10"/>
        <v>63.119789158938005</v>
      </c>
    </row>
    <row r="143" spans="10:18">
      <c r="J143" s="122">
        <v>44627</v>
      </c>
      <c r="K143" s="123">
        <v>160.40853935362833</v>
      </c>
      <c r="L143" s="123">
        <v>355.51353599999999</v>
      </c>
      <c r="M143" s="124">
        <v>195.10499664637166</v>
      </c>
      <c r="O143" s="39">
        <f t="shared" si="11"/>
        <v>44681</v>
      </c>
      <c r="P143" s="41">
        <f t="shared" si="8"/>
        <v>196.56621084106197</v>
      </c>
      <c r="Q143" s="41">
        <f t="shared" si="9"/>
        <v>259.68599999999998</v>
      </c>
      <c r="R143" s="41">
        <f t="shared" si="10"/>
        <v>63.119789158938005</v>
      </c>
    </row>
    <row r="144" spans="10:18">
      <c r="J144" s="122">
        <v>44624</v>
      </c>
      <c r="K144" s="123">
        <v>159.36649711964606</v>
      </c>
      <c r="L144" s="123">
        <v>344.91744</v>
      </c>
      <c r="M144" s="124">
        <v>185.55094288035394</v>
      </c>
      <c r="O144" s="39">
        <f t="shared" si="11"/>
        <v>44680</v>
      </c>
      <c r="P144" s="41">
        <f t="shared" si="8"/>
        <v>196.56621084106197</v>
      </c>
      <c r="Q144" s="41">
        <f t="shared" si="9"/>
        <v>259.68599999999998</v>
      </c>
      <c r="R144" s="41">
        <f t="shared" si="10"/>
        <v>63.119789158938005</v>
      </c>
    </row>
    <row r="145" spans="10:18">
      <c r="J145" s="122">
        <v>44623</v>
      </c>
      <c r="K145" s="123">
        <v>144.10975230127434</v>
      </c>
      <c r="L145" s="123">
        <v>311.68670400000002</v>
      </c>
      <c r="M145" s="124">
        <v>167.57695169872568</v>
      </c>
      <c r="O145" s="39">
        <f t="shared" si="11"/>
        <v>44679</v>
      </c>
      <c r="P145" s="41">
        <f t="shared" si="8"/>
        <v>198.70546996863717</v>
      </c>
      <c r="Q145" s="41">
        <f t="shared" si="9"/>
        <v>263.08800000000002</v>
      </c>
      <c r="R145" s="41">
        <f t="shared" si="10"/>
        <v>64.382530031362847</v>
      </c>
    </row>
    <row r="146" spans="10:18">
      <c r="J146" s="122">
        <v>44622</v>
      </c>
      <c r="K146" s="123">
        <v>144.10975230127434</v>
      </c>
      <c r="L146" s="123">
        <v>348.06542400000001</v>
      </c>
      <c r="M146" s="124">
        <v>203.95567169872567</v>
      </c>
      <c r="O146" s="39">
        <f t="shared" si="11"/>
        <v>44678</v>
      </c>
      <c r="P146" s="41">
        <f t="shared" si="8"/>
        <v>198.70546996863717</v>
      </c>
      <c r="Q146" s="41">
        <f t="shared" si="9"/>
        <v>284.52513599999997</v>
      </c>
      <c r="R146" s="41">
        <f t="shared" si="10"/>
        <v>85.8196660313628</v>
      </c>
    </row>
    <row r="147" spans="10:18">
      <c r="J147" s="122">
        <v>44621</v>
      </c>
      <c r="K147" s="123">
        <v>144.10975230127434</v>
      </c>
      <c r="L147" s="123">
        <v>252.11087999999998</v>
      </c>
      <c r="M147" s="124">
        <v>108.00112769872564</v>
      </c>
      <c r="O147" s="39">
        <f t="shared" si="11"/>
        <v>44677</v>
      </c>
      <c r="P147" s="41">
        <f t="shared" si="8"/>
        <v>198.70546996863717</v>
      </c>
      <c r="Q147" s="41">
        <f t="shared" si="9"/>
        <v>284.73379199999999</v>
      </c>
      <c r="R147" s="41">
        <f t="shared" si="10"/>
        <v>86.028322031362819</v>
      </c>
    </row>
    <row r="148" spans="10:18">
      <c r="J148" s="122">
        <v>44620</v>
      </c>
      <c r="K148" s="123">
        <v>144.10975230127434</v>
      </c>
      <c r="L148" s="123">
        <v>217.95480000000001</v>
      </c>
      <c r="M148" s="124">
        <v>73.845047698725665</v>
      </c>
      <c r="O148" s="39">
        <f t="shared" si="11"/>
        <v>44676</v>
      </c>
      <c r="P148" s="41">
        <f t="shared" si="8"/>
        <v>198.70546996863717</v>
      </c>
      <c r="Q148" s="41">
        <f t="shared" si="9"/>
        <v>303.40396800000002</v>
      </c>
      <c r="R148" s="41">
        <f t="shared" si="10"/>
        <v>104.69849803136285</v>
      </c>
    </row>
    <row r="149" spans="10:18">
      <c r="J149" s="122">
        <v>44617</v>
      </c>
      <c r="K149" s="123">
        <v>144.10975230127434</v>
      </c>
      <c r="L149" s="123">
        <v>229.86633599999999</v>
      </c>
      <c r="M149" s="124">
        <v>85.756583698725649</v>
      </c>
      <c r="O149" s="39">
        <f t="shared" si="11"/>
        <v>44675</v>
      </c>
      <c r="P149" s="41">
        <f t="shared" si="8"/>
        <v>198.70546996863717</v>
      </c>
      <c r="Q149" s="41">
        <f t="shared" si="9"/>
        <v>311.23310399999997</v>
      </c>
      <c r="R149" s="41">
        <f t="shared" si="10"/>
        <v>112.52763403136279</v>
      </c>
    </row>
    <row r="150" spans="10:18">
      <c r="J150" s="122">
        <v>44616</v>
      </c>
      <c r="K150" s="123">
        <v>141.36242162049561</v>
      </c>
      <c r="L150" s="123">
        <v>237.91319999999999</v>
      </c>
      <c r="M150" s="124">
        <v>96.550778379504379</v>
      </c>
      <c r="O150" s="39">
        <f t="shared" si="11"/>
        <v>44674</v>
      </c>
      <c r="P150" s="41">
        <f t="shared" si="8"/>
        <v>198.70546996863717</v>
      </c>
      <c r="Q150" s="41">
        <f t="shared" si="9"/>
        <v>311.23310399999997</v>
      </c>
      <c r="R150" s="41">
        <f t="shared" si="10"/>
        <v>112.52763403136279</v>
      </c>
    </row>
    <row r="151" spans="10:18">
      <c r="J151" s="122">
        <v>44615</v>
      </c>
      <c r="K151" s="123">
        <v>141.36242162049561</v>
      </c>
      <c r="L151" s="123">
        <v>193.84142399999999</v>
      </c>
      <c r="M151" s="124">
        <v>52.479002379504379</v>
      </c>
      <c r="O151" s="39">
        <f t="shared" si="11"/>
        <v>44673</v>
      </c>
      <c r="P151" s="41">
        <f t="shared" si="8"/>
        <v>198.70546996863717</v>
      </c>
      <c r="Q151" s="41">
        <f t="shared" si="9"/>
        <v>311.23310399999997</v>
      </c>
      <c r="R151" s="41">
        <f t="shared" si="10"/>
        <v>112.52763403136279</v>
      </c>
    </row>
    <row r="152" spans="10:18">
      <c r="J152" s="122">
        <v>44614</v>
      </c>
      <c r="K152" s="123">
        <v>141.36242162049561</v>
      </c>
      <c r="L152" s="123">
        <v>184.86014400000002</v>
      </c>
      <c r="M152" s="124">
        <v>43.49772237950441</v>
      </c>
      <c r="O152" s="39">
        <f t="shared" si="11"/>
        <v>44672</v>
      </c>
      <c r="P152" s="41">
        <f t="shared" si="8"/>
        <v>203.4988642449558</v>
      </c>
      <c r="Q152" s="41">
        <f t="shared" si="9"/>
        <v>319.67913599999997</v>
      </c>
      <c r="R152" s="41">
        <f t="shared" si="10"/>
        <v>116.18027175504417</v>
      </c>
    </row>
    <row r="153" spans="10:18">
      <c r="J153" s="122">
        <v>44613</v>
      </c>
      <c r="K153" s="123">
        <v>141.36242162049561</v>
      </c>
      <c r="L153" s="123">
        <v>168.857136</v>
      </c>
      <c r="M153" s="124">
        <v>27.494714379504387</v>
      </c>
      <c r="O153" s="39">
        <f t="shared" si="11"/>
        <v>44671</v>
      </c>
      <c r="P153" s="41">
        <f t="shared" si="8"/>
        <v>203.4988642449558</v>
      </c>
      <c r="Q153" s="41">
        <f t="shared" si="9"/>
        <v>320.849424</v>
      </c>
      <c r="R153" s="41">
        <f t="shared" si="10"/>
        <v>117.3505597550442</v>
      </c>
    </row>
    <row r="154" spans="10:18">
      <c r="J154" s="122">
        <v>44610</v>
      </c>
      <c r="K154" s="123">
        <v>141.36242162049561</v>
      </c>
      <c r="L154" s="123">
        <v>164.97432000000001</v>
      </c>
      <c r="M154" s="124">
        <v>23.611898379504396</v>
      </c>
      <c r="O154" s="39">
        <f t="shared" si="11"/>
        <v>44670</v>
      </c>
      <c r="P154" s="41">
        <f t="shared" si="8"/>
        <v>203.4988642449558</v>
      </c>
      <c r="Q154" s="41">
        <f t="shared" si="9"/>
        <v>323.19</v>
      </c>
      <c r="R154" s="41">
        <f t="shared" si="10"/>
        <v>119.6911357550442</v>
      </c>
    </row>
    <row r="155" spans="10:18">
      <c r="J155" s="122">
        <v>44609</v>
      </c>
      <c r="K155" s="123">
        <v>142.30270892255575</v>
      </c>
      <c r="L155" s="123">
        <v>155.37614400000001</v>
      </c>
      <c r="M155" s="124">
        <v>13.073435077444259</v>
      </c>
      <c r="O155" s="39">
        <f t="shared" si="11"/>
        <v>44669</v>
      </c>
      <c r="P155" s="41">
        <f t="shared" si="8"/>
        <v>203.4988642449558</v>
      </c>
      <c r="Q155" s="41">
        <f t="shared" si="9"/>
        <v>326.59199999999998</v>
      </c>
      <c r="R155" s="41">
        <f t="shared" si="10"/>
        <v>123.09313575504419</v>
      </c>
    </row>
    <row r="156" spans="10:18">
      <c r="J156" s="122">
        <v>44608</v>
      </c>
      <c r="K156" s="123">
        <v>142.30270892255575</v>
      </c>
      <c r="L156" s="123">
        <v>163.82217600000001</v>
      </c>
      <c r="M156" s="124">
        <v>21.519467077444261</v>
      </c>
      <c r="O156" s="39">
        <f t="shared" si="11"/>
        <v>44668</v>
      </c>
      <c r="P156" s="41">
        <f t="shared" si="8"/>
        <v>206.10396982991151</v>
      </c>
      <c r="Q156" s="41">
        <f t="shared" si="9"/>
        <v>326.59199999999998</v>
      </c>
      <c r="R156" s="41">
        <f t="shared" si="10"/>
        <v>120.48803017008848</v>
      </c>
    </row>
    <row r="157" spans="10:18">
      <c r="J157" s="122">
        <v>44607</v>
      </c>
      <c r="K157" s="123">
        <v>142.30270892255575</v>
      </c>
      <c r="L157" s="123">
        <v>172.059552</v>
      </c>
      <c r="M157" s="124">
        <v>29.756843077444245</v>
      </c>
      <c r="O157" s="39">
        <f t="shared" si="11"/>
        <v>44667</v>
      </c>
      <c r="P157" s="41">
        <f t="shared" si="8"/>
        <v>206.10396982991151</v>
      </c>
      <c r="Q157" s="41">
        <f t="shared" si="9"/>
        <v>326.59199999999998</v>
      </c>
      <c r="R157" s="41">
        <f t="shared" si="10"/>
        <v>120.48803017008848</v>
      </c>
    </row>
    <row r="158" spans="10:18">
      <c r="J158" s="122">
        <v>44606</v>
      </c>
      <c r="K158" s="123">
        <v>142.30270892255575</v>
      </c>
      <c r="L158" s="123">
        <v>174.79022399999999</v>
      </c>
      <c r="M158" s="124">
        <v>32.487515077444243</v>
      </c>
      <c r="O158" s="39">
        <f t="shared" si="11"/>
        <v>44666</v>
      </c>
      <c r="P158" s="41">
        <f t="shared" si="8"/>
        <v>206.10396982991151</v>
      </c>
      <c r="Q158" s="41">
        <f t="shared" si="9"/>
        <v>326.59199999999998</v>
      </c>
      <c r="R158" s="41">
        <f t="shared" si="10"/>
        <v>120.48803017008848</v>
      </c>
    </row>
    <row r="159" spans="10:18">
      <c r="J159" s="122">
        <v>44603</v>
      </c>
      <c r="K159" s="123">
        <v>142.30270892255575</v>
      </c>
      <c r="L159" s="123">
        <v>169.492176</v>
      </c>
      <c r="M159" s="124">
        <v>27.189467077444249</v>
      </c>
      <c r="O159" s="39">
        <f t="shared" si="11"/>
        <v>44665</v>
      </c>
      <c r="P159" s="41">
        <f t="shared" si="8"/>
        <v>201.51898400038939</v>
      </c>
      <c r="Q159" s="41">
        <f t="shared" si="9"/>
        <v>326.59199999999998</v>
      </c>
      <c r="R159" s="41">
        <f t="shared" si="10"/>
        <v>125.07301599961059</v>
      </c>
    </row>
    <row r="160" spans="10:18">
      <c r="J160" s="122">
        <v>44602</v>
      </c>
      <c r="K160" s="123">
        <v>140.57167230127433</v>
      </c>
      <c r="L160" s="123">
        <v>181.33113599999999</v>
      </c>
      <c r="M160" s="124">
        <v>40.759463698725654</v>
      </c>
      <c r="O160" s="39">
        <f t="shared" si="11"/>
        <v>44664</v>
      </c>
      <c r="P160" s="41">
        <f t="shared" si="8"/>
        <v>201.51898400038939</v>
      </c>
      <c r="Q160" s="41">
        <f t="shared" si="9"/>
        <v>331.12799999999999</v>
      </c>
      <c r="R160" s="41">
        <f t="shared" si="10"/>
        <v>129.60901599961059</v>
      </c>
    </row>
    <row r="161" spans="10:18">
      <c r="J161" s="122">
        <v>44601</v>
      </c>
      <c r="K161" s="123">
        <v>140.57167230127433</v>
      </c>
      <c r="L161" s="123">
        <v>177.72048000000001</v>
      </c>
      <c r="M161" s="124">
        <v>37.148807698725676</v>
      </c>
      <c r="O161" s="39">
        <f t="shared" si="11"/>
        <v>44663</v>
      </c>
      <c r="P161" s="41">
        <f t="shared" si="8"/>
        <v>201.51898400038939</v>
      </c>
      <c r="Q161" s="41">
        <f t="shared" si="9"/>
        <v>328.29753599999998</v>
      </c>
      <c r="R161" s="41">
        <f t="shared" si="10"/>
        <v>126.77855199961058</v>
      </c>
    </row>
    <row r="162" spans="10:18">
      <c r="J162" s="122">
        <v>44600</v>
      </c>
      <c r="K162" s="123">
        <v>140.57167230127433</v>
      </c>
      <c r="L162" s="123">
        <v>172.159344</v>
      </c>
      <c r="M162" s="124">
        <v>31.587671698725671</v>
      </c>
      <c r="O162" s="39">
        <f t="shared" si="11"/>
        <v>44662</v>
      </c>
      <c r="P162" s="41">
        <f t="shared" si="8"/>
        <v>201.51898400038939</v>
      </c>
      <c r="Q162" s="41">
        <f t="shared" si="9"/>
        <v>307.54079999999999</v>
      </c>
      <c r="R162" s="41">
        <f t="shared" si="10"/>
        <v>106.0218159996106</v>
      </c>
    </row>
    <row r="163" spans="10:18">
      <c r="J163" s="122">
        <v>44599</v>
      </c>
      <c r="K163" s="123">
        <v>140.57167230127433</v>
      </c>
      <c r="L163" s="123">
        <v>165.78172800000002</v>
      </c>
      <c r="M163" s="124">
        <v>25.210055698725682</v>
      </c>
      <c r="O163" s="39">
        <f t="shared" si="11"/>
        <v>44661</v>
      </c>
      <c r="P163" s="41">
        <f t="shared" si="8"/>
        <v>201.51898400038939</v>
      </c>
      <c r="Q163" s="41">
        <f t="shared" si="9"/>
        <v>291.99139200000002</v>
      </c>
      <c r="R163" s="41">
        <f t="shared" si="10"/>
        <v>90.472407999610624</v>
      </c>
    </row>
    <row r="164" spans="10:18">
      <c r="J164" s="122">
        <v>44596</v>
      </c>
      <c r="K164" s="123">
        <v>132.23533442941593</v>
      </c>
      <c r="L164" s="123">
        <v>161.54510400000001</v>
      </c>
      <c r="M164" s="124">
        <v>29.309769570584081</v>
      </c>
      <c r="O164" s="39">
        <f t="shared" si="11"/>
        <v>44660</v>
      </c>
      <c r="P164" s="41">
        <f t="shared" si="8"/>
        <v>201.51898400038939</v>
      </c>
      <c r="Q164" s="41">
        <f t="shared" si="9"/>
        <v>291.99139200000002</v>
      </c>
      <c r="R164" s="41">
        <f t="shared" si="10"/>
        <v>90.472407999610624</v>
      </c>
    </row>
    <row r="165" spans="10:18">
      <c r="J165" s="122">
        <v>44595</v>
      </c>
      <c r="K165" s="123">
        <v>130.70290908902655</v>
      </c>
      <c r="L165" s="123">
        <v>157.997952</v>
      </c>
      <c r="M165" s="124">
        <v>27.29504291097345</v>
      </c>
      <c r="O165" s="39">
        <f t="shared" si="11"/>
        <v>44659</v>
      </c>
      <c r="P165" s="41">
        <f t="shared" si="8"/>
        <v>201.51898400038939</v>
      </c>
      <c r="Q165" s="41">
        <f t="shared" si="9"/>
        <v>291.99139200000002</v>
      </c>
      <c r="R165" s="41">
        <f t="shared" si="10"/>
        <v>90.472407999610624</v>
      </c>
    </row>
    <row r="166" spans="10:18">
      <c r="J166" s="122">
        <v>44594</v>
      </c>
      <c r="K166" s="123">
        <v>130.70290908902655</v>
      </c>
      <c r="L166" s="123">
        <v>162.59745599999999</v>
      </c>
      <c r="M166" s="124">
        <v>31.894546910973446</v>
      </c>
      <c r="O166" s="39">
        <f t="shared" si="11"/>
        <v>44658</v>
      </c>
      <c r="P166" s="41">
        <f t="shared" si="8"/>
        <v>196.38171578685663</v>
      </c>
      <c r="Q166" s="41">
        <f t="shared" si="9"/>
        <v>279.87119999999999</v>
      </c>
      <c r="R166" s="41">
        <f t="shared" si="10"/>
        <v>83.489484213143356</v>
      </c>
    </row>
    <row r="167" spans="10:18">
      <c r="J167" s="122">
        <v>44593</v>
      </c>
      <c r="K167" s="123">
        <v>130.70290908902655</v>
      </c>
      <c r="L167" s="123">
        <v>160.95542399999999</v>
      </c>
      <c r="M167" s="124">
        <v>30.252514910973446</v>
      </c>
      <c r="O167" s="39">
        <f t="shared" si="11"/>
        <v>44657</v>
      </c>
      <c r="P167" s="41">
        <f t="shared" si="8"/>
        <v>196.38171578685663</v>
      </c>
      <c r="Q167" s="41">
        <f t="shared" si="9"/>
        <v>286.67520000000002</v>
      </c>
      <c r="R167" s="41">
        <f t="shared" si="10"/>
        <v>90.293484213143387</v>
      </c>
    </row>
    <row r="168" spans="10:18">
      <c r="J168" s="122">
        <v>44592</v>
      </c>
      <c r="K168" s="123">
        <v>130.70290908902655</v>
      </c>
      <c r="L168" s="123">
        <v>164.60236800000001</v>
      </c>
      <c r="M168" s="124">
        <v>33.899458910973465</v>
      </c>
      <c r="O168" s="39">
        <f t="shared" si="11"/>
        <v>44656</v>
      </c>
      <c r="P168" s="41">
        <f t="shared" si="8"/>
        <v>196.38171578685663</v>
      </c>
      <c r="Q168" s="41">
        <f t="shared" si="9"/>
        <v>273.67502400000001</v>
      </c>
      <c r="R168" s="41">
        <f t="shared" si="10"/>
        <v>77.293308213143376</v>
      </c>
    </row>
    <row r="169" spans="10:18">
      <c r="J169" s="122">
        <v>44589</v>
      </c>
      <c r="K169" s="123">
        <v>130.70290908902655</v>
      </c>
      <c r="L169" s="123">
        <v>193.91399999999999</v>
      </c>
      <c r="M169" s="124">
        <v>63.211090910973439</v>
      </c>
      <c r="O169" s="39">
        <f t="shared" si="11"/>
        <v>44655</v>
      </c>
      <c r="P169" s="41">
        <f t="shared" si="8"/>
        <v>196.38171578685663</v>
      </c>
      <c r="Q169" s="41">
        <f t="shared" si="9"/>
        <v>247.84703999999999</v>
      </c>
      <c r="R169" s="41">
        <f t="shared" si="10"/>
        <v>51.465324213143361</v>
      </c>
    </row>
    <row r="170" spans="10:18">
      <c r="J170" s="122">
        <v>44588</v>
      </c>
      <c r="K170" s="123">
        <v>133.28966685504426</v>
      </c>
      <c r="L170" s="123">
        <v>195.85540799999998</v>
      </c>
      <c r="M170" s="124">
        <v>62.565741144955723</v>
      </c>
      <c r="O170" s="39">
        <f t="shared" si="11"/>
        <v>44654</v>
      </c>
      <c r="P170" s="41">
        <f t="shared" si="8"/>
        <v>188.04537791499823</v>
      </c>
      <c r="Q170" s="41">
        <f t="shared" si="9"/>
        <v>251.36697599999999</v>
      </c>
      <c r="R170" s="41">
        <f t="shared" si="10"/>
        <v>63.321598085001767</v>
      </c>
    </row>
    <row r="171" spans="10:18">
      <c r="J171" s="122">
        <v>44587</v>
      </c>
      <c r="K171" s="123">
        <v>133.28966685504426</v>
      </c>
      <c r="L171" s="123">
        <v>196.78982399999998</v>
      </c>
      <c r="M171" s="124">
        <v>63.500157144955722</v>
      </c>
      <c r="O171" s="39">
        <f t="shared" si="11"/>
        <v>44653</v>
      </c>
      <c r="P171" s="41">
        <f t="shared" si="8"/>
        <v>188.04537791499823</v>
      </c>
      <c r="Q171" s="41">
        <f t="shared" si="9"/>
        <v>251.36697599999999</v>
      </c>
      <c r="R171" s="41">
        <f t="shared" si="10"/>
        <v>63.321598085001767</v>
      </c>
    </row>
    <row r="172" spans="10:18">
      <c r="J172" s="122">
        <v>44586</v>
      </c>
      <c r="K172" s="123">
        <v>133.28966685504426</v>
      </c>
      <c r="L172" s="123">
        <v>177.08543999999998</v>
      </c>
      <c r="M172" s="124">
        <v>43.795773144955717</v>
      </c>
      <c r="O172" s="39">
        <f t="shared" si="11"/>
        <v>44652</v>
      </c>
      <c r="P172" s="41">
        <f t="shared" si="8"/>
        <v>188.04537791499823</v>
      </c>
      <c r="Q172" s="41">
        <f t="shared" si="9"/>
        <v>251.36697599999999</v>
      </c>
      <c r="R172" s="41">
        <f t="shared" si="10"/>
        <v>63.321598085001767</v>
      </c>
    </row>
    <row r="173" spans="10:18">
      <c r="J173" s="122">
        <v>44585</v>
      </c>
      <c r="K173" s="123">
        <v>133.28966685504426</v>
      </c>
      <c r="L173" s="123">
        <v>165.981312</v>
      </c>
      <c r="M173" s="124">
        <v>32.691645144955743</v>
      </c>
      <c r="O173" s="39">
        <f t="shared" si="11"/>
        <v>44651</v>
      </c>
      <c r="P173" s="41">
        <f t="shared" si="8"/>
        <v>189.26397905973451</v>
      </c>
      <c r="Q173" s="41">
        <f t="shared" si="9"/>
        <v>247.856112</v>
      </c>
      <c r="R173" s="41">
        <f t="shared" si="10"/>
        <v>58.592132940265486</v>
      </c>
    </row>
    <row r="174" spans="10:18">
      <c r="J174" s="122">
        <v>44582</v>
      </c>
      <c r="K174" s="123">
        <v>133.28966685504426</v>
      </c>
      <c r="L174" s="123">
        <v>160.5744</v>
      </c>
      <c r="M174" s="124">
        <v>27.284733144955737</v>
      </c>
      <c r="O174" s="39">
        <f t="shared" si="11"/>
        <v>44650</v>
      </c>
      <c r="P174" s="41">
        <f t="shared" si="8"/>
        <v>189.26397905973451</v>
      </c>
      <c r="Q174" s="41">
        <f t="shared" si="9"/>
        <v>258.83323200000001</v>
      </c>
      <c r="R174" s="41">
        <f t="shared" si="10"/>
        <v>69.5692529402655</v>
      </c>
    </row>
    <row r="175" spans="10:18">
      <c r="J175" s="122">
        <v>44581</v>
      </c>
      <c r="K175" s="123">
        <v>135.09792175922124</v>
      </c>
      <c r="L175" s="123">
        <v>153.91555199999999</v>
      </c>
      <c r="M175" s="124">
        <v>18.817630240778755</v>
      </c>
      <c r="O175" s="39">
        <f t="shared" si="11"/>
        <v>44649</v>
      </c>
      <c r="P175" s="41">
        <f t="shared" si="8"/>
        <v>189.26397905973451</v>
      </c>
      <c r="Q175" s="41">
        <f t="shared" si="9"/>
        <v>252.65520000000001</v>
      </c>
      <c r="R175" s="41">
        <f t="shared" si="10"/>
        <v>63.391220940265498</v>
      </c>
    </row>
    <row r="176" spans="10:18">
      <c r="J176" s="122">
        <v>44580</v>
      </c>
      <c r="K176" s="123">
        <v>135.09792175922124</v>
      </c>
      <c r="L176" s="123">
        <v>163.0692</v>
      </c>
      <c r="M176" s="124">
        <v>27.971278240778759</v>
      </c>
      <c r="O176" s="39">
        <f t="shared" si="11"/>
        <v>44648</v>
      </c>
      <c r="P176" s="41">
        <f t="shared" si="8"/>
        <v>189.26397905973451</v>
      </c>
      <c r="Q176" s="41">
        <f t="shared" si="9"/>
        <v>253.63497599999999</v>
      </c>
      <c r="R176" s="41">
        <f t="shared" si="10"/>
        <v>64.370996940265485</v>
      </c>
    </row>
    <row r="177" spans="10:18">
      <c r="J177" s="122">
        <v>44579</v>
      </c>
      <c r="K177" s="123">
        <v>135.09792175922124</v>
      </c>
      <c r="L177" s="123">
        <v>163.58630399999998</v>
      </c>
      <c r="M177" s="124">
        <v>28.488382240778748</v>
      </c>
      <c r="O177" s="39">
        <f t="shared" si="11"/>
        <v>44647</v>
      </c>
      <c r="P177" s="41">
        <f t="shared" si="8"/>
        <v>189.26397905973451</v>
      </c>
      <c r="Q177" s="41">
        <f t="shared" si="9"/>
        <v>261.79070400000001</v>
      </c>
      <c r="R177" s="41">
        <f t="shared" si="10"/>
        <v>72.526724940265495</v>
      </c>
    </row>
    <row r="178" spans="10:18">
      <c r="J178" s="122">
        <v>44578</v>
      </c>
      <c r="K178" s="123">
        <v>135.09792175922124</v>
      </c>
      <c r="L178" s="123">
        <v>157.32662399999998</v>
      </c>
      <c r="M178" s="124">
        <v>22.228702240778745</v>
      </c>
      <c r="O178" s="39">
        <f t="shared" si="11"/>
        <v>44646</v>
      </c>
      <c r="P178" s="41">
        <f t="shared" si="8"/>
        <v>189.26397905973451</v>
      </c>
      <c r="Q178" s="41">
        <f t="shared" si="9"/>
        <v>261.79070400000001</v>
      </c>
      <c r="R178" s="41">
        <f t="shared" si="10"/>
        <v>72.526724940265495</v>
      </c>
    </row>
    <row r="179" spans="10:18">
      <c r="J179" s="122">
        <v>44575</v>
      </c>
      <c r="K179" s="123">
        <v>135.09792175922124</v>
      </c>
      <c r="L179" s="123">
        <v>154.58688000000001</v>
      </c>
      <c r="M179" s="124">
        <v>19.488958240778771</v>
      </c>
      <c r="O179" s="39">
        <f t="shared" si="11"/>
        <v>44645</v>
      </c>
      <c r="P179" s="41">
        <f t="shared" si="8"/>
        <v>189.26397905973451</v>
      </c>
      <c r="Q179" s="41">
        <f t="shared" si="9"/>
        <v>261.79070400000001</v>
      </c>
      <c r="R179" s="41">
        <f t="shared" si="10"/>
        <v>72.526724940265495</v>
      </c>
    </row>
    <row r="180" spans="10:18">
      <c r="J180" s="122">
        <v>44574</v>
      </c>
      <c r="K180" s="123">
        <v>138.44964568256285</v>
      </c>
      <c r="L180" s="123">
        <v>140.098896</v>
      </c>
      <c r="M180" s="124">
        <v>1.6492503174371507</v>
      </c>
      <c r="O180" s="39">
        <f t="shared" si="11"/>
        <v>44644</v>
      </c>
      <c r="P180" s="41">
        <f t="shared" si="8"/>
        <v>183.63016515026547</v>
      </c>
      <c r="Q180" s="41">
        <f t="shared" si="9"/>
        <v>265.845888</v>
      </c>
      <c r="R180" s="41">
        <f t="shared" si="10"/>
        <v>82.215722849734533</v>
      </c>
    </row>
    <row r="181" spans="10:18">
      <c r="J181" s="122">
        <v>44573</v>
      </c>
      <c r="K181" s="123">
        <v>138.44964568256285</v>
      </c>
      <c r="L181" s="123">
        <v>122.9256</v>
      </c>
      <c r="M181" s="124">
        <v>-15.524045682562843</v>
      </c>
      <c r="O181" s="39">
        <f t="shared" si="11"/>
        <v>44643</v>
      </c>
      <c r="P181" s="41">
        <f t="shared" si="8"/>
        <v>183.63016515026547</v>
      </c>
      <c r="Q181" s="41">
        <f t="shared" si="9"/>
        <v>290.30399999999997</v>
      </c>
      <c r="R181" s="41">
        <f t="shared" si="10"/>
        <v>106.6738348497345</v>
      </c>
    </row>
    <row r="182" spans="10:18">
      <c r="J182" s="122">
        <v>44572</v>
      </c>
      <c r="K182" s="123">
        <v>138.44964568256285</v>
      </c>
      <c r="L182" s="123">
        <v>119.922768</v>
      </c>
      <c r="M182" s="124">
        <v>-18.526877682562841</v>
      </c>
      <c r="O182" s="39">
        <f t="shared" si="11"/>
        <v>44642</v>
      </c>
      <c r="P182" s="41">
        <f t="shared" si="8"/>
        <v>183.63016515026547</v>
      </c>
      <c r="Q182" s="41">
        <f t="shared" si="9"/>
        <v>252.74592000000001</v>
      </c>
      <c r="R182" s="41">
        <f t="shared" si="10"/>
        <v>69.115754849734543</v>
      </c>
    </row>
    <row r="183" spans="10:18">
      <c r="J183" s="122">
        <v>44571</v>
      </c>
      <c r="K183" s="123">
        <v>138.44964568256285</v>
      </c>
      <c r="L183" s="123">
        <v>126.84470399999999</v>
      </c>
      <c r="M183" s="124">
        <v>-11.604941682562853</v>
      </c>
      <c r="O183" s="39">
        <f t="shared" si="11"/>
        <v>44641</v>
      </c>
      <c r="P183" s="41">
        <f t="shared" si="8"/>
        <v>183.63016515026547</v>
      </c>
      <c r="Q183" s="41">
        <f t="shared" si="9"/>
        <v>234.502128</v>
      </c>
      <c r="R183" s="41">
        <f t="shared" si="10"/>
        <v>50.87196284973453</v>
      </c>
    </row>
    <row r="184" spans="10:18">
      <c r="J184" s="122">
        <v>44568</v>
      </c>
      <c r="K184" s="123">
        <v>143.65985685247435</v>
      </c>
      <c r="L184" s="123">
        <v>134.338176</v>
      </c>
      <c r="M184" s="124">
        <v>-9.3216808524743442</v>
      </c>
      <c r="O184" s="39">
        <f t="shared" si="11"/>
        <v>44640</v>
      </c>
      <c r="P184" s="41">
        <f t="shared" si="8"/>
        <v>187.27731296920354</v>
      </c>
      <c r="Q184" s="41">
        <f t="shared" si="9"/>
        <v>251.26718400000001</v>
      </c>
      <c r="R184" s="41">
        <f t="shared" si="10"/>
        <v>63.989871030796479</v>
      </c>
    </row>
    <row r="185" spans="10:18">
      <c r="J185" s="122">
        <v>44567</v>
      </c>
      <c r="K185" s="123">
        <v>145.29892696088498</v>
      </c>
      <c r="L185" s="123">
        <v>129.85660799999999</v>
      </c>
      <c r="M185" s="124">
        <v>-15.44231896088499</v>
      </c>
      <c r="O185" s="39">
        <f t="shared" si="11"/>
        <v>44639</v>
      </c>
      <c r="P185" s="41">
        <f t="shared" si="8"/>
        <v>187.27731296920354</v>
      </c>
      <c r="Q185" s="41">
        <f t="shared" si="9"/>
        <v>251.26718400000001</v>
      </c>
      <c r="R185" s="41">
        <f t="shared" si="10"/>
        <v>63.989871030796479</v>
      </c>
    </row>
    <row r="186" spans="10:18">
      <c r="J186" s="122">
        <v>44566</v>
      </c>
      <c r="K186" s="123">
        <v>145.29892696088498</v>
      </c>
      <c r="L186" s="123">
        <v>124.5132</v>
      </c>
      <c r="M186" s="124">
        <v>-20.785726960884986</v>
      </c>
      <c r="O186" s="39">
        <f t="shared" si="11"/>
        <v>44638</v>
      </c>
      <c r="P186" s="41">
        <f t="shared" si="8"/>
        <v>187.27731296920354</v>
      </c>
      <c r="Q186" s="41">
        <f t="shared" si="9"/>
        <v>251.26718400000001</v>
      </c>
      <c r="R186" s="41">
        <f t="shared" si="10"/>
        <v>63.989871030796479</v>
      </c>
    </row>
    <row r="187" spans="10:18">
      <c r="J187" s="122">
        <v>44565</v>
      </c>
      <c r="K187" s="123">
        <v>145.29892696088498</v>
      </c>
      <c r="L187" s="123">
        <v>119.30587199999999</v>
      </c>
      <c r="M187" s="124">
        <v>-25.99305496088499</v>
      </c>
      <c r="O187" s="39">
        <f t="shared" si="11"/>
        <v>44637</v>
      </c>
      <c r="P187" s="41">
        <f t="shared" si="8"/>
        <v>195.95752477827614</v>
      </c>
      <c r="Q187" s="41">
        <f t="shared" si="9"/>
        <v>264.86611199999999</v>
      </c>
      <c r="R187" s="41">
        <f t="shared" si="10"/>
        <v>68.908587221723849</v>
      </c>
    </row>
    <row r="188" spans="10:18">
      <c r="J188" s="122">
        <v>44564</v>
      </c>
      <c r="K188" s="123">
        <v>145.29892696088498</v>
      </c>
      <c r="L188" s="123">
        <v>110.342736</v>
      </c>
      <c r="M188" s="124">
        <v>-34.956190960884982</v>
      </c>
      <c r="O188" s="39">
        <f t="shared" si="11"/>
        <v>44636</v>
      </c>
      <c r="P188" s="41">
        <f t="shared" si="8"/>
        <v>195.95752477827614</v>
      </c>
      <c r="Q188" s="41">
        <f t="shared" si="9"/>
        <v>240.752736</v>
      </c>
      <c r="R188" s="41">
        <f t="shared" si="10"/>
        <v>44.795211221723861</v>
      </c>
    </row>
    <row r="189" spans="10:18">
      <c r="J189" s="122">
        <v>44561</v>
      </c>
      <c r="K189" s="123">
        <v>145.29892696088498</v>
      </c>
      <c r="L189" s="123">
        <v>110.342736</v>
      </c>
      <c r="M189" s="124">
        <v>-34.956190960884982</v>
      </c>
      <c r="O189" s="39">
        <f t="shared" si="11"/>
        <v>44635</v>
      </c>
      <c r="P189" s="41">
        <f t="shared" si="8"/>
        <v>195.95752477827614</v>
      </c>
      <c r="Q189" s="41">
        <f t="shared" si="9"/>
        <v>280.32479999999998</v>
      </c>
      <c r="R189" s="41">
        <f t="shared" si="10"/>
        <v>84.367275221723844</v>
      </c>
    </row>
    <row r="190" spans="10:18">
      <c r="J190" s="122">
        <v>44560</v>
      </c>
      <c r="K190" s="123">
        <v>143.61203006729204</v>
      </c>
      <c r="L190" s="123">
        <v>109.14523200000001</v>
      </c>
      <c r="M190" s="124">
        <v>-34.466798067292032</v>
      </c>
      <c r="O190" s="39">
        <f t="shared" si="11"/>
        <v>44634</v>
      </c>
      <c r="P190" s="41">
        <f t="shared" si="8"/>
        <v>195.95752477827614</v>
      </c>
      <c r="Q190" s="41">
        <f t="shared" si="9"/>
        <v>305.61753599999997</v>
      </c>
      <c r="R190" s="41">
        <f t="shared" si="10"/>
        <v>109.66001122172383</v>
      </c>
    </row>
    <row r="191" spans="10:18">
      <c r="J191" s="122">
        <v>44559</v>
      </c>
      <c r="K191" s="123">
        <v>143.61203006729204</v>
      </c>
      <c r="L191" s="123">
        <v>109.72584000000001</v>
      </c>
      <c r="M191" s="124">
        <v>-33.886190067292034</v>
      </c>
      <c r="O191" s="39">
        <f t="shared" si="11"/>
        <v>44633</v>
      </c>
      <c r="P191" s="41">
        <f t="shared" si="8"/>
        <v>195.95752477827614</v>
      </c>
      <c r="Q191" s="41">
        <f t="shared" si="9"/>
        <v>332.57952</v>
      </c>
      <c r="R191" s="41">
        <f t="shared" si="10"/>
        <v>136.62199522172386</v>
      </c>
    </row>
    <row r="192" spans="10:18">
      <c r="J192" s="122">
        <v>44558</v>
      </c>
      <c r="K192" s="123">
        <v>143.61203006729204</v>
      </c>
      <c r="L192" s="123">
        <v>132.90479999999999</v>
      </c>
      <c r="M192" s="124">
        <v>-10.707230067292045</v>
      </c>
      <c r="O192" s="39">
        <f t="shared" si="11"/>
        <v>44632</v>
      </c>
      <c r="P192" s="41">
        <f t="shared" si="8"/>
        <v>195.95752477827614</v>
      </c>
      <c r="Q192" s="41">
        <f t="shared" si="9"/>
        <v>332.57952</v>
      </c>
      <c r="R192" s="41">
        <f t="shared" si="10"/>
        <v>136.62199522172386</v>
      </c>
    </row>
    <row r="193" spans="10:18">
      <c r="J193" s="122">
        <v>44557</v>
      </c>
      <c r="K193" s="123">
        <v>143.61203006729204</v>
      </c>
      <c r="L193" s="123">
        <v>132.90479999999999</v>
      </c>
      <c r="M193" s="124">
        <v>-10.707230067292045</v>
      </c>
      <c r="O193" s="39">
        <f t="shared" si="11"/>
        <v>44631</v>
      </c>
      <c r="P193" s="41">
        <f t="shared" si="8"/>
        <v>195.95752477827614</v>
      </c>
      <c r="Q193" s="41">
        <f t="shared" si="9"/>
        <v>332.57952</v>
      </c>
      <c r="R193" s="41">
        <f t="shared" si="10"/>
        <v>136.62199522172386</v>
      </c>
    </row>
    <row r="194" spans="10:18">
      <c r="J194" s="122">
        <v>44554</v>
      </c>
      <c r="K194" s="123">
        <v>143.61203006729204</v>
      </c>
      <c r="L194" s="123">
        <v>132.90479999999999</v>
      </c>
      <c r="M194" s="124">
        <v>-10.707230067292045</v>
      </c>
      <c r="O194" s="39">
        <f t="shared" si="11"/>
        <v>44630</v>
      </c>
      <c r="P194" s="41">
        <f t="shared" si="8"/>
        <v>160.40853935362833</v>
      </c>
      <c r="Q194" s="41">
        <f t="shared" si="9"/>
        <v>326.59199999999998</v>
      </c>
      <c r="R194" s="41">
        <f t="shared" si="10"/>
        <v>166.18346064637166</v>
      </c>
    </row>
    <row r="195" spans="10:18">
      <c r="J195" s="122">
        <v>44553</v>
      </c>
      <c r="K195" s="123">
        <v>143.28102584389379</v>
      </c>
      <c r="L195" s="123">
        <v>140.198688</v>
      </c>
      <c r="M195" s="124">
        <v>-3.0823378438937823</v>
      </c>
      <c r="O195" s="39">
        <f t="shared" si="11"/>
        <v>44629</v>
      </c>
      <c r="P195" s="41">
        <f t="shared" si="8"/>
        <v>160.40853935362833</v>
      </c>
      <c r="Q195" s="41">
        <f t="shared" si="9"/>
        <v>378.81950399999999</v>
      </c>
      <c r="R195" s="41">
        <f t="shared" si="10"/>
        <v>218.41096464637167</v>
      </c>
    </row>
    <row r="196" spans="10:18">
      <c r="J196" s="122">
        <v>44552</v>
      </c>
      <c r="K196" s="123">
        <v>143.28102584389379</v>
      </c>
      <c r="L196" s="123">
        <v>145.15199999999999</v>
      </c>
      <c r="M196" s="124">
        <v>1.8709741561062003</v>
      </c>
      <c r="O196" s="39">
        <f t="shared" si="11"/>
        <v>44628</v>
      </c>
      <c r="P196" s="41">
        <f t="shared" si="8"/>
        <v>160.40853935362833</v>
      </c>
      <c r="Q196" s="41">
        <f t="shared" si="9"/>
        <v>374.67360000000002</v>
      </c>
      <c r="R196" s="41">
        <f t="shared" si="10"/>
        <v>214.26506064637169</v>
      </c>
    </row>
    <row r="197" spans="10:18">
      <c r="J197" s="122">
        <v>44551</v>
      </c>
      <c r="K197" s="123">
        <v>143.28102584389379</v>
      </c>
      <c r="L197" s="123">
        <v>148.96223999999998</v>
      </c>
      <c r="M197" s="124">
        <v>5.6812141561061935</v>
      </c>
      <c r="O197" s="39">
        <f t="shared" si="11"/>
        <v>44627</v>
      </c>
      <c r="P197" s="41">
        <f t="shared" si="8"/>
        <v>160.40853935362833</v>
      </c>
      <c r="Q197" s="41">
        <f t="shared" si="9"/>
        <v>355.51353599999999</v>
      </c>
      <c r="R197" s="41">
        <f t="shared" si="10"/>
        <v>195.10499664637166</v>
      </c>
    </row>
    <row r="198" spans="10:18">
      <c r="J198" s="122">
        <v>44550</v>
      </c>
      <c r="K198" s="123">
        <v>143.28102584389379</v>
      </c>
      <c r="L198" s="123">
        <v>145.99569600000001</v>
      </c>
      <c r="M198" s="124">
        <v>2.714670156106223</v>
      </c>
      <c r="O198" s="39">
        <f t="shared" si="11"/>
        <v>44626</v>
      </c>
      <c r="P198" s="41">
        <f t="shared" ref="P198:P261" si="12">IFERROR(VLOOKUP($O198,$J$5:$M$403,2,FALSE),P199)</f>
        <v>159.36649711964606</v>
      </c>
      <c r="Q198" s="41">
        <f t="shared" ref="Q198:Q261" si="13">IFERROR(VLOOKUP($O198,$J$5:$M$403,3,FALSE),Q199)</f>
        <v>344.91744</v>
      </c>
      <c r="R198" s="41">
        <f t="shared" ref="R198:R261" si="14">IFERROR(VLOOKUP($O198,$J$5:$M$403,4,FALSE),R199)</f>
        <v>185.55094288035394</v>
      </c>
    </row>
    <row r="199" spans="10:18">
      <c r="J199" s="122">
        <v>44547</v>
      </c>
      <c r="K199" s="123">
        <v>143.28102584389379</v>
      </c>
      <c r="L199" s="123">
        <v>144.27201600000001</v>
      </c>
      <c r="M199" s="124">
        <v>0.99099015610622132</v>
      </c>
      <c r="O199" s="39">
        <f t="shared" ref="O199:O262" si="15">O198-1</f>
        <v>44625</v>
      </c>
      <c r="P199" s="41">
        <f t="shared" si="12"/>
        <v>159.36649711964606</v>
      </c>
      <c r="Q199" s="41">
        <f t="shared" si="13"/>
        <v>344.91744</v>
      </c>
      <c r="R199" s="41">
        <f t="shared" si="14"/>
        <v>185.55094288035394</v>
      </c>
    </row>
    <row r="200" spans="10:18">
      <c r="J200" s="122">
        <v>44546</v>
      </c>
      <c r="K200" s="123">
        <v>147.76919031185841</v>
      </c>
      <c r="L200" s="123">
        <v>141.84072</v>
      </c>
      <c r="M200" s="124">
        <v>-5.9284703118584048</v>
      </c>
      <c r="O200" s="39">
        <f t="shared" si="15"/>
        <v>44624</v>
      </c>
      <c r="P200" s="41">
        <f t="shared" si="12"/>
        <v>159.36649711964606</v>
      </c>
      <c r="Q200" s="41">
        <f t="shared" si="13"/>
        <v>344.91744</v>
      </c>
      <c r="R200" s="41">
        <f t="shared" si="14"/>
        <v>185.55094288035394</v>
      </c>
    </row>
    <row r="201" spans="10:18">
      <c r="J201" s="122">
        <v>44545</v>
      </c>
      <c r="K201" s="123">
        <v>147.76919031185841</v>
      </c>
      <c r="L201" s="123">
        <v>138.42057600000001</v>
      </c>
      <c r="M201" s="124">
        <v>-9.3486143118583982</v>
      </c>
      <c r="O201" s="39">
        <f t="shared" si="15"/>
        <v>44623</v>
      </c>
      <c r="P201" s="41">
        <f t="shared" si="12"/>
        <v>144.10975230127434</v>
      </c>
      <c r="Q201" s="41">
        <f t="shared" si="13"/>
        <v>311.68670400000002</v>
      </c>
      <c r="R201" s="41">
        <f t="shared" si="14"/>
        <v>167.57695169872568</v>
      </c>
    </row>
    <row r="202" spans="10:18">
      <c r="J202" s="122">
        <v>44544</v>
      </c>
      <c r="K202" s="123">
        <v>147.76919031185841</v>
      </c>
      <c r="L202" s="123">
        <v>135.508464</v>
      </c>
      <c r="M202" s="124">
        <v>-12.260726311858406</v>
      </c>
      <c r="O202" s="39">
        <f t="shared" si="15"/>
        <v>44622</v>
      </c>
      <c r="P202" s="41">
        <f t="shared" si="12"/>
        <v>144.10975230127434</v>
      </c>
      <c r="Q202" s="41">
        <f t="shared" si="13"/>
        <v>348.06542400000001</v>
      </c>
      <c r="R202" s="41">
        <f t="shared" si="14"/>
        <v>203.95567169872567</v>
      </c>
    </row>
    <row r="203" spans="10:18">
      <c r="J203" s="122">
        <v>44543</v>
      </c>
      <c r="K203" s="123">
        <v>147.76919031185841</v>
      </c>
      <c r="L203" s="123">
        <v>132.76872</v>
      </c>
      <c r="M203" s="124">
        <v>-15.000470311858408</v>
      </c>
      <c r="O203" s="39">
        <f t="shared" si="15"/>
        <v>44621</v>
      </c>
      <c r="P203" s="41">
        <f t="shared" si="12"/>
        <v>144.10975230127434</v>
      </c>
      <c r="Q203" s="41">
        <f t="shared" si="13"/>
        <v>252.11087999999998</v>
      </c>
      <c r="R203" s="41">
        <f t="shared" si="14"/>
        <v>108.00112769872564</v>
      </c>
    </row>
    <row r="204" spans="10:18">
      <c r="J204" s="122">
        <v>44540</v>
      </c>
      <c r="K204" s="123">
        <v>154.02144371575224</v>
      </c>
      <c r="L204" s="123">
        <v>126.17337600000002</v>
      </c>
      <c r="M204" s="124">
        <v>-27.848067715752222</v>
      </c>
      <c r="O204" s="39">
        <f t="shared" si="15"/>
        <v>44620</v>
      </c>
      <c r="P204" s="41">
        <f t="shared" si="12"/>
        <v>144.10975230127434</v>
      </c>
      <c r="Q204" s="41">
        <f t="shared" si="13"/>
        <v>217.95480000000001</v>
      </c>
      <c r="R204" s="41">
        <f t="shared" si="14"/>
        <v>73.845047698725665</v>
      </c>
    </row>
    <row r="205" spans="10:18">
      <c r="J205" s="122">
        <v>44539</v>
      </c>
      <c r="K205" s="123">
        <v>153.47224262650622</v>
      </c>
      <c r="L205" s="123">
        <v>122.889312</v>
      </c>
      <c r="M205" s="124">
        <v>-30.582930626506212</v>
      </c>
      <c r="O205" s="39">
        <f t="shared" si="15"/>
        <v>44619</v>
      </c>
      <c r="P205" s="41">
        <f t="shared" si="12"/>
        <v>144.10975230127434</v>
      </c>
      <c r="Q205" s="41">
        <f t="shared" si="13"/>
        <v>229.86633599999999</v>
      </c>
      <c r="R205" s="41">
        <f t="shared" si="14"/>
        <v>85.756583698725649</v>
      </c>
    </row>
    <row r="206" spans="10:18">
      <c r="J206" s="122">
        <v>44538</v>
      </c>
      <c r="K206" s="123">
        <v>153.47224262650622</v>
      </c>
      <c r="L206" s="123">
        <v>124.957728</v>
      </c>
      <c r="M206" s="124">
        <v>-28.514514626506212</v>
      </c>
      <c r="O206" s="39">
        <f t="shared" si="15"/>
        <v>44618</v>
      </c>
      <c r="P206" s="41">
        <f t="shared" si="12"/>
        <v>144.10975230127434</v>
      </c>
      <c r="Q206" s="41">
        <f t="shared" si="13"/>
        <v>229.86633599999999</v>
      </c>
      <c r="R206" s="41">
        <f t="shared" si="14"/>
        <v>85.756583698725649</v>
      </c>
    </row>
    <row r="207" spans="10:18">
      <c r="J207" s="122">
        <v>44537</v>
      </c>
      <c r="K207" s="123">
        <v>153.47224262650622</v>
      </c>
      <c r="L207" s="123">
        <v>117.173952</v>
      </c>
      <c r="M207" s="124">
        <v>-36.298290626506216</v>
      </c>
      <c r="O207" s="39">
        <f t="shared" si="15"/>
        <v>44617</v>
      </c>
      <c r="P207" s="41">
        <f t="shared" si="12"/>
        <v>144.10975230127434</v>
      </c>
      <c r="Q207" s="41">
        <f t="shared" si="13"/>
        <v>229.86633599999999</v>
      </c>
      <c r="R207" s="41">
        <f t="shared" si="14"/>
        <v>85.756583698725649</v>
      </c>
    </row>
    <row r="208" spans="10:18">
      <c r="J208" s="122">
        <v>44536</v>
      </c>
      <c r="K208" s="123">
        <v>153.47224262650622</v>
      </c>
      <c r="L208" s="123">
        <v>111.422304</v>
      </c>
      <c r="M208" s="124">
        <v>-42.049938626506218</v>
      </c>
      <c r="O208" s="39">
        <f t="shared" si="15"/>
        <v>44616</v>
      </c>
      <c r="P208" s="41">
        <f t="shared" si="12"/>
        <v>141.36242162049561</v>
      </c>
      <c r="Q208" s="41">
        <f t="shared" si="13"/>
        <v>237.91319999999999</v>
      </c>
      <c r="R208" s="41">
        <f t="shared" si="14"/>
        <v>96.550778379504379</v>
      </c>
    </row>
    <row r="209" spans="10:18">
      <c r="J209" s="122">
        <v>44533</v>
      </c>
      <c r="K209" s="123">
        <v>153.47224262650622</v>
      </c>
      <c r="L209" s="123">
        <v>112.26600000000001</v>
      </c>
      <c r="M209" s="124">
        <v>-41.20624262650621</v>
      </c>
      <c r="O209" s="39">
        <f t="shared" si="15"/>
        <v>44615</v>
      </c>
      <c r="P209" s="41">
        <f t="shared" si="12"/>
        <v>141.36242162049561</v>
      </c>
      <c r="Q209" s="41">
        <f t="shared" si="13"/>
        <v>193.84142399999999</v>
      </c>
      <c r="R209" s="41">
        <f t="shared" si="14"/>
        <v>52.479002379504379</v>
      </c>
    </row>
    <row r="210" spans="10:18">
      <c r="J210" s="122">
        <v>44532</v>
      </c>
      <c r="K210" s="123">
        <v>152.90277146789737</v>
      </c>
      <c r="L210" s="123">
        <v>112.9464</v>
      </c>
      <c r="M210" s="124">
        <v>-39.95637146789737</v>
      </c>
      <c r="O210" s="39">
        <f t="shared" si="15"/>
        <v>44614</v>
      </c>
      <c r="P210" s="41">
        <f t="shared" si="12"/>
        <v>141.36242162049561</v>
      </c>
      <c r="Q210" s="41">
        <f t="shared" si="13"/>
        <v>184.86014400000002</v>
      </c>
      <c r="R210" s="41">
        <f t="shared" si="14"/>
        <v>43.49772237950441</v>
      </c>
    </row>
    <row r="211" spans="10:18">
      <c r="J211" s="122">
        <v>44531</v>
      </c>
      <c r="K211" s="123">
        <v>152.90277146789737</v>
      </c>
      <c r="L211" s="123">
        <v>109.07265600000001</v>
      </c>
      <c r="M211" s="124">
        <v>-43.830115467897357</v>
      </c>
      <c r="O211" s="39">
        <f t="shared" si="15"/>
        <v>44613</v>
      </c>
      <c r="P211" s="41">
        <f t="shared" si="12"/>
        <v>141.36242162049561</v>
      </c>
      <c r="Q211" s="41">
        <f t="shared" si="13"/>
        <v>168.857136</v>
      </c>
      <c r="R211" s="41">
        <f t="shared" si="14"/>
        <v>27.494714379504387</v>
      </c>
    </row>
    <row r="212" spans="10:18">
      <c r="J212" s="122">
        <v>44530</v>
      </c>
      <c r="K212" s="123">
        <v>152.90277146789737</v>
      </c>
      <c r="L212" s="123">
        <v>104.001408</v>
      </c>
      <c r="M212" s="124">
        <v>-48.901363467897369</v>
      </c>
      <c r="O212" s="39">
        <f t="shared" si="15"/>
        <v>44612</v>
      </c>
      <c r="P212" s="41">
        <f t="shared" si="12"/>
        <v>141.36242162049561</v>
      </c>
      <c r="Q212" s="41">
        <f t="shared" si="13"/>
        <v>164.97432000000001</v>
      </c>
      <c r="R212" s="41">
        <f t="shared" si="14"/>
        <v>23.611898379504396</v>
      </c>
    </row>
    <row r="213" spans="10:18">
      <c r="J213" s="122">
        <v>44529</v>
      </c>
      <c r="K213" s="123">
        <v>152.90277146789737</v>
      </c>
      <c r="L213" s="123">
        <v>112.03919999999999</v>
      </c>
      <c r="M213" s="124">
        <v>-40.863571467897373</v>
      </c>
      <c r="O213" s="39">
        <f t="shared" si="15"/>
        <v>44611</v>
      </c>
      <c r="P213" s="41">
        <f t="shared" si="12"/>
        <v>141.36242162049561</v>
      </c>
      <c r="Q213" s="41">
        <f t="shared" si="13"/>
        <v>164.97432000000001</v>
      </c>
      <c r="R213" s="41">
        <f t="shared" si="14"/>
        <v>23.611898379504396</v>
      </c>
    </row>
    <row r="214" spans="10:18">
      <c r="J214" s="122">
        <v>44526</v>
      </c>
      <c r="K214" s="123">
        <v>152.90277146789737</v>
      </c>
      <c r="L214" s="123">
        <v>141.48691200000002</v>
      </c>
      <c r="M214" s="124">
        <v>-11.415859467897349</v>
      </c>
      <c r="O214" s="39">
        <f t="shared" si="15"/>
        <v>44610</v>
      </c>
      <c r="P214" s="41">
        <f t="shared" si="12"/>
        <v>141.36242162049561</v>
      </c>
      <c r="Q214" s="41">
        <f t="shared" si="13"/>
        <v>164.97432000000001</v>
      </c>
      <c r="R214" s="41">
        <f t="shared" si="14"/>
        <v>23.611898379504396</v>
      </c>
    </row>
    <row r="215" spans="10:18">
      <c r="J215" s="122">
        <v>44525</v>
      </c>
      <c r="K215" s="123">
        <v>151.99557146789738</v>
      </c>
      <c r="L215" s="123">
        <v>152.86320000000001</v>
      </c>
      <c r="M215" s="124">
        <v>0.86762853210262847</v>
      </c>
      <c r="O215" s="39">
        <f t="shared" si="15"/>
        <v>44609</v>
      </c>
      <c r="P215" s="41">
        <f t="shared" si="12"/>
        <v>142.30270892255575</v>
      </c>
      <c r="Q215" s="41">
        <f t="shared" si="13"/>
        <v>155.37614400000001</v>
      </c>
      <c r="R215" s="41">
        <f t="shared" si="14"/>
        <v>13.073435077444259</v>
      </c>
    </row>
    <row r="216" spans="10:18">
      <c r="J216" s="122">
        <v>44524</v>
      </c>
      <c r="K216" s="123">
        <v>151.99557146789738</v>
      </c>
      <c r="L216" s="123">
        <v>153.162576</v>
      </c>
      <c r="M216" s="124">
        <v>1.1670045321026237</v>
      </c>
      <c r="O216" s="39">
        <f t="shared" si="15"/>
        <v>44608</v>
      </c>
      <c r="P216" s="41">
        <f t="shared" si="12"/>
        <v>142.30270892255575</v>
      </c>
      <c r="Q216" s="41">
        <f t="shared" si="13"/>
        <v>163.82217600000001</v>
      </c>
      <c r="R216" s="41">
        <f t="shared" si="14"/>
        <v>21.519467077444261</v>
      </c>
    </row>
    <row r="217" spans="10:18">
      <c r="J217" s="122">
        <v>44523</v>
      </c>
      <c r="K217" s="123">
        <v>151.99557146789738</v>
      </c>
      <c r="L217" s="123">
        <v>144.018</v>
      </c>
      <c r="M217" s="124">
        <v>-7.977571467897377</v>
      </c>
      <c r="O217" s="39">
        <f t="shared" si="15"/>
        <v>44607</v>
      </c>
      <c r="P217" s="41">
        <f t="shared" si="12"/>
        <v>142.30270892255575</v>
      </c>
      <c r="Q217" s="41">
        <f t="shared" si="13"/>
        <v>172.059552</v>
      </c>
      <c r="R217" s="41">
        <f t="shared" si="14"/>
        <v>29.756843077444245</v>
      </c>
    </row>
    <row r="218" spans="10:18">
      <c r="J218" s="122">
        <v>44522</v>
      </c>
      <c r="K218" s="123">
        <v>151.99557146789738</v>
      </c>
      <c r="L218" s="123">
        <v>131.39884800000002</v>
      </c>
      <c r="M218" s="124">
        <v>-20.596723467897363</v>
      </c>
      <c r="O218" s="39">
        <f t="shared" si="15"/>
        <v>44606</v>
      </c>
      <c r="P218" s="41">
        <f t="shared" si="12"/>
        <v>142.30270892255575</v>
      </c>
      <c r="Q218" s="41">
        <f t="shared" si="13"/>
        <v>174.79022399999999</v>
      </c>
      <c r="R218" s="41">
        <f t="shared" si="14"/>
        <v>32.487515077444243</v>
      </c>
    </row>
    <row r="219" spans="10:18">
      <c r="J219" s="122">
        <v>44519</v>
      </c>
      <c r="K219" s="123">
        <v>151.99557146789738</v>
      </c>
      <c r="L219" s="123">
        <v>131.46235200000001</v>
      </c>
      <c r="M219" s="124">
        <v>-20.533219467897368</v>
      </c>
      <c r="O219" s="39">
        <f t="shared" si="15"/>
        <v>44605</v>
      </c>
      <c r="P219" s="41">
        <f t="shared" si="12"/>
        <v>142.30270892255575</v>
      </c>
      <c r="Q219" s="41">
        <f t="shared" si="13"/>
        <v>169.492176</v>
      </c>
      <c r="R219" s="41">
        <f t="shared" si="14"/>
        <v>27.189467077444249</v>
      </c>
    </row>
    <row r="220" spans="10:18">
      <c r="J220" s="122">
        <v>44518</v>
      </c>
      <c r="K220" s="123">
        <v>163.85837488566372</v>
      </c>
      <c r="L220" s="123">
        <v>130.1832</v>
      </c>
      <c r="M220" s="124">
        <v>-33.675174885663722</v>
      </c>
      <c r="O220" s="39">
        <f t="shared" si="15"/>
        <v>44604</v>
      </c>
      <c r="P220" s="41">
        <f t="shared" si="12"/>
        <v>142.30270892255575</v>
      </c>
      <c r="Q220" s="41">
        <f t="shared" si="13"/>
        <v>169.492176</v>
      </c>
      <c r="R220" s="41">
        <f t="shared" si="14"/>
        <v>27.189467077444249</v>
      </c>
    </row>
    <row r="221" spans="10:18">
      <c r="J221" s="122">
        <v>44517</v>
      </c>
      <c r="K221" s="123">
        <v>163.85837488566372</v>
      </c>
      <c r="L221" s="123">
        <v>128.45044799999999</v>
      </c>
      <c r="M221" s="124">
        <v>-35.407926885663727</v>
      </c>
      <c r="O221" s="39">
        <f t="shared" si="15"/>
        <v>44603</v>
      </c>
      <c r="P221" s="41">
        <f t="shared" si="12"/>
        <v>142.30270892255575</v>
      </c>
      <c r="Q221" s="41">
        <f t="shared" si="13"/>
        <v>169.492176</v>
      </c>
      <c r="R221" s="41">
        <f t="shared" si="14"/>
        <v>27.189467077444249</v>
      </c>
    </row>
    <row r="222" spans="10:18">
      <c r="J222" s="122">
        <v>44516</v>
      </c>
      <c r="K222" s="123">
        <v>163.85837488566372</v>
      </c>
      <c r="L222" s="123">
        <v>125.26617600000002</v>
      </c>
      <c r="M222" s="124">
        <v>-38.592198885663706</v>
      </c>
      <c r="O222" s="39">
        <f t="shared" si="15"/>
        <v>44602</v>
      </c>
      <c r="P222" s="41">
        <f t="shared" si="12"/>
        <v>140.57167230127433</v>
      </c>
      <c r="Q222" s="41">
        <f t="shared" si="13"/>
        <v>181.33113599999999</v>
      </c>
      <c r="R222" s="41">
        <f t="shared" si="14"/>
        <v>40.759463698725654</v>
      </c>
    </row>
    <row r="223" spans="10:18">
      <c r="J223" s="122">
        <v>44515</v>
      </c>
      <c r="K223" s="123">
        <v>163.85837488566372</v>
      </c>
      <c r="L223" s="123">
        <v>118.353312</v>
      </c>
      <c r="M223" s="124">
        <v>-45.505062885663719</v>
      </c>
      <c r="O223" s="39">
        <f t="shared" si="15"/>
        <v>44601</v>
      </c>
      <c r="P223" s="41">
        <f t="shared" si="12"/>
        <v>140.57167230127433</v>
      </c>
      <c r="Q223" s="41">
        <f t="shared" si="13"/>
        <v>177.72048000000001</v>
      </c>
      <c r="R223" s="41">
        <f t="shared" si="14"/>
        <v>37.148807698725676</v>
      </c>
    </row>
    <row r="224" spans="10:18">
      <c r="J224" s="122">
        <v>44512</v>
      </c>
      <c r="K224" s="123">
        <v>163.85837488566372</v>
      </c>
      <c r="L224" s="123">
        <v>121.56480000000001</v>
      </c>
      <c r="M224" s="124">
        <v>-42.293574885663716</v>
      </c>
      <c r="O224" s="39">
        <f t="shared" si="15"/>
        <v>44600</v>
      </c>
      <c r="P224" s="41">
        <f t="shared" si="12"/>
        <v>140.57167230127433</v>
      </c>
      <c r="Q224" s="41">
        <f t="shared" si="13"/>
        <v>172.159344</v>
      </c>
      <c r="R224" s="41">
        <f t="shared" si="14"/>
        <v>31.587671698725671</v>
      </c>
    </row>
    <row r="225" spans="10:18">
      <c r="J225" s="122">
        <v>44511</v>
      </c>
      <c r="K225" s="123">
        <v>153.82780099263718</v>
      </c>
      <c r="L225" s="123">
        <v>126.82656000000001</v>
      </c>
      <c r="M225" s="124">
        <v>-27.001240992637165</v>
      </c>
      <c r="O225" s="39">
        <f t="shared" si="15"/>
        <v>44599</v>
      </c>
      <c r="P225" s="41">
        <f t="shared" si="12"/>
        <v>140.57167230127433</v>
      </c>
      <c r="Q225" s="41">
        <f t="shared" si="13"/>
        <v>165.78172800000002</v>
      </c>
      <c r="R225" s="41">
        <f t="shared" si="14"/>
        <v>25.210055698725682</v>
      </c>
    </row>
    <row r="226" spans="10:18">
      <c r="J226" s="122">
        <v>44510</v>
      </c>
      <c r="K226" s="123">
        <v>153.82780099263718</v>
      </c>
      <c r="L226" s="123">
        <v>126.08265599999999</v>
      </c>
      <c r="M226" s="124">
        <v>-27.745144992637194</v>
      </c>
      <c r="O226" s="39">
        <f t="shared" si="15"/>
        <v>44598</v>
      </c>
      <c r="P226" s="41">
        <f t="shared" si="12"/>
        <v>132.23533442941593</v>
      </c>
      <c r="Q226" s="41">
        <f t="shared" si="13"/>
        <v>161.54510400000001</v>
      </c>
      <c r="R226" s="41">
        <f t="shared" si="14"/>
        <v>29.309769570584081</v>
      </c>
    </row>
    <row r="227" spans="10:18">
      <c r="J227" s="122">
        <v>44509</v>
      </c>
      <c r="K227" s="123">
        <v>153.82780099263718</v>
      </c>
      <c r="L227" s="123">
        <v>139.66343999999998</v>
      </c>
      <c r="M227" s="124">
        <v>-14.164360992637199</v>
      </c>
      <c r="O227" s="39">
        <f t="shared" si="15"/>
        <v>44597</v>
      </c>
      <c r="P227" s="41">
        <f t="shared" si="12"/>
        <v>132.23533442941593</v>
      </c>
      <c r="Q227" s="41">
        <f t="shared" si="13"/>
        <v>161.54510400000001</v>
      </c>
      <c r="R227" s="41">
        <f t="shared" si="14"/>
        <v>29.309769570584081</v>
      </c>
    </row>
    <row r="228" spans="10:18">
      <c r="J228" s="122">
        <v>44508</v>
      </c>
      <c r="K228" s="123">
        <v>153.82780099263718</v>
      </c>
      <c r="L228" s="123">
        <v>143.29223999999999</v>
      </c>
      <c r="M228" s="124">
        <v>-10.535560992637187</v>
      </c>
      <c r="O228" s="39">
        <f t="shared" si="15"/>
        <v>44596</v>
      </c>
      <c r="P228" s="41">
        <f t="shared" si="12"/>
        <v>132.23533442941593</v>
      </c>
      <c r="Q228" s="41">
        <f t="shared" si="13"/>
        <v>161.54510400000001</v>
      </c>
      <c r="R228" s="41">
        <f t="shared" si="14"/>
        <v>29.309769570584081</v>
      </c>
    </row>
    <row r="229" spans="10:18">
      <c r="J229" s="122">
        <v>44505</v>
      </c>
      <c r="K229" s="123">
        <v>153.82780099263718</v>
      </c>
      <c r="L229" s="123">
        <v>130.46443200000002</v>
      </c>
      <c r="M229" s="124">
        <v>-23.363368992637163</v>
      </c>
      <c r="O229" s="39">
        <f t="shared" si="15"/>
        <v>44595</v>
      </c>
      <c r="P229" s="41">
        <f t="shared" si="12"/>
        <v>130.70290908902655</v>
      </c>
      <c r="Q229" s="41">
        <f t="shared" si="13"/>
        <v>157.997952</v>
      </c>
      <c r="R229" s="41">
        <f t="shared" si="14"/>
        <v>27.29504291097345</v>
      </c>
    </row>
    <row r="230" spans="10:18">
      <c r="J230" s="122">
        <v>44504</v>
      </c>
      <c r="K230" s="123">
        <v>156.34099254584072</v>
      </c>
      <c r="L230" s="123">
        <v>133.24953600000001</v>
      </c>
      <c r="M230" s="124">
        <v>-23.091456545840714</v>
      </c>
      <c r="O230" s="39">
        <f t="shared" si="15"/>
        <v>44594</v>
      </c>
      <c r="P230" s="41">
        <f t="shared" si="12"/>
        <v>130.70290908902655</v>
      </c>
      <c r="Q230" s="41">
        <f t="shared" si="13"/>
        <v>162.59745599999999</v>
      </c>
      <c r="R230" s="41">
        <f t="shared" si="14"/>
        <v>31.894546910973446</v>
      </c>
    </row>
    <row r="231" spans="10:18">
      <c r="J231" s="122">
        <v>44503</v>
      </c>
      <c r="K231" s="123">
        <v>156.34099254584072</v>
      </c>
      <c r="L231" s="123">
        <v>133.90271999999999</v>
      </c>
      <c r="M231" s="124">
        <v>-22.438272545840732</v>
      </c>
      <c r="O231" s="39">
        <f t="shared" si="15"/>
        <v>44593</v>
      </c>
      <c r="P231" s="41">
        <f t="shared" si="12"/>
        <v>130.70290908902655</v>
      </c>
      <c r="Q231" s="41">
        <f t="shared" si="13"/>
        <v>160.95542399999999</v>
      </c>
      <c r="R231" s="41">
        <f t="shared" si="14"/>
        <v>30.252514910973446</v>
      </c>
    </row>
    <row r="232" spans="10:18">
      <c r="J232" s="122">
        <v>44502</v>
      </c>
      <c r="K232" s="123">
        <v>156.34099254584072</v>
      </c>
      <c r="L232" s="123">
        <v>138.89231999999998</v>
      </c>
      <c r="M232" s="124">
        <v>-17.448672545840736</v>
      </c>
      <c r="O232" s="39">
        <f t="shared" si="15"/>
        <v>44592</v>
      </c>
      <c r="P232" s="41">
        <f t="shared" si="12"/>
        <v>130.70290908902655</v>
      </c>
      <c r="Q232" s="41">
        <f t="shared" si="13"/>
        <v>164.60236800000001</v>
      </c>
      <c r="R232" s="41">
        <f t="shared" si="14"/>
        <v>33.899458910973465</v>
      </c>
    </row>
    <row r="233" spans="10:18">
      <c r="J233" s="122">
        <v>44501</v>
      </c>
      <c r="K233" s="123">
        <v>156.34099254584072</v>
      </c>
      <c r="L233" s="123">
        <v>142.88400000000001</v>
      </c>
      <c r="M233" s="124">
        <v>-13.456992545840706</v>
      </c>
      <c r="O233" s="39">
        <f t="shared" si="15"/>
        <v>44591</v>
      </c>
      <c r="P233" s="41">
        <f t="shared" si="12"/>
        <v>130.70290908902655</v>
      </c>
      <c r="Q233" s="41">
        <f t="shared" si="13"/>
        <v>193.91399999999999</v>
      </c>
      <c r="R233" s="41">
        <f t="shared" si="14"/>
        <v>63.211090910973439</v>
      </c>
    </row>
    <row r="234" spans="10:18">
      <c r="J234" s="122">
        <v>44498</v>
      </c>
      <c r="K234" s="123">
        <v>156.34099254584072</v>
      </c>
      <c r="L234" s="123">
        <v>155.47593599999999</v>
      </c>
      <c r="M234" s="124">
        <v>-0.86505654584073</v>
      </c>
      <c r="O234" s="39">
        <f t="shared" si="15"/>
        <v>44590</v>
      </c>
      <c r="P234" s="41">
        <f t="shared" si="12"/>
        <v>130.70290908902655</v>
      </c>
      <c r="Q234" s="41">
        <f t="shared" si="13"/>
        <v>193.91399999999999</v>
      </c>
      <c r="R234" s="41">
        <f t="shared" si="14"/>
        <v>63.211090910973439</v>
      </c>
    </row>
    <row r="235" spans="10:18">
      <c r="J235" s="122">
        <v>44497</v>
      </c>
      <c r="K235" s="123">
        <v>155.5184024374301</v>
      </c>
      <c r="L235" s="123">
        <v>181.66679999999999</v>
      </c>
      <c r="M235" s="124">
        <v>26.148397562569897</v>
      </c>
      <c r="O235" s="39">
        <f t="shared" si="15"/>
        <v>44589</v>
      </c>
      <c r="P235" s="41">
        <f t="shared" si="12"/>
        <v>130.70290908902655</v>
      </c>
      <c r="Q235" s="41">
        <f t="shared" si="13"/>
        <v>193.91399999999999</v>
      </c>
      <c r="R235" s="41">
        <f t="shared" si="14"/>
        <v>63.211090910973439</v>
      </c>
    </row>
    <row r="236" spans="10:18">
      <c r="J236" s="122">
        <v>44496</v>
      </c>
      <c r="K236" s="123">
        <v>155.5184024374301</v>
      </c>
      <c r="L236" s="123">
        <v>195.048</v>
      </c>
      <c r="M236" s="124">
        <v>39.529597562569904</v>
      </c>
      <c r="O236" s="39">
        <f t="shared" si="15"/>
        <v>44588</v>
      </c>
      <c r="P236" s="41">
        <f t="shared" si="12"/>
        <v>133.28966685504426</v>
      </c>
      <c r="Q236" s="41">
        <f t="shared" si="13"/>
        <v>195.85540799999998</v>
      </c>
      <c r="R236" s="41">
        <f t="shared" si="14"/>
        <v>62.565741144955723</v>
      </c>
    </row>
    <row r="237" spans="10:18">
      <c r="J237" s="122">
        <v>44495</v>
      </c>
      <c r="K237" s="123">
        <v>155.5184024374301</v>
      </c>
      <c r="L237" s="123">
        <v>205.25399999999999</v>
      </c>
      <c r="M237" s="124">
        <v>49.735597562569893</v>
      </c>
      <c r="O237" s="39">
        <f t="shared" si="15"/>
        <v>44587</v>
      </c>
      <c r="P237" s="41">
        <f t="shared" si="12"/>
        <v>133.28966685504426</v>
      </c>
      <c r="Q237" s="41">
        <f t="shared" si="13"/>
        <v>196.78982399999998</v>
      </c>
      <c r="R237" s="41">
        <f t="shared" si="14"/>
        <v>63.500157144955722</v>
      </c>
    </row>
    <row r="238" spans="10:18">
      <c r="J238" s="122">
        <v>44494</v>
      </c>
      <c r="K238" s="123">
        <v>155.5184024374301</v>
      </c>
      <c r="L238" s="123">
        <v>197.22528</v>
      </c>
      <c r="M238" s="124">
        <v>41.7068775625699</v>
      </c>
      <c r="O238" s="39">
        <f t="shared" si="15"/>
        <v>44586</v>
      </c>
      <c r="P238" s="41">
        <f t="shared" si="12"/>
        <v>133.28966685504426</v>
      </c>
      <c r="Q238" s="41">
        <f t="shared" si="13"/>
        <v>177.08543999999998</v>
      </c>
      <c r="R238" s="41">
        <f t="shared" si="14"/>
        <v>43.795773144955717</v>
      </c>
    </row>
    <row r="239" spans="10:18">
      <c r="J239" s="122">
        <v>44491</v>
      </c>
      <c r="K239" s="123">
        <v>155.5184024374301</v>
      </c>
      <c r="L239" s="123">
        <v>189.60480000000001</v>
      </c>
      <c r="M239" s="124">
        <v>34.086397562569914</v>
      </c>
      <c r="O239" s="39">
        <f t="shared" si="15"/>
        <v>44585</v>
      </c>
      <c r="P239" s="41">
        <f t="shared" si="12"/>
        <v>133.28966685504426</v>
      </c>
      <c r="Q239" s="41">
        <f t="shared" si="13"/>
        <v>165.981312</v>
      </c>
      <c r="R239" s="41">
        <f t="shared" si="14"/>
        <v>32.691645144955743</v>
      </c>
    </row>
    <row r="240" spans="10:18">
      <c r="J240" s="122">
        <v>44490</v>
      </c>
      <c r="K240" s="123">
        <v>153.64698424907257</v>
      </c>
      <c r="L240" s="123">
        <v>190.45756800000001</v>
      </c>
      <c r="M240" s="124">
        <v>36.810583750927435</v>
      </c>
      <c r="O240" s="39">
        <f t="shared" si="15"/>
        <v>44584</v>
      </c>
      <c r="P240" s="41">
        <f t="shared" si="12"/>
        <v>133.28966685504426</v>
      </c>
      <c r="Q240" s="41">
        <f t="shared" si="13"/>
        <v>160.5744</v>
      </c>
      <c r="R240" s="41">
        <f t="shared" si="14"/>
        <v>27.284733144955737</v>
      </c>
    </row>
    <row r="241" spans="10:18">
      <c r="J241" s="122">
        <v>44489</v>
      </c>
      <c r="K241" s="123">
        <v>153.64698424907257</v>
      </c>
      <c r="L241" s="123">
        <v>201.39840000000001</v>
      </c>
      <c r="M241" s="124">
        <v>47.751415750927436</v>
      </c>
      <c r="O241" s="39">
        <f t="shared" si="15"/>
        <v>44583</v>
      </c>
      <c r="P241" s="41">
        <f t="shared" si="12"/>
        <v>133.28966685504426</v>
      </c>
      <c r="Q241" s="41">
        <f t="shared" si="13"/>
        <v>160.5744</v>
      </c>
      <c r="R241" s="41">
        <f t="shared" si="14"/>
        <v>27.284733144955737</v>
      </c>
    </row>
    <row r="242" spans="10:18">
      <c r="J242" s="122">
        <v>44488</v>
      </c>
      <c r="K242" s="123">
        <v>153.64698424907257</v>
      </c>
      <c r="L242" s="123">
        <v>210.29803200000001</v>
      </c>
      <c r="M242" s="124">
        <v>56.651047750927432</v>
      </c>
      <c r="O242" s="39">
        <f t="shared" si="15"/>
        <v>44582</v>
      </c>
      <c r="P242" s="41">
        <f t="shared" si="12"/>
        <v>133.28966685504426</v>
      </c>
      <c r="Q242" s="41">
        <f t="shared" si="13"/>
        <v>160.5744</v>
      </c>
      <c r="R242" s="41">
        <f t="shared" si="14"/>
        <v>27.284733144955737</v>
      </c>
    </row>
    <row r="243" spans="10:18">
      <c r="J243" s="122">
        <v>44487</v>
      </c>
      <c r="K243" s="123">
        <v>153.64698424907257</v>
      </c>
      <c r="L243" s="123">
        <v>216.076896</v>
      </c>
      <c r="M243" s="124">
        <v>62.429911750927431</v>
      </c>
      <c r="O243" s="39">
        <f t="shared" si="15"/>
        <v>44581</v>
      </c>
      <c r="P243" s="41">
        <f t="shared" si="12"/>
        <v>135.09792175922124</v>
      </c>
      <c r="Q243" s="41">
        <f t="shared" si="13"/>
        <v>153.91555199999999</v>
      </c>
      <c r="R243" s="41">
        <f t="shared" si="14"/>
        <v>18.817630240778755</v>
      </c>
    </row>
    <row r="244" spans="10:18">
      <c r="J244" s="122">
        <v>44484</v>
      </c>
      <c r="K244" s="123">
        <v>153.64698424907257</v>
      </c>
      <c r="L244" s="123">
        <v>230.24736000000001</v>
      </c>
      <c r="M244" s="124">
        <v>76.600375750927441</v>
      </c>
      <c r="O244" s="39">
        <f t="shared" si="15"/>
        <v>44580</v>
      </c>
      <c r="P244" s="41">
        <f t="shared" si="12"/>
        <v>135.09792175922124</v>
      </c>
      <c r="Q244" s="41">
        <f t="shared" si="13"/>
        <v>163.0692</v>
      </c>
      <c r="R244" s="41">
        <f t="shared" si="14"/>
        <v>27.971278240778759</v>
      </c>
    </row>
    <row r="245" spans="10:18">
      <c r="J245" s="122">
        <v>44483</v>
      </c>
      <c r="K245" s="123">
        <v>149.11347727481419</v>
      </c>
      <c r="L245" s="123">
        <v>232.78752000000003</v>
      </c>
      <c r="M245" s="124">
        <v>83.674042725185842</v>
      </c>
      <c r="O245" s="39">
        <f t="shared" si="15"/>
        <v>44579</v>
      </c>
      <c r="P245" s="41">
        <f t="shared" si="12"/>
        <v>135.09792175922124</v>
      </c>
      <c r="Q245" s="41">
        <f t="shared" si="13"/>
        <v>163.58630399999998</v>
      </c>
      <c r="R245" s="41">
        <f t="shared" si="14"/>
        <v>28.488382240778748</v>
      </c>
    </row>
    <row r="246" spans="10:18">
      <c r="J246" s="122">
        <v>44482</v>
      </c>
      <c r="K246" s="123">
        <v>149.11347727481419</v>
      </c>
      <c r="L246" s="123">
        <v>233.04153600000001</v>
      </c>
      <c r="M246" s="124">
        <v>83.928058725185821</v>
      </c>
      <c r="O246" s="39">
        <f t="shared" si="15"/>
        <v>44578</v>
      </c>
      <c r="P246" s="41">
        <f t="shared" si="12"/>
        <v>135.09792175922124</v>
      </c>
      <c r="Q246" s="41">
        <f t="shared" si="13"/>
        <v>157.32662399999998</v>
      </c>
      <c r="R246" s="41">
        <f t="shared" si="14"/>
        <v>22.228702240778745</v>
      </c>
    </row>
    <row r="247" spans="10:18">
      <c r="J247" s="122">
        <v>44481</v>
      </c>
      <c r="K247" s="123">
        <v>149.11347727481419</v>
      </c>
      <c r="L247" s="123">
        <v>231.78960000000001</v>
      </c>
      <c r="M247" s="124">
        <v>82.67612272518582</v>
      </c>
      <c r="O247" s="39">
        <f t="shared" si="15"/>
        <v>44577</v>
      </c>
      <c r="P247" s="41">
        <f t="shared" si="12"/>
        <v>135.09792175922124</v>
      </c>
      <c r="Q247" s="41">
        <f t="shared" si="13"/>
        <v>154.58688000000001</v>
      </c>
      <c r="R247" s="41">
        <f t="shared" si="14"/>
        <v>19.488958240778771</v>
      </c>
    </row>
    <row r="248" spans="10:18">
      <c r="J248" s="122">
        <v>44480</v>
      </c>
      <c r="K248" s="123">
        <v>149.11347727481419</v>
      </c>
      <c r="L248" s="123">
        <v>220.4496</v>
      </c>
      <c r="M248" s="124">
        <v>71.336122725185817</v>
      </c>
      <c r="O248" s="39">
        <f t="shared" si="15"/>
        <v>44576</v>
      </c>
      <c r="P248" s="41">
        <f t="shared" si="12"/>
        <v>135.09792175922124</v>
      </c>
      <c r="Q248" s="41">
        <f t="shared" si="13"/>
        <v>154.58688000000001</v>
      </c>
      <c r="R248" s="41">
        <f t="shared" si="14"/>
        <v>19.488958240778771</v>
      </c>
    </row>
    <row r="249" spans="10:18">
      <c r="J249" s="122">
        <v>44477</v>
      </c>
      <c r="K249" s="123">
        <v>149.11347727481419</v>
      </c>
      <c r="L249" s="123">
        <v>214.253424</v>
      </c>
      <c r="M249" s="124">
        <v>65.139946725185808</v>
      </c>
      <c r="O249" s="39">
        <f t="shared" si="15"/>
        <v>44575</v>
      </c>
      <c r="P249" s="41">
        <f t="shared" si="12"/>
        <v>135.09792175922124</v>
      </c>
      <c r="Q249" s="41">
        <f t="shared" si="13"/>
        <v>154.58688000000001</v>
      </c>
      <c r="R249" s="41">
        <f t="shared" si="14"/>
        <v>19.488958240778771</v>
      </c>
    </row>
    <row r="250" spans="10:18">
      <c r="J250" s="122">
        <v>44476</v>
      </c>
      <c r="K250" s="123">
        <v>122.98702917740177</v>
      </c>
      <c r="L250" s="123">
        <v>204.12</v>
      </c>
      <c r="M250" s="124">
        <v>81.132970822598239</v>
      </c>
      <c r="O250" s="39">
        <f t="shared" si="15"/>
        <v>44574</v>
      </c>
      <c r="P250" s="41">
        <f t="shared" si="12"/>
        <v>138.44964568256285</v>
      </c>
      <c r="Q250" s="41">
        <f t="shared" si="13"/>
        <v>140.098896</v>
      </c>
      <c r="R250" s="41">
        <f t="shared" si="14"/>
        <v>1.6492503174371507</v>
      </c>
    </row>
    <row r="251" spans="10:18">
      <c r="J251" s="122">
        <v>44475</v>
      </c>
      <c r="K251" s="123">
        <v>122.98702917740177</v>
      </c>
      <c r="L251" s="123">
        <v>253.26302400000003</v>
      </c>
      <c r="M251" s="124">
        <v>130.27599482259825</v>
      </c>
      <c r="O251" s="39">
        <f t="shared" si="15"/>
        <v>44573</v>
      </c>
      <c r="P251" s="41">
        <f t="shared" si="12"/>
        <v>138.44964568256285</v>
      </c>
      <c r="Q251" s="41">
        <f t="shared" si="13"/>
        <v>122.9256</v>
      </c>
      <c r="R251" s="41">
        <f t="shared" si="14"/>
        <v>-15.524045682562843</v>
      </c>
    </row>
    <row r="252" spans="10:18">
      <c r="J252" s="122">
        <v>44474</v>
      </c>
      <c r="K252" s="123">
        <v>122.98702917740177</v>
      </c>
      <c r="L252" s="123">
        <v>270.88992000000002</v>
      </c>
      <c r="M252" s="124">
        <v>147.90289082259824</v>
      </c>
      <c r="O252" s="39">
        <f t="shared" si="15"/>
        <v>44572</v>
      </c>
      <c r="P252" s="41">
        <f t="shared" si="12"/>
        <v>138.44964568256285</v>
      </c>
      <c r="Q252" s="41">
        <f t="shared" si="13"/>
        <v>119.922768</v>
      </c>
      <c r="R252" s="41">
        <f t="shared" si="14"/>
        <v>-18.526877682562841</v>
      </c>
    </row>
    <row r="253" spans="10:18">
      <c r="J253" s="122">
        <v>44473</v>
      </c>
      <c r="K253" s="123">
        <v>122.98702917740177</v>
      </c>
      <c r="L253" s="123">
        <v>235.41839999999999</v>
      </c>
      <c r="M253" s="124">
        <v>112.43137082259823</v>
      </c>
      <c r="O253" s="39">
        <f t="shared" si="15"/>
        <v>44571</v>
      </c>
      <c r="P253" s="41">
        <f t="shared" si="12"/>
        <v>138.44964568256285</v>
      </c>
      <c r="Q253" s="41">
        <f t="shared" si="13"/>
        <v>126.84470399999999</v>
      </c>
      <c r="R253" s="41">
        <f t="shared" si="14"/>
        <v>-11.604941682562853</v>
      </c>
    </row>
    <row r="254" spans="10:18">
      <c r="J254" s="122">
        <v>44470</v>
      </c>
      <c r="K254" s="123">
        <v>122.98702917740177</v>
      </c>
      <c r="L254" s="123">
        <v>210.54297600000001</v>
      </c>
      <c r="M254" s="124">
        <v>87.555946822598244</v>
      </c>
      <c r="O254" s="39">
        <f t="shared" si="15"/>
        <v>44570</v>
      </c>
      <c r="P254" s="41">
        <f t="shared" si="12"/>
        <v>143.65985685247435</v>
      </c>
      <c r="Q254" s="41">
        <f t="shared" si="13"/>
        <v>134.338176</v>
      </c>
      <c r="R254" s="41">
        <f t="shared" si="14"/>
        <v>-9.3216808524743442</v>
      </c>
    </row>
    <row r="255" spans="10:18">
      <c r="J255" s="122">
        <v>44469</v>
      </c>
      <c r="K255" s="123">
        <v>116.77029487333806</v>
      </c>
      <c r="L255" s="123">
        <v>196.56302399999998</v>
      </c>
      <c r="M255" s="124">
        <v>79.792729126661925</v>
      </c>
      <c r="O255" s="39">
        <f t="shared" si="15"/>
        <v>44569</v>
      </c>
      <c r="P255" s="41">
        <f t="shared" si="12"/>
        <v>143.65985685247435</v>
      </c>
      <c r="Q255" s="41">
        <f t="shared" si="13"/>
        <v>134.338176</v>
      </c>
      <c r="R255" s="41">
        <f t="shared" si="14"/>
        <v>-9.3216808524743442</v>
      </c>
    </row>
    <row r="256" spans="10:18">
      <c r="J256" s="122">
        <v>44468</v>
      </c>
      <c r="K256" s="123">
        <v>116.77029487333806</v>
      </c>
      <c r="L256" s="123">
        <v>191.50991999999999</v>
      </c>
      <c r="M256" s="124">
        <v>74.739625126661934</v>
      </c>
      <c r="O256" s="39">
        <f t="shared" si="15"/>
        <v>44568</v>
      </c>
      <c r="P256" s="41">
        <f t="shared" si="12"/>
        <v>143.65985685247435</v>
      </c>
      <c r="Q256" s="41">
        <f t="shared" si="13"/>
        <v>134.338176</v>
      </c>
      <c r="R256" s="41">
        <f t="shared" si="14"/>
        <v>-9.3216808524743442</v>
      </c>
    </row>
    <row r="257" spans="10:18">
      <c r="J257" s="122">
        <v>44467</v>
      </c>
      <c r="K257" s="123">
        <v>116.77029487333806</v>
      </c>
      <c r="L257" s="123">
        <v>191.682288</v>
      </c>
      <c r="M257" s="124">
        <v>74.91199312666194</v>
      </c>
      <c r="O257" s="39">
        <f t="shared" si="15"/>
        <v>44567</v>
      </c>
      <c r="P257" s="41">
        <f t="shared" si="12"/>
        <v>145.29892696088498</v>
      </c>
      <c r="Q257" s="41">
        <f t="shared" si="13"/>
        <v>129.85660799999999</v>
      </c>
      <c r="R257" s="41">
        <f t="shared" si="14"/>
        <v>-15.44231896088499</v>
      </c>
    </row>
    <row r="258" spans="10:18">
      <c r="J258" s="122">
        <v>44466</v>
      </c>
      <c r="K258" s="123">
        <v>116.77029487333806</v>
      </c>
      <c r="L258" s="123">
        <v>182.80080000000001</v>
      </c>
      <c r="M258" s="124">
        <v>66.03050512666195</v>
      </c>
      <c r="O258" s="39">
        <f t="shared" si="15"/>
        <v>44566</v>
      </c>
      <c r="P258" s="41">
        <f t="shared" si="12"/>
        <v>145.29892696088498</v>
      </c>
      <c r="Q258" s="41">
        <f t="shared" si="13"/>
        <v>124.5132</v>
      </c>
      <c r="R258" s="41">
        <f t="shared" si="14"/>
        <v>-20.785726960884986</v>
      </c>
    </row>
    <row r="259" spans="10:18">
      <c r="J259" s="122">
        <v>44463</v>
      </c>
      <c r="K259" s="123">
        <v>116.77029487333806</v>
      </c>
      <c r="L259" s="123">
        <v>180.53280000000001</v>
      </c>
      <c r="M259" s="124">
        <v>63.762505126661949</v>
      </c>
      <c r="O259" s="39">
        <f t="shared" si="15"/>
        <v>44565</v>
      </c>
      <c r="P259" s="41">
        <f t="shared" si="12"/>
        <v>145.29892696088498</v>
      </c>
      <c r="Q259" s="41">
        <f t="shared" si="13"/>
        <v>119.30587199999999</v>
      </c>
      <c r="R259" s="41">
        <f t="shared" si="14"/>
        <v>-25.99305496088499</v>
      </c>
    </row>
    <row r="260" spans="10:18">
      <c r="J260" s="122">
        <v>44462</v>
      </c>
      <c r="K260" s="123">
        <v>116.53736727122127</v>
      </c>
      <c r="L260" s="123">
        <v>166.9248</v>
      </c>
      <c r="M260" s="124">
        <v>50.387432728778734</v>
      </c>
      <c r="O260" s="39">
        <f t="shared" si="15"/>
        <v>44564</v>
      </c>
      <c r="P260" s="41">
        <f t="shared" si="12"/>
        <v>145.29892696088498</v>
      </c>
      <c r="Q260" s="41">
        <f t="shared" si="13"/>
        <v>110.342736</v>
      </c>
      <c r="R260" s="41">
        <f t="shared" si="14"/>
        <v>-34.956190960884982</v>
      </c>
    </row>
    <row r="261" spans="10:18">
      <c r="J261" s="122">
        <v>44461</v>
      </c>
      <c r="K261" s="123">
        <v>116.53736727122127</v>
      </c>
      <c r="L261" s="123">
        <v>158.0796</v>
      </c>
      <c r="M261" s="124">
        <v>41.542232728778728</v>
      </c>
      <c r="O261" s="39">
        <f t="shared" si="15"/>
        <v>44563</v>
      </c>
      <c r="P261" s="41">
        <f t="shared" si="12"/>
        <v>145.29892696088498</v>
      </c>
      <c r="Q261" s="41">
        <f t="shared" si="13"/>
        <v>110.342736</v>
      </c>
      <c r="R261" s="41">
        <f t="shared" si="14"/>
        <v>-34.956190960884982</v>
      </c>
    </row>
    <row r="262" spans="10:18">
      <c r="J262" s="122">
        <v>44460</v>
      </c>
      <c r="K262" s="123">
        <v>116.53736727122127</v>
      </c>
      <c r="L262" s="123">
        <v>158.85072</v>
      </c>
      <c r="M262" s="124">
        <v>42.313352728778725</v>
      </c>
      <c r="O262" s="39">
        <f t="shared" si="15"/>
        <v>44562</v>
      </c>
      <c r="P262" s="41">
        <f t="shared" ref="P262:P325" si="16">IFERROR(VLOOKUP($O262,$J$5:$M$403,2,FALSE),P263)</f>
        <v>145.29892696088498</v>
      </c>
      <c r="Q262" s="41">
        <f t="shared" ref="Q262:Q325" si="17">IFERROR(VLOOKUP($O262,$J$5:$M$403,3,FALSE),Q263)</f>
        <v>110.342736</v>
      </c>
      <c r="R262" s="41">
        <f t="shared" ref="R262:R325" si="18">IFERROR(VLOOKUP($O262,$J$5:$M$403,4,FALSE),R263)</f>
        <v>-34.956190960884982</v>
      </c>
    </row>
    <row r="263" spans="10:18">
      <c r="J263" s="122">
        <v>44459</v>
      </c>
      <c r="K263" s="123">
        <v>116.53736727122127</v>
      </c>
      <c r="L263" s="123">
        <v>161.93520000000001</v>
      </c>
      <c r="M263" s="124">
        <v>45.397832728778738</v>
      </c>
      <c r="O263" s="39">
        <f t="shared" ref="O263:O326" si="19">O262-1</f>
        <v>44561</v>
      </c>
      <c r="P263" s="41">
        <f t="shared" si="16"/>
        <v>145.29892696088498</v>
      </c>
      <c r="Q263" s="41">
        <f t="shared" si="17"/>
        <v>110.342736</v>
      </c>
      <c r="R263" s="41">
        <f t="shared" si="18"/>
        <v>-34.956190960884982</v>
      </c>
    </row>
    <row r="264" spans="10:18">
      <c r="J264" s="122">
        <v>44456</v>
      </c>
      <c r="K264" s="123">
        <v>116.53736727122127</v>
      </c>
      <c r="L264" s="123">
        <v>157.94352000000001</v>
      </c>
      <c r="M264" s="124">
        <v>41.406152728778736</v>
      </c>
      <c r="O264" s="39">
        <f t="shared" si="19"/>
        <v>44560</v>
      </c>
      <c r="P264" s="41">
        <f t="shared" si="16"/>
        <v>143.61203006729204</v>
      </c>
      <c r="Q264" s="41">
        <f t="shared" si="17"/>
        <v>109.14523200000001</v>
      </c>
      <c r="R264" s="41">
        <f t="shared" si="18"/>
        <v>-34.466798067292032</v>
      </c>
    </row>
    <row r="265" spans="10:18">
      <c r="J265" s="122">
        <v>44455</v>
      </c>
      <c r="K265" s="123">
        <v>114.21236657656993</v>
      </c>
      <c r="L265" s="123">
        <v>158.48783999999998</v>
      </c>
      <c r="M265" s="124">
        <v>44.275473423430043</v>
      </c>
      <c r="O265" s="39">
        <f t="shared" si="19"/>
        <v>44559</v>
      </c>
      <c r="P265" s="41">
        <f t="shared" si="16"/>
        <v>143.61203006729204</v>
      </c>
      <c r="Q265" s="41">
        <f t="shared" si="17"/>
        <v>109.72584000000001</v>
      </c>
      <c r="R265" s="41">
        <f t="shared" si="18"/>
        <v>-33.886190067292034</v>
      </c>
    </row>
    <row r="266" spans="10:18">
      <c r="J266" s="122">
        <v>44454</v>
      </c>
      <c r="K266" s="123">
        <v>114.21236657656993</v>
      </c>
      <c r="L266" s="123">
        <v>159.53111999999999</v>
      </c>
      <c r="M266" s="124">
        <v>45.318753423430053</v>
      </c>
      <c r="O266" s="39">
        <f t="shared" si="19"/>
        <v>44558</v>
      </c>
      <c r="P266" s="41">
        <f t="shared" si="16"/>
        <v>143.61203006729204</v>
      </c>
      <c r="Q266" s="41">
        <f t="shared" si="17"/>
        <v>132.90479999999999</v>
      </c>
      <c r="R266" s="41">
        <f t="shared" si="18"/>
        <v>-10.707230067292045</v>
      </c>
    </row>
    <row r="267" spans="10:18">
      <c r="J267" s="122">
        <v>44453</v>
      </c>
      <c r="K267" s="123">
        <v>114.21236657656993</v>
      </c>
      <c r="L267" s="123">
        <v>160.3476</v>
      </c>
      <c r="M267" s="124">
        <v>46.135233423430066</v>
      </c>
      <c r="O267" s="39">
        <f t="shared" si="19"/>
        <v>44557</v>
      </c>
      <c r="P267" s="41">
        <f t="shared" si="16"/>
        <v>143.61203006729204</v>
      </c>
      <c r="Q267" s="41">
        <f t="shared" si="17"/>
        <v>132.90479999999999</v>
      </c>
      <c r="R267" s="41">
        <f t="shared" si="18"/>
        <v>-10.707230067292045</v>
      </c>
    </row>
    <row r="268" spans="10:18">
      <c r="J268" s="122">
        <v>44452</v>
      </c>
      <c r="K268" s="123">
        <v>114.21236657656993</v>
      </c>
      <c r="L268" s="123">
        <v>161.02799999999999</v>
      </c>
      <c r="M268" s="124">
        <v>46.815633423430057</v>
      </c>
      <c r="O268" s="39">
        <f t="shared" si="19"/>
        <v>44556</v>
      </c>
      <c r="P268" s="41">
        <f t="shared" si="16"/>
        <v>143.61203006729204</v>
      </c>
      <c r="Q268" s="41">
        <f t="shared" si="17"/>
        <v>132.90479999999999</v>
      </c>
      <c r="R268" s="41">
        <f t="shared" si="18"/>
        <v>-10.707230067292045</v>
      </c>
    </row>
    <row r="269" spans="10:18">
      <c r="J269" s="122">
        <v>44449</v>
      </c>
      <c r="K269" s="123">
        <v>114.21236657656993</v>
      </c>
      <c r="L269" s="123">
        <v>157.59878399999999</v>
      </c>
      <c r="M269" s="124">
        <v>43.386417423430061</v>
      </c>
      <c r="O269" s="39">
        <f t="shared" si="19"/>
        <v>44555</v>
      </c>
      <c r="P269" s="41">
        <f t="shared" si="16"/>
        <v>143.61203006729204</v>
      </c>
      <c r="Q269" s="41">
        <f t="shared" si="17"/>
        <v>132.90479999999999</v>
      </c>
      <c r="R269" s="41">
        <f t="shared" si="18"/>
        <v>-10.707230067292045</v>
      </c>
    </row>
    <row r="270" spans="10:18">
      <c r="J270" s="122">
        <v>44448</v>
      </c>
      <c r="K270" s="123">
        <v>110.80978705439999</v>
      </c>
      <c r="L270" s="123">
        <v>157.626</v>
      </c>
      <c r="M270" s="124">
        <v>46.816212945600014</v>
      </c>
      <c r="O270" s="39">
        <f t="shared" si="19"/>
        <v>44554</v>
      </c>
      <c r="P270" s="41">
        <f t="shared" si="16"/>
        <v>143.61203006729204</v>
      </c>
      <c r="Q270" s="41">
        <f t="shared" si="17"/>
        <v>132.90479999999999</v>
      </c>
      <c r="R270" s="41">
        <f t="shared" si="18"/>
        <v>-10.707230067292045</v>
      </c>
    </row>
    <row r="271" spans="10:18">
      <c r="J271" s="122">
        <v>44447</v>
      </c>
      <c r="K271" s="123">
        <v>110.80978705439999</v>
      </c>
      <c r="L271" s="123">
        <v>154.22399999999999</v>
      </c>
      <c r="M271" s="124">
        <v>43.414212945599999</v>
      </c>
      <c r="O271" s="39">
        <f t="shared" si="19"/>
        <v>44553</v>
      </c>
      <c r="P271" s="41">
        <f t="shared" si="16"/>
        <v>143.28102584389379</v>
      </c>
      <c r="Q271" s="41">
        <f t="shared" si="17"/>
        <v>140.198688</v>
      </c>
      <c r="R271" s="41">
        <f t="shared" si="18"/>
        <v>-3.0823378438937823</v>
      </c>
    </row>
    <row r="272" spans="10:18">
      <c r="J272" s="122">
        <v>44446</v>
      </c>
      <c r="K272" s="123">
        <v>110.80978705439999</v>
      </c>
      <c r="L272" s="123">
        <v>153.83390399999999</v>
      </c>
      <c r="M272" s="124">
        <v>43.024116945599999</v>
      </c>
      <c r="O272" s="39">
        <f t="shared" si="19"/>
        <v>44552</v>
      </c>
      <c r="P272" s="41">
        <f t="shared" si="16"/>
        <v>143.28102584389379</v>
      </c>
      <c r="Q272" s="41">
        <f t="shared" si="17"/>
        <v>145.15199999999999</v>
      </c>
      <c r="R272" s="41">
        <f t="shared" si="18"/>
        <v>1.8709741561062003</v>
      </c>
    </row>
    <row r="273" spans="10:18">
      <c r="J273" s="122">
        <v>44445</v>
      </c>
      <c r="K273" s="123">
        <v>110.80978705439999</v>
      </c>
      <c r="L273" s="123">
        <v>154.22399999999999</v>
      </c>
      <c r="M273" s="124">
        <v>43.414212945599999</v>
      </c>
      <c r="O273" s="39">
        <f t="shared" si="19"/>
        <v>44551</v>
      </c>
      <c r="P273" s="41">
        <f t="shared" si="16"/>
        <v>143.28102584389379</v>
      </c>
      <c r="Q273" s="41">
        <f t="shared" si="17"/>
        <v>148.96223999999998</v>
      </c>
      <c r="R273" s="41">
        <f t="shared" si="18"/>
        <v>5.6812141561061935</v>
      </c>
    </row>
    <row r="274" spans="10:18">
      <c r="J274" s="122">
        <v>44442</v>
      </c>
      <c r="K274" s="123">
        <v>110.80978705439999</v>
      </c>
      <c r="L274" s="123">
        <v>150.422832</v>
      </c>
      <c r="M274" s="124">
        <v>39.613044945600009</v>
      </c>
      <c r="O274" s="39">
        <f t="shared" si="19"/>
        <v>44550</v>
      </c>
      <c r="P274" s="41">
        <f t="shared" si="16"/>
        <v>143.28102584389379</v>
      </c>
      <c r="Q274" s="41">
        <f t="shared" si="17"/>
        <v>145.99569600000001</v>
      </c>
      <c r="R274" s="41">
        <f t="shared" si="18"/>
        <v>2.714670156106223</v>
      </c>
    </row>
    <row r="275" spans="10:18">
      <c r="J275" s="122">
        <v>44441</v>
      </c>
      <c r="K275" s="123">
        <v>109.79962934387258</v>
      </c>
      <c r="L275" s="123">
        <v>150.894576</v>
      </c>
      <c r="M275" s="124">
        <v>41.094946656127419</v>
      </c>
      <c r="O275" s="39">
        <f t="shared" si="19"/>
        <v>44549</v>
      </c>
      <c r="P275" s="41">
        <f t="shared" si="16"/>
        <v>143.28102584389379</v>
      </c>
      <c r="Q275" s="41">
        <f t="shared" si="17"/>
        <v>144.27201600000001</v>
      </c>
      <c r="R275" s="41">
        <f t="shared" si="18"/>
        <v>0.99099015610622132</v>
      </c>
    </row>
    <row r="276" spans="10:18">
      <c r="J276" s="122">
        <v>44440</v>
      </c>
      <c r="K276" s="123">
        <v>109.79962934387258</v>
      </c>
      <c r="L276" s="123">
        <v>147.456288</v>
      </c>
      <c r="M276" s="124">
        <v>37.656658656127419</v>
      </c>
      <c r="O276" s="39">
        <f t="shared" si="19"/>
        <v>44548</v>
      </c>
      <c r="P276" s="41">
        <f t="shared" si="16"/>
        <v>143.28102584389379</v>
      </c>
      <c r="Q276" s="41">
        <f t="shared" si="17"/>
        <v>144.27201600000001</v>
      </c>
      <c r="R276" s="41">
        <f t="shared" si="18"/>
        <v>0.99099015610622132</v>
      </c>
    </row>
    <row r="277" spans="10:18">
      <c r="J277" s="122">
        <v>44439</v>
      </c>
      <c r="K277" s="123">
        <v>109.79962934387258</v>
      </c>
      <c r="L277" s="123">
        <v>139.46385599999999</v>
      </c>
      <c r="M277" s="124">
        <v>29.664226656127411</v>
      </c>
      <c r="O277" s="39">
        <f t="shared" si="19"/>
        <v>44547</v>
      </c>
      <c r="P277" s="41">
        <f t="shared" si="16"/>
        <v>143.28102584389379</v>
      </c>
      <c r="Q277" s="41">
        <f t="shared" si="17"/>
        <v>144.27201600000001</v>
      </c>
      <c r="R277" s="41">
        <f t="shared" si="18"/>
        <v>0.99099015610622132</v>
      </c>
    </row>
    <row r="278" spans="10:18">
      <c r="J278" s="122">
        <v>44438</v>
      </c>
      <c r="K278" s="123">
        <v>109.79962934387258</v>
      </c>
      <c r="L278" s="123">
        <v>136.9872</v>
      </c>
      <c r="M278" s="124">
        <v>27.18757065612742</v>
      </c>
      <c r="O278" s="39">
        <f t="shared" si="19"/>
        <v>44546</v>
      </c>
      <c r="P278" s="41">
        <f t="shared" si="16"/>
        <v>147.76919031185841</v>
      </c>
      <c r="Q278" s="41">
        <f t="shared" si="17"/>
        <v>141.84072</v>
      </c>
      <c r="R278" s="41">
        <f t="shared" si="18"/>
        <v>-5.9284703118584048</v>
      </c>
    </row>
    <row r="279" spans="10:18">
      <c r="J279" s="122">
        <v>44435</v>
      </c>
      <c r="K279" s="123">
        <v>109.79962934387258</v>
      </c>
      <c r="L279" s="123">
        <v>136.9872</v>
      </c>
      <c r="M279" s="124">
        <v>27.18757065612742</v>
      </c>
      <c r="O279" s="39">
        <f t="shared" si="19"/>
        <v>44545</v>
      </c>
      <c r="P279" s="41">
        <f t="shared" si="16"/>
        <v>147.76919031185841</v>
      </c>
      <c r="Q279" s="41">
        <f t="shared" si="17"/>
        <v>138.42057600000001</v>
      </c>
      <c r="R279" s="41">
        <f t="shared" si="18"/>
        <v>-9.3486143118583982</v>
      </c>
    </row>
    <row r="280" spans="10:18">
      <c r="J280" s="122">
        <v>44434</v>
      </c>
      <c r="K280" s="123">
        <v>108.6300927503363</v>
      </c>
      <c r="L280" s="123">
        <v>136.44288</v>
      </c>
      <c r="M280" s="124">
        <v>27.8127872496637</v>
      </c>
      <c r="O280" s="39">
        <f t="shared" si="19"/>
        <v>44544</v>
      </c>
      <c r="P280" s="41">
        <f t="shared" si="16"/>
        <v>147.76919031185841</v>
      </c>
      <c r="Q280" s="41">
        <f t="shared" si="17"/>
        <v>135.508464</v>
      </c>
      <c r="R280" s="41">
        <f t="shared" si="18"/>
        <v>-12.260726311858406</v>
      </c>
    </row>
    <row r="281" spans="10:18">
      <c r="J281" s="122">
        <v>44433</v>
      </c>
      <c r="K281" s="123">
        <v>108.6300927503363</v>
      </c>
      <c r="L281" s="123">
        <v>136.71503999999999</v>
      </c>
      <c r="M281" s="124">
        <v>28.084947249663685</v>
      </c>
      <c r="O281" s="39">
        <f t="shared" si="19"/>
        <v>44543</v>
      </c>
      <c r="P281" s="41">
        <f t="shared" si="16"/>
        <v>147.76919031185841</v>
      </c>
      <c r="Q281" s="41">
        <f t="shared" si="17"/>
        <v>132.76872</v>
      </c>
      <c r="R281" s="41">
        <f t="shared" si="18"/>
        <v>-15.000470311858408</v>
      </c>
    </row>
    <row r="282" spans="10:18">
      <c r="J282" s="122">
        <v>44432</v>
      </c>
      <c r="K282" s="123">
        <v>108.6300927503363</v>
      </c>
      <c r="L282" s="123">
        <v>136.08000000000001</v>
      </c>
      <c r="M282" s="124">
        <v>27.44990724966371</v>
      </c>
      <c r="O282" s="39">
        <f t="shared" si="19"/>
        <v>44542</v>
      </c>
      <c r="P282" s="41">
        <f t="shared" si="16"/>
        <v>154.02144371575224</v>
      </c>
      <c r="Q282" s="41">
        <f t="shared" si="17"/>
        <v>126.17337600000002</v>
      </c>
      <c r="R282" s="41">
        <f t="shared" si="18"/>
        <v>-27.848067715752222</v>
      </c>
    </row>
    <row r="283" spans="10:18">
      <c r="J283" s="122">
        <v>44431</v>
      </c>
      <c r="K283" s="123">
        <v>108.6300927503363</v>
      </c>
      <c r="L283" s="123">
        <v>131.44420799999997</v>
      </c>
      <c r="M283" s="124">
        <v>22.814115249663672</v>
      </c>
      <c r="O283" s="39">
        <f t="shared" si="19"/>
        <v>44541</v>
      </c>
      <c r="P283" s="41">
        <f t="shared" si="16"/>
        <v>154.02144371575224</v>
      </c>
      <c r="Q283" s="41">
        <f t="shared" si="17"/>
        <v>126.17337600000002</v>
      </c>
      <c r="R283" s="41">
        <f t="shared" si="18"/>
        <v>-27.848067715752222</v>
      </c>
    </row>
    <row r="284" spans="10:18">
      <c r="J284" s="122">
        <v>44428</v>
      </c>
      <c r="K284" s="123">
        <v>96.000540874470801</v>
      </c>
      <c r="L284" s="123">
        <v>130.60958400000001</v>
      </c>
      <c r="M284" s="124">
        <v>34.609043125529212</v>
      </c>
      <c r="O284" s="39">
        <f t="shared" si="19"/>
        <v>44540</v>
      </c>
      <c r="P284" s="41">
        <f t="shared" si="16"/>
        <v>154.02144371575224</v>
      </c>
      <c r="Q284" s="41">
        <f t="shared" si="17"/>
        <v>126.17337600000002</v>
      </c>
      <c r="R284" s="41">
        <f t="shared" si="18"/>
        <v>-27.848067715752222</v>
      </c>
    </row>
    <row r="285" spans="10:18">
      <c r="J285" s="122">
        <v>44427</v>
      </c>
      <c r="K285" s="123">
        <v>93.67126485330266</v>
      </c>
      <c r="L285" s="123">
        <v>137.27750399999999</v>
      </c>
      <c r="M285" s="124">
        <v>43.606239146697334</v>
      </c>
      <c r="O285" s="39">
        <f t="shared" si="19"/>
        <v>44539</v>
      </c>
      <c r="P285" s="41">
        <f t="shared" si="16"/>
        <v>153.47224262650622</v>
      </c>
      <c r="Q285" s="41">
        <f t="shared" si="17"/>
        <v>122.889312</v>
      </c>
      <c r="R285" s="41">
        <f t="shared" si="18"/>
        <v>-30.582930626506212</v>
      </c>
    </row>
    <row r="286" spans="10:18">
      <c r="J286" s="122">
        <v>44426</v>
      </c>
      <c r="K286" s="123">
        <v>93.67126485330266</v>
      </c>
      <c r="L286" s="123">
        <v>138.99211200000002</v>
      </c>
      <c r="M286" s="124">
        <v>45.320847146697361</v>
      </c>
      <c r="O286" s="39">
        <f t="shared" si="19"/>
        <v>44538</v>
      </c>
      <c r="P286" s="41">
        <f t="shared" si="16"/>
        <v>153.47224262650622</v>
      </c>
      <c r="Q286" s="41">
        <f t="shared" si="17"/>
        <v>124.957728</v>
      </c>
      <c r="R286" s="41">
        <f t="shared" si="18"/>
        <v>-28.514514626506212</v>
      </c>
    </row>
    <row r="287" spans="10:18">
      <c r="J287" s="122">
        <v>44425</v>
      </c>
      <c r="K287" s="123">
        <v>93.67126485330266</v>
      </c>
      <c r="L287" s="123">
        <v>139.75416000000001</v>
      </c>
      <c r="M287" s="124">
        <v>46.082895146697354</v>
      </c>
      <c r="O287" s="39">
        <f t="shared" si="19"/>
        <v>44537</v>
      </c>
      <c r="P287" s="41">
        <f t="shared" si="16"/>
        <v>153.47224262650622</v>
      </c>
      <c r="Q287" s="41">
        <f t="shared" si="17"/>
        <v>117.173952</v>
      </c>
      <c r="R287" s="41">
        <f t="shared" si="18"/>
        <v>-36.298290626506216</v>
      </c>
    </row>
    <row r="288" spans="10:18">
      <c r="J288" s="122">
        <v>44424</v>
      </c>
      <c r="K288" s="123">
        <v>93.67126485330266</v>
      </c>
      <c r="L288" s="123">
        <v>140.86094400000002</v>
      </c>
      <c r="M288" s="124">
        <v>47.189679146697358</v>
      </c>
      <c r="O288" s="39">
        <f t="shared" si="19"/>
        <v>44536</v>
      </c>
      <c r="P288" s="41">
        <f t="shared" si="16"/>
        <v>153.47224262650622</v>
      </c>
      <c r="Q288" s="41">
        <f t="shared" si="17"/>
        <v>111.422304</v>
      </c>
      <c r="R288" s="41">
        <f t="shared" si="18"/>
        <v>-42.049938626506218</v>
      </c>
    </row>
    <row r="289" spans="10:18">
      <c r="J289" s="122">
        <v>44421</v>
      </c>
      <c r="K289" s="123">
        <v>93.67126485330266</v>
      </c>
      <c r="L289" s="123">
        <v>139.93559999999999</v>
      </c>
      <c r="M289" s="124">
        <v>46.264335146697334</v>
      </c>
      <c r="O289" s="39">
        <f t="shared" si="19"/>
        <v>44535</v>
      </c>
      <c r="P289" s="41">
        <f t="shared" si="16"/>
        <v>153.47224262650622</v>
      </c>
      <c r="Q289" s="41">
        <f t="shared" si="17"/>
        <v>112.26600000000001</v>
      </c>
      <c r="R289" s="41">
        <f t="shared" si="18"/>
        <v>-41.20624262650621</v>
      </c>
    </row>
    <row r="290" spans="10:18">
      <c r="J290" s="122">
        <v>44420</v>
      </c>
      <c r="K290" s="123">
        <v>91.753283886339844</v>
      </c>
      <c r="L290" s="123">
        <v>140.75208000000001</v>
      </c>
      <c r="M290" s="124">
        <v>48.998796113660163</v>
      </c>
      <c r="O290" s="39">
        <f t="shared" si="19"/>
        <v>44534</v>
      </c>
      <c r="P290" s="41">
        <f t="shared" si="16"/>
        <v>153.47224262650622</v>
      </c>
      <c r="Q290" s="41">
        <f t="shared" si="17"/>
        <v>112.26600000000001</v>
      </c>
      <c r="R290" s="41">
        <f t="shared" si="18"/>
        <v>-41.20624262650621</v>
      </c>
    </row>
    <row r="291" spans="10:18">
      <c r="J291" s="122">
        <v>44419</v>
      </c>
      <c r="K291" s="123">
        <v>91.753283886339844</v>
      </c>
      <c r="L291" s="123">
        <v>135.653616</v>
      </c>
      <c r="M291" s="124">
        <v>43.900332113660156</v>
      </c>
      <c r="O291" s="39">
        <f t="shared" si="19"/>
        <v>44533</v>
      </c>
      <c r="P291" s="41">
        <f t="shared" si="16"/>
        <v>153.47224262650622</v>
      </c>
      <c r="Q291" s="41">
        <f t="shared" si="17"/>
        <v>112.26600000000001</v>
      </c>
      <c r="R291" s="41">
        <f t="shared" si="18"/>
        <v>-41.20624262650621</v>
      </c>
    </row>
    <row r="292" spans="10:18">
      <c r="J292" s="122">
        <v>44418</v>
      </c>
      <c r="K292" s="123">
        <v>91.753283886339844</v>
      </c>
      <c r="L292" s="123">
        <v>135.027648</v>
      </c>
      <c r="M292" s="124">
        <v>43.274364113660155</v>
      </c>
      <c r="O292" s="39">
        <f t="shared" si="19"/>
        <v>44532</v>
      </c>
      <c r="P292" s="41">
        <f t="shared" si="16"/>
        <v>152.90277146789737</v>
      </c>
      <c r="Q292" s="41">
        <f t="shared" si="17"/>
        <v>112.9464</v>
      </c>
      <c r="R292" s="41">
        <f t="shared" si="18"/>
        <v>-39.95637146789737</v>
      </c>
    </row>
    <row r="293" spans="10:18">
      <c r="J293" s="122">
        <v>44417</v>
      </c>
      <c r="K293" s="123">
        <v>91.753283886339844</v>
      </c>
      <c r="L293" s="123">
        <v>134.90063999999998</v>
      </c>
      <c r="M293" s="124">
        <v>43.147356113660138</v>
      </c>
      <c r="O293" s="39">
        <f t="shared" si="19"/>
        <v>44531</v>
      </c>
      <c r="P293" s="41">
        <f t="shared" si="16"/>
        <v>152.90277146789737</v>
      </c>
      <c r="Q293" s="41">
        <f t="shared" si="17"/>
        <v>109.07265600000001</v>
      </c>
      <c r="R293" s="41">
        <f t="shared" si="18"/>
        <v>-43.830115467897357</v>
      </c>
    </row>
    <row r="294" spans="10:18">
      <c r="J294" s="122">
        <v>44414</v>
      </c>
      <c r="K294" s="123">
        <v>91.753283886339844</v>
      </c>
      <c r="L294" s="123">
        <v>131.516784</v>
      </c>
      <c r="M294" s="124">
        <v>39.763500113660157</v>
      </c>
      <c r="O294" s="39">
        <f t="shared" si="19"/>
        <v>44530</v>
      </c>
      <c r="P294" s="41">
        <f t="shared" si="16"/>
        <v>152.90277146789737</v>
      </c>
      <c r="Q294" s="41">
        <f t="shared" si="17"/>
        <v>104.001408</v>
      </c>
      <c r="R294" s="41">
        <f t="shared" si="18"/>
        <v>-48.901363467897369</v>
      </c>
    </row>
    <row r="295" spans="10:18">
      <c r="J295" s="122">
        <v>44413</v>
      </c>
      <c r="K295" s="123">
        <v>86.269648709851324</v>
      </c>
      <c r="L295" s="123">
        <v>130.028976</v>
      </c>
      <c r="M295" s="124">
        <v>43.759327290148676</v>
      </c>
      <c r="O295" s="39">
        <f t="shared" si="19"/>
        <v>44529</v>
      </c>
      <c r="P295" s="41">
        <f t="shared" si="16"/>
        <v>152.90277146789737</v>
      </c>
      <c r="Q295" s="41">
        <f t="shared" si="17"/>
        <v>112.03919999999999</v>
      </c>
      <c r="R295" s="41">
        <f t="shared" si="18"/>
        <v>-40.863571467897373</v>
      </c>
    </row>
    <row r="296" spans="10:18">
      <c r="J296" s="122">
        <v>44412</v>
      </c>
      <c r="K296" s="123">
        <v>86.269648709851324</v>
      </c>
      <c r="L296" s="123">
        <v>129.65702399999998</v>
      </c>
      <c r="M296" s="124">
        <v>43.387375290148654</v>
      </c>
      <c r="O296" s="39">
        <f t="shared" si="19"/>
        <v>44528</v>
      </c>
      <c r="P296" s="41">
        <f t="shared" si="16"/>
        <v>152.90277146789737</v>
      </c>
      <c r="Q296" s="41">
        <f t="shared" si="17"/>
        <v>141.48691200000002</v>
      </c>
      <c r="R296" s="41">
        <f t="shared" si="18"/>
        <v>-11.415859467897349</v>
      </c>
    </row>
    <row r="297" spans="10:18">
      <c r="J297" s="122">
        <v>44411</v>
      </c>
      <c r="K297" s="123">
        <v>86.269648709851324</v>
      </c>
      <c r="L297" s="123">
        <v>129.085488</v>
      </c>
      <c r="M297" s="124">
        <v>42.815839290148674</v>
      </c>
      <c r="O297" s="39">
        <f t="shared" si="19"/>
        <v>44527</v>
      </c>
      <c r="P297" s="41">
        <f t="shared" si="16"/>
        <v>152.90277146789737</v>
      </c>
      <c r="Q297" s="41">
        <f t="shared" si="17"/>
        <v>141.48691200000002</v>
      </c>
      <c r="R297" s="41">
        <f t="shared" si="18"/>
        <v>-11.415859467897349</v>
      </c>
    </row>
    <row r="298" spans="10:18">
      <c r="J298" s="122">
        <v>44410</v>
      </c>
      <c r="K298" s="123">
        <v>86.269648709851324</v>
      </c>
      <c r="L298" s="123">
        <v>128.09663999999998</v>
      </c>
      <c r="M298" s="124">
        <v>41.826991290148655</v>
      </c>
      <c r="O298" s="39">
        <f t="shared" si="19"/>
        <v>44526</v>
      </c>
      <c r="P298" s="41">
        <f t="shared" si="16"/>
        <v>152.90277146789737</v>
      </c>
      <c r="Q298" s="41">
        <f t="shared" si="17"/>
        <v>141.48691200000002</v>
      </c>
      <c r="R298" s="41">
        <f t="shared" si="18"/>
        <v>-11.415859467897349</v>
      </c>
    </row>
    <row r="299" spans="10:18">
      <c r="J299" s="122">
        <v>44407</v>
      </c>
      <c r="K299" s="123">
        <v>86.269648709851324</v>
      </c>
      <c r="L299" s="123">
        <v>127.04428799999999</v>
      </c>
      <c r="M299" s="124">
        <v>40.77463929014867</v>
      </c>
      <c r="O299" s="39">
        <f t="shared" si="19"/>
        <v>44525</v>
      </c>
      <c r="P299" s="41">
        <f t="shared" si="16"/>
        <v>151.99557146789738</v>
      </c>
      <c r="Q299" s="41">
        <f t="shared" si="17"/>
        <v>152.86320000000001</v>
      </c>
      <c r="R299" s="41">
        <f t="shared" si="18"/>
        <v>0.86762853210262847</v>
      </c>
    </row>
    <row r="300" spans="10:18">
      <c r="J300" s="122">
        <v>44406</v>
      </c>
      <c r="K300" s="123">
        <v>85.78541069926726</v>
      </c>
      <c r="L300" s="123">
        <v>126.953568</v>
      </c>
      <c r="M300" s="124">
        <v>41.168157300732744</v>
      </c>
      <c r="O300" s="39">
        <f t="shared" si="19"/>
        <v>44524</v>
      </c>
      <c r="P300" s="41">
        <f t="shared" si="16"/>
        <v>151.99557146789738</v>
      </c>
      <c r="Q300" s="41">
        <f t="shared" si="17"/>
        <v>153.162576</v>
      </c>
      <c r="R300" s="41">
        <f t="shared" si="18"/>
        <v>1.1670045321026237</v>
      </c>
    </row>
    <row r="301" spans="10:18">
      <c r="J301" s="122">
        <v>44405</v>
      </c>
      <c r="K301" s="123">
        <v>85.78541069926726</v>
      </c>
      <c r="L301" s="123">
        <v>126.617904</v>
      </c>
      <c r="M301" s="124">
        <v>40.832493300732736</v>
      </c>
      <c r="O301" s="39">
        <f t="shared" si="19"/>
        <v>44523</v>
      </c>
      <c r="P301" s="41">
        <f t="shared" si="16"/>
        <v>151.99557146789738</v>
      </c>
      <c r="Q301" s="41">
        <f t="shared" si="17"/>
        <v>144.018</v>
      </c>
      <c r="R301" s="41">
        <f t="shared" si="18"/>
        <v>-7.977571467897377</v>
      </c>
    </row>
    <row r="302" spans="10:18">
      <c r="J302" s="122">
        <v>44404</v>
      </c>
      <c r="K302" s="123">
        <v>85.78541069926726</v>
      </c>
      <c r="L302" s="123">
        <v>126.699552</v>
      </c>
      <c r="M302" s="124">
        <v>40.914141300732737</v>
      </c>
      <c r="O302" s="39">
        <f t="shared" si="19"/>
        <v>44522</v>
      </c>
      <c r="P302" s="41">
        <f t="shared" si="16"/>
        <v>151.99557146789738</v>
      </c>
      <c r="Q302" s="41">
        <f t="shared" si="17"/>
        <v>131.39884800000002</v>
      </c>
      <c r="R302" s="41">
        <f t="shared" si="18"/>
        <v>-20.596723467897363</v>
      </c>
    </row>
    <row r="303" spans="10:18">
      <c r="J303" s="122">
        <v>44403</v>
      </c>
      <c r="K303" s="123">
        <v>85.78541069926726</v>
      </c>
      <c r="L303" s="123">
        <v>126.7812</v>
      </c>
      <c r="M303" s="124">
        <v>40.995789300732739</v>
      </c>
      <c r="O303" s="39">
        <f t="shared" si="19"/>
        <v>44521</v>
      </c>
      <c r="P303" s="41">
        <f t="shared" si="16"/>
        <v>151.99557146789738</v>
      </c>
      <c r="Q303" s="41">
        <f t="shared" si="17"/>
        <v>131.46235200000001</v>
      </c>
      <c r="R303" s="41">
        <f t="shared" si="18"/>
        <v>-20.533219467897368</v>
      </c>
    </row>
    <row r="304" spans="10:18">
      <c r="J304" s="122">
        <v>44400</v>
      </c>
      <c r="K304" s="123">
        <v>85.78541069926726</v>
      </c>
      <c r="L304" s="123">
        <v>125.583696</v>
      </c>
      <c r="M304" s="124">
        <v>39.798285300732744</v>
      </c>
      <c r="O304" s="39">
        <f t="shared" si="19"/>
        <v>44520</v>
      </c>
      <c r="P304" s="41">
        <f t="shared" si="16"/>
        <v>151.99557146789738</v>
      </c>
      <c r="Q304" s="41">
        <f t="shared" si="17"/>
        <v>131.46235200000001</v>
      </c>
      <c r="R304" s="41">
        <f t="shared" si="18"/>
        <v>-20.533219467897368</v>
      </c>
    </row>
    <row r="305" spans="10:18">
      <c r="J305" s="122">
        <v>44399</v>
      </c>
      <c r="K305" s="123">
        <v>86.329748192973469</v>
      </c>
      <c r="L305" s="123">
        <v>125.456688</v>
      </c>
      <c r="M305" s="124">
        <v>39.126939807026531</v>
      </c>
      <c r="O305" s="39">
        <f t="shared" si="19"/>
        <v>44519</v>
      </c>
      <c r="P305" s="41">
        <f t="shared" si="16"/>
        <v>151.99557146789738</v>
      </c>
      <c r="Q305" s="41">
        <f t="shared" si="17"/>
        <v>131.46235200000001</v>
      </c>
      <c r="R305" s="41">
        <f t="shared" si="18"/>
        <v>-20.533219467897368</v>
      </c>
    </row>
    <row r="306" spans="10:18">
      <c r="J306" s="122">
        <v>44398</v>
      </c>
      <c r="K306" s="123">
        <v>86.329748192973469</v>
      </c>
      <c r="L306" s="123">
        <v>125.1936</v>
      </c>
      <c r="M306" s="124">
        <v>38.863851807026535</v>
      </c>
      <c r="O306" s="39">
        <f t="shared" si="19"/>
        <v>44518</v>
      </c>
      <c r="P306" s="41">
        <f t="shared" si="16"/>
        <v>163.85837488566372</v>
      </c>
      <c r="Q306" s="41">
        <f t="shared" si="17"/>
        <v>130.1832</v>
      </c>
      <c r="R306" s="41">
        <f t="shared" si="18"/>
        <v>-33.675174885663722</v>
      </c>
    </row>
    <row r="307" spans="10:18">
      <c r="J307" s="122">
        <v>44397</v>
      </c>
      <c r="K307" s="123">
        <v>86.329748192973469</v>
      </c>
      <c r="L307" s="123">
        <v>125.71977600000001</v>
      </c>
      <c r="M307" s="124">
        <v>39.390027807026541</v>
      </c>
      <c r="O307" s="39">
        <f t="shared" si="19"/>
        <v>44517</v>
      </c>
      <c r="P307" s="41">
        <f t="shared" si="16"/>
        <v>163.85837488566372</v>
      </c>
      <c r="Q307" s="41">
        <f t="shared" si="17"/>
        <v>128.45044799999999</v>
      </c>
      <c r="R307" s="41">
        <f t="shared" si="18"/>
        <v>-35.407926885663727</v>
      </c>
    </row>
    <row r="308" spans="10:18">
      <c r="J308" s="122">
        <v>44396</v>
      </c>
      <c r="K308" s="123">
        <v>86.329748192973469</v>
      </c>
      <c r="L308" s="123">
        <v>126.7812</v>
      </c>
      <c r="M308" s="124">
        <v>40.45145180702653</v>
      </c>
      <c r="O308" s="39">
        <f t="shared" si="19"/>
        <v>44516</v>
      </c>
      <c r="P308" s="41">
        <f t="shared" si="16"/>
        <v>163.85837488566372</v>
      </c>
      <c r="Q308" s="41">
        <f t="shared" si="17"/>
        <v>125.26617600000002</v>
      </c>
      <c r="R308" s="41">
        <f t="shared" si="18"/>
        <v>-38.592198885663706</v>
      </c>
    </row>
    <row r="309" spans="10:18">
      <c r="J309" s="122">
        <v>44393</v>
      </c>
      <c r="K309" s="123">
        <v>86.329748192973469</v>
      </c>
      <c r="L309" s="123">
        <v>123.460848</v>
      </c>
      <c r="M309" s="124">
        <v>37.13109980702653</v>
      </c>
      <c r="O309" s="39">
        <f t="shared" si="19"/>
        <v>44515</v>
      </c>
      <c r="P309" s="41">
        <f t="shared" si="16"/>
        <v>163.85837488566372</v>
      </c>
      <c r="Q309" s="41">
        <f t="shared" si="17"/>
        <v>118.353312</v>
      </c>
      <c r="R309" s="41">
        <f t="shared" si="18"/>
        <v>-45.505062885663719</v>
      </c>
    </row>
    <row r="310" spans="10:18">
      <c r="J310" s="122">
        <v>44392</v>
      </c>
      <c r="K310" s="123">
        <v>83.454958140053108</v>
      </c>
      <c r="L310" s="123">
        <v>123.83280000000001</v>
      </c>
      <c r="M310" s="124">
        <v>40.377841859946898</v>
      </c>
      <c r="O310" s="39">
        <f t="shared" si="19"/>
        <v>44514</v>
      </c>
      <c r="P310" s="41">
        <f t="shared" si="16"/>
        <v>163.85837488566372</v>
      </c>
      <c r="Q310" s="41">
        <f t="shared" si="17"/>
        <v>121.56480000000001</v>
      </c>
      <c r="R310" s="41">
        <f t="shared" si="18"/>
        <v>-42.293574885663716</v>
      </c>
    </row>
    <row r="311" spans="10:18">
      <c r="J311" s="122">
        <v>44391</v>
      </c>
      <c r="K311" s="123">
        <v>83.454958140053108</v>
      </c>
      <c r="L311" s="123">
        <v>124.5132</v>
      </c>
      <c r="M311" s="124">
        <v>41.058241859946889</v>
      </c>
      <c r="O311" s="39">
        <f t="shared" si="19"/>
        <v>44513</v>
      </c>
      <c r="P311" s="41">
        <f t="shared" si="16"/>
        <v>163.85837488566372</v>
      </c>
      <c r="Q311" s="41">
        <f t="shared" si="17"/>
        <v>121.56480000000001</v>
      </c>
      <c r="R311" s="41">
        <f t="shared" si="18"/>
        <v>-42.293574885663716</v>
      </c>
    </row>
    <row r="312" spans="10:18">
      <c r="J312" s="122">
        <v>44390</v>
      </c>
      <c r="K312" s="123">
        <v>83.454958140053108</v>
      </c>
      <c r="L312" s="123">
        <v>123.67857600000001</v>
      </c>
      <c r="M312" s="124">
        <v>40.223617859946899</v>
      </c>
      <c r="O312" s="39">
        <f t="shared" si="19"/>
        <v>44512</v>
      </c>
      <c r="P312" s="41">
        <f t="shared" si="16"/>
        <v>163.85837488566372</v>
      </c>
      <c r="Q312" s="41">
        <f t="shared" si="17"/>
        <v>121.56480000000001</v>
      </c>
      <c r="R312" s="41">
        <f t="shared" si="18"/>
        <v>-42.293574885663716</v>
      </c>
    </row>
    <row r="313" spans="10:18">
      <c r="J313" s="122">
        <v>44389</v>
      </c>
      <c r="K313" s="123">
        <v>83.454958140053108</v>
      </c>
      <c r="L313" s="123">
        <v>118.3896</v>
      </c>
      <c r="M313" s="124">
        <v>34.934641859946893</v>
      </c>
      <c r="O313" s="39">
        <f t="shared" si="19"/>
        <v>44511</v>
      </c>
      <c r="P313" s="41">
        <f t="shared" si="16"/>
        <v>153.82780099263718</v>
      </c>
      <c r="Q313" s="41">
        <f t="shared" si="17"/>
        <v>126.82656000000001</v>
      </c>
      <c r="R313" s="41">
        <f t="shared" si="18"/>
        <v>-27.001240992637165</v>
      </c>
    </row>
    <row r="314" spans="10:18">
      <c r="J314" s="122">
        <v>44386</v>
      </c>
      <c r="K314" s="123">
        <v>81.495918740166374</v>
      </c>
      <c r="L314" s="123">
        <v>118.108368</v>
      </c>
      <c r="M314" s="124">
        <v>36.612449259833625</v>
      </c>
      <c r="O314" s="39">
        <f t="shared" si="19"/>
        <v>44510</v>
      </c>
      <c r="P314" s="41">
        <f t="shared" si="16"/>
        <v>153.82780099263718</v>
      </c>
      <c r="Q314" s="41">
        <f t="shared" si="17"/>
        <v>126.08265599999999</v>
      </c>
      <c r="R314" s="41">
        <f t="shared" si="18"/>
        <v>-27.745144992637194</v>
      </c>
    </row>
    <row r="315" spans="10:18">
      <c r="J315" s="122">
        <v>44385</v>
      </c>
      <c r="K315" s="123">
        <v>80.056074422230083</v>
      </c>
      <c r="L315" s="123">
        <v>113.463504</v>
      </c>
      <c r="M315" s="124">
        <v>33.407429577769918</v>
      </c>
      <c r="O315" s="39">
        <f t="shared" si="19"/>
        <v>44509</v>
      </c>
      <c r="P315" s="41">
        <f t="shared" si="16"/>
        <v>153.82780099263718</v>
      </c>
      <c r="Q315" s="41">
        <f t="shared" si="17"/>
        <v>139.66343999999998</v>
      </c>
      <c r="R315" s="41">
        <f t="shared" si="18"/>
        <v>-14.164360992637199</v>
      </c>
    </row>
    <row r="316" spans="10:18">
      <c r="J316" s="122">
        <v>44384</v>
      </c>
      <c r="K316" s="123">
        <v>80.056074422230083</v>
      </c>
      <c r="L316" s="123">
        <v>113.708448</v>
      </c>
      <c r="M316" s="124">
        <v>33.652373577769922</v>
      </c>
      <c r="O316" s="39">
        <f t="shared" si="19"/>
        <v>44508</v>
      </c>
      <c r="P316" s="41">
        <f t="shared" si="16"/>
        <v>153.82780099263718</v>
      </c>
      <c r="Q316" s="41">
        <f t="shared" si="17"/>
        <v>143.29223999999999</v>
      </c>
      <c r="R316" s="41">
        <f t="shared" si="18"/>
        <v>-10.535560992637187</v>
      </c>
    </row>
    <row r="317" spans="10:18">
      <c r="J317" s="122">
        <v>44383</v>
      </c>
      <c r="K317" s="123">
        <v>80.056074422230083</v>
      </c>
      <c r="L317" s="123">
        <v>115.62264</v>
      </c>
      <c r="M317" s="124">
        <v>35.566565577769921</v>
      </c>
      <c r="O317" s="39">
        <f t="shared" si="19"/>
        <v>44507</v>
      </c>
      <c r="P317" s="41">
        <f t="shared" si="16"/>
        <v>153.82780099263718</v>
      </c>
      <c r="Q317" s="41">
        <f t="shared" si="17"/>
        <v>130.46443200000002</v>
      </c>
      <c r="R317" s="41">
        <f t="shared" si="18"/>
        <v>-23.363368992637163</v>
      </c>
    </row>
    <row r="318" spans="10:18">
      <c r="J318" s="122">
        <v>44382</v>
      </c>
      <c r="K318" s="123">
        <v>80.056074422230083</v>
      </c>
      <c r="L318" s="123">
        <v>118.28073599999999</v>
      </c>
      <c r="M318" s="124">
        <v>38.224661577769908</v>
      </c>
      <c r="O318" s="39">
        <f t="shared" si="19"/>
        <v>44506</v>
      </c>
      <c r="P318" s="41">
        <f t="shared" si="16"/>
        <v>153.82780099263718</v>
      </c>
      <c r="Q318" s="41">
        <f t="shared" si="17"/>
        <v>130.46443200000002</v>
      </c>
      <c r="R318" s="41">
        <f t="shared" si="18"/>
        <v>-23.363368992637163</v>
      </c>
    </row>
    <row r="319" spans="10:18">
      <c r="J319" s="122">
        <v>44379</v>
      </c>
      <c r="K319" s="123">
        <v>80.056074422230083</v>
      </c>
      <c r="L319" s="123">
        <v>115.35048</v>
      </c>
      <c r="M319" s="124">
        <v>35.294405577769922</v>
      </c>
      <c r="O319" s="39">
        <f t="shared" si="19"/>
        <v>44505</v>
      </c>
      <c r="P319" s="41">
        <f t="shared" si="16"/>
        <v>153.82780099263718</v>
      </c>
      <c r="Q319" s="41">
        <f t="shared" si="17"/>
        <v>130.46443200000002</v>
      </c>
      <c r="R319" s="41">
        <f t="shared" si="18"/>
        <v>-23.363368992637163</v>
      </c>
    </row>
    <row r="320" spans="10:18">
      <c r="J320" s="122">
        <v>44378</v>
      </c>
      <c r="K320" s="123">
        <v>77.658148264906188</v>
      </c>
      <c r="L320" s="123">
        <v>113.744736</v>
      </c>
      <c r="M320" s="124">
        <v>36.086587735093815</v>
      </c>
      <c r="O320" s="39">
        <f t="shared" si="19"/>
        <v>44504</v>
      </c>
      <c r="P320" s="41">
        <f t="shared" si="16"/>
        <v>156.34099254584072</v>
      </c>
      <c r="Q320" s="41">
        <f t="shared" si="17"/>
        <v>133.24953600000001</v>
      </c>
      <c r="R320" s="41">
        <f t="shared" si="18"/>
        <v>-23.091456545840714</v>
      </c>
    </row>
    <row r="321" spans="10:18">
      <c r="J321" s="122">
        <v>44377</v>
      </c>
      <c r="K321" s="123">
        <v>77.658148264906188</v>
      </c>
      <c r="L321" s="123">
        <v>109.372032</v>
      </c>
      <c r="M321" s="124">
        <v>31.713883735093816</v>
      </c>
      <c r="O321" s="39">
        <f t="shared" si="19"/>
        <v>44503</v>
      </c>
      <c r="P321" s="41">
        <f t="shared" si="16"/>
        <v>156.34099254584072</v>
      </c>
      <c r="Q321" s="41">
        <f t="shared" si="17"/>
        <v>133.90271999999999</v>
      </c>
      <c r="R321" s="41">
        <f t="shared" si="18"/>
        <v>-22.438272545840732</v>
      </c>
    </row>
    <row r="322" spans="10:18">
      <c r="J322" s="122">
        <v>44376</v>
      </c>
      <c r="K322" s="123">
        <v>77.658148264906188</v>
      </c>
      <c r="L322" s="123">
        <v>107.630208</v>
      </c>
      <c r="M322" s="124">
        <v>29.972059735093808</v>
      </c>
      <c r="O322" s="39">
        <f t="shared" si="19"/>
        <v>44502</v>
      </c>
      <c r="P322" s="41">
        <f t="shared" si="16"/>
        <v>156.34099254584072</v>
      </c>
      <c r="Q322" s="41">
        <f t="shared" si="17"/>
        <v>138.89231999999998</v>
      </c>
      <c r="R322" s="41">
        <f t="shared" si="18"/>
        <v>-17.448672545840736</v>
      </c>
    </row>
    <row r="323" spans="10:18">
      <c r="J323" s="122">
        <v>44375</v>
      </c>
      <c r="K323" s="123">
        <v>77.658148264906188</v>
      </c>
      <c r="L323" s="123">
        <v>106.596</v>
      </c>
      <c r="M323" s="124">
        <v>28.937851735093815</v>
      </c>
      <c r="O323" s="39">
        <f t="shared" si="19"/>
        <v>44501</v>
      </c>
      <c r="P323" s="41">
        <f t="shared" si="16"/>
        <v>156.34099254584072</v>
      </c>
      <c r="Q323" s="41">
        <f t="shared" si="17"/>
        <v>142.88400000000001</v>
      </c>
      <c r="R323" s="41">
        <f t="shared" si="18"/>
        <v>-13.456992545840706</v>
      </c>
    </row>
    <row r="324" spans="10:18">
      <c r="J324" s="122">
        <v>44372</v>
      </c>
      <c r="K324" s="123">
        <v>77.658148264906188</v>
      </c>
      <c r="L324" s="123">
        <v>107.41248</v>
      </c>
      <c r="M324" s="124">
        <v>29.754331735093814</v>
      </c>
      <c r="O324" s="39">
        <f t="shared" si="19"/>
        <v>44500</v>
      </c>
      <c r="P324" s="41">
        <f t="shared" si="16"/>
        <v>156.34099254584072</v>
      </c>
      <c r="Q324" s="41">
        <f t="shared" si="17"/>
        <v>155.47593599999999</v>
      </c>
      <c r="R324" s="41">
        <f t="shared" si="18"/>
        <v>-0.86505654584073</v>
      </c>
    </row>
    <row r="325" spans="10:18">
      <c r="J325" s="122">
        <v>44371</v>
      </c>
      <c r="K325" s="123">
        <v>72.733546330980531</v>
      </c>
      <c r="L325" s="123">
        <v>104.11027200000001</v>
      </c>
      <c r="M325" s="124">
        <v>31.376725669019478</v>
      </c>
      <c r="O325" s="39">
        <f t="shared" si="19"/>
        <v>44499</v>
      </c>
      <c r="P325" s="41">
        <f t="shared" si="16"/>
        <v>156.34099254584072</v>
      </c>
      <c r="Q325" s="41">
        <f t="shared" si="17"/>
        <v>155.47593599999999</v>
      </c>
      <c r="R325" s="41">
        <f t="shared" si="18"/>
        <v>-0.86505654584073</v>
      </c>
    </row>
    <row r="326" spans="10:18">
      <c r="J326" s="122">
        <v>44370</v>
      </c>
      <c r="K326" s="123">
        <v>72.733546330980531</v>
      </c>
      <c r="L326" s="123">
        <v>100.65384</v>
      </c>
      <c r="M326" s="124">
        <v>27.920293669019472</v>
      </c>
      <c r="O326" s="39">
        <f t="shared" si="19"/>
        <v>44498</v>
      </c>
      <c r="P326" s="41">
        <f t="shared" ref="P326:P389" si="20">IFERROR(VLOOKUP($O326,$J$5:$M$403,2,FALSE),P327)</f>
        <v>156.34099254584072</v>
      </c>
      <c r="Q326" s="41">
        <f t="shared" ref="Q326:Q389" si="21">IFERROR(VLOOKUP($O326,$J$5:$M$403,3,FALSE),Q327)</f>
        <v>155.47593599999999</v>
      </c>
      <c r="R326" s="41">
        <f t="shared" ref="R326:R389" si="22">IFERROR(VLOOKUP($O326,$J$5:$M$403,4,FALSE),R327)</f>
        <v>-0.86505654584073</v>
      </c>
    </row>
    <row r="327" spans="10:18">
      <c r="J327" s="122">
        <v>44369</v>
      </c>
      <c r="K327" s="123">
        <v>72.733546330980531</v>
      </c>
      <c r="L327" s="123">
        <v>98.658000000000001</v>
      </c>
      <c r="M327" s="124">
        <v>25.924453669019471</v>
      </c>
      <c r="O327" s="39">
        <f t="shared" ref="O327:O390" si="23">O326-1</f>
        <v>44497</v>
      </c>
      <c r="P327" s="41">
        <f t="shared" si="20"/>
        <v>155.5184024374301</v>
      </c>
      <c r="Q327" s="41">
        <f t="shared" si="21"/>
        <v>181.66679999999999</v>
      </c>
      <c r="R327" s="41">
        <f t="shared" si="22"/>
        <v>26.148397562569897</v>
      </c>
    </row>
    <row r="328" spans="10:18">
      <c r="J328" s="122">
        <v>44368</v>
      </c>
      <c r="K328" s="123">
        <v>72.733546330980531</v>
      </c>
      <c r="L328" s="123">
        <v>97.133904000000001</v>
      </c>
      <c r="M328" s="124">
        <v>24.400357669019471</v>
      </c>
      <c r="O328" s="39">
        <f t="shared" si="23"/>
        <v>44496</v>
      </c>
      <c r="P328" s="41">
        <f t="shared" si="20"/>
        <v>155.5184024374301</v>
      </c>
      <c r="Q328" s="41">
        <f t="shared" si="21"/>
        <v>195.048</v>
      </c>
      <c r="R328" s="41">
        <f t="shared" si="22"/>
        <v>39.529597562569904</v>
      </c>
    </row>
    <row r="329" spans="10:18">
      <c r="J329" s="122">
        <v>44365</v>
      </c>
      <c r="K329" s="123">
        <v>72.733546330980531</v>
      </c>
      <c r="L329" s="123">
        <v>95.800319999999999</v>
      </c>
      <c r="M329" s="124">
        <v>23.066773669019469</v>
      </c>
      <c r="O329" s="39">
        <f t="shared" si="23"/>
        <v>44495</v>
      </c>
      <c r="P329" s="41">
        <f t="shared" si="20"/>
        <v>155.5184024374301</v>
      </c>
      <c r="Q329" s="41">
        <f t="shared" si="21"/>
        <v>205.25399999999999</v>
      </c>
      <c r="R329" s="41">
        <f t="shared" si="22"/>
        <v>49.735597562569893</v>
      </c>
    </row>
    <row r="330" spans="10:18">
      <c r="J330" s="122">
        <v>44364</v>
      </c>
      <c r="K330" s="123">
        <v>72.359640145911513</v>
      </c>
      <c r="L330" s="123">
        <v>95.256</v>
      </c>
      <c r="M330" s="124">
        <v>22.896359854088487</v>
      </c>
      <c r="O330" s="39">
        <f t="shared" si="23"/>
        <v>44494</v>
      </c>
      <c r="P330" s="41">
        <f t="shared" si="20"/>
        <v>155.5184024374301</v>
      </c>
      <c r="Q330" s="41">
        <f t="shared" si="21"/>
        <v>197.22528</v>
      </c>
      <c r="R330" s="41">
        <f t="shared" si="22"/>
        <v>41.7068775625699</v>
      </c>
    </row>
    <row r="331" spans="10:18">
      <c r="J331" s="122">
        <v>44363</v>
      </c>
      <c r="K331" s="123">
        <v>72.359640145911513</v>
      </c>
      <c r="L331" s="123">
        <v>96.163200000000003</v>
      </c>
      <c r="M331" s="124">
        <v>23.803559854088491</v>
      </c>
      <c r="O331" s="39">
        <f t="shared" si="23"/>
        <v>44493</v>
      </c>
      <c r="P331" s="41">
        <f t="shared" si="20"/>
        <v>155.5184024374301</v>
      </c>
      <c r="Q331" s="41">
        <f t="shared" si="21"/>
        <v>189.60480000000001</v>
      </c>
      <c r="R331" s="41">
        <f t="shared" si="22"/>
        <v>34.086397562569914</v>
      </c>
    </row>
    <row r="332" spans="10:18">
      <c r="J332" s="122">
        <v>44362</v>
      </c>
      <c r="K332" s="123">
        <v>72.359640145911513</v>
      </c>
      <c r="L332" s="123">
        <v>101.860416</v>
      </c>
      <c r="M332" s="124">
        <v>29.500775854088488</v>
      </c>
      <c r="O332" s="39">
        <f t="shared" si="23"/>
        <v>44492</v>
      </c>
      <c r="P332" s="41">
        <f t="shared" si="20"/>
        <v>155.5184024374301</v>
      </c>
      <c r="Q332" s="41">
        <f t="shared" si="21"/>
        <v>189.60480000000001</v>
      </c>
      <c r="R332" s="41">
        <f t="shared" si="22"/>
        <v>34.086397562569914</v>
      </c>
    </row>
    <row r="333" spans="10:18">
      <c r="J333" s="122">
        <v>44361</v>
      </c>
      <c r="K333" s="123">
        <v>72.359640145911513</v>
      </c>
      <c r="L333" s="123">
        <v>107.838864</v>
      </c>
      <c r="M333" s="124">
        <v>35.479223854088488</v>
      </c>
      <c r="O333" s="39">
        <f t="shared" si="23"/>
        <v>44491</v>
      </c>
      <c r="P333" s="41">
        <f t="shared" si="20"/>
        <v>155.5184024374301</v>
      </c>
      <c r="Q333" s="41">
        <f t="shared" si="21"/>
        <v>189.60480000000001</v>
      </c>
      <c r="R333" s="41">
        <f t="shared" si="22"/>
        <v>34.086397562569914</v>
      </c>
    </row>
    <row r="334" spans="10:18">
      <c r="J334" s="122">
        <v>44358</v>
      </c>
      <c r="K334" s="123">
        <v>72.359640145911513</v>
      </c>
      <c r="L334" s="123">
        <v>108.64627200000001</v>
      </c>
      <c r="M334" s="124">
        <v>36.286631854088498</v>
      </c>
      <c r="O334" s="39">
        <f t="shared" si="23"/>
        <v>44490</v>
      </c>
      <c r="P334" s="41">
        <f t="shared" si="20"/>
        <v>153.64698424907257</v>
      </c>
      <c r="Q334" s="41">
        <f t="shared" si="21"/>
        <v>190.45756800000001</v>
      </c>
      <c r="R334" s="41">
        <f t="shared" si="22"/>
        <v>36.810583750927435</v>
      </c>
    </row>
    <row r="335" spans="10:18">
      <c r="J335" s="122">
        <v>44357</v>
      </c>
      <c r="K335" s="123">
        <v>69.339534955550462</v>
      </c>
      <c r="L335" s="123">
        <v>107.14032</v>
      </c>
      <c r="M335" s="124">
        <v>37.80078504444954</v>
      </c>
      <c r="O335" s="39">
        <f t="shared" si="23"/>
        <v>44489</v>
      </c>
      <c r="P335" s="41">
        <f t="shared" si="20"/>
        <v>153.64698424907257</v>
      </c>
      <c r="Q335" s="41">
        <f t="shared" si="21"/>
        <v>201.39840000000001</v>
      </c>
      <c r="R335" s="41">
        <f t="shared" si="22"/>
        <v>47.751415750927436</v>
      </c>
    </row>
    <row r="336" spans="10:18">
      <c r="J336" s="122">
        <v>44356</v>
      </c>
      <c r="K336" s="123">
        <v>69.339534955550462</v>
      </c>
      <c r="L336" s="123">
        <v>102.89462400000001</v>
      </c>
      <c r="M336" s="124">
        <v>33.555089044449545</v>
      </c>
      <c r="O336" s="39">
        <f t="shared" si="23"/>
        <v>44488</v>
      </c>
      <c r="P336" s="41">
        <f t="shared" si="20"/>
        <v>153.64698424907257</v>
      </c>
      <c r="Q336" s="41">
        <f t="shared" si="21"/>
        <v>210.29803200000001</v>
      </c>
      <c r="R336" s="41">
        <f t="shared" si="22"/>
        <v>56.651047750927432</v>
      </c>
    </row>
    <row r="337" spans="10:18">
      <c r="J337" s="122">
        <v>44355</v>
      </c>
      <c r="K337" s="123">
        <v>69.339534955550462</v>
      </c>
      <c r="L337" s="123">
        <v>97.043183999999997</v>
      </c>
      <c r="M337" s="124">
        <v>27.703649044449534</v>
      </c>
      <c r="O337" s="39">
        <f t="shared" si="23"/>
        <v>44487</v>
      </c>
      <c r="P337" s="41">
        <f t="shared" si="20"/>
        <v>153.64698424907257</v>
      </c>
      <c r="Q337" s="41">
        <f t="shared" si="21"/>
        <v>216.076896</v>
      </c>
      <c r="R337" s="41">
        <f t="shared" si="22"/>
        <v>62.429911750927431</v>
      </c>
    </row>
    <row r="338" spans="10:18">
      <c r="J338" s="122">
        <v>44354</v>
      </c>
      <c r="K338" s="123">
        <v>69.339534955550462</v>
      </c>
      <c r="L338" s="123">
        <v>97.070400000000006</v>
      </c>
      <c r="M338" s="124">
        <v>27.730865044449544</v>
      </c>
      <c r="O338" s="39">
        <f t="shared" si="23"/>
        <v>44486</v>
      </c>
      <c r="P338" s="41">
        <f t="shared" si="20"/>
        <v>153.64698424907257</v>
      </c>
      <c r="Q338" s="41">
        <f t="shared" si="21"/>
        <v>230.24736000000001</v>
      </c>
      <c r="R338" s="41">
        <f t="shared" si="22"/>
        <v>76.600375750927441</v>
      </c>
    </row>
    <row r="339" spans="10:18">
      <c r="J339" s="122">
        <v>44351</v>
      </c>
      <c r="K339" s="123">
        <v>69.339534955550462</v>
      </c>
      <c r="L339" s="123">
        <v>89.341056000000009</v>
      </c>
      <c r="M339" s="124">
        <v>20.001521044449547</v>
      </c>
      <c r="O339" s="39">
        <f t="shared" si="23"/>
        <v>44485</v>
      </c>
      <c r="P339" s="41">
        <f t="shared" si="20"/>
        <v>153.64698424907257</v>
      </c>
      <c r="Q339" s="41">
        <f t="shared" si="21"/>
        <v>230.24736000000001</v>
      </c>
      <c r="R339" s="41">
        <f t="shared" si="22"/>
        <v>76.600375750927441</v>
      </c>
    </row>
    <row r="340" spans="10:18">
      <c r="J340" s="122">
        <v>44350</v>
      </c>
      <c r="K340" s="123">
        <v>68.803800595996464</v>
      </c>
      <c r="L340" s="123">
        <v>92.833776</v>
      </c>
      <c r="M340" s="124">
        <v>24.029975404003537</v>
      </c>
      <c r="O340" s="39">
        <f t="shared" si="23"/>
        <v>44484</v>
      </c>
      <c r="P340" s="41">
        <f t="shared" si="20"/>
        <v>153.64698424907257</v>
      </c>
      <c r="Q340" s="41">
        <f t="shared" si="21"/>
        <v>230.24736000000001</v>
      </c>
      <c r="R340" s="41">
        <f t="shared" si="22"/>
        <v>76.600375750927441</v>
      </c>
    </row>
    <row r="341" spans="10:18">
      <c r="J341" s="122">
        <v>44349</v>
      </c>
      <c r="K341" s="123">
        <v>68.803800595996464</v>
      </c>
      <c r="L341" s="123">
        <v>88.506432000000004</v>
      </c>
      <c r="M341" s="124">
        <v>19.70263140400354</v>
      </c>
      <c r="O341" s="39">
        <f t="shared" si="23"/>
        <v>44483</v>
      </c>
      <c r="P341" s="41">
        <f t="shared" si="20"/>
        <v>149.11347727481419</v>
      </c>
      <c r="Q341" s="41">
        <f t="shared" si="21"/>
        <v>232.78752000000003</v>
      </c>
      <c r="R341" s="41">
        <f t="shared" si="22"/>
        <v>83.674042725185842</v>
      </c>
    </row>
    <row r="342" spans="10:18">
      <c r="J342" s="122">
        <v>44348</v>
      </c>
      <c r="K342" s="123">
        <v>68.803800595996464</v>
      </c>
      <c r="L342" s="123">
        <v>88.461072000000001</v>
      </c>
      <c r="M342" s="124">
        <v>19.657271404003538</v>
      </c>
      <c r="O342" s="39">
        <f t="shared" si="23"/>
        <v>44482</v>
      </c>
      <c r="P342" s="41">
        <f t="shared" si="20"/>
        <v>149.11347727481419</v>
      </c>
      <c r="Q342" s="41">
        <f t="shared" si="21"/>
        <v>233.04153600000001</v>
      </c>
      <c r="R342" s="41">
        <f t="shared" si="22"/>
        <v>83.928058725185821</v>
      </c>
    </row>
    <row r="343" spans="10:18">
      <c r="J343" s="122">
        <v>44347</v>
      </c>
      <c r="K343" s="123">
        <v>68.803800595996464</v>
      </c>
      <c r="L343" s="123">
        <v>85.503600000000006</v>
      </c>
      <c r="M343" s="124">
        <v>16.699799404003542</v>
      </c>
      <c r="O343" s="39">
        <f t="shared" si="23"/>
        <v>44481</v>
      </c>
      <c r="P343" s="41">
        <f t="shared" si="20"/>
        <v>149.11347727481419</v>
      </c>
      <c r="Q343" s="41">
        <f t="shared" si="21"/>
        <v>231.78960000000001</v>
      </c>
      <c r="R343" s="41">
        <f t="shared" si="22"/>
        <v>82.67612272518582</v>
      </c>
    </row>
    <row r="344" spans="10:18">
      <c r="J344" s="122">
        <v>44344</v>
      </c>
      <c r="K344" s="123">
        <v>68.803800595996464</v>
      </c>
      <c r="L344" s="123">
        <v>85.503600000000006</v>
      </c>
      <c r="M344" s="124">
        <v>16.699799404003542</v>
      </c>
      <c r="O344" s="39">
        <f t="shared" si="23"/>
        <v>44480</v>
      </c>
      <c r="P344" s="41">
        <f t="shared" si="20"/>
        <v>149.11347727481419</v>
      </c>
      <c r="Q344" s="41">
        <f t="shared" si="21"/>
        <v>220.4496</v>
      </c>
      <c r="R344" s="41">
        <f t="shared" si="22"/>
        <v>71.336122725185817</v>
      </c>
    </row>
    <row r="345" spans="10:18">
      <c r="J345" s="122">
        <v>44343</v>
      </c>
      <c r="K345" s="123">
        <v>68.341009192821232</v>
      </c>
      <c r="L345" s="123">
        <v>83.607551999999998</v>
      </c>
      <c r="M345" s="124">
        <v>15.266542807178766</v>
      </c>
      <c r="O345" s="39">
        <f t="shared" si="23"/>
        <v>44479</v>
      </c>
      <c r="P345" s="41">
        <f t="shared" si="20"/>
        <v>149.11347727481419</v>
      </c>
      <c r="Q345" s="41">
        <f t="shared" si="21"/>
        <v>214.253424</v>
      </c>
      <c r="R345" s="41">
        <f t="shared" si="22"/>
        <v>65.139946725185808</v>
      </c>
    </row>
    <row r="346" spans="10:18">
      <c r="J346" s="122">
        <v>44342</v>
      </c>
      <c r="K346" s="123">
        <v>68.341009192821232</v>
      </c>
      <c r="L346" s="123">
        <v>82.845503999999991</v>
      </c>
      <c r="M346" s="124">
        <v>14.504494807178759</v>
      </c>
      <c r="O346" s="39">
        <f t="shared" si="23"/>
        <v>44478</v>
      </c>
      <c r="P346" s="41">
        <f t="shared" si="20"/>
        <v>149.11347727481419</v>
      </c>
      <c r="Q346" s="41">
        <f t="shared" si="21"/>
        <v>214.253424</v>
      </c>
      <c r="R346" s="41">
        <f t="shared" si="22"/>
        <v>65.139946725185808</v>
      </c>
    </row>
    <row r="347" spans="10:18">
      <c r="J347" s="122">
        <v>44341</v>
      </c>
      <c r="K347" s="123">
        <v>68.341009192821232</v>
      </c>
      <c r="L347" s="123">
        <v>81.702432000000002</v>
      </c>
      <c r="M347" s="124">
        <v>13.361422807178769</v>
      </c>
      <c r="O347" s="39">
        <f t="shared" si="23"/>
        <v>44477</v>
      </c>
      <c r="P347" s="41">
        <f t="shared" si="20"/>
        <v>149.11347727481419</v>
      </c>
      <c r="Q347" s="41">
        <f t="shared" si="21"/>
        <v>214.253424</v>
      </c>
      <c r="R347" s="41">
        <f t="shared" si="22"/>
        <v>65.139946725185808</v>
      </c>
    </row>
    <row r="348" spans="10:18">
      <c r="J348" s="122">
        <v>44340</v>
      </c>
      <c r="K348" s="123">
        <v>68.341009192821232</v>
      </c>
      <c r="L348" s="123">
        <v>80.269056000000006</v>
      </c>
      <c r="M348" s="124">
        <v>11.928046807178774</v>
      </c>
      <c r="O348" s="39">
        <f t="shared" si="23"/>
        <v>44476</v>
      </c>
      <c r="P348" s="41">
        <f t="shared" si="20"/>
        <v>122.98702917740177</v>
      </c>
      <c r="Q348" s="41">
        <f t="shared" si="21"/>
        <v>204.12</v>
      </c>
      <c r="R348" s="41">
        <f t="shared" si="22"/>
        <v>81.132970822598239</v>
      </c>
    </row>
    <row r="349" spans="10:18">
      <c r="J349" s="122">
        <v>44337</v>
      </c>
      <c r="K349" s="123">
        <v>68.341009192821232</v>
      </c>
      <c r="L349" s="123">
        <v>80.060400000000001</v>
      </c>
      <c r="M349" s="124">
        <v>11.719390807178769</v>
      </c>
      <c r="O349" s="39">
        <f t="shared" si="23"/>
        <v>44475</v>
      </c>
      <c r="P349" s="41">
        <f t="shared" si="20"/>
        <v>122.98702917740177</v>
      </c>
      <c r="Q349" s="41">
        <f t="shared" si="21"/>
        <v>253.26302400000003</v>
      </c>
      <c r="R349" s="41">
        <f t="shared" si="22"/>
        <v>130.27599482259825</v>
      </c>
    </row>
    <row r="350" spans="10:18">
      <c r="J350" s="122">
        <v>44336</v>
      </c>
      <c r="K350" s="123">
        <v>69.524662013044249</v>
      </c>
      <c r="L350" s="123">
        <v>76.095935999999995</v>
      </c>
      <c r="M350" s="124">
        <v>6.5712739869557453</v>
      </c>
      <c r="O350" s="39">
        <f t="shared" si="23"/>
        <v>44474</v>
      </c>
      <c r="P350" s="41">
        <f t="shared" si="20"/>
        <v>122.98702917740177</v>
      </c>
      <c r="Q350" s="41">
        <f t="shared" si="21"/>
        <v>270.88992000000002</v>
      </c>
      <c r="R350" s="41">
        <f t="shared" si="22"/>
        <v>147.90289082259824</v>
      </c>
    </row>
    <row r="351" spans="10:18">
      <c r="J351" s="122">
        <v>44335</v>
      </c>
      <c r="K351" s="123">
        <v>69.524662013044249</v>
      </c>
      <c r="L351" s="123">
        <v>75.587903999999995</v>
      </c>
      <c r="M351" s="124">
        <v>6.0632419869557452</v>
      </c>
      <c r="O351" s="39">
        <f t="shared" si="23"/>
        <v>44473</v>
      </c>
      <c r="P351" s="41">
        <f t="shared" si="20"/>
        <v>122.98702917740177</v>
      </c>
      <c r="Q351" s="41">
        <f t="shared" si="21"/>
        <v>235.41839999999999</v>
      </c>
      <c r="R351" s="41">
        <f t="shared" si="22"/>
        <v>112.43137082259823</v>
      </c>
    </row>
    <row r="352" spans="10:18">
      <c r="J352" s="122">
        <v>44334</v>
      </c>
      <c r="K352" s="123">
        <v>69.524662013044249</v>
      </c>
      <c r="L352" s="123">
        <v>76.867056000000005</v>
      </c>
      <c r="M352" s="124">
        <v>7.3423939869557557</v>
      </c>
      <c r="O352" s="39">
        <f t="shared" si="23"/>
        <v>44472</v>
      </c>
      <c r="P352" s="41">
        <f t="shared" si="20"/>
        <v>122.98702917740177</v>
      </c>
      <c r="Q352" s="41">
        <f t="shared" si="21"/>
        <v>210.54297600000001</v>
      </c>
      <c r="R352" s="41">
        <f t="shared" si="22"/>
        <v>87.555946822598244</v>
      </c>
    </row>
    <row r="353" spans="10:18">
      <c r="J353" s="122">
        <v>44333</v>
      </c>
      <c r="K353" s="123">
        <v>69.524662013044249</v>
      </c>
      <c r="L353" s="123">
        <v>78.227856000000003</v>
      </c>
      <c r="M353" s="124">
        <v>8.7031939869557533</v>
      </c>
      <c r="O353" s="39">
        <f t="shared" si="23"/>
        <v>44471</v>
      </c>
      <c r="P353" s="41">
        <f t="shared" si="20"/>
        <v>122.98702917740177</v>
      </c>
      <c r="Q353" s="41">
        <f t="shared" si="21"/>
        <v>210.54297600000001</v>
      </c>
      <c r="R353" s="41">
        <f t="shared" si="22"/>
        <v>87.555946822598244</v>
      </c>
    </row>
    <row r="354" spans="10:18">
      <c r="J354" s="122">
        <v>44330</v>
      </c>
      <c r="K354" s="123">
        <v>71.087725364017714</v>
      </c>
      <c r="L354" s="123">
        <v>79.407216000000005</v>
      </c>
      <c r="M354" s="124">
        <v>8.3194906359822909</v>
      </c>
      <c r="O354" s="39">
        <f t="shared" si="23"/>
        <v>44470</v>
      </c>
      <c r="P354" s="41">
        <f t="shared" si="20"/>
        <v>122.98702917740177</v>
      </c>
      <c r="Q354" s="41">
        <f t="shared" si="21"/>
        <v>210.54297600000001</v>
      </c>
      <c r="R354" s="41">
        <f t="shared" si="22"/>
        <v>87.555946822598244</v>
      </c>
    </row>
    <row r="355" spans="10:18">
      <c r="J355" s="122">
        <v>44329</v>
      </c>
      <c r="K355" s="123">
        <v>71.448770582123885</v>
      </c>
      <c r="L355" s="123">
        <v>79.162272000000002</v>
      </c>
      <c r="M355" s="124">
        <v>7.7135014178761168</v>
      </c>
      <c r="O355" s="39">
        <f t="shared" si="23"/>
        <v>44469</v>
      </c>
      <c r="P355" s="41">
        <f t="shared" si="20"/>
        <v>116.77029487333806</v>
      </c>
      <c r="Q355" s="41">
        <f t="shared" si="21"/>
        <v>196.56302399999998</v>
      </c>
      <c r="R355" s="41">
        <f t="shared" si="22"/>
        <v>79.792729126661925</v>
      </c>
    </row>
    <row r="356" spans="10:18">
      <c r="J356" s="122">
        <v>44328</v>
      </c>
      <c r="K356" s="123">
        <v>71.448770582123885</v>
      </c>
      <c r="L356" s="123">
        <v>79.715664000000004</v>
      </c>
      <c r="M356" s="124">
        <v>8.2668934178761191</v>
      </c>
      <c r="O356" s="39">
        <f t="shared" si="23"/>
        <v>44468</v>
      </c>
      <c r="P356" s="41">
        <f t="shared" si="20"/>
        <v>116.77029487333806</v>
      </c>
      <c r="Q356" s="41">
        <f t="shared" si="21"/>
        <v>191.50991999999999</v>
      </c>
      <c r="R356" s="41">
        <f t="shared" si="22"/>
        <v>74.739625126661934</v>
      </c>
    </row>
    <row r="357" spans="10:18">
      <c r="J357" s="122">
        <v>44327</v>
      </c>
      <c r="K357" s="123">
        <v>71.448770582123885</v>
      </c>
      <c r="L357" s="123">
        <v>77.765184000000005</v>
      </c>
      <c r="M357" s="124">
        <v>6.3164134178761202</v>
      </c>
      <c r="O357" s="39">
        <f t="shared" si="23"/>
        <v>44467</v>
      </c>
      <c r="P357" s="41">
        <f t="shared" si="20"/>
        <v>116.77029487333806</v>
      </c>
      <c r="Q357" s="41">
        <f t="shared" si="21"/>
        <v>191.682288</v>
      </c>
      <c r="R357" s="41">
        <f t="shared" si="22"/>
        <v>74.91199312666194</v>
      </c>
    </row>
    <row r="358" spans="10:18">
      <c r="J358" s="122">
        <v>44326</v>
      </c>
      <c r="K358" s="123">
        <v>71.448770582123885</v>
      </c>
      <c r="L358" s="123">
        <v>77.910336000000001</v>
      </c>
      <c r="M358" s="124">
        <v>6.4615654178761162</v>
      </c>
      <c r="O358" s="39">
        <f t="shared" si="23"/>
        <v>44466</v>
      </c>
      <c r="P358" s="41">
        <f t="shared" si="20"/>
        <v>116.77029487333806</v>
      </c>
      <c r="Q358" s="41">
        <f t="shared" si="21"/>
        <v>182.80080000000001</v>
      </c>
      <c r="R358" s="41">
        <f t="shared" si="22"/>
        <v>66.03050512666195</v>
      </c>
    </row>
    <row r="359" spans="10:18">
      <c r="J359" s="122">
        <v>44323</v>
      </c>
      <c r="K359" s="123">
        <v>71.448770582123885</v>
      </c>
      <c r="L359" s="123">
        <v>75.197807999999995</v>
      </c>
      <c r="M359" s="124">
        <v>3.7490374178761101</v>
      </c>
      <c r="O359" s="39">
        <f t="shared" si="23"/>
        <v>44465</v>
      </c>
      <c r="P359" s="41">
        <f t="shared" si="20"/>
        <v>116.77029487333806</v>
      </c>
      <c r="Q359" s="41">
        <f t="shared" si="21"/>
        <v>180.53280000000001</v>
      </c>
      <c r="R359" s="41">
        <f t="shared" si="22"/>
        <v>63.762505126661949</v>
      </c>
    </row>
    <row r="360" spans="10:18">
      <c r="J360" s="122">
        <v>44322</v>
      </c>
      <c r="K360" s="123">
        <v>71.052180023628338</v>
      </c>
      <c r="L360" s="123">
        <v>74.617199999999997</v>
      </c>
      <c r="M360" s="124">
        <v>3.5650199763716586</v>
      </c>
      <c r="O360" s="39">
        <f t="shared" si="23"/>
        <v>44464</v>
      </c>
      <c r="P360" s="41">
        <f t="shared" si="20"/>
        <v>116.77029487333806</v>
      </c>
      <c r="Q360" s="41">
        <f t="shared" si="21"/>
        <v>180.53280000000001</v>
      </c>
      <c r="R360" s="41">
        <f t="shared" si="22"/>
        <v>63.762505126661949</v>
      </c>
    </row>
    <row r="361" spans="10:18">
      <c r="J361" s="122">
        <v>44321</v>
      </c>
      <c r="K361" s="123">
        <v>71.052180023628338</v>
      </c>
      <c r="L361" s="123">
        <v>72.340127999999993</v>
      </c>
      <c r="M361" s="124">
        <v>1.2879479763716546</v>
      </c>
      <c r="O361" s="39">
        <f t="shared" si="23"/>
        <v>44463</v>
      </c>
      <c r="P361" s="41">
        <f t="shared" si="20"/>
        <v>116.77029487333806</v>
      </c>
      <c r="Q361" s="41">
        <f t="shared" si="21"/>
        <v>180.53280000000001</v>
      </c>
      <c r="R361" s="41">
        <f t="shared" si="22"/>
        <v>63.762505126661949</v>
      </c>
    </row>
    <row r="362" spans="10:18">
      <c r="J362" s="122">
        <v>44320</v>
      </c>
      <c r="K362" s="123">
        <v>71.052180023628338</v>
      </c>
      <c r="L362" s="123">
        <v>71.569007999999997</v>
      </c>
      <c r="M362" s="124">
        <v>0.51682797637165834</v>
      </c>
      <c r="O362" s="39">
        <f t="shared" si="23"/>
        <v>44462</v>
      </c>
      <c r="P362" s="41">
        <f t="shared" si="20"/>
        <v>116.53736727122127</v>
      </c>
      <c r="Q362" s="41">
        <f t="shared" si="21"/>
        <v>166.9248</v>
      </c>
      <c r="R362" s="41">
        <f t="shared" si="22"/>
        <v>50.387432728778734</v>
      </c>
    </row>
    <row r="363" spans="10:18">
      <c r="J363" s="122">
        <v>44319</v>
      </c>
      <c r="K363" s="123">
        <v>71.052180023628338</v>
      </c>
      <c r="L363" s="123">
        <v>71.115408000000002</v>
      </c>
      <c r="M363" s="124">
        <v>6.3227976371663885E-2</v>
      </c>
      <c r="O363" s="39">
        <f t="shared" si="23"/>
        <v>44461</v>
      </c>
      <c r="P363" s="41">
        <f t="shared" si="20"/>
        <v>116.53736727122127</v>
      </c>
      <c r="Q363" s="41">
        <f t="shared" si="21"/>
        <v>158.0796</v>
      </c>
      <c r="R363" s="41">
        <f t="shared" si="22"/>
        <v>41.542232728778728</v>
      </c>
    </row>
    <row r="364" spans="10:18">
      <c r="J364" s="122">
        <v>44316</v>
      </c>
      <c r="K364" s="123">
        <v>71.052180023628338</v>
      </c>
      <c r="L364" s="123">
        <v>71.115408000000002</v>
      </c>
      <c r="M364" s="124">
        <v>6.3227976371663885E-2</v>
      </c>
      <c r="O364" s="39">
        <f t="shared" si="23"/>
        <v>44460</v>
      </c>
      <c r="P364" s="41">
        <f t="shared" si="20"/>
        <v>116.53736727122127</v>
      </c>
      <c r="Q364" s="41">
        <f t="shared" si="21"/>
        <v>158.85072</v>
      </c>
      <c r="R364" s="41">
        <f t="shared" si="22"/>
        <v>42.313352728778725</v>
      </c>
    </row>
    <row r="365" spans="10:18">
      <c r="J365" s="122">
        <v>44315</v>
      </c>
      <c r="K365" s="123">
        <v>71.075470159784075</v>
      </c>
      <c r="L365" s="123">
        <v>69.355440000000002</v>
      </c>
      <c r="M365" s="124">
        <v>-1.7200301597840735</v>
      </c>
      <c r="O365" s="39">
        <f t="shared" si="23"/>
        <v>44459</v>
      </c>
      <c r="P365" s="41">
        <f t="shared" si="20"/>
        <v>116.53736727122127</v>
      </c>
      <c r="Q365" s="41">
        <f t="shared" si="21"/>
        <v>161.93520000000001</v>
      </c>
      <c r="R365" s="41">
        <f t="shared" si="22"/>
        <v>45.397832728778738</v>
      </c>
    </row>
    <row r="366" spans="10:18">
      <c r="J366" s="122">
        <v>44314</v>
      </c>
      <c r="K366" s="123">
        <v>71.075470159784075</v>
      </c>
      <c r="L366" s="123">
        <v>68.284943999999996</v>
      </c>
      <c r="M366" s="124">
        <v>-2.7905261597840791</v>
      </c>
      <c r="O366" s="39">
        <f t="shared" si="23"/>
        <v>44458</v>
      </c>
      <c r="P366" s="41">
        <f t="shared" si="20"/>
        <v>116.53736727122127</v>
      </c>
      <c r="Q366" s="41">
        <f t="shared" si="21"/>
        <v>157.94352000000001</v>
      </c>
      <c r="R366" s="41">
        <f t="shared" si="22"/>
        <v>41.406152728778736</v>
      </c>
    </row>
    <row r="367" spans="10:18">
      <c r="J367" s="122">
        <v>44313</v>
      </c>
      <c r="K367" s="123">
        <v>71.075470159784075</v>
      </c>
      <c r="L367" s="123">
        <v>67.903919999999999</v>
      </c>
      <c r="M367" s="124">
        <v>-3.1715501597840756</v>
      </c>
      <c r="O367" s="39">
        <f t="shared" si="23"/>
        <v>44457</v>
      </c>
      <c r="P367" s="41">
        <f t="shared" si="20"/>
        <v>116.53736727122127</v>
      </c>
      <c r="Q367" s="41">
        <f t="shared" si="21"/>
        <v>157.94352000000001</v>
      </c>
      <c r="R367" s="41">
        <f t="shared" si="22"/>
        <v>41.406152728778736</v>
      </c>
    </row>
    <row r="368" spans="10:18">
      <c r="J368" s="122">
        <v>44312</v>
      </c>
      <c r="K368" s="123">
        <v>71.075470159784075</v>
      </c>
      <c r="L368" s="123">
        <v>67.277951999999999</v>
      </c>
      <c r="M368" s="124">
        <v>-3.7975181597840759</v>
      </c>
      <c r="O368" s="39">
        <f t="shared" si="23"/>
        <v>44456</v>
      </c>
      <c r="P368" s="41">
        <f t="shared" si="20"/>
        <v>116.53736727122127</v>
      </c>
      <c r="Q368" s="41">
        <f t="shared" si="21"/>
        <v>157.94352000000001</v>
      </c>
      <c r="R368" s="41">
        <f t="shared" si="22"/>
        <v>41.406152728778736</v>
      </c>
    </row>
    <row r="369" spans="10:18">
      <c r="J369" s="122">
        <v>44309</v>
      </c>
      <c r="K369" s="123">
        <v>71.075470159784075</v>
      </c>
      <c r="L369" s="123">
        <v>67.259808000000007</v>
      </c>
      <c r="M369" s="124">
        <v>-3.8156621597840683</v>
      </c>
      <c r="O369" s="39">
        <f t="shared" si="23"/>
        <v>44455</v>
      </c>
      <c r="P369" s="41">
        <f t="shared" si="20"/>
        <v>114.21236657656993</v>
      </c>
      <c r="Q369" s="41">
        <f t="shared" si="21"/>
        <v>158.48783999999998</v>
      </c>
      <c r="R369" s="41">
        <f t="shared" si="22"/>
        <v>44.275473423430043</v>
      </c>
    </row>
    <row r="370" spans="10:18">
      <c r="J370" s="122">
        <v>44308</v>
      </c>
      <c r="K370" s="123">
        <v>68.958877911929193</v>
      </c>
      <c r="L370" s="123">
        <v>67.731551999999994</v>
      </c>
      <c r="M370" s="124">
        <v>-1.2273259119291993</v>
      </c>
      <c r="O370" s="39">
        <f t="shared" si="23"/>
        <v>44454</v>
      </c>
      <c r="P370" s="41">
        <f t="shared" si="20"/>
        <v>114.21236657656993</v>
      </c>
      <c r="Q370" s="41">
        <f t="shared" si="21"/>
        <v>159.53111999999999</v>
      </c>
      <c r="R370" s="41">
        <f t="shared" si="22"/>
        <v>45.318753423430053</v>
      </c>
    </row>
    <row r="371" spans="10:18">
      <c r="J371" s="122">
        <v>44307</v>
      </c>
      <c r="K371" s="123">
        <v>68.958877911929193</v>
      </c>
      <c r="L371" s="123">
        <v>66.670127999999991</v>
      </c>
      <c r="M371" s="124">
        <v>-2.2887499119292016</v>
      </c>
      <c r="O371" s="39">
        <f t="shared" si="23"/>
        <v>44453</v>
      </c>
      <c r="P371" s="41">
        <f t="shared" si="20"/>
        <v>114.21236657656993</v>
      </c>
      <c r="Q371" s="41">
        <f t="shared" si="21"/>
        <v>160.3476</v>
      </c>
      <c r="R371" s="41">
        <f t="shared" si="22"/>
        <v>46.135233423430066</v>
      </c>
    </row>
    <row r="372" spans="10:18">
      <c r="J372" s="122">
        <v>44306</v>
      </c>
      <c r="K372" s="123">
        <v>68.958877911929193</v>
      </c>
      <c r="L372" s="123">
        <v>65.726640000000003</v>
      </c>
      <c r="M372" s="124">
        <v>-3.2322379119291895</v>
      </c>
      <c r="O372" s="39">
        <f t="shared" si="23"/>
        <v>44452</v>
      </c>
      <c r="P372" s="41">
        <f t="shared" si="20"/>
        <v>114.21236657656993</v>
      </c>
      <c r="Q372" s="41">
        <f t="shared" si="21"/>
        <v>161.02799999999999</v>
      </c>
      <c r="R372" s="41">
        <f t="shared" si="22"/>
        <v>46.815633423430057</v>
      </c>
    </row>
    <row r="373" spans="10:18">
      <c r="J373" s="122">
        <v>44305</v>
      </c>
      <c r="K373" s="123">
        <v>68.958877911929193</v>
      </c>
      <c r="L373" s="123">
        <v>67.876703999999989</v>
      </c>
      <c r="M373" s="124">
        <v>-1.0821739119292033</v>
      </c>
      <c r="O373" s="39">
        <f t="shared" si="23"/>
        <v>44451</v>
      </c>
      <c r="P373" s="41">
        <f t="shared" si="20"/>
        <v>114.21236657656993</v>
      </c>
      <c r="Q373" s="41">
        <f t="shared" si="21"/>
        <v>157.59878399999999</v>
      </c>
      <c r="R373" s="41">
        <f t="shared" si="22"/>
        <v>43.386417423430061</v>
      </c>
    </row>
    <row r="374" spans="10:18">
      <c r="J374" s="122">
        <v>44302</v>
      </c>
      <c r="K374" s="123">
        <v>68.958877911929193</v>
      </c>
      <c r="L374" s="123">
        <v>67.486608000000004</v>
      </c>
      <c r="M374" s="124">
        <v>-1.4722699119291889</v>
      </c>
      <c r="O374" s="39">
        <f t="shared" si="23"/>
        <v>44450</v>
      </c>
      <c r="P374" s="41">
        <f t="shared" si="20"/>
        <v>114.21236657656993</v>
      </c>
      <c r="Q374" s="41">
        <f t="shared" si="21"/>
        <v>157.59878399999999</v>
      </c>
      <c r="R374" s="41">
        <f t="shared" si="22"/>
        <v>43.386417423430061</v>
      </c>
    </row>
    <row r="375" spans="10:18">
      <c r="J375" s="122">
        <v>44301</v>
      </c>
      <c r="K375" s="123">
        <v>66.809795377890268</v>
      </c>
      <c r="L375" s="123">
        <v>64.619855999999999</v>
      </c>
      <c r="M375" s="124">
        <v>-2.1899393778902692</v>
      </c>
      <c r="O375" s="39">
        <f t="shared" si="23"/>
        <v>44449</v>
      </c>
      <c r="P375" s="41">
        <f t="shared" si="20"/>
        <v>114.21236657656993</v>
      </c>
      <c r="Q375" s="41">
        <f t="shared" si="21"/>
        <v>157.59878399999999</v>
      </c>
      <c r="R375" s="41">
        <f t="shared" si="22"/>
        <v>43.386417423430061</v>
      </c>
    </row>
    <row r="376" spans="10:18">
      <c r="J376" s="122">
        <v>44300</v>
      </c>
      <c r="K376" s="123">
        <v>66.809795377890268</v>
      </c>
      <c r="L376" s="123">
        <v>63.558432000000003</v>
      </c>
      <c r="M376" s="124">
        <v>-3.2513633778902644</v>
      </c>
      <c r="O376" s="39">
        <f t="shared" si="23"/>
        <v>44448</v>
      </c>
      <c r="P376" s="41">
        <f t="shared" si="20"/>
        <v>110.80978705439999</v>
      </c>
      <c r="Q376" s="41">
        <f t="shared" si="21"/>
        <v>157.626</v>
      </c>
      <c r="R376" s="41">
        <f t="shared" si="22"/>
        <v>46.816212945600014</v>
      </c>
    </row>
    <row r="377" spans="10:18">
      <c r="J377" s="122">
        <v>44299</v>
      </c>
      <c r="K377" s="123">
        <v>66.809795377890268</v>
      </c>
      <c r="L377" s="123">
        <v>63.195551999999999</v>
      </c>
      <c r="M377" s="124">
        <v>-3.6142433778902685</v>
      </c>
      <c r="O377" s="39">
        <f t="shared" si="23"/>
        <v>44447</v>
      </c>
      <c r="P377" s="41">
        <f t="shared" si="20"/>
        <v>110.80978705439999</v>
      </c>
      <c r="Q377" s="41">
        <f t="shared" si="21"/>
        <v>154.22399999999999</v>
      </c>
      <c r="R377" s="41">
        <f t="shared" si="22"/>
        <v>43.414212945599999</v>
      </c>
    </row>
    <row r="378" spans="10:18">
      <c r="J378" s="122">
        <v>44298</v>
      </c>
      <c r="K378" s="123">
        <v>66.809795377890268</v>
      </c>
      <c r="L378" s="123">
        <v>62.215775999999998</v>
      </c>
      <c r="M378" s="124">
        <v>-4.5940193778902696</v>
      </c>
      <c r="O378" s="39">
        <f t="shared" si="23"/>
        <v>44446</v>
      </c>
      <c r="P378" s="41">
        <f t="shared" si="20"/>
        <v>110.80978705439999</v>
      </c>
      <c r="Q378" s="41">
        <f t="shared" si="21"/>
        <v>153.83390399999999</v>
      </c>
      <c r="R378" s="41">
        <f t="shared" si="22"/>
        <v>43.024116945599999</v>
      </c>
    </row>
    <row r="379" spans="10:18">
      <c r="J379" s="122">
        <v>44295</v>
      </c>
      <c r="K379" s="123">
        <v>66.809795377890268</v>
      </c>
      <c r="L379" s="123">
        <v>61.199711999999998</v>
      </c>
      <c r="M379" s="124">
        <v>-5.6100833778902697</v>
      </c>
      <c r="O379" s="39">
        <f t="shared" si="23"/>
        <v>44445</v>
      </c>
      <c r="P379" s="41">
        <f t="shared" si="20"/>
        <v>110.80978705439999</v>
      </c>
      <c r="Q379" s="41">
        <f t="shared" si="21"/>
        <v>154.22399999999999</v>
      </c>
      <c r="R379" s="41">
        <f t="shared" si="22"/>
        <v>43.414212945599999</v>
      </c>
    </row>
    <row r="380" spans="10:18">
      <c r="J380" s="122">
        <v>44294</v>
      </c>
      <c r="K380" s="123">
        <v>67.675313688530963</v>
      </c>
      <c r="L380" s="123">
        <v>60.945696000000005</v>
      </c>
      <c r="M380" s="124">
        <v>-6.7296176885309578</v>
      </c>
      <c r="O380" s="39">
        <f t="shared" si="23"/>
        <v>44444</v>
      </c>
      <c r="P380" s="41">
        <f t="shared" si="20"/>
        <v>110.80978705439999</v>
      </c>
      <c r="Q380" s="41">
        <f t="shared" si="21"/>
        <v>150.422832</v>
      </c>
      <c r="R380" s="41">
        <f t="shared" si="22"/>
        <v>39.613044945600009</v>
      </c>
    </row>
    <row r="381" spans="10:18">
      <c r="J381" s="122">
        <v>44293</v>
      </c>
      <c r="K381" s="123">
        <v>67.675313688530963</v>
      </c>
      <c r="L381" s="123">
        <v>61.798464000000003</v>
      </c>
      <c r="M381" s="124">
        <v>-5.8768496885309602</v>
      </c>
      <c r="O381" s="39">
        <f t="shared" si="23"/>
        <v>44443</v>
      </c>
      <c r="P381" s="41">
        <f t="shared" si="20"/>
        <v>110.80978705439999</v>
      </c>
      <c r="Q381" s="41">
        <f t="shared" si="21"/>
        <v>150.422832</v>
      </c>
      <c r="R381" s="41">
        <f t="shared" si="22"/>
        <v>39.613044945600009</v>
      </c>
    </row>
    <row r="382" spans="10:18">
      <c r="J382" s="122">
        <v>44292</v>
      </c>
      <c r="K382" s="123">
        <v>67.675313688530963</v>
      </c>
      <c r="L382" s="123">
        <v>64.238832000000002</v>
      </c>
      <c r="M382" s="124">
        <v>-3.4364816885309608</v>
      </c>
      <c r="O382" s="39">
        <f t="shared" si="23"/>
        <v>44442</v>
      </c>
      <c r="P382" s="41">
        <f t="shared" si="20"/>
        <v>110.80978705439999</v>
      </c>
      <c r="Q382" s="41">
        <f t="shared" si="21"/>
        <v>150.422832</v>
      </c>
      <c r="R382" s="41">
        <f t="shared" si="22"/>
        <v>39.613044945600009</v>
      </c>
    </row>
    <row r="383" spans="10:18">
      <c r="J383" s="122">
        <v>44291</v>
      </c>
      <c r="K383" s="123">
        <v>67.675313688530963</v>
      </c>
      <c r="L383" s="123">
        <v>62.823599999999999</v>
      </c>
      <c r="M383" s="124">
        <v>-4.851713688530964</v>
      </c>
      <c r="O383" s="39">
        <f t="shared" si="23"/>
        <v>44441</v>
      </c>
      <c r="P383" s="41">
        <f t="shared" si="20"/>
        <v>109.79962934387258</v>
      </c>
      <c r="Q383" s="41">
        <f t="shared" si="21"/>
        <v>150.894576</v>
      </c>
      <c r="R383" s="41">
        <f t="shared" si="22"/>
        <v>41.094946656127419</v>
      </c>
    </row>
    <row r="384" spans="10:18">
      <c r="J384" s="122">
        <v>44288</v>
      </c>
      <c r="K384" s="123">
        <v>67.675313688530963</v>
      </c>
      <c r="L384" s="123">
        <v>62.823599999999999</v>
      </c>
      <c r="M384" s="124">
        <v>-4.851713688530964</v>
      </c>
      <c r="O384" s="39">
        <f t="shared" si="23"/>
        <v>44440</v>
      </c>
      <c r="P384" s="41">
        <f t="shared" si="20"/>
        <v>109.79962934387258</v>
      </c>
      <c r="Q384" s="41">
        <f t="shared" si="21"/>
        <v>147.456288</v>
      </c>
      <c r="R384" s="41">
        <f t="shared" si="22"/>
        <v>37.656658656127419</v>
      </c>
    </row>
    <row r="385" spans="10:18">
      <c r="J385" s="122">
        <v>44287</v>
      </c>
      <c r="K385" s="123">
        <v>68.76211890663717</v>
      </c>
      <c r="L385" s="123">
        <v>62.823599999999999</v>
      </c>
      <c r="M385" s="124">
        <v>-5.9385189066371709</v>
      </c>
      <c r="O385" s="39">
        <f t="shared" si="23"/>
        <v>44439</v>
      </c>
      <c r="P385" s="41">
        <f t="shared" si="20"/>
        <v>109.79962934387258</v>
      </c>
      <c r="Q385" s="41">
        <f t="shared" si="21"/>
        <v>139.46385599999999</v>
      </c>
      <c r="R385" s="41">
        <f t="shared" si="22"/>
        <v>29.664226656127411</v>
      </c>
    </row>
    <row r="386" spans="10:18">
      <c r="J386" s="122">
        <v>44286</v>
      </c>
      <c r="K386" s="123">
        <v>68.76211890663717</v>
      </c>
      <c r="L386" s="123">
        <v>62.995967999999998</v>
      </c>
      <c r="M386" s="124">
        <v>-5.7661509066371721</v>
      </c>
      <c r="O386" s="39">
        <f t="shared" si="23"/>
        <v>44438</v>
      </c>
      <c r="P386" s="41">
        <f t="shared" si="20"/>
        <v>109.79962934387258</v>
      </c>
      <c r="Q386" s="41">
        <f t="shared" si="21"/>
        <v>136.9872</v>
      </c>
      <c r="R386" s="41">
        <f t="shared" si="22"/>
        <v>27.18757065612742</v>
      </c>
    </row>
    <row r="387" spans="10:18">
      <c r="J387" s="122">
        <v>44285</v>
      </c>
      <c r="K387" s="123">
        <v>68.76211890663717</v>
      </c>
      <c r="L387" s="123">
        <v>63.594719999999995</v>
      </c>
      <c r="M387" s="124">
        <v>-5.1673989066371746</v>
      </c>
      <c r="O387" s="39">
        <f t="shared" si="23"/>
        <v>44437</v>
      </c>
      <c r="P387" s="41">
        <f t="shared" si="20"/>
        <v>109.79962934387258</v>
      </c>
      <c r="Q387" s="41">
        <f t="shared" si="21"/>
        <v>136.9872</v>
      </c>
      <c r="R387" s="41">
        <f t="shared" si="22"/>
        <v>27.18757065612742</v>
      </c>
    </row>
    <row r="388" spans="10:18">
      <c r="J388" s="122">
        <v>44284</v>
      </c>
      <c r="K388" s="123">
        <v>68.76211890663717</v>
      </c>
      <c r="L388" s="123">
        <v>64.420272000000011</v>
      </c>
      <c r="M388" s="124">
        <v>-4.3418469066371586</v>
      </c>
      <c r="O388" s="39">
        <f t="shared" si="23"/>
        <v>44436</v>
      </c>
      <c r="P388" s="41">
        <f t="shared" si="20"/>
        <v>109.79962934387258</v>
      </c>
      <c r="Q388" s="41">
        <f t="shared" si="21"/>
        <v>136.9872</v>
      </c>
      <c r="R388" s="41">
        <f t="shared" si="22"/>
        <v>27.18757065612742</v>
      </c>
    </row>
    <row r="389" spans="10:18">
      <c r="J389" s="122">
        <v>44281</v>
      </c>
      <c r="K389" s="123">
        <v>68.76211890663717</v>
      </c>
      <c r="L389" s="123">
        <v>66.171167999999994</v>
      </c>
      <c r="M389" s="124">
        <v>-2.5909509066371754</v>
      </c>
      <c r="O389" s="39">
        <f t="shared" si="23"/>
        <v>44435</v>
      </c>
      <c r="P389" s="41">
        <f t="shared" si="20"/>
        <v>109.79962934387258</v>
      </c>
      <c r="Q389" s="41">
        <f t="shared" si="21"/>
        <v>136.9872</v>
      </c>
      <c r="R389" s="41">
        <f t="shared" si="22"/>
        <v>27.18757065612742</v>
      </c>
    </row>
    <row r="390" spans="10:18">
      <c r="J390" s="122">
        <v>44280</v>
      </c>
      <c r="K390" s="123">
        <v>70.220381018336298</v>
      </c>
      <c r="L390" s="123">
        <v>66.597551999999993</v>
      </c>
      <c r="M390" s="124">
        <v>-3.6228290183363043</v>
      </c>
      <c r="O390" s="39">
        <f t="shared" si="23"/>
        <v>44434</v>
      </c>
      <c r="P390" s="41">
        <f t="shared" ref="P390:P453" si="24">IFERROR(VLOOKUP($O390,$J$5:$M$403,2,FALSE),P391)</f>
        <v>108.6300927503363</v>
      </c>
      <c r="Q390" s="41">
        <f t="shared" ref="Q390:Q453" si="25">IFERROR(VLOOKUP($O390,$J$5:$M$403,3,FALSE),Q391)</f>
        <v>136.44288</v>
      </c>
      <c r="R390" s="41">
        <f t="shared" ref="R390:R453" si="26">IFERROR(VLOOKUP($O390,$J$5:$M$403,4,FALSE),R391)</f>
        <v>27.8127872496637</v>
      </c>
    </row>
    <row r="391" spans="10:18">
      <c r="J391" s="122">
        <v>44279</v>
      </c>
      <c r="K391" s="123">
        <v>70.220381018336298</v>
      </c>
      <c r="L391" s="123">
        <v>65.000880000000009</v>
      </c>
      <c r="M391" s="124">
        <v>-5.2195010183362882</v>
      </c>
      <c r="O391" s="39">
        <f t="shared" ref="O391:O454" si="27">O390-1</f>
        <v>44433</v>
      </c>
      <c r="P391" s="41">
        <f t="shared" si="24"/>
        <v>108.6300927503363</v>
      </c>
      <c r="Q391" s="41">
        <f t="shared" si="25"/>
        <v>136.71503999999999</v>
      </c>
      <c r="R391" s="41">
        <f t="shared" si="26"/>
        <v>28.084947249663685</v>
      </c>
    </row>
    <row r="392" spans="10:18">
      <c r="J392" s="122">
        <v>44278</v>
      </c>
      <c r="K392" s="123">
        <v>70.220381018336298</v>
      </c>
      <c r="L392" s="123">
        <v>64.84665600000001</v>
      </c>
      <c r="M392" s="124">
        <v>-5.3737250183362875</v>
      </c>
      <c r="O392" s="39">
        <f t="shared" si="27"/>
        <v>44432</v>
      </c>
      <c r="P392" s="41">
        <f t="shared" si="24"/>
        <v>108.6300927503363</v>
      </c>
      <c r="Q392" s="41">
        <f t="shared" si="25"/>
        <v>136.08000000000001</v>
      </c>
      <c r="R392" s="41">
        <f t="shared" si="26"/>
        <v>27.44990724966371</v>
      </c>
    </row>
    <row r="393" spans="10:18">
      <c r="J393" s="122">
        <v>44277</v>
      </c>
      <c r="K393" s="123">
        <v>70.220381018336298</v>
      </c>
      <c r="L393" s="123">
        <v>65.18231999999999</v>
      </c>
      <c r="M393" s="124">
        <v>-5.0380610183363075</v>
      </c>
      <c r="O393" s="39">
        <f t="shared" si="27"/>
        <v>44431</v>
      </c>
      <c r="P393" s="41">
        <f t="shared" si="24"/>
        <v>108.6300927503363</v>
      </c>
      <c r="Q393" s="41">
        <f t="shared" si="25"/>
        <v>131.44420799999997</v>
      </c>
      <c r="R393" s="41">
        <f t="shared" si="26"/>
        <v>22.814115249663672</v>
      </c>
    </row>
    <row r="394" spans="10:18">
      <c r="J394" s="122">
        <v>44274</v>
      </c>
      <c r="K394" s="123">
        <v>69.699359901345147</v>
      </c>
      <c r="L394" s="123">
        <v>63.830592000000003</v>
      </c>
      <c r="M394" s="124">
        <v>-5.8687679013451444</v>
      </c>
      <c r="O394" s="39">
        <f t="shared" si="27"/>
        <v>44430</v>
      </c>
      <c r="P394" s="41">
        <f t="shared" si="24"/>
        <v>96.000540874470801</v>
      </c>
      <c r="Q394" s="41">
        <f t="shared" si="25"/>
        <v>130.60958400000001</v>
      </c>
      <c r="R394" s="41">
        <f t="shared" si="26"/>
        <v>34.609043125529212</v>
      </c>
    </row>
    <row r="395" spans="10:18">
      <c r="J395" s="122">
        <v>44273</v>
      </c>
      <c r="K395" s="123">
        <v>67.593188075830085</v>
      </c>
      <c r="L395" s="123">
        <v>65.164175999999998</v>
      </c>
      <c r="M395" s="124">
        <v>-2.4290120758300873</v>
      </c>
      <c r="O395" s="39">
        <f t="shared" si="27"/>
        <v>44429</v>
      </c>
      <c r="P395" s="41">
        <f t="shared" si="24"/>
        <v>96.000540874470801</v>
      </c>
      <c r="Q395" s="41">
        <f t="shared" si="25"/>
        <v>130.60958400000001</v>
      </c>
      <c r="R395" s="41">
        <f t="shared" si="26"/>
        <v>34.609043125529212</v>
      </c>
    </row>
    <row r="396" spans="10:18">
      <c r="J396" s="122">
        <v>44272</v>
      </c>
      <c r="K396" s="123">
        <v>67.593188075830085</v>
      </c>
      <c r="L396" s="123">
        <v>62.1432</v>
      </c>
      <c r="M396" s="124">
        <v>-5.4499880758300847</v>
      </c>
      <c r="O396" s="39">
        <f t="shared" si="27"/>
        <v>44428</v>
      </c>
      <c r="P396" s="41">
        <f t="shared" si="24"/>
        <v>96.000540874470801</v>
      </c>
      <c r="Q396" s="41">
        <f t="shared" si="25"/>
        <v>130.60958400000001</v>
      </c>
      <c r="R396" s="41">
        <f t="shared" si="26"/>
        <v>34.609043125529212</v>
      </c>
    </row>
    <row r="397" spans="10:18">
      <c r="J397" s="122">
        <v>44271</v>
      </c>
      <c r="K397" s="123">
        <v>67.593188075830085</v>
      </c>
      <c r="L397" s="123">
        <v>60.882192000000003</v>
      </c>
      <c r="M397" s="124">
        <v>-6.7109960758300815</v>
      </c>
      <c r="O397" s="39">
        <f t="shared" si="27"/>
        <v>44427</v>
      </c>
      <c r="P397" s="41">
        <f t="shared" si="24"/>
        <v>93.67126485330266</v>
      </c>
      <c r="Q397" s="41">
        <f t="shared" si="25"/>
        <v>137.27750399999999</v>
      </c>
      <c r="R397" s="41">
        <f t="shared" si="26"/>
        <v>43.606239146697334</v>
      </c>
    </row>
    <row r="398" spans="10:18">
      <c r="J398" s="122">
        <v>44270</v>
      </c>
      <c r="K398" s="123">
        <v>67.593188075830085</v>
      </c>
      <c r="L398" s="123">
        <v>61.426511999999995</v>
      </c>
      <c r="M398" s="124">
        <v>-6.1666760758300896</v>
      </c>
      <c r="O398" s="39">
        <f t="shared" si="27"/>
        <v>44426</v>
      </c>
      <c r="P398" s="41">
        <f t="shared" si="24"/>
        <v>93.67126485330266</v>
      </c>
      <c r="Q398" s="41">
        <f t="shared" si="25"/>
        <v>138.99211200000002</v>
      </c>
      <c r="R398" s="41">
        <f t="shared" si="26"/>
        <v>45.320847146697361</v>
      </c>
    </row>
    <row r="399" spans="10:18">
      <c r="J399" s="122">
        <v>44267</v>
      </c>
      <c r="K399" s="123">
        <v>67.593188075830085</v>
      </c>
      <c r="L399" s="123">
        <v>60.827759999999998</v>
      </c>
      <c r="M399" s="124">
        <v>-6.7654280758300871</v>
      </c>
      <c r="O399" s="39">
        <f t="shared" si="27"/>
        <v>44425</v>
      </c>
      <c r="P399" s="41">
        <f t="shared" si="24"/>
        <v>93.67126485330266</v>
      </c>
      <c r="Q399" s="41">
        <f t="shared" si="25"/>
        <v>139.75416000000001</v>
      </c>
      <c r="R399" s="41">
        <f t="shared" si="26"/>
        <v>46.082895146697354</v>
      </c>
    </row>
    <row r="400" spans="10:18">
      <c r="J400" s="122">
        <v>44266</v>
      </c>
      <c r="K400" s="123">
        <v>68.247839901345131</v>
      </c>
      <c r="L400" s="123">
        <v>60.020351999999995</v>
      </c>
      <c r="M400" s="124">
        <v>-8.2274879013451354</v>
      </c>
      <c r="O400" s="39">
        <f t="shared" si="27"/>
        <v>44424</v>
      </c>
      <c r="P400" s="41">
        <f t="shared" si="24"/>
        <v>93.67126485330266</v>
      </c>
      <c r="Q400" s="41">
        <f t="shared" si="25"/>
        <v>140.86094400000002</v>
      </c>
      <c r="R400" s="41">
        <f t="shared" si="26"/>
        <v>47.189679146697358</v>
      </c>
    </row>
    <row r="401" spans="10:18">
      <c r="J401" s="122">
        <v>44265</v>
      </c>
      <c r="K401" s="123">
        <v>68.247839901345131</v>
      </c>
      <c r="L401" s="123">
        <v>60.192719999999994</v>
      </c>
      <c r="M401" s="124">
        <v>-8.0551199013451367</v>
      </c>
      <c r="O401" s="39">
        <f t="shared" si="27"/>
        <v>44423</v>
      </c>
      <c r="P401" s="41">
        <f t="shared" si="24"/>
        <v>93.67126485330266</v>
      </c>
      <c r="Q401" s="41">
        <f t="shared" si="25"/>
        <v>139.93559999999999</v>
      </c>
      <c r="R401" s="41">
        <f t="shared" si="26"/>
        <v>46.264335146697334</v>
      </c>
    </row>
    <row r="402" spans="10:18">
      <c r="J402" s="122">
        <v>44264</v>
      </c>
      <c r="K402" s="123">
        <v>68.247839901345131</v>
      </c>
      <c r="L402" s="123">
        <v>59.185727999999997</v>
      </c>
      <c r="M402" s="124">
        <v>-9.0621119013451334</v>
      </c>
      <c r="O402" s="39">
        <f t="shared" si="27"/>
        <v>44422</v>
      </c>
      <c r="P402" s="41">
        <f t="shared" si="24"/>
        <v>93.67126485330266</v>
      </c>
      <c r="Q402" s="41">
        <f t="shared" si="25"/>
        <v>139.93559999999999</v>
      </c>
      <c r="R402" s="41">
        <f t="shared" si="26"/>
        <v>46.264335146697334</v>
      </c>
    </row>
    <row r="403" spans="10:18">
      <c r="J403" s="122">
        <v>44263</v>
      </c>
      <c r="K403" s="123">
        <v>68.247839901345131</v>
      </c>
      <c r="L403" s="123">
        <v>59.203872000000004</v>
      </c>
      <c r="M403" s="124">
        <v>-9.0439679013451268</v>
      </c>
      <c r="O403" s="39">
        <f t="shared" si="27"/>
        <v>44421</v>
      </c>
      <c r="P403" s="41">
        <f t="shared" si="24"/>
        <v>93.67126485330266</v>
      </c>
      <c r="Q403" s="41">
        <f t="shared" si="25"/>
        <v>139.93559999999999</v>
      </c>
      <c r="R403" s="41">
        <f t="shared" si="26"/>
        <v>46.264335146697334</v>
      </c>
    </row>
    <row r="404" spans="10:18">
      <c r="J404" s="122">
        <v>44260</v>
      </c>
      <c r="K404" s="123">
        <v>68.768861018336281</v>
      </c>
      <c r="L404" s="123">
        <v>59.838911999999993</v>
      </c>
      <c r="M404" s="124">
        <v>-8.9299490183362877</v>
      </c>
      <c r="O404" s="39">
        <f t="shared" si="27"/>
        <v>44420</v>
      </c>
      <c r="P404" s="41">
        <f t="shared" si="24"/>
        <v>91.753283886339844</v>
      </c>
      <c r="Q404" s="41">
        <f t="shared" si="25"/>
        <v>140.75208000000001</v>
      </c>
      <c r="R404" s="41">
        <f t="shared" si="26"/>
        <v>48.998796113660163</v>
      </c>
    </row>
    <row r="405" spans="10:18">
      <c r="J405" s="122">
        <v>44259</v>
      </c>
      <c r="K405" s="123">
        <v>70.833359901345148</v>
      </c>
      <c r="L405" s="123">
        <v>60.718896000000008</v>
      </c>
      <c r="M405" s="124">
        <v>-10.11446390134514</v>
      </c>
      <c r="O405" s="39">
        <f t="shared" si="27"/>
        <v>44419</v>
      </c>
      <c r="P405" s="41">
        <f t="shared" si="24"/>
        <v>91.753283886339844</v>
      </c>
      <c r="Q405" s="41">
        <f t="shared" si="25"/>
        <v>135.653616</v>
      </c>
      <c r="R405" s="41">
        <f t="shared" si="26"/>
        <v>43.900332113660156</v>
      </c>
    </row>
    <row r="406" spans="10:18">
      <c r="J406" s="122">
        <v>44258</v>
      </c>
      <c r="K406" s="123">
        <v>70.833359901345148</v>
      </c>
      <c r="L406" s="123">
        <v>60.619103999999993</v>
      </c>
      <c r="M406" s="124">
        <v>-10.214255901345155</v>
      </c>
      <c r="O406" s="39">
        <f t="shared" si="27"/>
        <v>44418</v>
      </c>
      <c r="P406" s="41">
        <f t="shared" si="24"/>
        <v>91.753283886339844</v>
      </c>
      <c r="Q406" s="41">
        <f t="shared" si="25"/>
        <v>135.027648</v>
      </c>
      <c r="R406" s="41">
        <f t="shared" si="26"/>
        <v>43.274364113660155</v>
      </c>
    </row>
    <row r="407" spans="10:18">
      <c r="J407" s="122">
        <v>44257</v>
      </c>
      <c r="K407" s="123">
        <v>70.833359901345148</v>
      </c>
      <c r="L407" s="123">
        <v>60.120143999999996</v>
      </c>
      <c r="M407" s="124">
        <v>-10.713215901345151</v>
      </c>
      <c r="O407" s="39">
        <f t="shared" si="27"/>
        <v>44417</v>
      </c>
      <c r="P407" s="41">
        <f t="shared" si="24"/>
        <v>91.753283886339844</v>
      </c>
      <c r="Q407" s="41">
        <f t="shared" si="25"/>
        <v>134.90063999999998</v>
      </c>
      <c r="R407" s="41">
        <f t="shared" si="26"/>
        <v>43.147356113660138</v>
      </c>
    </row>
    <row r="408" spans="10:18">
      <c r="J408" s="122">
        <v>44256</v>
      </c>
      <c r="K408" s="123">
        <v>70.833359901345148</v>
      </c>
      <c r="L408" s="123">
        <v>59.702832000000001</v>
      </c>
      <c r="M408" s="124">
        <v>-11.130527901345147</v>
      </c>
      <c r="O408" s="39">
        <f t="shared" si="27"/>
        <v>44416</v>
      </c>
      <c r="P408" s="41">
        <f t="shared" si="24"/>
        <v>91.753283886339844</v>
      </c>
      <c r="Q408" s="41">
        <f t="shared" si="25"/>
        <v>131.516784</v>
      </c>
      <c r="R408" s="41">
        <f t="shared" si="26"/>
        <v>39.763500113660157</v>
      </c>
    </row>
    <row r="409" spans="10:18">
      <c r="J409" s="122">
        <v>44253</v>
      </c>
      <c r="K409" s="123">
        <v>70.833359901345148</v>
      </c>
      <c r="L409" s="123">
        <v>59.566751999999994</v>
      </c>
      <c r="M409" s="124">
        <v>-11.266607901345154</v>
      </c>
      <c r="O409" s="39">
        <f t="shared" si="27"/>
        <v>44415</v>
      </c>
      <c r="P409" s="41">
        <f t="shared" si="24"/>
        <v>91.753283886339844</v>
      </c>
      <c r="Q409" s="41">
        <f t="shared" si="25"/>
        <v>131.516784</v>
      </c>
      <c r="R409" s="41">
        <f t="shared" si="26"/>
        <v>39.763500113660157</v>
      </c>
    </row>
    <row r="410" spans="10:18">
      <c r="J410" s="122">
        <v>44252</v>
      </c>
      <c r="K410" s="123">
        <v>71.415683280063718</v>
      </c>
      <c r="L410" s="123">
        <v>60.328800000000001</v>
      </c>
      <c r="M410" s="124">
        <v>-11.086883280063716</v>
      </c>
      <c r="O410" s="39">
        <f t="shared" si="27"/>
        <v>44414</v>
      </c>
      <c r="P410" s="41">
        <f t="shared" si="24"/>
        <v>91.753283886339844</v>
      </c>
      <c r="Q410" s="41">
        <f t="shared" si="25"/>
        <v>131.516784</v>
      </c>
      <c r="R410" s="41">
        <f t="shared" si="26"/>
        <v>39.763500113660157</v>
      </c>
    </row>
    <row r="411" spans="10:18">
      <c r="J411" s="122">
        <v>44251</v>
      </c>
      <c r="K411" s="123">
        <v>71.415683280063718</v>
      </c>
      <c r="L411" s="123">
        <v>59.258303999999995</v>
      </c>
      <c r="M411" s="124">
        <v>-12.157379280063722</v>
      </c>
      <c r="O411" s="39">
        <f t="shared" si="27"/>
        <v>44413</v>
      </c>
      <c r="P411" s="41">
        <f t="shared" si="24"/>
        <v>86.269648709851324</v>
      </c>
      <c r="Q411" s="41">
        <f t="shared" si="25"/>
        <v>130.028976</v>
      </c>
      <c r="R411" s="41">
        <f t="shared" si="26"/>
        <v>43.759327290148676</v>
      </c>
    </row>
    <row r="412" spans="10:18">
      <c r="J412" s="122">
        <v>44250</v>
      </c>
      <c r="K412" s="123">
        <v>71.415683280063718</v>
      </c>
      <c r="L412" s="123">
        <v>59.575824000000004</v>
      </c>
      <c r="M412" s="124">
        <v>-11.839859280063713</v>
      </c>
      <c r="O412" s="39">
        <f t="shared" si="27"/>
        <v>44412</v>
      </c>
      <c r="P412" s="41">
        <f t="shared" si="24"/>
        <v>86.269648709851324</v>
      </c>
      <c r="Q412" s="41">
        <f t="shared" si="25"/>
        <v>129.65702399999998</v>
      </c>
      <c r="R412" s="41">
        <f t="shared" si="26"/>
        <v>43.387375290148654</v>
      </c>
    </row>
    <row r="413" spans="10:18">
      <c r="J413" s="122">
        <v>44249</v>
      </c>
      <c r="K413" s="123">
        <v>71.415683280063718</v>
      </c>
      <c r="L413" s="123">
        <v>58.931711999999997</v>
      </c>
      <c r="M413" s="124">
        <v>-12.48397128006372</v>
      </c>
      <c r="O413" s="39">
        <f t="shared" si="27"/>
        <v>44411</v>
      </c>
      <c r="P413" s="41">
        <f t="shared" si="24"/>
        <v>86.269648709851324</v>
      </c>
      <c r="Q413" s="41">
        <f t="shared" si="25"/>
        <v>129.085488</v>
      </c>
      <c r="R413" s="41">
        <f t="shared" si="26"/>
        <v>42.815839290148674</v>
      </c>
    </row>
    <row r="414" spans="10:18">
      <c r="J414" s="122">
        <v>44246</v>
      </c>
      <c r="K414" s="123">
        <v>71.415683280063718</v>
      </c>
      <c r="L414" s="123">
        <v>59.185727999999997</v>
      </c>
      <c r="M414" s="124">
        <v>-12.22995528006372</v>
      </c>
      <c r="O414" s="39">
        <f t="shared" si="27"/>
        <v>44410</v>
      </c>
      <c r="P414" s="41">
        <f t="shared" si="24"/>
        <v>86.269648709851324</v>
      </c>
      <c r="Q414" s="41">
        <f t="shared" si="25"/>
        <v>128.09663999999998</v>
      </c>
      <c r="R414" s="41">
        <f t="shared" si="26"/>
        <v>41.826991290148655</v>
      </c>
    </row>
    <row r="415" spans="10:18">
      <c r="J415" s="122">
        <v>44245</v>
      </c>
      <c r="K415" s="123">
        <v>70.968825391762849</v>
      </c>
      <c r="L415" s="123">
        <v>57.879359999999998</v>
      </c>
      <c r="M415" s="124">
        <v>-13.08946539176285</v>
      </c>
      <c r="O415" s="39">
        <f t="shared" si="27"/>
        <v>44409</v>
      </c>
      <c r="P415" s="41">
        <f t="shared" si="24"/>
        <v>86.269648709851324</v>
      </c>
      <c r="Q415" s="41">
        <f t="shared" si="25"/>
        <v>127.04428799999999</v>
      </c>
      <c r="R415" s="41">
        <f t="shared" si="26"/>
        <v>40.77463929014867</v>
      </c>
    </row>
    <row r="416" spans="10:18">
      <c r="J416" s="122">
        <v>44244</v>
      </c>
      <c r="K416" s="123">
        <v>70.968825391762849</v>
      </c>
      <c r="L416" s="123">
        <v>58.305743999999997</v>
      </c>
      <c r="M416" s="124">
        <v>-12.663081391762852</v>
      </c>
      <c r="O416" s="39">
        <f t="shared" si="27"/>
        <v>44408</v>
      </c>
      <c r="P416" s="41">
        <f t="shared" si="24"/>
        <v>86.269648709851324</v>
      </c>
      <c r="Q416" s="41">
        <f t="shared" si="25"/>
        <v>127.04428799999999</v>
      </c>
      <c r="R416" s="41">
        <f t="shared" si="26"/>
        <v>40.77463929014867</v>
      </c>
    </row>
    <row r="417" spans="10:18">
      <c r="J417" s="122">
        <v>44243</v>
      </c>
      <c r="K417" s="123">
        <v>70.968825391762849</v>
      </c>
      <c r="L417" s="123">
        <v>58.205951999999996</v>
      </c>
      <c r="M417" s="124">
        <v>-12.762873391762852</v>
      </c>
      <c r="O417" s="39">
        <f t="shared" si="27"/>
        <v>44407</v>
      </c>
      <c r="P417" s="41">
        <f t="shared" si="24"/>
        <v>86.269648709851324</v>
      </c>
      <c r="Q417" s="41">
        <f t="shared" si="25"/>
        <v>127.04428799999999</v>
      </c>
      <c r="R417" s="41">
        <f t="shared" si="26"/>
        <v>40.77463929014867</v>
      </c>
    </row>
    <row r="418" spans="10:18">
      <c r="J418" s="122">
        <v>44242</v>
      </c>
      <c r="K418" s="123">
        <v>70.968825391762849</v>
      </c>
      <c r="L418" s="123">
        <v>58.831919999999997</v>
      </c>
      <c r="M418" s="124">
        <v>-12.136905391762852</v>
      </c>
      <c r="O418" s="39">
        <f t="shared" si="27"/>
        <v>44406</v>
      </c>
      <c r="P418" s="41">
        <f t="shared" si="24"/>
        <v>85.78541069926726</v>
      </c>
      <c r="Q418" s="41">
        <f t="shared" si="25"/>
        <v>126.953568</v>
      </c>
      <c r="R418" s="41">
        <f t="shared" si="26"/>
        <v>41.168157300732744</v>
      </c>
    </row>
    <row r="419" spans="10:18">
      <c r="J419" s="122">
        <v>44239</v>
      </c>
      <c r="K419" s="123">
        <v>70.968825391762849</v>
      </c>
      <c r="L419" s="123">
        <v>61.598880000000008</v>
      </c>
      <c r="M419" s="124">
        <v>-9.3699453917628404</v>
      </c>
      <c r="O419" s="39">
        <f t="shared" si="27"/>
        <v>44405</v>
      </c>
      <c r="P419" s="41">
        <f t="shared" si="24"/>
        <v>85.78541069926726</v>
      </c>
      <c r="Q419" s="41">
        <f t="shared" si="25"/>
        <v>126.617904</v>
      </c>
      <c r="R419" s="41">
        <f t="shared" si="26"/>
        <v>40.832493300732736</v>
      </c>
    </row>
    <row r="420" spans="10:18">
      <c r="J420" s="122">
        <v>44238</v>
      </c>
      <c r="K420" s="123">
        <v>70.801484124743368</v>
      </c>
      <c r="L420" s="123">
        <v>62.007119999999993</v>
      </c>
      <c r="M420" s="124">
        <v>-8.7943641247433746</v>
      </c>
      <c r="O420" s="39">
        <f t="shared" si="27"/>
        <v>44404</v>
      </c>
      <c r="P420" s="41">
        <f t="shared" si="24"/>
        <v>85.78541069926726</v>
      </c>
      <c r="Q420" s="41">
        <f t="shared" si="25"/>
        <v>126.699552</v>
      </c>
      <c r="R420" s="41">
        <f t="shared" si="26"/>
        <v>40.914141300732737</v>
      </c>
    </row>
    <row r="421" spans="10:18">
      <c r="J421" s="122">
        <v>44237</v>
      </c>
      <c r="K421" s="123">
        <v>70.801484124743368</v>
      </c>
      <c r="L421" s="123">
        <v>62.705664000000006</v>
      </c>
      <c r="M421" s="124">
        <v>-8.0958201247433621</v>
      </c>
      <c r="O421" s="39">
        <f t="shared" si="27"/>
        <v>44403</v>
      </c>
      <c r="P421" s="41">
        <f t="shared" si="24"/>
        <v>85.78541069926726</v>
      </c>
      <c r="Q421" s="41">
        <f t="shared" si="25"/>
        <v>126.7812</v>
      </c>
      <c r="R421" s="41">
        <f t="shared" si="26"/>
        <v>40.995789300732739</v>
      </c>
    </row>
    <row r="422" spans="10:18">
      <c r="J422" s="122">
        <v>44236</v>
      </c>
      <c r="K422" s="123">
        <v>70.801484124743368</v>
      </c>
      <c r="L422" s="123">
        <v>62.315567999999999</v>
      </c>
      <c r="M422" s="124">
        <v>-8.485916124743369</v>
      </c>
      <c r="O422" s="39">
        <f t="shared" si="27"/>
        <v>44402</v>
      </c>
      <c r="P422" s="41">
        <f t="shared" si="24"/>
        <v>85.78541069926726</v>
      </c>
      <c r="Q422" s="41">
        <f t="shared" si="25"/>
        <v>125.583696</v>
      </c>
      <c r="R422" s="41">
        <f t="shared" si="26"/>
        <v>39.798285300732744</v>
      </c>
    </row>
    <row r="423" spans="10:18">
      <c r="J423" s="122">
        <v>44235</v>
      </c>
      <c r="K423" s="123">
        <v>70.801484124743368</v>
      </c>
      <c r="L423" s="123">
        <v>61.988976000000001</v>
      </c>
      <c r="M423" s="124">
        <v>-8.812508124743367</v>
      </c>
      <c r="O423" s="39">
        <f t="shared" si="27"/>
        <v>44401</v>
      </c>
      <c r="P423" s="41">
        <f t="shared" si="24"/>
        <v>85.78541069926726</v>
      </c>
      <c r="Q423" s="41">
        <f t="shared" si="25"/>
        <v>125.583696</v>
      </c>
      <c r="R423" s="41">
        <f t="shared" si="26"/>
        <v>39.798285300732744</v>
      </c>
    </row>
    <row r="424" spans="10:18">
      <c r="J424" s="122">
        <v>44232</v>
      </c>
      <c r="K424" s="123">
        <v>70.801484124743368</v>
      </c>
      <c r="L424" s="123">
        <v>60.102000000000004</v>
      </c>
      <c r="M424" s="124">
        <v>-10.699484124743364</v>
      </c>
      <c r="O424" s="39">
        <f t="shared" si="27"/>
        <v>44400</v>
      </c>
      <c r="P424" s="41">
        <f t="shared" si="24"/>
        <v>85.78541069926726</v>
      </c>
      <c r="Q424" s="41">
        <f t="shared" si="25"/>
        <v>125.583696</v>
      </c>
      <c r="R424" s="41">
        <f t="shared" si="26"/>
        <v>39.798285300732744</v>
      </c>
    </row>
    <row r="425" spans="10:18">
      <c r="J425" s="122">
        <v>44231</v>
      </c>
      <c r="K425" s="123">
        <v>70.4986773673062</v>
      </c>
      <c r="L425" s="123">
        <v>58.532543999999994</v>
      </c>
      <c r="M425" s="124">
        <v>-11.966133367306206</v>
      </c>
      <c r="O425" s="39">
        <f t="shared" si="27"/>
        <v>44399</v>
      </c>
      <c r="P425" s="41">
        <f t="shared" si="24"/>
        <v>86.329748192973469</v>
      </c>
      <c r="Q425" s="41">
        <f t="shared" si="25"/>
        <v>125.456688</v>
      </c>
      <c r="R425" s="41">
        <f t="shared" si="26"/>
        <v>39.126939807026531</v>
      </c>
    </row>
    <row r="426" spans="10:18">
      <c r="J426" s="122">
        <v>44230</v>
      </c>
      <c r="K426" s="123">
        <v>70.4986773673062</v>
      </c>
      <c r="L426" s="123">
        <v>57.543695999999997</v>
      </c>
      <c r="M426" s="124">
        <v>-12.954981367306203</v>
      </c>
      <c r="O426" s="39">
        <f t="shared" si="27"/>
        <v>44398</v>
      </c>
      <c r="P426" s="41">
        <f t="shared" si="24"/>
        <v>86.329748192973469</v>
      </c>
      <c r="Q426" s="41">
        <f t="shared" si="25"/>
        <v>125.1936</v>
      </c>
      <c r="R426" s="41">
        <f t="shared" si="26"/>
        <v>38.863851807026535</v>
      </c>
    </row>
    <row r="427" spans="10:18">
      <c r="J427" s="122">
        <v>44229</v>
      </c>
      <c r="K427" s="123">
        <v>70.4986773673062</v>
      </c>
      <c r="L427" s="123">
        <v>57.425759999999997</v>
      </c>
      <c r="M427" s="124">
        <v>-13.072917367306204</v>
      </c>
      <c r="O427" s="39">
        <f t="shared" si="27"/>
        <v>44397</v>
      </c>
      <c r="P427" s="41">
        <f t="shared" si="24"/>
        <v>86.329748192973469</v>
      </c>
      <c r="Q427" s="41">
        <f t="shared" si="25"/>
        <v>125.71977600000001</v>
      </c>
      <c r="R427" s="41">
        <f t="shared" si="26"/>
        <v>39.390027807026541</v>
      </c>
    </row>
    <row r="428" spans="10:18">
      <c r="J428" s="122">
        <v>44228</v>
      </c>
      <c r="K428" s="123">
        <v>70.4986773673062</v>
      </c>
      <c r="L428" s="123">
        <v>60.700751999999994</v>
      </c>
      <c r="M428" s="124">
        <v>-9.7979253673062061</v>
      </c>
      <c r="O428" s="39">
        <f t="shared" si="27"/>
        <v>44396</v>
      </c>
      <c r="P428" s="41">
        <f t="shared" si="24"/>
        <v>86.329748192973469</v>
      </c>
      <c r="Q428" s="41">
        <f t="shared" si="25"/>
        <v>126.7812</v>
      </c>
      <c r="R428" s="41">
        <f t="shared" si="26"/>
        <v>40.45145180702653</v>
      </c>
    </row>
    <row r="429" spans="10:18">
      <c r="J429" s="122">
        <v>44225</v>
      </c>
      <c r="K429" s="123">
        <v>70.4986773673062</v>
      </c>
      <c r="L429" s="123">
        <v>63.485856000000005</v>
      </c>
      <c r="M429" s="124">
        <v>-7.012821367306195</v>
      </c>
      <c r="O429" s="39">
        <f t="shared" si="27"/>
        <v>44395</v>
      </c>
      <c r="P429" s="41">
        <f t="shared" si="24"/>
        <v>86.329748192973469</v>
      </c>
      <c r="Q429" s="41">
        <f t="shared" si="25"/>
        <v>123.460848</v>
      </c>
      <c r="R429" s="41">
        <f t="shared" si="26"/>
        <v>37.13109980702653</v>
      </c>
    </row>
    <row r="430" spans="10:18">
      <c r="J430" s="122">
        <v>44224</v>
      </c>
      <c r="K430" s="123">
        <v>69.660742013044256</v>
      </c>
      <c r="L430" s="123">
        <v>63.005040000000001</v>
      </c>
      <c r="M430" s="124">
        <v>-6.6557020130442552</v>
      </c>
      <c r="O430" s="39">
        <f t="shared" si="27"/>
        <v>44394</v>
      </c>
      <c r="P430" s="41">
        <f t="shared" si="24"/>
        <v>86.329748192973469</v>
      </c>
      <c r="Q430" s="41">
        <f t="shared" si="25"/>
        <v>123.460848</v>
      </c>
      <c r="R430" s="41">
        <f t="shared" si="26"/>
        <v>37.13109980702653</v>
      </c>
    </row>
    <row r="431" spans="10:18">
      <c r="J431" s="122">
        <v>44223</v>
      </c>
      <c r="K431" s="123">
        <v>69.660742013044256</v>
      </c>
      <c r="L431" s="123">
        <v>60.328800000000001</v>
      </c>
      <c r="M431" s="124">
        <v>-9.3319420130442552</v>
      </c>
      <c r="O431" s="39">
        <f t="shared" si="27"/>
        <v>44393</v>
      </c>
      <c r="P431" s="41">
        <f t="shared" si="24"/>
        <v>86.329748192973469</v>
      </c>
      <c r="Q431" s="41">
        <f t="shared" si="25"/>
        <v>123.460848</v>
      </c>
      <c r="R431" s="41">
        <f t="shared" si="26"/>
        <v>37.13109980702653</v>
      </c>
    </row>
    <row r="432" spans="10:18">
      <c r="J432" s="122">
        <v>44222</v>
      </c>
      <c r="K432" s="123">
        <v>69.660742013044256</v>
      </c>
      <c r="L432" s="123">
        <v>59.421599999999998</v>
      </c>
      <c r="M432" s="124">
        <v>-10.239142013044258</v>
      </c>
      <c r="O432" s="39">
        <f t="shared" si="27"/>
        <v>44392</v>
      </c>
      <c r="P432" s="41">
        <f t="shared" si="24"/>
        <v>83.454958140053108</v>
      </c>
      <c r="Q432" s="41">
        <f t="shared" si="25"/>
        <v>123.83280000000001</v>
      </c>
      <c r="R432" s="41">
        <f t="shared" si="26"/>
        <v>40.377841859946898</v>
      </c>
    </row>
    <row r="433" spans="10:18">
      <c r="J433" s="122">
        <v>44221</v>
      </c>
      <c r="K433" s="123">
        <v>69.660742013044256</v>
      </c>
      <c r="L433" s="123">
        <v>60.120143999999996</v>
      </c>
      <c r="M433" s="124">
        <v>-9.54059801304426</v>
      </c>
      <c r="O433" s="39">
        <f t="shared" si="27"/>
        <v>44391</v>
      </c>
      <c r="P433" s="41">
        <f t="shared" si="24"/>
        <v>83.454958140053108</v>
      </c>
      <c r="Q433" s="41">
        <f t="shared" si="25"/>
        <v>124.5132</v>
      </c>
      <c r="R433" s="41">
        <f t="shared" si="26"/>
        <v>41.058241859946889</v>
      </c>
    </row>
    <row r="434" spans="10:18">
      <c r="J434" s="122">
        <v>44218</v>
      </c>
      <c r="K434" s="123">
        <v>69.660742013044256</v>
      </c>
      <c r="L434" s="123">
        <v>59.349024</v>
      </c>
      <c r="M434" s="124">
        <v>-10.311718013044256</v>
      </c>
      <c r="O434" s="39">
        <f t="shared" si="27"/>
        <v>44390</v>
      </c>
      <c r="P434" s="41">
        <f t="shared" si="24"/>
        <v>83.454958140053108</v>
      </c>
      <c r="Q434" s="41">
        <f t="shared" si="25"/>
        <v>123.67857600000001</v>
      </c>
      <c r="R434" s="41">
        <f t="shared" si="26"/>
        <v>40.223617859946899</v>
      </c>
    </row>
    <row r="435" spans="10:18">
      <c r="J435" s="122">
        <v>44217</v>
      </c>
      <c r="K435" s="123">
        <v>67.791790609869025</v>
      </c>
      <c r="L435" s="123">
        <v>61.090848000000001</v>
      </c>
      <c r="M435" s="124">
        <v>-6.7009426098690241</v>
      </c>
      <c r="O435" s="39">
        <f t="shared" si="27"/>
        <v>44389</v>
      </c>
      <c r="P435" s="41">
        <f t="shared" si="24"/>
        <v>83.454958140053108</v>
      </c>
      <c r="Q435" s="41">
        <f t="shared" si="25"/>
        <v>118.3896</v>
      </c>
      <c r="R435" s="41">
        <f t="shared" si="26"/>
        <v>34.934641859946893</v>
      </c>
    </row>
    <row r="436" spans="10:18">
      <c r="J436" s="122">
        <v>44216</v>
      </c>
      <c r="K436" s="123">
        <v>67.791790609869025</v>
      </c>
      <c r="L436" s="123">
        <v>60.709824000000005</v>
      </c>
      <c r="M436" s="124">
        <v>-7.0819666098690206</v>
      </c>
      <c r="O436" s="39">
        <f t="shared" si="27"/>
        <v>44388</v>
      </c>
      <c r="P436" s="41">
        <f t="shared" si="24"/>
        <v>81.495918740166374</v>
      </c>
      <c r="Q436" s="41">
        <f t="shared" si="25"/>
        <v>118.108368</v>
      </c>
      <c r="R436" s="41">
        <f t="shared" si="26"/>
        <v>36.612449259833625</v>
      </c>
    </row>
    <row r="437" spans="10:18">
      <c r="J437" s="122">
        <v>44215</v>
      </c>
      <c r="K437" s="123">
        <v>67.791790609869025</v>
      </c>
      <c r="L437" s="123">
        <v>59.258303999999995</v>
      </c>
      <c r="M437" s="124">
        <v>-8.5334866098690298</v>
      </c>
      <c r="O437" s="39">
        <f t="shared" si="27"/>
        <v>44387</v>
      </c>
      <c r="P437" s="41">
        <f t="shared" si="24"/>
        <v>81.495918740166374</v>
      </c>
      <c r="Q437" s="41">
        <f t="shared" si="25"/>
        <v>118.108368</v>
      </c>
      <c r="R437" s="41">
        <f t="shared" si="26"/>
        <v>36.612449259833625</v>
      </c>
    </row>
    <row r="438" spans="10:18">
      <c r="J438" s="122">
        <v>44214</v>
      </c>
      <c r="K438" s="123">
        <v>67.791790609869025</v>
      </c>
      <c r="L438" s="123">
        <v>60.909407999999999</v>
      </c>
      <c r="M438" s="124">
        <v>-6.8823826098690262</v>
      </c>
      <c r="O438" s="39">
        <f t="shared" si="27"/>
        <v>44386</v>
      </c>
      <c r="P438" s="41">
        <f t="shared" si="24"/>
        <v>81.495918740166374</v>
      </c>
      <c r="Q438" s="41">
        <f t="shared" si="25"/>
        <v>118.108368</v>
      </c>
      <c r="R438" s="41">
        <f t="shared" si="26"/>
        <v>36.612449259833625</v>
      </c>
    </row>
    <row r="439" spans="10:18">
      <c r="J439" s="122">
        <v>44211</v>
      </c>
      <c r="K439" s="123">
        <v>67.791790609869025</v>
      </c>
      <c r="L439" s="123">
        <v>63.132048000000005</v>
      </c>
      <c r="M439" s="124">
        <v>-4.6597426098690207</v>
      </c>
      <c r="O439" s="39">
        <f t="shared" si="27"/>
        <v>44385</v>
      </c>
      <c r="P439" s="41">
        <f t="shared" si="24"/>
        <v>80.056074422230083</v>
      </c>
      <c r="Q439" s="41">
        <f t="shared" si="25"/>
        <v>113.463504</v>
      </c>
      <c r="R439" s="41">
        <f t="shared" si="26"/>
        <v>33.407429577769918</v>
      </c>
    </row>
    <row r="440" spans="10:18">
      <c r="J440" s="122">
        <v>44210</v>
      </c>
      <c r="K440" s="123">
        <v>66.253843430092033</v>
      </c>
      <c r="L440" s="123">
        <v>64.293264000000008</v>
      </c>
      <c r="M440" s="124">
        <v>-1.9605794300920252</v>
      </c>
      <c r="O440" s="39">
        <f t="shared" si="27"/>
        <v>44384</v>
      </c>
      <c r="P440" s="41">
        <f t="shared" si="24"/>
        <v>80.056074422230083</v>
      </c>
      <c r="Q440" s="41">
        <f t="shared" si="25"/>
        <v>113.708448</v>
      </c>
      <c r="R440" s="41">
        <f t="shared" si="26"/>
        <v>33.652373577769922</v>
      </c>
    </row>
    <row r="441" spans="10:18">
      <c r="J441" s="122">
        <v>44209</v>
      </c>
      <c r="K441" s="123">
        <v>66.253843430092033</v>
      </c>
      <c r="L441" s="123">
        <v>64.628928000000002</v>
      </c>
      <c r="M441" s="124">
        <v>-1.624915430092031</v>
      </c>
      <c r="O441" s="39">
        <f t="shared" si="27"/>
        <v>44383</v>
      </c>
      <c r="P441" s="41">
        <f t="shared" si="24"/>
        <v>80.056074422230083</v>
      </c>
      <c r="Q441" s="41">
        <f t="shared" si="25"/>
        <v>115.62264</v>
      </c>
      <c r="R441" s="41">
        <f t="shared" si="26"/>
        <v>35.566565577769921</v>
      </c>
    </row>
    <row r="442" spans="10:18">
      <c r="J442" s="122">
        <v>44208</v>
      </c>
      <c r="K442" s="123">
        <v>66.253843430092033</v>
      </c>
      <c r="L442" s="123">
        <v>64.211616000000006</v>
      </c>
      <c r="M442" s="124">
        <v>-2.0422274300920265</v>
      </c>
      <c r="O442" s="39">
        <f t="shared" si="27"/>
        <v>44382</v>
      </c>
      <c r="P442" s="41">
        <f t="shared" si="24"/>
        <v>80.056074422230083</v>
      </c>
      <c r="Q442" s="41">
        <f t="shared" si="25"/>
        <v>118.28073599999999</v>
      </c>
      <c r="R442" s="41">
        <f t="shared" si="26"/>
        <v>38.224661577769908</v>
      </c>
    </row>
    <row r="443" spans="10:18">
      <c r="J443" s="122">
        <v>44207</v>
      </c>
      <c r="K443" s="123">
        <v>66.253843430092033</v>
      </c>
      <c r="L443" s="123">
        <v>62.751024000000001</v>
      </c>
      <c r="M443" s="124">
        <v>-3.5028194300920319</v>
      </c>
      <c r="O443" s="39">
        <f t="shared" si="27"/>
        <v>44381</v>
      </c>
      <c r="P443" s="41">
        <f t="shared" si="24"/>
        <v>80.056074422230083</v>
      </c>
      <c r="Q443" s="41">
        <f t="shared" si="25"/>
        <v>115.35048</v>
      </c>
      <c r="R443" s="41">
        <f t="shared" si="26"/>
        <v>35.294405577769922</v>
      </c>
    </row>
    <row r="444" spans="10:18">
      <c r="J444" s="122">
        <v>44204</v>
      </c>
      <c r="K444" s="123">
        <v>67.556396222569916</v>
      </c>
      <c r="L444" s="123">
        <v>61.553519999999992</v>
      </c>
      <c r="M444" s="124">
        <v>-6.0028762225699239</v>
      </c>
      <c r="O444" s="39">
        <f t="shared" si="27"/>
        <v>44380</v>
      </c>
      <c r="P444" s="41">
        <f t="shared" si="24"/>
        <v>80.056074422230083</v>
      </c>
      <c r="Q444" s="41">
        <f t="shared" si="25"/>
        <v>115.35048</v>
      </c>
      <c r="R444" s="41">
        <f t="shared" si="26"/>
        <v>35.294405577769922</v>
      </c>
    </row>
    <row r="445" spans="10:18">
      <c r="J445" s="122">
        <v>44203</v>
      </c>
      <c r="K445" s="123">
        <v>66.011706931093812</v>
      </c>
      <c r="L445" s="123">
        <v>58.786559999999994</v>
      </c>
      <c r="M445" s="124">
        <v>-7.2251469310938177</v>
      </c>
      <c r="O445" s="39">
        <f t="shared" si="27"/>
        <v>44379</v>
      </c>
      <c r="P445" s="41">
        <f t="shared" si="24"/>
        <v>80.056074422230083</v>
      </c>
      <c r="Q445" s="41">
        <f t="shared" si="25"/>
        <v>115.35048</v>
      </c>
      <c r="R445" s="41">
        <f t="shared" si="26"/>
        <v>35.294405577769922</v>
      </c>
    </row>
    <row r="446" spans="10:18">
      <c r="J446" s="122">
        <v>44202</v>
      </c>
      <c r="K446" s="123">
        <v>66.011706931093812</v>
      </c>
      <c r="L446" s="123">
        <v>57.480192000000002</v>
      </c>
      <c r="M446" s="124">
        <v>-8.5315149310938097</v>
      </c>
      <c r="O446" s="39">
        <f t="shared" si="27"/>
        <v>44378</v>
      </c>
      <c r="P446" s="41">
        <f t="shared" si="24"/>
        <v>77.658148264906188</v>
      </c>
      <c r="Q446" s="41">
        <f t="shared" si="25"/>
        <v>113.744736</v>
      </c>
      <c r="R446" s="41">
        <f t="shared" si="26"/>
        <v>36.086587735093815</v>
      </c>
    </row>
    <row r="447" spans="10:18">
      <c r="J447" s="122">
        <v>44201</v>
      </c>
      <c r="K447" s="123">
        <v>66.011706931093812</v>
      </c>
      <c r="L447" s="123">
        <v>57.970079999999996</v>
      </c>
      <c r="M447" s="124">
        <v>-8.0416269310938162</v>
      </c>
      <c r="O447" s="39">
        <f t="shared" si="27"/>
        <v>44377</v>
      </c>
      <c r="P447" s="41">
        <f t="shared" si="24"/>
        <v>77.658148264906188</v>
      </c>
      <c r="Q447" s="41">
        <f t="shared" si="25"/>
        <v>109.372032</v>
      </c>
      <c r="R447" s="41">
        <f t="shared" si="26"/>
        <v>31.713883735093816</v>
      </c>
    </row>
    <row r="448" spans="10:18">
      <c r="J448" s="122">
        <v>44200</v>
      </c>
      <c r="K448" s="123">
        <v>66.011706931093812</v>
      </c>
      <c r="L448" s="123">
        <v>62.324640000000002</v>
      </c>
      <c r="M448" s="124">
        <v>-3.6870669310938098</v>
      </c>
      <c r="O448" s="39">
        <f t="shared" si="27"/>
        <v>44376</v>
      </c>
      <c r="P448" s="41">
        <f t="shared" si="24"/>
        <v>77.658148264906188</v>
      </c>
      <c r="Q448" s="41">
        <f t="shared" si="25"/>
        <v>107.630208</v>
      </c>
      <c r="R448" s="41">
        <f t="shared" si="26"/>
        <v>29.972059735093808</v>
      </c>
    </row>
    <row r="449" spans="10:18">
      <c r="J449" s="122">
        <v>44197</v>
      </c>
      <c r="K449" s="123">
        <v>66.011706931093812</v>
      </c>
      <c r="L449" s="123">
        <v>61.916400000000003</v>
      </c>
      <c r="M449" s="124">
        <v>-4.0953069310938091</v>
      </c>
      <c r="O449" s="39">
        <f t="shared" si="27"/>
        <v>44375</v>
      </c>
      <c r="P449" s="41">
        <f t="shared" si="24"/>
        <v>77.658148264906188</v>
      </c>
      <c r="Q449" s="41">
        <f t="shared" si="25"/>
        <v>106.596</v>
      </c>
      <c r="R449" s="41">
        <f t="shared" si="26"/>
        <v>28.937851735093815</v>
      </c>
    </row>
    <row r="450" spans="10:18">
      <c r="J450" s="122">
        <v>44196</v>
      </c>
      <c r="K450" s="123">
        <v>66.126331576831873</v>
      </c>
      <c r="L450" s="123">
        <v>61.916400000000003</v>
      </c>
      <c r="M450" s="124">
        <v>-4.2099315768318704</v>
      </c>
      <c r="O450" s="39">
        <f t="shared" si="27"/>
        <v>44374</v>
      </c>
      <c r="P450" s="41">
        <f t="shared" si="24"/>
        <v>77.658148264906188</v>
      </c>
      <c r="Q450" s="41">
        <f t="shared" si="25"/>
        <v>107.41248</v>
      </c>
      <c r="R450" s="41">
        <f t="shared" si="26"/>
        <v>29.754331735093814</v>
      </c>
    </row>
    <row r="451" spans="10:18">
      <c r="J451" s="122">
        <v>44195</v>
      </c>
      <c r="K451" s="123">
        <v>66.126331576831873</v>
      </c>
      <c r="L451" s="123">
        <v>62.524224000000004</v>
      </c>
      <c r="M451" s="124">
        <v>-3.6021075768318696</v>
      </c>
      <c r="O451" s="39">
        <f t="shared" si="27"/>
        <v>44373</v>
      </c>
      <c r="P451" s="41">
        <f t="shared" si="24"/>
        <v>77.658148264906188</v>
      </c>
      <c r="Q451" s="41">
        <f t="shared" si="25"/>
        <v>107.41248</v>
      </c>
      <c r="R451" s="41">
        <f t="shared" si="26"/>
        <v>29.754331735093814</v>
      </c>
    </row>
    <row r="452" spans="10:18">
      <c r="J452" s="122">
        <v>44194</v>
      </c>
      <c r="K452" s="123">
        <v>66.126331576831873</v>
      </c>
      <c r="L452" s="123">
        <v>63.277200000000001</v>
      </c>
      <c r="M452" s="124">
        <v>-2.8491315768318728</v>
      </c>
      <c r="O452" s="39">
        <f t="shared" si="27"/>
        <v>44372</v>
      </c>
      <c r="P452" s="41">
        <f t="shared" si="24"/>
        <v>77.658148264906188</v>
      </c>
      <c r="Q452" s="41">
        <f t="shared" si="25"/>
        <v>107.41248</v>
      </c>
      <c r="R452" s="41">
        <f t="shared" si="26"/>
        <v>29.754331735093814</v>
      </c>
    </row>
    <row r="453" spans="10:18">
      <c r="J453" s="122">
        <v>44193</v>
      </c>
      <c r="K453" s="123">
        <v>66.126331576831873</v>
      </c>
      <c r="L453" s="123">
        <v>63.050400000000003</v>
      </c>
      <c r="M453" s="124">
        <v>-3.07593157683187</v>
      </c>
      <c r="O453" s="39">
        <f t="shared" si="27"/>
        <v>44371</v>
      </c>
      <c r="P453" s="41">
        <f t="shared" si="24"/>
        <v>72.733546330980531</v>
      </c>
      <c r="Q453" s="41">
        <f t="shared" si="25"/>
        <v>104.11027200000001</v>
      </c>
      <c r="R453" s="41">
        <f t="shared" si="26"/>
        <v>31.376725669019478</v>
      </c>
    </row>
    <row r="454" spans="10:18">
      <c r="J454" s="122">
        <v>44190</v>
      </c>
      <c r="K454" s="123">
        <v>66.126331576831873</v>
      </c>
      <c r="L454" s="123">
        <v>63.050400000000003</v>
      </c>
      <c r="M454" s="124">
        <v>-3.07593157683187</v>
      </c>
      <c r="O454" s="39">
        <f t="shared" si="27"/>
        <v>44370</v>
      </c>
      <c r="P454" s="41">
        <f t="shared" ref="P454:P517" si="28">IFERROR(VLOOKUP($O454,$J$5:$M$403,2,FALSE),P455)</f>
        <v>72.733546330980531</v>
      </c>
      <c r="Q454" s="41">
        <f t="shared" ref="Q454:Q517" si="29">IFERROR(VLOOKUP($O454,$J$5:$M$403,3,FALSE),Q455)</f>
        <v>100.65384</v>
      </c>
      <c r="R454" s="41">
        <f t="shared" ref="R454:R517" si="30">IFERROR(VLOOKUP($O454,$J$5:$M$403,4,FALSE),R455)</f>
        <v>27.920293669019472</v>
      </c>
    </row>
    <row r="455" spans="10:18">
      <c r="J455" s="122">
        <v>44189</v>
      </c>
      <c r="K455" s="123">
        <v>66.011706931093812</v>
      </c>
      <c r="L455" s="123">
        <v>63.050400000000003</v>
      </c>
      <c r="M455" s="124">
        <v>-2.9613069310938087</v>
      </c>
      <c r="O455" s="39">
        <f t="shared" ref="O455:O518" si="31">O454-1</f>
        <v>44369</v>
      </c>
      <c r="P455" s="41">
        <f t="shared" si="28"/>
        <v>72.733546330980531</v>
      </c>
      <c r="Q455" s="41">
        <f t="shared" si="29"/>
        <v>98.658000000000001</v>
      </c>
      <c r="R455" s="41">
        <f t="shared" si="30"/>
        <v>25.924453669019471</v>
      </c>
    </row>
    <row r="456" spans="10:18">
      <c r="J456" s="122">
        <v>44188</v>
      </c>
      <c r="K456" s="123">
        <v>66.011706931093812</v>
      </c>
      <c r="L456" s="123">
        <v>63.730800000000002</v>
      </c>
      <c r="M456" s="124">
        <v>-2.2809069310938099</v>
      </c>
      <c r="O456" s="39">
        <f t="shared" si="31"/>
        <v>44368</v>
      </c>
      <c r="P456" s="41">
        <f t="shared" si="28"/>
        <v>72.733546330980531</v>
      </c>
      <c r="Q456" s="41">
        <f t="shared" si="29"/>
        <v>97.133904000000001</v>
      </c>
      <c r="R456" s="41">
        <f t="shared" si="30"/>
        <v>24.400357669019471</v>
      </c>
    </row>
    <row r="457" spans="10:18">
      <c r="J457" s="122">
        <v>44187</v>
      </c>
      <c r="K457" s="123">
        <v>66.011706931093812</v>
      </c>
      <c r="L457" s="123">
        <v>63.476784000000002</v>
      </c>
      <c r="M457" s="124">
        <v>-2.53492293109381</v>
      </c>
      <c r="O457" s="39">
        <f t="shared" si="31"/>
        <v>44367</v>
      </c>
      <c r="P457" s="41">
        <f t="shared" si="28"/>
        <v>72.733546330980531</v>
      </c>
      <c r="Q457" s="41">
        <f t="shared" si="29"/>
        <v>95.800319999999999</v>
      </c>
      <c r="R457" s="41">
        <f t="shared" si="30"/>
        <v>23.066773669019469</v>
      </c>
    </row>
    <row r="458" spans="10:18">
      <c r="J458" s="122">
        <v>44186</v>
      </c>
      <c r="K458" s="123">
        <v>66.011706931093812</v>
      </c>
      <c r="L458" s="123">
        <v>62.669376</v>
      </c>
      <c r="M458" s="124">
        <v>-3.3423309310938123</v>
      </c>
      <c r="O458" s="39">
        <f t="shared" si="31"/>
        <v>44366</v>
      </c>
      <c r="P458" s="41">
        <f t="shared" si="28"/>
        <v>72.733546330980531</v>
      </c>
      <c r="Q458" s="41">
        <f t="shared" si="29"/>
        <v>95.800319999999999</v>
      </c>
      <c r="R458" s="41">
        <f t="shared" si="30"/>
        <v>23.066773669019469</v>
      </c>
    </row>
    <row r="459" spans="10:18">
      <c r="J459" s="122">
        <v>44183</v>
      </c>
      <c r="K459" s="123">
        <v>66.011706931093812</v>
      </c>
      <c r="L459" s="123">
        <v>62.1432</v>
      </c>
      <c r="M459" s="124">
        <v>-3.8685069310938118</v>
      </c>
      <c r="O459" s="39">
        <f t="shared" si="31"/>
        <v>44365</v>
      </c>
      <c r="P459" s="41">
        <f t="shared" si="28"/>
        <v>72.733546330980531</v>
      </c>
      <c r="Q459" s="41">
        <f t="shared" si="29"/>
        <v>95.800319999999999</v>
      </c>
      <c r="R459" s="41">
        <f t="shared" si="30"/>
        <v>23.066773669019469</v>
      </c>
    </row>
    <row r="460" spans="10:18">
      <c r="J460" s="122">
        <v>44182</v>
      </c>
      <c r="K460" s="123">
        <v>63.160163280063713</v>
      </c>
      <c r="L460" s="123">
        <v>62.442575999999995</v>
      </c>
      <c r="M460" s="124">
        <v>-0.71758728006371797</v>
      </c>
      <c r="O460" s="39">
        <f t="shared" si="31"/>
        <v>44364</v>
      </c>
      <c r="P460" s="41">
        <f t="shared" si="28"/>
        <v>72.359640145911513</v>
      </c>
      <c r="Q460" s="41">
        <f t="shared" si="29"/>
        <v>95.256</v>
      </c>
      <c r="R460" s="41">
        <f t="shared" si="30"/>
        <v>22.896359854088487</v>
      </c>
    </row>
    <row r="461" spans="10:18">
      <c r="J461" s="122">
        <v>44181</v>
      </c>
      <c r="K461" s="123">
        <v>63.160163280063713</v>
      </c>
      <c r="L461" s="123">
        <v>62.542367999999996</v>
      </c>
      <c r="M461" s="124">
        <v>-0.6177952800637172</v>
      </c>
      <c r="O461" s="39">
        <f t="shared" si="31"/>
        <v>44363</v>
      </c>
      <c r="P461" s="41">
        <f t="shared" si="28"/>
        <v>72.359640145911513</v>
      </c>
      <c r="Q461" s="41">
        <f t="shared" si="29"/>
        <v>96.163200000000003</v>
      </c>
      <c r="R461" s="41">
        <f t="shared" si="30"/>
        <v>23.803559854088491</v>
      </c>
    </row>
    <row r="462" spans="10:18">
      <c r="J462" s="122">
        <v>44180</v>
      </c>
      <c r="K462" s="123">
        <v>63.160163280063713</v>
      </c>
      <c r="L462" s="123">
        <v>62.333711999999991</v>
      </c>
      <c r="M462" s="124">
        <v>-0.82645128006372204</v>
      </c>
      <c r="O462" s="39">
        <f t="shared" si="31"/>
        <v>44362</v>
      </c>
      <c r="P462" s="41">
        <f t="shared" si="28"/>
        <v>72.359640145911513</v>
      </c>
      <c r="Q462" s="41">
        <f t="shared" si="29"/>
        <v>101.860416</v>
      </c>
      <c r="R462" s="41">
        <f t="shared" si="30"/>
        <v>29.500775854088488</v>
      </c>
    </row>
    <row r="463" spans="10:18">
      <c r="J463" s="122">
        <v>44179</v>
      </c>
      <c r="K463" s="123">
        <v>63.160163280063713</v>
      </c>
      <c r="L463" s="123">
        <v>61.562592000000002</v>
      </c>
      <c r="M463" s="124">
        <v>-1.5975712800637112</v>
      </c>
      <c r="O463" s="39">
        <f t="shared" si="31"/>
        <v>44361</v>
      </c>
      <c r="P463" s="41">
        <f t="shared" si="28"/>
        <v>72.359640145911513</v>
      </c>
      <c r="Q463" s="41">
        <f t="shared" si="29"/>
        <v>107.838864</v>
      </c>
      <c r="R463" s="41">
        <f t="shared" si="30"/>
        <v>35.479223854088488</v>
      </c>
    </row>
    <row r="464" spans="10:18">
      <c r="J464" s="122">
        <v>44176</v>
      </c>
      <c r="K464" s="123">
        <v>63.160163280063713</v>
      </c>
      <c r="L464" s="123">
        <v>59.829840000000004</v>
      </c>
      <c r="M464" s="124">
        <v>-3.330323280063709</v>
      </c>
      <c r="O464" s="39">
        <f t="shared" si="31"/>
        <v>44360</v>
      </c>
      <c r="P464" s="41">
        <f t="shared" si="28"/>
        <v>72.359640145911513</v>
      </c>
      <c r="Q464" s="41">
        <f t="shared" si="29"/>
        <v>108.64627200000001</v>
      </c>
      <c r="R464" s="41">
        <f t="shared" si="30"/>
        <v>36.286631854088498</v>
      </c>
    </row>
    <row r="465" spans="10:18">
      <c r="J465" s="122">
        <v>44175</v>
      </c>
      <c r="K465" s="123">
        <v>62.776442435384077</v>
      </c>
      <c r="L465" s="123">
        <v>58.450896000000007</v>
      </c>
      <c r="M465" s="124">
        <v>-4.3255464353840694</v>
      </c>
      <c r="O465" s="39">
        <f t="shared" si="31"/>
        <v>44359</v>
      </c>
      <c r="P465" s="41">
        <f t="shared" si="28"/>
        <v>72.359640145911513</v>
      </c>
      <c r="Q465" s="41">
        <f t="shared" si="29"/>
        <v>108.64627200000001</v>
      </c>
      <c r="R465" s="41">
        <f t="shared" si="30"/>
        <v>36.286631854088498</v>
      </c>
    </row>
    <row r="466" spans="10:18">
      <c r="J466" s="122">
        <v>44174</v>
      </c>
      <c r="K466" s="123">
        <v>62.776442435384077</v>
      </c>
      <c r="L466" s="123">
        <v>58.532543999999994</v>
      </c>
      <c r="M466" s="124">
        <v>-4.2438984353840823</v>
      </c>
      <c r="O466" s="39">
        <f t="shared" si="31"/>
        <v>44358</v>
      </c>
      <c r="P466" s="41">
        <f t="shared" si="28"/>
        <v>72.359640145911513</v>
      </c>
      <c r="Q466" s="41">
        <f t="shared" si="29"/>
        <v>108.64627200000001</v>
      </c>
      <c r="R466" s="41">
        <f t="shared" si="30"/>
        <v>36.286631854088498</v>
      </c>
    </row>
    <row r="467" spans="10:18">
      <c r="J467" s="122">
        <v>44173</v>
      </c>
      <c r="K467" s="123">
        <v>62.776442435384077</v>
      </c>
      <c r="L467" s="123">
        <v>57.462048000000003</v>
      </c>
      <c r="M467" s="124">
        <v>-5.3143944353840737</v>
      </c>
      <c r="O467" s="39">
        <f t="shared" si="31"/>
        <v>44357</v>
      </c>
      <c r="P467" s="41">
        <f t="shared" si="28"/>
        <v>69.339534955550462</v>
      </c>
      <c r="Q467" s="41">
        <f t="shared" si="29"/>
        <v>107.14032</v>
      </c>
      <c r="R467" s="41">
        <f t="shared" si="30"/>
        <v>37.80078504444954</v>
      </c>
    </row>
    <row r="468" spans="10:18">
      <c r="J468" s="122">
        <v>44172</v>
      </c>
      <c r="K468" s="123">
        <v>62.776442435384077</v>
      </c>
      <c r="L468" s="123">
        <v>58.396464000000002</v>
      </c>
      <c r="M468" s="124">
        <v>-4.3799784353840749</v>
      </c>
      <c r="O468" s="39">
        <f t="shared" si="31"/>
        <v>44356</v>
      </c>
      <c r="P468" s="41">
        <f t="shared" si="28"/>
        <v>69.339534955550462</v>
      </c>
      <c r="Q468" s="41">
        <f t="shared" si="29"/>
        <v>102.89462400000001</v>
      </c>
      <c r="R468" s="41">
        <f t="shared" si="30"/>
        <v>33.555089044449545</v>
      </c>
    </row>
    <row r="469" spans="10:18">
      <c r="J469" s="122">
        <v>44169</v>
      </c>
      <c r="K469" s="123">
        <v>62.776442435384077</v>
      </c>
      <c r="L469" s="123">
        <v>57.316896</v>
      </c>
      <c r="M469" s="124">
        <v>-5.4595464353840768</v>
      </c>
      <c r="O469" s="39">
        <f t="shared" si="31"/>
        <v>44355</v>
      </c>
      <c r="P469" s="41">
        <f t="shared" si="28"/>
        <v>69.339534955550462</v>
      </c>
      <c r="Q469" s="41">
        <f t="shared" si="29"/>
        <v>97.043183999999997</v>
      </c>
      <c r="R469" s="41">
        <f t="shared" si="30"/>
        <v>27.703649044449534</v>
      </c>
    </row>
    <row r="470" spans="10:18">
      <c r="J470" s="122">
        <v>44168</v>
      </c>
      <c r="K470" s="123">
        <v>62.94684750346196</v>
      </c>
      <c r="L470" s="123">
        <v>57.081023999999999</v>
      </c>
      <c r="M470" s="124">
        <v>-5.8658235034619608</v>
      </c>
      <c r="O470" s="39">
        <f t="shared" si="31"/>
        <v>44354</v>
      </c>
      <c r="P470" s="41">
        <f t="shared" si="28"/>
        <v>69.339534955550462</v>
      </c>
      <c r="Q470" s="41">
        <f t="shared" si="29"/>
        <v>97.070400000000006</v>
      </c>
      <c r="R470" s="41">
        <f t="shared" si="30"/>
        <v>27.730865044449544</v>
      </c>
    </row>
    <row r="471" spans="10:18">
      <c r="J471" s="122">
        <v>44167</v>
      </c>
      <c r="K471" s="123">
        <v>62.94684750346196</v>
      </c>
      <c r="L471" s="123">
        <v>55.729295999999998</v>
      </c>
      <c r="M471" s="124">
        <v>-7.2175515034619622</v>
      </c>
      <c r="O471" s="39">
        <f t="shared" si="31"/>
        <v>44353</v>
      </c>
      <c r="P471" s="41">
        <f t="shared" si="28"/>
        <v>69.339534955550462</v>
      </c>
      <c r="Q471" s="41">
        <f t="shared" si="29"/>
        <v>89.341056000000009</v>
      </c>
      <c r="R471" s="41">
        <f t="shared" si="30"/>
        <v>20.001521044449547</v>
      </c>
    </row>
    <row r="472" spans="10:18">
      <c r="J472" s="122">
        <v>44166</v>
      </c>
      <c r="K472" s="123">
        <v>62.94684750346196</v>
      </c>
      <c r="L472" s="123">
        <v>55.801871999999996</v>
      </c>
      <c r="M472" s="124">
        <v>-7.1449755034619642</v>
      </c>
      <c r="O472" s="39">
        <f t="shared" si="31"/>
        <v>44352</v>
      </c>
      <c r="P472" s="41">
        <f t="shared" si="28"/>
        <v>69.339534955550462</v>
      </c>
      <c r="Q472" s="41">
        <f t="shared" si="29"/>
        <v>89.341056000000009</v>
      </c>
      <c r="R472" s="41">
        <f t="shared" si="30"/>
        <v>20.001521044449547</v>
      </c>
    </row>
    <row r="473" spans="10:18">
      <c r="J473" s="122">
        <v>44165</v>
      </c>
      <c r="K473" s="123">
        <v>62.94684750346196</v>
      </c>
      <c r="L473" s="123">
        <v>55.330128000000002</v>
      </c>
      <c r="M473" s="124">
        <v>-7.6167195034619581</v>
      </c>
      <c r="O473" s="39">
        <f t="shared" si="31"/>
        <v>44351</v>
      </c>
      <c r="P473" s="41">
        <f t="shared" si="28"/>
        <v>69.339534955550462</v>
      </c>
      <c r="Q473" s="41">
        <f t="shared" si="29"/>
        <v>89.341056000000009</v>
      </c>
      <c r="R473" s="41">
        <f t="shared" si="30"/>
        <v>20.001521044449547</v>
      </c>
    </row>
    <row r="474" spans="10:18">
      <c r="J474" s="122">
        <v>44162</v>
      </c>
      <c r="K474" s="123">
        <v>62.94684750346196</v>
      </c>
      <c r="L474" s="123">
        <v>53.552016000000002</v>
      </c>
      <c r="M474" s="124">
        <v>-9.3948315034619583</v>
      </c>
      <c r="O474" s="39">
        <f t="shared" si="31"/>
        <v>44350</v>
      </c>
      <c r="P474" s="41">
        <f t="shared" si="28"/>
        <v>68.803800595996464</v>
      </c>
      <c r="Q474" s="41">
        <f t="shared" si="29"/>
        <v>92.833776</v>
      </c>
      <c r="R474" s="41">
        <f t="shared" si="30"/>
        <v>24.029975404003537</v>
      </c>
    </row>
    <row r="475" spans="10:18">
      <c r="J475" s="122">
        <v>44161</v>
      </c>
      <c r="K475" s="123">
        <v>63.179783852431861</v>
      </c>
      <c r="L475" s="123">
        <v>52.681103999999998</v>
      </c>
      <c r="M475" s="124">
        <v>-10.498679852431863</v>
      </c>
      <c r="O475" s="39">
        <f t="shared" si="31"/>
        <v>44349</v>
      </c>
      <c r="P475" s="41">
        <f t="shared" si="28"/>
        <v>68.803800595996464</v>
      </c>
      <c r="Q475" s="41">
        <f t="shared" si="29"/>
        <v>88.506432000000004</v>
      </c>
      <c r="R475" s="41">
        <f t="shared" si="30"/>
        <v>19.70263140400354</v>
      </c>
    </row>
    <row r="476" spans="10:18">
      <c r="J476" s="122">
        <v>44160</v>
      </c>
      <c r="K476" s="123">
        <v>63.179783852431861</v>
      </c>
      <c r="L476" s="123">
        <v>53.143775999999995</v>
      </c>
      <c r="M476" s="124">
        <v>-10.036007852431865</v>
      </c>
      <c r="O476" s="39">
        <f t="shared" si="31"/>
        <v>44348</v>
      </c>
      <c r="P476" s="41">
        <f t="shared" si="28"/>
        <v>68.803800595996464</v>
      </c>
      <c r="Q476" s="41">
        <f t="shared" si="29"/>
        <v>88.461072000000001</v>
      </c>
      <c r="R476" s="41">
        <f t="shared" si="30"/>
        <v>19.657271404003538</v>
      </c>
    </row>
    <row r="477" spans="10:18">
      <c r="J477" s="122">
        <v>44159</v>
      </c>
      <c r="K477" s="123">
        <v>63.179783852431861</v>
      </c>
      <c r="L477" s="123">
        <v>51.773904000000002</v>
      </c>
      <c r="M477" s="124">
        <v>-11.405879852431859</v>
      </c>
      <c r="O477" s="39">
        <f t="shared" si="31"/>
        <v>44347</v>
      </c>
      <c r="P477" s="41">
        <f t="shared" si="28"/>
        <v>68.803800595996464</v>
      </c>
      <c r="Q477" s="41">
        <f t="shared" si="29"/>
        <v>85.503600000000006</v>
      </c>
      <c r="R477" s="41">
        <f t="shared" si="30"/>
        <v>16.699799404003542</v>
      </c>
    </row>
    <row r="478" spans="10:18">
      <c r="J478" s="122">
        <v>44158</v>
      </c>
      <c r="K478" s="123">
        <v>63.179783852431861</v>
      </c>
      <c r="L478" s="123">
        <v>49.487759999999994</v>
      </c>
      <c r="M478" s="124">
        <v>-13.692023852431866</v>
      </c>
      <c r="O478" s="39">
        <f t="shared" si="31"/>
        <v>44346</v>
      </c>
      <c r="P478" s="41">
        <f t="shared" si="28"/>
        <v>68.803800595996464</v>
      </c>
      <c r="Q478" s="41">
        <f t="shared" si="29"/>
        <v>85.503600000000006</v>
      </c>
      <c r="R478" s="41">
        <f t="shared" si="30"/>
        <v>16.699799404003542</v>
      </c>
    </row>
    <row r="479" spans="10:18">
      <c r="J479" s="122">
        <v>44155</v>
      </c>
      <c r="K479" s="123">
        <v>63.179783852431861</v>
      </c>
      <c r="L479" s="123">
        <v>47.954591999999998</v>
      </c>
      <c r="M479" s="124">
        <v>-15.225191852431863</v>
      </c>
      <c r="O479" s="39">
        <f t="shared" si="31"/>
        <v>44345</v>
      </c>
      <c r="P479" s="41">
        <f t="shared" si="28"/>
        <v>68.803800595996464</v>
      </c>
      <c r="Q479" s="41">
        <f t="shared" si="29"/>
        <v>85.503600000000006</v>
      </c>
      <c r="R479" s="41">
        <f t="shared" si="30"/>
        <v>16.699799404003542</v>
      </c>
    </row>
    <row r="480" spans="10:18">
      <c r="J480" s="122">
        <v>44154</v>
      </c>
      <c r="K480" s="123">
        <v>61.762588920509742</v>
      </c>
      <c r="L480" s="123">
        <v>48.879936000000001</v>
      </c>
      <c r="M480" s="124">
        <v>-12.882652920509742</v>
      </c>
      <c r="O480" s="39">
        <f t="shared" si="31"/>
        <v>44344</v>
      </c>
      <c r="P480" s="41">
        <f t="shared" si="28"/>
        <v>68.803800595996464</v>
      </c>
      <c r="Q480" s="41">
        <f t="shared" si="29"/>
        <v>85.503600000000006</v>
      </c>
      <c r="R480" s="41">
        <f t="shared" si="30"/>
        <v>16.699799404003542</v>
      </c>
    </row>
    <row r="481" spans="10:18">
      <c r="J481" s="122">
        <v>44153</v>
      </c>
      <c r="K481" s="123">
        <v>61.762588920509742</v>
      </c>
      <c r="L481" s="123">
        <v>49.660128</v>
      </c>
      <c r="M481" s="124">
        <v>-12.102460920509742</v>
      </c>
      <c r="O481" s="39">
        <f t="shared" si="31"/>
        <v>44343</v>
      </c>
      <c r="P481" s="41">
        <f t="shared" si="28"/>
        <v>68.341009192821232</v>
      </c>
      <c r="Q481" s="41">
        <f t="shared" si="29"/>
        <v>83.607551999999998</v>
      </c>
      <c r="R481" s="41">
        <f t="shared" si="30"/>
        <v>15.266542807178766</v>
      </c>
    </row>
    <row r="482" spans="10:18">
      <c r="J482" s="122">
        <v>44152</v>
      </c>
      <c r="K482" s="123">
        <v>61.762588920509742</v>
      </c>
      <c r="L482" s="123">
        <v>49.152096</v>
      </c>
      <c r="M482" s="124">
        <v>-12.610492920509742</v>
      </c>
      <c r="O482" s="39">
        <f t="shared" si="31"/>
        <v>44342</v>
      </c>
      <c r="P482" s="41">
        <f t="shared" si="28"/>
        <v>68.341009192821232</v>
      </c>
      <c r="Q482" s="41">
        <f t="shared" si="29"/>
        <v>82.845503999999991</v>
      </c>
      <c r="R482" s="41">
        <f t="shared" si="30"/>
        <v>14.504494807178759</v>
      </c>
    </row>
    <row r="483" spans="10:18">
      <c r="J483" s="122">
        <v>44151</v>
      </c>
      <c r="K483" s="123">
        <v>61.762588920509742</v>
      </c>
      <c r="L483" s="123">
        <v>49.387968000000001</v>
      </c>
      <c r="M483" s="124">
        <v>-12.374620920509741</v>
      </c>
      <c r="O483" s="39">
        <f t="shared" si="31"/>
        <v>44341</v>
      </c>
      <c r="P483" s="41">
        <f t="shared" si="28"/>
        <v>68.341009192821232</v>
      </c>
      <c r="Q483" s="41">
        <f t="shared" si="29"/>
        <v>81.702432000000002</v>
      </c>
      <c r="R483" s="41">
        <f t="shared" si="30"/>
        <v>13.361422807178769</v>
      </c>
    </row>
    <row r="484" spans="10:18">
      <c r="J484" s="122">
        <v>44148</v>
      </c>
      <c r="K484" s="123">
        <v>61.762588920509742</v>
      </c>
      <c r="L484" s="123">
        <v>48.943440000000002</v>
      </c>
      <c r="M484" s="124">
        <v>-12.81914892050974</v>
      </c>
      <c r="O484" s="39">
        <f t="shared" si="31"/>
        <v>44340</v>
      </c>
      <c r="P484" s="41">
        <f t="shared" si="28"/>
        <v>68.341009192821232</v>
      </c>
      <c r="Q484" s="41">
        <f t="shared" si="29"/>
        <v>80.269056000000006</v>
      </c>
      <c r="R484" s="41">
        <f t="shared" si="30"/>
        <v>11.928046807178774</v>
      </c>
    </row>
    <row r="485" spans="10:18">
      <c r="J485" s="122">
        <v>44147</v>
      </c>
      <c r="K485" s="123">
        <v>61.59586216307256</v>
      </c>
      <c r="L485" s="123">
        <v>48.290255999999999</v>
      </c>
      <c r="M485" s="124">
        <v>-13.305606163072561</v>
      </c>
      <c r="O485" s="39">
        <f t="shared" si="31"/>
        <v>44339</v>
      </c>
      <c r="P485" s="41">
        <f t="shared" si="28"/>
        <v>68.341009192821232</v>
      </c>
      <c r="Q485" s="41">
        <f t="shared" si="29"/>
        <v>80.060400000000001</v>
      </c>
      <c r="R485" s="41">
        <f t="shared" si="30"/>
        <v>11.719390807178769</v>
      </c>
    </row>
    <row r="486" spans="10:18">
      <c r="J486" s="122">
        <v>44146</v>
      </c>
      <c r="K486" s="123">
        <v>61.59586216307256</v>
      </c>
      <c r="L486" s="123">
        <v>47.092751999999997</v>
      </c>
      <c r="M486" s="124">
        <v>-14.503110163072563</v>
      </c>
      <c r="O486" s="39">
        <f t="shared" si="31"/>
        <v>44338</v>
      </c>
      <c r="P486" s="41">
        <f t="shared" si="28"/>
        <v>68.341009192821232</v>
      </c>
      <c r="Q486" s="41">
        <f t="shared" si="29"/>
        <v>80.060400000000001</v>
      </c>
      <c r="R486" s="41">
        <f t="shared" si="30"/>
        <v>11.719390807178769</v>
      </c>
    </row>
    <row r="487" spans="10:18">
      <c r="J487" s="122">
        <v>44145</v>
      </c>
      <c r="K487" s="123">
        <v>61.59586216307256</v>
      </c>
      <c r="L487" s="123">
        <v>46.267200000000003</v>
      </c>
      <c r="M487" s="124">
        <v>-15.328662163072558</v>
      </c>
      <c r="O487" s="39">
        <f t="shared" si="31"/>
        <v>44337</v>
      </c>
      <c r="P487" s="41">
        <f t="shared" si="28"/>
        <v>68.341009192821232</v>
      </c>
      <c r="Q487" s="41">
        <f t="shared" si="29"/>
        <v>80.060400000000001</v>
      </c>
      <c r="R487" s="41">
        <f t="shared" si="30"/>
        <v>11.719390807178769</v>
      </c>
    </row>
    <row r="488" spans="10:18">
      <c r="J488" s="122">
        <v>44144</v>
      </c>
      <c r="K488" s="123">
        <v>61.59586216307256</v>
      </c>
      <c r="L488" s="123">
        <v>46.512144000000006</v>
      </c>
      <c r="M488" s="124">
        <v>-15.083718163072554</v>
      </c>
      <c r="O488" s="39">
        <f t="shared" si="31"/>
        <v>44336</v>
      </c>
      <c r="P488" s="41">
        <f t="shared" si="28"/>
        <v>69.524662013044249</v>
      </c>
      <c r="Q488" s="41">
        <f t="shared" si="29"/>
        <v>76.095935999999995</v>
      </c>
      <c r="R488" s="41">
        <f t="shared" si="30"/>
        <v>6.5712739869557453</v>
      </c>
    </row>
    <row r="489" spans="10:18">
      <c r="J489" s="122">
        <v>44141</v>
      </c>
      <c r="K489" s="123">
        <v>61.59586216307256</v>
      </c>
      <c r="L489" s="123">
        <v>47.237904</v>
      </c>
      <c r="M489" s="124">
        <v>-14.35795816307256</v>
      </c>
      <c r="O489" s="39">
        <f t="shared" si="31"/>
        <v>44335</v>
      </c>
      <c r="P489" s="41">
        <f t="shared" si="28"/>
        <v>69.524662013044249</v>
      </c>
      <c r="Q489" s="41">
        <f t="shared" si="29"/>
        <v>75.587903999999995</v>
      </c>
      <c r="R489" s="41">
        <f t="shared" si="30"/>
        <v>6.0632419869557452</v>
      </c>
    </row>
    <row r="490" spans="10:18">
      <c r="J490" s="122">
        <v>44140</v>
      </c>
      <c r="K490" s="123">
        <v>62.332648348141589</v>
      </c>
      <c r="L490" s="123">
        <v>47.274191999999999</v>
      </c>
      <c r="M490" s="124">
        <v>-15.05845634814159</v>
      </c>
      <c r="O490" s="39">
        <f t="shared" si="31"/>
        <v>44334</v>
      </c>
      <c r="P490" s="41">
        <f t="shared" si="28"/>
        <v>69.524662013044249</v>
      </c>
      <c r="Q490" s="41">
        <f t="shared" si="29"/>
        <v>76.867056000000005</v>
      </c>
      <c r="R490" s="41">
        <f t="shared" si="30"/>
        <v>7.3423939869557557</v>
      </c>
    </row>
    <row r="491" spans="10:18">
      <c r="J491" s="122">
        <v>44139</v>
      </c>
      <c r="K491" s="123">
        <v>62.332648348141589</v>
      </c>
      <c r="L491" s="123">
        <v>46.076687999999997</v>
      </c>
      <c r="M491" s="124">
        <v>-16.255960348141592</v>
      </c>
      <c r="O491" s="39">
        <f t="shared" si="31"/>
        <v>44333</v>
      </c>
      <c r="P491" s="41">
        <f t="shared" si="28"/>
        <v>69.524662013044249</v>
      </c>
      <c r="Q491" s="41">
        <f t="shared" si="29"/>
        <v>78.227856000000003</v>
      </c>
      <c r="R491" s="41">
        <f t="shared" si="30"/>
        <v>8.7031939869557533</v>
      </c>
    </row>
    <row r="492" spans="10:18">
      <c r="J492" s="122">
        <v>44138</v>
      </c>
      <c r="K492" s="123">
        <v>62.332648348141589</v>
      </c>
      <c r="L492" s="123">
        <v>46.847808000000001</v>
      </c>
      <c r="M492" s="124">
        <v>-15.484840348141589</v>
      </c>
      <c r="O492" s="39">
        <f t="shared" si="31"/>
        <v>44332</v>
      </c>
      <c r="P492" s="41">
        <f t="shared" si="28"/>
        <v>71.087725364017714</v>
      </c>
      <c r="Q492" s="41">
        <f t="shared" si="29"/>
        <v>79.407216000000005</v>
      </c>
      <c r="R492" s="41">
        <f t="shared" si="30"/>
        <v>8.3194906359822909</v>
      </c>
    </row>
    <row r="493" spans="10:18">
      <c r="J493" s="122">
        <v>44137</v>
      </c>
      <c r="K493" s="123">
        <v>62.332648348141589</v>
      </c>
      <c r="L493" s="123">
        <v>45.731952</v>
      </c>
      <c r="M493" s="124">
        <v>-16.600696348141589</v>
      </c>
      <c r="O493" s="39">
        <f t="shared" si="31"/>
        <v>44331</v>
      </c>
      <c r="P493" s="41">
        <f t="shared" si="28"/>
        <v>71.087725364017714</v>
      </c>
      <c r="Q493" s="41">
        <f t="shared" si="29"/>
        <v>79.407216000000005</v>
      </c>
      <c r="R493" s="41">
        <f t="shared" si="30"/>
        <v>8.3194906359822909</v>
      </c>
    </row>
    <row r="494" spans="10:18">
      <c r="J494" s="122">
        <v>44134</v>
      </c>
      <c r="K494" s="123">
        <v>62.593158906637171</v>
      </c>
      <c r="L494" s="123">
        <v>46.947600000000001</v>
      </c>
      <c r="M494" s="124">
        <v>-15.64555890663717</v>
      </c>
      <c r="O494" s="39">
        <f t="shared" si="31"/>
        <v>44330</v>
      </c>
      <c r="P494" s="41">
        <f t="shared" si="28"/>
        <v>71.087725364017714</v>
      </c>
      <c r="Q494" s="41">
        <f t="shared" si="29"/>
        <v>79.407216000000005</v>
      </c>
      <c r="R494" s="41">
        <f t="shared" si="30"/>
        <v>8.3194906359822909</v>
      </c>
    </row>
    <row r="495" spans="10:18">
      <c r="J495" s="122">
        <v>44133</v>
      </c>
      <c r="K495" s="123">
        <v>62.148144547083191</v>
      </c>
      <c r="L495" s="123">
        <v>49.124879999999997</v>
      </c>
      <c r="M495" s="124">
        <v>-13.023264547083194</v>
      </c>
      <c r="O495" s="39">
        <f t="shared" si="31"/>
        <v>44329</v>
      </c>
      <c r="P495" s="41">
        <f t="shared" si="28"/>
        <v>71.448770582123885</v>
      </c>
      <c r="Q495" s="41">
        <f t="shared" si="29"/>
        <v>79.162272000000002</v>
      </c>
      <c r="R495" s="41">
        <f t="shared" si="30"/>
        <v>7.7135014178761168</v>
      </c>
    </row>
    <row r="496" spans="10:18">
      <c r="J496" s="122">
        <v>44132</v>
      </c>
      <c r="K496" s="123">
        <v>62.148144547083191</v>
      </c>
      <c r="L496" s="123">
        <v>49.061375999999996</v>
      </c>
      <c r="M496" s="124">
        <v>-13.086768547083196</v>
      </c>
      <c r="O496" s="39">
        <f t="shared" si="31"/>
        <v>44328</v>
      </c>
      <c r="P496" s="41">
        <f t="shared" si="28"/>
        <v>71.448770582123885</v>
      </c>
      <c r="Q496" s="41">
        <f t="shared" si="29"/>
        <v>79.715664000000004</v>
      </c>
      <c r="R496" s="41">
        <f t="shared" si="30"/>
        <v>8.2668934178761191</v>
      </c>
    </row>
    <row r="497" spans="10:18">
      <c r="J497" s="122">
        <v>44131</v>
      </c>
      <c r="K497" s="123">
        <v>62.148144547083191</v>
      </c>
      <c r="L497" s="123">
        <v>50.159087999999997</v>
      </c>
      <c r="M497" s="124">
        <v>-11.989056547083194</v>
      </c>
      <c r="O497" s="39">
        <f t="shared" si="31"/>
        <v>44327</v>
      </c>
      <c r="P497" s="41">
        <f t="shared" si="28"/>
        <v>71.448770582123885</v>
      </c>
      <c r="Q497" s="41">
        <f t="shared" si="29"/>
        <v>77.765184000000005</v>
      </c>
      <c r="R497" s="41">
        <f t="shared" si="30"/>
        <v>6.3164134178761202</v>
      </c>
    </row>
    <row r="498" spans="10:18">
      <c r="J498" s="122">
        <v>44130</v>
      </c>
      <c r="K498" s="123">
        <v>62.148144547083191</v>
      </c>
      <c r="L498" s="123">
        <v>50.476607999999999</v>
      </c>
      <c r="M498" s="124">
        <v>-11.671536547083193</v>
      </c>
      <c r="O498" s="39">
        <f t="shared" si="31"/>
        <v>44326</v>
      </c>
      <c r="P498" s="41">
        <f t="shared" si="28"/>
        <v>71.448770582123885</v>
      </c>
      <c r="Q498" s="41">
        <f t="shared" si="29"/>
        <v>77.910336000000001</v>
      </c>
      <c r="R498" s="41">
        <f t="shared" si="30"/>
        <v>6.4615654178761162</v>
      </c>
    </row>
    <row r="499" spans="10:18">
      <c r="J499" s="122">
        <v>44127</v>
      </c>
      <c r="K499" s="123">
        <v>62.148144547083191</v>
      </c>
      <c r="L499" s="123">
        <v>50.658048000000001</v>
      </c>
      <c r="M499" s="124">
        <v>-11.490096547083191</v>
      </c>
      <c r="O499" s="39">
        <f t="shared" si="31"/>
        <v>44325</v>
      </c>
      <c r="P499" s="41">
        <f t="shared" si="28"/>
        <v>71.448770582123885</v>
      </c>
      <c r="Q499" s="41">
        <f t="shared" si="29"/>
        <v>75.197807999999995</v>
      </c>
      <c r="R499" s="41">
        <f t="shared" si="30"/>
        <v>3.7490374178761101</v>
      </c>
    </row>
    <row r="500" spans="10:18">
      <c r="J500" s="122">
        <v>44126</v>
      </c>
      <c r="K500" s="123">
        <v>62.463215255607075</v>
      </c>
      <c r="L500" s="123">
        <v>50.830416</v>
      </c>
      <c r="M500" s="124">
        <v>-11.632799255607075</v>
      </c>
      <c r="O500" s="39">
        <f t="shared" si="31"/>
        <v>44324</v>
      </c>
      <c r="P500" s="41">
        <f t="shared" si="28"/>
        <v>71.448770582123885</v>
      </c>
      <c r="Q500" s="41">
        <f t="shared" si="29"/>
        <v>75.197807999999995</v>
      </c>
      <c r="R500" s="41">
        <f t="shared" si="30"/>
        <v>3.7490374178761101</v>
      </c>
    </row>
    <row r="501" spans="10:18">
      <c r="J501" s="122">
        <v>44125</v>
      </c>
      <c r="K501" s="123">
        <v>62.463215255607075</v>
      </c>
      <c r="L501" s="123">
        <v>51.202368</v>
      </c>
      <c r="M501" s="124">
        <v>-11.260847255607075</v>
      </c>
      <c r="O501" s="39">
        <f t="shared" si="31"/>
        <v>44323</v>
      </c>
      <c r="P501" s="41">
        <f t="shared" si="28"/>
        <v>71.448770582123885</v>
      </c>
      <c r="Q501" s="41">
        <f t="shared" si="29"/>
        <v>75.197807999999995</v>
      </c>
      <c r="R501" s="41">
        <f t="shared" si="30"/>
        <v>3.7490374178761101</v>
      </c>
    </row>
    <row r="502" spans="10:18">
      <c r="J502" s="122">
        <v>44124</v>
      </c>
      <c r="K502" s="123">
        <v>62.463215255607075</v>
      </c>
      <c r="L502" s="123">
        <v>51.401951999999994</v>
      </c>
      <c r="M502" s="124">
        <v>-11.061263255607081</v>
      </c>
      <c r="O502" s="39">
        <f t="shared" si="31"/>
        <v>44322</v>
      </c>
      <c r="P502" s="41">
        <f t="shared" si="28"/>
        <v>71.052180023628338</v>
      </c>
      <c r="Q502" s="41">
        <f t="shared" si="29"/>
        <v>74.617199999999997</v>
      </c>
      <c r="R502" s="41">
        <f t="shared" si="30"/>
        <v>3.5650199763716586</v>
      </c>
    </row>
    <row r="503" spans="10:18">
      <c r="J503" s="122">
        <v>44123</v>
      </c>
      <c r="K503" s="123">
        <v>62.463215255607075</v>
      </c>
      <c r="L503" s="123">
        <v>51.792048000000001</v>
      </c>
      <c r="M503" s="124">
        <v>-10.671167255607074</v>
      </c>
      <c r="O503" s="39">
        <f t="shared" si="31"/>
        <v>44321</v>
      </c>
      <c r="P503" s="41">
        <f t="shared" si="28"/>
        <v>71.052180023628338</v>
      </c>
      <c r="Q503" s="41">
        <f t="shared" si="29"/>
        <v>72.340127999999993</v>
      </c>
      <c r="R503" s="41">
        <f t="shared" si="30"/>
        <v>1.2879479763716546</v>
      </c>
    </row>
    <row r="504" spans="10:18">
      <c r="J504" s="122">
        <v>44120</v>
      </c>
      <c r="K504" s="123">
        <v>62.463215255607075</v>
      </c>
      <c r="L504" s="123">
        <v>51.211440000000003</v>
      </c>
      <c r="M504" s="124">
        <v>-11.251775255607072</v>
      </c>
      <c r="O504" s="39">
        <f t="shared" si="31"/>
        <v>44320</v>
      </c>
      <c r="P504" s="41">
        <f t="shared" si="28"/>
        <v>71.052180023628338</v>
      </c>
      <c r="Q504" s="41">
        <f t="shared" si="29"/>
        <v>71.569007999999997</v>
      </c>
      <c r="R504" s="41">
        <f t="shared" si="30"/>
        <v>0.51682797637165834</v>
      </c>
    </row>
    <row r="505" spans="10:18">
      <c r="J505" s="122">
        <v>44119</v>
      </c>
      <c r="K505" s="123">
        <v>63.02592680881061</v>
      </c>
      <c r="L505" s="123">
        <v>50.757840000000002</v>
      </c>
      <c r="M505" s="124">
        <v>-12.268086808810608</v>
      </c>
      <c r="O505" s="39">
        <f t="shared" si="31"/>
        <v>44319</v>
      </c>
      <c r="P505" s="41">
        <f t="shared" si="28"/>
        <v>71.052180023628338</v>
      </c>
      <c r="Q505" s="41">
        <f t="shared" si="29"/>
        <v>71.115408000000002</v>
      </c>
      <c r="R505" s="41">
        <f t="shared" si="30"/>
        <v>6.3227976371663885E-2</v>
      </c>
    </row>
    <row r="506" spans="10:18">
      <c r="J506" s="122">
        <v>44118</v>
      </c>
      <c r="K506" s="123">
        <v>63.02592680881061</v>
      </c>
      <c r="L506" s="123">
        <v>50.830416</v>
      </c>
      <c r="M506" s="124">
        <v>-12.19551080881061</v>
      </c>
      <c r="O506" s="39">
        <f t="shared" si="31"/>
        <v>44318</v>
      </c>
      <c r="P506" s="41">
        <f t="shared" si="28"/>
        <v>71.052180023628338</v>
      </c>
      <c r="Q506" s="41">
        <f t="shared" si="29"/>
        <v>71.115408000000002</v>
      </c>
      <c r="R506" s="41">
        <f t="shared" si="30"/>
        <v>6.3227976371663885E-2</v>
      </c>
    </row>
    <row r="507" spans="10:18">
      <c r="J507" s="122">
        <v>44117</v>
      </c>
      <c r="K507" s="123">
        <v>63.02592680881061</v>
      </c>
      <c r="L507" s="123">
        <v>50.277024000000004</v>
      </c>
      <c r="M507" s="124">
        <v>-12.748902808810605</v>
      </c>
      <c r="O507" s="39">
        <f t="shared" si="31"/>
        <v>44317</v>
      </c>
      <c r="P507" s="41">
        <f t="shared" si="28"/>
        <v>71.052180023628338</v>
      </c>
      <c r="Q507" s="41">
        <f t="shared" si="29"/>
        <v>71.115408000000002</v>
      </c>
      <c r="R507" s="41">
        <f t="shared" si="30"/>
        <v>6.3227976371663885E-2</v>
      </c>
    </row>
    <row r="508" spans="10:18">
      <c r="J508" s="122">
        <v>44116</v>
      </c>
      <c r="K508" s="123">
        <v>63.02592680881061</v>
      </c>
      <c r="L508" s="123">
        <v>51.737616000000003</v>
      </c>
      <c r="M508" s="124">
        <v>-11.288310808810607</v>
      </c>
      <c r="O508" s="39">
        <f t="shared" si="31"/>
        <v>44316</v>
      </c>
      <c r="P508" s="41">
        <f t="shared" si="28"/>
        <v>71.052180023628338</v>
      </c>
      <c r="Q508" s="41">
        <f t="shared" si="29"/>
        <v>71.115408000000002</v>
      </c>
      <c r="R508" s="41">
        <f t="shared" si="30"/>
        <v>6.3227976371663885E-2</v>
      </c>
    </row>
    <row r="509" spans="10:18">
      <c r="J509" s="122">
        <v>44113</v>
      </c>
      <c r="K509" s="123">
        <v>63.02592680881061</v>
      </c>
      <c r="L509" s="123">
        <v>52.191216000000004</v>
      </c>
      <c r="M509" s="124">
        <v>-10.834710808810605</v>
      </c>
      <c r="O509" s="39">
        <f t="shared" si="31"/>
        <v>44315</v>
      </c>
      <c r="P509" s="41">
        <f t="shared" si="28"/>
        <v>71.075470159784075</v>
      </c>
      <c r="Q509" s="41">
        <f t="shared" si="29"/>
        <v>69.355440000000002</v>
      </c>
      <c r="R509" s="41">
        <f t="shared" si="30"/>
        <v>-1.7200301597840735</v>
      </c>
    </row>
    <row r="510" spans="10:18">
      <c r="J510" s="122">
        <v>44112</v>
      </c>
      <c r="K510" s="123">
        <v>61.964869765189384</v>
      </c>
      <c r="L510" s="123">
        <v>52.599455999999996</v>
      </c>
      <c r="M510" s="124">
        <v>-9.3654137651893876</v>
      </c>
      <c r="O510" s="39">
        <f t="shared" si="31"/>
        <v>44314</v>
      </c>
      <c r="P510" s="41">
        <f t="shared" si="28"/>
        <v>71.075470159784075</v>
      </c>
      <c r="Q510" s="41">
        <f t="shared" si="29"/>
        <v>68.284943999999996</v>
      </c>
      <c r="R510" s="41">
        <f t="shared" si="30"/>
        <v>-2.7905261597840791</v>
      </c>
    </row>
    <row r="511" spans="10:18">
      <c r="J511" s="122">
        <v>44111</v>
      </c>
      <c r="K511" s="123">
        <v>61.964869765189384</v>
      </c>
      <c r="L511" s="123">
        <v>52.617600000000003</v>
      </c>
      <c r="M511" s="124">
        <v>-9.347269765189381</v>
      </c>
      <c r="O511" s="39">
        <f t="shared" si="31"/>
        <v>44313</v>
      </c>
      <c r="P511" s="41">
        <f t="shared" si="28"/>
        <v>71.075470159784075</v>
      </c>
      <c r="Q511" s="41">
        <f t="shared" si="29"/>
        <v>67.903919999999999</v>
      </c>
      <c r="R511" s="41">
        <f t="shared" si="30"/>
        <v>-3.1715501597840756</v>
      </c>
    </row>
    <row r="512" spans="10:18">
      <c r="J512" s="122">
        <v>44110</v>
      </c>
      <c r="K512" s="123">
        <v>61.964869765189384</v>
      </c>
      <c r="L512" s="123">
        <v>52.617600000000003</v>
      </c>
      <c r="M512" s="124">
        <v>-9.347269765189381</v>
      </c>
      <c r="O512" s="39">
        <f t="shared" si="31"/>
        <v>44312</v>
      </c>
      <c r="P512" s="41">
        <f t="shared" si="28"/>
        <v>71.075470159784075</v>
      </c>
      <c r="Q512" s="41">
        <f t="shared" si="29"/>
        <v>67.277951999999999</v>
      </c>
      <c r="R512" s="41">
        <f t="shared" si="30"/>
        <v>-3.7975181597840759</v>
      </c>
    </row>
    <row r="513" spans="10:18">
      <c r="J513" s="122">
        <v>44109</v>
      </c>
      <c r="K513" s="123">
        <v>61.964869765189384</v>
      </c>
      <c r="L513" s="123">
        <v>52.009776000000002</v>
      </c>
      <c r="M513" s="124">
        <v>-9.9550937651893818</v>
      </c>
      <c r="O513" s="39">
        <f t="shared" si="31"/>
        <v>44311</v>
      </c>
      <c r="P513" s="41">
        <f t="shared" si="28"/>
        <v>71.075470159784075</v>
      </c>
      <c r="Q513" s="41">
        <f t="shared" si="29"/>
        <v>67.259808000000007</v>
      </c>
      <c r="R513" s="41">
        <f t="shared" si="30"/>
        <v>-3.8156621597840683</v>
      </c>
    </row>
    <row r="514" spans="10:18">
      <c r="J514" s="122">
        <v>44106</v>
      </c>
      <c r="K514" s="123">
        <v>61.964869765189384</v>
      </c>
      <c r="L514" s="123">
        <v>51.57432</v>
      </c>
      <c r="M514" s="124">
        <v>-10.390549765189384</v>
      </c>
      <c r="O514" s="39">
        <f t="shared" si="31"/>
        <v>44310</v>
      </c>
      <c r="P514" s="41">
        <f t="shared" si="28"/>
        <v>71.075470159784075</v>
      </c>
      <c r="Q514" s="41">
        <f t="shared" si="29"/>
        <v>67.259808000000007</v>
      </c>
      <c r="R514" s="41">
        <f t="shared" si="30"/>
        <v>-3.8156621597840683</v>
      </c>
    </row>
    <row r="515" spans="10:18">
      <c r="J515" s="122">
        <v>44105</v>
      </c>
      <c r="K515" s="123">
        <v>61.641836672654861</v>
      </c>
      <c r="L515" s="123">
        <v>52.300080000000001</v>
      </c>
      <c r="M515" s="124">
        <v>-9.34175667265486</v>
      </c>
      <c r="O515" s="39">
        <f t="shared" si="31"/>
        <v>44309</v>
      </c>
      <c r="P515" s="41">
        <f t="shared" si="28"/>
        <v>71.075470159784075</v>
      </c>
      <c r="Q515" s="41">
        <f t="shared" si="29"/>
        <v>67.259808000000007</v>
      </c>
      <c r="R515" s="41">
        <f t="shared" si="30"/>
        <v>-3.8156621597840683</v>
      </c>
    </row>
    <row r="516" spans="10:18">
      <c r="J516" s="122">
        <v>44104</v>
      </c>
      <c r="K516" s="123">
        <v>58.911686019621243</v>
      </c>
      <c r="L516" s="123">
        <v>52.100496</v>
      </c>
      <c r="M516" s="124">
        <v>-6.8111900196212432</v>
      </c>
      <c r="O516" s="39">
        <f t="shared" si="31"/>
        <v>44308</v>
      </c>
      <c r="P516" s="41">
        <f t="shared" si="28"/>
        <v>68.958877911929193</v>
      </c>
      <c r="Q516" s="41">
        <f t="shared" si="29"/>
        <v>67.731551999999994</v>
      </c>
      <c r="R516" s="41">
        <f t="shared" si="30"/>
        <v>-1.2273259119291993</v>
      </c>
    </row>
    <row r="517" spans="10:18">
      <c r="J517" s="122">
        <v>44103</v>
      </c>
      <c r="K517" s="123">
        <v>58.911686019621243</v>
      </c>
      <c r="L517" s="123">
        <v>52.318224000000001</v>
      </c>
      <c r="M517" s="124">
        <v>-6.5934620196212421</v>
      </c>
      <c r="O517" s="39">
        <f t="shared" si="31"/>
        <v>44307</v>
      </c>
      <c r="P517" s="41">
        <f t="shared" si="28"/>
        <v>68.958877911929193</v>
      </c>
      <c r="Q517" s="41">
        <f t="shared" si="29"/>
        <v>66.670127999999991</v>
      </c>
      <c r="R517" s="41">
        <f t="shared" si="30"/>
        <v>-2.2887499119292016</v>
      </c>
    </row>
    <row r="518" spans="10:18">
      <c r="J518" s="122">
        <v>44102</v>
      </c>
      <c r="K518" s="123">
        <v>58.911686019621243</v>
      </c>
      <c r="L518" s="123">
        <v>51.819263999999997</v>
      </c>
      <c r="M518" s="124">
        <v>-7.092422019621246</v>
      </c>
      <c r="O518" s="39">
        <f t="shared" si="31"/>
        <v>44306</v>
      </c>
      <c r="P518" s="41">
        <f t="shared" ref="P518:P581" si="32">IFERROR(VLOOKUP($O518,$J$5:$M$403,2,FALSE),P519)</f>
        <v>68.958877911929193</v>
      </c>
      <c r="Q518" s="41">
        <f t="shared" ref="Q518:Q581" si="33">IFERROR(VLOOKUP($O518,$J$5:$M$403,3,FALSE),Q519)</f>
        <v>65.726640000000003</v>
      </c>
      <c r="R518" s="41">
        <f t="shared" ref="R518:R581" si="34">IFERROR(VLOOKUP($O518,$J$5:$M$403,4,FALSE),R519)</f>
        <v>-3.2322379119291895</v>
      </c>
    </row>
    <row r="519" spans="10:18">
      <c r="J519" s="122">
        <v>44099</v>
      </c>
      <c r="K519" s="123">
        <v>58.911686019621243</v>
      </c>
      <c r="L519" s="123">
        <v>49.805279999999996</v>
      </c>
      <c r="M519" s="124">
        <v>-9.1064060196212466</v>
      </c>
      <c r="O519" s="39">
        <f t="shared" ref="O519:O582" si="35">O518-1</f>
        <v>44305</v>
      </c>
      <c r="P519" s="41">
        <f t="shared" si="32"/>
        <v>68.958877911929193</v>
      </c>
      <c r="Q519" s="41">
        <f t="shared" si="33"/>
        <v>67.876703999999989</v>
      </c>
      <c r="R519" s="41">
        <f t="shared" si="34"/>
        <v>-1.0821739119292033</v>
      </c>
    </row>
    <row r="520" spans="10:18">
      <c r="J520" s="122">
        <v>44098</v>
      </c>
      <c r="K520" s="123">
        <v>57.119355883465481</v>
      </c>
      <c r="L520" s="123">
        <v>48.780144</v>
      </c>
      <c r="M520" s="124">
        <v>-8.3392118834654809</v>
      </c>
      <c r="O520" s="39">
        <f t="shared" si="35"/>
        <v>44304</v>
      </c>
      <c r="P520" s="41">
        <f t="shared" si="32"/>
        <v>68.958877911929193</v>
      </c>
      <c r="Q520" s="41">
        <f t="shared" si="33"/>
        <v>67.486608000000004</v>
      </c>
      <c r="R520" s="41">
        <f t="shared" si="34"/>
        <v>-1.4722699119291889</v>
      </c>
    </row>
    <row r="521" spans="10:18">
      <c r="J521" s="122">
        <v>44097</v>
      </c>
      <c r="K521" s="123">
        <v>57.119355883465481</v>
      </c>
      <c r="L521" s="123">
        <v>48.380975999999997</v>
      </c>
      <c r="M521" s="124">
        <v>-8.738379883465484</v>
      </c>
      <c r="O521" s="39">
        <f t="shared" si="35"/>
        <v>44303</v>
      </c>
      <c r="P521" s="41">
        <f t="shared" si="32"/>
        <v>68.958877911929193</v>
      </c>
      <c r="Q521" s="41">
        <f t="shared" si="33"/>
        <v>67.486608000000004</v>
      </c>
      <c r="R521" s="41">
        <f t="shared" si="34"/>
        <v>-1.4722699119291889</v>
      </c>
    </row>
    <row r="522" spans="10:18">
      <c r="J522" s="122">
        <v>44096</v>
      </c>
      <c r="K522" s="123">
        <v>57.119355883465481</v>
      </c>
      <c r="L522" s="123">
        <v>47.283263999999996</v>
      </c>
      <c r="M522" s="124">
        <v>-9.8360918834654854</v>
      </c>
      <c r="O522" s="39">
        <f t="shared" si="35"/>
        <v>44302</v>
      </c>
      <c r="P522" s="41">
        <f t="shared" si="32"/>
        <v>68.958877911929193</v>
      </c>
      <c r="Q522" s="41">
        <f t="shared" si="33"/>
        <v>67.486608000000004</v>
      </c>
      <c r="R522" s="41">
        <f t="shared" si="34"/>
        <v>-1.4722699119291889</v>
      </c>
    </row>
    <row r="523" spans="10:18">
      <c r="J523" s="122">
        <v>44095</v>
      </c>
      <c r="K523" s="123">
        <v>57.119355883465481</v>
      </c>
      <c r="L523" s="123">
        <v>47.564495999999998</v>
      </c>
      <c r="M523" s="124">
        <v>-9.5548598834654825</v>
      </c>
      <c r="O523" s="39">
        <f t="shared" si="35"/>
        <v>44301</v>
      </c>
      <c r="P523" s="41">
        <f t="shared" si="32"/>
        <v>66.809795377890268</v>
      </c>
      <c r="Q523" s="41">
        <f t="shared" si="33"/>
        <v>64.619855999999999</v>
      </c>
      <c r="R523" s="41">
        <f t="shared" si="34"/>
        <v>-2.1899393778902692</v>
      </c>
    </row>
    <row r="524" spans="10:18">
      <c r="J524" s="122">
        <v>44092</v>
      </c>
      <c r="K524" s="123">
        <v>57.119355883465481</v>
      </c>
      <c r="L524" s="123">
        <v>47.500991999999997</v>
      </c>
      <c r="M524" s="124">
        <v>-9.6183638834654843</v>
      </c>
      <c r="O524" s="39">
        <f t="shared" si="35"/>
        <v>44300</v>
      </c>
      <c r="P524" s="41">
        <f t="shared" si="32"/>
        <v>66.809795377890268</v>
      </c>
      <c r="Q524" s="41">
        <f t="shared" si="33"/>
        <v>63.558432000000003</v>
      </c>
      <c r="R524" s="41">
        <f t="shared" si="34"/>
        <v>-3.2513633778902644</v>
      </c>
    </row>
    <row r="525" spans="10:18">
      <c r="J525" s="122">
        <v>44091</v>
      </c>
      <c r="K525" s="123">
        <v>56.757704902630095</v>
      </c>
      <c r="L525" s="123">
        <v>47.972736000000005</v>
      </c>
      <c r="M525" s="124">
        <v>-8.7849689026300908</v>
      </c>
      <c r="O525" s="39">
        <f t="shared" si="35"/>
        <v>44299</v>
      </c>
      <c r="P525" s="41">
        <f t="shared" si="32"/>
        <v>66.809795377890268</v>
      </c>
      <c r="Q525" s="41">
        <f t="shared" si="33"/>
        <v>63.195551999999999</v>
      </c>
      <c r="R525" s="41">
        <f t="shared" si="34"/>
        <v>-3.6142433778902685</v>
      </c>
    </row>
    <row r="526" spans="10:18">
      <c r="J526" s="122">
        <v>44090</v>
      </c>
      <c r="K526" s="123">
        <v>56.757704902630095</v>
      </c>
      <c r="L526" s="123">
        <v>47.49192</v>
      </c>
      <c r="M526" s="124">
        <v>-9.2657849026300951</v>
      </c>
      <c r="O526" s="39">
        <f t="shared" si="35"/>
        <v>44298</v>
      </c>
      <c r="P526" s="41">
        <f t="shared" si="32"/>
        <v>66.809795377890268</v>
      </c>
      <c r="Q526" s="41">
        <f t="shared" si="33"/>
        <v>62.215775999999998</v>
      </c>
      <c r="R526" s="41">
        <f t="shared" si="34"/>
        <v>-4.5940193778902696</v>
      </c>
    </row>
    <row r="527" spans="10:18">
      <c r="J527" s="122">
        <v>44089</v>
      </c>
      <c r="K527" s="123">
        <v>56.757704902630095</v>
      </c>
      <c r="L527" s="123">
        <v>47.909232000000003</v>
      </c>
      <c r="M527" s="124">
        <v>-8.8484729026300926</v>
      </c>
      <c r="O527" s="39">
        <f t="shared" si="35"/>
        <v>44297</v>
      </c>
      <c r="P527" s="41">
        <f t="shared" si="32"/>
        <v>66.809795377890268</v>
      </c>
      <c r="Q527" s="41">
        <f t="shared" si="33"/>
        <v>61.199711999999998</v>
      </c>
      <c r="R527" s="41">
        <f t="shared" si="34"/>
        <v>-5.6100833778902697</v>
      </c>
    </row>
    <row r="528" spans="10:18">
      <c r="J528" s="122">
        <v>44088</v>
      </c>
      <c r="K528" s="123">
        <v>56.757704902630095</v>
      </c>
      <c r="L528" s="123">
        <v>47.76408</v>
      </c>
      <c r="M528" s="124">
        <v>-8.9936249026300956</v>
      </c>
      <c r="O528" s="39">
        <f t="shared" si="35"/>
        <v>44296</v>
      </c>
      <c r="P528" s="41">
        <f t="shared" si="32"/>
        <v>66.809795377890268</v>
      </c>
      <c r="Q528" s="41">
        <f t="shared" si="33"/>
        <v>61.199711999999998</v>
      </c>
      <c r="R528" s="41">
        <f t="shared" si="34"/>
        <v>-5.6100833778902697</v>
      </c>
    </row>
    <row r="529" spans="10:18">
      <c r="J529" s="122">
        <v>44085</v>
      </c>
      <c r="K529" s="123">
        <v>56.757704902630095</v>
      </c>
      <c r="L529" s="123">
        <v>47.519136000000003</v>
      </c>
      <c r="M529" s="124">
        <v>-9.2385689026300923</v>
      </c>
      <c r="O529" s="39">
        <f t="shared" si="35"/>
        <v>44295</v>
      </c>
      <c r="P529" s="41">
        <f t="shared" si="32"/>
        <v>66.809795377890268</v>
      </c>
      <c r="Q529" s="41">
        <f t="shared" si="33"/>
        <v>61.199711999999998</v>
      </c>
      <c r="R529" s="41">
        <f t="shared" si="34"/>
        <v>-5.6100833778902697</v>
      </c>
    </row>
    <row r="530" spans="10:18">
      <c r="J530" s="122">
        <v>44084</v>
      </c>
      <c r="K530" s="123">
        <v>56.104887859008855</v>
      </c>
      <c r="L530" s="123">
        <v>47.201616000000001</v>
      </c>
      <c r="M530" s="124">
        <v>-8.9032718590088535</v>
      </c>
      <c r="O530" s="39">
        <f t="shared" si="35"/>
        <v>44294</v>
      </c>
      <c r="P530" s="41">
        <f t="shared" si="32"/>
        <v>67.675313688530963</v>
      </c>
      <c r="Q530" s="41">
        <f t="shared" si="33"/>
        <v>60.945696000000005</v>
      </c>
      <c r="R530" s="41">
        <f t="shared" si="34"/>
        <v>-6.7296176885309578</v>
      </c>
    </row>
    <row r="531" spans="10:18">
      <c r="J531" s="122">
        <v>44083</v>
      </c>
      <c r="K531" s="123">
        <v>56.104887859008855</v>
      </c>
      <c r="L531" s="123">
        <v>47.074607999999998</v>
      </c>
      <c r="M531" s="124">
        <v>-9.0302798590088571</v>
      </c>
      <c r="O531" s="39">
        <f t="shared" si="35"/>
        <v>44293</v>
      </c>
      <c r="P531" s="41">
        <f t="shared" si="32"/>
        <v>67.675313688530963</v>
      </c>
      <c r="Q531" s="41">
        <f t="shared" si="33"/>
        <v>61.798464000000003</v>
      </c>
      <c r="R531" s="41">
        <f t="shared" si="34"/>
        <v>-5.8768496885309602</v>
      </c>
    </row>
    <row r="532" spans="10:18">
      <c r="J532" s="122">
        <v>44082</v>
      </c>
      <c r="K532" s="123">
        <v>56.104887859008855</v>
      </c>
      <c r="L532" s="123">
        <v>45.895248000000002</v>
      </c>
      <c r="M532" s="124">
        <v>-10.209639859008853</v>
      </c>
      <c r="O532" s="39">
        <f t="shared" si="35"/>
        <v>44292</v>
      </c>
      <c r="P532" s="41">
        <f t="shared" si="32"/>
        <v>67.675313688530963</v>
      </c>
      <c r="Q532" s="41">
        <f t="shared" si="33"/>
        <v>64.238832000000002</v>
      </c>
      <c r="R532" s="41">
        <f t="shared" si="34"/>
        <v>-3.4364816885309608</v>
      </c>
    </row>
    <row r="533" spans="10:18">
      <c r="J533" s="122">
        <v>44081</v>
      </c>
      <c r="K533" s="123">
        <v>56.104887859008855</v>
      </c>
      <c r="L533" s="123">
        <v>46.475856</v>
      </c>
      <c r="M533" s="124">
        <v>-9.6290318590088546</v>
      </c>
      <c r="O533" s="39">
        <f t="shared" si="35"/>
        <v>44291</v>
      </c>
      <c r="P533" s="41">
        <f t="shared" si="32"/>
        <v>67.675313688530963</v>
      </c>
      <c r="Q533" s="41">
        <f t="shared" si="33"/>
        <v>62.823599999999999</v>
      </c>
      <c r="R533" s="41">
        <f t="shared" si="34"/>
        <v>-4.851713688530964</v>
      </c>
    </row>
    <row r="534" spans="10:18">
      <c r="J534" s="122">
        <v>44078</v>
      </c>
      <c r="K534" s="123">
        <v>56.104887859008855</v>
      </c>
      <c r="L534" s="123">
        <v>47.256048000000007</v>
      </c>
      <c r="M534" s="124">
        <v>-8.848839859008848</v>
      </c>
      <c r="O534" s="39">
        <f t="shared" si="35"/>
        <v>44290</v>
      </c>
      <c r="P534" s="41">
        <f t="shared" si="32"/>
        <v>67.675313688530963</v>
      </c>
      <c r="Q534" s="41">
        <f t="shared" si="33"/>
        <v>62.823599999999999</v>
      </c>
      <c r="R534" s="41">
        <f t="shared" si="34"/>
        <v>-4.851713688530964</v>
      </c>
    </row>
    <row r="535" spans="10:18">
      <c r="J535" s="122">
        <v>44077</v>
      </c>
      <c r="K535" s="123">
        <v>56.929338989872562</v>
      </c>
      <c r="L535" s="123">
        <v>46.430495999999998</v>
      </c>
      <c r="M535" s="124">
        <v>-10.498842989872564</v>
      </c>
      <c r="O535" s="39">
        <f t="shared" si="35"/>
        <v>44289</v>
      </c>
      <c r="P535" s="41">
        <f t="shared" si="32"/>
        <v>67.675313688530963</v>
      </c>
      <c r="Q535" s="41">
        <f t="shared" si="33"/>
        <v>62.823599999999999</v>
      </c>
      <c r="R535" s="41">
        <f t="shared" si="34"/>
        <v>-4.851713688530964</v>
      </c>
    </row>
    <row r="536" spans="10:18">
      <c r="J536" s="122">
        <v>44076</v>
      </c>
      <c r="K536" s="123">
        <v>56.929338989872562</v>
      </c>
      <c r="L536" s="123">
        <v>46.911312000000002</v>
      </c>
      <c r="M536" s="124">
        <v>-10.01802698987256</v>
      </c>
      <c r="O536" s="39">
        <f t="shared" si="35"/>
        <v>44288</v>
      </c>
      <c r="P536" s="41">
        <f t="shared" si="32"/>
        <v>67.675313688530963</v>
      </c>
      <c r="Q536" s="41">
        <f t="shared" si="33"/>
        <v>62.823599999999999</v>
      </c>
      <c r="R536" s="41">
        <f t="shared" si="34"/>
        <v>-4.851713688530964</v>
      </c>
    </row>
    <row r="537" spans="10:18">
      <c r="J537" s="122">
        <v>44075</v>
      </c>
      <c r="K537" s="123">
        <v>56.929338989872562</v>
      </c>
      <c r="L537" s="123">
        <v>47.274191999999999</v>
      </c>
      <c r="M537" s="124">
        <v>-9.6551469898725628</v>
      </c>
      <c r="O537" s="39">
        <f t="shared" si="35"/>
        <v>44287</v>
      </c>
      <c r="P537" s="41">
        <f t="shared" si="32"/>
        <v>68.76211890663717</v>
      </c>
      <c r="Q537" s="41">
        <f t="shared" si="33"/>
        <v>62.823599999999999</v>
      </c>
      <c r="R537" s="41">
        <f t="shared" si="34"/>
        <v>-5.9385189066371709</v>
      </c>
    </row>
    <row r="538" spans="10:18">
      <c r="J538" s="122">
        <v>44074</v>
      </c>
      <c r="K538" s="123">
        <v>56.929338989872562</v>
      </c>
      <c r="L538" s="123">
        <v>44.706816000000003</v>
      </c>
      <c r="M538" s="124">
        <v>-12.222522989872559</v>
      </c>
      <c r="O538" s="39">
        <f t="shared" si="35"/>
        <v>44286</v>
      </c>
      <c r="P538" s="41">
        <f t="shared" si="32"/>
        <v>68.76211890663717</v>
      </c>
      <c r="Q538" s="41">
        <f t="shared" si="33"/>
        <v>62.995967999999998</v>
      </c>
      <c r="R538" s="41">
        <f t="shared" si="34"/>
        <v>-5.7661509066371721</v>
      </c>
    </row>
    <row r="539" spans="10:18">
      <c r="J539" s="122">
        <v>44071</v>
      </c>
      <c r="K539" s="123">
        <v>56.929338989872562</v>
      </c>
      <c r="L539" s="123">
        <v>44.706816000000003</v>
      </c>
      <c r="M539" s="124">
        <v>-12.222522989872559</v>
      </c>
      <c r="O539" s="39">
        <f t="shared" si="35"/>
        <v>44285</v>
      </c>
      <c r="P539" s="41">
        <f t="shared" si="32"/>
        <v>68.76211890663717</v>
      </c>
      <c r="Q539" s="41">
        <f t="shared" si="33"/>
        <v>63.594719999999995</v>
      </c>
      <c r="R539" s="41">
        <f t="shared" si="34"/>
        <v>-5.1673989066371746</v>
      </c>
    </row>
    <row r="540" spans="10:18">
      <c r="J540" s="122">
        <v>44070</v>
      </c>
      <c r="K540" s="123">
        <v>58.605209698396465</v>
      </c>
      <c r="L540" s="123">
        <v>42.656544000000004</v>
      </c>
      <c r="M540" s="124">
        <v>-15.948665698396461</v>
      </c>
      <c r="O540" s="39">
        <f t="shared" si="35"/>
        <v>44284</v>
      </c>
      <c r="P540" s="41">
        <f t="shared" si="32"/>
        <v>68.76211890663717</v>
      </c>
      <c r="Q540" s="41">
        <f t="shared" si="33"/>
        <v>64.420272000000011</v>
      </c>
      <c r="R540" s="41">
        <f t="shared" si="34"/>
        <v>-4.3418469066371586</v>
      </c>
    </row>
    <row r="541" spans="10:18">
      <c r="J541" s="122">
        <v>44069</v>
      </c>
      <c r="K541" s="123">
        <v>58.605209698396465</v>
      </c>
      <c r="L541" s="123">
        <v>42.983136000000002</v>
      </c>
      <c r="M541" s="124">
        <v>-15.622073698396463</v>
      </c>
      <c r="O541" s="39">
        <f t="shared" si="35"/>
        <v>44283</v>
      </c>
      <c r="P541" s="41">
        <f t="shared" si="32"/>
        <v>68.76211890663717</v>
      </c>
      <c r="Q541" s="41">
        <f t="shared" si="33"/>
        <v>66.171167999999994</v>
      </c>
      <c r="R541" s="41">
        <f t="shared" si="34"/>
        <v>-2.5909509066371754</v>
      </c>
    </row>
    <row r="542" spans="10:18">
      <c r="J542" s="122">
        <v>44068</v>
      </c>
      <c r="K542" s="123">
        <v>58.605209698396465</v>
      </c>
      <c r="L542" s="123">
        <v>42.248303999999997</v>
      </c>
      <c r="M542" s="124">
        <v>-16.356905698396467</v>
      </c>
      <c r="O542" s="39">
        <f t="shared" si="35"/>
        <v>44282</v>
      </c>
      <c r="P542" s="41">
        <f t="shared" si="32"/>
        <v>68.76211890663717</v>
      </c>
      <c r="Q542" s="41">
        <f t="shared" si="33"/>
        <v>66.171167999999994</v>
      </c>
      <c r="R542" s="41">
        <f t="shared" si="34"/>
        <v>-2.5909509066371754</v>
      </c>
    </row>
    <row r="543" spans="10:18">
      <c r="J543" s="122">
        <v>44067</v>
      </c>
      <c r="K543" s="123">
        <v>58.605209698396465</v>
      </c>
      <c r="L543" s="123">
        <v>42.339024000000002</v>
      </c>
      <c r="M543" s="124">
        <v>-16.266185698396463</v>
      </c>
      <c r="O543" s="39">
        <f t="shared" si="35"/>
        <v>44281</v>
      </c>
      <c r="P543" s="41">
        <f t="shared" si="32"/>
        <v>68.76211890663717</v>
      </c>
      <c r="Q543" s="41">
        <f t="shared" si="33"/>
        <v>66.171167999999994</v>
      </c>
      <c r="R543" s="41">
        <f t="shared" si="34"/>
        <v>-2.5909509066371754</v>
      </c>
    </row>
    <row r="544" spans="10:18">
      <c r="J544" s="122">
        <v>44064</v>
      </c>
      <c r="K544" s="123">
        <v>58.605209698396465</v>
      </c>
      <c r="L544" s="123">
        <v>42.075936000000006</v>
      </c>
      <c r="M544" s="124">
        <v>-16.529273698396459</v>
      </c>
      <c r="O544" s="39">
        <f t="shared" si="35"/>
        <v>44280</v>
      </c>
      <c r="P544" s="41">
        <f t="shared" si="32"/>
        <v>70.220381018336298</v>
      </c>
      <c r="Q544" s="41">
        <f t="shared" si="33"/>
        <v>66.597551999999993</v>
      </c>
      <c r="R544" s="41">
        <f t="shared" si="34"/>
        <v>-3.6228290183363043</v>
      </c>
    </row>
    <row r="545" spans="10:18">
      <c r="J545" s="122">
        <v>44063</v>
      </c>
      <c r="K545" s="123">
        <v>60.130287164357519</v>
      </c>
      <c r="L545" s="123">
        <v>42.919632</v>
      </c>
      <c r="M545" s="124">
        <v>-17.210655164357519</v>
      </c>
      <c r="O545" s="39">
        <f t="shared" si="35"/>
        <v>44279</v>
      </c>
      <c r="P545" s="41">
        <f t="shared" si="32"/>
        <v>70.220381018336298</v>
      </c>
      <c r="Q545" s="41">
        <f t="shared" si="33"/>
        <v>65.000880000000009</v>
      </c>
      <c r="R545" s="41">
        <f t="shared" si="34"/>
        <v>-5.2195010183362882</v>
      </c>
    </row>
    <row r="546" spans="10:18">
      <c r="J546" s="122">
        <v>44062</v>
      </c>
      <c r="K546" s="123">
        <v>60.130287164357519</v>
      </c>
      <c r="L546" s="123">
        <v>43.672608000000004</v>
      </c>
      <c r="M546" s="124">
        <v>-16.457679164357515</v>
      </c>
      <c r="O546" s="39">
        <f t="shared" si="35"/>
        <v>44278</v>
      </c>
      <c r="P546" s="41">
        <f t="shared" si="32"/>
        <v>70.220381018336298</v>
      </c>
      <c r="Q546" s="41">
        <f t="shared" si="33"/>
        <v>64.84665600000001</v>
      </c>
      <c r="R546" s="41">
        <f t="shared" si="34"/>
        <v>-5.3737250183362875</v>
      </c>
    </row>
    <row r="547" spans="10:18">
      <c r="J547" s="122">
        <v>44061</v>
      </c>
      <c r="K547" s="123">
        <v>60.130287164357519</v>
      </c>
      <c r="L547" s="123">
        <v>43.300655999999996</v>
      </c>
      <c r="M547" s="124">
        <v>-16.829631164357522</v>
      </c>
      <c r="O547" s="39">
        <f t="shared" si="35"/>
        <v>44277</v>
      </c>
      <c r="P547" s="41">
        <f t="shared" si="32"/>
        <v>70.220381018336298</v>
      </c>
      <c r="Q547" s="41">
        <f t="shared" si="33"/>
        <v>65.18231999999999</v>
      </c>
      <c r="R547" s="41">
        <f t="shared" si="34"/>
        <v>-5.0380610183363075</v>
      </c>
    </row>
    <row r="548" spans="10:18">
      <c r="J548" s="122">
        <v>44060</v>
      </c>
      <c r="K548" s="123">
        <v>60.130287164357519</v>
      </c>
      <c r="L548" s="123">
        <v>43.935696</v>
      </c>
      <c r="M548" s="124">
        <v>-16.194591164357519</v>
      </c>
      <c r="O548" s="39">
        <f t="shared" si="35"/>
        <v>44276</v>
      </c>
      <c r="P548" s="41">
        <f t="shared" si="32"/>
        <v>69.699359901345147</v>
      </c>
      <c r="Q548" s="41">
        <f t="shared" si="33"/>
        <v>63.830592000000003</v>
      </c>
      <c r="R548" s="41">
        <f t="shared" si="34"/>
        <v>-5.8687679013451444</v>
      </c>
    </row>
    <row r="549" spans="10:18">
      <c r="J549" s="122">
        <v>44057</v>
      </c>
      <c r="K549" s="123">
        <v>60.130287164357519</v>
      </c>
      <c r="L549" s="123">
        <v>44.153424000000001</v>
      </c>
      <c r="M549" s="124">
        <v>-15.976863164357518</v>
      </c>
      <c r="O549" s="39">
        <f t="shared" si="35"/>
        <v>44275</v>
      </c>
      <c r="P549" s="41">
        <f t="shared" si="32"/>
        <v>69.699359901345147</v>
      </c>
      <c r="Q549" s="41">
        <f t="shared" si="33"/>
        <v>63.830592000000003</v>
      </c>
      <c r="R549" s="41">
        <f t="shared" si="34"/>
        <v>-5.8687679013451444</v>
      </c>
    </row>
    <row r="550" spans="10:18">
      <c r="J550" s="122">
        <v>44056</v>
      </c>
      <c r="K550" s="123">
        <v>58.769487164357521</v>
      </c>
      <c r="L550" s="123">
        <v>44.398367999999998</v>
      </c>
      <c r="M550" s="124">
        <v>-14.371119164357523</v>
      </c>
      <c r="O550" s="39">
        <f t="shared" si="35"/>
        <v>44274</v>
      </c>
      <c r="P550" s="41">
        <f t="shared" si="32"/>
        <v>69.699359901345147</v>
      </c>
      <c r="Q550" s="41">
        <f t="shared" si="33"/>
        <v>63.830592000000003</v>
      </c>
      <c r="R550" s="41">
        <f t="shared" si="34"/>
        <v>-5.8687679013451444</v>
      </c>
    </row>
    <row r="551" spans="10:18">
      <c r="J551" s="122">
        <v>44055</v>
      </c>
      <c r="K551" s="123">
        <v>58.769487164357521</v>
      </c>
      <c r="L551" s="123">
        <v>44.670528000000004</v>
      </c>
      <c r="M551" s="124">
        <v>-14.098959164357517</v>
      </c>
      <c r="O551" s="39">
        <f t="shared" si="35"/>
        <v>44273</v>
      </c>
      <c r="P551" s="41">
        <f t="shared" si="32"/>
        <v>67.593188075830085</v>
      </c>
      <c r="Q551" s="41">
        <f t="shared" si="33"/>
        <v>65.164175999999998</v>
      </c>
      <c r="R551" s="41">
        <f t="shared" si="34"/>
        <v>-2.4290120758300873</v>
      </c>
    </row>
    <row r="552" spans="10:18">
      <c r="J552" s="122">
        <v>44054</v>
      </c>
      <c r="K552" s="123">
        <v>58.769487164357521</v>
      </c>
      <c r="L552" s="123">
        <v>45.659376000000002</v>
      </c>
      <c r="M552" s="124">
        <v>-13.110111164357519</v>
      </c>
      <c r="O552" s="39">
        <f t="shared" si="35"/>
        <v>44272</v>
      </c>
      <c r="P552" s="41">
        <f t="shared" si="32"/>
        <v>67.593188075830085</v>
      </c>
      <c r="Q552" s="41">
        <f t="shared" si="33"/>
        <v>62.1432</v>
      </c>
      <c r="R552" s="41">
        <f t="shared" si="34"/>
        <v>-5.4499880758300847</v>
      </c>
    </row>
    <row r="553" spans="10:18">
      <c r="J553" s="122">
        <v>44053</v>
      </c>
      <c r="K553" s="123">
        <v>58.769487164357521</v>
      </c>
      <c r="L553" s="123">
        <v>46.575648000000001</v>
      </c>
      <c r="M553" s="124">
        <v>-12.19383916435752</v>
      </c>
      <c r="O553" s="39">
        <f t="shared" si="35"/>
        <v>44271</v>
      </c>
      <c r="P553" s="41">
        <f t="shared" si="32"/>
        <v>67.593188075830085</v>
      </c>
      <c r="Q553" s="41">
        <f t="shared" si="33"/>
        <v>60.882192000000003</v>
      </c>
      <c r="R553" s="41">
        <f t="shared" si="34"/>
        <v>-6.7109960758300815</v>
      </c>
    </row>
    <row r="554" spans="10:18">
      <c r="J554" s="122">
        <v>44050</v>
      </c>
      <c r="K554" s="123">
        <v>58.769487164357521</v>
      </c>
      <c r="L554" s="123">
        <v>46.35792</v>
      </c>
      <c r="M554" s="124">
        <v>-12.411567164357521</v>
      </c>
      <c r="O554" s="39">
        <f t="shared" si="35"/>
        <v>44270</v>
      </c>
      <c r="P554" s="41">
        <f t="shared" si="32"/>
        <v>67.593188075830085</v>
      </c>
      <c r="Q554" s="41">
        <f t="shared" si="33"/>
        <v>61.426511999999995</v>
      </c>
      <c r="R554" s="41">
        <f t="shared" si="34"/>
        <v>-6.1666760758300896</v>
      </c>
    </row>
    <row r="555" spans="10:18">
      <c r="J555" s="122">
        <v>44049</v>
      </c>
      <c r="K555" s="123">
        <v>55.958396183522133</v>
      </c>
      <c r="L555" s="123">
        <v>46.203696000000001</v>
      </c>
      <c r="M555" s="124">
        <v>-9.7547001835221323</v>
      </c>
      <c r="O555" s="39">
        <f t="shared" si="35"/>
        <v>44269</v>
      </c>
      <c r="P555" s="41">
        <f t="shared" si="32"/>
        <v>67.593188075830085</v>
      </c>
      <c r="Q555" s="41">
        <f t="shared" si="33"/>
        <v>60.827759999999998</v>
      </c>
      <c r="R555" s="41">
        <f t="shared" si="34"/>
        <v>-6.7654280758300871</v>
      </c>
    </row>
    <row r="556" spans="10:18">
      <c r="J556" s="122">
        <v>44048</v>
      </c>
      <c r="K556" s="123">
        <v>55.958396183522133</v>
      </c>
      <c r="L556" s="123">
        <v>46.802448000000005</v>
      </c>
      <c r="M556" s="124">
        <v>-9.1559481835221277</v>
      </c>
      <c r="O556" s="39">
        <f t="shared" si="35"/>
        <v>44268</v>
      </c>
      <c r="P556" s="41">
        <f t="shared" si="32"/>
        <v>67.593188075830085</v>
      </c>
      <c r="Q556" s="41">
        <f t="shared" si="33"/>
        <v>60.827759999999998</v>
      </c>
      <c r="R556" s="41">
        <f t="shared" si="34"/>
        <v>-6.7654280758300871</v>
      </c>
    </row>
    <row r="557" spans="10:18">
      <c r="J557" s="122">
        <v>44047</v>
      </c>
      <c r="K557" s="123">
        <v>55.958396183522133</v>
      </c>
      <c r="L557" s="123">
        <v>46.802448000000005</v>
      </c>
      <c r="M557" s="124">
        <v>-9.1559481835221277</v>
      </c>
      <c r="O557" s="39">
        <f t="shared" si="35"/>
        <v>44267</v>
      </c>
      <c r="P557" s="41">
        <f t="shared" si="32"/>
        <v>67.593188075830085</v>
      </c>
      <c r="Q557" s="41">
        <f t="shared" si="33"/>
        <v>60.827759999999998</v>
      </c>
      <c r="R557" s="41">
        <f t="shared" si="34"/>
        <v>-6.7654280758300871</v>
      </c>
    </row>
    <row r="558" spans="10:18">
      <c r="J558" s="122">
        <v>44046</v>
      </c>
      <c r="K558" s="123">
        <v>55.958396183522133</v>
      </c>
      <c r="L558" s="123">
        <v>47.337696000000001</v>
      </c>
      <c r="M558" s="124">
        <v>-8.620700183522132</v>
      </c>
      <c r="O558" s="39">
        <f t="shared" si="35"/>
        <v>44266</v>
      </c>
      <c r="P558" s="41">
        <f t="shared" si="32"/>
        <v>68.247839901345131</v>
      </c>
      <c r="Q558" s="41">
        <f t="shared" si="33"/>
        <v>60.020351999999995</v>
      </c>
      <c r="R558" s="41">
        <f t="shared" si="34"/>
        <v>-8.2274879013451354</v>
      </c>
    </row>
    <row r="559" spans="10:18">
      <c r="J559" s="122">
        <v>44043</v>
      </c>
      <c r="K559" s="123">
        <v>55.958396183522133</v>
      </c>
      <c r="L559" s="123">
        <v>46.176479999999998</v>
      </c>
      <c r="M559" s="124">
        <v>-9.7819161835221351</v>
      </c>
      <c r="O559" s="39">
        <f t="shared" si="35"/>
        <v>44265</v>
      </c>
      <c r="P559" s="41">
        <f t="shared" si="32"/>
        <v>68.247839901345131</v>
      </c>
      <c r="Q559" s="41">
        <f t="shared" si="33"/>
        <v>60.192719999999994</v>
      </c>
      <c r="R559" s="41">
        <f t="shared" si="34"/>
        <v>-8.0551199013451367</v>
      </c>
    </row>
    <row r="560" spans="10:18">
      <c r="J560" s="122">
        <v>44042</v>
      </c>
      <c r="K560" s="123">
        <v>56.240976605861952</v>
      </c>
      <c r="L560" s="123">
        <v>45.695664000000001</v>
      </c>
      <c r="M560" s="124">
        <v>-10.545312605861952</v>
      </c>
      <c r="O560" s="39">
        <f t="shared" si="35"/>
        <v>44264</v>
      </c>
      <c r="P560" s="41">
        <f t="shared" si="32"/>
        <v>68.247839901345131</v>
      </c>
      <c r="Q560" s="41">
        <f t="shared" si="33"/>
        <v>59.185727999999997</v>
      </c>
      <c r="R560" s="41">
        <f t="shared" si="34"/>
        <v>-9.0621119013451334</v>
      </c>
    </row>
    <row r="561" spans="10:18">
      <c r="J561" s="122">
        <v>44041</v>
      </c>
      <c r="K561" s="123">
        <v>56.240976605861952</v>
      </c>
      <c r="L561" s="123">
        <v>45.541440000000001</v>
      </c>
      <c r="M561" s="124">
        <v>-10.699536605861951</v>
      </c>
      <c r="O561" s="39">
        <f t="shared" si="35"/>
        <v>44263</v>
      </c>
      <c r="P561" s="41">
        <f t="shared" si="32"/>
        <v>68.247839901345131</v>
      </c>
      <c r="Q561" s="41">
        <f t="shared" si="33"/>
        <v>59.203872000000004</v>
      </c>
      <c r="R561" s="41">
        <f t="shared" si="34"/>
        <v>-9.0439679013451268</v>
      </c>
    </row>
    <row r="562" spans="10:18">
      <c r="J562" s="122">
        <v>44040</v>
      </c>
      <c r="K562" s="123">
        <v>56.240976605861952</v>
      </c>
      <c r="L562" s="123">
        <v>45.187632000000001</v>
      </c>
      <c r="M562" s="124">
        <v>-11.053344605861952</v>
      </c>
      <c r="O562" s="39">
        <f t="shared" si="35"/>
        <v>44262</v>
      </c>
      <c r="P562" s="41">
        <f t="shared" si="32"/>
        <v>0</v>
      </c>
      <c r="Q562" s="41">
        <f t="shared" si="33"/>
        <v>0</v>
      </c>
      <c r="R562" s="41">
        <f t="shared" si="34"/>
        <v>0</v>
      </c>
    </row>
    <row r="563" spans="10:18">
      <c r="J563" s="122">
        <v>44039</v>
      </c>
      <c r="K563" s="123">
        <v>56.240976605861952</v>
      </c>
      <c r="L563" s="123">
        <v>45.133200000000002</v>
      </c>
      <c r="M563" s="124">
        <v>-11.10777660586195</v>
      </c>
      <c r="O563" s="39">
        <f t="shared" si="35"/>
        <v>44261</v>
      </c>
      <c r="P563" s="41">
        <f t="shared" si="32"/>
        <v>0</v>
      </c>
      <c r="Q563" s="41">
        <f t="shared" si="33"/>
        <v>0</v>
      </c>
      <c r="R563" s="41">
        <f t="shared" si="34"/>
        <v>0</v>
      </c>
    </row>
    <row r="564" spans="10:18">
      <c r="J564" s="122">
        <v>44036</v>
      </c>
      <c r="K564" s="123">
        <v>56.240976605861952</v>
      </c>
      <c r="L564" s="123">
        <v>45.260207999999999</v>
      </c>
      <c r="M564" s="124">
        <v>-10.980768605861954</v>
      </c>
      <c r="O564" s="39">
        <f t="shared" si="35"/>
        <v>44260</v>
      </c>
      <c r="P564" s="41">
        <f t="shared" si="32"/>
        <v>0</v>
      </c>
      <c r="Q564" s="41">
        <f t="shared" si="33"/>
        <v>0</v>
      </c>
      <c r="R564" s="41">
        <f t="shared" si="34"/>
        <v>0</v>
      </c>
    </row>
    <row r="565" spans="10:18">
      <c r="J565" s="122">
        <v>44035</v>
      </c>
      <c r="K565" s="123">
        <v>58.097058295221238</v>
      </c>
      <c r="L565" s="123">
        <v>45.877104000000003</v>
      </c>
      <c r="M565" s="124">
        <v>-12.219954295221235</v>
      </c>
      <c r="O565" s="39">
        <f t="shared" si="35"/>
        <v>44259</v>
      </c>
      <c r="P565" s="41">
        <f t="shared" si="32"/>
        <v>0</v>
      </c>
      <c r="Q565" s="41">
        <f t="shared" si="33"/>
        <v>0</v>
      </c>
      <c r="R565" s="41">
        <f t="shared" si="34"/>
        <v>0</v>
      </c>
    </row>
    <row r="566" spans="10:18">
      <c r="J566" s="122">
        <v>44034</v>
      </c>
      <c r="K566" s="123">
        <v>58.097058295221238</v>
      </c>
      <c r="L566" s="123">
        <v>46.239984</v>
      </c>
      <c r="M566" s="124">
        <v>-11.857074295221238</v>
      </c>
      <c r="O566" s="39">
        <f t="shared" si="35"/>
        <v>44258</v>
      </c>
      <c r="P566" s="41">
        <f t="shared" si="32"/>
        <v>0</v>
      </c>
      <c r="Q566" s="41">
        <f t="shared" si="33"/>
        <v>0</v>
      </c>
      <c r="R566" s="41">
        <f t="shared" si="34"/>
        <v>0</v>
      </c>
    </row>
    <row r="567" spans="10:18">
      <c r="J567" s="122">
        <v>44033</v>
      </c>
      <c r="K567" s="123">
        <v>58.097058295221238</v>
      </c>
      <c r="L567" s="123">
        <v>45.033408000000001</v>
      </c>
      <c r="M567" s="124">
        <v>-13.063650295221237</v>
      </c>
      <c r="O567" s="39">
        <f t="shared" si="35"/>
        <v>44257</v>
      </c>
      <c r="P567" s="41">
        <f t="shared" si="32"/>
        <v>0</v>
      </c>
      <c r="Q567" s="41">
        <f t="shared" si="33"/>
        <v>0</v>
      </c>
      <c r="R567" s="41">
        <f t="shared" si="34"/>
        <v>0</v>
      </c>
    </row>
    <row r="568" spans="10:18">
      <c r="J568" s="122">
        <v>44032</v>
      </c>
      <c r="K568" s="123">
        <v>58.097058295221238</v>
      </c>
      <c r="L568" s="123">
        <v>44.235071999999995</v>
      </c>
      <c r="M568" s="124">
        <v>-13.861986295221243</v>
      </c>
      <c r="O568" s="39">
        <f t="shared" si="35"/>
        <v>44256</v>
      </c>
      <c r="P568" s="41">
        <f t="shared" si="32"/>
        <v>0</v>
      </c>
      <c r="Q568" s="41">
        <f t="shared" si="33"/>
        <v>0</v>
      </c>
      <c r="R568" s="41">
        <f t="shared" si="34"/>
        <v>0</v>
      </c>
    </row>
    <row r="569" spans="10:18">
      <c r="J569" s="122">
        <v>44029</v>
      </c>
      <c r="K569" s="123">
        <v>58.097058295221238</v>
      </c>
      <c r="L569" s="123">
        <v>44.570736000000004</v>
      </c>
      <c r="M569" s="124">
        <v>-13.526322295221235</v>
      </c>
      <c r="O569" s="39">
        <f t="shared" si="35"/>
        <v>44255</v>
      </c>
      <c r="P569" s="41">
        <f t="shared" si="32"/>
        <v>0</v>
      </c>
      <c r="Q569" s="41">
        <f t="shared" si="33"/>
        <v>0</v>
      </c>
      <c r="R569" s="41">
        <f t="shared" si="34"/>
        <v>0</v>
      </c>
    </row>
    <row r="570" spans="10:18">
      <c r="J570" s="122">
        <v>44028</v>
      </c>
      <c r="K570" s="123">
        <v>58.140583513327435</v>
      </c>
      <c r="L570" s="123">
        <v>44.507232000000002</v>
      </c>
      <c r="M570" s="124">
        <v>-13.633351513327433</v>
      </c>
      <c r="O570" s="39">
        <f t="shared" si="35"/>
        <v>44254</v>
      </c>
      <c r="P570" s="41">
        <f t="shared" si="32"/>
        <v>0</v>
      </c>
      <c r="Q570" s="41">
        <f t="shared" si="33"/>
        <v>0</v>
      </c>
      <c r="R570" s="41">
        <f t="shared" si="34"/>
        <v>0</v>
      </c>
    </row>
    <row r="571" spans="10:18">
      <c r="J571" s="122">
        <v>44027</v>
      </c>
      <c r="K571" s="123">
        <v>58.140583513327435</v>
      </c>
      <c r="L571" s="123">
        <v>44.706816000000003</v>
      </c>
      <c r="M571" s="124">
        <v>-13.433767513327432</v>
      </c>
      <c r="O571" s="39">
        <f t="shared" si="35"/>
        <v>44253</v>
      </c>
      <c r="P571" s="41">
        <f t="shared" si="32"/>
        <v>0</v>
      </c>
      <c r="Q571" s="41">
        <f t="shared" si="33"/>
        <v>0</v>
      </c>
      <c r="R571" s="41">
        <f t="shared" si="34"/>
        <v>0</v>
      </c>
    </row>
    <row r="572" spans="10:18">
      <c r="J572" s="122">
        <v>44026</v>
      </c>
      <c r="K572" s="123">
        <v>58.140583513327435</v>
      </c>
      <c r="L572" s="123">
        <v>43.373232000000002</v>
      </c>
      <c r="M572" s="124">
        <v>-14.767351513327434</v>
      </c>
      <c r="O572" s="39">
        <f t="shared" si="35"/>
        <v>44252</v>
      </c>
      <c r="P572" s="41">
        <f t="shared" si="32"/>
        <v>0</v>
      </c>
      <c r="Q572" s="41">
        <f t="shared" si="33"/>
        <v>0</v>
      </c>
      <c r="R572" s="41">
        <f t="shared" si="34"/>
        <v>0</v>
      </c>
    </row>
    <row r="573" spans="10:18">
      <c r="J573" s="122">
        <v>44025</v>
      </c>
      <c r="K573" s="123">
        <v>58.140583513327435</v>
      </c>
      <c r="L573" s="123">
        <v>43.962912000000003</v>
      </c>
      <c r="M573" s="124">
        <v>-14.177671513327432</v>
      </c>
      <c r="O573" s="39">
        <f t="shared" si="35"/>
        <v>44251</v>
      </c>
      <c r="P573" s="41">
        <f t="shared" si="32"/>
        <v>0</v>
      </c>
      <c r="Q573" s="41">
        <f t="shared" si="33"/>
        <v>0</v>
      </c>
      <c r="R573" s="41">
        <f t="shared" si="34"/>
        <v>0</v>
      </c>
    </row>
    <row r="574" spans="10:18">
      <c r="J574" s="122">
        <v>44022</v>
      </c>
      <c r="K574" s="123">
        <v>58.140583513327435</v>
      </c>
      <c r="L574" s="123">
        <v>44.071776</v>
      </c>
      <c r="M574" s="124">
        <v>-14.068807513327435</v>
      </c>
      <c r="O574" s="39">
        <f t="shared" si="35"/>
        <v>44250</v>
      </c>
      <c r="P574" s="41">
        <f t="shared" si="32"/>
        <v>0</v>
      </c>
      <c r="Q574" s="41">
        <f t="shared" si="33"/>
        <v>0</v>
      </c>
      <c r="R574" s="41">
        <f t="shared" si="34"/>
        <v>0</v>
      </c>
    </row>
    <row r="575" spans="10:18">
      <c r="J575" s="122">
        <v>44021</v>
      </c>
      <c r="K575" s="123">
        <v>56.076093377171681</v>
      </c>
      <c r="L575" s="123">
        <v>44.643312000000002</v>
      </c>
      <c r="M575" s="124">
        <v>-11.432781377171679</v>
      </c>
      <c r="O575" s="39">
        <f t="shared" si="35"/>
        <v>44249</v>
      </c>
      <c r="P575" s="41">
        <f t="shared" si="32"/>
        <v>0</v>
      </c>
      <c r="Q575" s="41">
        <f t="shared" si="33"/>
        <v>0</v>
      </c>
      <c r="R575" s="41">
        <f t="shared" si="34"/>
        <v>0</v>
      </c>
    </row>
    <row r="576" spans="10:18">
      <c r="J576" s="122">
        <v>44020</v>
      </c>
      <c r="K576" s="123">
        <v>56.076093377171681</v>
      </c>
      <c r="L576" s="123">
        <v>45.450720000000004</v>
      </c>
      <c r="M576" s="124">
        <v>-10.625373377171677</v>
      </c>
      <c r="O576" s="39">
        <f t="shared" si="35"/>
        <v>44248</v>
      </c>
      <c r="P576" s="41">
        <f t="shared" si="32"/>
        <v>0</v>
      </c>
      <c r="Q576" s="41">
        <f t="shared" si="33"/>
        <v>0</v>
      </c>
      <c r="R576" s="41">
        <f t="shared" si="34"/>
        <v>0</v>
      </c>
    </row>
    <row r="577" spans="10:18">
      <c r="J577" s="122">
        <v>44019</v>
      </c>
      <c r="K577" s="123">
        <v>56.076093377171681</v>
      </c>
      <c r="L577" s="123">
        <v>46.158336000000006</v>
      </c>
      <c r="M577" s="124">
        <v>-9.9177573771716752</v>
      </c>
      <c r="O577" s="39">
        <f t="shared" si="35"/>
        <v>44247</v>
      </c>
      <c r="P577" s="41">
        <f t="shared" si="32"/>
        <v>0</v>
      </c>
      <c r="Q577" s="41">
        <f t="shared" si="33"/>
        <v>0</v>
      </c>
      <c r="R577" s="41">
        <f t="shared" si="34"/>
        <v>0</v>
      </c>
    </row>
    <row r="578" spans="10:18">
      <c r="J578" s="122">
        <v>44018</v>
      </c>
      <c r="K578" s="123">
        <v>56.076093377171681</v>
      </c>
      <c r="L578" s="123">
        <v>46.666367999999999</v>
      </c>
      <c r="M578" s="124">
        <v>-9.4097253771716822</v>
      </c>
      <c r="O578" s="39">
        <f t="shared" si="35"/>
        <v>44246</v>
      </c>
      <c r="P578" s="41">
        <f t="shared" si="32"/>
        <v>0</v>
      </c>
      <c r="Q578" s="41">
        <f t="shared" si="33"/>
        <v>0</v>
      </c>
      <c r="R578" s="41">
        <f t="shared" si="34"/>
        <v>0</v>
      </c>
    </row>
    <row r="579" spans="10:18">
      <c r="J579" s="122">
        <v>44015</v>
      </c>
      <c r="K579" s="123">
        <v>56.076093377171681</v>
      </c>
      <c r="L579" s="123">
        <v>46.158336000000006</v>
      </c>
      <c r="M579" s="124">
        <v>-9.9177573771716752</v>
      </c>
      <c r="O579" s="39">
        <f t="shared" si="35"/>
        <v>44245</v>
      </c>
      <c r="P579" s="41">
        <f t="shared" si="32"/>
        <v>0</v>
      </c>
      <c r="Q579" s="41">
        <f t="shared" si="33"/>
        <v>0</v>
      </c>
      <c r="R579" s="41">
        <f t="shared" si="34"/>
        <v>0</v>
      </c>
    </row>
    <row r="580" spans="10:18">
      <c r="J580" s="122">
        <v>44014</v>
      </c>
      <c r="K580" s="123">
        <v>57.382947736725669</v>
      </c>
      <c r="L580" s="123">
        <v>46.684511999999998</v>
      </c>
      <c r="M580" s="124">
        <v>-10.698435736725671</v>
      </c>
      <c r="O580" s="39">
        <f t="shared" si="35"/>
        <v>44244</v>
      </c>
      <c r="P580" s="41">
        <f t="shared" si="32"/>
        <v>0</v>
      </c>
      <c r="Q580" s="41">
        <f t="shared" si="33"/>
        <v>0</v>
      </c>
      <c r="R580" s="41">
        <f t="shared" si="34"/>
        <v>0</v>
      </c>
    </row>
    <row r="581" spans="10:18">
      <c r="J581" s="122">
        <v>44013</v>
      </c>
      <c r="K581" s="123">
        <v>57.382947736725669</v>
      </c>
      <c r="L581" s="123">
        <v>45.976896000000004</v>
      </c>
      <c r="M581" s="124">
        <v>-11.406051736725665</v>
      </c>
      <c r="O581" s="39">
        <f t="shared" si="35"/>
        <v>44243</v>
      </c>
      <c r="P581" s="41">
        <f t="shared" si="32"/>
        <v>0</v>
      </c>
      <c r="Q581" s="41">
        <f t="shared" si="33"/>
        <v>0</v>
      </c>
      <c r="R581" s="41">
        <f t="shared" si="34"/>
        <v>0</v>
      </c>
    </row>
    <row r="582" spans="10:18">
      <c r="J582" s="122">
        <v>44012</v>
      </c>
      <c r="K582" s="123">
        <v>57.382947736725669</v>
      </c>
      <c r="L582" s="123">
        <v>45.976896000000004</v>
      </c>
      <c r="M582" s="124">
        <v>-11.406051736725665</v>
      </c>
      <c r="O582" s="39">
        <f t="shared" si="35"/>
        <v>44242</v>
      </c>
      <c r="P582" s="41">
        <f t="shared" ref="P582:P645" si="36">IFERROR(VLOOKUP($O582,$J$5:$M$403,2,FALSE),P583)</f>
        <v>0</v>
      </c>
      <c r="Q582" s="41">
        <f t="shared" ref="Q582:Q645" si="37">IFERROR(VLOOKUP($O582,$J$5:$M$403,3,FALSE),Q583)</f>
        <v>0</v>
      </c>
      <c r="R582" s="41">
        <f t="shared" ref="R582:R645" si="38">IFERROR(VLOOKUP($O582,$J$5:$M$403,4,FALSE),R583)</f>
        <v>0</v>
      </c>
    </row>
    <row r="583" spans="10:18">
      <c r="J583" s="122">
        <v>44011</v>
      </c>
      <c r="K583" s="123">
        <v>57.382947736725669</v>
      </c>
      <c r="L583" s="123">
        <v>45.232992000000003</v>
      </c>
      <c r="M583" s="124">
        <v>-12.149955736725666</v>
      </c>
      <c r="O583" s="39">
        <f t="shared" ref="O583:O646" si="39">O582-1</f>
        <v>44241</v>
      </c>
      <c r="P583" s="41">
        <f t="shared" si="36"/>
        <v>0</v>
      </c>
      <c r="Q583" s="41">
        <f t="shared" si="37"/>
        <v>0</v>
      </c>
      <c r="R583" s="41">
        <f t="shared" si="38"/>
        <v>0</v>
      </c>
    </row>
    <row r="584" spans="10:18">
      <c r="J584" s="122">
        <v>44008</v>
      </c>
      <c r="K584" s="123">
        <v>57.382947736725669</v>
      </c>
      <c r="L584" s="123">
        <v>44.207856</v>
      </c>
      <c r="M584" s="124">
        <v>-13.175091736725669</v>
      </c>
      <c r="O584" s="39">
        <f t="shared" si="39"/>
        <v>44240</v>
      </c>
      <c r="P584" s="41">
        <f t="shared" si="36"/>
        <v>0</v>
      </c>
      <c r="Q584" s="41">
        <f t="shared" si="37"/>
        <v>0</v>
      </c>
      <c r="R584" s="41">
        <f t="shared" si="38"/>
        <v>0</v>
      </c>
    </row>
    <row r="585" spans="10:18">
      <c r="J585" s="122">
        <v>44007</v>
      </c>
      <c r="K585" s="123">
        <v>57.36271265477523</v>
      </c>
      <c r="L585" s="123">
        <v>42.765408000000001</v>
      </c>
      <c r="M585" s="124">
        <v>-14.597304654775229</v>
      </c>
      <c r="O585" s="39">
        <f t="shared" si="39"/>
        <v>44239</v>
      </c>
      <c r="P585" s="41">
        <f t="shared" si="36"/>
        <v>0</v>
      </c>
      <c r="Q585" s="41">
        <f t="shared" si="37"/>
        <v>0</v>
      </c>
      <c r="R585" s="41">
        <f t="shared" si="38"/>
        <v>0</v>
      </c>
    </row>
    <row r="586" spans="10:18">
      <c r="J586" s="122">
        <v>44006</v>
      </c>
      <c r="K586" s="123">
        <v>57.36271265477523</v>
      </c>
      <c r="L586" s="123">
        <v>43.110144000000005</v>
      </c>
      <c r="M586" s="124">
        <v>-14.252568654775224</v>
      </c>
      <c r="O586" s="39">
        <f t="shared" si="39"/>
        <v>44238</v>
      </c>
      <c r="P586" s="41">
        <f t="shared" si="36"/>
        <v>0</v>
      </c>
      <c r="Q586" s="41">
        <f t="shared" si="37"/>
        <v>0</v>
      </c>
      <c r="R586" s="41">
        <f t="shared" si="38"/>
        <v>0</v>
      </c>
    </row>
    <row r="587" spans="10:18">
      <c r="J587" s="122">
        <v>44005</v>
      </c>
      <c r="K587" s="123">
        <v>57.36271265477523</v>
      </c>
      <c r="L587" s="123">
        <v>42.075936000000006</v>
      </c>
      <c r="M587" s="124">
        <v>-15.286776654775224</v>
      </c>
      <c r="O587" s="39">
        <f t="shared" si="39"/>
        <v>44237</v>
      </c>
      <c r="P587" s="41">
        <f t="shared" si="36"/>
        <v>0</v>
      </c>
      <c r="Q587" s="41">
        <f t="shared" si="37"/>
        <v>0</v>
      </c>
      <c r="R587" s="41">
        <f t="shared" si="38"/>
        <v>0</v>
      </c>
    </row>
    <row r="588" spans="10:18">
      <c r="J588" s="122">
        <v>44004</v>
      </c>
      <c r="K588" s="123">
        <v>57.36271265477523</v>
      </c>
      <c r="L588" s="123">
        <v>40.216175999999997</v>
      </c>
      <c r="M588" s="124">
        <v>-17.146536654775232</v>
      </c>
      <c r="O588" s="39">
        <f t="shared" si="39"/>
        <v>44236</v>
      </c>
      <c r="P588" s="41">
        <f t="shared" si="36"/>
        <v>0</v>
      </c>
      <c r="Q588" s="41">
        <f t="shared" si="37"/>
        <v>0</v>
      </c>
      <c r="R588" s="41">
        <f t="shared" si="38"/>
        <v>0</v>
      </c>
    </row>
    <row r="589" spans="10:18">
      <c r="J589" s="122">
        <v>44001</v>
      </c>
      <c r="K589" s="123">
        <v>57.36271265477523</v>
      </c>
      <c r="L589" s="123">
        <v>40.842144000000005</v>
      </c>
      <c r="M589" s="124">
        <v>-16.520568654775225</v>
      </c>
      <c r="O589" s="39">
        <f t="shared" si="39"/>
        <v>44235</v>
      </c>
      <c r="P589" s="41">
        <f t="shared" si="36"/>
        <v>0</v>
      </c>
      <c r="Q589" s="41">
        <f t="shared" si="37"/>
        <v>0</v>
      </c>
      <c r="R589" s="41">
        <f t="shared" si="38"/>
        <v>0</v>
      </c>
    </row>
    <row r="590" spans="10:18">
      <c r="J590" s="122">
        <v>44000</v>
      </c>
      <c r="K590" s="123">
        <v>53.213497300513282</v>
      </c>
      <c r="L590" s="123">
        <v>40.306896000000002</v>
      </c>
      <c r="M590" s="124">
        <v>-12.90660130051328</v>
      </c>
      <c r="O590" s="39">
        <f t="shared" si="39"/>
        <v>44234</v>
      </c>
      <c r="P590" s="41">
        <f t="shared" si="36"/>
        <v>0</v>
      </c>
      <c r="Q590" s="41">
        <f t="shared" si="37"/>
        <v>0</v>
      </c>
      <c r="R590" s="41">
        <f t="shared" si="38"/>
        <v>0</v>
      </c>
    </row>
    <row r="591" spans="10:18">
      <c r="J591" s="122">
        <v>43999</v>
      </c>
      <c r="K591" s="123">
        <v>53.213497300513282</v>
      </c>
      <c r="L591" s="123">
        <v>39.463200000000001</v>
      </c>
      <c r="M591" s="124">
        <v>-13.750297300513282</v>
      </c>
      <c r="O591" s="39">
        <f t="shared" si="39"/>
        <v>44233</v>
      </c>
      <c r="P591" s="41">
        <f t="shared" si="36"/>
        <v>0</v>
      </c>
      <c r="Q591" s="41">
        <f t="shared" si="37"/>
        <v>0</v>
      </c>
      <c r="R591" s="41">
        <f t="shared" si="38"/>
        <v>0</v>
      </c>
    </row>
    <row r="592" spans="10:18">
      <c r="J592" s="122">
        <v>43998</v>
      </c>
      <c r="K592" s="123">
        <v>53.213497300513282</v>
      </c>
      <c r="L592" s="123">
        <v>41.205024000000002</v>
      </c>
      <c r="M592" s="124">
        <v>-12.00847330051328</v>
      </c>
      <c r="O592" s="39">
        <f t="shared" si="39"/>
        <v>44232</v>
      </c>
      <c r="P592" s="41">
        <f t="shared" si="36"/>
        <v>0</v>
      </c>
      <c r="Q592" s="41">
        <f t="shared" si="37"/>
        <v>0</v>
      </c>
      <c r="R592" s="41">
        <f t="shared" si="38"/>
        <v>0</v>
      </c>
    </row>
    <row r="593" spans="10:18">
      <c r="J593" s="122">
        <v>43997</v>
      </c>
      <c r="K593" s="123">
        <v>53.213497300513282</v>
      </c>
      <c r="L593" s="123">
        <v>40.651631999999999</v>
      </c>
      <c r="M593" s="124">
        <v>-12.561865300513283</v>
      </c>
      <c r="O593" s="39">
        <f t="shared" si="39"/>
        <v>44231</v>
      </c>
      <c r="P593" s="41">
        <f t="shared" si="36"/>
        <v>0</v>
      </c>
      <c r="Q593" s="41">
        <f t="shared" si="37"/>
        <v>0</v>
      </c>
      <c r="R593" s="41">
        <f t="shared" si="38"/>
        <v>0</v>
      </c>
    </row>
    <row r="594" spans="10:18">
      <c r="J594" s="122">
        <v>43994</v>
      </c>
      <c r="K594" s="123">
        <v>53.213497300513282</v>
      </c>
      <c r="L594" s="123">
        <v>40.297823999999999</v>
      </c>
      <c r="M594" s="124">
        <v>-12.915673300513284</v>
      </c>
      <c r="O594" s="39">
        <f t="shared" si="39"/>
        <v>44230</v>
      </c>
      <c r="P594" s="41">
        <f t="shared" si="36"/>
        <v>0</v>
      </c>
      <c r="Q594" s="41">
        <f t="shared" si="37"/>
        <v>0</v>
      </c>
      <c r="R594" s="41">
        <f t="shared" si="38"/>
        <v>0</v>
      </c>
    </row>
    <row r="595" spans="10:18">
      <c r="J595" s="122">
        <v>43993</v>
      </c>
      <c r="K595" s="123">
        <v>53.087223213270796</v>
      </c>
      <c r="L595" s="123">
        <v>39.426912000000002</v>
      </c>
      <c r="M595" s="124">
        <v>-13.660311213270795</v>
      </c>
      <c r="O595" s="39">
        <f t="shared" si="39"/>
        <v>44229</v>
      </c>
      <c r="P595" s="41">
        <f t="shared" si="36"/>
        <v>0</v>
      </c>
      <c r="Q595" s="41">
        <f t="shared" si="37"/>
        <v>0</v>
      </c>
      <c r="R595" s="41">
        <f t="shared" si="38"/>
        <v>0</v>
      </c>
    </row>
    <row r="596" spans="10:18">
      <c r="J596" s="122">
        <v>43992</v>
      </c>
      <c r="K596" s="123">
        <v>53.087223213270796</v>
      </c>
      <c r="L596" s="123">
        <v>40.515552</v>
      </c>
      <c r="M596" s="124">
        <v>-12.571671213270797</v>
      </c>
      <c r="O596" s="39">
        <f t="shared" si="39"/>
        <v>44228</v>
      </c>
      <c r="P596" s="41">
        <f t="shared" si="36"/>
        <v>0</v>
      </c>
      <c r="Q596" s="41">
        <f t="shared" si="37"/>
        <v>0</v>
      </c>
      <c r="R596" s="41">
        <f t="shared" si="38"/>
        <v>0</v>
      </c>
    </row>
    <row r="597" spans="10:18">
      <c r="J597" s="122">
        <v>43991</v>
      </c>
      <c r="K597" s="123">
        <v>53.087223213270796</v>
      </c>
      <c r="L597" s="123">
        <v>41.422751999999996</v>
      </c>
      <c r="M597" s="124">
        <v>-11.664471213270801</v>
      </c>
      <c r="O597" s="39">
        <f t="shared" si="39"/>
        <v>44227</v>
      </c>
      <c r="P597" s="41">
        <f t="shared" si="36"/>
        <v>0</v>
      </c>
      <c r="Q597" s="41">
        <f t="shared" si="37"/>
        <v>0</v>
      </c>
      <c r="R597" s="41">
        <f t="shared" si="38"/>
        <v>0</v>
      </c>
    </row>
    <row r="598" spans="10:18">
      <c r="J598" s="122">
        <v>43990</v>
      </c>
      <c r="K598" s="123">
        <v>53.087223213270796</v>
      </c>
      <c r="L598" s="123">
        <v>42.012432000000004</v>
      </c>
      <c r="M598" s="124">
        <v>-11.074791213270792</v>
      </c>
      <c r="O598" s="39">
        <f t="shared" si="39"/>
        <v>44226</v>
      </c>
      <c r="P598" s="41">
        <f t="shared" si="36"/>
        <v>0</v>
      </c>
      <c r="Q598" s="41">
        <f t="shared" si="37"/>
        <v>0</v>
      </c>
      <c r="R598" s="41">
        <f t="shared" si="38"/>
        <v>0</v>
      </c>
    </row>
    <row r="599" spans="10:18">
      <c r="J599" s="122">
        <v>43987</v>
      </c>
      <c r="K599" s="123">
        <v>53.087223213270796</v>
      </c>
      <c r="L599" s="123">
        <v>41.921711999999999</v>
      </c>
      <c r="M599" s="124">
        <v>-11.165511213270797</v>
      </c>
      <c r="O599" s="39">
        <f t="shared" si="39"/>
        <v>44225</v>
      </c>
      <c r="P599" s="41">
        <f t="shared" si="36"/>
        <v>0</v>
      </c>
      <c r="Q599" s="41">
        <f t="shared" si="37"/>
        <v>0</v>
      </c>
      <c r="R599" s="41">
        <f t="shared" si="38"/>
        <v>0</v>
      </c>
    </row>
    <row r="600" spans="10:18">
      <c r="J600" s="122">
        <v>43986</v>
      </c>
      <c r="K600" s="123">
        <v>53.600887708980537</v>
      </c>
      <c r="L600" s="123">
        <v>41.894495999999997</v>
      </c>
      <c r="M600" s="124">
        <v>-11.70639170898054</v>
      </c>
      <c r="O600" s="39">
        <f t="shared" si="39"/>
        <v>44224</v>
      </c>
      <c r="P600" s="41">
        <f t="shared" si="36"/>
        <v>0</v>
      </c>
      <c r="Q600" s="41">
        <f t="shared" si="37"/>
        <v>0</v>
      </c>
      <c r="R600" s="41">
        <f t="shared" si="38"/>
        <v>0</v>
      </c>
    </row>
    <row r="601" spans="10:18">
      <c r="J601" s="122">
        <v>43985</v>
      </c>
      <c r="K601" s="123">
        <v>53.600887708980537</v>
      </c>
      <c r="L601" s="123">
        <v>43.491167999999995</v>
      </c>
      <c r="M601" s="124">
        <v>-10.109719708980542</v>
      </c>
      <c r="O601" s="39">
        <f t="shared" si="39"/>
        <v>44223</v>
      </c>
      <c r="P601" s="41">
        <f t="shared" si="36"/>
        <v>0</v>
      </c>
      <c r="Q601" s="41">
        <f t="shared" si="37"/>
        <v>0</v>
      </c>
      <c r="R601" s="41">
        <f t="shared" si="38"/>
        <v>0</v>
      </c>
    </row>
    <row r="602" spans="10:18">
      <c r="J602" s="122">
        <v>43984</v>
      </c>
      <c r="K602" s="123">
        <v>53.600887708980537</v>
      </c>
      <c r="L602" s="123">
        <v>42.202944000000002</v>
      </c>
      <c r="M602" s="124">
        <v>-11.397943708980534</v>
      </c>
      <c r="O602" s="39">
        <f t="shared" si="39"/>
        <v>44222</v>
      </c>
      <c r="P602" s="41">
        <f t="shared" si="36"/>
        <v>0</v>
      </c>
      <c r="Q602" s="41">
        <f t="shared" si="37"/>
        <v>0</v>
      </c>
      <c r="R602" s="41">
        <f t="shared" si="38"/>
        <v>0</v>
      </c>
    </row>
    <row r="603" spans="10:18">
      <c r="J603" s="122">
        <v>43983</v>
      </c>
      <c r="K603" s="123">
        <v>53.600887708980537</v>
      </c>
      <c r="L603" s="123">
        <v>39.009599999999999</v>
      </c>
      <c r="M603" s="124">
        <v>-14.591287708980538</v>
      </c>
      <c r="O603" s="39">
        <f t="shared" si="39"/>
        <v>44221</v>
      </c>
      <c r="P603" s="41">
        <f t="shared" si="36"/>
        <v>0</v>
      </c>
      <c r="Q603" s="41">
        <f t="shared" si="37"/>
        <v>0</v>
      </c>
      <c r="R603" s="41">
        <f t="shared" si="38"/>
        <v>0</v>
      </c>
    </row>
    <row r="604" spans="10:18">
      <c r="J604" s="122">
        <v>43980</v>
      </c>
      <c r="K604" s="123">
        <v>54.767975011040704</v>
      </c>
      <c r="L604" s="123">
        <v>34.754832</v>
      </c>
      <c r="M604" s="124">
        <v>-20.013143011040704</v>
      </c>
      <c r="O604" s="39">
        <f t="shared" si="39"/>
        <v>44220</v>
      </c>
      <c r="P604" s="41">
        <f t="shared" si="36"/>
        <v>0</v>
      </c>
      <c r="Q604" s="41">
        <f t="shared" si="37"/>
        <v>0</v>
      </c>
      <c r="R604" s="41">
        <f t="shared" si="38"/>
        <v>0</v>
      </c>
    </row>
    <row r="605" spans="10:18">
      <c r="J605" s="122">
        <v>43979</v>
      </c>
      <c r="K605" s="123">
        <v>54.162967258895584</v>
      </c>
      <c r="L605" s="123">
        <v>34.274016000000003</v>
      </c>
      <c r="M605" s="124">
        <v>-19.888951258895581</v>
      </c>
      <c r="O605" s="39">
        <f t="shared" si="39"/>
        <v>44219</v>
      </c>
      <c r="P605" s="41">
        <f t="shared" si="36"/>
        <v>0</v>
      </c>
      <c r="Q605" s="41">
        <f t="shared" si="37"/>
        <v>0</v>
      </c>
      <c r="R605" s="41">
        <f t="shared" si="38"/>
        <v>0</v>
      </c>
    </row>
    <row r="606" spans="10:18">
      <c r="J606" s="122">
        <v>43978</v>
      </c>
      <c r="K606" s="123">
        <v>54.162967258895584</v>
      </c>
      <c r="L606" s="123">
        <v>34.754832</v>
      </c>
      <c r="M606" s="124">
        <v>-19.408135258895584</v>
      </c>
      <c r="O606" s="39">
        <f t="shared" si="39"/>
        <v>44218</v>
      </c>
      <c r="P606" s="41">
        <f t="shared" si="36"/>
        <v>0</v>
      </c>
      <c r="Q606" s="41">
        <f t="shared" si="37"/>
        <v>0</v>
      </c>
      <c r="R606" s="41">
        <f t="shared" si="38"/>
        <v>0</v>
      </c>
    </row>
    <row r="607" spans="10:18">
      <c r="J607" s="122">
        <v>43977</v>
      </c>
      <c r="K607" s="123">
        <v>54.162967258895584</v>
      </c>
      <c r="L607" s="123">
        <v>35.344512000000002</v>
      </c>
      <c r="M607" s="124">
        <v>-18.818455258895582</v>
      </c>
      <c r="O607" s="39">
        <f t="shared" si="39"/>
        <v>44217</v>
      </c>
      <c r="P607" s="41">
        <f t="shared" si="36"/>
        <v>0</v>
      </c>
      <c r="Q607" s="41">
        <f t="shared" si="37"/>
        <v>0</v>
      </c>
      <c r="R607" s="41">
        <f t="shared" si="38"/>
        <v>0</v>
      </c>
    </row>
    <row r="608" spans="10:18">
      <c r="J608" s="122">
        <v>43976</v>
      </c>
      <c r="K608" s="123">
        <v>54.162967258895584</v>
      </c>
      <c r="L608" s="123">
        <v>35.489663999999998</v>
      </c>
      <c r="M608" s="124">
        <v>-18.673303258895587</v>
      </c>
      <c r="O608" s="39">
        <f t="shared" si="39"/>
        <v>44216</v>
      </c>
      <c r="P608" s="41">
        <f t="shared" si="36"/>
        <v>0</v>
      </c>
      <c r="Q608" s="41">
        <f t="shared" si="37"/>
        <v>0</v>
      </c>
      <c r="R608" s="41">
        <f t="shared" si="38"/>
        <v>0</v>
      </c>
    </row>
    <row r="609" spans="10:18">
      <c r="J609" s="122">
        <v>43973</v>
      </c>
      <c r="K609" s="123">
        <v>54.162967258895584</v>
      </c>
      <c r="L609" s="123">
        <v>35.489663999999998</v>
      </c>
      <c r="M609" s="124">
        <v>-18.673303258895587</v>
      </c>
      <c r="O609" s="39">
        <f t="shared" si="39"/>
        <v>44215</v>
      </c>
      <c r="P609" s="41">
        <f t="shared" si="36"/>
        <v>0</v>
      </c>
      <c r="Q609" s="41">
        <f t="shared" si="37"/>
        <v>0</v>
      </c>
      <c r="R609" s="41">
        <f t="shared" si="38"/>
        <v>0</v>
      </c>
    </row>
    <row r="610" spans="10:18">
      <c r="J610" s="122">
        <v>43972</v>
      </c>
      <c r="K610" s="123">
        <v>54.524618239730977</v>
      </c>
      <c r="L610" s="123">
        <v>35.78904</v>
      </c>
      <c r="M610" s="124">
        <v>-18.735578239730977</v>
      </c>
      <c r="O610" s="39">
        <f t="shared" si="39"/>
        <v>44214</v>
      </c>
      <c r="P610" s="41">
        <f t="shared" si="36"/>
        <v>0</v>
      </c>
      <c r="Q610" s="41">
        <f t="shared" si="37"/>
        <v>0</v>
      </c>
      <c r="R610" s="41">
        <f t="shared" si="38"/>
        <v>0</v>
      </c>
    </row>
    <row r="611" spans="10:18">
      <c r="J611" s="122">
        <v>43971</v>
      </c>
      <c r="K611" s="123">
        <v>54.524618239730977</v>
      </c>
      <c r="L611" s="123">
        <v>35.017920000000004</v>
      </c>
      <c r="M611" s="124">
        <v>-19.506698239730973</v>
      </c>
      <c r="O611" s="39">
        <f t="shared" si="39"/>
        <v>44213</v>
      </c>
      <c r="P611" s="41">
        <f t="shared" si="36"/>
        <v>0</v>
      </c>
      <c r="Q611" s="41">
        <f t="shared" si="37"/>
        <v>0</v>
      </c>
      <c r="R611" s="41">
        <f t="shared" si="38"/>
        <v>0</v>
      </c>
    </row>
    <row r="612" spans="10:18">
      <c r="J612" s="122">
        <v>43970</v>
      </c>
      <c r="K612" s="123">
        <v>54.524618239730977</v>
      </c>
      <c r="L612" s="123">
        <v>35.199359999999999</v>
      </c>
      <c r="M612" s="124">
        <v>-19.325258239730978</v>
      </c>
      <c r="O612" s="39">
        <f t="shared" si="39"/>
        <v>44212</v>
      </c>
      <c r="P612" s="41">
        <f t="shared" si="36"/>
        <v>0</v>
      </c>
      <c r="Q612" s="41">
        <f t="shared" si="37"/>
        <v>0</v>
      </c>
      <c r="R612" s="41">
        <f t="shared" si="38"/>
        <v>0</v>
      </c>
    </row>
    <row r="613" spans="10:18">
      <c r="J613" s="122">
        <v>43969</v>
      </c>
      <c r="K613" s="123">
        <v>54.524618239730977</v>
      </c>
      <c r="L613" s="123">
        <v>34.455455999999998</v>
      </c>
      <c r="M613" s="124">
        <v>-20.069162239730979</v>
      </c>
      <c r="O613" s="39">
        <f t="shared" si="39"/>
        <v>44211</v>
      </c>
      <c r="P613" s="41">
        <f t="shared" si="36"/>
        <v>0</v>
      </c>
      <c r="Q613" s="41">
        <f t="shared" si="37"/>
        <v>0</v>
      </c>
      <c r="R613" s="41">
        <f t="shared" si="38"/>
        <v>0</v>
      </c>
    </row>
    <row r="614" spans="10:18">
      <c r="J614" s="122">
        <v>43966</v>
      </c>
      <c r="K614" s="123">
        <v>54.524618239730977</v>
      </c>
      <c r="L614" s="123">
        <v>34.999775999999997</v>
      </c>
      <c r="M614" s="124">
        <v>-19.52484223973098</v>
      </c>
      <c r="O614" s="39">
        <f t="shared" si="39"/>
        <v>44210</v>
      </c>
      <c r="P614" s="41">
        <f t="shared" si="36"/>
        <v>0</v>
      </c>
      <c r="Q614" s="41">
        <f t="shared" si="37"/>
        <v>0</v>
      </c>
      <c r="R614" s="41">
        <f t="shared" si="38"/>
        <v>0</v>
      </c>
    </row>
    <row r="615" spans="10:18">
      <c r="J615" s="122">
        <v>43965</v>
      </c>
      <c r="K615" s="123">
        <v>55.15965823973098</v>
      </c>
      <c r="L615" s="123">
        <v>34.437311999999999</v>
      </c>
      <c r="M615" s="124">
        <v>-20.722346239730982</v>
      </c>
      <c r="O615" s="39">
        <f t="shared" si="39"/>
        <v>44209</v>
      </c>
      <c r="P615" s="41">
        <f t="shared" si="36"/>
        <v>0</v>
      </c>
      <c r="Q615" s="41">
        <f t="shared" si="37"/>
        <v>0</v>
      </c>
      <c r="R615" s="41">
        <f t="shared" si="38"/>
        <v>0</v>
      </c>
    </row>
    <row r="616" spans="10:18">
      <c r="J616" s="122">
        <v>43964</v>
      </c>
      <c r="K616" s="123">
        <v>55.15965823973098</v>
      </c>
      <c r="L616" s="123">
        <v>34.482672000000001</v>
      </c>
      <c r="M616" s="124">
        <v>-20.676986239730979</v>
      </c>
      <c r="O616" s="39">
        <f t="shared" si="39"/>
        <v>44208</v>
      </c>
      <c r="P616" s="41">
        <f t="shared" si="36"/>
        <v>0</v>
      </c>
      <c r="Q616" s="41">
        <f t="shared" si="37"/>
        <v>0</v>
      </c>
      <c r="R616" s="41">
        <f t="shared" si="38"/>
        <v>0</v>
      </c>
    </row>
    <row r="617" spans="10:18">
      <c r="J617" s="122">
        <v>43963</v>
      </c>
      <c r="K617" s="123">
        <v>55.15965823973098</v>
      </c>
      <c r="L617" s="123">
        <v>34.700400000000002</v>
      </c>
      <c r="M617" s="124">
        <v>-20.459258239730978</v>
      </c>
      <c r="O617" s="39">
        <f t="shared" si="39"/>
        <v>44207</v>
      </c>
      <c r="P617" s="41">
        <f t="shared" si="36"/>
        <v>0</v>
      </c>
      <c r="Q617" s="41">
        <f t="shared" si="37"/>
        <v>0</v>
      </c>
      <c r="R617" s="41">
        <f t="shared" si="38"/>
        <v>0</v>
      </c>
    </row>
    <row r="618" spans="10:18">
      <c r="J618" s="122">
        <v>43962</v>
      </c>
      <c r="K618" s="123">
        <v>55.15965823973098</v>
      </c>
      <c r="L618" s="123">
        <v>34.890912</v>
      </c>
      <c r="M618" s="124">
        <v>-20.26874623973098</v>
      </c>
      <c r="O618" s="39">
        <f t="shared" si="39"/>
        <v>44206</v>
      </c>
      <c r="P618" s="41">
        <f t="shared" si="36"/>
        <v>0</v>
      </c>
      <c r="Q618" s="41">
        <f t="shared" si="37"/>
        <v>0</v>
      </c>
      <c r="R618" s="41">
        <f t="shared" si="38"/>
        <v>0</v>
      </c>
    </row>
    <row r="619" spans="10:18">
      <c r="J619" s="122">
        <v>43959</v>
      </c>
      <c r="K619" s="123">
        <v>55.15965823973098</v>
      </c>
      <c r="L619" s="123">
        <v>35.181215999999999</v>
      </c>
      <c r="M619" s="124">
        <v>-19.978442239730981</v>
      </c>
      <c r="O619" s="39">
        <f t="shared" si="39"/>
        <v>44205</v>
      </c>
      <c r="P619" s="41">
        <f t="shared" si="36"/>
        <v>0</v>
      </c>
      <c r="Q619" s="41">
        <f t="shared" si="37"/>
        <v>0</v>
      </c>
      <c r="R619" s="41">
        <f t="shared" si="38"/>
        <v>0</v>
      </c>
    </row>
    <row r="620" spans="10:18">
      <c r="J620" s="122">
        <v>43958</v>
      </c>
      <c r="K620" s="123">
        <v>55.827188525915048</v>
      </c>
      <c r="L620" s="123">
        <v>35.181215999999999</v>
      </c>
      <c r="M620" s="124">
        <v>-20.645972525915049</v>
      </c>
      <c r="O620" s="39">
        <f t="shared" si="39"/>
        <v>44204</v>
      </c>
      <c r="P620" s="41">
        <f t="shared" si="36"/>
        <v>0</v>
      </c>
      <c r="Q620" s="41">
        <f t="shared" si="37"/>
        <v>0</v>
      </c>
      <c r="R620" s="41">
        <f t="shared" si="38"/>
        <v>0</v>
      </c>
    </row>
    <row r="621" spans="10:18">
      <c r="J621" s="122">
        <v>43957</v>
      </c>
      <c r="K621" s="123">
        <v>55.827188525915048</v>
      </c>
      <c r="L621" s="123">
        <v>36.251711999999998</v>
      </c>
      <c r="M621" s="124">
        <v>-19.57547652591505</v>
      </c>
      <c r="O621" s="39">
        <f t="shared" si="39"/>
        <v>44203</v>
      </c>
      <c r="P621" s="41">
        <f t="shared" si="36"/>
        <v>0</v>
      </c>
      <c r="Q621" s="41">
        <f t="shared" si="37"/>
        <v>0</v>
      </c>
      <c r="R621" s="41">
        <f t="shared" si="38"/>
        <v>0</v>
      </c>
    </row>
    <row r="622" spans="10:18">
      <c r="J622" s="122">
        <v>43956</v>
      </c>
      <c r="K622" s="123">
        <v>55.827188525915048</v>
      </c>
      <c r="L622" s="123">
        <v>35.689248000000006</v>
      </c>
      <c r="M622" s="124">
        <v>-20.137940525915042</v>
      </c>
      <c r="O622" s="39">
        <f t="shared" si="39"/>
        <v>44202</v>
      </c>
      <c r="P622" s="41">
        <f t="shared" si="36"/>
        <v>0</v>
      </c>
      <c r="Q622" s="41">
        <f t="shared" si="37"/>
        <v>0</v>
      </c>
      <c r="R622" s="41">
        <f t="shared" si="38"/>
        <v>0</v>
      </c>
    </row>
    <row r="623" spans="10:18">
      <c r="J623" s="122">
        <v>43955</v>
      </c>
      <c r="K623" s="123">
        <v>55.827188525915048</v>
      </c>
      <c r="L623" s="123">
        <v>35.580384000000002</v>
      </c>
      <c r="M623" s="124">
        <v>-20.246804525915046</v>
      </c>
      <c r="O623" s="39">
        <f t="shared" si="39"/>
        <v>44201</v>
      </c>
      <c r="P623" s="41">
        <f t="shared" si="36"/>
        <v>0</v>
      </c>
      <c r="Q623" s="41">
        <f t="shared" si="37"/>
        <v>0</v>
      </c>
      <c r="R623" s="41">
        <f t="shared" si="38"/>
        <v>0</v>
      </c>
    </row>
    <row r="624" spans="10:18">
      <c r="J624" s="122">
        <v>43952</v>
      </c>
      <c r="K624" s="123">
        <v>55.827188525915048</v>
      </c>
      <c r="L624" s="123">
        <v>35.643887999999997</v>
      </c>
      <c r="M624" s="124">
        <v>-20.183300525915051</v>
      </c>
      <c r="O624" s="39">
        <f t="shared" si="39"/>
        <v>44200</v>
      </c>
      <c r="P624" s="41">
        <f t="shared" si="36"/>
        <v>0</v>
      </c>
      <c r="Q624" s="41">
        <f t="shared" si="37"/>
        <v>0</v>
      </c>
      <c r="R624" s="41">
        <f t="shared" si="38"/>
        <v>0</v>
      </c>
    </row>
    <row r="625" spans="10:18">
      <c r="J625" s="122">
        <v>43951</v>
      </c>
      <c r="K625" s="123">
        <v>56.981414861012396</v>
      </c>
      <c r="L625" s="123">
        <v>34.963487999999998</v>
      </c>
      <c r="M625" s="124">
        <v>-22.017926861012398</v>
      </c>
      <c r="O625" s="39">
        <f t="shared" si="39"/>
        <v>44199</v>
      </c>
      <c r="P625" s="41">
        <f t="shared" si="36"/>
        <v>0</v>
      </c>
      <c r="Q625" s="41">
        <f t="shared" si="37"/>
        <v>0</v>
      </c>
      <c r="R625" s="41">
        <f t="shared" si="38"/>
        <v>0</v>
      </c>
    </row>
    <row r="626" spans="10:18">
      <c r="J626" s="122">
        <v>43950</v>
      </c>
      <c r="K626" s="123">
        <v>56.981414861012396</v>
      </c>
      <c r="L626" s="123">
        <v>34.147008</v>
      </c>
      <c r="M626" s="124">
        <v>-22.834406861012397</v>
      </c>
      <c r="O626" s="39">
        <f t="shared" si="39"/>
        <v>44198</v>
      </c>
      <c r="P626" s="41">
        <f t="shared" si="36"/>
        <v>0</v>
      </c>
      <c r="Q626" s="41">
        <f t="shared" si="37"/>
        <v>0</v>
      </c>
      <c r="R626" s="41">
        <f t="shared" si="38"/>
        <v>0</v>
      </c>
    </row>
    <row r="627" spans="10:18">
      <c r="J627" s="122">
        <v>43949</v>
      </c>
      <c r="K627" s="123">
        <v>56.981414861012396</v>
      </c>
      <c r="L627" s="123">
        <v>33.747840000000004</v>
      </c>
      <c r="M627" s="124">
        <v>-23.233574861012393</v>
      </c>
      <c r="O627" s="39">
        <f t="shared" si="39"/>
        <v>44197</v>
      </c>
      <c r="P627" s="41">
        <f t="shared" si="36"/>
        <v>0</v>
      </c>
      <c r="Q627" s="41">
        <f t="shared" si="37"/>
        <v>0</v>
      </c>
      <c r="R627" s="41">
        <f t="shared" si="38"/>
        <v>0</v>
      </c>
    </row>
    <row r="628" spans="10:18">
      <c r="J628" s="122">
        <v>43948</v>
      </c>
      <c r="K628" s="123">
        <v>56.981414861012396</v>
      </c>
      <c r="L628" s="123">
        <v>35.063279999999999</v>
      </c>
      <c r="M628" s="124">
        <v>-21.918134861012398</v>
      </c>
      <c r="O628" s="39">
        <f t="shared" si="39"/>
        <v>44196</v>
      </c>
      <c r="P628" s="41">
        <f t="shared" si="36"/>
        <v>0</v>
      </c>
      <c r="Q628" s="41">
        <f t="shared" si="37"/>
        <v>0</v>
      </c>
      <c r="R628" s="41">
        <f t="shared" si="38"/>
        <v>0</v>
      </c>
    </row>
    <row r="629" spans="10:18">
      <c r="J629" s="122">
        <v>43945</v>
      </c>
      <c r="K629" s="123">
        <v>56.981414861012396</v>
      </c>
      <c r="L629" s="123">
        <v>35.816255999999996</v>
      </c>
      <c r="M629" s="124">
        <v>-21.165158861012401</v>
      </c>
      <c r="O629" s="39">
        <f t="shared" si="39"/>
        <v>44195</v>
      </c>
      <c r="P629" s="41">
        <f t="shared" si="36"/>
        <v>0</v>
      </c>
      <c r="Q629" s="41">
        <f t="shared" si="37"/>
        <v>0</v>
      </c>
      <c r="R629" s="41">
        <f t="shared" si="38"/>
        <v>0</v>
      </c>
    </row>
    <row r="630" spans="10:18">
      <c r="J630" s="122">
        <v>43944</v>
      </c>
      <c r="K630" s="123">
        <v>57.95113739505134</v>
      </c>
      <c r="L630" s="123">
        <v>36.197279999999999</v>
      </c>
      <c r="M630" s="124">
        <v>-21.753857395051341</v>
      </c>
      <c r="O630" s="39">
        <f t="shared" si="39"/>
        <v>44194</v>
      </c>
      <c r="P630" s="41">
        <f t="shared" si="36"/>
        <v>0</v>
      </c>
      <c r="Q630" s="41">
        <f t="shared" si="37"/>
        <v>0</v>
      </c>
      <c r="R630" s="41">
        <f t="shared" si="38"/>
        <v>0</v>
      </c>
    </row>
    <row r="631" spans="10:18">
      <c r="J631" s="122">
        <v>43943</v>
      </c>
      <c r="K631" s="123">
        <v>57.95113739505134</v>
      </c>
      <c r="L631" s="123">
        <v>37.031903999999997</v>
      </c>
      <c r="M631" s="124">
        <v>-20.919233395051343</v>
      </c>
      <c r="O631" s="39">
        <f t="shared" si="39"/>
        <v>44193</v>
      </c>
      <c r="P631" s="41">
        <f t="shared" si="36"/>
        <v>0</v>
      </c>
      <c r="Q631" s="41">
        <f t="shared" si="37"/>
        <v>0</v>
      </c>
      <c r="R631" s="41">
        <f t="shared" si="38"/>
        <v>0</v>
      </c>
    </row>
    <row r="632" spans="10:18">
      <c r="J632" s="122">
        <v>43942</v>
      </c>
      <c r="K632" s="123">
        <v>57.95113739505134</v>
      </c>
      <c r="L632" s="123">
        <v>38.301983999999997</v>
      </c>
      <c r="M632" s="124">
        <v>-19.649153395051343</v>
      </c>
      <c r="O632" s="39">
        <f t="shared" si="39"/>
        <v>44192</v>
      </c>
      <c r="P632" s="41">
        <f t="shared" si="36"/>
        <v>0</v>
      </c>
      <c r="Q632" s="41">
        <f t="shared" si="37"/>
        <v>0</v>
      </c>
      <c r="R632" s="41">
        <f t="shared" si="38"/>
        <v>0</v>
      </c>
    </row>
    <row r="633" spans="10:18">
      <c r="J633" s="122">
        <v>43941</v>
      </c>
      <c r="K633" s="123">
        <v>57.95113739505134</v>
      </c>
      <c r="L633" s="123">
        <v>40.515552</v>
      </c>
      <c r="M633" s="124">
        <v>-17.435585395051341</v>
      </c>
      <c r="O633" s="39">
        <f t="shared" si="39"/>
        <v>44191</v>
      </c>
      <c r="P633" s="41">
        <f t="shared" si="36"/>
        <v>0</v>
      </c>
      <c r="Q633" s="41">
        <f t="shared" si="37"/>
        <v>0</v>
      </c>
      <c r="R633" s="41">
        <f t="shared" si="38"/>
        <v>0</v>
      </c>
    </row>
    <row r="634" spans="10:18">
      <c r="J634" s="122">
        <v>43938</v>
      </c>
      <c r="K634" s="123">
        <v>57.95113739505134</v>
      </c>
      <c r="L634" s="123">
        <v>40.551840000000006</v>
      </c>
      <c r="M634" s="124">
        <v>-17.399297395051335</v>
      </c>
      <c r="O634" s="39">
        <f t="shared" si="39"/>
        <v>44190</v>
      </c>
      <c r="P634" s="41">
        <f t="shared" si="36"/>
        <v>0</v>
      </c>
      <c r="Q634" s="41">
        <f t="shared" si="37"/>
        <v>0</v>
      </c>
      <c r="R634" s="41">
        <f t="shared" si="38"/>
        <v>0</v>
      </c>
    </row>
    <row r="635" spans="10:18">
      <c r="J635" s="122">
        <v>43937</v>
      </c>
      <c r="K635" s="123">
        <v>57.84938246312921</v>
      </c>
      <c r="L635" s="123">
        <v>40.343184000000001</v>
      </c>
      <c r="M635" s="124">
        <v>-17.506198463129209</v>
      </c>
      <c r="O635" s="39">
        <f t="shared" si="39"/>
        <v>44189</v>
      </c>
      <c r="P635" s="41">
        <f t="shared" si="36"/>
        <v>0</v>
      </c>
      <c r="Q635" s="41">
        <f t="shared" si="37"/>
        <v>0</v>
      </c>
      <c r="R635" s="41">
        <f t="shared" si="38"/>
        <v>0</v>
      </c>
    </row>
    <row r="636" spans="10:18">
      <c r="J636" s="122">
        <v>43936</v>
      </c>
      <c r="K636" s="123">
        <v>57.84938246312921</v>
      </c>
      <c r="L636" s="123">
        <v>40.225248000000001</v>
      </c>
      <c r="M636" s="124">
        <v>-17.624134463129209</v>
      </c>
      <c r="O636" s="39">
        <f t="shared" si="39"/>
        <v>44188</v>
      </c>
      <c r="P636" s="41">
        <f t="shared" si="36"/>
        <v>0</v>
      </c>
      <c r="Q636" s="41">
        <f t="shared" si="37"/>
        <v>0</v>
      </c>
      <c r="R636" s="41">
        <f t="shared" si="38"/>
        <v>0</v>
      </c>
    </row>
    <row r="637" spans="10:18">
      <c r="J637" s="122">
        <v>43935</v>
      </c>
      <c r="K637" s="123">
        <v>57.84938246312921</v>
      </c>
      <c r="L637" s="123">
        <v>40.706063999999998</v>
      </c>
      <c r="M637" s="124">
        <v>-17.143318463129212</v>
      </c>
      <c r="O637" s="39">
        <f t="shared" si="39"/>
        <v>44187</v>
      </c>
      <c r="P637" s="41">
        <f t="shared" si="36"/>
        <v>0</v>
      </c>
      <c r="Q637" s="41">
        <f t="shared" si="37"/>
        <v>0</v>
      </c>
      <c r="R637" s="41">
        <f t="shared" si="38"/>
        <v>0</v>
      </c>
    </row>
    <row r="638" spans="10:18">
      <c r="J638" s="122">
        <v>43934</v>
      </c>
      <c r="K638" s="123">
        <v>57.84938246312921</v>
      </c>
      <c r="L638" s="123">
        <v>42.103151999999994</v>
      </c>
      <c r="M638" s="124">
        <v>-15.746230463129216</v>
      </c>
      <c r="O638" s="39">
        <f t="shared" si="39"/>
        <v>44186</v>
      </c>
      <c r="P638" s="41">
        <f t="shared" si="36"/>
        <v>0</v>
      </c>
      <c r="Q638" s="41">
        <f t="shared" si="37"/>
        <v>0</v>
      </c>
      <c r="R638" s="41">
        <f t="shared" si="38"/>
        <v>0</v>
      </c>
    </row>
    <row r="639" spans="10:18">
      <c r="J639" s="122">
        <v>43931</v>
      </c>
      <c r="K639" s="123">
        <v>57.84938246312921</v>
      </c>
      <c r="L639" s="123">
        <v>42.103151999999994</v>
      </c>
      <c r="M639" s="124">
        <v>-15.746230463129216</v>
      </c>
      <c r="O639" s="39">
        <f t="shared" si="39"/>
        <v>44185</v>
      </c>
      <c r="P639" s="41">
        <f t="shared" si="36"/>
        <v>0</v>
      </c>
      <c r="Q639" s="41">
        <f t="shared" si="37"/>
        <v>0</v>
      </c>
      <c r="R639" s="41">
        <f t="shared" si="38"/>
        <v>0</v>
      </c>
    </row>
    <row r="640" spans="10:18">
      <c r="J640" s="122">
        <v>43930</v>
      </c>
      <c r="K640" s="123">
        <v>58.010596128031857</v>
      </c>
      <c r="L640" s="123">
        <v>42.103151999999994</v>
      </c>
      <c r="M640" s="124">
        <v>-15.907444128031862</v>
      </c>
      <c r="O640" s="39">
        <f t="shared" si="39"/>
        <v>44184</v>
      </c>
      <c r="P640" s="41">
        <f t="shared" si="36"/>
        <v>0</v>
      </c>
      <c r="Q640" s="41">
        <f t="shared" si="37"/>
        <v>0</v>
      </c>
      <c r="R640" s="41">
        <f t="shared" si="38"/>
        <v>0</v>
      </c>
    </row>
    <row r="641" spans="10:18">
      <c r="J641" s="122">
        <v>43929</v>
      </c>
      <c r="K641" s="123">
        <v>58.010596128031857</v>
      </c>
      <c r="L641" s="123">
        <v>41.758416000000004</v>
      </c>
      <c r="M641" s="124">
        <v>-16.252180128031853</v>
      </c>
      <c r="O641" s="39">
        <f t="shared" si="39"/>
        <v>44183</v>
      </c>
      <c r="P641" s="41">
        <f t="shared" si="36"/>
        <v>0</v>
      </c>
      <c r="Q641" s="41">
        <f t="shared" si="37"/>
        <v>0</v>
      </c>
      <c r="R641" s="41">
        <f t="shared" si="38"/>
        <v>0</v>
      </c>
    </row>
    <row r="642" spans="10:18">
      <c r="J642" s="122">
        <v>43928</v>
      </c>
      <c r="K642" s="123">
        <v>58.010596128031857</v>
      </c>
      <c r="L642" s="123">
        <v>41.812848000000002</v>
      </c>
      <c r="M642" s="124">
        <v>-16.197748128031854</v>
      </c>
      <c r="O642" s="39">
        <f t="shared" si="39"/>
        <v>44182</v>
      </c>
      <c r="P642" s="41">
        <f t="shared" si="36"/>
        <v>0</v>
      </c>
      <c r="Q642" s="41">
        <f t="shared" si="37"/>
        <v>0</v>
      </c>
      <c r="R642" s="41">
        <f t="shared" si="38"/>
        <v>0</v>
      </c>
    </row>
    <row r="643" spans="10:18">
      <c r="J643" s="122">
        <v>43927</v>
      </c>
      <c r="K643" s="123">
        <v>58.010596128031857</v>
      </c>
      <c r="L643" s="123">
        <v>39.916800000000002</v>
      </c>
      <c r="M643" s="124">
        <v>-18.093796128031855</v>
      </c>
      <c r="O643" s="39">
        <f t="shared" si="39"/>
        <v>44181</v>
      </c>
      <c r="P643" s="41">
        <f t="shared" si="36"/>
        <v>0</v>
      </c>
      <c r="Q643" s="41">
        <f t="shared" si="37"/>
        <v>0</v>
      </c>
      <c r="R643" s="41">
        <f t="shared" si="38"/>
        <v>0</v>
      </c>
    </row>
    <row r="644" spans="10:18">
      <c r="J644" s="122">
        <v>43924</v>
      </c>
      <c r="K644" s="123">
        <v>58.010596128031857</v>
      </c>
      <c r="L644" s="123">
        <v>40.923791999999999</v>
      </c>
      <c r="M644" s="124">
        <v>-17.086804128031858</v>
      </c>
      <c r="O644" s="39">
        <f t="shared" si="39"/>
        <v>44180</v>
      </c>
      <c r="P644" s="41">
        <f t="shared" si="36"/>
        <v>0</v>
      </c>
      <c r="Q644" s="41">
        <f t="shared" si="37"/>
        <v>0</v>
      </c>
      <c r="R644" s="41">
        <f t="shared" si="38"/>
        <v>0</v>
      </c>
    </row>
    <row r="645" spans="10:18">
      <c r="J645" s="122">
        <v>43923</v>
      </c>
      <c r="K645" s="123">
        <v>58.778037817391152</v>
      </c>
      <c r="L645" s="123">
        <v>42.184800000000003</v>
      </c>
      <c r="M645" s="124">
        <v>-16.593237817391149</v>
      </c>
      <c r="O645" s="39">
        <f t="shared" si="39"/>
        <v>44179</v>
      </c>
      <c r="P645" s="41">
        <f t="shared" si="36"/>
        <v>0</v>
      </c>
      <c r="Q645" s="41">
        <f t="shared" si="37"/>
        <v>0</v>
      </c>
      <c r="R645" s="41">
        <f t="shared" si="38"/>
        <v>0</v>
      </c>
    </row>
    <row r="646" spans="10:18">
      <c r="J646" s="122">
        <v>43922</v>
      </c>
      <c r="K646" s="123">
        <v>58.778037817391152</v>
      </c>
      <c r="L646" s="123">
        <v>43.264367999999997</v>
      </c>
      <c r="M646" s="124">
        <v>-15.513669817391154</v>
      </c>
      <c r="O646" s="39">
        <f t="shared" si="39"/>
        <v>44178</v>
      </c>
      <c r="P646" s="41">
        <f t="shared" ref="P646:P709" si="40">IFERROR(VLOOKUP($O646,$J$5:$M$403,2,FALSE),P647)</f>
        <v>0</v>
      </c>
      <c r="Q646" s="41">
        <f t="shared" ref="Q646:Q709" si="41">IFERROR(VLOOKUP($O646,$J$5:$M$403,3,FALSE),Q647)</f>
        <v>0</v>
      </c>
      <c r="R646" s="41">
        <f t="shared" ref="R646:R709" si="42">IFERROR(VLOOKUP($O646,$J$5:$M$403,4,FALSE),R647)</f>
        <v>0</v>
      </c>
    </row>
    <row r="647" spans="10:18">
      <c r="J647" s="122">
        <v>43921</v>
      </c>
      <c r="K647" s="123">
        <v>58.778037817391152</v>
      </c>
      <c r="L647" s="123">
        <v>45.205776</v>
      </c>
      <c r="M647" s="124">
        <v>-13.572261817391151</v>
      </c>
      <c r="O647" s="39">
        <f t="shared" ref="O647:O710" si="43">O646-1</f>
        <v>44177</v>
      </c>
      <c r="P647" s="41">
        <f t="shared" si="40"/>
        <v>0</v>
      </c>
      <c r="Q647" s="41">
        <f t="shared" si="41"/>
        <v>0</v>
      </c>
      <c r="R647" s="41">
        <f t="shared" si="42"/>
        <v>0</v>
      </c>
    </row>
    <row r="648" spans="10:18">
      <c r="J648" s="122">
        <v>43920</v>
      </c>
      <c r="K648" s="123">
        <v>58.778037817391152</v>
      </c>
      <c r="L648" s="123">
        <v>46.675440000000002</v>
      </c>
      <c r="M648" s="124">
        <v>-12.10259781739115</v>
      </c>
      <c r="O648" s="39">
        <f t="shared" si="43"/>
        <v>44176</v>
      </c>
      <c r="P648" s="41">
        <f t="shared" si="40"/>
        <v>0</v>
      </c>
      <c r="Q648" s="41">
        <f t="shared" si="41"/>
        <v>0</v>
      </c>
      <c r="R648" s="41">
        <f t="shared" si="42"/>
        <v>0</v>
      </c>
    </row>
    <row r="649" spans="10:18">
      <c r="J649" s="122">
        <v>43917</v>
      </c>
      <c r="K649" s="123">
        <v>58.778037817391152</v>
      </c>
      <c r="L649" s="123">
        <v>44.407440000000001</v>
      </c>
      <c r="M649" s="124">
        <v>-14.37059781739115</v>
      </c>
      <c r="O649" s="39">
        <f t="shared" si="43"/>
        <v>44175</v>
      </c>
      <c r="P649" s="41">
        <f t="shared" si="40"/>
        <v>0</v>
      </c>
      <c r="Q649" s="41">
        <f t="shared" si="41"/>
        <v>0</v>
      </c>
      <c r="R649" s="41">
        <f t="shared" si="42"/>
        <v>0</v>
      </c>
    </row>
    <row r="650" spans="10:18">
      <c r="J650" s="122">
        <v>43916</v>
      </c>
      <c r="K650" s="123">
        <v>58.947828375886729</v>
      </c>
      <c r="L650" s="123">
        <v>47.936448000000006</v>
      </c>
      <c r="M650" s="124">
        <v>-11.011380375886723</v>
      </c>
      <c r="O650" s="39">
        <f t="shared" si="43"/>
        <v>44174</v>
      </c>
      <c r="P650" s="41">
        <f t="shared" si="40"/>
        <v>0</v>
      </c>
      <c r="Q650" s="41">
        <f t="shared" si="41"/>
        <v>0</v>
      </c>
      <c r="R650" s="41">
        <f t="shared" si="42"/>
        <v>0</v>
      </c>
    </row>
    <row r="651" spans="10:18">
      <c r="J651" s="122">
        <v>43915</v>
      </c>
      <c r="K651" s="123">
        <v>58.947828375886729</v>
      </c>
      <c r="L651" s="123">
        <v>48.798287999999999</v>
      </c>
      <c r="M651" s="124">
        <v>-10.14954037588673</v>
      </c>
      <c r="O651" s="39">
        <f t="shared" si="43"/>
        <v>44173</v>
      </c>
      <c r="P651" s="41">
        <f t="shared" si="40"/>
        <v>0</v>
      </c>
      <c r="Q651" s="41">
        <f t="shared" si="41"/>
        <v>0</v>
      </c>
      <c r="R651" s="41">
        <f t="shared" si="42"/>
        <v>0</v>
      </c>
    </row>
    <row r="652" spans="10:18">
      <c r="J652" s="122">
        <v>43914</v>
      </c>
      <c r="K652" s="123">
        <v>58.947828375886729</v>
      </c>
      <c r="L652" s="123">
        <v>44.353008000000003</v>
      </c>
      <c r="M652" s="124">
        <v>-14.594820375886727</v>
      </c>
      <c r="O652" s="39">
        <f t="shared" si="43"/>
        <v>44172</v>
      </c>
      <c r="P652" s="41">
        <f t="shared" si="40"/>
        <v>0</v>
      </c>
      <c r="Q652" s="41">
        <f t="shared" si="41"/>
        <v>0</v>
      </c>
      <c r="R652" s="41">
        <f t="shared" si="42"/>
        <v>0</v>
      </c>
    </row>
    <row r="653" spans="10:18">
      <c r="J653" s="122">
        <v>43913</v>
      </c>
      <c r="K653" s="123">
        <v>58.947828375886729</v>
      </c>
      <c r="L653" s="123">
        <v>43.826832000000003</v>
      </c>
      <c r="M653" s="124">
        <v>-15.120996375886726</v>
      </c>
      <c r="O653" s="39">
        <f t="shared" si="43"/>
        <v>44171</v>
      </c>
      <c r="P653" s="41">
        <f t="shared" si="40"/>
        <v>0</v>
      </c>
      <c r="Q653" s="41">
        <f t="shared" si="41"/>
        <v>0</v>
      </c>
      <c r="R653" s="41">
        <f t="shared" si="42"/>
        <v>0</v>
      </c>
    </row>
    <row r="654" spans="10:18">
      <c r="J654" s="122">
        <v>43910</v>
      </c>
      <c r="K654" s="123">
        <v>58.947828375886729</v>
      </c>
      <c r="L654" s="123">
        <v>43.990127999999999</v>
      </c>
      <c r="M654" s="124">
        <v>-14.957700375886731</v>
      </c>
      <c r="O654" s="39">
        <f t="shared" si="43"/>
        <v>44170</v>
      </c>
      <c r="P654" s="41">
        <f t="shared" si="40"/>
        <v>0</v>
      </c>
      <c r="Q654" s="41">
        <f t="shared" si="41"/>
        <v>0</v>
      </c>
      <c r="R654" s="41">
        <f t="shared" si="42"/>
        <v>0</v>
      </c>
    </row>
    <row r="655" spans="10:18">
      <c r="J655" s="122">
        <v>43909</v>
      </c>
      <c r="K655" s="123">
        <v>61.245860623741599</v>
      </c>
      <c r="L655" s="123">
        <v>44.162495999999997</v>
      </c>
      <c r="M655" s="124">
        <v>-17.083364623741602</v>
      </c>
      <c r="O655" s="39">
        <f t="shared" si="43"/>
        <v>44169</v>
      </c>
      <c r="P655" s="41">
        <f t="shared" si="40"/>
        <v>0</v>
      </c>
      <c r="Q655" s="41">
        <f t="shared" si="41"/>
        <v>0</v>
      </c>
      <c r="R655" s="41">
        <f t="shared" si="42"/>
        <v>0</v>
      </c>
    </row>
    <row r="656" spans="10:18">
      <c r="J656" s="122">
        <v>43908</v>
      </c>
      <c r="K656" s="123">
        <v>61.245860623741599</v>
      </c>
      <c r="L656" s="123">
        <v>44.171568000000001</v>
      </c>
      <c r="M656" s="124">
        <v>-17.074292623741599</v>
      </c>
      <c r="O656" s="39">
        <f t="shared" si="43"/>
        <v>44168</v>
      </c>
      <c r="P656" s="41">
        <f t="shared" si="40"/>
        <v>0</v>
      </c>
      <c r="Q656" s="41">
        <f t="shared" si="41"/>
        <v>0</v>
      </c>
      <c r="R656" s="41">
        <f t="shared" si="42"/>
        <v>0</v>
      </c>
    </row>
    <row r="657" spans="10:18">
      <c r="J657" s="122">
        <v>43907</v>
      </c>
      <c r="K657" s="123">
        <v>61.245860623741599</v>
      </c>
      <c r="L657" s="123">
        <v>43.091999999999999</v>
      </c>
      <c r="M657" s="124">
        <v>-18.1538606237416</v>
      </c>
      <c r="O657" s="39">
        <f t="shared" si="43"/>
        <v>44167</v>
      </c>
      <c r="P657" s="41">
        <f t="shared" si="40"/>
        <v>0</v>
      </c>
      <c r="Q657" s="41">
        <f t="shared" si="41"/>
        <v>0</v>
      </c>
      <c r="R657" s="41">
        <f t="shared" si="42"/>
        <v>0</v>
      </c>
    </row>
    <row r="658" spans="10:18">
      <c r="J658" s="122">
        <v>43906</v>
      </c>
      <c r="K658" s="123">
        <v>61.245860623741599</v>
      </c>
      <c r="L658" s="123">
        <v>42.357168000000001</v>
      </c>
      <c r="M658" s="124">
        <v>-18.888692623741598</v>
      </c>
      <c r="O658" s="39">
        <f t="shared" si="43"/>
        <v>44166</v>
      </c>
      <c r="P658" s="41">
        <f t="shared" si="40"/>
        <v>0</v>
      </c>
      <c r="Q658" s="41">
        <f t="shared" si="41"/>
        <v>0</v>
      </c>
      <c r="R658" s="41">
        <f t="shared" si="42"/>
        <v>0</v>
      </c>
    </row>
    <row r="659" spans="10:18">
      <c r="J659" s="122">
        <v>43903</v>
      </c>
      <c r="K659" s="123">
        <v>61.245860623741599</v>
      </c>
      <c r="L659" s="123">
        <v>42.293664</v>
      </c>
      <c r="M659" s="124">
        <v>-18.9521966237416</v>
      </c>
      <c r="O659" s="39">
        <f t="shared" si="43"/>
        <v>44165</v>
      </c>
      <c r="P659" s="41">
        <f t="shared" si="40"/>
        <v>0</v>
      </c>
      <c r="Q659" s="41">
        <f t="shared" si="41"/>
        <v>0</v>
      </c>
      <c r="R659" s="41">
        <f t="shared" si="42"/>
        <v>0</v>
      </c>
    </row>
    <row r="660" spans="10:18">
      <c r="J660" s="122">
        <v>43902</v>
      </c>
      <c r="K660" s="123">
        <v>62.278105691819462</v>
      </c>
      <c r="L660" s="123">
        <v>41.050800000000002</v>
      </c>
      <c r="M660" s="124">
        <v>-21.22730569181946</v>
      </c>
      <c r="O660" s="39">
        <f t="shared" si="43"/>
        <v>44164</v>
      </c>
      <c r="P660" s="41">
        <f t="shared" si="40"/>
        <v>0</v>
      </c>
      <c r="Q660" s="41">
        <f t="shared" si="41"/>
        <v>0</v>
      </c>
      <c r="R660" s="41">
        <f t="shared" si="42"/>
        <v>0</v>
      </c>
    </row>
    <row r="661" spans="10:18">
      <c r="J661" s="122">
        <v>43901</v>
      </c>
      <c r="K661" s="123">
        <v>62.278105691819462</v>
      </c>
      <c r="L661" s="123">
        <v>41.513472</v>
      </c>
      <c r="M661" s="124">
        <v>-20.764633691819462</v>
      </c>
      <c r="O661" s="39">
        <f t="shared" si="43"/>
        <v>44163</v>
      </c>
      <c r="P661" s="41">
        <f t="shared" si="40"/>
        <v>0</v>
      </c>
      <c r="Q661" s="41">
        <f t="shared" si="41"/>
        <v>0</v>
      </c>
      <c r="R661" s="41">
        <f t="shared" si="42"/>
        <v>0</v>
      </c>
    </row>
    <row r="662" spans="10:18">
      <c r="J662" s="122">
        <v>43900</v>
      </c>
      <c r="K662" s="123">
        <v>62.278105691819462</v>
      </c>
      <c r="L662" s="123">
        <v>41.250383999999997</v>
      </c>
      <c r="M662" s="124">
        <v>-21.027721691819465</v>
      </c>
      <c r="O662" s="39">
        <f t="shared" si="43"/>
        <v>44162</v>
      </c>
      <c r="P662" s="41">
        <f t="shared" si="40"/>
        <v>0</v>
      </c>
      <c r="Q662" s="41">
        <f t="shared" si="41"/>
        <v>0</v>
      </c>
      <c r="R662" s="41">
        <f t="shared" si="42"/>
        <v>0</v>
      </c>
    </row>
    <row r="663" spans="10:18">
      <c r="J663" s="122">
        <v>43899</v>
      </c>
      <c r="K663" s="123">
        <v>62.278105691819462</v>
      </c>
      <c r="L663" s="123">
        <v>41.050800000000002</v>
      </c>
      <c r="M663" s="124">
        <v>-21.22730569181946</v>
      </c>
      <c r="O663" s="39">
        <f t="shared" si="43"/>
        <v>44161</v>
      </c>
      <c r="P663" s="41">
        <f t="shared" si="40"/>
        <v>0</v>
      </c>
      <c r="Q663" s="41">
        <f t="shared" si="41"/>
        <v>0</v>
      </c>
      <c r="R663" s="41">
        <f t="shared" si="42"/>
        <v>0</v>
      </c>
    </row>
    <row r="664" spans="10:18">
      <c r="J664" s="122">
        <v>43896</v>
      </c>
      <c r="K664" s="123">
        <v>62.278105691819462</v>
      </c>
      <c r="L664" s="123">
        <v>42.937775999999999</v>
      </c>
      <c r="M664" s="124">
        <v>-19.340329691819463</v>
      </c>
      <c r="O664" s="39">
        <f t="shared" si="43"/>
        <v>44160</v>
      </c>
      <c r="P664" s="41">
        <f t="shared" si="40"/>
        <v>0</v>
      </c>
      <c r="Q664" s="41">
        <f t="shared" si="41"/>
        <v>0</v>
      </c>
      <c r="R664" s="41">
        <f t="shared" si="42"/>
        <v>0</v>
      </c>
    </row>
    <row r="665" spans="10:18">
      <c r="J665" s="122">
        <v>43895</v>
      </c>
      <c r="K665" s="123">
        <v>60.068335405635402</v>
      </c>
      <c r="L665" s="123">
        <v>43.373232000000002</v>
      </c>
      <c r="M665" s="124">
        <v>-16.6951034056354</v>
      </c>
      <c r="O665" s="39">
        <f t="shared" si="43"/>
        <v>44159</v>
      </c>
      <c r="P665" s="41">
        <f t="shared" si="40"/>
        <v>0</v>
      </c>
      <c r="Q665" s="41">
        <f t="shared" si="41"/>
        <v>0</v>
      </c>
      <c r="R665" s="41">
        <f t="shared" si="42"/>
        <v>0</v>
      </c>
    </row>
    <row r="666" spans="10:18">
      <c r="J666" s="122">
        <v>43894</v>
      </c>
      <c r="K666" s="123">
        <v>60.068335405635402</v>
      </c>
      <c r="L666" s="123">
        <v>42.710976000000002</v>
      </c>
      <c r="M666" s="124">
        <v>-17.3573594056354</v>
      </c>
      <c r="O666" s="39">
        <f t="shared" si="43"/>
        <v>44158</v>
      </c>
      <c r="P666" s="41">
        <f t="shared" si="40"/>
        <v>0</v>
      </c>
      <c r="Q666" s="41">
        <f t="shared" si="41"/>
        <v>0</v>
      </c>
      <c r="R666" s="41">
        <f t="shared" si="42"/>
        <v>0</v>
      </c>
    </row>
    <row r="667" spans="10:18">
      <c r="J667" s="122">
        <v>43893</v>
      </c>
      <c r="K667" s="123">
        <v>60.068335405635402</v>
      </c>
      <c r="L667" s="123">
        <v>42.928704000000003</v>
      </c>
      <c r="M667" s="124">
        <v>-17.139631405635399</v>
      </c>
      <c r="O667" s="39">
        <f t="shared" si="43"/>
        <v>44157</v>
      </c>
      <c r="P667" s="41">
        <f t="shared" si="40"/>
        <v>0</v>
      </c>
      <c r="Q667" s="41">
        <f t="shared" si="41"/>
        <v>0</v>
      </c>
      <c r="R667" s="41">
        <f t="shared" si="42"/>
        <v>0</v>
      </c>
    </row>
    <row r="668" spans="10:18">
      <c r="J668" s="122">
        <v>43892</v>
      </c>
      <c r="K668" s="123">
        <v>60.068335405635402</v>
      </c>
      <c r="L668" s="123">
        <v>42.4116</v>
      </c>
      <c r="M668" s="124">
        <v>-17.656735405635402</v>
      </c>
      <c r="O668" s="39">
        <f t="shared" si="43"/>
        <v>44156</v>
      </c>
      <c r="P668" s="41">
        <f t="shared" si="40"/>
        <v>0</v>
      </c>
      <c r="Q668" s="41">
        <f t="shared" si="41"/>
        <v>0</v>
      </c>
      <c r="R668" s="41">
        <f t="shared" si="42"/>
        <v>0</v>
      </c>
    </row>
    <row r="669" spans="10:18">
      <c r="J669" s="122">
        <v>43889</v>
      </c>
      <c r="K669" s="123">
        <v>60.068335405635402</v>
      </c>
      <c r="L669" s="123">
        <v>41.731200000000001</v>
      </c>
      <c r="M669" s="124">
        <v>-18.337135405635401</v>
      </c>
      <c r="O669" s="39">
        <f t="shared" si="43"/>
        <v>44155</v>
      </c>
      <c r="P669" s="41">
        <f t="shared" si="40"/>
        <v>0</v>
      </c>
      <c r="Q669" s="41">
        <f t="shared" si="41"/>
        <v>0</v>
      </c>
      <c r="R669" s="41">
        <f t="shared" si="42"/>
        <v>0</v>
      </c>
    </row>
    <row r="670" spans="10:18">
      <c r="J670" s="122">
        <v>43888</v>
      </c>
      <c r="K670" s="123">
        <v>59.973937094994696</v>
      </c>
      <c r="L670" s="123">
        <v>41.785632</v>
      </c>
      <c r="M670" s="124">
        <v>-18.188305094994696</v>
      </c>
      <c r="O670" s="39">
        <f t="shared" si="43"/>
        <v>44154</v>
      </c>
      <c r="P670" s="41">
        <f t="shared" si="40"/>
        <v>0</v>
      </c>
      <c r="Q670" s="41">
        <f t="shared" si="41"/>
        <v>0</v>
      </c>
      <c r="R670" s="41">
        <f t="shared" si="42"/>
        <v>0</v>
      </c>
    </row>
    <row r="671" spans="10:18">
      <c r="J671" s="122">
        <v>43887</v>
      </c>
      <c r="K671" s="123">
        <v>59.973937094994696</v>
      </c>
      <c r="L671" s="123">
        <v>41.486255999999997</v>
      </c>
      <c r="M671" s="124">
        <v>-18.487681094994699</v>
      </c>
      <c r="O671" s="39">
        <f t="shared" si="43"/>
        <v>44153</v>
      </c>
      <c r="P671" s="41">
        <f t="shared" si="40"/>
        <v>0</v>
      </c>
      <c r="Q671" s="41">
        <f t="shared" si="41"/>
        <v>0</v>
      </c>
      <c r="R671" s="41">
        <f t="shared" si="42"/>
        <v>0</v>
      </c>
    </row>
    <row r="672" spans="10:18">
      <c r="J672" s="122">
        <v>43886</v>
      </c>
      <c r="K672" s="123">
        <v>59.973937094994696</v>
      </c>
      <c r="L672" s="123">
        <v>42.130367999999997</v>
      </c>
      <c r="M672" s="124">
        <v>-17.843569094994699</v>
      </c>
      <c r="O672" s="39">
        <f t="shared" si="43"/>
        <v>44152</v>
      </c>
      <c r="P672" s="41">
        <f t="shared" si="40"/>
        <v>0</v>
      </c>
      <c r="Q672" s="41">
        <f t="shared" si="41"/>
        <v>0</v>
      </c>
      <c r="R672" s="41">
        <f t="shared" si="42"/>
        <v>0</v>
      </c>
    </row>
    <row r="673" spans="10:18">
      <c r="J673" s="122">
        <v>43885</v>
      </c>
      <c r="K673" s="123">
        <v>59.973937094994696</v>
      </c>
      <c r="L673" s="123">
        <v>41.957999999999998</v>
      </c>
      <c r="M673" s="124">
        <v>-18.015937094994698</v>
      </c>
      <c r="O673" s="39">
        <f t="shared" si="43"/>
        <v>44151</v>
      </c>
      <c r="P673" s="41">
        <f t="shared" si="40"/>
        <v>0</v>
      </c>
      <c r="Q673" s="41">
        <f t="shared" si="41"/>
        <v>0</v>
      </c>
      <c r="R673" s="41">
        <f t="shared" si="42"/>
        <v>0</v>
      </c>
    </row>
    <row r="674" spans="10:18">
      <c r="J674" s="122">
        <v>43882</v>
      </c>
      <c r="K674" s="123">
        <v>59.973937094994696</v>
      </c>
      <c r="L674" s="123">
        <v>42.810767999999996</v>
      </c>
      <c r="M674" s="124">
        <v>-17.1631690949947</v>
      </c>
      <c r="O674" s="39">
        <f t="shared" si="43"/>
        <v>44150</v>
      </c>
      <c r="P674" s="41">
        <f t="shared" si="40"/>
        <v>0</v>
      </c>
      <c r="Q674" s="41">
        <f t="shared" si="41"/>
        <v>0</v>
      </c>
      <c r="R674" s="41">
        <f t="shared" si="42"/>
        <v>0</v>
      </c>
    </row>
    <row r="675" spans="10:18">
      <c r="J675" s="122">
        <v>43881</v>
      </c>
      <c r="K675" s="123">
        <v>60.168246808810615</v>
      </c>
      <c r="L675" s="123">
        <v>43.581887999999999</v>
      </c>
      <c r="M675" s="124">
        <v>-16.586358808810616</v>
      </c>
      <c r="O675" s="39">
        <f t="shared" si="43"/>
        <v>44149</v>
      </c>
      <c r="P675" s="41">
        <f t="shared" si="40"/>
        <v>0</v>
      </c>
      <c r="Q675" s="41">
        <f t="shared" si="41"/>
        <v>0</v>
      </c>
      <c r="R675" s="41">
        <f t="shared" si="42"/>
        <v>0</v>
      </c>
    </row>
    <row r="676" spans="10:18">
      <c r="J676" s="122">
        <v>43880</v>
      </c>
      <c r="K676" s="123">
        <v>60.168246808810615</v>
      </c>
      <c r="L676" s="123">
        <v>43.971983999999999</v>
      </c>
      <c r="M676" s="124">
        <v>-16.196262808810616</v>
      </c>
      <c r="O676" s="39">
        <f t="shared" si="43"/>
        <v>44148</v>
      </c>
      <c r="P676" s="41">
        <f t="shared" si="40"/>
        <v>0</v>
      </c>
      <c r="Q676" s="41">
        <f t="shared" si="41"/>
        <v>0</v>
      </c>
      <c r="R676" s="41">
        <f t="shared" si="42"/>
        <v>0</v>
      </c>
    </row>
    <row r="677" spans="10:18">
      <c r="J677" s="122">
        <v>43879</v>
      </c>
      <c r="K677" s="123">
        <v>60.168246808810615</v>
      </c>
      <c r="L677" s="123">
        <v>45.169488000000001</v>
      </c>
      <c r="M677" s="124">
        <v>-14.998758808810614</v>
      </c>
      <c r="O677" s="39">
        <f t="shared" si="43"/>
        <v>44147</v>
      </c>
      <c r="P677" s="41">
        <f t="shared" si="40"/>
        <v>0</v>
      </c>
      <c r="Q677" s="41">
        <f t="shared" si="41"/>
        <v>0</v>
      </c>
      <c r="R677" s="41">
        <f t="shared" si="42"/>
        <v>0</v>
      </c>
    </row>
    <row r="678" spans="10:18">
      <c r="J678" s="122">
        <v>43878</v>
      </c>
      <c r="K678" s="123">
        <v>60.168246808810615</v>
      </c>
      <c r="L678" s="123">
        <v>46.702655999999998</v>
      </c>
      <c r="M678" s="124">
        <v>-13.465590808810617</v>
      </c>
      <c r="O678" s="39">
        <f t="shared" si="43"/>
        <v>44146</v>
      </c>
      <c r="P678" s="41">
        <f t="shared" si="40"/>
        <v>0</v>
      </c>
      <c r="Q678" s="41">
        <f t="shared" si="41"/>
        <v>0</v>
      </c>
      <c r="R678" s="41">
        <f t="shared" si="42"/>
        <v>0</v>
      </c>
    </row>
    <row r="679" spans="10:18">
      <c r="J679" s="122">
        <v>43875</v>
      </c>
      <c r="K679" s="123">
        <v>60.168246808810615</v>
      </c>
      <c r="L679" s="123">
        <v>46.938528000000005</v>
      </c>
      <c r="M679" s="124">
        <v>-13.22971880881061</v>
      </c>
      <c r="O679" s="39">
        <f t="shared" si="43"/>
        <v>44145</v>
      </c>
      <c r="P679" s="41">
        <f t="shared" si="40"/>
        <v>0</v>
      </c>
      <c r="Q679" s="41">
        <f t="shared" si="41"/>
        <v>0</v>
      </c>
      <c r="R679" s="41">
        <f t="shared" si="42"/>
        <v>0</v>
      </c>
    </row>
    <row r="680" spans="10:18">
      <c r="J680" s="122">
        <v>43874</v>
      </c>
      <c r="K680" s="123">
        <v>60.352136100286735</v>
      </c>
      <c r="L680" s="123">
        <v>45.487008000000003</v>
      </c>
      <c r="M680" s="124">
        <v>-14.865128100286732</v>
      </c>
      <c r="O680" s="39">
        <f t="shared" si="43"/>
        <v>44144</v>
      </c>
      <c r="P680" s="41">
        <f t="shared" si="40"/>
        <v>0</v>
      </c>
      <c r="Q680" s="41">
        <f t="shared" si="41"/>
        <v>0</v>
      </c>
      <c r="R680" s="41">
        <f t="shared" si="42"/>
        <v>0</v>
      </c>
    </row>
    <row r="681" spans="10:18">
      <c r="J681" s="122">
        <v>43873</v>
      </c>
      <c r="K681" s="123">
        <v>60.352136100286735</v>
      </c>
      <c r="L681" s="123">
        <v>44.280432000000005</v>
      </c>
      <c r="M681" s="124">
        <v>-16.07170410028673</v>
      </c>
      <c r="O681" s="39">
        <f t="shared" si="43"/>
        <v>44143</v>
      </c>
      <c r="P681" s="41">
        <f t="shared" si="40"/>
        <v>0</v>
      </c>
      <c r="Q681" s="41">
        <f t="shared" si="41"/>
        <v>0</v>
      </c>
      <c r="R681" s="41">
        <f t="shared" si="42"/>
        <v>0</v>
      </c>
    </row>
    <row r="682" spans="10:18">
      <c r="J682" s="122">
        <v>43872</v>
      </c>
      <c r="K682" s="123">
        <v>60.352136100286735</v>
      </c>
      <c r="L682" s="123">
        <v>43.427664</v>
      </c>
      <c r="M682" s="124">
        <v>-16.924472100286735</v>
      </c>
      <c r="O682" s="39">
        <f t="shared" si="43"/>
        <v>44142</v>
      </c>
      <c r="P682" s="41">
        <f t="shared" si="40"/>
        <v>0</v>
      </c>
      <c r="Q682" s="41">
        <f t="shared" si="41"/>
        <v>0</v>
      </c>
      <c r="R682" s="41">
        <f t="shared" si="42"/>
        <v>0</v>
      </c>
    </row>
    <row r="683" spans="10:18">
      <c r="J683" s="122">
        <v>43871</v>
      </c>
      <c r="K683" s="123">
        <v>60.352136100286735</v>
      </c>
      <c r="L683" s="123">
        <v>43.155504000000001</v>
      </c>
      <c r="M683" s="124">
        <v>-17.196632100286735</v>
      </c>
      <c r="O683" s="39">
        <f t="shared" si="43"/>
        <v>44141</v>
      </c>
      <c r="P683" s="41">
        <f t="shared" si="40"/>
        <v>0</v>
      </c>
      <c r="Q683" s="41">
        <f t="shared" si="41"/>
        <v>0</v>
      </c>
      <c r="R683" s="41">
        <f t="shared" si="42"/>
        <v>0</v>
      </c>
    </row>
    <row r="684" spans="10:18">
      <c r="J684" s="122">
        <v>43868</v>
      </c>
      <c r="K684" s="123">
        <v>60.352136100286735</v>
      </c>
      <c r="L684" s="123">
        <v>43.935696</v>
      </c>
      <c r="M684" s="124">
        <v>-16.416440100286735</v>
      </c>
      <c r="O684" s="39">
        <f t="shared" si="43"/>
        <v>44140</v>
      </c>
      <c r="P684" s="41">
        <f t="shared" si="40"/>
        <v>0</v>
      </c>
      <c r="Q684" s="41">
        <f t="shared" si="41"/>
        <v>0</v>
      </c>
      <c r="R684" s="41">
        <f t="shared" si="42"/>
        <v>0</v>
      </c>
    </row>
    <row r="685" spans="10:18">
      <c r="J685" s="122">
        <v>43867</v>
      </c>
      <c r="K685" s="123">
        <v>61.84104496942301</v>
      </c>
      <c r="L685" s="123">
        <v>44.715888</v>
      </c>
      <c r="M685" s="124">
        <v>-17.12515696942301</v>
      </c>
      <c r="O685" s="39">
        <f t="shared" si="43"/>
        <v>44139</v>
      </c>
      <c r="P685" s="41">
        <f t="shared" si="40"/>
        <v>0</v>
      </c>
      <c r="Q685" s="41">
        <f t="shared" si="41"/>
        <v>0</v>
      </c>
      <c r="R685" s="41">
        <f t="shared" si="42"/>
        <v>0</v>
      </c>
    </row>
    <row r="686" spans="10:18">
      <c r="J686" s="122">
        <v>43866</v>
      </c>
      <c r="K686" s="123">
        <v>61.84104496942301</v>
      </c>
      <c r="L686" s="123">
        <v>45.414432000000005</v>
      </c>
      <c r="M686" s="124">
        <v>-16.426612969423005</v>
      </c>
      <c r="O686" s="39">
        <f t="shared" si="43"/>
        <v>44138</v>
      </c>
      <c r="P686" s="41">
        <f t="shared" si="40"/>
        <v>0</v>
      </c>
      <c r="Q686" s="41">
        <f t="shared" si="41"/>
        <v>0</v>
      </c>
      <c r="R686" s="41">
        <f t="shared" si="42"/>
        <v>0</v>
      </c>
    </row>
    <row r="687" spans="10:18">
      <c r="J687" s="122">
        <v>43865</v>
      </c>
      <c r="K687" s="123">
        <v>61.84104496942301</v>
      </c>
      <c r="L687" s="123">
        <v>43.609104000000002</v>
      </c>
      <c r="M687" s="124">
        <v>-18.231940969423007</v>
      </c>
      <c r="O687" s="39">
        <f t="shared" si="43"/>
        <v>44137</v>
      </c>
      <c r="P687" s="41">
        <f t="shared" si="40"/>
        <v>0</v>
      </c>
      <c r="Q687" s="41">
        <f t="shared" si="41"/>
        <v>0</v>
      </c>
      <c r="R687" s="41">
        <f t="shared" si="42"/>
        <v>0</v>
      </c>
    </row>
    <row r="688" spans="10:18">
      <c r="J688" s="122">
        <v>43864</v>
      </c>
      <c r="K688" s="123">
        <v>61.84104496942301</v>
      </c>
      <c r="L688" s="123">
        <v>43.572816000000003</v>
      </c>
      <c r="M688" s="124">
        <v>-18.268228969423006</v>
      </c>
      <c r="O688" s="39">
        <f t="shared" si="43"/>
        <v>44136</v>
      </c>
      <c r="P688" s="41">
        <f t="shared" si="40"/>
        <v>0</v>
      </c>
      <c r="Q688" s="41">
        <f t="shared" si="41"/>
        <v>0</v>
      </c>
      <c r="R688" s="41">
        <f t="shared" si="42"/>
        <v>0</v>
      </c>
    </row>
    <row r="689" spans="10:18">
      <c r="J689" s="122">
        <v>43861</v>
      </c>
      <c r="K689" s="123">
        <v>61.84104496942301</v>
      </c>
      <c r="L689" s="123">
        <v>43.001280000000001</v>
      </c>
      <c r="M689" s="124">
        <v>-18.839764969423008</v>
      </c>
      <c r="O689" s="39">
        <f t="shared" si="43"/>
        <v>44135</v>
      </c>
      <c r="P689" s="41">
        <f t="shared" si="40"/>
        <v>0</v>
      </c>
      <c r="Q689" s="41">
        <f t="shared" si="41"/>
        <v>0</v>
      </c>
      <c r="R689" s="41">
        <f t="shared" si="42"/>
        <v>0</v>
      </c>
    </row>
    <row r="690" spans="10:18">
      <c r="J690" s="122">
        <v>43860</v>
      </c>
      <c r="K690" s="123">
        <v>62.157950459840698</v>
      </c>
      <c r="L690" s="123">
        <v>43.128287999999998</v>
      </c>
      <c r="M690" s="124">
        <v>-19.029662459840701</v>
      </c>
      <c r="O690" s="39">
        <f t="shared" si="43"/>
        <v>44134</v>
      </c>
      <c r="P690" s="41">
        <f t="shared" si="40"/>
        <v>0</v>
      </c>
      <c r="Q690" s="41">
        <f t="shared" si="41"/>
        <v>0</v>
      </c>
      <c r="R690" s="41">
        <f t="shared" si="42"/>
        <v>0</v>
      </c>
    </row>
    <row r="691" spans="10:18">
      <c r="J691" s="122">
        <v>43859</v>
      </c>
      <c r="K691" s="123">
        <v>62.157950459840698</v>
      </c>
      <c r="L691" s="123">
        <v>44.452800000000003</v>
      </c>
      <c r="M691" s="124">
        <v>-17.705150459840695</v>
      </c>
      <c r="O691" s="39">
        <f t="shared" si="43"/>
        <v>44133</v>
      </c>
      <c r="P691" s="41">
        <f t="shared" si="40"/>
        <v>0</v>
      </c>
      <c r="Q691" s="41">
        <f t="shared" si="41"/>
        <v>0</v>
      </c>
      <c r="R691" s="41">
        <f t="shared" si="42"/>
        <v>0</v>
      </c>
    </row>
    <row r="692" spans="10:18">
      <c r="J692" s="122">
        <v>43858</v>
      </c>
      <c r="K692" s="123">
        <v>62.157950459840698</v>
      </c>
      <c r="L692" s="123">
        <v>44.452800000000003</v>
      </c>
      <c r="M692" s="124">
        <v>-17.705150459840695</v>
      </c>
      <c r="O692" s="39">
        <f t="shared" si="43"/>
        <v>44132</v>
      </c>
      <c r="P692" s="41">
        <f t="shared" si="40"/>
        <v>0</v>
      </c>
      <c r="Q692" s="41">
        <f t="shared" si="41"/>
        <v>0</v>
      </c>
      <c r="R692" s="41">
        <f t="shared" si="42"/>
        <v>0</v>
      </c>
    </row>
    <row r="693" spans="10:18">
      <c r="J693" s="122">
        <v>43857</v>
      </c>
      <c r="K693" s="123">
        <v>62.157950459840698</v>
      </c>
      <c r="L693" s="123">
        <v>43.890336000000005</v>
      </c>
      <c r="M693" s="124">
        <v>-18.267614459840694</v>
      </c>
      <c r="O693" s="39">
        <f t="shared" si="43"/>
        <v>44131</v>
      </c>
      <c r="P693" s="41">
        <f t="shared" si="40"/>
        <v>0</v>
      </c>
      <c r="Q693" s="41">
        <f t="shared" si="41"/>
        <v>0</v>
      </c>
      <c r="R693" s="41">
        <f t="shared" si="42"/>
        <v>0</v>
      </c>
    </row>
    <row r="694" spans="10:18">
      <c r="J694" s="122">
        <v>43854</v>
      </c>
      <c r="K694" s="123">
        <v>62.157950459840698</v>
      </c>
      <c r="L694" s="123">
        <v>43.772399999999998</v>
      </c>
      <c r="M694" s="124">
        <v>-18.385550459840701</v>
      </c>
      <c r="O694" s="39">
        <f t="shared" si="43"/>
        <v>44130</v>
      </c>
      <c r="P694" s="41">
        <f t="shared" si="40"/>
        <v>0</v>
      </c>
      <c r="Q694" s="41">
        <f t="shared" si="41"/>
        <v>0</v>
      </c>
      <c r="R694" s="41">
        <f t="shared" si="42"/>
        <v>0</v>
      </c>
    </row>
    <row r="695" spans="10:18">
      <c r="J695" s="122">
        <v>43853</v>
      </c>
      <c r="K695" s="123">
        <v>63.878566658782304</v>
      </c>
      <c r="L695" s="123">
        <v>43.091999999999999</v>
      </c>
      <c r="M695" s="124">
        <v>-20.786566658782306</v>
      </c>
      <c r="O695" s="39">
        <f t="shared" si="43"/>
        <v>44129</v>
      </c>
      <c r="P695" s="41">
        <f t="shared" si="40"/>
        <v>0</v>
      </c>
      <c r="Q695" s="41">
        <f t="shared" si="41"/>
        <v>0</v>
      </c>
      <c r="R695" s="41">
        <f t="shared" si="42"/>
        <v>0</v>
      </c>
    </row>
    <row r="696" spans="10:18">
      <c r="J696" s="122">
        <v>43852</v>
      </c>
      <c r="K696" s="123">
        <v>63.878566658782304</v>
      </c>
      <c r="L696" s="123">
        <v>43.318800000000003</v>
      </c>
      <c r="M696" s="124">
        <v>-20.559766658782301</v>
      </c>
      <c r="O696" s="39">
        <f t="shared" si="43"/>
        <v>44128</v>
      </c>
      <c r="P696" s="41">
        <f t="shared" si="40"/>
        <v>0</v>
      </c>
      <c r="Q696" s="41">
        <f t="shared" si="41"/>
        <v>0</v>
      </c>
      <c r="R696" s="41">
        <f t="shared" si="42"/>
        <v>0</v>
      </c>
    </row>
    <row r="697" spans="10:18">
      <c r="J697" s="122">
        <v>43851</v>
      </c>
      <c r="K697" s="123">
        <v>63.878566658782304</v>
      </c>
      <c r="L697" s="123">
        <v>42.865200000000002</v>
      </c>
      <c r="M697" s="124">
        <v>-21.013366658782303</v>
      </c>
      <c r="O697" s="39">
        <f t="shared" si="43"/>
        <v>44127</v>
      </c>
      <c r="P697" s="41">
        <f t="shared" si="40"/>
        <v>0</v>
      </c>
      <c r="Q697" s="41">
        <f t="shared" si="41"/>
        <v>0</v>
      </c>
      <c r="R697" s="41">
        <f t="shared" si="42"/>
        <v>0</v>
      </c>
    </row>
    <row r="698" spans="10:18">
      <c r="J698" s="122">
        <v>43850</v>
      </c>
      <c r="K698" s="123">
        <v>63.878566658782304</v>
      </c>
      <c r="L698" s="123">
        <v>43.237151999999995</v>
      </c>
      <c r="M698" s="124">
        <v>-20.64141465878231</v>
      </c>
      <c r="O698" s="39">
        <f t="shared" si="43"/>
        <v>44126</v>
      </c>
      <c r="P698" s="41">
        <f t="shared" si="40"/>
        <v>0</v>
      </c>
      <c r="Q698" s="41">
        <f t="shared" si="41"/>
        <v>0</v>
      </c>
      <c r="R698" s="41">
        <f t="shared" si="42"/>
        <v>0</v>
      </c>
    </row>
    <row r="699" spans="10:18">
      <c r="J699" s="122">
        <v>43847</v>
      </c>
      <c r="K699" s="123">
        <v>63.878566658782304</v>
      </c>
      <c r="L699" s="123">
        <v>44.452800000000003</v>
      </c>
      <c r="M699" s="124">
        <v>-19.425766658782301</v>
      </c>
      <c r="O699" s="39">
        <f t="shared" si="43"/>
        <v>44125</v>
      </c>
      <c r="P699" s="41">
        <f t="shared" si="40"/>
        <v>0</v>
      </c>
      <c r="Q699" s="41">
        <f t="shared" si="41"/>
        <v>0</v>
      </c>
      <c r="R699" s="41">
        <f t="shared" si="42"/>
        <v>0</v>
      </c>
    </row>
    <row r="700" spans="10:18">
      <c r="J700" s="122">
        <v>43846</v>
      </c>
      <c r="K700" s="123">
        <v>64.417364819394692</v>
      </c>
      <c r="L700" s="123">
        <v>46.058544000000005</v>
      </c>
      <c r="M700" s="124">
        <v>-18.358820819394687</v>
      </c>
      <c r="O700" s="39">
        <f t="shared" si="43"/>
        <v>44124</v>
      </c>
      <c r="P700" s="41">
        <f t="shared" si="40"/>
        <v>0</v>
      </c>
      <c r="Q700" s="41">
        <f t="shared" si="41"/>
        <v>0</v>
      </c>
      <c r="R700" s="41">
        <f t="shared" si="42"/>
        <v>0</v>
      </c>
    </row>
    <row r="701" spans="10:18">
      <c r="J701" s="122">
        <v>43845</v>
      </c>
      <c r="K701" s="123">
        <v>64.417364819394692</v>
      </c>
      <c r="L701" s="123">
        <v>46.230912000000004</v>
      </c>
      <c r="M701" s="124">
        <v>-18.186452819394688</v>
      </c>
      <c r="O701" s="39">
        <f t="shared" si="43"/>
        <v>44123</v>
      </c>
      <c r="P701" s="41">
        <f t="shared" si="40"/>
        <v>0</v>
      </c>
      <c r="Q701" s="41">
        <f t="shared" si="41"/>
        <v>0</v>
      </c>
      <c r="R701" s="41">
        <f t="shared" si="42"/>
        <v>0</v>
      </c>
    </row>
    <row r="702" spans="10:18">
      <c r="J702" s="122">
        <v>43844</v>
      </c>
      <c r="K702" s="123">
        <v>64.417364819394692</v>
      </c>
      <c r="L702" s="123">
        <v>46.584720000000004</v>
      </c>
      <c r="M702" s="124">
        <v>-17.832644819394687</v>
      </c>
      <c r="O702" s="39">
        <f t="shared" si="43"/>
        <v>44122</v>
      </c>
      <c r="P702" s="41">
        <f t="shared" si="40"/>
        <v>0</v>
      </c>
      <c r="Q702" s="41">
        <f t="shared" si="41"/>
        <v>0</v>
      </c>
      <c r="R702" s="41">
        <f t="shared" si="42"/>
        <v>0</v>
      </c>
    </row>
    <row r="703" spans="10:18">
      <c r="J703" s="122">
        <v>43843</v>
      </c>
      <c r="K703" s="123">
        <v>64.417364819394692</v>
      </c>
      <c r="L703" s="123">
        <v>48.335616000000002</v>
      </c>
      <c r="M703" s="124">
        <v>-16.08174881939469</v>
      </c>
      <c r="O703" s="39">
        <f t="shared" si="43"/>
        <v>44121</v>
      </c>
      <c r="P703" s="41">
        <f t="shared" si="40"/>
        <v>0</v>
      </c>
      <c r="Q703" s="41">
        <f t="shared" si="41"/>
        <v>0</v>
      </c>
      <c r="R703" s="41">
        <f t="shared" si="42"/>
        <v>0</v>
      </c>
    </row>
    <row r="704" spans="10:18">
      <c r="J704" s="122">
        <v>43840</v>
      </c>
      <c r="K704" s="123">
        <v>64.417364819394692</v>
      </c>
      <c r="L704" s="123">
        <v>48.018096</v>
      </c>
      <c r="M704" s="124">
        <v>-16.399268819394692</v>
      </c>
      <c r="O704" s="39">
        <f t="shared" si="43"/>
        <v>44120</v>
      </c>
      <c r="P704" s="41">
        <f t="shared" si="40"/>
        <v>0</v>
      </c>
      <c r="Q704" s="41">
        <f t="shared" si="41"/>
        <v>0</v>
      </c>
      <c r="R704" s="41">
        <f t="shared" si="42"/>
        <v>0</v>
      </c>
    </row>
    <row r="705" spans="10:18">
      <c r="J705" s="122">
        <v>43839</v>
      </c>
      <c r="K705" s="123">
        <v>65.830258184240705</v>
      </c>
      <c r="L705" s="123">
        <v>47.628</v>
      </c>
      <c r="M705" s="124">
        <v>-18.202258184240705</v>
      </c>
      <c r="O705" s="39">
        <f t="shared" si="43"/>
        <v>44119</v>
      </c>
      <c r="P705" s="41">
        <f t="shared" si="40"/>
        <v>0</v>
      </c>
      <c r="Q705" s="41">
        <f t="shared" si="41"/>
        <v>0</v>
      </c>
      <c r="R705" s="41">
        <f t="shared" si="42"/>
        <v>0</v>
      </c>
    </row>
    <row r="706" spans="10:18">
      <c r="J706" s="122">
        <v>43838</v>
      </c>
      <c r="K706" s="123">
        <v>65.830258184240705</v>
      </c>
      <c r="L706" s="123">
        <v>47.700575999999998</v>
      </c>
      <c r="M706" s="124">
        <v>-18.129682184240707</v>
      </c>
      <c r="O706" s="39">
        <f t="shared" si="43"/>
        <v>44118</v>
      </c>
      <c r="P706" s="41">
        <f t="shared" si="40"/>
        <v>0</v>
      </c>
      <c r="Q706" s="41">
        <f t="shared" si="41"/>
        <v>0</v>
      </c>
      <c r="R706" s="41">
        <f t="shared" si="42"/>
        <v>0</v>
      </c>
    </row>
    <row r="707" spans="10:18">
      <c r="J707" s="122">
        <v>43837</v>
      </c>
      <c r="K707" s="123">
        <v>65.830258184240705</v>
      </c>
      <c r="L707" s="123">
        <v>47.854799999999997</v>
      </c>
      <c r="M707" s="124">
        <v>-17.975458184240708</v>
      </c>
      <c r="O707" s="39">
        <f t="shared" si="43"/>
        <v>44117</v>
      </c>
      <c r="P707" s="41">
        <f t="shared" si="40"/>
        <v>0</v>
      </c>
      <c r="Q707" s="41">
        <f t="shared" si="41"/>
        <v>0</v>
      </c>
      <c r="R707" s="41">
        <f t="shared" si="42"/>
        <v>0</v>
      </c>
    </row>
    <row r="708" spans="10:18">
      <c r="J708" s="122">
        <v>43836</v>
      </c>
      <c r="K708" s="123">
        <v>65.830258184240705</v>
      </c>
      <c r="L708" s="123">
        <v>48.308399999999999</v>
      </c>
      <c r="M708" s="124">
        <v>-17.521858184240706</v>
      </c>
      <c r="O708" s="39">
        <f t="shared" si="43"/>
        <v>44116</v>
      </c>
      <c r="P708" s="41">
        <f t="shared" si="40"/>
        <v>0</v>
      </c>
      <c r="Q708" s="41">
        <f t="shared" si="41"/>
        <v>0</v>
      </c>
      <c r="R708" s="41">
        <f t="shared" si="42"/>
        <v>0</v>
      </c>
    </row>
    <row r="709" spans="10:18">
      <c r="J709" s="122">
        <v>43833</v>
      </c>
      <c r="K709" s="123">
        <v>65.830258184240705</v>
      </c>
      <c r="L709" s="123">
        <v>48.145104000000003</v>
      </c>
      <c r="M709" s="124">
        <v>-17.685154184240702</v>
      </c>
      <c r="O709" s="39">
        <f t="shared" si="43"/>
        <v>44115</v>
      </c>
      <c r="P709" s="41">
        <f t="shared" si="40"/>
        <v>0</v>
      </c>
      <c r="Q709" s="41">
        <f t="shared" si="41"/>
        <v>0</v>
      </c>
      <c r="R709" s="41">
        <f t="shared" si="42"/>
        <v>0</v>
      </c>
    </row>
    <row r="710" spans="10:18">
      <c r="J710" s="122">
        <v>43832</v>
      </c>
      <c r="K710" s="123">
        <v>66.193138184240709</v>
      </c>
      <c r="L710" s="123">
        <v>46.720799999999997</v>
      </c>
      <c r="M710" s="124">
        <v>-19.472338184240712</v>
      </c>
      <c r="O710" s="39">
        <f t="shared" si="43"/>
        <v>44114</v>
      </c>
      <c r="P710" s="41">
        <f t="shared" ref="P710:P773" si="44">IFERROR(VLOOKUP($O710,$J$5:$M$403,2,FALSE),P711)</f>
        <v>0</v>
      </c>
      <c r="Q710" s="41">
        <f t="shared" ref="Q710:Q773" si="45">IFERROR(VLOOKUP($O710,$J$5:$M$403,3,FALSE),Q711)</f>
        <v>0</v>
      </c>
      <c r="R710" s="41">
        <f t="shared" ref="R710:R773" si="46">IFERROR(VLOOKUP($O710,$J$5:$M$403,4,FALSE),R711)</f>
        <v>0</v>
      </c>
    </row>
    <row r="711" spans="10:18">
      <c r="J711" s="122">
        <v>43831</v>
      </c>
      <c r="K711" s="123">
        <v>66.193138184240709</v>
      </c>
      <c r="L711" s="123">
        <v>46.720799999999997</v>
      </c>
      <c r="M711" s="124">
        <v>-19.472338184240712</v>
      </c>
      <c r="O711" s="39">
        <f t="shared" ref="O711:O774" si="47">O710-1</f>
        <v>44113</v>
      </c>
      <c r="P711" s="41">
        <f t="shared" si="44"/>
        <v>0</v>
      </c>
      <c r="Q711" s="41">
        <f t="shared" si="45"/>
        <v>0</v>
      </c>
      <c r="R711" s="41">
        <f t="shared" si="46"/>
        <v>0</v>
      </c>
    </row>
    <row r="712" spans="10:18">
      <c r="J712" s="122">
        <v>43830</v>
      </c>
      <c r="K712" s="123">
        <v>66.714159301231859</v>
      </c>
      <c r="L712" s="123">
        <v>46.720799999999997</v>
      </c>
      <c r="M712" s="124">
        <v>-19.993359301231862</v>
      </c>
      <c r="O712" s="39">
        <f t="shared" si="47"/>
        <v>44112</v>
      </c>
      <c r="P712" s="41">
        <f t="shared" si="44"/>
        <v>0</v>
      </c>
      <c r="Q712" s="41">
        <f t="shared" si="45"/>
        <v>0</v>
      </c>
      <c r="R712" s="41">
        <f t="shared" si="46"/>
        <v>0</v>
      </c>
    </row>
    <row r="713" spans="10:18">
      <c r="J713" s="122">
        <v>43829</v>
      </c>
      <c r="K713" s="123">
        <v>66.714159301231859</v>
      </c>
      <c r="L713" s="123">
        <v>47.401200000000003</v>
      </c>
      <c r="M713" s="124">
        <v>-19.312959301231857</v>
      </c>
      <c r="O713" s="39">
        <f t="shared" si="47"/>
        <v>44111</v>
      </c>
      <c r="P713" s="41">
        <f t="shared" si="44"/>
        <v>0</v>
      </c>
      <c r="Q713" s="41">
        <f t="shared" si="45"/>
        <v>0</v>
      </c>
      <c r="R713" s="41">
        <f t="shared" si="46"/>
        <v>0</v>
      </c>
    </row>
    <row r="714" spans="10:18">
      <c r="J714" s="122">
        <v>43826</v>
      </c>
      <c r="K714" s="123">
        <v>66.714159301231859</v>
      </c>
      <c r="L714" s="123">
        <v>48.462624000000005</v>
      </c>
      <c r="M714" s="124">
        <v>-18.251535301231854</v>
      </c>
      <c r="O714" s="39">
        <f t="shared" si="47"/>
        <v>44110</v>
      </c>
      <c r="P714" s="41">
        <f t="shared" si="44"/>
        <v>0</v>
      </c>
      <c r="Q714" s="41">
        <f t="shared" si="45"/>
        <v>0</v>
      </c>
      <c r="R714" s="41">
        <f t="shared" si="46"/>
        <v>0</v>
      </c>
    </row>
    <row r="715" spans="10:18">
      <c r="J715" s="122">
        <v>43825</v>
      </c>
      <c r="K715" s="123">
        <v>66.714159301231859</v>
      </c>
      <c r="L715" s="123">
        <v>48.362832000000004</v>
      </c>
      <c r="M715" s="124">
        <v>-18.351327301231855</v>
      </c>
      <c r="O715" s="39">
        <f t="shared" si="47"/>
        <v>44109</v>
      </c>
      <c r="P715" s="41">
        <f t="shared" si="44"/>
        <v>0</v>
      </c>
      <c r="Q715" s="41">
        <f t="shared" si="45"/>
        <v>0</v>
      </c>
      <c r="R715" s="41">
        <f t="shared" si="46"/>
        <v>0</v>
      </c>
    </row>
    <row r="716" spans="10:18">
      <c r="J716" s="122">
        <v>43824</v>
      </c>
      <c r="K716" s="123">
        <v>66.714159301231859</v>
      </c>
      <c r="L716" s="123">
        <v>48.362832000000004</v>
      </c>
      <c r="M716" s="124">
        <v>-18.351327301231855</v>
      </c>
      <c r="O716" s="39">
        <f t="shared" si="47"/>
        <v>44108</v>
      </c>
      <c r="P716" s="41">
        <f t="shared" si="44"/>
        <v>0</v>
      </c>
      <c r="Q716" s="41">
        <f t="shared" si="45"/>
        <v>0</v>
      </c>
      <c r="R716" s="41">
        <f t="shared" si="46"/>
        <v>0</v>
      </c>
    </row>
    <row r="717" spans="10:18">
      <c r="J717" s="122">
        <v>43823</v>
      </c>
      <c r="K717" s="123">
        <v>66.714159301231859</v>
      </c>
      <c r="L717" s="123">
        <v>48.362832000000004</v>
      </c>
      <c r="M717" s="124">
        <v>-18.351327301231855</v>
      </c>
      <c r="O717" s="39">
        <f t="shared" si="47"/>
        <v>44107</v>
      </c>
      <c r="P717" s="41">
        <f t="shared" si="44"/>
        <v>0</v>
      </c>
      <c r="Q717" s="41">
        <f t="shared" si="45"/>
        <v>0</v>
      </c>
      <c r="R717" s="41">
        <f t="shared" si="46"/>
        <v>0</v>
      </c>
    </row>
    <row r="718" spans="10:18">
      <c r="J718" s="122">
        <v>43822</v>
      </c>
      <c r="K718" s="123">
        <v>66.714159301231859</v>
      </c>
      <c r="L718" s="123">
        <v>47.745936</v>
      </c>
      <c r="M718" s="124">
        <v>-18.968223301231859</v>
      </c>
      <c r="O718" s="39">
        <f t="shared" si="47"/>
        <v>44106</v>
      </c>
      <c r="P718" s="41">
        <f t="shared" si="44"/>
        <v>0</v>
      </c>
      <c r="Q718" s="41">
        <f t="shared" si="45"/>
        <v>0</v>
      </c>
      <c r="R718" s="41">
        <f t="shared" si="46"/>
        <v>0</v>
      </c>
    </row>
    <row r="719" spans="10:18">
      <c r="J719" s="122">
        <v>43819</v>
      </c>
      <c r="K719" s="123">
        <v>66.714159301231859</v>
      </c>
      <c r="L719" s="123">
        <v>47.628</v>
      </c>
      <c r="M719" s="124">
        <v>-19.086159301231859</v>
      </c>
      <c r="O719" s="39">
        <f t="shared" si="47"/>
        <v>44105</v>
      </c>
      <c r="P719" s="41">
        <f t="shared" si="44"/>
        <v>0</v>
      </c>
      <c r="Q719" s="41">
        <f t="shared" si="45"/>
        <v>0</v>
      </c>
      <c r="R719" s="41">
        <f t="shared" si="46"/>
        <v>0</v>
      </c>
    </row>
    <row r="720" spans="10:18">
      <c r="J720" s="122">
        <v>43818</v>
      </c>
      <c r="K720" s="123">
        <v>67.756824791649564</v>
      </c>
      <c r="L720" s="123">
        <v>47.90016</v>
      </c>
      <c r="M720" s="124">
        <v>-19.856664791649564</v>
      </c>
      <c r="O720" s="39">
        <f t="shared" si="47"/>
        <v>44104</v>
      </c>
      <c r="P720" s="41">
        <f t="shared" si="44"/>
        <v>0</v>
      </c>
      <c r="Q720" s="41">
        <f t="shared" si="45"/>
        <v>0</v>
      </c>
      <c r="R720" s="41">
        <f t="shared" si="46"/>
        <v>0</v>
      </c>
    </row>
    <row r="721" spans="10:18">
      <c r="J721" s="122">
        <v>43817</v>
      </c>
      <c r="K721" s="123">
        <v>67.756824791649564</v>
      </c>
      <c r="L721" s="123">
        <v>48.072528000000005</v>
      </c>
      <c r="M721" s="124">
        <v>-19.684296791649558</v>
      </c>
      <c r="O721" s="39">
        <f t="shared" si="47"/>
        <v>44103</v>
      </c>
      <c r="P721" s="41">
        <f t="shared" si="44"/>
        <v>0</v>
      </c>
      <c r="Q721" s="41">
        <f t="shared" si="45"/>
        <v>0</v>
      </c>
      <c r="R721" s="41">
        <f t="shared" si="46"/>
        <v>0</v>
      </c>
    </row>
    <row r="722" spans="10:18">
      <c r="J722" s="122">
        <v>43816</v>
      </c>
      <c r="K722" s="123">
        <v>67.756824791649564</v>
      </c>
      <c r="L722" s="123">
        <v>47.745936</v>
      </c>
      <c r="M722" s="124">
        <v>-20.010888791649563</v>
      </c>
      <c r="O722" s="39">
        <f t="shared" si="47"/>
        <v>44102</v>
      </c>
      <c r="P722" s="41">
        <f t="shared" si="44"/>
        <v>0</v>
      </c>
      <c r="Q722" s="41">
        <f t="shared" si="45"/>
        <v>0</v>
      </c>
      <c r="R722" s="41">
        <f t="shared" si="46"/>
        <v>0</v>
      </c>
    </row>
    <row r="723" spans="10:18">
      <c r="J723" s="122">
        <v>43815</v>
      </c>
      <c r="K723" s="123">
        <v>67.756824791649564</v>
      </c>
      <c r="L723" s="123">
        <v>47.909232000000003</v>
      </c>
      <c r="M723" s="124">
        <v>-19.847592791649561</v>
      </c>
      <c r="O723" s="39">
        <f t="shared" si="47"/>
        <v>44101</v>
      </c>
      <c r="P723" s="41">
        <f t="shared" si="44"/>
        <v>0</v>
      </c>
      <c r="Q723" s="41">
        <f t="shared" si="45"/>
        <v>0</v>
      </c>
      <c r="R723" s="41">
        <f t="shared" si="46"/>
        <v>0</v>
      </c>
    </row>
    <row r="724" spans="10:18">
      <c r="J724" s="122">
        <v>43812</v>
      </c>
      <c r="K724" s="123">
        <v>67.756824791649564</v>
      </c>
      <c r="L724" s="123">
        <v>48.390048</v>
      </c>
      <c r="M724" s="124">
        <v>-19.366776791649563</v>
      </c>
      <c r="O724" s="39">
        <f t="shared" si="47"/>
        <v>44100</v>
      </c>
      <c r="P724" s="41">
        <f t="shared" si="44"/>
        <v>0</v>
      </c>
      <c r="Q724" s="41">
        <f t="shared" si="45"/>
        <v>0</v>
      </c>
      <c r="R724" s="41">
        <f t="shared" si="46"/>
        <v>0</v>
      </c>
    </row>
    <row r="725" spans="10:18">
      <c r="J725" s="122">
        <v>43811</v>
      </c>
      <c r="K725" s="123">
        <v>67.42826985972745</v>
      </c>
      <c r="L725" s="123">
        <v>47.927375999999995</v>
      </c>
      <c r="M725" s="124">
        <v>-19.500893859727455</v>
      </c>
      <c r="O725" s="39">
        <f t="shared" si="47"/>
        <v>44099</v>
      </c>
      <c r="P725" s="41">
        <f t="shared" si="44"/>
        <v>0</v>
      </c>
      <c r="Q725" s="41">
        <f t="shared" si="45"/>
        <v>0</v>
      </c>
      <c r="R725" s="41">
        <f t="shared" si="46"/>
        <v>0</v>
      </c>
    </row>
    <row r="726" spans="10:18">
      <c r="J726" s="122">
        <v>43810</v>
      </c>
      <c r="K726" s="123">
        <v>67.42826985972745</v>
      </c>
      <c r="L726" s="123">
        <v>48.426335999999999</v>
      </c>
      <c r="M726" s="124">
        <v>-19.001933859727451</v>
      </c>
      <c r="O726" s="39">
        <f t="shared" si="47"/>
        <v>44098</v>
      </c>
      <c r="P726" s="41">
        <f t="shared" si="44"/>
        <v>0</v>
      </c>
      <c r="Q726" s="41">
        <f t="shared" si="45"/>
        <v>0</v>
      </c>
      <c r="R726" s="41">
        <f t="shared" si="46"/>
        <v>0</v>
      </c>
    </row>
    <row r="727" spans="10:18">
      <c r="J727" s="122">
        <v>43809</v>
      </c>
      <c r="K727" s="123">
        <v>67.42826985972745</v>
      </c>
      <c r="L727" s="123">
        <v>47.818511999999998</v>
      </c>
      <c r="M727" s="124">
        <v>-19.609757859727452</v>
      </c>
      <c r="O727" s="39">
        <f t="shared" si="47"/>
        <v>44097</v>
      </c>
      <c r="P727" s="41">
        <f t="shared" si="44"/>
        <v>0</v>
      </c>
      <c r="Q727" s="41">
        <f t="shared" si="45"/>
        <v>0</v>
      </c>
      <c r="R727" s="41">
        <f t="shared" si="46"/>
        <v>0</v>
      </c>
    </row>
    <row r="728" spans="10:18">
      <c r="J728" s="122">
        <v>43808</v>
      </c>
      <c r="K728" s="123">
        <v>67.42826985972745</v>
      </c>
      <c r="L728" s="123">
        <v>48.244895999999997</v>
      </c>
      <c r="M728" s="124">
        <v>-19.183373859727453</v>
      </c>
      <c r="O728" s="39">
        <f t="shared" si="47"/>
        <v>44096</v>
      </c>
      <c r="P728" s="41">
        <f t="shared" si="44"/>
        <v>0</v>
      </c>
      <c r="Q728" s="41">
        <f t="shared" si="45"/>
        <v>0</v>
      </c>
      <c r="R728" s="41">
        <f t="shared" si="46"/>
        <v>0</v>
      </c>
    </row>
    <row r="729" spans="10:18">
      <c r="J729" s="122">
        <v>43805</v>
      </c>
      <c r="K729" s="123">
        <v>67.42826985972745</v>
      </c>
      <c r="L729" s="123">
        <v>49.224671999999998</v>
      </c>
      <c r="M729" s="124">
        <v>-18.203597859727452</v>
      </c>
      <c r="O729" s="39">
        <f t="shared" si="47"/>
        <v>44095</v>
      </c>
      <c r="P729" s="41">
        <f t="shared" si="44"/>
        <v>0</v>
      </c>
      <c r="Q729" s="41">
        <f t="shared" si="45"/>
        <v>0</v>
      </c>
      <c r="R729" s="41">
        <f t="shared" si="46"/>
        <v>0</v>
      </c>
    </row>
    <row r="730" spans="10:18">
      <c r="J730" s="122">
        <v>43804</v>
      </c>
      <c r="K730" s="123">
        <v>65.141878306523907</v>
      </c>
      <c r="L730" s="123">
        <v>50.249808000000002</v>
      </c>
      <c r="M730" s="124">
        <v>-14.892070306523905</v>
      </c>
      <c r="O730" s="39">
        <f t="shared" si="47"/>
        <v>44094</v>
      </c>
      <c r="P730" s="41">
        <f t="shared" si="44"/>
        <v>0</v>
      </c>
      <c r="Q730" s="41">
        <f t="shared" si="45"/>
        <v>0</v>
      </c>
      <c r="R730" s="41">
        <f t="shared" si="46"/>
        <v>0</v>
      </c>
    </row>
    <row r="731" spans="10:18">
      <c r="J731" s="122">
        <v>43803</v>
      </c>
      <c r="K731" s="123">
        <v>65.141878306523907</v>
      </c>
      <c r="L731" s="123">
        <v>48.952511999999999</v>
      </c>
      <c r="M731" s="124">
        <v>-16.189366306523908</v>
      </c>
      <c r="O731" s="39">
        <f t="shared" si="47"/>
        <v>44093</v>
      </c>
      <c r="P731" s="41">
        <f t="shared" si="44"/>
        <v>0</v>
      </c>
      <c r="Q731" s="41">
        <f t="shared" si="45"/>
        <v>0</v>
      </c>
      <c r="R731" s="41">
        <f t="shared" si="46"/>
        <v>0</v>
      </c>
    </row>
    <row r="732" spans="10:18">
      <c r="J732" s="122">
        <v>43802</v>
      </c>
      <c r="K732" s="123">
        <v>65.141878306523907</v>
      </c>
      <c r="L732" s="123">
        <v>51.556176000000001</v>
      </c>
      <c r="M732" s="124">
        <v>-13.585702306523906</v>
      </c>
      <c r="O732" s="39">
        <f t="shared" si="47"/>
        <v>44092</v>
      </c>
      <c r="P732" s="41">
        <f t="shared" si="44"/>
        <v>0</v>
      </c>
      <c r="Q732" s="41">
        <f t="shared" si="45"/>
        <v>0</v>
      </c>
      <c r="R732" s="41">
        <f t="shared" si="46"/>
        <v>0</v>
      </c>
    </row>
    <row r="733" spans="10:18">
      <c r="J733" s="122">
        <v>43801</v>
      </c>
      <c r="K733" s="123">
        <v>65.141878306523907</v>
      </c>
      <c r="L733" s="123">
        <v>52.164000000000001</v>
      </c>
      <c r="M733" s="124">
        <v>-12.977878306523905</v>
      </c>
      <c r="O733" s="39">
        <f t="shared" si="47"/>
        <v>44091</v>
      </c>
      <c r="P733" s="41">
        <f t="shared" si="44"/>
        <v>0</v>
      </c>
      <c r="Q733" s="41">
        <f t="shared" si="45"/>
        <v>0</v>
      </c>
      <c r="R733" s="41">
        <f t="shared" si="46"/>
        <v>0</v>
      </c>
    </row>
    <row r="734" spans="10:18">
      <c r="J734" s="122">
        <v>43798</v>
      </c>
      <c r="K734" s="123">
        <v>65.141878306523907</v>
      </c>
      <c r="L734" s="123">
        <v>51.43824</v>
      </c>
      <c r="M734" s="124">
        <v>-13.703638306523906</v>
      </c>
      <c r="O734" s="39">
        <f t="shared" si="47"/>
        <v>44090</v>
      </c>
      <c r="P734" s="41">
        <f t="shared" si="44"/>
        <v>0</v>
      </c>
      <c r="Q734" s="41">
        <f t="shared" si="45"/>
        <v>0</v>
      </c>
      <c r="R734" s="41">
        <f t="shared" si="46"/>
        <v>0</v>
      </c>
    </row>
    <row r="735" spans="10:18">
      <c r="J735" s="122">
        <v>43797</v>
      </c>
      <c r="K735" s="123">
        <v>63.851571971426537</v>
      </c>
      <c r="L735" s="123">
        <v>51.547103999999997</v>
      </c>
      <c r="M735" s="124">
        <v>-12.30446797142654</v>
      </c>
      <c r="O735" s="39">
        <f t="shared" si="47"/>
        <v>44089</v>
      </c>
      <c r="P735" s="41">
        <f t="shared" si="44"/>
        <v>0</v>
      </c>
      <c r="Q735" s="41">
        <f t="shared" si="45"/>
        <v>0</v>
      </c>
      <c r="R735" s="41">
        <f t="shared" si="46"/>
        <v>0</v>
      </c>
    </row>
    <row r="736" spans="10:18">
      <c r="J736" s="122">
        <v>43796</v>
      </c>
      <c r="K736" s="123">
        <v>63.851571971426537</v>
      </c>
      <c r="L736" s="123">
        <v>52.164000000000001</v>
      </c>
      <c r="M736" s="124">
        <v>-11.687571971426536</v>
      </c>
      <c r="O736" s="39">
        <f t="shared" si="47"/>
        <v>44088</v>
      </c>
      <c r="P736" s="41">
        <f t="shared" si="44"/>
        <v>0</v>
      </c>
      <c r="Q736" s="41">
        <f t="shared" si="45"/>
        <v>0</v>
      </c>
      <c r="R736" s="41">
        <f t="shared" si="46"/>
        <v>0</v>
      </c>
    </row>
    <row r="737" spans="10:18">
      <c r="J737" s="122">
        <v>43795</v>
      </c>
      <c r="K737" s="123">
        <v>63.851571971426537</v>
      </c>
      <c r="L737" s="123">
        <v>52.390799999999999</v>
      </c>
      <c r="M737" s="124">
        <v>-11.460771971426539</v>
      </c>
      <c r="O737" s="39">
        <f t="shared" si="47"/>
        <v>44087</v>
      </c>
      <c r="P737" s="41">
        <f t="shared" si="44"/>
        <v>0</v>
      </c>
      <c r="Q737" s="41">
        <f t="shared" si="45"/>
        <v>0</v>
      </c>
      <c r="R737" s="41">
        <f t="shared" si="46"/>
        <v>0</v>
      </c>
    </row>
    <row r="738" spans="10:18">
      <c r="J738" s="122">
        <v>43794</v>
      </c>
      <c r="K738" s="123">
        <v>63.851571971426537</v>
      </c>
      <c r="L738" s="123">
        <v>52.971408000000004</v>
      </c>
      <c r="M738" s="124">
        <v>-10.880163971426533</v>
      </c>
      <c r="O738" s="39">
        <f t="shared" si="47"/>
        <v>44086</v>
      </c>
      <c r="P738" s="41">
        <f t="shared" si="44"/>
        <v>0</v>
      </c>
      <c r="Q738" s="41">
        <f t="shared" si="45"/>
        <v>0</v>
      </c>
      <c r="R738" s="41">
        <f t="shared" si="46"/>
        <v>0</v>
      </c>
    </row>
    <row r="739" spans="10:18">
      <c r="J739" s="122">
        <v>43791</v>
      </c>
      <c r="K739" s="123">
        <v>63.851571971426537</v>
      </c>
      <c r="L739" s="123">
        <v>52.263792000000002</v>
      </c>
      <c r="M739" s="124">
        <v>-11.587779971426535</v>
      </c>
      <c r="O739" s="39">
        <f t="shared" si="47"/>
        <v>44085</v>
      </c>
      <c r="P739" s="41">
        <f t="shared" si="44"/>
        <v>0</v>
      </c>
      <c r="Q739" s="41">
        <f t="shared" si="45"/>
        <v>0</v>
      </c>
      <c r="R739" s="41">
        <f t="shared" si="46"/>
        <v>0</v>
      </c>
    </row>
    <row r="740" spans="10:18">
      <c r="J740" s="122">
        <v>43790</v>
      </c>
      <c r="K740" s="123">
        <v>64.069786330980534</v>
      </c>
      <c r="L740" s="123">
        <v>50.195375999999996</v>
      </c>
      <c r="M740" s="124">
        <v>-13.874410330980538</v>
      </c>
      <c r="O740" s="39">
        <f t="shared" si="47"/>
        <v>44084</v>
      </c>
      <c r="P740" s="41">
        <f t="shared" si="44"/>
        <v>0</v>
      </c>
      <c r="Q740" s="41">
        <f t="shared" si="45"/>
        <v>0</v>
      </c>
      <c r="R740" s="41">
        <f t="shared" si="46"/>
        <v>0</v>
      </c>
    </row>
    <row r="741" spans="10:18">
      <c r="J741" s="122">
        <v>43789</v>
      </c>
      <c r="K741" s="123">
        <v>64.069786330980534</v>
      </c>
      <c r="L741" s="123">
        <v>50.721551999999996</v>
      </c>
      <c r="M741" s="124">
        <v>-13.348234330980539</v>
      </c>
      <c r="O741" s="39">
        <f t="shared" si="47"/>
        <v>44083</v>
      </c>
      <c r="P741" s="41">
        <f t="shared" si="44"/>
        <v>0</v>
      </c>
      <c r="Q741" s="41">
        <f t="shared" si="45"/>
        <v>0</v>
      </c>
      <c r="R741" s="41">
        <f t="shared" si="46"/>
        <v>0</v>
      </c>
    </row>
    <row r="742" spans="10:18">
      <c r="J742" s="122">
        <v>43788</v>
      </c>
      <c r="K742" s="123">
        <v>64.069786330980534</v>
      </c>
      <c r="L742" s="123">
        <v>49.977648000000002</v>
      </c>
      <c r="M742" s="124">
        <v>-14.092138330980532</v>
      </c>
      <c r="O742" s="39">
        <f t="shared" si="47"/>
        <v>44082</v>
      </c>
      <c r="P742" s="41">
        <f t="shared" si="44"/>
        <v>0</v>
      </c>
      <c r="Q742" s="41">
        <f t="shared" si="45"/>
        <v>0</v>
      </c>
      <c r="R742" s="41">
        <f t="shared" si="46"/>
        <v>0</v>
      </c>
    </row>
    <row r="743" spans="10:18">
      <c r="J743" s="122">
        <v>43787</v>
      </c>
      <c r="K743" s="123">
        <v>64.069786330980534</v>
      </c>
      <c r="L743" s="123">
        <v>50.095584000000002</v>
      </c>
      <c r="M743" s="124">
        <v>-13.974202330980532</v>
      </c>
      <c r="O743" s="39">
        <f t="shared" si="47"/>
        <v>44081</v>
      </c>
      <c r="P743" s="41">
        <f t="shared" si="44"/>
        <v>0</v>
      </c>
      <c r="Q743" s="41">
        <f t="shared" si="45"/>
        <v>0</v>
      </c>
      <c r="R743" s="41">
        <f t="shared" si="46"/>
        <v>0</v>
      </c>
    </row>
    <row r="744" spans="10:18">
      <c r="J744" s="122">
        <v>43784</v>
      </c>
      <c r="K744" s="123">
        <v>64.069786330980534</v>
      </c>
      <c r="L744" s="123">
        <v>50.394959999999998</v>
      </c>
      <c r="M744" s="124">
        <v>-13.674826330980537</v>
      </c>
      <c r="O744" s="39">
        <f t="shared" si="47"/>
        <v>44080</v>
      </c>
      <c r="P744" s="41">
        <f t="shared" si="44"/>
        <v>0</v>
      </c>
      <c r="Q744" s="41">
        <f t="shared" si="45"/>
        <v>0</v>
      </c>
      <c r="R744" s="41">
        <f t="shared" si="46"/>
        <v>0</v>
      </c>
    </row>
    <row r="745" spans="10:18">
      <c r="J745" s="122">
        <v>43783</v>
      </c>
      <c r="K745" s="123">
        <v>64.609199001175227</v>
      </c>
      <c r="L745" s="123">
        <v>50.993712000000002</v>
      </c>
      <c r="M745" s="124">
        <v>-13.615487001175225</v>
      </c>
      <c r="O745" s="39">
        <f t="shared" si="47"/>
        <v>44079</v>
      </c>
      <c r="P745" s="41">
        <f t="shared" si="44"/>
        <v>0</v>
      </c>
      <c r="Q745" s="41">
        <f t="shared" si="45"/>
        <v>0</v>
      </c>
      <c r="R745" s="41">
        <f t="shared" si="46"/>
        <v>0</v>
      </c>
    </row>
    <row r="746" spans="10:18">
      <c r="J746" s="122">
        <v>43782</v>
      </c>
      <c r="K746" s="123">
        <v>64.609199001175227</v>
      </c>
      <c r="L746" s="123">
        <v>49.578479999999999</v>
      </c>
      <c r="M746" s="124">
        <v>-15.030719001175228</v>
      </c>
      <c r="O746" s="39">
        <f t="shared" si="47"/>
        <v>44078</v>
      </c>
      <c r="P746" s="41">
        <f t="shared" si="44"/>
        <v>0</v>
      </c>
      <c r="Q746" s="41">
        <f t="shared" si="45"/>
        <v>0</v>
      </c>
      <c r="R746" s="41">
        <f t="shared" si="46"/>
        <v>0</v>
      </c>
    </row>
    <row r="747" spans="10:18">
      <c r="J747" s="122">
        <v>43781</v>
      </c>
      <c r="K747" s="123">
        <v>64.609199001175227</v>
      </c>
      <c r="L747" s="123">
        <v>48.108816000000004</v>
      </c>
      <c r="M747" s="124">
        <v>-16.500383001175223</v>
      </c>
      <c r="O747" s="39">
        <f t="shared" si="47"/>
        <v>44077</v>
      </c>
      <c r="P747" s="41">
        <f t="shared" si="44"/>
        <v>0</v>
      </c>
      <c r="Q747" s="41">
        <f t="shared" si="45"/>
        <v>0</v>
      </c>
      <c r="R747" s="41">
        <f t="shared" si="46"/>
        <v>0</v>
      </c>
    </row>
    <row r="748" spans="10:18">
      <c r="J748" s="122">
        <v>43780</v>
      </c>
      <c r="K748" s="123">
        <v>64.609199001175227</v>
      </c>
      <c r="L748" s="123">
        <v>49.651055999999997</v>
      </c>
      <c r="M748" s="124">
        <v>-14.95814300117523</v>
      </c>
      <c r="O748" s="39">
        <f t="shared" si="47"/>
        <v>44076</v>
      </c>
      <c r="P748" s="41">
        <f t="shared" si="44"/>
        <v>0</v>
      </c>
      <c r="Q748" s="41">
        <f t="shared" si="45"/>
        <v>0</v>
      </c>
      <c r="R748" s="41">
        <f t="shared" si="46"/>
        <v>0</v>
      </c>
    </row>
    <row r="749" spans="10:18">
      <c r="J749" s="122">
        <v>43777</v>
      </c>
      <c r="K749" s="123">
        <v>64.609199001175227</v>
      </c>
      <c r="L749" s="123">
        <v>50.748767999999998</v>
      </c>
      <c r="M749" s="124">
        <v>-13.860431001175229</v>
      </c>
      <c r="O749" s="39">
        <f t="shared" si="47"/>
        <v>44075</v>
      </c>
      <c r="P749" s="41">
        <f t="shared" si="44"/>
        <v>0</v>
      </c>
      <c r="Q749" s="41">
        <f t="shared" si="45"/>
        <v>0</v>
      </c>
      <c r="R749" s="41">
        <f t="shared" si="46"/>
        <v>0</v>
      </c>
    </row>
    <row r="750" spans="10:18">
      <c r="J750" s="122">
        <v>43776</v>
      </c>
      <c r="K750" s="123">
        <v>65.099582107582293</v>
      </c>
      <c r="L750" s="123">
        <v>50.349600000000002</v>
      </c>
      <c r="M750" s="124">
        <v>-14.749982107582291</v>
      </c>
      <c r="O750" s="39">
        <f t="shared" si="47"/>
        <v>44074</v>
      </c>
      <c r="P750" s="41">
        <f t="shared" si="44"/>
        <v>0</v>
      </c>
      <c r="Q750" s="41">
        <f t="shared" si="45"/>
        <v>0</v>
      </c>
      <c r="R750" s="41">
        <f t="shared" si="46"/>
        <v>0</v>
      </c>
    </row>
    <row r="751" spans="10:18">
      <c r="J751" s="122">
        <v>43775</v>
      </c>
      <c r="K751" s="123">
        <v>65.099582107582293</v>
      </c>
      <c r="L751" s="123">
        <v>51.737616000000003</v>
      </c>
      <c r="M751" s="124">
        <v>-13.36196610758229</v>
      </c>
      <c r="O751" s="39">
        <f t="shared" si="47"/>
        <v>44073</v>
      </c>
      <c r="P751" s="41">
        <f t="shared" si="44"/>
        <v>0</v>
      </c>
      <c r="Q751" s="41">
        <f t="shared" si="45"/>
        <v>0</v>
      </c>
      <c r="R751" s="41">
        <f t="shared" si="46"/>
        <v>0</v>
      </c>
    </row>
    <row r="752" spans="10:18">
      <c r="J752" s="122">
        <v>43774</v>
      </c>
      <c r="K752" s="123">
        <v>65.099582107582293</v>
      </c>
      <c r="L752" s="123">
        <v>51.265872000000002</v>
      </c>
      <c r="M752" s="124">
        <v>-13.833710107582291</v>
      </c>
      <c r="O752" s="39">
        <f t="shared" si="47"/>
        <v>44072</v>
      </c>
      <c r="P752" s="41">
        <f t="shared" si="44"/>
        <v>0</v>
      </c>
      <c r="Q752" s="41">
        <f t="shared" si="45"/>
        <v>0</v>
      </c>
      <c r="R752" s="41">
        <f t="shared" si="46"/>
        <v>0</v>
      </c>
    </row>
    <row r="753" spans="10:18">
      <c r="J753" s="122">
        <v>43773</v>
      </c>
      <c r="K753" s="123">
        <v>65.099582107582293</v>
      </c>
      <c r="L753" s="123">
        <v>51.601536000000003</v>
      </c>
      <c r="M753" s="124">
        <v>-13.49804610758229</v>
      </c>
      <c r="O753" s="39">
        <f t="shared" si="47"/>
        <v>44071</v>
      </c>
      <c r="P753" s="41">
        <f t="shared" si="44"/>
        <v>0</v>
      </c>
      <c r="Q753" s="41">
        <f t="shared" si="45"/>
        <v>0</v>
      </c>
      <c r="R753" s="41">
        <f t="shared" si="46"/>
        <v>0</v>
      </c>
    </row>
    <row r="754" spans="10:18">
      <c r="J754" s="122">
        <v>43770</v>
      </c>
      <c r="K754" s="123">
        <v>65.099582107582293</v>
      </c>
      <c r="L754" s="123">
        <v>51.420096000000001</v>
      </c>
      <c r="M754" s="124">
        <v>-13.679486107582292</v>
      </c>
      <c r="O754" s="39">
        <f t="shared" si="47"/>
        <v>44070</v>
      </c>
      <c r="P754" s="41">
        <f t="shared" si="44"/>
        <v>0</v>
      </c>
      <c r="Q754" s="41">
        <f t="shared" si="45"/>
        <v>0</v>
      </c>
      <c r="R754" s="41">
        <f t="shared" si="46"/>
        <v>0</v>
      </c>
    </row>
    <row r="755" spans="10:18">
      <c r="J755" s="122">
        <v>43769</v>
      </c>
      <c r="K755" s="123">
        <v>66.381917311815926</v>
      </c>
      <c r="L755" s="123">
        <v>49.741776000000002</v>
      </c>
      <c r="M755" s="124">
        <v>-16.640141311815924</v>
      </c>
      <c r="O755" s="39">
        <f t="shared" si="47"/>
        <v>44069</v>
      </c>
      <c r="P755" s="41">
        <f t="shared" si="44"/>
        <v>0</v>
      </c>
      <c r="Q755" s="41">
        <f t="shared" si="45"/>
        <v>0</v>
      </c>
      <c r="R755" s="41">
        <f t="shared" si="46"/>
        <v>0</v>
      </c>
    </row>
    <row r="756" spans="10:18">
      <c r="J756" s="122">
        <v>43768</v>
      </c>
      <c r="K756" s="123">
        <v>66.381917311815926</v>
      </c>
      <c r="L756" s="123">
        <v>51.665040000000005</v>
      </c>
      <c r="M756" s="124">
        <v>-14.716877311815921</v>
      </c>
      <c r="O756" s="39">
        <f t="shared" si="47"/>
        <v>44068</v>
      </c>
      <c r="P756" s="41">
        <f t="shared" si="44"/>
        <v>0</v>
      </c>
      <c r="Q756" s="41">
        <f t="shared" si="45"/>
        <v>0</v>
      </c>
      <c r="R756" s="41">
        <f t="shared" si="46"/>
        <v>0</v>
      </c>
    </row>
    <row r="757" spans="10:18">
      <c r="J757" s="122">
        <v>43767</v>
      </c>
      <c r="K757" s="123">
        <v>66.381917311815926</v>
      </c>
      <c r="L757" s="123">
        <v>50.966495999999999</v>
      </c>
      <c r="M757" s="124">
        <v>-15.415421311815926</v>
      </c>
      <c r="O757" s="39">
        <f t="shared" si="47"/>
        <v>44067</v>
      </c>
      <c r="P757" s="41">
        <f t="shared" si="44"/>
        <v>0</v>
      </c>
      <c r="Q757" s="41">
        <f t="shared" si="45"/>
        <v>0</v>
      </c>
      <c r="R757" s="41">
        <f t="shared" si="46"/>
        <v>0</v>
      </c>
    </row>
    <row r="758" spans="10:18">
      <c r="J758" s="122">
        <v>43766</v>
      </c>
      <c r="K758" s="123">
        <v>66.381917311815926</v>
      </c>
      <c r="L758" s="123">
        <v>50.948352</v>
      </c>
      <c r="M758" s="124">
        <v>-15.433565311815926</v>
      </c>
      <c r="O758" s="39">
        <f t="shared" si="47"/>
        <v>44066</v>
      </c>
      <c r="P758" s="41">
        <f t="shared" si="44"/>
        <v>0</v>
      </c>
      <c r="Q758" s="41">
        <f t="shared" si="45"/>
        <v>0</v>
      </c>
      <c r="R758" s="41">
        <f t="shared" si="46"/>
        <v>0</v>
      </c>
    </row>
    <row r="759" spans="10:18">
      <c r="J759" s="122">
        <v>43763</v>
      </c>
      <c r="K759" s="123">
        <v>66.381917311815926</v>
      </c>
      <c r="L759" s="123">
        <v>51.919055999999998</v>
      </c>
      <c r="M759" s="124">
        <v>-14.462861311815928</v>
      </c>
      <c r="O759" s="39">
        <f t="shared" si="47"/>
        <v>44065</v>
      </c>
      <c r="P759" s="41">
        <f t="shared" si="44"/>
        <v>0</v>
      </c>
      <c r="Q759" s="41">
        <f t="shared" si="45"/>
        <v>0</v>
      </c>
      <c r="R759" s="41">
        <f t="shared" si="46"/>
        <v>0</v>
      </c>
    </row>
    <row r="760" spans="10:18">
      <c r="J760" s="122">
        <v>43762</v>
      </c>
      <c r="K760" s="123">
        <v>67.085607447971682</v>
      </c>
      <c r="L760" s="123">
        <v>51.7104</v>
      </c>
      <c r="M760" s="124">
        <v>-15.375207447971682</v>
      </c>
      <c r="O760" s="39">
        <f t="shared" si="47"/>
        <v>44064</v>
      </c>
      <c r="P760" s="41">
        <f t="shared" si="44"/>
        <v>0</v>
      </c>
      <c r="Q760" s="41">
        <f t="shared" si="45"/>
        <v>0</v>
      </c>
      <c r="R760" s="41">
        <f t="shared" si="46"/>
        <v>0</v>
      </c>
    </row>
    <row r="761" spans="10:18">
      <c r="J761" s="122">
        <v>43761</v>
      </c>
      <c r="K761" s="123">
        <v>67.085607447971682</v>
      </c>
      <c r="L761" s="123">
        <v>51.919055999999998</v>
      </c>
      <c r="M761" s="124">
        <v>-15.166551447971685</v>
      </c>
      <c r="O761" s="39">
        <f t="shared" si="47"/>
        <v>44063</v>
      </c>
      <c r="P761" s="41">
        <f t="shared" si="44"/>
        <v>0</v>
      </c>
      <c r="Q761" s="41">
        <f t="shared" si="45"/>
        <v>0</v>
      </c>
      <c r="R761" s="41">
        <f t="shared" si="46"/>
        <v>0</v>
      </c>
    </row>
    <row r="762" spans="10:18">
      <c r="J762" s="122">
        <v>43760</v>
      </c>
      <c r="K762" s="123">
        <v>67.085607447971682</v>
      </c>
      <c r="L762" s="123">
        <v>52.989551999999996</v>
      </c>
      <c r="M762" s="124">
        <v>-14.096055447971686</v>
      </c>
      <c r="O762" s="39">
        <f t="shared" si="47"/>
        <v>44062</v>
      </c>
      <c r="P762" s="41">
        <f t="shared" si="44"/>
        <v>0</v>
      </c>
      <c r="Q762" s="41">
        <f t="shared" si="45"/>
        <v>0</v>
      </c>
      <c r="R762" s="41">
        <f t="shared" si="46"/>
        <v>0</v>
      </c>
    </row>
    <row r="763" spans="10:18">
      <c r="J763" s="122">
        <v>43759</v>
      </c>
      <c r="K763" s="123">
        <v>67.085607447971682</v>
      </c>
      <c r="L763" s="123">
        <v>54.658799999999999</v>
      </c>
      <c r="M763" s="124">
        <v>-12.426807447971683</v>
      </c>
      <c r="O763" s="39">
        <f t="shared" si="47"/>
        <v>44061</v>
      </c>
      <c r="P763" s="41">
        <f t="shared" si="44"/>
        <v>0</v>
      </c>
      <c r="Q763" s="41">
        <f t="shared" si="45"/>
        <v>0</v>
      </c>
      <c r="R763" s="41">
        <f t="shared" si="46"/>
        <v>0</v>
      </c>
    </row>
    <row r="764" spans="10:18">
      <c r="J764" s="122">
        <v>43756</v>
      </c>
      <c r="K764" s="123">
        <v>67.085607447971682</v>
      </c>
      <c r="L764" s="123">
        <v>54.776736</v>
      </c>
      <c r="M764" s="124">
        <v>-12.308871447971683</v>
      </c>
      <c r="O764" s="39">
        <f t="shared" si="47"/>
        <v>44060</v>
      </c>
      <c r="P764" s="41">
        <f t="shared" si="44"/>
        <v>0</v>
      </c>
      <c r="Q764" s="41">
        <f t="shared" si="45"/>
        <v>0</v>
      </c>
      <c r="R764" s="41">
        <f t="shared" si="46"/>
        <v>0</v>
      </c>
    </row>
    <row r="765" spans="10:18">
      <c r="J765" s="122">
        <v>43755</v>
      </c>
      <c r="K765" s="123">
        <v>67.333248292651334</v>
      </c>
      <c r="L765" s="123">
        <v>54.486432000000001</v>
      </c>
      <c r="M765" s="124">
        <v>-12.846816292651333</v>
      </c>
      <c r="O765" s="39">
        <f t="shared" si="47"/>
        <v>44059</v>
      </c>
      <c r="P765" s="41">
        <f t="shared" si="44"/>
        <v>0</v>
      </c>
      <c r="Q765" s="41">
        <f t="shared" si="45"/>
        <v>0</v>
      </c>
      <c r="R765" s="41">
        <f t="shared" si="46"/>
        <v>0</v>
      </c>
    </row>
    <row r="766" spans="10:18">
      <c r="J766" s="122">
        <v>43754</v>
      </c>
      <c r="K766" s="123">
        <v>67.333248292651334</v>
      </c>
      <c r="L766" s="123">
        <v>54.695087999999998</v>
      </c>
      <c r="M766" s="124">
        <v>-12.638160292651335</v>
      </c>
      <c r="O766" s="39">
        <f t="shared" si="47"/>
        <v>44058</v>
      </c>
      <c r="P766" s="41">
        <f t="shared" si="44"/>
        <v>0</v>
      </c>
      <c r="Q766" s="41">
        <f t="shared" si="45"/>
        <v>0</v>
      </c>
      <c r="R766" s="41">
        <f t="shared" si="46"/>
        <v>0</v>
      </c>
    </row>
    <row r="767" spans="10:18">
      <c r="J767" s="122">
        <v>43753</v>
      </c>
      <c r="K767" s="123">
        <v>67.333248292651334</v>
      </c>
      <c r="L767" s="123">
        <v>55.538784</v>
      </c>
      <c r="M767" s="124">
        <v>-11.794464292651334</v>
      </c>
      <c r="O767" s="39">
        <f t="shared" si="47"/>
        <v>44057</v>
      </c>
      <c r="P767" s="41">
        <f t="shared" si="44"/>
        <v>0</v>
      </c>
      <c r="Q767" s="41">
        <f t="shared" si="45"/>
        <v>0</v>
      </c>
      <c r="R767" s="41">
        <f t="shared" si="46"/>
        <v>0</v>
      </c>
    </row>
    <row r="768" spans="10:18">
      <c r="J768" s="122">
        <v>43752</v>
      </c>
      <c r="K768" s="123">
        <v>67.333248292651334</v>
      </c>
      <c r="L768" s="123">
        <v>54.695087999999998</v>
      </c>
      <c r="M768" s="124">
        <v>-12.638160292651335</v>
      </c>
      <c r="O768" s="39">
        <f t="shared" si="47"/>
        <v>44056</v>
      </c>
      <c r="P768" s="41">
        <f t="shared" si="44"/>
        <v>0</v>
      </c>
      <c r="Q768" s="41">
        <f t="shared" si="45"/>
        <v>0</v>
      </c>
      <c r="R768" s="41">
        <f t="shared" si="46"/>
        <v>0</v>
      </c>
    </row>
    <row r="769" spans="10:18">
      <c r="J769" s="122">
        <v>43749</v>
      </c>
      <c r="K769" s="123">
        <v>67.333248292651334</v>
      </c>
      <c r="L769" s="123">
        <v>55.266624</v>
      </c>
      <c r="M769" s="124">
        <v>-12.066624292651333</v>
      </c>
      <c r="O769" s="39">
        <f t="shared" si="47"/>
        <v>44055</v>
      </c>
      <c r="P769" s="41">
        <f t="shared" si="44"/>
        <v>0</v>
      </c>
      <c r="Q769" s="41">
        <f t="shared" si="45"/>
        <v>0</v>
      </c>
      <c r="R769" s="41">
        <f t="shared" si="46"/>
        <v>0</v>
      </c>
    </row>
    <row r="770" spans="10:18">
      <c r="J770" s="122">
        <v>43748</v>
      </c>
      <c r="K770" s="123">
        <v>68.185888142623028</v>
      </c>
      <c r="L770" s="123">
        <v>55.566000000000003</v>
      </c>
      <c r="M770" s="124">
        <v>-12.619888142623026</v>
      </c>
      <c r="O770" s="39">
        <f t="shared" si="47"/>
        <v>44054</v>
      </c>
      <c r="P770" s="41">
        <f t="shared" si="44"/>
        <v>0</v>
      </c>
      <c r="Q770" s="41">
        <f t="shared" si="45"/>
        <v>0</v>
      </c>
      <c r="R770" s="41">
        <f t="shared" si="46"/>
        <v>0</v>
      </c>
    </row>
    <row r="771" spans="10:18">
      <c r="J771" s="122">
        <v>43747</v>
      </c>
      <c r="K771" s="123">
        <v>68.185888142623028</v>
      </c>
      <c r="L771" s="123">
        <v>55.874448000000001</v>
      </c>
      <c r="M771" s="124">
        <v>-12.311440142623027</v>
      </c>
      <c r="O771" s="39">
        <f t="shared" si="47"/>
        <v>44053</v>
      </c>
      <c r="P771" s="41">
        <f t="shared" si="44"/>
        <v>0</v>
      </c>
      <c r="Q771" s="41">
        <f t="shared" si="45"/>
        <v>0</v>
      </c>
      <c r="R771" s="41">
        <f t="shared" si="46"/>
        <v>0</v>
      </c>
    </row>
    <row r="772" spans="10:18">
      <c r="J772" s="122">
        <v>43746</v>
      </c>
      <c r="K772" s="123">
        <v>68.185888142623028</v>
      </c>
      <c r="L772" s="123">
        <v>55.502496000000001</v>
      </c>
      <c r="M772" s="124">
        <v>-12.683392142623028</v>
      </c>
      <c r="O772" s="39">
        <f t="shared" si="47"/>
        <v>44052</v>
      </c>
      <c r="P772" s="41">
        <f t="shared" si="44"/>
        <v>0</v>
      </c>
      <c r="Q772" s="41">
        <f t="shared" si="45"/>
        <v>0</v>
      </c>
      <c r="R772" s="41">
        <f t="shared" si="46"/>
        <v>0</v>
      </c>
    </row>
    <row r="773" spans="10:18">
      <c r="J773" s="122">
        <v>43745</v>
      </c>
      <c r="K773" s="123">
        <v>68.185888142623028</v>
      </c>
      <c r="L773" s="123">
        <v>54.205199999999998</v>
      </c>
      <c r="M773" s="124">
        <v>-13.980688142623031</v>
      </c>
      <c r="O773" s="39">
        <f t="shared" si="47"/>
        <v>44051</v>
      </c>
      <c r="P773" s="41">
        <f t="shared" si="44"/>
        <v>0</v>
      </c>
      <c r="Q773" s="41">
        <f t="shared" si="45"/>
        <v>0</v>
      </c>
      <c r="R773" s="41">
        <f t="shared" si="46"/>
        <v>0</v>
      </c>
    </row>
    <row r="774" spans="10:18">
      <c r="J774" s="122">
        <v>43742</v>
      </c>
      <c r="K774" s="123">
        <v>68.185888142623028</v>
      </c>
      <c r="L774" s="123">
        <v>54.159840000000003</v>
      </c>
      <c r="M774" s="124">
        <v>-14.026048142623026</v>
      </c>
      <c r="O774" s="39">
        <f t="shared" si="47"/>
        <v>44050</v>
      </c>
      <c r="P774" s="41">
        <f t="shared" ref="P774:P779" si="48">IFERROR(VLOOKUP($O774,$J$5:$M$403,2,FALSE),P775)</f>
        <v>0</v>
      </c>
      <c r="Q774" s="41">
        <f t="shared" ref="Q774:Q779" si="49">IFERROR(VLOOKUP($O774,$J$5:$M$403,3,FALSE),Q775)</f>
        <v>0</v>
      </c>
      <c r="R774" s="41">
        <f t="shared" ref="R774:R779" si="50">IFERROR(VLOOKUP($O774,$J$5:$M$403,4,FALSE),R775)</f>
        <v>0</v>
      </c>
    </row>
    <row r="775" spans="10:18">
      <c r="J775" s="122">
        <v>43741</v>
      </c>
      <c r="K775" s="123">
        <v>68.109881385185844</v>
      </c>
      <c r="L775" s="123">
        <v>54.38664</v>
      </c>
      <c r="M775" s="124">
        <v>-13.723241385185844</v>
      </c>
      <c r="O775" s="39">
        <f t="shared" ref="O775:O779" si="51">O774-1</f>
        <v>44049</v>
      </c>
      <c r="P775" s="41">
        <f t="shared" si="48"/>
        <v>0</v>
      </c>
      <c r="Q775" s="41">
        <f t="shared" si="49"/>
        <v>0</v>
      </c>
      <c r="R775" s="41">
        <f t="shared" si="50"/>
        <v>0</v>
      </c>
    </row>
    <row r="776" spans="10:18">
      <c r="J776" s="122">
        <v>43740</v>
      </c>
      <c r="K776" s="123">
        <v>68.109881385185844</v>
      </c>
      <c r="L776" s="123">
        <v>54.286848000000006</v>
      </c>
      <c r="M776" s="124">
        <v>-13.823033385185838</v>
      </c>
      <c r="O776" s="39">
        <f t="shared" si="51"/>
        <v>44048</v>
      </c>
      <c r="P776" s="41">
        <f t="shared" si="48"/>
        <v>0</v>
      </c>
      <c r="Q776" s="41">
        <f t="shared" si="49"/>
        <v>0</v>
      </c>
      <c r="R776" s="41">
        <f t="shared" si="50"/>
        <v>0</v>
      </c>
    </row>
    <row r="777" spans="10:18">
      <c r="J777" s="122">
        <v>43739</v>
      </c>
      <c r="K777" s="123">
        <v>68.109881385185844</v>
      </c>
      <c r="L777" s="123">
        <v>54.341279999999998</v>
      </c>
      <c r="M777" s="124">
        <v>-13.768601385185846</v>
      </c>
      <c r="O777" s="39">
        <f t="shared" si="51"/>
        <v>44047</v>
      </c>
      <c r="P777" s="41">
        <f t="shared" si="48"/>
        <v>0</v>
      </c>
      <c r="Q777" s="41">
        <f t="shared" si="49"/>
        <v>0</v>
      </c>
      <c r="R777" s="41">
        <f t="shared" si="50"/>
        <v>0</v>
      </c>
    </row>
    <row r="778" spans="10:18">
      <c r="J778" s="122">
        <v>43738</v>
      </c>
      <c r="K778" s="123">
        <v>68.109881385185844</v>
      </c>
      <c r="L778" s="123">
        <v>54.25056</v>
      </c>
      <c r="M778" s="124">
        <v>-13.859321385185844</v>
      </c>
      <c r="O778" s="39">
        <f t="shared" si="51"/>
        <v>44046</v>
      </c>
      <c r="P778" s="41">
        <f t="shared" si="48"/>
        <v>0</v>
      </c>
      <c r="Q778" s="41">
        <f t="shared" si="49"/>
        <v>0</v>
      </c>
      <c r="R778" s="41">
        <f t="shared" si="50"/>
        <v>0</v>
      </c>
    </row>
    <row r="779" spans="10:18">
      <c r="J779" s="122">
        <v>43735</v>
      </c>
      <c r="K779" s="123">
        <v>68.109881385185844</v>
      </c>
      <c r="L779" s="123">
        <v>53.062128000000001</v>
      </c>
      <c r="M779" s="124">
        <v>-15.047753385185842</v>
      </c>
      <c r="O779" s="39">
        <f t="shared" si="51"/>
        <v>44045</v>
      </c>
      <c r="P779" s="41">
        <f t="shared" si="48"/>
        <v>0</v>
      </c>
      <c r="Q779" s="41">
        <f t="shared" si="49"/>
        <v>0</v>
      </c>
      <c r="R779" s="41">
        <f t="shared" si="50"/>
        <v>0</v>
      </c>
    </row>
    <row r="780" spans="10:18">
      <c r="J780" s="122">
        <v>43734</v>
      </c>
      <c r="K780" s="123">
        <v>68.576351099001769</v>
      </c>
      <c r="L780" s="123">
        <v>52.935120000000005</v>
      </c>
      <c r="M780" s="124">
        <v>-15.641231099001764</v>
      </c>
    </row>
    <row r="781" spans="10:18">
      <c r="J781" s="122">
        <v>43733</v>
      </c>
      <c r="K781" s="123">
        <v>68.576351099001769</v>
      </c>
      <c r="L781" s="123">
        <v>53.007696000000003</v>
      </c>
      <c r="M781" s="124">
        <v>-15.568655099001766</v>
      </c>
    </row>
    <row r="782" spans="10:18">
      <c r="J782" s="122">
        <v>43732</v>
      </c>
      <c r="K782" s="123">
        <v>68.576351099001769</v>
      </c>
      <c r="L782" s="123">
        <v>54.686016000000002</v>
      </c>
      <c r="M782" s="124">
        <v>-13.890335099001767</v>
      </c>
    </row>
    <row r="783" spans="10:18">
      <c r="J783" s="122">
        <v>43731</v>
      </c>
      <c r="K783" s="123">
        <v>68.576351099001769</v>
      </c>
      <c r="L783" s="123">
        <v>56.083103999999999</v>
      </c>
      <c r="M783" s="124">
        <v>-12.493247099001771</v>
      </c>
    </row>
    <row r="784" spans="10:18">
      <c r="J784" s="122">
        <v>43728</v>
      </c>
      <c r="K784" s="123">
        <v>68.576351099001769</v>
      </c>
      <c r="L784" s="123">
        <v>56.509487999999997</v>
      </c>
      <c r="M784" s="124">
        <v>-12.066863099001772</v>
      </c>
    </row>
    <row r="785" spans="10:13">
      <c r="J785" s="122">
        <v>43727</v>
      </c>
      <c r="K785" s="123">
        <v>69.356047992594696</v>
      </c>
      <c r="L785" s="123">
        <v>56.609279999999998</v>
      </c>
      <c r="M785" s="124">
        <v>-12.746767992594698</v>
      </c>
    </row>
    <row r="786" spans="10:13">
      <c r="J786" s="122">
        <v>43726</v>
      </c>
      <c r="K786" s="123">
        <v>69.356047992594696</v>
      </c>
      <c r="L786" s="123">
        <v>56.382480000000001</v>
      </c>
      <c r="M786" s="124">
        <v>-12.973567992594695</v>
      </c>
    </row>
    <row r="787" spans="10:13">
      <c r="J787" s="122">
        <v>43725</v>
      </c>
      <c r="K787" s="123">
        <v>69.356047992594696</v>
      </c>
      <c r="L787" s="123">
        <v>57.616272000000002</v>
      </c>
      <c r="M787" s="124">
        <v>-11.739775992594694</v>
      </c>
    </row>
    <row r="788" spans="10:13">
      <c r="J788" s="122">
        <v>43724</v>
      </c>
      <c r="K788" s="123">
        <v>69.356047992594696</v>
      </c>
      <c r="L788" s="123">
        <v>58.142448000000002</v>
      </c>
      <c r="M788" s="124">
        <v>-11.213599992594695</v>
      </c>
    </row>
    <row r="789" spans="10:13">
      <c r="J789" s="122">
        <v>43721</v>
      </c>
      <c r="K789" s="123">
        <v>69.356047992594696</v>
      </c>
      <c r="L789" s="123">
        <v>57.090096000000003</v>
      </c>
      <c r="M789" s="124">
        <v>-12.265951992594694</v>
      </c>
    </row>
    <row r="790" spans="10:13">
      <c r="J790" s="122">
        <v>43720</v>
      </c>
      <c r="K790" s="123">
        <v>69.777772215992911</v>
      </c>
      <c r="L790" s="123">
        <v>57.226176000000002</v>
      </c>
      <c r="M790" s="124">
        <v>-12.551596215992909</v>
      </c>
    </row>
    <row r="791" spans="10:13">
      <c r="J791" s="122">
        <v>43719</v>
      </c>
      <c r="K791" s="123">
        <v>69.777772215992911</v>
      </c>
      <c r="L791" s="123">
        <v>57.398544000000001</v>
      </c>
      <c r="M791" s="124">
        <v>-12.37922821599291</v>
      </c>
    </row>
    <row r="792" spans="10:13">
      <c r="J792" s="122">
        <v>43718</v>
      </c>
      <c r="K792" s="123">
        <v>69.777772215992911</v>
      </c>
      <c r="L792" s="123">
        <v>56.382480000000001</v>
      </c>
      <c r="M792" s="124">
        <v>-13.39529221599291</v>
      </c>
    </row>
    <row r="793" spans="10:13">
      <c r="J793" s="122">
        <v>43717</v>
      </c>
      <c r="K793" s="123">
        <v>69.777772215992911</v>
      </c>
      <c r="L793" s="123">
        <v>53.869536000000004</v>
      </c>
      <c r="M793" s="124">
        <v>-15.908236215992908</v>
      </c>
    </row>
    <row r="794" spans="10:13">
      <c r="J794" s="122">
        <v>43714</v>
      </c>
      <c r="K794" s="123">
        <v>69.777772215992911</v>
      </c>
      <c r="L794" s="123">
        <v>52.617600000000003</v>
      </c>
      <c r="M794" s="124">
        <v>-17.160172215992908</v>
      </c>
    </row>
    <row r="795" spans="10:13">
      <c r="J795" s="122">
        <v>43713</v>
      </c>
      <c r="K795" s="123">
        <v>72.759268264906183</v>
      </c>
      <c r="L795" s="123">
        <v>51.157007999999998</v>
      </c>
      <c r="M795" s="124">
        <v>-21.602260264906185</v>
      </c>
    </row>
    <row r="796" spans="10:13">
      <c r="J796" s="122">
        <v>43712</v>
      </c>
      <c r="K796" s="123">
        <v>72.759268264906183</v>
      </c>
      <c r="L796" s="123">
        <v>52.245648000000003</v>
      </c>
      <c r="M796" s="124">
        <v>-20.51362026490618</v>
      </c>
    </row>
    <row r="797" spans="10:13">
      <c r="J797" s="122">
        <v>43711</v>
      </c>
      <c r="K797" s="123">
        <v>72.759268264906183</v>
      </c>
      <c r="L797" s="123">
        <v>51.465455999999996</v>
      </c>
      <c r="M797" s="124">
        <v>-21.293812264906187</v>
      </c>
    </row>
    <row r="798" spans="10:13">
      <c r="J798" s="122">
        <v>43710</v>
      </c>
      <c r="K798" s="123">
        <v>72.759268264906183</v>
      </c>
      <c r="L798" s="123">
        <v>49.995792000000002</v>
      </c>
      <c r="M798" s="124">
        <v>-22.763476264906181</v>
      </c>
    </row>
    <row r="799" spans="10:13">
      <c r="J799" s="122">
        <v>43707</v>
      </c>
      <c r="K799" s="123">
        <v>73.280289381897347</v>
      </c>
      <c r="L799" s="123">
        <v>44.752175999999999</v>
      </c>
      <c r="M799" s="124">
        <v>-28.528113381897349</v>
      </c>
    </row>
    <row r="800" spans="10:13">
      <c r="J800" s="122">
        <v>43706</v>
      </c>
      <c r="K800" s="123">
        <v>72.064760785072565</v>
      </c>
      <c r="L800" s="123">
        <v>43.727040000000002</v>
      </c>
      <c r="M800" s="124">
        <v>-28.337720785072563</v>
      </c>
    </row>
    <row r="801" spans="10:13">
      <c r="J801" s="122">
        <v>43705</v>
      </c>
      <c r="K801" s="123">
        <v>72.064760785072565</v>
      </c>
      <c r="L801" s="123">
        <v>43.899408000000001</v>
      </c>
      <c r="M801" s="124">
        <v>-28.165352785072564</v>
      </c>
    </row>
    <row r="802" spans="10:13">
      <c r="J802" s="122">
        <v>43704</v>
      </c>
      <c r="K802" s="123">
        <v>72.064760785072565</v>
      </c>
      <c r="L802" s="123">
        <v>44.470944000000003</v>
      </c>
      <c r="M802" s="124">
        <v>-27.593816785072562</v>
      </c>
    </row>
    <row r="803" spans="10:13">
      <c r="J803" s="122">
        <v>43703</v>
      </c>
      <c r="K803" s="123">
        <v>72.064760785072565</v>
      </c>
      <c r="L803" s="123">
        <v>47.219760000000001</v>
      </c>
      <c r="M803" s="124">
        <v>-24.845000785072564</v>
      </c>
    </row>
    <row r="804" spans="10:13">
      <c r="J804" s="122">
        <v>43700</v>
      </c>
      <c r="K804" s="123">
        <v>72.064760785072565</v>
      </c>
      <c r="L804" s="123">
        <v>47.219760000000001</v>
      </c>
      <c r="M804" s="124">
        <v>-24.845000785072564</v>
      </c>
    </row>
    <row r="805" spans="10:13">
      <c r="J805" s="122">
        <v>43699</v>
      </c>
      <c r="K805" s="123">
        <v>72.593753032927438</v>
      </c>
      <c r="L805" s="123">
        <v>47.609856000000001</v>
      </c>
      <c r="M805" s="124">
        <v>-24.983897032927437</v>
      </c>
    </row>
    <row r="806" spans="10:13">
      <c r="J806" s="122">
        <v>43698</v>
      </c>
      <c r="K806" s="123">
        <v>72.593753032927438</v>
      </c>
      <c r="L806" s="123">
        <v>48.535200000000003</v>
      </c>
      <c r="M806" s="124">
        <v>-24.058553032927435</v>
      </c>
    </row>
    <row r="807" spans="10:13">
      <c r="J807" s="122">
        <v>43697</v>
      </c>
      <c r="K807" s="123">
        <v>72.593753032927438</v>
      </c>
      <c r="L807" s="123">
        <v>49.288176</v>
      </c>
      <c r="M807" s="124">
        <v>-23.305577032927438</v>
      </c>
    </row>
    <row r="808" spans="10:13">
      <c r="J808" s="122">
        <v>43696</v>
      </c>
      <c r="K808" s="123">
        <v>72.593753032927438</v>
      </c>
      <c r="L808" s="123">
        <v>50.249808000000002</v>
      </c>
      <c r="M808" s="124">
        <v>-22.343945032927437</v>
      </c>
    </row>
    <row r="809" spans="10:13">
      <c r="J809" s="122">
        <v>43693</v>
      </c>
      <c r="K809" s="123">
        <v>72.593753032927438</v>
      </c>
      <c r="L809" s="123">
        <v>49.914144</v>
      </c>
      <c r="M809" s="124">
        <v>-22.679609032927438</v>
      </c>
    </row>
    <row r="810" spans="10:13">
      <c r="J810" s="122">
        <v>43692</v>
      </c>
      <c r="K810" s="123">
        <v>70.950372610587607</v>
      </c>
      <c r="L810" s="123">
        <v>48.816431999999999</v>
      </c>
      <c r="M810" s="124">
        <v>-22.133940610587608</v>
      </c>
    </row>
    <row r="811" spans="10:13">
      <c r="J811" s="122">
        <v>43691</v>
      </c>
      <c r="K811" s="123">
        <v>70.950372610587607</v>
      </c>
      <c r="L811" s="123">
        <v>49.896000000000001</v>
      </c>
      <c r="M811" s="124">
        <v>-21.054372610587606</v>
      </c>
    </row>
    <row r="812" spans="10:13">
      <c r="J812" s="122">
        <v>43690</v>
      </c>
      <c r="K812" s="123">
        <v>70.950372610587607</v>
      </c>
      <c r="L812" s="123">
        <v>50.349600000000002</v>
      </c>
      <c r="M812" s="124">
        <v>-20.600772610587605</v>
      </c>
    </row>
    <row r="813" spans="10:13">
      <c r="J813" s="122">
        <v>43689</v>
      </c>
      <c r="K813" s="123">
        <v>70.950372610587607</v>
      </c>
      <c r="L813" s="123">
        <v>50.204448000000006</v>
      </c>
      <c r="M813" s="124">
        <v>-20.745924610587601</v>
      </c>
    </row>
    <row r="814" spans="10:13">
      <c r="J814" s="122">
        <v>43686</v>
      </c>
      <c r="K814" s="123">
        <v>70.950372610587607</v>
      </c>
      <c r="L814" s="123">
        <v>50.213520000000003</v>
      </c>
      <c r="M814" s="124">
        <v>-20.736852610587604</v>
      </c>
    </row>
    <row r="815" spans="10:13">
      <c r="J815" s="122">
        <v>43685</v>
      </c>
      <c r="K815" s="123">
        <v>71.585403863734513</v>
      </c>
      <c r="L815" s="123">
        <v>50.131872000000001</v>
      </c>
      <c r="M815" s="124">
        <v>-21.453531863734511</v>
      </c>
    </row>
    <row r="816" spans="10:13">
      <c r="J816" s="122">
        <v>43684</v>
      </c>
      <c r="K816" s="123">
        <v>71.585403863734513</v>
      </c>
      <c r="L816" s="123">
        <v>50.231663999999995</v>
      </c>
      <c r="M816" s="124">
        <v>-21.353739863734518</v>
      </c>
    </row>
    <row r="817" spans="10:13">
      <c r="J817" s="122">
        <v>43683</v>
      </c>
      <c r="K817" s="123">
        <v>71.585403863734513</v>
      </c>
      <c r="L817" s="123">
        <v>49.923216000000004</v>
      </c>
      <c r="M817" s="124">
        <v>-21.662187863734509</v>
      </c>
    </row>
    <row r="818" spans="10:13">
      <c r="J818" s="122">
        <v>43682</v>
      </c>
      <c r="K818" s="123">
        <v>71.585403863734513</v>
      </c>
      <c r="L818" s="123">
        <v>51.229584000000003</v>
      </c>
      <c r="M818" s="124">
        <v>-20.35581986373451</v>
      </c>
    </row>
    <row r="819" spans="10:13">
      <c r="J819" s="122">
        <v>43679</v>
      </c>
      <c r="K819" s="123">
        <v>71.585403863734513</v>
      </c>
      <c r="L819" s="123">
        <v>52.245648000000003</v>
      </c>
      <c r="M819" s="124">
        <v>-19.33975586373451</v>
      </c>
    </row>
    <row r="820" spans="10:13">
      <c r="J820" s="122">
        <v>43678</v>
      </c>
      <c r="K820" s="123">
        <v>74.012159490307965</v>
      </c>
      <c r="L820" s="123">
        <v>53.524799999999999</v>
      </c>
      <c r="M820" s="124">
        <v>-20.487359490307966</v>
      </c>
    </row>
    <row r="821" spans="10:13">
      <c r="J821" s="122">
        <v>43677</v>
      </c>
      <c r="K821" s="123">
        <v>74.012159490307965</v>
      </c>
      <c r="L821" s="123">
        <v>52.944192000000001</v>
      </c>
      <c r="M821" s="124">
        <v>-21.067967490307964</v>
      </c>
    </row>
    <row r="822" spans="10:13">
      <c r="J822" s="122">
        <v>43676</v>
      </c>
      <c r="K822" s="123">
        <v>74.012159490307965</v>
      </c>
      <c r="L822" s="123">
        <v>53.207279999999997</v>
      </c>
      <c r="M822" s="124">
        <v>-20.804879490307968</v>
      </c>
    </row>
    <row r="823" spans="10:13">
      <c r="J823" s="122">
        <v>43675</v>
      </c>
      <c r="K823" s="123">
        <v>74.012159490307965</v>
      </c>
      <c r="L823" s="123">
        <v>54.38664</v>
      </c>
      <c r="M823" s="124">
        <v>-19.625519490307965</v>
      </c>
    </row>
    <row r="824" spans="10:13">
      <c r="J824" s="122">
        <v>43672</v>
      </c>
      <c r="K824" s="123">
        <v>74.012159490307965</v>
      </c>
      <c r="L824" s="123">
        <v>55.085183999999998</v>
      </c>
      <c r="M824" s="124">
        <v>-18.926975490307967</v>
      </c>
    </row>
    <row r="825" spans="10:13">
      <c r="J825" s="122">
        <v>43671</v>
      </c>
      <c r="K825" s="123">
        <v>74.952455539221233</v>
      </c>
      <c r="L825" s="123">
        <v>55.556927999999999</v>
      </c>
      <c r="M825" s="124">
        <v>-19.395527539221234</v>
      </c>
    </row>
    <row r="826" spans="10:13">
      <c r="J826" s="122">
        <v>43670</v>
      </c>
      <c r="K826" s="123">
        <v>74.952455539221233</v>
      </c>
      <c r="L826" s="123">
        <v>56.300832</v>
      </c>
      <c r="M826" s="124">
        <v>-18.651623539221234</v>
      </c>
    </row>
    <row r="827" spans="10:13">
      <c r="J827" s="122">
        <v>43669</v>
      </c>
      <c r="K827" s="123">
        <v>74.952455539221233</v>
      </c>
      <c r="L827" s="123">
        <v>55.883520000000004</v>
      </c>
      <c r="M827" s="124">
        <v>-19.068935539221229</v>
      </c>
    </row>
    <row r="828" spans="10:13">
      <c r="J828" s="122">
        <v>43668</v>
      </c>
      <c r="K828" s="123">
        <v>74.952455539221233</v>
      </c>
      <c r="L828" s="123">
        <v>56.228255999999995</v>
      </c>
      <c r="M828" s="124">
        <v>-18.724199539221239</v>
      </c>
    </row>
    <row r="829" spans="10:13">
      <c r="J829" s="122">
        <v>43665</v>
      </c>
      <c r="K829" s="123">
        <v>74.952455539221233</v>
      </c>
      <c r="L829" s="123">
        <v>55.012608</v>
      </c>
      <c r="M829" s="124">
        <v>-19.939847539221233</v>
      </c>
    </row>
    <row r="830" spans="10:13">
      <c r="J830" s="122">
        <v>43664</v>
      </c>
      <c r="K830" s="123">
        <v>74.092450321115038</v>
      </c>
      <c r="L830" s="123">
        <v>54.096336000000001</v>
      </c>
      <c r="M830" s="124">
        <v>-19.996114321115037</v>
      </c>
    </row>
    <row r="831" spans="10:13">
      <c r="J831" s="122">
        <v>43663</v>
      </c>
      <c r="K831" s="123">
        <v>74.092450321115038</v>
      </c>
      <c r="L831" s="123">
        <v>52.907904000000002</v>
      </c>
      <c r="M831" s="124">
        <v>-21.184546321115036</v>
      </c>
    </row>
    <row r="832" spans="10:13">
      <c r="J832" s="122">
        <v>43662</v>
      </c>
      <c r="K832" s="123">
        <v>74.092450321115038</v>
      </c>
      <c r="L832" s="123">
        <v>52.762751999999999</v>
      </c>
      <c r="M832" s="124">
        <v>-21.329698321115039</v>
      </c>
    </row>
    <row r="833" spans="10:13">
      <c r="J833" s="122">
        <v>43661</v>
      </c>
      <c r="K833" s="123">
        <v>74.092450321115038</v>
      </c>
      <c r="L833" s="123">
        <v>54.377567999999997</v>
      </c>
      <c r="M833" s="124">
        <v>-19.714882321115041</v>
      </c>
    </row>
    <row r="834" spans="10:13">
      <c r="J834" s="122">
        <v>43658</v>
      </c>
      <c r="K834" s="123">
        <v>74.092450321115038</v>
      </c>
      <c r="L834" s="123">
        <v>54.341279999999998</v>
      </c>
      <c r="M834" s="124">
        <v>-19.75117032111504</v>
      </c>
    </row>
    <row r="835" spans="10:13">
      <c r="J835" s="122">
        <v>43657</v>
      </c>
      <c r="K835" s="123">
        <v>73.275961574261956</v>
      </c>
      <c r="L835" s="123">
        <v>54.513648000000003</v>
      </c>
      <c r="M835" s="124">
        <v>-18.762313574261952</v>
      </c>
    </row>
    <row r="836" spans="10:13">
      <c r="J836" s="122">
        <v>43656</v>
      </c>
      <c r="K836" s="123">
        <v>73.275961574261956</v>
      </c>
      <c r="L836" s="123">
        <v>52.608528</v>
      </c>
      <c r="M836" s="124">
        <v>-20.667433574261956</v>
      </c>
    </row>
    <row r="837" spans="10:13">
      <c r="J837" s="122">
        <v>43655</v>
      </c>
      <c r="K837" s="123">
        <v>73.275961574261956</v>
      </c>
      <c r="L837" s="123">
        <v>52.454304</v>
      </c>
      <c r="M837" s="124">
        <v>-20.821657574261955</v>
      </c>
    </row>
    <row r="838" spans="10:13">
      <c r="J838" s="122">
        <v>43654</v>
      </c>
      <c r="K838" s="123">
        <v>73.275961574261956</v>
      </c>
      <c r="L838" s="123">
        <v>53.896751999999999</v>
      </c>
      <c r="M838" s="124">
        <v>-19.379209574261957</v>
      </c>
    </row>
    <row r="839" spans="10:13">
      <c r="J839" s="122">
        <v>43651</v>
      </c>
      <c r="K839" s="123">
        <v>73.275961574261956</v>
      </c>
      <c r="L839" s="123">
        <v>52.209359999999997</v>
      </c>
      <c r="M839" s="124">
        <v>-21.066601574261959</v>
      </c>
    </row>
    <row r="840" spans="10:13">
      <c r="J840" s="122">
        <v>43650</v>
      </c>
      <c r="K840" s="123">
        <v>71.998524952980532</v>
      </c>
      <c r="L840" s="123">
        <v>49.03416</v>
      </c>
      <c r="M840" s="124">
        <v>-22.964364952980532</v>
      </c>
    </row>
    <row r="841" spans="10:13">
      <c r="J841" s="122">
        <v>43649</v>
      </c>
      <c r="K841" s="123">
        <v>71.998524952980532</v>
      </c>
      <c r="L841" s="123">
        <v>48.063455999999995</v>
      </c>
      <c r="M841" s="124">
        <v>-23.935068952980536</v>
      </c>
    </row>
    <row r="842" spans="10:13">
      <c r="J842" s="122">
        <v>43648</v>
      </c>
      <c r="K842" s="123">
        <v>71.998524952980532</v>
      </c>
      <c r="L842" s="123">
        <v>46.666367999999999</v>
      </c>
      <c r="M842" s="124">
        <v>-25.332156952980533</v>
      </c>
    </row>
    <row r="843" spans="10:13">
      <c r="J843" s="122">
        <v>43647</v>
      </c>
      <c r="K843" s="123">
        <v>71.998524952980532</v>
      </c>
      <c r="L843" s="123">
        <v>46.748016</v>
      </c>
      <c r="M843" s="124">
        <v>-25.250508952980532</v>
      </c>
    </row>
    <row r="844" spans="10:13">
      <c r="J844" s="122">
        <v>43644</v>
      </c>
      <c r="K844" s="123">
        <v>68.87239825103363</v>
      </c>
      <c r="L844" s="123">
        <v>42.710976000000002</v>
      </c>
      <c r="M844" s="124">
        <v>-26.161422251033628</v>
      </c>
    </row>
    <row r="845" spans="10:13">
      <c r="J845" s="122">
        <v>43643</v>
      </c>
      <c r="K845" s="123">
        <v>67.193463741451325</v>
      </c>
      <c r="L845" s="123">
        <v>43.119216000000002</v>
      </c>
      <c r="M845" s="124">
        <v>-24.074247741451323</v>
      </c>
    </row>
    <row r="846" spans="10:13">
      <c r="J846" s="122">
        <v>43642</v>
      </c>
      <c r="K846" s="123">
        <v>67.193463741451325</v>
      </c>
      <c r="L846" s="123">
        <v>43.327871999999999</v>
      </c>
      <c r="M846" s="124">
        <v>-23.865591741451325</v>
      </c>
    </row>
  </sheetData>
  <mergeCells count="8">
    <mergeCell ref="F20:G22"/>
    <mergeCell ref="C10:E10"/>
    <mergeCell ref="G10:H10"/>
    <mergeCell ref="B4:B5"/>
    <mergeCell ref="C4:E4"/>
    <mergeCell ref="G4:H5"/>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3105"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303106"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303107"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303108"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303111" r:id="rId8" name="Button 7">
              <controlPr defaultSize="0" print="0" autoFill="0" autoPict="0" macro="[0]!get_ExpILB">
                <anchor moveWithCells="1" sizeWithCells="1">
                  <from>
                    <xdr:col>5</xdr:col>
                    <xdr:colOff>0</xdr:colOff>
                    <xdr:row>14</xdr:row>
                    <xdr:rowOff>121920</xdr:rowOff>
                  </from>
                  <to>
                    <xdr:col>7</xdr:col>
                    <xdr:colOff>0</xdr:colOff>
                    <xdr:row>17</xdr:row>
                    <xdr:rowOff>0</xdr:rowOff>
                  </to>
                </anchor>
              </controlPr>
            </control>
          </mc:Choice>
        </mc:AlternateContent>
        <mc:AlternateContent xmlns:mc="http://schemas.openxmlformats.org/markup-compatibility/2006">
          <mc:Choice Requires="x14">
            <control shapeId="303112" r:id="rId9" name="Button 8">
              <controlPr defaultSize="0" print="0" autoFill="0" autoPict="0" macro="[0]!save_close">
                <anchor moveWithCells="1" sizeWithCells="1">
                  <from>
                    <xdr:col>5</xdr:col>
                    <xdr:colOff>0</xdr:colOff>
                    <xdr:row>23</xdr:row>
                    <xdr:rowOff>106680</xdr:rowOff>
                  </from>
                  <to>
                    <xdr:col>7</xdr:col>
                    <xdr:colOff>0</xdr:colOff>
                    <xdr:row>26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tabColor rgb="FFFF0000"/>
  </sheetPr>
  <dimension ref="A1:AD814"/>
  <sheetViews>
    <sheetView showGridLines="0" zoomScaleNormal="100" workbookViewId="0">
      <selection activeCell="G19" sqref="G19"/>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8" width="25.59765625" style="2" customWidth="1"/>
    <col min="9" max="9" width="8.09765625" style="2" customWidth="1"/>
    <col min="10" max="10" width="16.09765625" style="2" customWidth="1"/>
    <col min="11" max="14" width="9" style="2"/>
    <col min="15" max="15" width="9.8984375" style="2" bestFit="1" customWidth="1"/>
    <col min="16" max="16384" width="9" style="2"/>
  </cols>
  <sheetData>
    <row r="1" spans="1:30">
      <c r="A1" t="s">
        <v>2</v>
      </c>
    </row>
    <row r="3" spans="1:30" ht="14.4" thickBot="1">
      <c r="B3" s="5" t="s">
        <v>22</v>
      </c>
      <c r="C3" s="5" t="s">
        <v>23</v>
      </c>
      <c r="G3" s="5" t="s">
        <v>21</v>
      </c>
      <c r="J3" s="24" t="s">
        <v>14</v>
      </c>
      <c r="L3" s="3"/>
      <c r="M3" s="4"/>
    </row>
    <row r="4" spans="1:30" ht="41.4" thickBot="1">
      <c r="B4" s="130" t="s">
        <v>24</v>
      </c>
      <c r="C4" s="127" t="s">
        <v>30</v>
      </c>
      <c r="D4" s="128"/>
      <c r="E4" s="129"/>
      <c r="G4" s="136"/>
      <c r="H4" s="137"/>
      <c r="I4" s="8"/>
      <c r="J4" s="30" t="s">
        <v>0</v>
      </c>
      <c r="K4" s="43" t="s">
        <v>34</v>
      </c>
      <c r="L4" s="43" t="s">
        <v>33</v>
      </c>
      <c r="M4" s="43" t="s">
        <v>29</v>
      </c>
      <c r="N4" s="31"/>
      <c r="O4" s="43"/>
      <c r="P4" s="43" t="s">
        <v>34</v>
      </c>
      <c r="Q4" s="43" t="s">
        <v>33</v>
      </c>
      <c r="R4" s="43" t="s">
        <v>29</v>
      </c>
      <c r="S4" s="31"/>
      <c r="T4" s="31"/>
      <c r="U4" s="31"/>
      <c r="V4" s="31"/>
      <c r="W4" s="31"/>
      <c r="X4" s="31"/>
      <c r="Y4" s="31"/>
      <c r="Z4" s="31"/>
      <c r="AA4" s="31"/>
      <c r="AB4" s="31"/>
      <c r="AC4" s="31"/>
      <c r="AD4" s="31"/>
    </row>
    <row r="5" spans="1:30" ht="14.4" thickBot="1">
      <c r="B5" s="130"/>
      <c r="G5" s="138"/>
      <c r="H5" s="139"/>
      <c r="J5" s="39">
        <v>44119</v>
      </c>
      <c r="K5" s="41">
        <v>91.869903073770473</v>
      </c>
      <c r="L5" s="41">
        <v>56.900000000000006</v>
      </c>
      <c r="M5" s="41">
        <v>-34.969903073770467</v>
      </c>
      <c r="N5" s="41"/>
      <c r="O5" s="39">
        <f>J5</f>
        <v>44119</v>
      </c>
      <c r="P5" s="41">
        <f>IFERROR(VLOOKUP($O5,$J$5:$M$403,2,FALSE),P6)</f>
        <v>91.869903073770473</v>
      </c>
      <c r="Q5" s="41">
        <f>IFERROR(VLOOKUP($O5,$J$5:$M$403,3,FALSE),Q6)</f>
        <v>56.900000000000006</v>
      </c>
      <c r="R5" s="41">
        <f>IFERROR(VLOOKUP($O5,$J$5:$M$403,4,FALSE),R6)</f>
        <v>-34.969903073770467</v>
      </c>
      <c r="S5" s="33"/>
      <c r="T5" s="33"/>
      <c r="U5" s="33"/>
      <c r="V5" s="33"/>
      <c r="W5" s="33"/>
      <c r="X5" s="33"/>
      <c r="Y5" s="33"/>
      <c r="Z5" s="33"/>
      <c r="AA5" s="33"/>
      <c r="AB5" s="33"/>
      <c r="AC5" s="33"/>
      <c r="AD5" s="33"/>
    </row>
    <row r="6" spans="1:30" ht="14.4" thickBot="1">
      <c r="C6" s="5" t="s">
        <v>3</v>
      </c>
      <c r="G6" s="5" t="s">
        <v>8</v>
      </c>
      <c r="J6" s="39">
        <v>44118</v>
      </c>
      <c r="K6" s="41">
        <v>91.869903073770473</v>
      </c>
      <c r="L6" s="41">
        <v>56.980000000000004</v>
      </c>
      <c r="M6" s="41">
        <v>-34.889903073770469</v>
      </c>
      <c r="N6" s="41"/>
      <c r="O6" s="39">
        <f>O5-1</f>
        <v>44118</v>
      </c>
      <c r="P6" s="41">
        <f t="shared" ref="P6:P69" si="0">IFERROR(VLOOKUP($O6,$J$5:$M$403,2,FALSE),P7)</f>
        <v>91.869903073770473</v>
      </c>
      <c r="Q6" s="41">
        <f t="shared" ref="Q6:Q69" si="1">IFERROR(VLOOKUP($O6,$J$5:$M$403,3,FALSE),Q7)</f>
        <v>56.980000000000004</v>
      </c>
      <c r="R6" s="41">
        <f t="shared" ref="R6:R69" si="2">IFERROR(VLOOKUP($O6,$J$5:$M$403,4,FALSE),R7)</f>
        <v>-34.889903073770469</v>
      </c>
      <c r="S6" s="33"/>
      <c r="T6" s="33"/>
      <c r="U6" s="33"/>
      <c r="V6" s="33"/>
      <c r="W6" s="33"/>
      <c r="X6" s="33"/>
      <c r="Y6" s="33"/>
      <c r="Z6" s="33"/>
      <c r="AA6" s="33"/>
      <c r="AB6" s="33"/>
      <c r="AC6" s="33"/>
      <c r="AD6" s="33"/>
    </row>
    <row r="7" spans="1:30" ht="14.4" thickBot="1">
      <c r="C7" s="127" t="s">
        <v>20</v>
      </c>
      <c r="D7" s="128"/>
      <c r="E7" s="129"/>
      <c r="G7" s="127" t="s">
        <v>53</v>
      </c>
      <c r="H7" s="129"/>
      <c r="J7" s="39">
        <v>44117</v>
      </c>
      <c r="K7" s="41">
        <v>91.869903073770473</v>
      </c>
      <c r="L7" s="41">
        <v>56.02</v>
      </c>
      <c r="M7" s="41">
        <v>-35.84990307377047</v>
      </c>
      <c r="N7" s="41"/>
      <c r="O7" s="39">
        <f t="shared" ref="O7:O70" si="3">O6-1</f>
        <v>44117</v>
      </c>
      <c r="P7" s="41">
        <f t="shared" si="0"/>
        <v>91.869903073770473</v>
      </c>
      <c r="Q7" s="41">
        <f t="shared" si="1"/>
        <v>56.02</v>
      </c>
      <c r="R7" s="41">
        <f t="shared" si="2"/>
        <v>-35.84990307377047</v>
      </c>
      <c r="S7" s="33"/>
      <c r="T7" s="33"/>
      <c r="U7" s="33"/>
      <c r="V7" s="33"/>
      <c r="W7" s="33"/>
      <c r="X7" s="33"/>
      <c r="Y7" s="33"/>
      <c r="Z7" s="33"/>
      <c r="AA7" s="33"/>
      <c r="AB7" s="33"/>
      <c r="AC7" s="33"/>
      <c r="AD7" s="33"/>
    </row>
    <row r="8" spans="1:30">
      <c r="G8" s="35"/>
      <c r="J8" s="39">
        <v>44116</v>
      </c>
      <c r="K8" s="41">
        <v>91.869903073770473</v>
      </c>
      <c r="L8" s="41">
        <v>57.63</v>
      </c>
      <c r="M8" s="41">
        <v>-34.239903073770471</v>
      </c>
      <c r="N8" s="41"/>
      <c r="O8" s="39">
        <f t="shared" si="3"/>
        <v>44116</v>
      </c>
      <c r="P8" s="41">
        <f t="shared" si="0"/>
        <v>91.869903073770473</v>
      </c>
      <c r="Q8" s="41">
        <f t="shared" si="1"/>
        <v>57.63</v>
      </c>
      <c r="R8" s="41">
        <f t="shared" si="2"/>
        <v>-34.239903073770471</v>
      </c>
      <c r="S8" s="33"/>
      <c r="T8" s="33"/>
      <c r="U8" s="33"/>
      <c r="V8" s="33"/>
      <c r="W8" s="33"/>
      <c r="X8" s="33"/>
      <c r="Y8" s="33"/>
      <c r="Z8" s="33"/>
      <c r="AA8" s="33"/>
      <c r="AB8" s="33"/>
      <c r="AC8" s="33"/>
      <c r="AD8" s="33"/>
    </row>
    <row r="9" spans="1:30" ht="14.4" thickBot="1">
      <c r="C9" s="5" t="s">
        <v>4</v>
      </c>
      <c r="G9" s="5" t="s">
        <v>25</v>
      </c>
      <c r="J9" s="39">
        <v>44113</v>
      </c>
      <c r="K9" s="41">
        <v>91.869903073770473</v>
      </c>
      <c r="L9" s="41">
        <v>58.13</v>
      </c>
      <c r="M9" s="41">
        <v>-33.739903073770471</v>
      </c>
      <c r="N9" s="41"/>
      <c r="O9" s="39">
        <f t="shared" si="3"/>
        <v>44115</v>
      </c>
      <c r="P9" s="41">
        <f t="shared" si="0"/>
        <v>91.869903073770473</v>
      </c>
      <c r="Q9" s="41">
        <f t="shared" si="1"/>
        <v>58.13</v>
      </c>
      <c r="R9" s="41">
        <f t="shared" si="2"/>
        <v>-33.739903073770471</v>
      </c>
      <c r="S9" s="33"/>
      <c r="T9" s="33"/>
      <c r="U9" s="33"/>
      <c r="V9" s="33"/>
      <c r="W9" s="33"/>
      <c r="X9" s="33"/>
      <c r="Y9" s="33"/>
      <c r="Z9" s="33"/>
      <c r="AA9" s="33"/>
      <c r="AB9" s="33"/>
      <c r="AC9" s="33"/>
      <c r="AD9" s="33"/>
    </row>
    <row r="10" spans="1:30" ht="14.4" thickBot="1">
      <c r="C10" s="127" t="s">
        <v>28</v>
      </c>
      <c r="D10" s="128"/>
      <c r="E10" s="129"/>
      <c r="G10" s="127"/>
      <c r="H10" s="129"/>
      <c r="J10" s="39">
        <v>44112</v>
      </c>
      <c r="K10" s="41">
        <v>93.225903073770482</v>
      </c>
      <c r="L10" s="41">
        <v>58.58</v>
      </c>
      <c r="M10" s="41">
        <v>-34.645903073770484</v>
      </c>
      <c r="N10" s="41"/>
      <c r="O10" s="39">
        <f t="shared" si="3"/>
        <v>44114</v>
      </c>
      <c r="P10" s="41">
        <f t="shared" si="0"/>
        <v>91.869903073770473</v>
      </c>
      <c r="Q10" s="41">
        <f t="shared" si="1"/>
        <v>58.13</v>
      </c>
      <c r="R10" s="41">
        <f t="shared" si="2"/>
        <v>-33.739903073770471</v>
      </c>
      <c r="S10" s="33"/>
      <c r="T10" s="33"/>
      <c r="U10" s="33"/>
      <c r="V10" s="33"/>
      <c r="W10" s="33"/>
      <c r="X10" s="33"/>
      <c r="Y10" s="33"/>
      <c r="Z10" s="33"/>
      <c r="AA10" s="33"/>
      <c r="AB10" s="33"/>
      <c r="AC10" s="33"/>
      <c r="AD10" s="33"/>
    </row>
    <row r="11" spans="1:30">
      <c r="J11" s="39">
        <v>44111</v>
      </c>
      <c r="K11" s="41">
        <v>93.225903073770482</v>
      </c>
      <c r="L11" s="41">
        <v>58.6</v>
      </c>
      <c r="M11" s="41">
        <v>-34.62590307377048</v>
      </c>
      <c r="N11" s="41"/>
      <c r="O11" s="39">
        <f t="shared" si="3"/>
        <v>44113</v>
      </c>
      <c r="P11" s="41">
        <f t="shared" si="0"/>
        <v>91.869903073770473</v>
      </c>
      <c r="Q11" s="41">
        <f t="shared" si="1"/>
        <v>58.13</v>
      </c>
      <c r="R11" s="41">
        <f t="shared" si="2"/>
        <v>-33.739903073770471</v>
      </c>
      <c r="S11" s="34"/>
      <c r="T11" s="33"/>
      <c r="U11" s="33"/>
      <c r="V11" s="33"/>
      <c r="W11" s="33"/>
      <c r="X11" s="33"/>
      <c r="Y11" s="33"/>
      <c r="Z11" s="33"/>
      <c r="AA11" s="33"/>
      <c r="AB11" s="34"/>
      <c r="AC11" s="33"/>
      <c r="AD11" s="33"/>
    </row>
    <row r="12" spans="1:30">
      <c r="J12" s="39">
        <v>44110</v>
      </c>
      <c r="K12" s="41">
        <v>93.225903073770482</v>
      </c>
      <c r="L12" s="41">
        <v>58.6</v>
      </c>
      <c r="M12" s="41">
        <v>-34.62590307377048</v>
      </c>
      <c r="N12" s="41"/>
      <c r="O12" s="39">
        <f t="shared" si="3"/>
        <v>44112</v>
      </c>
      <c r="P12" s="41">
        <f t="shared" si="0"/>
        <v>93.225903073770482</v>
      </c>
      <c r="Q12" s="41">
        <f t="shared" si="1"/>
        <v>58.58</v>
      </c>
      <c r="R12" s="41">
        <f t="shared" si="2"/>
        <v>-34.645903073770484</v>
      </c>
      <c r="S12" s="34"/>
      <c r="T12" s="33"/>
      <c r="U12" s="33"/>
      <c r="V12" s="33"/>
      <c r="W12" s="33"/>
      <c r="X12" s="33"/>
      <c r="Y12" s="33"/>
      <c r="Z12" s="33"/>
      <c r="AA12" s="33"/>
      <c r="AB12" s="34"/>
      <c r="AC12" s="33"/>
      <c r="AD12" s="33"/>
    </row>
    <row r="13" spans="1:30">
      <c r="J13" s="39">
        <v>44109</v>
      </c>
      <c r="K13" s="41">
        <v>93.225903073770482</v>
      </c>
      <c r="L13" s="41">
        <v>57.93</v>
      </c>
      <c r="M13" s="41">
        <v>-35.295903073770482</v>
      </c>
      <c r="N13" s="41"/>
      <c r="O13" s="39">
        <f t="shared" si="3"/>
        <v>44111</v>
      </c>
      <c r="P13" s="41">
        <f t="shared" si="0"/>
        <v>93.225903073770482</v>
      </c>
      <c r="Q13" s="41">
        <f t="shared" si="1"/>
        <v>58.6</v>
      </c>
      <c r="R13" s="41">
        <f t="shared" si="2"/>
        <v>-34.62590307377048</v>
      </c>
      <c r="S13" s="34"/>
      <c r="T13" s="33"/>
      <c r="U13" s="33"/>
      <c r="V13" s="33"/>
      <c r="W13" s="33"/>
      <c r="X13" s="33"/>
      <c r="Y13" s="33"/>
      <c r="Z13" s="33"/>
      <c r="AA13" s="33"/>
      <c r="AB13" s="34"/>
      <c r="AC13" s="33"/>
      <c r="AD13" s="33"/>
    </row>
    <row r="14" spans="1:30">
      <c r="B14" s="7"/>
      <c r="C14" s="7"/>
      <c r="D14" s="7"/>
      <c r="E14" s="7"/>
      <c r="F14" s="7"/>
      <c r="G14" s="7"/>
      <c r="H14" s="7"/>
      <c r="J14" s="39">
        <v>44106</v>
      </c>
      <c r="K14" s="41">
        <v>93.225903073770482</v>
      </c>
      <c r="L14" s="41">
        <v>57.45</v>
      </c>
      <c r="M14" s="41">
        <v>-35.775903073770479</v>
      </c>
      <c r="N14" s="41"/>
      <c r="O14" s="39">
        <f t="shared" si="3"/>
        <v>44110</v>
      </c>
      <c r="P14" s="41">
        <f t="shared" si="0"/>
        <v>93.225903073770482</v>
      </c>
      <c r="Q14" s="41">
        <f t="shared" si="1"/>
        <v>58.6</v>
      </c>
      <c r="R14" s="41">
        <f t="shared" si="2"/>
        <v>-34.62590307377048</v>
      </c>
      <c r="S14" s="34"/>
      <c r="T14" s="33"/>
      <c r="U14" s="33"/>
      <c r="V14" s="33"/>
      <c r="W14" s="33"/>
      <c r="X14" s="33"/>
      <c r="Y14" s="33"/>
      <c r="Z14" s="33"/>
      <c r="AA14" s="33"/>
      <c r="AB14" s="34"/>
      <c r="AC14" s="33"/>
      <c r="AD14" s="33"/>
    </row>
    <row r="15" spans="1:30">
      <c r="B15" s="7"/>
      <c r="C15" s="7"/>
      <c r="D15" s="7"/>
      <c r="E15" s="7"/>
      <c r="F15" s="7"/>
      <c r="G15" s="7"/>
      <c r="H15" s="7"/>
      <c r="J15" s="39">
        <v>44105</v>
      </c>
      <c r="K15" s="41">
        <v>90.965903073770477</v>
      </c>
      <c r="L15" s="41">
        <v>58.25</v>
      </c>
      <c r="M15" s="41">
        <v>-32.715903073770477</v>
      </c>
      <c r="N15" s="41"/>
      <c r="O15" s="39">
        <f t="shared" si="3"/>
        <v>44109</v>
      </c>
      <c r="P15" s="41">
        <f t="shared" si="0"/>
        <v>93.225903073770482</v>
      </c>
      <c r="Q15" s="41">
        <f t="shared" si="1"/>
        <v>57.93</v>
      </c>
      <c r="R15" s="41">
        <f t="shared" si="2"/>
        <v>-35.295903073770482</v>
      </c>
      <c r="S15" s="34"/>
      <c r="T15" s="33"/>
      <c r="U15" s="33"/>
      <c r="V15" s="33"/>
      <c r="W15" s="33"/>
      <c r="X15" s="33"/>
      <c r="Y15" s="33"/>
      <c r="Z15" s="33"/>
      <c r="AA15" s="33"/>
      <c r="AB15" s="34"/>
      <c r="AC15" s="33"/>
      <c r="AD15" s="33"/>
    </row>
    <row r="16" spans="1:30">
      <c r="B16" s="7"/>
      <c r="C16" s="7"/>
      <c r="D16" s="7"/>
      <c r="E16" s="7"/>
      <c r="F16" s="7"/>
      <c r="G16" s="7"/>
      <c r="H16" s="7"/>
      <c r="J16" s="39">
        <v>44104</v>
      </c>
      <c r="K16" s="41">
        <v>90.965903073770477</v>
      </c>
      <c r="L16" s="41">
        <v>58.03</v>
      </c>
      <c r="M16" s="41">
        <v>-32.935903073770476</v>
      </c>
      <c r="N16" s="41"/>
      <c r="O16" s="39">
        <f t="shared" si="3"/>
        <v>44108</v>
      </c>
      <c r="P16" s="41">
        <f t="shared" si="0"/>
        <v>93.225903073770482</v>
      </c>
      <c r="Q16" s="41">
        <f t="shared" si="1"/>
        <v>57.45</v>
      </c>
      <c r="R16" s="41">
        <f t="shared" si="2"/>
        <v>-35.775903073770479</v>
      </c>
      <c r="S16" s="34"/>
      <c r="T16" s="33"/>
      <c r="U16" s="33"/>
      <c r="V16" s="33"/>
      <c r="W16" s="33"/>
      <c r="X16" s="33"/>
      <c r="Y16" s="33"/>
      <c r="Z16" s="33"/>
      <c r="AA16" s="33"/>
      <c r="AB16" s="34"/>
      <c r="AC16" s="33"/>
      <c r="AD16" s="33"/>
    </row>
    <row r="17" spans="2:30">
      <c r="B17" s="7"/>
      <c r="C17" s="7"/>
      <c r="D17" s="7"/>
      <c r="E17" s="7"/>
      <c r="F17" s="7"/>
      <c r="G17" s="7"/>
      <c r="H17" s="7"/>
      <c r="J17" s="39">
        <v>44103</v>
      </c>
      <c r="K17" s="41">
        <v>90.965903073770477</v>
      </c>
      <c r="L17" s="41">
        <v>58.47</v>
      </c>
      <c r="M17" s="41">
        <v>-32.495903073770478</v>
      </c>
      <c r="N17" s="41"/>
      <c r="O17" s="39">
        <f t="shared" si="3"/>
        <v>44107</v>
      </c>
      <c r="P17" s="41">
        <f t="shared" si="0"/>
        <v>93.225903073770482</v>
      </c>
      <c r="Q17" s="41">
        <f t="shared" si="1"/>
        <v>57.45</v>
      </c>
      <c r="R17" s="41">
        <f t="shared" si="2"/>
        <v>-35.775903073770479</v>
      </c>
      <c r="S17" s="34"/>
      <c r="T17" s="33"/>
      <c r="U17" s="33"/>
      <c r="V17" s="33"/>
      <c r="W17" s="33"/>
      <c r="X17" s="33"/>
      <c r="Y17" s="33"/>
      <c r="Z17" s="33"/>
      <c r="AA17" s="33"/>
      <c r="AB17" s="34"/>
      <c r="AC17" s="33"/>
      <c r="AD17" s="33"/>
    </row>
    <row r="18" spans="2:30">
      <c r="B18" s="7"/>
      <c r="C18" s="7"/>
      <c r="D18" s="7"/>
      <c r="E18" s="7"/>
      <c r="F18" s="7"/>
      <c r="G18" s="7"/>
      <c r="H18" s="7"/>
      <c r="J18" s="39">
        <v>44102</v>
      </c>
      <c r="K18" s="41">
        <v>90.965903073770477</v>
      </c>
      <c r="L18" s="41">
        <v>57.919999999999995</v>
      </c>
      <c r="M18" s="41">
        <v>-33.045903073770482</v>
      </c>
      <c r="N18" s="41"/>
      <c r="O18" s="39">
        <f t="shared" si="3"/>
        <v>44106</v>
      </c>
      <c r="P18" s="41">
        <f t="shared" si="0"/>
        <v>93.225903073770482</v>
      </c>
      <c r="Q18" s="41">
        <f t="shared" si="1"/>
        <v>57.45</v>
      </c>
      <c r="R18" s="41">
        <f t="shared" si="2"/>
        <v>-35.775903073770479</v>
      </c>
      <c r="S18" s="34"/>
      <c r="T18" s="33"/>
      <c r="U18" s="33"/>
      <c r="V18" s="33"/>
      <c r="W18" s="33"/>
      <c r="X18" s="33"/>
      <c r="Y18" s="33"/>
      <c r="Z18" s="33"/>
      <c r="AA18" s="33"/>
      <c r="AB18" s="34"/>
      <c r="AC18" s="33"/>
      <c r="AD18" s="33"/>
    </row>
    <row r="19" spans="2:30">
      <c r="B19" s="7"/>
      <c r="C19" s="7"/>
      <c r="D19" s="7"/>
      <c r="E19" s="7"/>
      <c r="F19" s="7"/>
      <c r="G19" s="7"/>
      <c r="H19" s="7"/>
      <c r="J19" s="39">
        <v>44099</v>
      </c>
      <c r="K19" s="41">
        <v>90.965903073770477</v>
      </c>
      <c r="L19" s="41">
        <v>55.75</v>
      </c>
      <c r="M19" s="41">
        <v>-35.215903073770477</v>
      </c>
      <c r="N19" s="41"/>
      <c r="O19" s="39">
        <f t="shared" si="3"/>
        <v>44105</v>
      </c>
      <c r="P19" s="41">
        <f t="shared" si="0"/>
        <v>90.965903073770477</v>
      </c>
      <c r="Q19" s="41">
        <f t="shared" si="1"/>
        <v>58.25</v>
      </c>
      <c r="R19" s="41">
        <f t="shared" si="2"/>
        <v>-32.715903073770477</v>
      </c>
      <c r="S19" s="34"/>
      <c r="T19" s="33"/>
      <c r="U19" s="33"/>
      <c r="V19" s="33"/>
      <c r="W19" s="33"/>
      <c r="X19" s="33"/>
      <c r="Y19" s="33"/>
      <c r="Z19" s="33"/>
      <c r="AA19" s="33"/>
      <c r="AB19" s="34"/>
      <c r="AC19" s="33"/>
      <c r="AD19" s="33"/>
    </row>
    <row r="20" spans="2:30">
      <c r="B20" s="7"/>
      <c r="C20" s="7"/>
      <c r="D20" s="7"/>
      <c r="E20" s="7"/>
      <c r="F20" s="7"/>
      <c r="G20" s="7"/>
      <c r="H20" s="7"/>
      <c r="J20" s="39">
        <v>44098</v>
      </c>
      <c r="K20" s="41">
        <v>88.253903073770473</v>
      </c>
      <c r="L20" s="41">
        <v>54.620000000000005</v>
      </c>
      <c r="M20" s="41">
        <v>-33.633903073770469</v>
      </c>
      <c r="N20" s="41"/>
      <c r="O20" s="39">
        <f t="shared" si="3"/>
        <v>44104</v>
      </c>
      <c r="P20" s="41">
        <f t="shared" si="0"/>
        <v>90.965903073770477</v>
      </c>
      <c r="Q20" s="41">
        <f t="shared" si="1"/>
        <v>58.03</v>
      </c>
      <c r="R20" s="41">
        <f t="shared" si="2"/>
        <v>-32.935903073770476</v>
      </c>
      <c r="S20" s="34"/>
      <c r="T20" s="33"/>
      <c r="U20" s="33"/>
      <c r="V20" s="33"/>
      <c r="W20" s="33"/>
      <c r="X20" s="33"/>
      <c r="Y20" s="33"/>
      <c r="Z20" s="33"/>
      <c r="AA20" s="33"/>
      <c r="AB20" s="34"/>
      <c r="AC20" s="33"/>
      <c r="AD20" s="33"/>
    </row>
    <row r="21" spans="2:30">
      <c r="B21" s="7"/>
      <c r="C21" s="7"/>
      <c r="D21" s="7"/>
      <c r="E21" s="7"/>
      <c r="F21" s="7"/>
      <c r="G21" s="7"/>
      <c r="H21" s="7"/>
      <c r="J21" s="39">
        <v>44097</v>
      </c>
      <c r="K21" s="41">
        <v>88.253903073770473</v>
      </c>
      <c r="L21" s="41">
        <v>54.18</v>
      </c>
      <c r="M21" s="41">
        <v>-34.073903073770474</v>
      </c>
      <c r="N21" s="41"/>
      <c r="O21" s="39">
        <f t="shared" si="3"/>
        <v>44103</v>
      </c>
      <c r="P21" s="41">
        <f t="shared" si="0"/>
        <v>90.965903073770477</v>
      </c>
      <c r="Q21" s="41">
        <f t="shared" si="1"/>
        <v>58.47</v>
      </c>
      <c r="R21" s="41">
        <f t="shared" si="2"/>
        <v>-32.495903073770478</v>
      </c>
      <c r="S21" s="34"/>
      <c r="T21" s="33"/>
      <c r="U21" s="33"/>
      <c r="V21" s="33"/>
      <c r="W21" s="33"/>
      <c r="X21" s="33"/>
      <c r="Y21" s="33"/>
      <c r="Z21" s="33"/>
      <c r="AA21" s="33"/>
      <c r="AB21" s="34"/>
      <c r="AC21" s="33"/>
      <c r="AD21" s="33"/>
    </row>
    <row r="22" spans="2:30">
      <c r="B22" s="7"/>
      <c r="C22" s="7"/>
      <c r="D22" s="7"/>
      <c r="E22" s="7"/>
      <c r="F22" s="7"/>
      <c r="G22" s="7"/>
      <c r="H22" s="7"/>
      <c r="J22" s="39">
        <v>44096</v>
      </c>
      <c r="K22" s="41">
        <v>88.253903073770473</v>
      </c>
      <c r="L22" s="41">
        <v>52.82</v>
      </c>
      <c r="M22" s="41">
        <v>-35.433903073770473</v>
      </c>
      <c r="N22" s="41"/>
      <c r="O22" s="39">
        <f t="shared" si="3"/>
        <v>44102</v>
      </c>
      <c r="P22" s="41">
        <f t="shared" si="0"/>
        <v>90.965903073770477</v>
      </c>
      <c r="Q22" s="41">
        <f t="shared" si="1"/>
        <v>57.919999999999995</v>
      </c>
      <c r="R22" s="41">
        <f t="shared" si="2"/>
        <v>-33.045903073770482</v>
      </c>
      <c r="S22" s="34"/>
      <c r="T22" s="33"/>
      <c r="U22" s="33"/>
      <c r="V22" s="33"/>
      <c r="W22" s="33"/>
      <c r="X22" s="33"/>
      <c r="Y22" s="33"/>
      <c r="Z22" s="33"/>
      <c r="AA22" s="33"/>
      <c r="AB22" s="34"/>
      <c r="AC22" s="33"/>
      <c r="AD22" s="33"/>
    </row>
    <row r="23" spans="2:30">
      <c r="B23" s="7"/>
      <c r="C23" s="7"/>
      <c r="D23" s="7"/>
      <c r="E23" s="7"/>
      <c r="F23" s="7"/>
      <c r="G23" s="7"/>
      <c r="H23" s="7"/>
      <c r="J23" s="39">
        <v>44095</v>
      </c>
      <c r="K23" s="41">
        <v>88.253903073770473</v>
      </c>
      <c r="L23" s="41">
        <v>53.13</v>
      </c>
      <c r="M23" s="41">
        <v>-35.123903073770471</v>
      </c>
      <c r="N23" s="41"/>
      <c r="O23" s="39">
        <f t="shared" si="3"/>
        <v>44101</v>
      </c>
      <c r="P23" s="41">
        <f t="shared" si="0"/>
        <v>90.965903073770477</v>
      </c>
      <c r="Q23" s="41">
        <f t="shared" si="1"/>
        <v>55.75</v>
      </c>
      <c r="R23" s="41">
        <f t="shared" si="2"/>
        <v>-35.215903073770477</v>
      </c>
      <c r="S23" s="34"/>
      <c r="T23" s="33"/>
      <c r="U23" s="33"/>
      <c r="V23" s="33"/>
      <c r="W23" s="33"/>
      <c r="X23" s="33"/>
      <c r="Y23" s="33"/>
      <c r="Z23" s="33"/>
      <c r="AA23" s="33"/>
      <c r="AB23" s="34"/>
      <c r="AC23" s="33"/>
      <c r="AD23" s="33"/>
    </row>
    <row r="24" spans="2:30">
      <c r="B24" s="7"/>
      <c r="C24" s="7"/>
      <c r="D24" s="7"/>
      <c r="E24" s="7"/>
      <c r="F24" s="7"/>
      <c r="G24" s="7"/>
      <c r="H24" s="7"/>
      <c r="J24" s="39">
        <v>44092</v>
      </c>
      <c r="K24" s="41">
        <v>88.253903073770473</v>
      </c>
      <c r="L24" s="41">
        <v>53.06</v>
      </c>
      <c r="M24" s="41">
        <v>-35.193903073770471</v>
      </c>
      <c r="N24" s="41"/>
      <c r="O24" s="39">
        <f t="shared" si="3"/>
        <v>44100</v>
      </c>
      <c r="P24" s="41">
        <f t="shared" si="0"/>
        <v>90.965903073770477</v>
      </c>
      <c r="Q24" s="41">
        <f t="shared" si="1"/>
        <v>55.75</v>
      </c>
      <c r="R24" s="41">
        <f t="shared" si="2"/>
        <v>-35.215903073770477</v>
      </c>
      <c r="S24" s="34"/>
      <c r="T24" s="33"/>
      <c r="U24" s="33"/>
      <c r="V24" s="33"/>
      <c r="W24" s="33"/>
      <c r="X24" s="33"/>
      <c r="Y24" s="33"/>
      <c r="Z24" s="33"/>
      <c r="AA24" s="33"/>
      <c r="AB24" s="34"/>
      <c r="AC24" s="33"/>
      <c r="AD24" s="33"/>
    </row>
    <row r="25" spans="2:30">
      <c r="B25" s="7"/>
      <c r="C25" s="7"/>
      <c r="D25" s="7"/>
      <c r="E25" s="7"/>
      <c r="F25" s="7"/>
      <c r="G25" s="7"/>
      <c r="H25" s="7"/>
      <c r="J25" s="39">
        <v>44091</v>
      </c>
      <c r="K25" s="41">
        <v>88.027903073770474</v>
      </c>
      <c r="L25" s="41">
        <v>53.580000000000005</v>
      </c>
      <c r="M25" s="41">
        <v>-34.447903073770469</v>
      </c>
      <c r="N25" s="41"/>
      <c r="O25" s="39">
        <f t="shared" si="3"/>
        <v>44099</v>
      </c>
      <c r="P25" s="41">
        <f t="shared" si="0"/>
        <v>90.965903073770477</v>
      </c>
      <c r="Q25" s="41">
        <f t="shared" si="1"/>
        <v>55.75</v>
      </c>
      <c r="R25" s="41">
        <f t="shared" si="2"/>
        <v>-35.215903073770477</v>
      </c>
      <c r="S25" s="34"/>
      <c r="T25" s="33"/>
      <c r="U25" s="33"/>
      <c r="V25" s="33"/>
      <c r="W25" s="33"/>
      <c r="X25" s="33"/>
      <c r="Y25" s="33"/>
      <c r="Z25" s="33"/>
      <c r="AA25" s="33"/>
      <c r="AB25" s="34"/>
      <c r="AC25" s="33"/>
      <c r="AD25" s="33"/>
    </row>
    <row r="26" spans="2:30">
      <c r="B26" s="7"/>
      <c r="C26" s="7"/>
      <c r="D26" s="7"/>
      <c r="E26" s="7"/>
      <c r="F26" s="7"/>
      <c r="G26" s="7"/>
      <c r="H26" s="7"/>
      <c r="J26" s="39">
        <v>44090</v>
      </c>
      <c r="K26" s="41">
        <v>88.027903073770474</v>
      </c>
      <c r="L26" s="41">
        <v>53.050000000000004</v>
      </c>
      <c r="M26" s="41">
        <v>-34.97790307377047</v>
      </c>
      <c r="N26" s="41"/>
      <c r="O26" s="39">
        <f t="shared" si="3"/>
        <v>44098</v>
      </c>
      <c r="P26" s="41">
        <f t="shared" si="0"/>
        <v>88.253903073770473</v>
      </c>
      <c r="Q26" s="41">
        <f t="shared" si="1"/>
        <v>54.620000000000005</v>
      </c>
      <c r="R26" s="41">
        <f t="shared" si="2"/>
        <v>-33.633903073770469</v>
      </c>
      <c r="S26" s="34"/>
      <c r="T26" s="33"/>
      <c r="U26" s="33"/>
      <c r="V26" s="33"/>
      <c r="W26" s="33"/>
      <c r="X26" s="33"/>
      <c r="Y26" s="33"/>
      <c r="Z26" s="33"/>
      <c r="AA26" s="33"/>
      <c r="AB26" s="34"/>
      <c r="AC26" s="33"/>
      <c r="AD26" s="33"/>
    </row>
    <row r="27" spans="2:30">
      <c r="B27" s="7"/>
      <c r="C27" s="7"/>
      <c r="D27" s="7"/>
      <c r="E27" s="7"/>
      <c r="F27" s="7"/>
      <c r="G27" s="7"/>
      <c r="H27" s="7"/>
      <c r="J27" s="39">
        <v>44089</v>
      </c>
      <c r="K27" s="41">
        <v>88.027903073770474</v>
      </c>
      <c r="L27" s="41">
        <v>53.36</v>
      </c>
      <c r="M27" s="41">
        <v>-34.667903073770475</v>
      </c>
      <c r="N27" s="41"/>
      <c r="O27" s="39">
        <f t="shared" si="3"/>
        <v>44097</v>
      </c>
      <c r="P27" s="41">
        <f t="shared" si="0"/>
        <v>88.253903073770473</v>
      </c>
      <c r="Q27" s="41">
        <f t="shared" si="1"/>
        <v>54.18</v>
      </c>
      <c r="R27" s="41">
        <f t="shared" si="2"/>
        <v>-34.073903073770474</v>
      </c>
      <c r="S27" s="34"/>
      <c r="T27" s="33"/>
      <c r="U27" s="33"/>
      <c r="V27" s="33"/>
      <c r="W27" s="33"/>
      <c r="X27" s="33"/>
      <c r="Y27" s="33"/>
      <c r="Z27" s="33"/>
      <c r="AA27" s="33"/>
      <c r="AB27" s="34"/>
      <c r="AC27" s="33"/>
      <c r="AD27" s="33"/>
    </row>
    <row r="28" spans="2:30">
      <c r="B28" s="7"/>
      <c r="C28" s="7"/>
      <c r="D28" s="7"/>
      <c r="E28" s="7"/>
      <c r="F28" s="7"/>
      <c r="G28" s="7"/>
      <c r="H28" s="7"/>
      <c r="J28" s="39">
        <v>44088</v>
      </c>
      <c r="K28" s="41">
        <v>88.027903073770474</v>
      </c>
      <c r="L28" s="41">
        <v>53.199999999999996</v>
      </c>
      <c r="M28" s="41">
        <v>-34.827903073770479</v>
      </c>
      <c r="N28" s="41"/>
      <c r="O28" s="39">
        <f t="shared" si="3"/>
        <v>44096</v>
      </c>
      <c r="P28" s="41">
        <f t="shared" si="0"/>
        <v>88.253903073770473</v>
      </c>
      <c r="Q28" s="41">
        <f t="shared" si="1"/>
        <v>52.82</v>
      </c>
      <c r="R28" s="41">
        <f t="shared" si="2"/>
        <v>-35.433903073770473</v>
      </c>
      <c r="S28" s="34"/>
      <c r="T28" s="33"/>
      <c r="U28" s="33"/>
      <c r="V28" s="33"/>
      <c r="W28" s="33"/>
      <c r="X28" s="33"/>
      <c r="Y28" s="33"/>
      <c r="Z28" s="33"/>
      <c r="AA28" s="33"/>
      <c r="AB28" s="34"/>
      <c r="AC28" s="33"/>
      <c r="AD28" s="33"/>
    </row>
    <row r="29" spans="2:30">
      <c r="B29" s="7"/>
      <c r="C29" s="7"/>
      <c r="D29" s="7"/>
      <c r="E29" s="7"/>
      <c r="F29" s="7"/>
      <c r="G29" s="7"/>
      <c r="H29" s="7"/>
      <c r="J29" s="39">
        <v>44085</v>
      </c>
      <c r="K29" s="41">
        <v>88.027903073770474</v>
      </c>
      <c r="L29" s="41">
        <v>52.93</v>
      </c>
      <c r="M29" s="41">
        <v>-35.097903073770475</v>
      </c>
      <c r="N29" s="41"/>
      <c r="O29" s="39">
        <f t="shared" si="3"/>
        <v>44095</v>
      </c>
      <c r="P29" s="41">
        <f t="shared" si="0"/>
        <v>88.253903073770473</v>
      </c>
      <c r="Q29" s="41">
        <f t="shared" si="1"/>
        <v>53.13</v>
      </c>
      <c r="R29" s="41">
        <f t="shared" si="2"/>
        <v>-35.123903073770471</v>
      </c>
      <c r="S29" s="34"/>
      <c r="T29" s="33"/>
      <c r="U29" s="33"/>
      <c r="V29" s="33"/>
      <c r="W29" s="33"/>
      <c r="X29" s="33"/>
      <c r="Y29" s="33"/>
      <c r="Z29" s="33"/>
      <c r="AA29" s="33"/>
      <c r="AB29" s="34"/>
      <c r="AC29" s="33"/>
      <c r="AD29" s="33"/>
    </row>
    <row r="30" spans="2:30">
      <c r="B30" s="7"/>
      <c r="C30" s="7"/>
      <c r="D30" s="7"/>
      <c r="E30" s="7"/>
      <c r="F30" s="7"/>
      <c r="G30" s="7"/>
      <c r="H30" s="7"/>
      <c r="J30" s="39">
        <v>44084</v>
      </c>
      <c r="K30" s="41">
        <v>88.886703073770477</v>
      </c>
      <c r="L30" s="41">
        <v>52.58</v>
      </c>
      <c r="M30" s="41">
        <v>-36.306703073770478</v>
      </c>
      <c r="N30" s="41"/>
      <c r="O30" s="39">
        <f t="shared" si="3"/>
        <v>44094</v>
      </c>
      <c r="P30" s="41">
        <f t="shared" si="0"/>
        <v>88.253903073770473</v>
      </c>
      <c r="Q30" s="41">
        <f t="shared" si="1"/>
        <v>53.06</v>
      </c>
      <c r="R30" s="41">
        <f t="shared" si="2"/>
        <v>-35.193903073770471</v>
      </c>
      <c r="S30" s="34"/>
      <c r="T30" s="33"/>
      <c r="U30" s="33"/>
      <c r="V30" s="33"/>
      <c r="W30" s="33"/>
      <c r="X30" s="33"/>
      <c r="Y30" s="33"/>
      <c r="Z30" s="33"/>
      <c r="AA30" s="33"/>
      <c r="AB30" s="34"/>
      <c r="AC30" s="33"/>
      <c r="AD30" s="33"/>
    </row>
    <row r="31" spans="2:30">
      <c r="B31" s="7"/>
      <c r="C31" s="7"/>
      <c r="D31" s="7"/>
      <c r="E31" s="7"/>
      <c r="F31" s="7"/>
      <c r="G31" s="7"/>
      <c r="H31" s="7"/>
      <c r="J31" s="39">
        <v>44083</v>
      </c>
      <c r="K31" s="41">
        <v>88.886703073770477</v>
      </c>
      <c r="L31" s="41">
        <v>52.44</v>
      </c>
      <c r="M31" s="41">
        <v>-36.446703073770479</v>
      </c>
      <c r="N31" s="41"/>
      <c r="O31" s="39">
        <f t="shared" si="3"/>
        <v>44093</v>
      </c>
      <c r="P31" s="41">
        <f t="shared" si="0"/>
        <v>88.253903073770473</v>
      </c>
      <c r="Q31" s="41">
        <f t="shared" si="1"/>
        <v>53.06</v>
      </c>
      <c r="R31" s="41">
        <f t="shared" si="2"/>
        <v>-35.193903073770471</v>
      </c>
      <c r="S31" s="34"/>
      <c r="T31" s="33"/>
      <c r="U31" s="33"/>
      <c r="V31" s="33"/>
      <c r="W31" s="33"/>
      <c r="X31" s="33"/>
      <c r="Y31" s="33"/>
      <c r="Z31" s="33"/>
      <c r="AA31" s="33"/>
      <c r="AB31" s="34"/>
      <c r="AC31" s="33"/>
      <c r="AD31" s="33"/>
    </row>
    <row r="32" spans="2:30">
      <c r="B32" s="7"/>
      <c r="C32" s="7"/>
      <c r="D32" s="7"/>
      <c r="E32" s="7"/>
      <c r="F32" s="7"/>
      <c r="G32" s="7"/>
      <c r="H32" s="7"/>
      <c r="J32" s="39">
        <v>44082</v>
      </c>
      <c r="K32" s="41">
        <v>88.886703073770477</v>
      </c>
      <c r="L32" s="41">
        <v>51.09</v>
      </c>
      <c r="M32" s="41">
        <v>-37.796703073770473</v>
      </c>
      <c r="N32" s="41"/>
      <c r="O32" s="39">
        <f t="shared" si="3"/>
        <v>44092</v>
      </c>
      <c r="P32" s="41">
        <f t="shared" si="0"/>
        <v>88.253903073770473</v>
      </c>
      <c r="Q32" s="41">
        <f t="shared" si="1"/>
        <v>53.06</v>
      </c>
      <c r="R32" s="41">
        <f t="shared" si="2"/>
        <v>-35.193903073770471</v>
      </c>
      <c r="S32" s="34"/>
      <c r="T32" s="33"/>
      <c r="U32" s="33"/>
      <c r="V32" s="33"/>
      <c r="W32" s="33"/>
      <c r="X32" s="33"/>
      <c r="Y32" s="33"/>
      <c r="Z32" s="33"/>
      <c r="AA32" s="33"/>
      <c r="AB32" s="34"/>
      <c r="AC32" s="33"/>
      <c r="AD32" s="33"/>
    </row>
    <row r="33" spans="2:30">
      <c r="B33" s="7"/>
      <c r="C33" s="7"/>
      <c r="D33" s="7"/>
      <c r="E33" s="7"/>
      <c r="F33" s="7"/>
      <c r="G33" s="7"/>
      <c r="H33" s="7"/>
      <c r="J33" s="39">
        <v>44081</v>
      </c>
      <c r="K33" s="41">
        <v>88.886703073770477</v>
      </c>
      <c r="L33" s="41">
        <v>51.73</v>
      </c>
      <c r="M33" s="41">
        <v>-37.15670307377048</v>
      </c>
      <c r="N33" s="41"/>
      <c r="O33" s="39">
        <f t="shared" si="3"/>
        <v>44091</v>
      </c>
      <c r="P33" s="41">
        <f t="shared" si="0"/>
        <v>88.027903073770474</v>
      </c>
      <c r="Q33" s="41">
        <f t="shared" si="1"/>
        <v>53.580000000000005</v>
      </c>
      <c r="R33" s="41">
        <f t="shared" si="2"/>
        <v>-34.447903073770469</v>
      </c>
      <c r="S33" s="34"/>
      <c r="T33" s="33"/>
      <c r="U33" s="33"/>
      <c r="V33" s="33"/>
      <c r="W33" s="33"/>
      <c r="X33" s="33"/>
      <c r="Y33" s="33"/>
      <c r="Z33" s="33"/>
      <c r="AA33" s="33"/>
      <c r="AB33" s="34"/>
      <c r="AC33" s="33"/>
      <c r="AD33" s="33"/>
    </row>
    <row r="34" spans="2:30">
      <c r="B34" s="7"/>
      <c r="C34" s="7"/>
      <c r="D34" s="7"/>
      <c r="E34" s="7"/>
      <c r="F34" s="7"/>
      <c r="G34" s="7"/>
      <c r="H34" s="7"/>
      <c r="J34" s="39">
        <v>44078</v>
      </c>
      <c r="K34" s="41">
        <v>88.886703073770477</v>
      </c>
      <c r="L34" s="41">
        <v>52.59</v>
      </c>
      <c r="M34" s="41">
        <v>-36.296703073770473</v>
      </c>
      <c r="N34" s="41"/>
      <c r="O34" s="39">
        <f t="shared" si="3"/>
        <v>44090</v>
      </c>
      <c r="P34" s="41">
        <f t="shared" si="0"/>
        <v>88.027903073770474</v>
      </c>
      <c r="Q34" s="41">
        <f t="shared" si="1"/>
        <v>53.050000000000004</v>
      </c>
      <c r="R34" s="41">
        <f t="shared" si="2"/>
        <v>-34.97790307377047</v>
      </c>
      <c r="S34" s="34"/>
      <c r="T34" s="33"/>
      <c r="U34" s="33"/>
      <c r="V34" s="33"/>
      <c r="W34" s="33"/>
      <c r="X34" s="33"/>
      <c r="Y34" s="33"/>
      <c r="Z34" s="33"/>
      <c r="AA34" s="33"/>
      <c r="AB34" s="34"/>
      <c r="AC34" s="33"/>
      <c r="AD34" s="33"/>
    </row>
    <row r="35" spans="2:30">
      <c r="B35" s="7"/>
      <c r="C35" s="7"/>
      <c r="D35" s="7"/>
      <c r="E35" s="7"/>
      <c r="F35" s="7"/>
      <c r="G35" s="7"/>
      <c r="H35" s="7"/>
      <c r="J35" s="39">
        <v>44077</v>
      </c>
      <c r="K35" s="41">
        <v>85.058017622950828</v>
      </c>
      <c r="L35" s="41">
        <v>51.68</v>
      </c>
      <c r="M35" s="41">
        <v>-33.378017622950829</v>
      </c>
      <c r="N35" s="41"/>
      <c r="O35" s="39">
        <f t="shared" si="3"/>
        <v>44089</v>
      </c>
      <c r="P35" s="41">
        <f t="shared" si="0"/>
        <v>88.027903073770474</v>
      </c>
      <c r="Q35" s="41">
        <f t="shared" si="1"/>
        <v>53.36</v>
      </c>
      <c r="R35" s="41">
        <f t="shared" si="2"/>
        <v>-34.667903073770475</v>
      </c>
      <c r="S35" s="34"/>
      <c r="T35" s="33"/>
      <c r="U35" s="33"/>
      <c r="V35" s="33"/>
      <c r="W35" s="33"/>
      <c r="X35" s="33"/>
      <c r="Y35" s="33"/>
      <c r="Z35" s="33"/>
      <c r="AA35" s="33"/>
      <c r="AB35" s="34"/>
      <c r="AC35" s="33"/>
      <c r="AD35" s="33"/>
    </row>
    <row r="36" spans="2:30">
      <c r="B36" s="7"/>
      <c r="C36" s="22"/>
      <c r="D36" s="1"/>
      <c r="E36" s="1"/>
      <c r="F36" s="1"/>
      <c r="G36" s="1"/>
      <c r="H36" s="1"/>
      <c r="J36" s="39">
        <v>44076</v>
      </c>
      <c r="K36" s="41">
        <v>85.058017622950828</v>
      </c>
      <c r="L36" s="41">
        <v>52.21</v>
      </c>
      <c r="M36" s="41">
        <v>-32.848017622950827</v>
      </c>
      <c r="N36" s="41"/>
      <c r="O36" s="39">
        <f t="shared" si="3"/>
        <v>44088</v>
      </c>
      <c r="P36" s="41">
        <f t="shared" si="0"/>
        <v>88.027903073770474</v>
      </c>
      <c r="Q36" s="41">
        <f t="shared" si="1"/>
        <v>53.199999999999996</v>
      </c>
      <c r="R36" s="41">
        <f t="shared" si="2"/>
        <v>-34.827903073770479</v>
      </c>
      <c r="S36" s="34"/>
      <c r="T36" s="33"/>
      <c r="U36" s="33"/>
      <c r="V36" s="33"/>
      <c r="W36" s="33"/>
      <c r="X36" s="33"/>
      <c r="Y36" s="33"/>
      <c r="Z36" s="33"/>
      <c r="AA36" s="33"/>
      <c r="AB36" s="34"/>
      <c r="AC36" s="33"/>
      <c r="AD36" s="33"/>
    </row>
    <row r="37" spans="2:30">
      <c r="B37" s="7"/>
      <c r="C37" s="1"/>
      <c r="D37" s="1"/>
      <c r="E37" s="1"/>
      <c r="F37" s="25"/>
      <c r="G37" s="1"/>
      <c r="H37" s="22"/>
      <c r="J37" s="39">
        <v>44075</v>
      </c>
      <c r="K37" s="41">
        <v>85.058017622950828</v>
      </c>
      <c r="L37" s="41">
        <v>53.31</v>
      </c>
      <c r="M37" s="41">
        <v>-31.748017622950826</v>
      </c>
      <c r="N37" s="41"/>
      <c r="O37" s="39">
        <f t="shared" si="3"/>
        <v>44087</v>
      </c>
      <c r="P37" s="41">
        <f t="shared" si="0"/>
        <v>88.027903073770474</v>
      </c>
      <c r="Q37" s="41">
        <f t="shared" si="1"/>
        <v>52.93</v>
      </c>
      <c r="R37" s="41">
        <f t="shared" si="2"/>
        <v>-35.097903073770475</v>
      </c>
      <c r="S37" s="34"/>
      <c r="T37" s="33"/>
      <c r="U37" s="33"/>
      <c r="V37" s="33"/>
      <c r="W37" s="33"/>
      <c r="X37" s="33"/>
      <c r="Y37" s="33"/>
      <c r="Z37" s="33"/>
      <c r="AA37" s="33"/>
      <c r="AB37" s="34"/>
      <c r="AC37" s="33"/>
      <c r="AD37" s="33"/>
    </row>
    <row r="38" spans="2:30">
      <c r="B38" s="7"/>
      <c r="C38" s="1"/>
      <c r="D38" s="26"/>
      <c r="E38" s="1"/>
      <c r="F38" s="1"/>
      <c r="G38" s="1"/>
      <c r="H38" s="27"/>
      <c r="J38" s="39">
        <v>44074</v>
      </c>
      <c r="K38" s="41">
        <v>85.058017622950828</v>
      </c>
      <c r="L38" s="41">
        <v>50.480000000000004</v>
      </c>
      <c r="M38" s="41">
        <v>-34.578017622950824</v>
      </c>
      <c r="N38" s="41"/>
      <c r="O38" s="39">
        <f t="shared" si="3"/>
        <v>44086</v>
      </c>
      <c r="P38" s="41">
        <f t="shared" si="0"/>
        <v>88.027903073770474</v>
      </c>
      <c r="Q38" s="41">
        <f t="shared" si="1"/>
        <v>52.93</v>
      </c>
      <c r="R38" s="41">
        <f t="shared" si="2"/>
        <v>-35.097903073770475</v>
      </c>
      <c r="S38" s="34"/>
      <c r="T38" s="33"/>
      <c r="U38" s="33"/>
      <c r="V38" s="33"/>
      <c r="W38" s="33"/>
      <c r="X38" s="33"/>
      <c r="Y38" s="33"/>
      <c r="Z38" s="33"/>
      <c r="AA38" s="33"/>
      <c r="AB38" s="34"/>
      <c r="AC38" s="33"/>
      <c r="AD38" s="33"/>
    </row>
    <row r="39" spans="2:30">
      <c r="B39" s="7"/>
      <c r="C39" s="1"/>
      <c r="D39" s="26"/>
      <c r="E39" s="1"/>
      <c r="F39" s="1"/>
      <c r="G39" s="1"/>
      <c r="H39" s="27"/>
      <c r="J39" s="39">
        <v>44071</v>
      </c>
      <c r="K39" s="41">
        <v>85.058017622950828</v>
      </c>
      <c r="L39" s="41">
        <v>50.480000000000004</v>
      </c>
      <c r="M39" s="41">
        <v>-34.578017622950824</v>
      </c>
      <c r="N39" s="41"/>
      <c r="O39" s="39">
        <f t="shared" si="3"/>
        <v>44085</v>
      </c>
      <c r="P39" s="41">
        <f t="shared" si="0"/>
        <v>88.027903073770474</v>
      </c>
      <c r="Q39" s="41">
        <f t="shared" si="1"/>
        <v>52.93</v>
      </c>
      <c r="R39" s="41">
        <f t="shared" si="2"/>
        <v>-35.097903073770475</v>
      </c>
      <c r="S39" s="34"/>
      <c r="T39" s="33"/>
      <c r="U39" s="33"/>
      <c r="V39" s="33"/>
      <c r="W39" s="33"/>
      <c r="X39" s="33"/>
      <c r="Y39" s="33"/>
      <c r="Z39" s="33"/>
      <c r="AA39" s="33"/>
      <c r="AB39" s="34"/>
      <c r="AC39" s="33"/>
      <c r="AD39" s="33"/>
    </row>
    <row r="40" spans="2:30">
      <c r="B40" s="7"/>
      <c r="C40" s="1"/>
      <c r="D40" s="26"/>
      <c r="E40" s="1"/>
      <c r="F40" s="1"/>
      <c r="G40" s="1"/>
      <c r="H40" s="27"/>
      <c r="J40" s="39">
        <v>44070</v>
      </c>
      <c r="K40" s="41">
        <v>87.272817622950825</v>
      </c>
      <c r="L40" s="41">
        <v>48.220000000000006</v>
      </c>
      <c r="M40" s="41">
        <v>-39.052817622950819</v>
      </c>
      <c r="N40" s="41"/>
      <c r="O40" s="39">
        <f t="shared" si="3"/>
        <v>44084</v>
      </c>
      <c r="P40" s="41">
        <f t="shared" si="0"/>
        <v>88.886703073770477</v>
      </c>
      <c r="Q40" s="41">
        <f t="shared" si="1"/>
        <v>52.58</v>
      </c>
      <c r="R40" s="41">
        <f t="shared" si="2"/>
        <v>-36.306703073770478</v>
      </c>
      <c r="S40" s="34"/>
      <c r="T40" s="33"/>
      <c r="U40" s="33"/>
      <c r="V40" s="33"/>
      <c r="W40" s="33"/>
      <c r="X40" s="33"/>
      <c r="Y40" s="33"/>
      <c r="Z40" s="33"/>
      <c r="AA40" s="33"/>
      <c r="AB40" s="34"/>
      <c r="AC40" s="33"/>
      <c r="AD40" s="33"/>
    </row>
    <row r="41" spans="2:30">
      <c r="B41" s="7"/>
      <c r="C41" s="1"/>
      <c r="D41" s="1"/>
      <c r="E41" s="1"/>
      <c r="F41" s="1"/>
      <c r="G41" s="1"/>
      <c r="H41" s="27"/>
      <c r="J41" s="39">
        <v>44069</v>
      </c>
      <c r="K41" s="41">
        <v>87.272817622950825</v>
      </c>
      <c r="L41" s="41">
        <v>48.63</v>
      </c>
      <c r="M41" s="41">
        <v>-38.642817622950822</v>
      </c>
      <c r="N41" s="41"/>
      <c r="O41" s="39">
        <f t="shared" si="3"/>
        <v>44083</v>
      </c>
      <c r="P41" s="41">
        <f t="shared" si="0"/>
        <v>88.886703073770477</v>
      </c>
      <c r="Q41" s="41">
        <f t="shared" si="1"/>
        <v>52.44</v>
      </c>
      <c r="R41" s="41">
        <f t="shared" si="2"/>
        <v>-36.446703073770479</v>
      </c>
      <c r="S41" s="34"/>
      <c r="T41" s="33"/>
      <c r="U41" s="33"/>
      <c r="V41" s="33"/>
      <c r="W41" s="33"/>
      <c r="X41" s="33"/>
      <c r="Y41" s="33"/>
      <c r="Z41" s="33"/>
      <c r="AA41" s="33"/>
      <c r="AB41" s="34"/>
      <c r="AC41" s="33"/>
      <c r="AD41" s="33"/>
    </row>
    <row r="42" spans="2:30">
      <c r="B42" s="7"/>
      <c r="C42" s="1"/>
      <c r="D42" s="1"/>
      <c r="E42" s="1"/>
      <c r="F42" s="1"/>
      <c r="G42" s="1"/>
      <c r="H42" s="1"/>
      <c r="J42" s="39">
        <v>44068</v>
      </c>
      <c r="K42" s="41">
        <v>87.272817622950825</v>
      </c>
      <c r="L42" s="41">
        <v>47.82</v>
      </c>
      <c r="M42" s="41">
        <v>-39.452817622950825</v>
      </c>
      <c r="N42" s="41"/>
      <c r="O42" s="39">
        <f t="shared" si="3"/>
        <v>44082</v>
      </c>
      <c r="P42" s="41">
        <f t="shared" si="0"/>
        <v>88.886703073770477</v>
      </c>
      <c r="Q42" s="41">
        <f t="shared" si="1"/>
        <v>51.09</v>
      </c>
      <c r="R42" s="41">
        <f t="shared" si="2"/>
        <v>-37.796703073770473</v>
      </c>
      <c r="S42" s="34"/>
      <c r="T42" s="33"/>
      <c r="U42" s="33"/>
      <c r="V42" s="33"/>
      <c r="W42" s="33"/>
      <c r="X42" s="33"/>
      <c r="Y42" s="33"/>
      <c r="Z42" s="33"/>
      <c r="AA42" s="33"/>
      <c r="AB42" s="34"/>
      <c r="AC42" s="33"/>
      <c r="AD42" s="33"/>
    </row>
    <row r="43" spans="2:30" ht="14.25" customHeight="1">
      <c r="B43" s="7"/>
      <c r="C43" s="1"/>
      <c r="D43" s="1"/>
      <c r="E43" s="1"/>
      <c r="F43" s="1"/>
      <c r="G43" s="1"/>
      <c r="H43" s="29"/>
      <c r="J43" s="39">
        <v>44067</v>
      </c>
      <c r="K43" s="41">
        <v>87.272817622950825</v>
      </c>
      <c r="L43" s="41">
        <v>47.92</v>
      </c>
      <c r="M43" s="41">
        <v>-39.352817622950823</v>
      </c>
      <c r="N43" s="41"/>
      <c r="O43" s="39">
        <f t="shared" si="3"/>
        <v>44081</v>
      </c>
      <c r="P43" s="41">
        <f t="shared" si="0"/>
        <v>88.886703073770477</v>
      </c>
      <c r="Q43" s="41">
        <f t="shared" si="1"/>
        <v>51.73</v>
      </c>
      <c r="R43" s="41">
        <f t="shared" si="2"/>
        <v>-37.15670307377048</v>
      </c>
      <c r="S43" s="34"/>
      <c r="T43" s="33"/>
      <c r="U43" s="33"/>
      <c r="V43" s="33"/>
      <c r="W43" s="33"/>
      <c r="X43" s="33"/>
      <c r="Y43" s="33"/>
      <c r="Z43" s="33"/>
      <c r="AA43" s="33"/>
      <c r="AB43" s="34"/>
      <c r="AC43" s="33"/>
      <c r="AD43" s="33"/>
    </row>
    <row r="44" spans="2:30" ht="14.25" customHeight="1">
      <c r="B44" s="7"/>
      <c r="C44" s="1"/>
      <c r="D44" s="1"/>
      <c r="E44" s="1"/>
      <c r="F44" s="1"/>
      <c r="G44" s="1"/>
      <c r="H44" s="29"/>
      <c r="J44" s="39">
        <v>44064</v>
      </c>
      <c r="K44" s="41">
        <v>87.272817622950825</v>
      </c>
      <c r="L44" s="41">
        <v>47.63</v>
      </c>
      <c r="M44" s="41">
        <v>-39.642817622950822</v>
      </c>
      <c r="N44" s="41"/>
      <c r="O44" s="39">
        <f t="shared" si="3"/>
        <v>44080</v>
      </c>
      <c r="P44" s="41">
        <f t="shared" si="0"/>
        <v>88.886703073770477</v>
      </c>
      <c r="Q44" s="41">
        <f t="shared" si="1"/>
        <v>52.59</v>
      </c>
      <c r="R44" s="41">
        <f t="shared" si="2"/>
        <v>-36.296703073770473</v>
      </c>
      <c r="S44" s="34"/>
      <c r="T44" s="33"/>
      <c r="U44" s="33"/>
      <c r="V44" s="33"/>
      <c r="W44" s="33"/>
      <c r="X44" s="33"/>
      <c r="Y44" s="33"/>
      <c r="Z44" s="33"/>
      <c r="AA44" s="33"/>
      <c r="AB44" s="34"/>
      <c r="AC44" s="33"/>
      <c r="AD44" s="33"/>
    </row>
    <row r="45" spans="2:30">
      <c r="B45" s="7"/>
      <c r="C45" s="1"/>
      <c r="D45" s="1"/>
      <c r="E45" s="1"/>
      <c r="F45" s="1"/>
      <c r="G45" s="1"/>
      <c r="H45" s="27"/>
      <c r="J45" s="39">
        <v>44063</v>
      </c>
      <c r="K45" s="41">
        <v>87.363217622950827</v>
      </c>
      <c r="L45" s="41">
        <v>48.56</v>
      </c>
      <c r="M45" s="41">
        <v>-38.803217622950825</v>
      </c>
      <c r="N45" s="41"/>
      <c r="O45" s="39">
        <f t="shared" si="3"/>
        <v>44079</v>
      </c>
      <c r="P45" s="41">
        <f t="shared" si="0"/>
        <v>88.886703073770477</v>
      </c>
      <c r="Q45" s="41">
        <f t="shared" si="1"/>
        <v>52.59</v>
      </c>
      <c r="R45" s="41">
        <f t="shared" si="2"/>
        <v>-36.296703073770473</v>
      </c>
      <c r="S45" s="34"/>
      <c r="T45" s="33"/>
      <c r="U45" s="33"/>
      <c r="V45" s="33"/>
      <c r="W45" s="33"/>
      <c r="X45" s="33"/>
      <c r="Y45" s="33"/>
      <c r="Z45" s="33"/>
      <c r="AA45" s="33"/>
      <c r="AB45" s="34"/>
      <c r="AC45" s="33"/>
      <c r="AD45" s="33"/>
    </row>
    <row r="46" spans="2:30">
      <c r="C46" s="8"/>
      <c r="D46" s="8"/>
      <c r="E46" s="8"/>
      <c r="F46" s="8"/>
      <c r="G46" s="8"/>
      <c r="H46" s="23"/>
      <c r="J46" s="39">
        <v>44062</v>
      </c>
      <c r="K46" s="41">
        <v>87.363217622950827</v>
      </c>
      <c r="L46" s="41">
        <v>49.69</v>
      </c>
      <c r="M46" s="41">
        <v>-37.67321762295083</v>
      </c>
      <c r="N46" s="41"/>
      <c r="O46" s="39">
        <f t="shared" si="3"/>
        <v>44078</v>
      </c>
      <c r="P46" s="41">
        <f t="shared" si="0"/>
        <v>88.886703073770477</v>
      </c>
      <c r="Q46" s="41">
        <f t="shared" si="1"/>
        <v>52.59</v>
      </c>
      <c r="R46" s="41">
        <f t="shared" si="2"/>
        <v>-36.296703073770473</v>
      </c>
      <c r="S46" s="34"/>
      <c r="T46" s="33"/>
      <c r="U46" s="33"/>
      <c r="V46" s="33"/>
      <c r="W46" s="33"/>
      <c r="X46" s="33"/>
      <c r="Y46" s="33"/>
      <c r="Z46" s="33"/>
      <c r="AA46" s="33"/>
      <c r="AB46" s="34"/>
      <c r="AC46" s="33"/>
      <c r="AD46" s="33"/>
    </row>
    <row r="47" spans="2:30">
      <c r="B47" s="19" t="s">
        <v>7</v>
      </c>
      <c r="C47" s="10"/>
      <c r="D47" s="10"/>
      <c r="E47" s="10"/>
      <c r="F47" s="10"/>
      <c r="G47" s="10"/>
      <c r="H47" s="28"/>
      <c r="J47" s="39">
        <v>44061</v>
      </c>
      <c r="K47" s="41">
        <v>87.363217622950827</v>
      </c>
      <c r="L47" s="41">
        <v>49.279999999999994</v>
      </c>
      <c r="M47" s="41">
        <v>-38.083217622950833</v>
      </c>
      <c r="N47" s="41"/>
      <c r="O47" s="39">
        <f t="shared" si="3"/>
        <v>44077</v>
      </c>
      <c r="P47" s="41">
        <f t="shared" si="0"/>
        <v>85.058017622950828</v>
      </c>
      <c r="Q47" s="41">
        <f t="shared" si="1"/>
        <v>51.68</v>
      </c>
      <c r="R47" s="41">
        <f t="shared" si="2"/>
        <v>-33.378017622950829</v>
      </c>
      <c r="S47" s="34"/>
      <c r="T47" s="33"/>
      <c r="U47" s="33"/>
      <c r="V47" s="33"/>
      <c r="W47" s="33"/>
      <c r="X47" s="33"/>
      <c r="Y47" s="33"/>
      <c r="Z47" s="33"/>
      <c r="AA47" s="33"/>
      <c r="AB47" s="34"/>
      <c r="AC47" s="33"/>
      <c r="AD47" s="33"/>
    </row>
    <row r="48" spans="2:30">
      <c r="B48" s="5" t="s">
        <v>15</v>
      </c>
      <c r="G48" s="8"/>
      <c r="H48" s="8"/>
      <c r="J48" s="39">
        <v>44060</v>
      </c>
      <c r="K48" s="41">
        <v>87.363217622950827</v>
      </c>
      <c r="L48" s="41">
        <v>49.98</v>
      </c>
      <c r="M48" s="41">
        <v>-37.383217622950831</v>
      </c>
      <c r="N48" s="41"/>
      <c r="O48" s="39">
        <f t="shared" si="3"/>
        <v>44076</v>
      </c>
      <c r="P48" s="41">
        <f t="shared" si="0"/>
        <v>85.058017622950828</v>
      </c>
      <c r="Q48" s="41">
        <f t="shared" si="1"/>
        <v>52.21</v>
      </c>
      <c r="R48" s="41">
        <f t="shared" si="2"/>
        <v>-32.848017622950827</v>
      </c>
      <c r="S48" s="34"/>
      <c r="T48" s="33"/>
      <c r="U48" s="33"/>
      <c r="V48" s="33"/>
      <c r="W48" s="33"/>
      <c r="X48" s="33"/>
      <c r="Y48" s="33"/>
      <c r="Z48" s="33"/>
      <c r="AA48" s="33"/>
      <c r="AB48" s="34"/>
      <c r="AC48" s="33"/>
      <c r="AD48" s="33"/>
    </row>
    <row r="49" spans="2:30">
      <c r="B49" s="2" t="s">
        <v>5</v>
      </c>
      <c r="C49" s="8"/>
      <c r="D49" s="6" t="s">
        <v>9</v>
      </c>
      <c r="H49" s="8"/>
      <c r="J49" s="39">
        <v>44057</v>
      </c>
      <c r="K49" s="41">
        <v>87.363217622950827</v>
      </c>
      <c r="L49" s="41">
        <v>50.22</v>
      </c>
      <c r="M49" s="41">
        <v>-37.143217622950829</v>
      </c>
      <c r="N49" s="41"/>
      <c r="O49" s="39">
        <f t="shared" si="3"/>
        <v>44075</v>
      </c>
      <c r="P49" s="41">
        <f t="shared" si="0"/>
        <v>85.058017622950828</v>
      </c>
      <c r="Q49" s="41">
        <f t="shared" si="1"/>
        <v>53.31</v>
      </c>
      <c r="R49" s="41">
        <f t="shared" si="2"/>
        <v>-31.748017622950826</v>
      </c>
      <c r="S49" s="34"/>
      <c r="T49" s="33"/>
      <c r="U49" s="33"/>
      <c r="V49" s="33"/>
      <c r="W49" s="33"/>
      <c r="X49" s="33"/>
      <c r="Y49" s="33"/>
      <c r="Z49" s="33"/>
      <c r="AA49" s="33"/>
      <c r="AB49" s="34"/>
      <c r="AC49" s="33"/>
      <c r="AD49" s="33"/>
    </row>
    <row r="50" spans="2:30">
      <c r="B50" s="2" t="s">
        <v>6</v>
      </c>
      <c r="C50" s="9"/>
      <c r="D50" s="2" t="s">
        <v>10</v>
      </c>
      <c r="H50" s="8"/>
      <c r="J50" s="39">
        <v>44056</v>
      </c>
      <c r="K50" s="41">
        <v>87.815217622950826</v>
      </c>
      <c r="L50" s="41">
        <v>50.489999999999995</v>
      </c>
      <c r="M50" s="41">
        <v>-37.325217622950831</v>
      </c>
      <c r="N50" s="41"/>
      <c r="O50" s="39">
        <f t="shared" si="3"/>
        <v>44074</v>
      </c>
      <c r="P50" s="41">
        <f t="shared" si="0"/>
        <v>85.058017622950828</v>
      </c>
      <c r="Q50" s="41">
        <f t="shared" si="1"/>
        <v>50.480000000000004</v>
      </c>
      <c r="R50" s="41">
        <f t="shared" si="2"/>
        <v>-34.578017622950824</v>
      </c>
      <c r="S50" s="34"/>
      <c r="T50" s="33"/>
      <c r="U50" s="33"/>
      <c r="V50" s="33"/>
      <c r="W50" s="33"/>
      <c r="X50" s="33"/>
      <c r="Y50" s="33"/>
      <c r="Z50" s="33"/>
      <c r="AA50" s="33"/>
      <c r="AB50" s="34"/>
      <c r="AC50" s="33"/>
      <c r="AD50" s="33"/>
    </row>
    <row r="51" spans="2:30">
      <c r="C51" s="9"/>
      <c r="D51" s="2" t="s">
        <v>11</v>
      </c>
      <c r="J51" s="39">
        <v>44055</v>
      </c>
      <c r="K51" s="41">
        <v>87.815217622950826</v>
      </c>
      <c r="L51" s="41">
        <v>50.79</v>
      </c>
      <c r="M51" s="41">
        <v>-37.025217622950827</v>
      </c>
      <c r="N51" s="41"/>
      <c r="O51" s="39">
        <f t="shared" si="3"/>
        <v>44073</v>
      </c>
      <c r="P51" s="41">
        <f t="shared" si="0"/>
        <v>85.058017622950828</v>
      </c>
      <c r="Q51" s="41">
        <f t="shared" si="1"/>
        <v>50.480000000000004</v>
      </c>
      <c r="R51" s="41">
        <f t="shared" si="2"/>
        <v>-34.578017622950824</v>
      </c>
      <c r="S51" s="34"/>
      <c r="T51" s="33"/>
      <c r="U51" s="33"/>
      <c r="V51" s="33"/>
      <c r="W51" s="33"/>
      <c r="X51" s="33"/>
      <c r="Y51" s="33"/>
      <c r="Z51" s="33"/>
      <c r="AA51" s="33"/>
      <c r="AB51" s="34"/>
      <c r="AC51" s="33"/>
      <c r="AD51" s="33"/>
    </row>
    <row r="52" spans="2:30">
      <c r="C52" s="9"/>
      <c r="D52" s="8"/>
      <c r="G52" s="21" t="s">
        <v>12</v>
      </c>
      <c r="J52" s="39">
        <v>44054</v>
      </c>
      <c r="K52" s="41">
        <v>87.815217622950826</v>
      </c>
      <c r="L52" s="41">
        <v>52.23</v>
      </c>
      <c r="M52" s="41">
        <v>-35.585217622950829</v>
      </c>
      <c r="N52" s="41"/>
      <c r="O52" s="39">
        <f t="shared" si="3"/>
        <v>44072</v>
      </c>
      <c r="P52" s="41">
        <f t="shared" si="0"/>
        <v>85.058017622950828</v>
      </c>
      <c r="Q52" s="41">
        <f t="shared" si="1"/>
        <v>50.480000000000004</v>
      </c>
      <c r="R52" s="41">
        <f t="shared" si="2"/>
        <v>-34.578017622950824</v>
      </c>
      <c r="S52" s="34"/>
      <c r="T52" s="33"/>
      <c r="U52" s="33"/>
      <c r="V52" s="33"/>
      <c r="W52" s="33"/>
      <c r="X52" s="33"/>
      <c r="Y52" s="33"/>
      <c r="Z52" s="33"/>
      <c r="AA52" s="33"/>
      <c r="AB52" s="34"/>
      <c r="AC52" s="33"/>
      <c r="AD52" s="33"/>
    </row>
    <row r="53" spans="2:30">
      <c r="B53" s="8"/>
      <c r="C53" s="8"/>
      <c r="D53" s="8"/>
      <c r="E53" s="8"/>
      <c r="F53" s="8"/>
      <c r="G53" s="20" t="s">
        <v>17</v>
      </c>
      <c r="H53" s="8"/>
      <c r="J53" s="39">
        <v>44053</v>
      </c>
      <c r="K53" s="41">
        <v>87.815217622950826</v>
      </c>
      <c r="L53" s="41">
        <v>53.24</v>
      </c>
      <c r="M53" s="41">
        <v>-34.575217622950824</v>
      </c>
      <c r="N53" s="41"/>
      <c r="O53" s="39">
        <f t="shared" si="3"/>
        <v>44071</v>
      </c>
      <c r="P53" s="41">
        <f t="shared" si="0"/>
        <v>85.058017622950828</v>
      </c>
      <c r="Q53" s="41">
        <f t="shared" si="1"/>
        <v>50.480000000000004</v>
      </c>
      <c r="R53" s="41">
        <f t="shared" si="2"/>
        <v>-34.578017622950824</v>
      </c>
      <c r="S53" s="34"/>
      <c r="T53" s="33"/>
      <c r="U53" s="33"/>
      <c r="V53" s="33"/>
      <c r="W53" s="33"/>
      <c r="X53" s="33"/>
      <c r="Y53" s="33"/>
      <c r="Z53" s="33"/>
      <c r="AA53" s="33"/>
      <c r="AB53" s="34"/>
      <c r="AC53" s="33"/>
      <c r="AD53" s="33"/>
    </row>
    <row r="54" spans="2:30">
      <c r="B54" s="10"/>
      <c r="C54" s="10"/>
      <c r="D54" s="10"/>
      <c r="E54" s="10"/>
      <c r="F54" s="8"/>
      <c r="G54" s="20" t="s">
        <v>1</v>
      </c>
      <c r="H54" s="8"/>
      <c r="J54" s="39">
        <v>44050</v>
      </c>
      <c r="K54" s="41">
        <v>87.815217622950826</v>
      </c>
      <c r="L54" s="41">
        <v>53</v>
      </c>
      <c r="M54" s="41">
        <v>-34.815217622950826</v>
      </c>
      <c r="N54" s="41"/>
      <c r="O54" s="39">
        <f t="shared" si="3"/>
        <v>44070</v>
      </c>
      <c r="P54" s="41">
        <f t="shared" si="0"/>
        <v>87.272817622950825</v>
      </c>
      <c r="Q54" s="41">
        <f t="shared" si="1"/>
        <v>48.220000000000006</v>
      </c>
      <c r="R54" s="41">
        <f t="shared" si="2"/>
        <v>-39.052817622950819</v>
      </c>
      <c r="S54" s="34"/>
      <c r="T54" s="33"/>
      <c r="U54" s="33"/>
      <c r="V54" s="33"/>
      <c r="W54" s="33"/>
      <c r="X54" s="33"/>
      <c r="Y54" s="33"/>
      <c r="Z54" s="33"/>
      <c r="AA54" s="33"/>
      <c r="AB54" s="34"/>
      <c r="AC54" s="33"/>
      <c r="AD54" s="33"/>
    </row>
    <row r="55" spans="2:30">
      <c r="B55" s="5" t="s">
        <v>16</v>
      </c>
      <c r="G55" s="20" t="s">
        <v>18</v>
      </c>
      <c r="J55" s="39">
        <v>44049</v>
      </c>
      <c r="K55" s="41">
        <v>82.112598524590155</v>
      </c>
      <c r="L55" s="41">
        <v>52.83</v>
      </c>
      <c r="M55" s="41">
        <v>-29.282598524590156</v>
      </c>
      <c r="N55" s="41"/>
      <c r="O55" s="39">
        <f t="shared" si="3"/>
        <v>44069</v>
      </c>
      <c r="P55" s="41">
        <f t="shared" si="0"/>
        <v>87.272817622950825</v>
      </c>
      <c r="Q55" s="41">
        <f t="shared" si="1"/>
        <v>48.63</v>
      </c>
      <c r="R55" s="41">
        <f t="shared" si="2"/>
        <v>-38.642817622950822</v>
      </c>
      <c r="S55" s="34"/>
      <c r="T55" s="33"/>
      <c r="U55" s="33"/>
      <c r="V55" s="33"/>
      <c r="W55" s="33"/>
      <c r="X55" s="33"/>
      <c r="Y55" s="33"/>
      <c r="Z55" s="33"/>
      <c r="AA55" s="33"/>
      <c r="AB55" s="34"/>
      <c r="AC55" s="33"/>
      <c r="AD55" s="33"/>
    </row>
    <row r="56" spans="2:30">
      <c r="G56" s="23" t="s">
        <v>19</v>
      </c>
      <c r="J56" s="39">
        <v>44048</v>
      </c>
      <c r="K56" s="41">
        <v>82.112598524590155</v>
      </c>
      <c r="L56" s="41">
        <v>53.49</v>
      </c>
      <c r="M56" s="41">
        <v>-28.622598524590153</v>
      </c>
      <c r="N56" s="41"/>
      <c r="O56" s="39">
        <f t="shared" si="3"/>
        <v>44068</v>
      </c>
      <c r="P56" s="41">
        <f t="shared" si="0"/>
        <v>87.272817622950825</v>
      </c>
      <c r="Q56" s="41">
        <f t="shared" si="1"/>
        <v>47.82</v>
      </c>
      <c r="R56" s="41">
        <f t="shared" si="2"/>
        <v>-39.452817622950825</v>
      </c>
      <c r="S56" s="34"/>
      <c r="T56" s="33"/>
      <c r="U56" s="33"/>
      <c r="V56" s="33"/>
      <c r="W56" s="33"/>
      <c r="X56" s="33"/>
      <c r="Y56" s="33"/>
      <c r="Z56" s="33"/>
      <c r="AA56" s="33"/>
      <c r="AB56" s="34"/>
      <c r="AC56" s="33"/>
      <c r="AD56" s="33"/>
    </row>
    <row r="57" spans="2:30">
      <c r="J57" s="39">
        <v>44047</v>
      </c>
      <c r="K57" s="41">
        <v>82.112598524590155</v>
      </c>
      <c r="L57" s="41">
        <v>54.99</v>
      </c>
      <c r="M57" s="41">
        <v>-27.122598524590153</v>
      </c>
      <c r="N57" s="41"/>
      <c r="O57" s="39">
        <f t="shared" si="3"/>
        <v>44067</v>
      </c>
      <c r="P57" s="41">
        <f t="shared" si="0"/>
        <v>87.272817622950825</v>
      </c>
      <c r="Q57" s="41">
        <f t="shared" si="1"/>
        <v>47.92</v>
      </c>
      <c r="R57" s="41">
        <f t="shared" si="2"/>
        <v>-39.352817622950823</v>
      </c>
      <c r="S57" s="34"/>
      <c r="T57" s="33"/>
      <c r="U57" s="33"/>
      <c r="V57" s="33"/>
      <c r="W57" s="33"/>
      <c r="X57" s="33"/>
      <c r="Y57" s="33"/>
      <c r="Z57" s="33"/>
      <c r="AA57" s="33"/>
      <c r="AB57" s="34"/>
      <c r="AC57" s="33"/>
      <c r="AD57" s="33"/>
    </row>
    <row r="58" spans="2:30">
      <c r="J58" s="39">
        <v>44046</v>
      </c>
      <c r="K58" s="41">
        <v>82.112598524590155</v>
      </c>
      <c r="L58" s="41">
        <v>55.58</v>
      </c>
      <c r="M58" s="41">
        <v>-26.532598524590156</v>
      </c>
      <c r="N58" s="41"/>
      <c r="O58" s="39">
        <f t="shared" si="3"/>
        <v>44066</v>
      </c>
      <c r="P58" s="41">
        <f t="shared" si="0"/>
        <v>87.272817622950825</v>
      </c>
      <c r="Q58" s="41">
        <f t="shared" si="1"/>
        <v>47.63</v>
      </c>
      <c r="R58" s="41">
        <f t="shared" si="2"/>
        <v>-39.642817622950822</v>
      </c>
      <c r="S58" s="34"/>
      <c r="T58" s="33"/>
      <c r="U58" s="33"/>
      <c r="V58" s="33"/>
      <c r="W58" s="33"/>
      <c r="X58" s="33"/>
      <c r="Y58" s="33"/>
      <c r="Z58" s="33"/>
      <c r="AA58" s="33"/>
      <c r="AB58" s="34"/>
      <c r="AC58" s="33"/>
      <c r="AD58" s="33"/>
    </row>
    <row r="59" spans="2:30">
      <c r="B59" s="8"/>
      <c r="C59" s="8"/>
      <c r="D59" s="8"/>
      <c r="E59" s="8"/>
      <c r="F59" s="8"/>
      <c r="G59" s="8"/>
      <c r="H59" s="8"/>
      <c r="J59" s="39">
        <v>44043</v>
      </c>
      <c r="K59" s="41">
        <v>82.112598524590155</v>
      </c>
      <c r="L59" s="41">
        <v>54.3</v>
      </c>
      <c r="M59" s="41">
        <v>-27.812598524590157</v>
      </c>
      <c r="N59" s="41"/>
      <c r="O59" s="39">
        <f t="shared" si="3"/>
        <v>44065</v>
      </c>
      <c r="P59" s="41">
        <f t="shared" si="0"/>
        <v>87.272817622950825</v>
      </c>
      <c r="Q59" s="41">
        <f t="shared" si="1"/>
        <v>47.63</v>
      </c>
      <c r="R59" s="41">
        <f t="shared" si="2"/>
        <v>-39.642817622950822</v>
      </c>
      <c r="S59" s="34"/>
      <c r="T59" s="33"/>
      <c r="U59" s="33"/>
      <c r="V59" s="33"/>
      <c r="W59" s="33"/>
      <c r="X59" s="33"/>
      <c r="Y59" s="33"/>
      <c r="Z59" s="33"/>
      <c r="AA59" s="33"/>
      <c r="AB59" s="34"/>
      <c r="AC59" s="33"/>
      <c r="AD59" s="33"/>
    </row>
    <row r="60" spans="2:30">
      <c r="B60" s="10"/>
      <c r="C60" s="10"/>
      <c r="D60" s="10"/>
      <c r="E60" s="10"/>
      <c r="F60" s="10"/>
      <c r="G60" s="10"/>
      <c r="H60" s="10"/>
      <c r="J60" s="39">
        <v>44042</v>
      </c>
      <c r="K60" s="41">
        <v>82.790598524590152</v>
      </c>
      <c r="L60" s="41">
        <v>53.769999999999996</v>
      </c>
      <c r="M60" s="41">
        <v>-29.020598524590156</v>
      </c>
      <c r="N60" s="41"/>
      <c r="O60" s="39">
        <f t="shared" si="3"/>
        <v>44064</v>
      </c>
      <c r="P60" s="41">
        <f t="shared" si="0"/>
        <v>87.272817622950825</v>
      </c>
      <c r="Q60" s="41">
        <f t="shared" si="1"/>
        <v>47.63</v>
      </c>
      <c r="R60" s="41">
        <f t="shared" si="2"/>
        <v>-39.642817622950822</v>
      </c>
      <c r="S60" s="34"/>
      <c r="T60" s="33"/>
      <c r="U60" s="33"/>
      <c r="V60" s="33"/>
      <c r="W60" s="33"/>
      <c r="X60" s="33"/>
      <c r="Y60" s="33"/>
      <c r="Z60" s="33"/>
      <c r="AA60" s="33"/>
      <c r="AB60" s="34"/>
      <c r="AC60" s="33"/>
      <c r="AD60" s="33"/>
    </row>
    <row r="61" spans="2:30">
      <c r="J61" s="39">
        <v>44041</v>
      </c>
      <c r="K61" s="41">
        <v>82.790598524590152</v>
      </c>
      <c r="L61" s="41">
        <v>53.6</v>
      </c>
      <c r="M61" s="41">
        <v>-29.19059852459015</v>
      </c>
      <c r="N61" s="41"/>
      <c r="O61" s="39">
        <f t="shared" si="3"/>
        <v>44063</v>
      </c>
      <c r="P61" s="41">
        <f t="shared" si="0"/>
        <v>87.363217622950827</v>
      </c>
      <c r="Q61" s="41">
        <f t="shared" si="1"/>
        <v>48.56</v>
      </c>
      <c r="R61" s="41">
        <f t="shared" si="2"/>
        <v>-38.803217622950825</v>
      </c>
      <c r="S61" s="34"/>
      <c r="T61" s="33"/>
      <c r="U61" s="33"/>
      <c r="V61" s="33"/>
      <c r="W61" s="33"/>
      <c r="X61" s="33"/>
      <c r="Y61" s="33"/>
      <c r="Z61" s="33"/>
      <c r="AA61" s="33"/>
      <c r="AB61" s="34"/>
      <c r="AC61" s="33"/>
      <c r="AD61" s="33"/>
    </row>
    <row r="62" spans="2:30">
      <c r="J62" s="39">
        <v>44040</v>
      </c>
      <c r="K62" s="41">
        <v>82.790598524590152</v>
      </c>
      <c r="L62" s="41">
        <v>53.260000000000005</v>
      </c>
      <c r="M62" s="41">
        <v>-29.530598524590147</v>
      </c>
      <c r="N62" s="41"/>
      <c r="O62" s="39">
        <f t="shared" si="3"/>
        <v>44062</v>
      </c>
      <c r="P62" s="41">
        <f t="shared" si="0"/>
        <v>87.363217622950827</v>
      </c>
      <c r="Q62" s="41">
        <f t="shared" si="1"/>
        <v>49.69</v>
      </c>
      <c r="R62" s="41">
        <f t="shared" si="2"/>
        <v>-37.67321762295083</v>
      </c>
      <c r="S62" s="34"/>
      <c r="T62" s="33"/>
      <c r="U62" s="33"/>
      <c r="V62" s="33"/>
      <c r="W62" s="33"/>
      <c r="X62" s="33"/>
      <c r="Y62" s="33"/>
      <c r="Z62" s="33"/>
      <c r="AA62" s="33"/>
      <c r="AB62" s="34"/>
      <c r="AC62" s="33"/>
      <c r="AD62" s="33"/>
    </row>
    <row r="63" spans="2:30">
      <c r="J63" s="39">
        <v>44039</v>
      </c>
      <c r="K63" s="41">
        <v>82.790598524590152</v>
      </c>
      <c r="L63" s="41">
        <v>53.2</v>
      </c>
      <c r="M63" s="41">
        <v>-29.590598524590149</v>
      </c>
      <c r="N63" s="41"/>
      <c r="O63" s="39">
        <f t="shared" si="3"/>
        <v>44061</v>
      </c>
      <c r="P63" s="41">
        <f t="shared" si="0"/>
        <v>87.363217622950827</v>
      </c>
      <c r="Q63" s="41">
        <f t="shared" si="1"/>
        <v>49.279999999999994</v>
      </c>
      <c r="R63" s="41">
        <f t="shared" si="2"/>
        <v>-38.083217622950833</v>
      </c>
      <c r="S63" s="34"/>
      <c r="T63" s="33"/>
      <c r="U63" s="33"/>
      <c r="V63" s="33"/>
      <c r="W63" s="33"/>
      <c r="X63" s="33"/>
      <c r="Y63" s="33"/>
      <c r="Z63" s="33"/>
      <c r="AA63" s="33"/>
      <c r="AB63" s="34"/>
      <c r="AC63" s="33"/>
      <c r="AD63" s="33"/>
    </row>
    <row r="64" spans="2:30">
      <c r="C64" s="11" t="s">
        <v>13</v>
      </c>
      <c r="D64" s="12"/>
      <c r="E64" s="13"/>
      <c r="J64" s="39">
        <v>44036</v>
      </c>
      <c r="K64" s="41">
        <v>82.790598524590152</v>
      </c>
      <c r="L64" s="41">
        <v>53.94</v>
      </c>
      <c r="M64" s="41">
        <v>-28.850598524590154</v>
      </c>
      <c r="N64" s="41"/>
      <c r="O64" s="39">
        <f t="shared" si="3"/>
        <v>44060</v>
      </c>
      <c r="P64" s="41">
        <f t="shared" si="0"/>
        <v>87.363217622950827</v>
      </c>
      <c r="Q64" s="41">
        <f t="shared" si="1"/>
        <v>49.98</v>
      </c>
      <c r="R64" s="41">
        <f t="shared" si="2"/>
        <v>-37.383217622950831</v>
      </c>
      <c r="S64" s="34"/>
      <c r="T64" s="33"/>
      <c r="U64" s="33"/>
      <c r="V64" s="33"/>
      <c r="W64" s="33"/>
      <c r="X64" s="33"/>
      <c r="Y64" s="33"/>
      <c r="Z64" s="33"/>
      <c r="AA64" s="33"/>
      <c r="AB64" s="34"/>
      <c r="AC64" s="33"/>
      <c r="AD64" s="33"/>
    </row>
    <row r="65" spans="3:30">
      <c r="C65" s="14" t="str">
        <f>IF(G4="","Source: "&amp; G7,"Notes: " &amp; G4 &amp; CHAR(10) &amp; "Source: "&amp;G7)</f>
        <v>Source: IHS Markit</v>
      </c>
      <c r="D65" s="8"/>
      <c r="E65" s="15"/>
      <c r="J65" s="39">
        <v>44035</v>
      </c>
      <c r="K65" s="41">
        <v>84.824598524590158</v>
      </c>
      <c r="L65" s="41">
        <v>54.62</v>
      </c>
      <c r="M65" s="41">
        <v>-30.20459852459016</v>
      </c>
      <c r="N65" s="41"/>
      <c r="O65" s="39">
        <f t="shared" si="3"/>
        <v>44059</v>
      </c>
      <c r="P65" s="41">
        <f t="shared" si="0"/>
        <v>87.363217622950827</v>
      </c>
      <c r="Q65" s="41">
        <f t="shared" si="1"/>
        <v>50.22</v>
      </c>
      <c r="R65" s="41">
        <f t="shared" si="2"/>
        <v>-37.143217622950829</v>
      </c>
      <c r="S65" s="34"/>
      <c r="T65" s="33"/>
      <c r="U65" s="33"/>
      <c r="V65" s="33"/>
      <c r="W65" s="33"/>
      <c r="X65" s="33"/>
      <c r="Y65" s="33"/>
      <c r="Z65" s="33"/>
      <c r="AA65" s="33"/>
      <c r="AB65" s="34"/>
      <c r="AC65" s="33"/>
      <c r="AD65" s="33"/>
    </row>
    <row r="66" spans="3:30">
      <c r="C66" s="16" t="str">
        <f>CHAR(169) &amp; " 2020 "&amp;G7</f>
        <v>© 2020 IHS Markit</v>
      </c>
      <c r="D66" s="17"/>
      <c r="E66" s="18"/>
      <c r="J66" s="39">
        <v>44034</v>
      </c>
      <c r="K66" s="2">
        <v>84.824598524590158</v>
      </c>
      <c r="L66" s="2">
        <v>55.019999999999996</v>
      </c>
      <c r="M66" s="2">
        <v>-29.804598524590162</v>
      </c>
      <c r="O66" s="39">
        <f t="shared" si="3"/>
        <v>44058</v>
      </c>
      <c r="P66" s="41">
        <f t="shared" si="0"/>
        <v>87.363217622950827</v>
      </c>
      <c r="Q66" s="41">
        <f t="shared" si="1"/>
        <v>50.22</v>
      </c>
      <c r="R66" s="41">
        <f t="shared" si="2"/>
        <v>-37.143217622950829</v>
      </c>
    </row>
    <row r="67" spans="3:30">
      <c r="J67" s="39">
        <v>44033</v>
      </c>
      <c r="K67" s="2">
        <v>84.824598524590158</v>
      </c>
      <c r="L67" s="2">
        <v>54.04</v>
      </c>
      <c r="M67" s="2">
        <v>-30.784598524590159</v>
      </c>
      <c r="O67" s="39">
        <f t="shared" si="3"/>
        <v>44057</v>
      </c>
      <c r="P67" s="41">
        <f t="shared" si="0"/>
        <v>87.363217622950827</v>
      </c>
      <c r="Q67" s="41">
        <f t="shared" si="1"/>
        <v>50.22</v>
      </c>
      <c r="R67" s="41">
        <f t="shared" si="2"/>
        <v>-37.143217622950829</v>
      </c>
    </row>
    <row r="68" spans="3:30">
      <c r="J68" s="39">
        <v>44032</v>
      </c>
      <c r="K68" s="2">
        <v>84.824598524590158</v>
      </c>
      <c r="L68" s="2">
        <v>53.16</v>
      </c>
      <c r="M68" s="2">
        <v>-31.664598524590161</v>
      </c>
      <c r="O68" s="39">
        <f t="shared" si="3"/>
        <v>44056</v>
      </c>
      <c r="P68" s="41">
        <f t="shared" si="0"/>
        <v>87.815217622950826</v>
      </c>
      <c r="Q68" s="41">
        <f t="shared" si="1"/>
        <v>50.489999999999995</v>
      </c>
      <c r="R68" s="41">
        <f t="shared" si="2"/>
        <v>-37.325217622950831</v>
      </c>
    </row>
    <row r="69" spans="3:30">
      <c r="J69" s="39">
        <v>44029</v>
      </c>
      <c r="K69" s="2">
        <v>84.824598524590158</v>
      </c>
      <c r="L69" s="2">
        <v>53.53</v>
      </c>
      <c r="M69" s="2">
        <v>-31.294598524590157</v>
      </c>
      <c r="N69" s="5"/>
      <c r="O69" s="39">
        <f t="shared" si="3"/>
        <v>44055</v>
      </c>
      <c r="P69" s="41">
        <f t="shared" si="0"/>
        <v>87.815217622950826</v>
      </c>
      <c r="Q69" s="41">
        <f t="shared" si="1"/>
        <v>50.79</v>
      </c>
      <c r="R69" s="41">
        <f t="shared" si="2"/>
        <v>-37.025217622950827</v>
      </c>
    </row>
    <row r="70" spans="3:30">
      <c r="J70" s="39">
        <v>44028</v>
      </c>
      <c r="K70" s="2">
        <v>85.005398524590149</v>
      </c>
      <c r="L70" s="2">
        <v>53.46</v>
      </c>
      <c r="M70" s="2">
        <v>-31.545398524590148</v>
      </c>
      <c r="O70" s="39">
        <f t="shared" si="3"/>
        <v>44054</v>
      </c>
      <c r="P70" s="41">
        <f t="shared" ref="P70:P133" si="4">IFERROR(VLOOKUP($O70,$J$5:$M$403,2,FALSE),P71)</f>
        <v>87.815217622950826</v>
      </c>
      <c r="Q70" s="41">
        <f t="shared" ref="Q70:Q133" si="5">IFERROR(VLOOKUP($O70,$J$5:$M$403,3,FALSE),Q71)</f>
        <v>52.23</v>
      </c>
      <c r="R70" s="41">
        <f t="shared" ref="R70:R133" si="6">IFERROR(VLOOKUP($O70,$J$5:$M$403,4,FALSE),R71)</f>
        <v>-35.585217622950829</v>
      </c>
    </row>
    <row r="71" spans="3:30">
      <c r="J71" s="39">
        <v>44027</v>
      </c>
      <c r="K71" s="2">
        <v>85.005398524590149</v>
      </c>
      <c r="L71" s="2">
        <v>52.230000000000004</v>
      </c>
      <c r="M71" s="2">
        <v>-32.775398524590145</v>
      </c>
      <c r="O71" s="39">
        <f t="shared" ref="O71:O134" si="7">O70-1</f>
        <v>44053</v>
      </c>
      <c r="P71" s="41">
        <f t="shared" si="4"/>
        <v>87.815217622950826</v>
      </c>
      <c r="Q71" s="41">
        <f t="shared" si="5"/>
        <v>53.24</v>
      </c>
      <c r="R71" s="41">
        <f t="shared" si="6"/>
        <v>-34.575217622950824</v>
      </c>
    </row>
    <row r="72" spans="3:30">
      <c r="J72" s="39">
        <v>44026</v>
      </c>
      <c r="K72" s="2">
        <v>85.005398524590149</v>
      </c>
      <c r="L72" s="2">
        <v>50.760000000000005</v>
      </c>
      <c r="M72" s="2">
        <v>-34.245398524590144</v>
      </c>
      <c r="O72" s="39">
        <f t="shared" si="7"/>
        <v>44052</v>
      </c>
      <c r="P72" s="41">
        <f t="shared" si="4"/>
        <v>87.815217622950826</v>
      </c>
      <c r="Q72" s="41">
        <f t="shared" si="5"/>
        <v>53</v>
      </c>
      <c r="R72" s="41">
        <f t="shared" si="6"/>
        <v>-34.815217622950826</v>
      </c>
    </row>
    <row r="73" spans="3:30">
      <c r="J73" s="39">
        <v>44025</v>
      </c>
      <c r="K73" s="2">
        <v>85.005398524590149</v>
      </c>
      <c r="L73" s="2">
        <v>51.410000000000004</v>
      </c>
      <c r="M73" s="2">
        <v>-33.595398524590145</v>
      </c>
      <c r="O73" s="39">
        <f t="shared" si="7"/>
        <v>44051</v>
      </c>
      <c r="P73" s="41">
        <f t="shared" si="4"/>
        <v>87.815217622950826</v>
      </c>
      <c r="Q73" s="41">
        <f t="shared" si="5"/>
        <v>53</v>
      </c>
      <c r="R73" s="41">
        <f t="shared" si="6"/>
        <v>-34.815217622950826</v>
      </c>
    </row>
    <row r="74" spans="3:30">
      <c r="J74" s="39">
        <v>44022</v>
      </c>
      <c r="K74" s="2">
        <v>85.005398524590149</v>
      </c>
      <c r="L74" s="2">
        <v>51.53</v>
      </c>
      <c r="M74" s="2">
        <v>-33.475398524590148</v>
      </c>
      <c r="O74" s="39">
        <f t="shared" si="7"/>
        <v>44050</v>
      </c>
      <c r="P74" s="41">
        <f t="shared" si="4"/>
        <v>87.815217622950826</v>
      </c>
      <c r="Q74" s="41">
        <f t="shared" si="5"/>
        <v>53</v>
      </c>
      <c r="R74" s="41">
        <f t="shared" si="6"/>
        <v>-34.815217622950826</v>
      </c>
    </row>
    <row r="75" spans="3:30">
      <c r="J75" s="39">
        <v>44021</v>
      </c>
      <c r="K75" s="2">
        <v>85.457398524590147</v>
      </c>
      <c r="L75" s="2">
        <v>52.160000000000004</v>
      </c>
      <c r="M75" s="2">
        <v>-33.297398524590143</v>
      </c>
      <c r="O75" s="39">
        <f t="shared" si="7"/>
        <v>44049</v>
      </c>
      <c r="P75" s="41">
        <f t="shared" si="4"/>
        <v>82.112598524590155</v>
      </c>
      <c r="Q75" s="41">
        <f t="shared" si="5"/>
        <v>52.83</v>
      </c>
      <c r="R75" s="41">
        <f t="shared" si="6"/>
        <v>-29.282598524590156</v>
      </c>
    </row>
    <row r="76" spans="3:30">
      <c r="J76" s="39">
        <v>44020</v>
      </c>
      <c r="K76" s="2">
        <v>85.457398524590147</v>
      </c>
      <c r="L76" s="2">
        <v>52.1</v>
      </c>
      <c r="M76" s="2">
        <v>-33.357398524590145</v>
      </c>
      <c r="O76" s="39">
        <f t="shared" si="7"/>
        <v>44048</v>
      </c>
      <c r="P76" s="41">
        <f t="shared" si="4"/>
        <v>82.112598524590155</v>
      </c>
      <c r="Q76" s="41">
        <f t="shared" si="5"/>
        <v>53.49</v>
      </c>
      <c r="R76" s="41">
        <f t="shared" si="6"/>
        <v>-28.622598524590153</v>
      </c>
    </row>
    <row r="77" spans="3:30">
      <c r="J77" s="39">
        <v>44019</v>
      </c>
      <c r="K77" s="2">
        <v>85.457398524590147</v>
      </c>
      <c r="L77" s="2">
        <v>52.88</v>
      </c>
      <c r="M77" s="2">
        <v>-32.577398524590144</v>
      </c>
      <c r="O77" s="39">
        <f t="shared" si="7"/>
        <v>44047</v>
      </c>
      <c r="P77" s="41">
        <f t="shared" si="4"/>
        <v>82.112598524590155</v>
      </c>
      <c r="Q77" s="41">
        <f t="shared" si="5"/>
        <v>54.99</v>
      </c>
      <c r="R77" s="41">
        <f t="shared" si="6"/>
        <v>-27.122598524590153</v>
      </c>
    </row>
    <row r="78" spans="3:30">
      <c r="J78" s="39">
        <v>44018</v>
      </c>
      <c r="K78" s="2">
        <v>85.457398524590147</v>
      </c>
      <c r="L78" s="2">
        <v>53.44</v>
      </c>
      <c r="M78" s="2">
        <v>-32.017398524590149</v>
      </c>
      <c r="O78" s="39">
        <f t="shared" si="7"/>
        <v>44046</v>
      </c>
      <c r="P78" s="41">
        <f t="shared" si="4"/>
        <v>82.112598524590155</v>
      </c>
      <c r="Q78" s="41">
        <f t="shared" si="5"/>
        <v>55.58</v>
      </c>
      <c r="R78" s="41">
        <f t="shared" si="6"/>
        <v>-26.532598524590156</v>
      </c>
    </row>
    <row r="79" spans="3:30">
      <c r="J79" s="39">
        <v>44015</v>
      </c>
      <c r="K79" s="2">
        <v>85.457398524590147</v>
      </c>
      <c r="L79" s="2">
        <v>52.88</v>
      </c>
      <c r="M79" s="2">
        <v>-32.577398524590144</v>
      </c>
      <c r="O79" s="39">
        <f t="shared" si="7"/>
        <v>44045</v>
      </c>
      <c r="P79" s="41">
        <f t="shared" si="4"/>
        <v>82.112598524590155</v>
      </c>
      <c r="Q79" s="41">
        <f t="shared" si="5"/>
        <v>54.3</v>
      </c>
      <c r="R79" s="41">
        <f t="shared" si="6"/>
        <v>-27.812598524590157</v>
      </c>
    </row>
    <row r="80" spans="3:30">
      <c r="J80" s="39">
        <v>44014</v>
      </c>
      <c r="K80" s="2">
        <v>83.468598524590149</v>
      </c>
      <c r="L80" s="2">
        <v>53.46</v>
      </c>
      <c r="M80" s="2">
        <v>-30.008598524590148</v>
      </c>
      <c r="O80" s="39">
        <f t="shared" si="7"/>
        <v>44044</v>
      </c>
      <c r="P80" s="41">
        <f t="shared" si="4"/>
        <v>82.112598524590155</v>
      </c>
      <c r="Q80" s="41">
        <f t="shared" si="5"/>
        <v>54.3</v>
      </c>
      <c r="R80" s="41">
        <f t="shared" si="6"/>
        <v>-27.812598524590157</v>
      </c>
    </row>
    <row r="81" spans="10:18">
      <c r="J81" s="39">
        <v>44013</v>
      </c>
      <c r="K81" s="2">
        <v>87.654627950819673</v>
      </c>
      <c r="L81" s="2">
        <v>52.68</v>
      </c>
      <c r="M81" s="2">
        <v>-34.974627950819674</v>
      </c>
      <c r="O81" s="39">
        <f t="shared" si="7"/>
        <v>44043</v>
      </c>
      <c r="P81" s="41">
        <f t="shared" si="4"/>
        <v>82.112598524590155</v>
      </c>
      <c r="Q81" s="41">
        <f t="shared" si="5"/>
        <v>54.3</v>
      </c>
      <c r="R81" s="41">
        <f t="shared" si="6"/>
        <v>-27.812598524590157</v>
      </c>
    </row>
    <row r="82" spans="10:18">
      <c r="J82" s="39">
        <v>44012</v>
      </c>
      <c r="K82" s="2">
        <v>87.654627950819673</v>
      </c>
      <c r="L82" s="2">
        <v>51.83</v>
      </c>
      <c r="M82" s="2">
        <v>-35.824627950819675</v>
      </c>
      <c r="O82" s="39">
        <f t="shared" si="7"/>
        <v>44042</v>
      </c>
      <c r="P82" s="41">
        <f t="shared" si="4"/>
        <v>82.790598524590152</v>
      </c>
      <c r="Q82" s="41">
        <f t="shared" si="5"/>
        <v>53.769999999999996</v>
      </c>
      <c r="R82" s="41">
        <f t="shared" si="6"/>
        <v>-29.020598524590156</v>
      </c>
    </row>
    <row r="83" spans="10:18">
      <c r="J83" s="39">
        <v>44011</v>
      </c>
      <c r="K83" s="2">
        <v>87.654627950819673</v>
      </c>
      <c r="L83" s="2">
        <v>51.01</v>
      </c>
      <c r="M83" s="2">
        <v>-36.644627950819675</v>
      </c>
      <c r="O83" s="39">
        <f t="shared" si="7"/>
        <v>44041</v>
      </c>
      <c r="P83" s="41">
        <f t="shared" si="4"/>
        <v>82.790598524590152</v>
      </c>
      <c r="Q83" s="41">
        <f t="shared" si="5"/>
        <v>53.6</v>
      </c>
      <c r="R83" s="41">
        <f t="shared" si="6"/>
        <v>-29.19059852459015</v>
      </c>
    </row>
    <row r="84" spans="10:18">
      <c r="J84" s="39">
        <v>44008</v>
      </c>
      <c r="K84" s="2">
        <v>87.654627950819673</v>
      </c>
      <c r="L84" s="2">
        <v>49.879999999999995</v>
      </c>
      <c r="M84" s="2">
        <v>-37.774627950819678</v>
      </c>
      <c r="O84" s="39">
        <f t="shared" si="7"/>
        <v>44040</v>
      </c>
      <c r="P84" s="41">
        <f t="shared" si="4"/>
        <v>82.790598524590152</v>
      </c>
      <c r="Q84" s="41">
        <f t="shared" si="5"/>
        <v>53.260000000000005</v>
      </c>
      <c r="R84" s="41">
        <f t="shared" si="6"/>
        <v>-29.530598524590147</v>
      </c>
    </row>
    <row r="85" spans="10:18">
      <c r="J85" s="39">
        <v>44007</v>
      </c>
      <c r="K85" s="2">
        <v>87.662593524590179</v>
      </c>
      <c r="L85" s="2">
        <v>48.29</v>
      </c>
      <c r="M85" s="2">
        <v>-39.372593524590179</v>
      </c>
      <c r="O85" s="39">
        <f t="shared" si="7"/>
        <v>44039</v>
      </c>
      <c r="P85" s="41">
        <f t="shared" si="4"/>
        <v>82.790598524590152</v>
      </c>
      <c r="Q85" s="41">
        <f t="shared" si="5"/>
        <v>53.2</v>
      </c>
      <c r="R85" s="41">
        <f t="shared" si="6"/>
        <v>-29.590598524590149</v>
      </c>
    </row>
    <row r="86" spans="10:18">
      <c r="J86" s="39">
        <v>44006</v>
      </c>
      <c r="K86" s="2">
        <v>87.662593524590179</v>
      </c>
      <c r="L86" s="2">
        <v>48.67</v>
      </c>
      <c r="M86" s="2">
        <v>-38.992593524590177</v>
      </c>
      <c r="O86" s="39">
        <f t="shared" si="7"/>
        <v>44038</v>
      </c>
      <c r="P86" s="41">
        <f t="shared" si="4"/>
        <v>82.790598524590152</v>
      </c>
      <c r="Q86" s="41">
        <f t="shared" si="5"/>
        <v>53.94</v>
      </c>
      <c r="R86" s="41">
        <f t="shared" si="6"/>
        <v>-28.850598524590154</v>
      </c>
    </row>
    <row r="87" spans="10:18">
      <c r="J87" s="39">
        <v>44005</v>
      </c>
      <c r="K87" s="2">
        <v>87.662593524590179</v>
      </c>
      <c r="L87" s="2">
        <v>47.53</v>
      </c>
      <c r="M87" s="2">
        <v>-40.132593524590177</v>
      </c>
      <c r="O87" s="39">
        <f t="shared" si="7"/>
        <v>44037</v>
      </c>
      <c r="P87" s="41">
        <f t="shared" si="4"/>
        <v>82.790598524590152</v>
      </c>
      <c r="Q87" s="41">
        <f t="shared" si="5"/>
        <v>53.94</v>
      </c>
      <c r="R87" s="41">
        <f t="shared" si="6"/>
        <v>-28.850598524590154</v>
      </c>
    </row>
    <row r="88" spans="10:18">
      <c r="J88" s="39">
        <v>44004</v>
      </c>
      <c r="K88" s="2">
        <v>87.662593524590179</v>
      </c>
      <c r="L88" s="2">
        <v>45.48</v>
      </c>
      <c r="M88" s="2">
        <v>-42.182593524590182</v>
      </c>
      <c r="O88" s="39">
        <f t="shared" si="7"/>
        <v>44036</v>
      </c>
      <c r="P88" s="41">
        <f t="shared" si="4"/>
        <v>82.790598524590152</v>
      </c>
      <c r="Q88" s="41">
        <f t="shared" si="5"/>
        <v>53.94</v>
      </c>
      <c r="R88" s="41">
        <f t="shared" si="6"/>
        <v>-28.850598524590154</v>
      </c>
    </row>
    <row r="89" spans="10:18">
      <c r="J89" s="39">
        <v>44001</v>
      </c>
      <c r="K89" s="2">
        <v>87.662593524590179</v>
      </c>
      <c r="L89" s="2">
        <v>46.17</v>
      </c>
      <c r="M89" s="2">
        <v>-41.492593524590177</v>
      </c>
      <c r="O89" s="39">
        <f t="shared" si="7"/>
        <v>44035</v>
      </c>
      <c r="P89" s="41">
        <f t="shared" si="4"/>
        <v>84.824598524590158</v>
      </c>
      <c r="Q89" s="41">
        <f t="shared" si="5"/>
        <v>54.62</v>
      </c>
      <c r="R89" s="41">
        <f t="shared" si="6"/>
        <v>-30.20459852459016</v>
      </c>
    </row>
    <row r="90" spans="10:18">
      <c r="J90" s="39">
        <v>44000</v>
      </c>
      <c r="K90" s="2">
        <v>84.724593524590176</v>
      </c>
      <c r="L90" s="2">
        <v>45.58</v>
      </c>
      <c r="M90" s="2">
        <v>-39.144593524590178</v>
      </c>
      <c r="O90" s="39">
        <f t="shared" si="7"/>
        <v>44034</v>
      </c>
      <c r="P90" s="41">
        <f t="shared" si="4"/>
        <v>84.824598524590158</v>
      </c>
      <c r="Q90" s="41">
        <f t="shared" si="5"/>
        <v>55.019999999999996</v>
      </c>
      <c r="R90" s="41">
        <f t="shared" si="6"/>
        <v>-29.804598524590162</v>
      </c>
    </row>
    <row r="91" spans="10:18">
      <c r="J91" s="39">
        <v>43999</v>
      </c>
      <c r="K91" s="2">
        <v>84.724593524590176</v>
      </c>
      <c r="L91" s="2">
        <v>44.5</v>
      </c>
      <c r="M91" s="2">
        <v>-40.224593524590176</v>
      </c>
      <c r="O91" s="39">
        <f t="shared" si="7"/>
        <v>44033</v>
      </c>
      <c r="P91" s="41">
        <f t="shared" si="4"/>
        <v>84.824598524590158</v>
      </c>
      <c r="Q91" s="41">
        <f t="shared" si="5"/>
        <v>54.04</v>
      </c>
      <c r="R91" s="41">
        <f t="shared" si="6"/>
        <v>-30.784598524590159</v>
      </c>
    </row>
    <row r="92" spans="10:18">
      <c r="J92" s="39">
        <v>43998</v>
      </c>
      <c r="K92" s="2">
        <v>84.724593524590176</v>
      </c>
      <c r="L92" s="2">
        <v>46.42</v>
      </c>
      <c r="M92" s="2">
        <v>-38.304593524590175</v>
      </c>
      <c r="O92" s="39">
        <f t="shared" si="7"/>
        <v>44032</v>
      </c>
      <c r="P92" s="41">
        <f t="shared" si="4"/>
        <v>84.824598524590158</v>
      </c>
      <c r="Q92" s="41">
        <f t="shared" si="5"/>
        <v>53.16</v>
      </c>
      <c r="R92" s="41">
        <f t="shared" si="6"/>
        <v>-31.664598524590161</v>
      </c>
    </row>
    <row r="93" spans="10:18">
      <c r="J93" s="39">
        <v>43997</v>
      </c>
      <c r="K93" s="2">
        <v>84.724593524590176</v>
      </c>
      <c r="L93" s="2">
        <v>45.81</v>
      </c>
      <c r="M93" s="2">
        <v>-38.914593524590174</v>
      </c>
      <c r="O93" s="39">
        <f t="shared" si="7"/>
        <v>44031</v>
      </c>
      <c r="P93" s="41">
        <f t="shared" si="4"/>
        <v>84.824598524590158</v>
      </c>
      <c r="Q93" s="41">
        <f t="shared" si="5"/>
        <v>53.53</v>
      </c>
      <c r="R93" s="41">
        <f t="shared" si="6"/>
        <v>-31.294598524590157</v>
      </c>
    </row>
    <row r="94" spans="10:18">
      <c r="J94" s="39">
        <v>43994</v>
      </c>
      <c r="K94" s="2">
        <v>84.724593524590176</v>
      </c>
      <c r="L94" s="2">
        <v>45.42</v>
      </c>
      <c r="M94" s="2">
        <v>-39.304593524590175</v>
      </c>
      <c r="O94" s="39">
        <f t="shared" si="7"/>
        <v>44030</v>
      </c>
      <c r="P94" s="41">
        <f t="shared" si="4"/>
        <v>84.824598524590158</v>
      </c>
      <c r="Q94" s="41">
        <f t="shared" si="5"/>
        <v>53.53</v>
      </c>
      <c r="R94" s="41">
        <f t="shared" si="6"/>
        <v>-31.294598524590157</v>
      </c>
    </row>
    <row r="95" spans="10:18">
      <c r="J95" s="39">
        <v>43993</v>
      </c>
      <c r="K95" s="2">
        <v>81.662168483606564</v>
      </c>
      <c r="L95" s="2">
        <v>44.46</v>
      </c>
      <c r="M95" s="2">
        <v>-37.202168483606563</v>
      </c>
      <c r="O95" s="39">
        <f t="shared" si="7"/>
        <v>44029</v>
      </c>
      <c r="P95" s="41">
        <f t="shared" si="4"/>
        <v>84.824598524590158</v>
      </c>
      <c r="Q95" s="41">
        <f t="shared" si="5"/>
        <v>53.53</v>
      </c>
      <c r="R95" s="41">
        <f t="shared" si="6"/>
        <v>-31.294598524590157</v>
      </c>
    </row>
    <row r="96" spans="10:18">
      <c r="J96" s="39">
        <v>43992</v>
      </c>
      <c r="K96" s="2">
        <v>81.662168483606564</v>
      </c>
      <c r="L96" s="2">
        <v>45.51</v>
      </c>
      <c r="M96" s="2">
        <v>-36.152168483606566</v>
      </c>
      <c r="O96" s="39">
        <f t="shared" si="7"/>
        <v>44028</v>
      </c>
      <c r="P96" s="41">
        <f t="shared" si="4"/>
        <v>85.005398524590149</v>
      </c>
      <c r="Q96" s="41">
        <f t="shared" si="5"/>
        <v>53.46</v>
      </c>
      <c r="R96" s="41">
        <f t="shared" si="6"/>
        <v>-31.545398524590148</v>
      </c>
    </row>
    <row r="97" spans="10:18">
      <c r="J97" s="39">
        <v>43991</v>
      </c>
      <c r="K97" s="2">
        <v>81.662168483606564</v>
      </c>
      <c r="L97" s="2">
        <v>46.51</v>
      </c>
      <c r="M97" s="2">
        <v>-35.152168483606566</v>
      </c>
      <c r="O97" s="39">
        <f t="shared" si="7"/>
        <v>44027</v>
      </c>
      <c r="P97" s="41">
        <f t="shared" si="4"/>
        <v>85.005398524590149</v>
      </c>
      <c r="Q97" s="41">
        <f t="shared" si="5"/>
        <v>52.230000000000004</v>
      </c>
      <c r="R97" s="41">
        <f t="shared" si="6"/>
        <v>-32.775398524590145</v>
      </c>
    </row>
    <row r="98" spans="10:18">
      <c r="J98" s="39">
        <v>43990</v>
      </c>
      <c r="K98" s="2">
        <v>81.662168483606564</v>
      </c>
      <c r="L98" s="2">
        <v>47.160000000000004</v>
      </c>
      <c r="M98" s="2">
        <v>-34.50216848360656</v>
      </c>
      <c r="O98" s="39">
        <f t="shared" si="7"/>
        <v>44026</v>
      </c>
      <c r="P98" s="41">
        <f t="shared" si="4"/>
        <v>85.005398524590149</v>
      </c>
      <c r="Q98" s="41">
        <f t="shared" si="5"/>
        <v>50.760000000000005</v>
      </c>
      <c r="R98" s="41">
        <f t="shared" si="6"/>
        <v>-34.245398524590144</v>
      </c>
    </row>
    <row r="99" spans="10:18">
      <c r="J99" s="39">
        <v>43987</v>
      </c>
      <c r="K99" s="2">
        <v>81.662168483606564</v>
      </c>
      <c r="L99" s="2">
        <v>47.06</v>
      </c>
      <c r="M99" s="2">
        <v>-34.602168483606562</v>
      </c>
      <c r="O99" s="39">
        <f t="shared" si="7"/>
        <v>44025</v>
      </c>
      <c r="P99" s="41">
        <f t="shared" si="4"/>
        <v>85.005398524590149</v>
      </c>
      <c r="Q99" s="41">
        <f t="shared" si="5"/>
        <v>51.410000000000004</v>
      </c>
      <c r="R99" s="41">
        <f t="shared" si="6"/>
        <v>-33.595398524590145</v>
      </c>
    </row>
    <row r="100" spans="10:18">
      <c r="J100" s="39">
        <v>43986</v>
      </c>
      <c r="K100" s="2">
        <v>80.984168483606553</v>
      </c>
      <c r="L100" s="2">
        <v>47.03</v>
      </c>
      <c r="M100" s="2">
        <v>-33.954168483606551</v>
      </c>
      <c r="O100" s="39">
        <f t="shared" si="7"/>
        <v>44024</v>
      </c>
      <c r="P100" s="41">
        <f t="shared" si="4"/>
        <v>85.005398524590149</v>
      </c>
      <c r="Q100" s="41">
        <f t="shared" si="5"/>
        <v>51.53</v>
      </c>
      <c r="R100" s="41">
        <f t="shared" si="6"/>
        <v>-33.475398524590148</v>
      </c>
    </row>
    <row r="101" spans="10:18">
      <c r="J101" s="39">
        <v>43985</v>
      </c>
      <c r="K101" s="2">
        <v>80.984168483606553</v>
      </c>
      <c r="L101" s="2">
        <v>50.739999999999995</v>
      </c>
      <c r="M101" s="2">
        <v>-30.244168483606558</v>
      </c>
      <c r="O101" s="39">
        <f t="shared" si="7"/>
        <v>44023</v>
      </c>
      <c r="P101" s="41">
        <f t="shared" si="4"/>
        <v>85.005398524590149</v>
      </c>
      <c r="Q101" s="41">
        <f t="shared" si="5"/>
        <v>51.53</v>
      </c>
      <c r="R101" s="41">
        <f t="shared" si="6"/>
        <v>-33.475398524590148</v>
      </c>
    </row>
    <row r="102" spans="10:18">
      <c r="J102" s="39">
        <v>43984</v>
      </c>
      <c r="K102" s="2">
        <v>80.984168483606553</v>
      </c>
      <c r="L102" s="2">
        <v>49.32</v>
      </c>
      <c r="M102" s="2">
        <v>-31.664168483606552</v>
      </c>
      <c r="O102" s="39">
        <f t="shared" si="7"/>
        <v>44022</v>
      </c>
      <c r="P102" s="41">
        <f t="shared" si="4"/>
        <v>85.005398524590149</v>
      </c>
      <c r="Q102" s="41">
        <f t="shared" si="5"/>
        <v>51.53</v>
      </c>
      <c r="R102" s="41">
        <f t="shared" si="6"/>
        <v>-33.475398524590148</v>
      </c>
    </row>
    <row r="103" spans="10:18">
      <c r="J103" s="39">
        <v>43983</v>
      </c>
      <c r="K103" s="2">
        <v>80.984168483606553</v>
      </c>
      <c r="L103" s="2">
        <v>45.8</v>
      </c>
      <c r="M103" s="2">
        <v>-35.184168483606555</v>
      </c>
      <c r="O103" s="39">
        <f t="shared" si="7"/>
        <v>44021</v>
      </c>
      <c r="P103" s="41">
        <f t="shared" si="4"/>
        <v>85.457398524590147</v>
      </c>
      <c r="Q103" s="41">
        <f t="shared" si="5"/>
        <v>52.160000000000004</v>
      </c>
      <c r="R103" s="41">
        <f t="shared" si="6"/>
        <v>-33.297398524590143</v>
      </c>
    </row>
    <row r="104" spans="10:18">
      <c r="J104" s="39">
        <v>43980</v>
      </c>
      <c r="K104" s="2">
        <v>80.984168483606553</v>
      </c>
      <c r="L104" s="2">
        <v>41.11</v>
      </c>
      <c r="M104" s="2">
        <v>-39.874168483606553</v>
      </c>
      <c r="O104" s="39">
        <f t="shared" si="7"/>
        <v>44020</v>
      </c>
      <c r="P104" s="41">
        <f t="shared" si="4"/>
        <v>85.457398524590147</v>
      </c>
      <c r="Q104" s="41">
        <f t="shared" si="5"/>
        <v>52.1</v>
      </c>
      <c r="R104" s="41">
        <f t="shared" si="6"/>
        <v>-33.357398524590145</v>
      </c>
    </row>
    <row r="105" spans="10:18">
      <c r="J105" s="39">
        <v>43979</v>
      </c>
      <c r="K105" s="2">
        <v>83.719018565573748</v>
      </c>
      <c r="L105" s="2">
        <v>40.58</v>
      </c>
      <c r="M105" s="2">
        <v>-43.13901856557375</v>
      </c>
      <c r="O105" s="39">
        <f t="shared" si="7"/>
        <v>44019</v>
      </c>
      <c r="P105" s="41">
        <f t="shared" si="4"/>
        <v>85.457398524590147</v>
      </c>
      <c r="Q105" s="41">
        <f t="shared" si="5"/>
        <v>52.88</v>
      </c>
      <c r="R105" s="41">
        <f t="shared" si="6"/>
        <v>-32.577398524590144</v>
      </c>
    </row>
    <row r="106" spans="10:18">
      <c r="J106" s="39">
        <v>43978</v>
      </c>
      <c r="K106" s="2">
        <v>83.719018565573748</v>
      </c>
      <c r="L106" s="2">
        <v>41.11</v>
      </c>
      <c r="M106" s="2">
        <v>-42.609018565573749</v>
      </c>
      <c r="O106" s="39">
        <f t="shared" si="7"/>
        <v>44018</v>
      </c>
      <c r="P106" s="41">
        <f t="shared" si="4"/>
        <v>85.457398524590147</v>
      </c>
      <c r="Q106" s="41">
        <f t="shared" si="5"/>
        <v>53.44</v>
      </c>
      <c r="R106" s="41">
        <f t="shared" si="6"/>
        <v>-32.017398524590149</v>
      </c>
    </row>
    <row r="107" spans="10:18">
      <c r="J107" s="39">
        <v>43977</v>
      </c>
      <c r="K107" s="2">
        <v>83.719018565573748</v>
      </c>
      <c r="L107" s="2">
        <v>41.61</v>
      </c>
      <c r="M107" s="2">
        <v>-42.109018565573749</v>
      </c>
      <c r="O107" s="39">
        <f t="shared" si="7"/>
        <v>44017</v>
      </c>
      <c r="P107" s="41">
        <f t="shared" si="4"/>
        <v>85.457398524590147</v>
      </c>
      <c r="Q107" s="41">
        <f t="shared" si="5"/>
        <v>52.88</v>
      </c>
      <c r="R107" s="41">
        <f t="shared" si="6"/>
        <v>-32.577398524590144</v>
      </c>
    </row>
    <row r="108" spans="10:18">
      <c r="J108" s="39">
        <v>43976</v>
      </c>
      <c r="K108" s="2">
        <v>83.719018565573748</v>
      </c>
      <c r="L108" s="2">
        <v>41.769999999999996</v>
      </c>
      <c r="M108" s="2">
        <v>-41.949018565573752</v>
      </c>
      <c r="O108" s="39">
        <f t="shared" si="7"/>
        <v>44016</v>
      </c>
      <c r="P108" s="41">
        <f t="shared" si="4"/>
        <v>85.457398524590147</v>
      </c>
      <c r="Q108" s="41">
        <f t="shared" si="5"/>
        <v>52.88</v>
      </c>
      <c r="R108" s="41">
        <f t="shared" si="6"/>
        <v>-32.577398524590144</v>
      </c>
    </row>
    <row r="109" spans="10:18">
      <c r="J109" s="39">
        <v>43973</v>
      </c>
      <c r="K109" s="2">
        <v>83.719018565573748</v>
      </c>
      <c r="L109" s="2">
        <v>41.769999999999996</v>
      </c>
      <c r="M109" s="2">
        <v>-41.949018565573752</v>
      </c>
      <c r="O109" s="39">
        <f t="shared" si="7"/>
        <v>44015</v>
      </c>
      <c r="P109" s="41">
        <f t="shared" si="4"/>
        <v>85.457398524590147</v>
      </c>
      <c r="Q109" s="41">
        <f t="shared" si="5"/>
        <v>52.88</v>
      </c>
      <c r="R109" s="41">
        <f t="shared" si="6"/>
        <v>-32.577398524590144</v>
      </c>
    </row>
    <row r="110" spans="10:18">
      <c r="J110" s="39">
        <v>43972</v>
      </c>
      <c r="K110" s="2">
        <v>83.719018565573748</v>
      </c>
      <c r="L110" s="2">
        <v>42.1</v>
      </c>
      <c r="M110" s="2">
        <v>-41.619018565573747</v>
      </c>
      <c r="O110" s="39">
        <f t="shared" si="7"/>
        <v>44014</v>
      </c>
      <c r="P110" s="41">
        <f t="shared" si="4"/>
        <v>83.468598524590149</v>
      </c>
      <c r="Q110" s="41">
        <f t="shared" si="5"/>
        <v>53.46</v>
      </c>
      <c r="R110" s="41">
        <f t="shared" si="6"/>
        <v>-30.008598524590148</v>
      </c>
    </row>
    <row r="111" spans="10:18">
      <c r="J111" s="39">
        <v>43971</v>
      </c>
      <c r="K111" s="2">
        <v>83.719018565573748</v>
      </c>
      <c r="L111" s="2">
        <v>41.45</v>
      </c>
      <c r="M111" s="2">
        <v>-42.269018565573745</v>
      </c>
      <c r="O111" s="39">
        <f t="shared" si="7"/>
        <v>44013</v>
      </c>
      <c r="P111" s="41">
        <f t="shared" si="4"/>
        <v>87.654627950819673</v>
      </c>
      <c r="Q111" s="41">
        <f t="shared" si="5"/>
        <v>52.68</v>
      </c>
      <c r="R111" s="41">
        <f t="shared" si="6"/>
        <v>-34.974627950819674</v>
      </c>
    </row>
    <row r="112" spans="10:18">
      <c r="J112" s="39">
        <v>43970</v>
      </c>
      <c r="K112" s="2">
        <v>83.719018565573748</v>
      </c>
      <c r="L112" s="2">
        <v>41.65</v>
      </c>
      <c r="M112" s="2">
        <v>-42.069018565573749</v>
      </c>
      <c r="O112" s="39">
        <f t="shared" si="7"/>
        <v>44012</v>
      </c>
      <c r="P112" s="41">
        <f t="shared" si="4"/>
        <v>87.654627950819673</v>
      </c>
      <c r="Q112" s="41">
        <f t="shared" si="5"/>
        <v>51.83</v>
      </c>
      <c r="R112" s="41">
        <f t="shared" si="6"/>
        <v>-35.824627950819675</v>
      </c>
    </row>
    <row r="113" spans="10:18">
      <c r="J113" s="39">
        <v>43969</v>
      </c>
      <c r="K113" s="2">
        <v>83.719018565573748</v>
      </c>
      <c r="L113" s="2">
        <v>40.83</v>
      </c>
      <c r="M113" s="2">
        <v>-42.88901856557375</v>
      </c>
      <c r="O113" s="39">
        <f t="shared" si="7"/>
        <v>44011</v>
      </c>
      <c r="P113" s="41">
        <f t="shared" si="4"/>
        <v>87.654627950819673</v>
      </c>
      <c r="Q113" s="41">
        <f t="shared" si="5"/>
        <v>51.01</v>
      </c>
      <c r="R113" s="41">
        <f t="shared" si="6"/>
        <v>-36.644627950819675</v>
      </c>
    </row>
    <row r="114" spans="10:18">
      <c r="J114" s="39">
        <v>43966</v>
      </c>
      <c r="K114" s="2">
        <v>83.719018565573748</v>
      </c>
      <c r="L114" s="2">
        <v>41.43</v>
      </c>
      <c r="M114" s="2">
        <v>-42.289018565573748</v>
      </c>
      <c r="O114" s="39">
        <f t="shared" si="7"/>
        <v>44010</v>
      </c>
      <c r="P114" s="41">
        <f t="shared" si="4"/>
        <v>87.654627950819673</v>
      </c>
      <c r="Q114" s="41">
        <f t="shared" si="5"/>
        <v>49.879999999999995</v>
      </c>
      <c r="R114" s="41">
        <f t="shared" si="6"/>
        <v>-37.774627950819678</v>
      </c>
    </row>
    <row r="115" spans="10:18">
      <c r="J115" s="39">
        <v>43965</v>
      </c>
      <c r="K115" s="2">
        <v>84.171018565573746</v>
      </c>
      <c r="L115" s="2">
        <v>40.81</v>
      </c>
      <c r="M115" s="2">
        <v>-43.361018565573744</v>
      </c>
      <c r="O115" s="39">
        <f t="shared" si="7"/>
        <v>44009</v>
      </c>
      <c r="P115" s="41">
        <f t="shared" si="4"/>
        <v>87.654627950819673</v>
      </c>
      <c r="Q115" s="41">
        <f t="shared" si="5"/>
        <v>49.879999999999995</v>
      </c>
      <c r="R115" s="41">
        <f t="shared" si="6"/>
        <v>-37.774627950819678</v>
      </c>
    </row>
    <row r="116" spans="10:18">
      <c r="J116" s="39">
        <v>43964</v>
      </c>
      <c r="K116" s="2">
        <v>84.171018565573746</v>
      </c>
      <c r="L116" s="2">
        <v>40.86</v>
      </c>
      <c r="M116" s="2">
        <v>-43.311018565573747</v>
      </c>
      <c r="O116" s="39">
        <f t="shared" si="7"/>
        <v>44008</v>
      </c>
      <c r="P116" s="41">
        <f t="shared" si="4"/>
        <v>87.654627950819673</v>
      </c>
      <c r="Q116" s="41">
        <f t="shared" si="5"/>
        <v>49.879999999999995</v>
      </c>
      <c r="R116" s="41">
        <f t="shared" si="6"/>
        <v>-37.774627950819678</v>
      </c>
    </row>
    <row r="117" spans="10:18">
      <c r="J117" s="39">
        <v>43963</v>
      </c>
      <c r="K117" s="2">
        <v>84.171018565573746</v>
      </c>
      <c r="L117" s="2">
        <v>40.35</v>
      </c>
      <c r="M117" s="2">
        <v>-43.821018565573745</v>
      </c>
      <c r="O117" s="39">
        <f t="shared" si="7"/>
        <v>44007</v>
      </c>
      <c r="P117" s="41">
        <f t="shared" si="4"/>
        <v>87.662593524590179</v>
      </c>
      <c r="Q117" s="41">
        <f t="shared" si="5"/>
        <v>48.29</v>
      </c>
      <c r="R117" s="41">
        <f t="shared" si="6"/>
        <v>-39.372593524590179</v>
      </c>
    </row>
    <row r="118" spans="10:18">
      <c r="J118" s="39">
        <v>43962</v>
      </c>
      <c r="K118" s="2">
        <v>84.171018565573746</v>
      </c>
      <c r="L118" s="2">
        <v>40.56</v>
      </c>
      <c r="M118" s="2">
        <v>-43.611018565573744</v>
      </c>
      <c r="O118" s="39">
        <f t="shared" si="7"/>
        <v>44006</v>
      </c>
      <c r="P118" s="41">
        <f t="shared" si="4"/>
        <v>87.662593524590179</v>
      </c>
      <c r="Q118" s="41">
        <f t="shared" si="5"/>
        <v>48.67</v>
      </c>
      <c r="R118" s="41">
        <f t="shared" si="6"/>
        <v>-38.992593524590177</v>
      </c>
    </row>
    <row r="119" spans="10:18">
      <c r="J119" s="39">
        <v>43959</v>
      </c>
      <c r="K119" s="2">
        <v>84.171018565573746</v>
      </c>
      <c r="L119" s="2">
        <v>40.880000000000003</v>
      </c>
      <c r="M119" s="2">
        <v>-43.291018565573744</v>
      </c>
      <c r="O119" s="39">
        <f t="shared" si="7"/>
        <v>44005</v>
      </c>
      <c r="P119" s="41">
        <f t="shared" si="4"/>
        <v>87.662593524590179</v>
      </c>
      <c r="Q119" s="41">
        <f t="shared" si="5"/>
        <v>47.53</v>
      </c>
      <c r="R119" s="41">
        <f t="shared" si="6"/>
        <v>-40.132593524590177</v>
      </c>
    </row>
    <row r="120" spans="10:18">
      <c r="J120" s="39">
        <v>43958</v>
      </c>
      <c r="K120" s="2">
        <v>84.849018565573743</v>
      </c>
      <c r="L120" s="2">
        <v>40.880000000000003</v>
      </c>
      <c r="M120" s="2">
        <v>-43.969018565573741</v>
      </c>
      <c r="O120" s="39">
        <f t="shared" si="7"/>
        <v>44004</v>
      </c>
      <c r="P120" s="41">
        <f t="shared" si="4"/>
        <v>87.662593524590179</v>
      </c>
      <c r="Q120" s="41">
        <f t="shared" si="5"/>
        <v>45.48</v>
      </c>
      <c r="R120" s="41">
        <f t="shared" si="6"/>
        <v>-42.182593524590182</v>
      </c>
    </row>
    <row r="121" spans="10:18">
      <c r="J121" s="39">
        <v>43957</v>
      </c>
      <c r="K121" s="2">
        <v>84.849018565573743</v>
      </c>
      <c r="L121" s="2">
        <v>42.410000000000004</v>
      </c>
      <c r="M121" s="2">
        <v>-42.43901856557374</v>
      </c>
      <c r="O121" s="39">
        <f t="shared" si="7"/>
        <v>44003</v>
      </c>
      <c r="P121" s="41">
        <f t="shared" si="4"/>
        <v>87.662593524590179</v>
      </c>
      <c r="Q121" s="41">
        <f t="shared" si="5"/>
        <v>46.17</v>
      </c>
      <c r="R121" s="41">
        <f t="shared" si="6"/>
        <v>-41.492593524590177</v>
      </c>
    </row>
    <row r="122" spans="10:18">
      <c r="J122" s="39">
        <v>43956</v>
      </c>
      <c r="K122" s="2">
        <v>84.849018565573743</v>
      </c>
      <c r="L122" s="2">
        <v>41.790000000000006</v>
      </c>
      <c r="M122" s="2">
        <v>-43.059018565573737</v>
      </c>
      <c r="O122" s="39">
        <f t="shared" si="7"/>
        <v>44002</v>
      </c>
      <c r="P122" s="41">
        <f t="shared" si="4"/>
        <v>87.662593524590179</v>
      </c>
      <c r="Q122" s="41">
        <f t="shared" si="5"/>
        <v>46.17</v>
      </c>
      <c r="R122" s="41">
        <f t="shared" si="6"/>
        <v>-41.492593524590177</v>
      </c>
    </row>
    <row r="123" spans="10:18">
      <c r="J123" s="39">
        <v>43955</v>
      </c>
      <c r="K123" s="2">
        <v>84.849018565573743</v>
      </c>
      <c r="L123" s="2">
        <v>41.67</v>
      </c>
      <c r="M123" s="2">
        <v>-43.179018565573742</v>
      </c>
      <c r="O123" s="39">
        <f t="shared" si="7"/>
        <v>44001</v>
      </c>
      <c r="P123" s="41">
        <f t="shared" si="4"/>
        <v>87.662593524590179</v>
      </c>
      <c r="Q123" s="41">
        <f t="shared" si="5"/>
        <v>46.17</v>
      </c>
      <c r="R123" s="41">
        <f t="shared" si="6"/>
        <v>-41.492593524590177</v>
      </c>
    </row>
    <row r="124" spans="10:18">
      <c r="J124" s="39">
        <v>43952</v>
      </c>
      <c r="K124" s="2">
        <v>84.849018565573743</v>
      </c>
      <c r="L124" s="2">
        <v>41.74</v>
      </c>
      <c r="M124" s="2">
        <v>-43.109018565573741</v>
      </c>
      <c r="O124" s="39">
        <f t="shared" si="7"/>
        <v>44000</v>
      </c>
      <c r="P124" s="41">
        <f t="shared" si="4"/>
        <v>84.724593524590176</v>
      </c>
      <c r="Q124" s="41">
        <f t="shared" si="5"/>
        <v>45.58</v>
      </c>
      <c r="R124" s="41">
        <f t="shared" si="6"/>
        <v>-39.144593524590178</v>
      </c>
    </row>
    <row r="125" spans="10:18">
      <c r="J125" s="39">
        <v>43951</v>
      </c>
      <c r="K125" s="2">
        <v>85.811509959016391</v>
      </c>
      <c r="L125" s="2">
        <v>40.99</v>
      </c>
      <c r="M125" s="2">
        <v>-44.821509959016389</v>
      </c>
      <c r="O125" s="39">
        <f t="shared" si="7"/>
        <v>43999</v>
      </c>
      <c r="P125" s="41">
        <f t="shared" si="4"/>
        <v>84.724593524590176</v>
      </c>
      <c r="Q125" s="41">
        <f t="shared" si="5"/>
        <v>44.5</v>
      </c>
      <c r="R125" s="41">
        <f t="shared" si="6"/>
        <v>-40.224593524590176</v>
      </c>
    </row>
    <row r="126" spans="10:18">
      <c r="J126" s="39">
        <v>43950</v>
      </c>
      <c r="K126" s="2">
        <v>85.811509959016391</v>
      </c>
      <c r="L126" s="2">
        <v>40.090000000000003</v>
      </c>
      <c r="M126" s="2">
        <v>-45.721509959016387</v>
      </c>
      <c r="O126" s="39">
        <f t="shared" si="7"/>
        <v>43998</v>
      </c>
      <c r="P126" s="41">
        <f t="shared" si="4"/>
        <v>84.724593524590176</v>
      </c>
      <c r="Q126" s="41">
        <f t="shared" si="5"/>
        <v>46.42</v>
      </c>
      <c r="R126" s="41">
        <f t="shared" si="6"/>
        <v>-38.304593524590175</v>
      </c>
    </row>
    <row r="127" spans="10:18">
      <c r="J127" s="39">
        <v>43949</v>
      </c>
      <c r="K127" s="2">
        <v>85.811509959016391</v>
      </c>
      <c r="L127" s="2">
        <v>38.700000000000003</v>
      </c>
      <c r="M127" s="2">
        <v>-47.111509959016388</v>
      </c>
      <c r="O127" s="39">
        <f t="shared" si="7"/>
        <v>43997</v>
      </c>
      <c r="P127" s="41">
        <f t="shared" si="4"/>
        <v>84.724593524590176</v>
      </c>
      <c r="Q127" s="41">
        <f t="shared" si="5"/>
        <v>45.81</v>
      </c>
      <c r="R127" s="41">
        <f t="shared" si="6"/>
        <v>-38.914593524590174</v>
      </c>
    </row>
    <row r="128" spans="10:18">
      <c r="J128" s="39">
        <v>43948</v>
      </c>
      <c r="K128" s="2">
        <v>85.811509959016391</v>
      </c>
      <c r="L128" s="2">
        <v>40.15</v>
      </c>
      <c r="M128" s="2">
        <v>-45.661509959016392</v>
      </c>
      <c r="O128" s="39">
        <f t="shared" si="7"/>
        <v>43996</v>
      </c>
      <c r="P128" s="41">
        <f t="shared" si="4"/>
        <v>84.724593524590176</v>
      </c>
      <c r="Q128" s="41">
        <f t="shared" si="5"/>
        <v>45.42</v>
      </c>
      <c r="R128" s="41">
        <f t="shared" si="6"/>
        <v>-39.304593524590175</v>
      </c>
    </row>
    <row r="129" spans="10:18">
      <c r="J129" s="39">
        <v>43945</v>
      </c>
      <c r="K129" s="2">
        <v>85.811509959016391</v>
      </c>
      <c r="L129" s="2">
        <v>40.98</v>
      </c>
      <c r="M129" s="2">
        <v>-44.831509959016394</v>
      </c>
      <c r="O129" s="39">
        <f t="shared" si="7"/>
        <v>43995</v>
      </c>
      <c r="P129" s="41">
        <f t="shared" si="4"/>
        <v>84.724593524590176</v>
      </c>
      <c r="Q129" s="41">
        <f t="shared" si="5"/>
        <v>45.42</v>
      </c>
      <c r="R129" s="41">
        <f t="shared" si="6"/>
        <v>-39.304593524590175</v>
      </c>
    </row>
    <row r="130" spans="10:18">
      <c r="J130" s="39">
        <v>43944</v>
      </c>
      <c r="K130" s="2">
        <v>86.489509959016388</v>
      </c>
      <c r="L130" s="2">
        <v>41.4</v>
      </c>
      <c r="M130" s="2">
        <v>-45.089509959016389</v>
      </c>
      <c r="O130" s="39">
        <f t="shared" si="7"/>
        <v>43994</v>
      </c>
      <c r="P130" s="41">
        <f t="shared" si="4"/>
        <v>84.724593524590176</v>
      </c>
      <c r="Q130" s="41">
        <f t="shared" si="5"/>
        <v>45.42</v>
      </c>
      <c r="R130" s="41">
        <f t="shared" si="6"/>
        <v>-39.304593524590175</v>
      </c>
    </row>
    <row r="131" spans="10:18">
      <c r="J131" s="39">
        <v>43943</v>
      </c>
      <c r="K131" s="2">
        <v>86.489509959016388</v>
      </c>
      <c r="L131" s="2">
        <v>42.67</v>
      </c>
      <c r="M131" s="2">
        <v>-43.819509959016386</v>
      </c>
      <c r="O131" s="39">
        <f t="shared" si="7"/>
        <v>43993</v>
      </c>
      <c r="P131" s="41">
        <f t="shared" si="4"/>
        <v>81.662168483606564</v>
      </c>
      <c r="Q131" s="41">
        <f t="shared" si="5"/>
        <v>44.46</v>
      </c>
      <c r="R131" s="41">
        <f t="shared" si="6"/>
        <v>-37.202168483606563</v>
      </c>
    </row>
    <row r="132" spans="10:18">
      <c r="J132" s="39">
        <v>43942</v>
      </c>
      <c r="K132" s="2">
        <v>86.489509959016388</v>
      </c>
      <c r="L132" s="2">
        <v>44.07</v>
      </c>
      <c r="M132" s="2">
        <v>-42.419509959016388</v>
      </c>
      <c r="O132" s="39">
        <f t="shared" si="7"/>
        <v>43992</v>
      </c>
      <c r="P132" s="41">
        <f t="shared" si="4"/>
        <v>81.662168483606564</v>
      </c>
      <c r="Q132" s="41">
        <f t="shared" si="5"/>
        <v>45.51</v>
      </c>
      <c r="R132" s="41">
        <f t="shared" si="6"/>
        <v>-36.152168483606566</v>
      </c>
    </row>
    <row r="133" spans="10:18">
      <c r="J133" s="39">
        <v>43941</v>
      </c>
      <c r="K133" s="2">
        <v>86.489509959016388</v>
      </c>
      <c r="L133" s="2">
        <v>46.51</v>
      </c>
      <c r="M133" s="2">
        <v>-39.97950995901639</v>
      </c>
      <c r="O133" s="39">
        <f t="shared" si="7"/>
        <v>43991</v>
      </c>
      <c r="P133" s="41">
        <f t="shared" si="4"/>
        <v>81.662168483606564</v>
      </c>
      <c r="Q133" s="41">
        <f t="shared" si="5"/>
        <v>46.51</v>
      </c>
      <c r="R133" s="41">
        <f t="shared" si="6"/>
        <v>-35.152168483606566</v>
      </c>
    </row>
    <row r="134" spans="10:18">
      <c r="J134" s="39">
        <v>43938</v>
      </c>
      <c r="K134" s="2">
        <v>86.489509959016388</v>
      </c>
      <c r="L134" s="2">
        <v>46.550000000000004</v>
      </c>
      <c r="M134" s="2">
        <v>-39.939509959016384</v>
      </c>
      <c r="O134" s="39">
        <f t="shared" si="7"/>
        <v>43990</v>
      </c>
      <c r="P134" s="41">
        <f t="shared" ref="P134:P197" si="8">IFERROR(VLOOKUP($O134,$J$5:$M$403,2,FALSE),P135)</f>
        <v>81.662168483606564</v>
      </c>
      <c r="Q134" s="41">
        <f t="shared" ref="Q134:Q197" si="9">IFERROR(VLOOKUP($O134,$J$5:$M$403,3,FALSE),Q135)</f>
        <v>47.160000000000004</v>
      </c>
      <c r="R134" s="41">
        <f t="shared" ref="R134:R197" si="10">IFERROR(VLOOKUP($O134,$J$5:$M$403,4,FALSE),R135)</f>
        <v>-34.50216848360656</v>
      </c>
    </row>
    <row r="135" spans="10:18">
      <c r="J135" s="39">
        <v>43937</v>
      </c>
      <c r="K135" s="2">
        <v>85.811509959016391</v>
      </c>
      <c r="L135" s="2">
        <v>46.32</v>
      </c>
      <c r="M135" s="2">
        <v>-39.49150995901639</v>
      </c>
      <c r="O135" s="39">
        <f t="shared" ref="O135:O198" si="11">O134-1</f>
        <v>43989</v>
      </c>
      <c r="P135" s="41">
        <f t="shared" si="8"/>
        <v>81.662168483606564</v>
      </c>
      <c r="Q135" s="41">
        <f t="shared" si="9"/>
        <v>47.06</v>
      </c>
      <c r="R135" s="41">
        <f t="shared" si="10"/>
        <v>-34.602168483606562</v>
      </c>
    </row>
    <row r="136" spans="10:18">
      <c r="J136" s="39">
        <v>43936</v>
      </c>
      <c r="K136" s="2">
        <v>85.811509959016391</v>
      </c>
      <c r="L136" s="2">
        <v>46.190000000000005</v>
      </c>
      <c r="M136" s="2">
        <v>-39.621509959016386</v>
      </c>
      <c r="O136" s="39">
        <f t="shared" si="11"/>
        <v>43988</v>
      </c>
      <c r="P136" s="41">
        <f t="shared" si="8"/>
        <v>81.662168483606564</v>
      </c>
      <c r="Q136" s="41">
        <f t="shared" si="9"/>
        <v>47.06</v>
      </c>
      <c r="R136" s="41">
        <f t="shared" si="10"/>
        <v>-34.602168483606562</v>
      </c>
    </row>
    <row r="137" spans="10:18">
      <c r="J137" s="39">
        <v>43935</v>
      </c>
      <c r="K137" s="2">
        <v>85.811509959016391</v>
      </c>
      <c r="L137" s="2">
        <v>46.57</v>
      </c>
      <c r="M137" s="2">
        <v>-39.24150995901639</v>
      </c>
      <c r="O137" s="39">
        <f t="shared" si="11"/>
        <v>43987</v>
      </c>
      <c r="P137" s="41">
        <f t="shared" si="8"/>
        <v>81.662168483606564</v>
      </c>
      <c r="Q137" s="41">
        <f t="shared" si="9"/>
        <v>47.06</v>
      </c>
      <c r="R137" s="41">
        <f t="shared" si="10"/>
        <v>-34.602168483606562</v>
      </c>
    </row>
    <row r="138" spans="10:18">
      <c r="J138" s="39">
        <v>43934</v>
      </c>
      <c r="K138" s="2">
        <v>85.811509959016391</v>
      </c>
      <c r="L138" s="2">
        <v>48.11</v>
      </c>
      <c r="M138" s="2">
        <v>-37.701509959016391</v>
      </c>
      <c r="O138" s="39">
        <f t="shared" si="11"/>
        <v>43986</v>
      </c>
      <c r="P138" s="41">
        <f t="shared" si="8"/>
        <v>80.984168483606553</v>
      </c>
      <c r="Q138" s="41">
        <f t="shared" si="9"/>
        <v>47.03</v>
      </c>
      <c r="R138" s="41">
        <f t="shared" si="10"/>
        <v>-33.954168483606551</v>
      </c>
    </row>
    <row r="139" spans="10:18">
      <c r="J139" s="39">
        <v>43931</v>
      </c>
      <c r="K139" s="2">
        <v>85.811509959016391</v>
      </c>
      <c r="L139" s="2">
        <v>48.11</v>
      </c>
      <c r="M139" s="2">
        <v>-37.701509959016391</v>
      </c>
      <c r="O139" s="39">
        <f t="shared" si="11"/>
        <v>43985</v>
      </c>
      <c r="P139" s="41">
        <f t="shared" si="8"/>
        <v>80.984168483606553</v>
      </c>
      <c r="Q139" s="41">
        <f t="shared" si="9"/>
        <v>50.739999999999995</v>
      </c>
      <c r="R139" s="41">
        <f t="shared" si="10"/>
        <v>-30.244168483606558</v>
      </c>
    </row>
    <row r="140" spans="10:18">
      <c r="J140" s="39">
        <v>43930</v>
      </c>
      <c r="K140" s="2">
        <v>85.359509959016393</v>
      </c>
      <c r="L140" s="2">
        <v>48.11</v>
      </c>
      <c r="M140" s="2">
        <v>-37.249509959016393</v>
      </c>
      <c r="O140" s="39">
        <f t="shared" si="11"/>
        <v>43984</v>
      </c>
      <c r="P140" s="41">
        <f t="shared" si="8"/>
        <v>80.984168483606553</v>
      </c>
      <c r="Q140" s="41">
        <f t="shared" si="9"/>
        <v>49.32</v>
      </c>
      <c r="R140" s="41">
        <f t="shared" si="10"/>
        <v>-31.664168483606552</v>
      </c>
    </row>
    <row r="141" spans="10:18">
      <c r="J141" s="39">
        <v>43929</v>
      </c>
      <c r="K141" s="2">
        <v>85.359509959016393</v>
      </c>
      <c r="L141" s="2">
        <v>47.730000000000004</v>
      </c>
      <c r="M141" s="2">
        <v>-37.629509959016389</v>
      </c>
      <c r="O141" s="39">
        <f t="shared" si="11"/>
        <v>43983</v>
      </c>
      <c r="P141" s="41">
        <f t="shared" si="8"/>
        <v>80.984168483606553</v>
      </c>
      <c r="Q141" s="41">
        <f t="shared" si="9"/>
        <v>45.8</v>
      </c>
      <c r="R141" s="41">
        <f t="shared" si="10"/>
        <v>-35.184168483606555</v>
      </c>
    </row>
    <row r="142" spans="10:18">
      <c r="J142" s="39">
        <v>43928</v>
      </c>
      <c r="K142" s="2">
        <v>85.359509959016393</v>
      </c>
      <c r="L142" s="2">
        <v>46.940000000000005</v>
      </c>
      <c r="M142" s="2">
        <v>-38.419509959016388</v>
      </c>
      <c r="O142" s="39">
        <f t="shared" si="11"/>
        <v>43982</v>
      </c>
      <c r="P142" s="41">
        <f t="shared" si="8"/>
        <v>80.984168483606553</v>
      </c>
      <c r="Q142" s="41">
        <f t="shared" si="9"/>
        <v>41.11</v>
      </c>
      <c r="R142" s="41">
        <f t="shared" si="10"/>
        <v>-39.874168483606553</v>
      </c>
    </row>
    <row r="143" spans="10:18">
      <c r="J143" s="39">
        <v>43927</v>
      </c>
      <c r="K143" s="2">
        <v>85.359509959016393</v>
      </c>
      <c r="L143" s="2">
        <v>44.85</v>
      </c>
      <c r="M143" s="2">
        <v>-40.509509959016391</v>
      </c>
      <c r="O143" s="39">
        <f t="shared" si="11"/>
        <v>43981</v>
      </c>
      <c r="P143" s="41">
        <f t="shared" si="8"/>
        <v>80.984168483606553</v>
      </c>
      <c r="Q143" s="41">
        <f t="shared" si="9"/>
        <v>41.11</v>
      </c>
      <c r="R143" s="41">
        <f t="shared" si="10"/>
        <v>-39.874168483606553</v>
      </c>
    </row>
    <row r="144" spans="10:18">
      <c r="J144" s="39">
        <v>43924</v>
      </c>
      <c r="K144" s="2">
        <v>85.359509959016393</v>
      </c>
      <c r="L144" s="2">
        <v>45.96</v>
      </c>
      <c r="M144" s="2">
        <v>-39.399509959016392</v>
      </c>
      <c r="O144" s="39">
        <f t="shared" si="11"/>
        <v>43980</v>
      </c>
      <c r="P144" s="41">
        <f t="shared" si="8"/>
        <v>80.984168483606553</v>
      </c>
      <c r="Q144" s="41">
        <f t="shared" si="9"/>
        <v>41.11</v>
      </c>
      <c r="R144" s="41">
        <f t="shared" si="10"/>
        <v>-39.874168483606553</v>
      </c>
    </row>
    <row r="145" spans="10:18">
      <c r="J145" s="39">
        <v>43923</v>
      </c>
      <c r="K145" s="2">
        <v>84.177937499999999</v>
      </c>
      <c r="L145" s="2">
        <v>47.35</v>
      </c>
      <c r="M145" s="2">
        <v>-36.827937499999997</v>
      </c>
      <c r="O145" s="39">
        <f t="shared" si="11"/>
        <v>43979</v>
      </c>
      <c r="P145" s="41">
        <f t="shared" si="8"/>
        <v>83.719018565573748</v>
      </c>
      <c r="Q145" s="41">
        <f t="shared" si="9"/>
        <v>40.58</v>
      </c>
      <c r="R145" s="41">
        <f t="shared" si="10"/>
        <v>-43.13901856557375</v>
      </c>
    </row>
    <row r="146" spans="10:18">
      <c r="J146" s="39">
        <v>43922</v>
      </c>
      <c r="K146" s="2">
        <v>84.177937499999999</v>
      </c>
      <c r="L146" s="2">
        <v>48.54</v>
      </c>
      <c r="M146" s="2">
        <v>-35.6379375</v>
      </c>
      <c r="O146" s="39">
        <f t="shared" si="11"/>
        <v>43978</v>
      </c>
      <c r="P146" s="41">
        <f t="shared" si="8"/>
        <v>83.719018565573748</v>
      </c>
      <c r="Q146" s="41">
        <f t="shared" si="9"/>
        <v>41.11</v>
      </c>
      <c r="R146" s="41">
        <f t="shared" si="10"/>
        <v>-42.609018565573749</v>
      </c>
    </row>
    <row r="147" spans="10:18">
      <c r="J147" s="39">
        <v>43921</v>
      </c>
      <c r="K147" s="2">
        <v>84.177937499999999</v>
      </c>
      <c r="L147" s="2">
        <v>50.33</v>
      </c>
      <c r="M147" s="2">
        <v>-33.8479375</v>
      </c>
      <c r="O147" s="39">
        <f t="shared" si="11"/>
        <v>43977</v>
      </c>
      <c r="P147" s="41">
        <f t="shared" si="8"/>
        <v>83.719018565573748</v>
      </c>
      <c r="Q147" s="41">
        <f t="shared" si="9"/>
        <v>41.61</v>
      </c>
      <c r="R147" s="41">
        <f t="shared" si="10"/>
        <v>-42.109018565573749</v>
      </c>
    </row>
    <row r="148" spans="10:18">
      <c r="J148" s="39">
        <v>43920</v>
      </c>
      <c r="K148" s="2">
        <v>84.177937499999999</v>
      </c>
      <c r="L148" s="2">
        <v>51.95</v>
      </c>
      <c r="M148" s="2">
        <v>-32.227937499999996</v>
      </c>
      <c r="O148" s="39">
        <f t="shared" si="11"/>
        <v>43976</v>
      </c>
      <c r="P148" s="41">
        <f t="shared" si="8"/>
        <v>83.719018565573748</v>
      </c>
      <c r="Q148" s="41">
        <f t="shared" si="9"/>
        <v>41.769999999999996</v>
      </c>
      <c r="R148" s="41">
        <f t="shared" si="10"/>
        <v>-41.949018565573752</v>
      </c>
    </row>
    <row r="149" spans="10:18">
      <c r="J149" s="39">
        <v>43917</v>
      </c>
      <c r="K149" s="2">
        <v>84.177937499999999</v>
      </c>
      <c r="L149" s="2">
        <v>48.95</v>
      </c>
      <c r="M149" s="2">
        <v>-35.227937499999996</v>
      </c>
      <c r="O149" s="39">
        <f t="shared" si="11"/>
        <v>43975</v>
      </c>
      <c r="P149" s="41">
        <f t="shared" si="8"/>
        <v>83.719018565573748</v>
      </c>
      <c r="Q149" s="41">
        <f t="shared" si="9"/>
        <v>41.769999999999996</v>
      </c>
      <c r="R149" s="41">
        <f t="shared" si="10"/>
        <v>-41.949018565573752</v>
      </c>
    </row>
    <row r="150" spans="10:18">
      <c r="J150" s="39">
        <v>43916</v>
      </c>
      <c r="K150" s="2">
        <v>84.539537499999994</v>
      </c>
      <c r="L150" s="2">
        <v>52.84</v>
      </c>
      <c r="M150" s="2">
        <v>-31.699537499999991</v>
      </c>
      <c r="O150" s="39">
        <f t="shared" si="11"/>
        <v>43974</v>
      </c>
      <c r="P150" s="41">
        <f t="shared" si="8"/>
        <v>83.719018565573748</v>
      </c>
      <c r="Q150" s="41">
        <f t="shared" si="9"/>
        <v>41.769999999999996</v>
      </c>
      <c r="R150" s="41">
        <f t="shared" si="10"/>
        <v>-41.949018565573752</v>
      </c>
    </row>
    <row r="151" spans="10:18">
      <c r="J151" s="39">
        <v>43915</v>
      </c>
      <c r="K151" s="2">
        <v>84.539537499999994</v>
      </c>
      <c r="L151" s="2">
        <v>53.79</v>
      </c>
      <c r="M151" s="2">
        <v>-30.749537499999995</v>
      </c>
      <c r="O151" s="39">
        <f t="shared" si="11"/>
        <v>43973</v>
      </c>
      <c r="P151" s="41">
        <f t="shared" si="8"/>
        <v>83.719018565573748</v>
      </c>
      <c r="Q151" s="41">
        <f t="shared" si="9"/>
        <v>41.769999999999996</v>
      </c>
      <c r="R151" s="41">
        <f t="shared" si="10"/>
        <v>-41.949018565573752</v>
      </c>
    </row>
    <row r="152" spans="10:18">
      <c r="J152" s="39">
        <v>43914</v>
      </c>
      <c r="K152" s="2">
        <v>84.539537499999994</v>
      </c>
      <c r="L152" s="2">
        <v>48.89</v>
      </c>
      <c r="M152" s="2">
        <v>-35.649537499999994</v>
      </c>
      <c r="O152" s="39">
        <f t="shared" si="11"/>
        <v>43972</v>
      </c>
      <c r="P152" s="41">
        <f t="shared" si="8"/>
        <v>83.719018565573748</v>
      </c>
      <c r="Q152" s="41">
        <f t="shared" si="9"/>
        <v>42.1</v>
      </c>
      <c r="R152" s="41">
        <f t="shared" si="10"/>
        <v>-41.619018565573747</v>
      </c>
    </row>
    <row r="153" spans="10:18">
      <c r="J153" s="39">
        <v>43913</v>
      </c>
      <c r="K153" s="2">
        <v>84.539537499999994</v>
      </c>
      <c r="L153" s="2">
        <v>48.31</v>
      </c>
      <c r="M153" s="2">
        <v>-36.229537499999992</v>
      </c>
      <c r="O153" s="39">
        <f t="shared" si="11"/>
        <v>43971</v>
      </c>
      <c r="P153" s="41">
        <f t="shared" si="8"/>
        <v>83.719018565573748</v>
      </c>
      <c r="Q153" s="41">
        <f t="shared" si="9"/>
        <v>41.45</v>
      </c>
      <c r="R153" s="41">
        <f t="shared" si="10"/>
        <v>-42.269018565573745</v>
      </c>
    </row>
    <row r="154" spans="10:18">
      <c r="J154" s="39">
        <v>43910</v>
      </c>
      <c r="K154" s="2">
        <v>84.539537499999994</v>
      </c>
      <c r="L154" s="2">
        <v>48.49</v>
      </c>
      <c r="M154" s="2">
        <v>-36.049537499999992</v>
      </c>
      <c r="O154" s="39">
        <f t="shared" si="11"/>
        <v>43970</v>
      </c>
      <c r="P154" s="41">
        <f t="shared" si="8"/>
        <v>83.719018565573748</v>
      </c>
      <c r="Q154" s="41">
        <f t="shared" si="9"/>
        <v>41.65</v>
      </c>
      <c r="R154" s="41">
        <f t="shared" si="10"/>
        <v>-42.069018565573749</v>
      </c>
    </row>
    <row r="155" spans="10:18">
      <c r="J155" s="39">
        <v>43909</v>
      </c>
      <c r="K155" s="2">
        <v>90.03796004098362</v>
      </c>
      <c r="L155" s="2">
        <v>48.68</v>
      </c>
      <c r="M155" s="2">
        <v>-41.35796004098362</v>
      </c>
      <c r="O155" s="39">
        <f t="shared" si="11"/>
        <v>43969</v>
      </c>
      <c r="P155" s="41">
        <f t="shared" si="8"/>
        <v>83.719018565573748</v>
      </c>
      <c r="Q155" s="41">
        <f t="shared" si="9"/>
        <v>40.83</v>
      </c>
      <c r="R155" s="41">
        <f t="shared" si="10"/>
        <v>-42.88901856557375</v>
      </c>
    </row>
    <row r="156" spans="10:18">
      <c r="J156" s="39">
        <v>43908</v>
      </c>
      <c r="K156" s="2">
        <v>90.03796004098362</v>
      </c>
      <c r="L156" s="2">
        <v>49.19</v>
      </c>
      <c r="M156" s="2">
        <v>-40.847960040983622</v>
      </c>
      <c r="O156" s="39">
        <f t="shared" si="11"/>
        <v>43968</v>
      </c>
      <c r="P156" s="41">
        <f t="shared" si="8"/>
        <v>83.719018565573748</v>
      </c>
      <c r="Q156" s="41">
        <f t="shared" si="9"/>
        <v>41.43</v>
      </c>
      <c r="R156" s="41">
        <f t="shared" si="10"/>
        <v>-42.289018565573748</v>
      </c>
    </row>
    <row r="157" spans="10:18">
      <c r="J157" s="39">
        <v>43907</v>
      </c>
      <c r="K157" s="2">
        <v>90.03796004098362</v>
      </c>
      <c r="L157" s="2">
        <v>48</v>
      </c>
      <c r="M157" s="2">
        <v>-42.03796004098362</v>
      </c>
      <c r="O157" s="39">
        <f t="shared" si="11"/>
        <v>43967</v>
      </c>
      <c r="P157" s="41">
        <f t="shared" si="8"/>
        <v>83.719018565573748</v>
      </c>
      <c r="Q157" s="41">
        <f t="shared" si="9"/>
        <v>41.43</v>
      </c>
      <c r="R157" s="41">
        <f t="shared" si="10"/>
        <v>-42.289018565573748</v>
      </c>
    </row>
    <row r="158" spans="10:18">
      <c r="J158" s="39">
        <v>43906</v>
      </c>
      <c r="K158" s="2">
        <v>90.03796004098362</v>
      </c>
      <c r="L158" s="2">
        <v>47.19</v>
      </c>
      <c r="M158" s="2">
        <v>-42.847960040983622</v>
      </c>
      <c r="O158" s="39">
        <f t="shared" si="11"/>
        <v>43966</v>
      </c>
      <c r="P158" s="41">
        <f t="shared" si="8"/>
        <v>83.719018565573748</v>
      </c>
      <c r="Q158" s="41">
        <f t="shared" si="9"/>
        <v>41.43</v>
      </c>
      <c r="R158" s="41">
        <f t="shared" si="10"/>
        <v>-42.289018565573748</v>
      </c>
    </row>
    <row r="159" spans="10:18">
      <c r="J159" s="39">
        <v>43903</v>
      </c>
      <c r="K159" s="2">
        <v>90.03796004098362</v>
      </c>
      <c r="L159" s="2">
        <v>47.12</v>
      </c>
      <c r="M159" s="2">
        <v>-42.917960040983623</v>
      </c>
      <c r="O159" s="39">
        <f t="shared" si="11"/>
        <v>43965</v>
      </c>
      <c r="P159" s="41">
        <f t="shared" si="8"/>
        <v>84.171018565573746</v>
      </c>
      <c r="Q159" s="41">
        <f t="shared" si="9"/>
        <v>40.81</v>
      </c>
      <c r="R159" s="41">
        <f t="shared" si="10"/>
        <v>-43.361018565573744</v>
      </c>
    </row>
    <row r="160" spans="10:18">
      <c r="J160" s="39">
        <v>43902</v>
      </c>
      <c r="K160" s="2">
        <v>90.03796004098362</v>
      </c>
      <c r="L160" s="2">
        <v>46.75</v>
      </c>
      <c r="M160" s="2">
        <v>-43.28796004098362</v>
      </c>
      <c r="O160" s="39">
        <f t="shared" si="11"/>
        <v>43964</v>
      </c>
      <c r="P160" s="41">
        <f t="shared" si="8"/>
        <v>84.171018565573746</v>
      </c>
      <c r="Q160" s="41">
        <f t="shared" si="9"/>
        <v>40.86</v>
      </c>
      <c r="R160" s="41">
        <f t="shared" si="10"/>
        <v>-43.311018565573747</v>
      </c>
    </row>
    <row r="161" spans="10:18">
      <c r="J161" s="39">
        <v>43901</v>
      </c>
      <c r="K161" s="2">
        <v>90.03796004098362</v>
      </c>
      <c r="L161" s="2">
        <v>47.26</v>
      </c>
      <c r="M161" s="2">
        <v>-42.777960040983622</v>
      </c>
      <c r="O161" s="39">
        <f t="shared" si="11"/>
        <v>43963</v>
      </c>
      <c r="P161" s="41">
        <f t="shared" si="8"/>
        <v>84.171018565573746</v>
      </c>
      <c r="Q161" s="41">
        <f t="shared" si="9"/>
        <v>40.35</v>
      </c>
      <c r="R161" s="41">
        <f t="shared" si="10"/>
        <v>-43.821018565573745</v>
      </c>
    </row>
    <row r="162" spans="10:18">
      <c r="J162" s="39">
        <v>43900</v>
      </c>
      <c r="K162" s="2">
        <v>90.03796004098362</v>
      </c>
      <c r="L162" s="2">
        <v>46.97</v>
      </c>
      <c r="M162" s="2">
        <v>-43.067960040983621</v>
      </c>
      <c r="O162" s="39">
        <f t="shared" si="11"/>
        <v>43962</v>
      </c>
      <c r="P162" s="41">
        <f t="shared" si="8"/>
        <v>84.171018565573746</v>
      </c>
      <c r="Q162" s="41">
        <f t="shared" si="9"/>
        <v>40.56</v>
      </c>
      <c r="R162" s="41">
        <f t="shared" si="10"/>
        <v>-43.611018565573744</v>
      </c>
    </row>
    <row r="163" spans="10:18">
      <c r="J163" s="39">
        <v>43899</v>
      </c>
      <c r="K163" s="2">
        <v>90.03796004098362</v>
      </c>
      <c r="L163" s="2">
        <v>46.75</v>
      </c>
      <c r="M163" s="2">
        <v>-43.28796004098362</v>
      </c>
      <c r="O163" s="39">
        <f t="shared" si="11"/>
        <v>43961</v>
      </c>
      <c r="P163" s="41">
        <f t="shared" si="8"/>
        <v>84.171018565573746</v>
      </c>
      <c r="Q163" s="41">
        <f t="shared" si="9"/>
        <v>40.880000000000003</v>
      </c>
      <c r="R163" s="41">
        <f t="shared" si="10"/>
        <v>-43.291018565573744</v>
      </c>
    </row>
    <row r="164" spans="10:18">
      <c r="J164" s="39">
        <v>43896</v>
      </c>
      <c r="K164" s="2">
        <v>90.03796004098362</v>
      </c>
      <c r="L164" s="2">
        <v>48.83</v>
      </c>
      <c r="M164" s="2">
        <v>-41.207960040983622</v>
      </c>
      <c r="O164" s="39">
        <f t="shared" si="11"/>
        <v>43960</v>
      </c>
      <c r="P164" s="41">
        <f t="shared" si="8"/>
        <v>84.171018565573746</v>
      </c>
      <c r="Q164" s="41">
        <f t="shared" si="9"/>
        <v>40.880000000000003</v>
      </c>
      <c r="R164" s="41">
        <f t="shared" si="10"/>
        <v>-43.291018565573744</v>
      </c>
    </row>
    <row r="165" spans="10:18">
      <c r="J165" s="39">
        <v>43895</v>
      </c>
      <c r="K165" s="2">
        <v>89.67636004098361</v>
      </c>
      <c r="L165" s="2">
        <v>49.31</v>
      </c>
      <c r="M165" s="2">
        <v>-40.366360040983608</v>
      </c>
      <c r="O165" s="39">
        <f t="shared" si="11"/>
        <v>43959</v>
      </c>
      <c r="P165" s="41">
        <f t="shared" si="8"/>
        <v>84.171018565573746</v>
      </c>
      <c r="Q165" s="41">
        <f t="shared" si="9"/>
        <v>40.880000000000003</v>
      </c>
      <c r="R165" s="41">
        <f t="shared" si="10"/>
        <v>-43.291018565573744</v>
      </c>
    </row>
    <row r="166" spans="10:18">
      <c r="J166" s="39">
        <v>43894</v>
      </c>
      <c r="K166" s="2">
        <v>89.67636004098361</v>
      </c>
      <c r="L166" s="2">
        <v>48.58</v>
      </c>
      <c r="M166" s="2">
        <v>-41.096360040983612</v>
      </c>
      <c r="O166" s="39">
        <f t="shared" si="11"/>
        <v>43958</v>
      </c>
      <c r="P166" s="41">
        <f t="shared" si="8"/>
        <v>84.849018565573743</v>
      </c>
      <c r="Q166" s="41">
        <f t="shared" si="9"/>
        <v>40.880000000000003</v>
      </c>
      <c r="R166" s="41">
        <f t="shared" si="10"/>
        <v>-43.969018565573741</v>
      </c>
    </row>
    <row r="167" spans="10:18">
      <c r="J167" s="39">
        <v>43893</v>
      </c>
      <c r="K167" s="2">
        <v>89.67636004098361</v>
      </c>
      <c r="L167" s="2">
        <v>48.82</v>
      </c>
      <c r="M167" s="2">
        <v>-40.85636004098361</v>
      </c>
      <c r="O167" s="39">
        <f t="shared" si="11"/>
        <v>43957</v>
      </c>
      <c r="P167" s="41">
        <f t="shared" si="8"/>
        <v>84.849018565573743</v>
      </c>
      <c r="Q167" s="41">
        <f t="shared" si="9"/>
        <v>42.410000000000004</v>
      </c>
      <c r="R167" s="41">
        <f t="shared" si="10"/>
        <v>-42.43901856557374</v>
      </c>
    </row>
    <row r="168" spans="10:18">
      <c r="J168" s="39">
        <v>43892</v>
      </c>
      <c r="K168" s="2">
        <v>89.67636004098361</v>
      </c>
      <c r="L168" s="2">
        <v>48.25</v>
      </c>
      <c r="M168" s="2">
        <v>-41.42636004098361</v>
      </c>
      <c r="O168" s="39">
        <f t="shared" si="11"/>
        <v>43956</v>
      </c>
      <c r="P168" s="41">
        <f t="shared" si="8"/>
        <v>84.849018565573743</v>
      </c>
      <c r="Q168" s="41">
        <f t="shared" si="9"/>
        <v>41.790000000000006</v>
      </c>
      <c r="R168" s="41">
        <f t="shared" si="10"/>
        <v>-43.059018565573737</v>
      </c>
    </row>
    <row r="169" spans="10:18">
      <c r="J169" s="39">
        <v>43889</v>
      </c>
      <c r="K169" s="2">
        <v>89.67636004098361</v>
      </c>
      <c r="L169" s="2">
        <v>47.5</v>
      </c>
      <c r="M169" s="2">
        <v>-42.17636004098361</v>
      </c>
      <c r="O169" s="39">
        <f t="shared" si="11"/>
        <v>43955</v>
      </c>
      <c r="P169" s="41">
        <f t="shared" si="8"/>
        <v>84.849018565573743</v>
      </c>
      <c r="Q169" s="41">
        <f t="shared" si="9"/>
        <v>41.67</v>
      </c>
      <c r="R169" s="41">
        <f t="shared" si="10"/>
        <v>-43.179018565573742</v>
      </c>
    </row>
    <row r="170" spans="10:18">
      <c r="J170" s="39">
        <v>43888</v>
      </c>
      <c r="K170" s="2">
        <v>90.850490245901639</v>
      </c>
      <c r="L170" s="2">
        <v>47.56</v>
      </c>
      <c r="M170" s="2">
        <v>-43.290490245901637</v>
      </c>
      <c r="O170" s="39">
        <f t="shared" si="11"/>
        <v>43954</v>
      </c>
      <c r="P170" s="41">
        <f t="shared" si="8"/>
        <v>84.849018565573743</v>
      </c>
      <c r="Q170" s="41">
        <f t="shared" si="9"/>
        <v>41.74</v>
      </c>
      <c r="R170" s="41">
        <f t="shared" si="10"/>
        <v>-43.109018565573741</v>
      </c>
    </row>
    <row r="171" spans="10:18">
      <c r="J171" s="39">
        <v>43887</v>
      </c>
      <c r="K171" s="2">
        <v>90.850490245901639</v>
      </c>
      <c r="L171" s="2">
        <v>47.23</v>
      </c>
      <c r="M171" s="2">
        <v>-43.620490245901642</v>
      </c>
      <c r="O171" s="39">
        <f t="shared" si="11"/>
        <v>43953</v>
      </c>
      <c r="P171" s="41">
        <f t="shared" si="8"/>
        <v>84.849018565573743</v>
      </c>
      <c r="Q171" s="41">
        <f t="shared" si="9"/>
        <v>41.74</v>
      </c>
      <c r="R171" s="41">
        <f t="shared" si="10"/>
        <v>-43.109018565573741</v>
      </c>
    </row>
    <row r="172" spans="10:18">
      <c r="J172" s="39">
        <v>43886</v>
      </c>
      <c r="K172" s="2">
        <v>90.850490245901639</v>
      </c>
      <c r="L172" s="2">
        <v>47.94</v>
      </c>
      <c r="M172" s="2">
        <v>-42.910490245901642</v>
      </c>
      <c r="O172" s="39">
        <f t="shared" si="11"/>
        <v>43952</v>
      </c>
      <c r="P172" s="41">
        <f t="shared" si="8"/>
        <v>84.849018565573743</v>
      </c>
      <c r="Q172" s="41">
        <f t="shared" si="9"/>
        <v>41.74</v>
      </c>
      <c r="R172" s="41">
        <f t="shared" si="10"/>
        <v>-43.109018565573741</v>
      </c>
    </row>
    <row r="173" spans="10:18">
      <c r="J173" s="39">
        <v>43885</v>
      </c>
      <c r="K173" s="2">
        <v>90.850490245901639</v>
      </c>
      <c r="L173" s="2">
        <v>47.75</v>
      </c>
      <c r="M173" s="2">
        <v>-43.100490245901639</v>
      </c>
      <c r="O173" s="39">
        <f t="shared" si="11"/>
        <v>43951</v>
      </c>
      <c r="P173" s="41">
        <f t="shared" si="8"/>
        <v>85.811509959016391</v>
      </c>
      <c r="Q173" s="41">
        <f t="shared" si="9"/>
        <v>40.99</v>
      </c>
      <c r="R173" s="41">
        <f t="shared" si="10"/>
        <v>-44.821509959016389</v>
      </c>
    </row>
    <row r="174" spans="10:18">
      <c r="J174" s="39">
        <v>43882</v>
      </c>
      <c r="K174" s="2">
        <v>90.850490245901639</v>
      </c>
      <c r="L174" s="2">
        <v>48.69</v>
      </c>
      <c r="M174" s="2">
        <v>-42.160490245901642</v>
      </c>
      <c r="O174" s="39">
        <f t="shared" si="11"/>
        <v>43950</v>
      </c>
      <c r="P174" s="41">
        <f t="shared" si="8"/>
        <v>85.811509959016391</v>
      </c>
      <c r="Q174" s="41">
        <f t="shared" si="9"/>
        <v>40.090000000000003</v>
      </c>
      <c r="R174" s="41">
        <f t="shared" si="10"/>
        <v>-45.721509959016387</v>
      </c>
    </row>
    <row r="175" spans="10:18">
      <c r="J175" s="39">
        <v>43881</v>
      </c>
      <c r="K175" s="2">
        <v>90.850490245901639</v>
      </c>
      <c r="L175" s="2">
        <v>49.54</v>
      </c>
      <c r="M175" s="2">
        <v>-41.31049024590164</v>
      </c>
      <c r="O175" s="39">
        <f t="shared" si="11"/>
        <v>43949</v>
      </c>
      <c r="P175" s="41">
        <f t="shared" si="8"/>
        <v>85.811509959016391</v>
      </c>
      <c r="Q175" s="41">
        <f t="shared" si="9"/>
        <v>38.700000000000003</v>
      </c>
      <c r="R175" s="41">
        <f t="shared" si="10"/>
        <v>-47.111509959016388</v>
      </c>
    </row>
    <row r="176" spans="10:18">
      <c r="J176" s="39">
        <v>43880</v>
      </c>
      <c r="K176" s="2">
        <v>90.850490245901639</v>
      </c>
      <c r="L176" s="2">
        <v>49.97</v>
      </c>
      <c r="M176" s="2">
        <v>-40.88049024590164</v>
      </c>
      <c r="O176" s="39">
        <f t="shared" si="11"/>
        <v>43948</v>
      </c>
      <c r="P176" s="41">
        <f t="shared" si="8"/>
        <v>85.811509959016391</v>
      </c>
      <c r="Q176" s="41">
        <f t="shared" si="9"/>
        <v>40.15</v>
      </c>
      <c r="R176" s="41">
        <f t="shared" si="10"/>
        <v>-45.661509959016392</v>
      </c>
    </row>
    <row r="177" spans="10:18">
      <c r="J177" s="39">
        <v>43879</v>
      </c>
      <c r="K177" s="2">
        <v>90.850490245901639</v>
      </c>
      <c r="L177" s="2">
        <v>51.29</v>
      </c>
      <c r="M177" s="2">
        <v>-39.56049024590164</v>
      </c>
      <c r="O177" s="39">
        <f t="shared" si="11"/>
        <v>43947</v>
      </c>
      <c r="P177" s="41">
        <f t="shared" si="8"/>
        <v>85.811509959016391</v>
      </c>
      <c r="Q177" s="41">
        <f t="shared" si="9"/>
        <v>40.98</v>
      </c>
      <c r="R177" s="41">
        <f t="shared" si="10"/>
        <v>-44.831509959016394</v>
      </c>
    </row>
    <row r="178" spans="10:18">
      <c r="J178" s="39">
        <v>43878</v>
      </c>
      <c r="K178" s="2">
        <v>90.850490245901639</v>
      </c>
      <c r="L178" s="2">
        <v>52.98</v>
      </c>
      <c r="M178" s="2">
        <v>-37.870490245901642</v>
      </c>
      <c r="O178" s="39">
        <f t="shared" si="11"/>
        <v>43946</v>
      </c>
      <c r="P178" s="41">
        <f t="shared" si="8"/>
        <v>85.811509959016391</v>
      </c>
      <c r="Q178" s="41">
        <f t="shared" si="9"/>
        <v>40.98</v>
      </c>
      <c r="R178" s="41">
        <f t="shared" si="10"/>
        <v>-44.831509959016394</v>
      </c>
    </row>
    <row r="179" spans="10:18">
      <c r="J179" s="39">
        <v>43875</v>
      </c>
      <c r="K179" s="2">
        <v>90.850490245901639</v>
      </c>
      <c r="L179" s="2">
        <v>53.24</v>
      </c>
      <c r="M179" s="2">
        <v>-37.610490245901637</v>
      </c>
      <c r="O179" s="39">
        <f t="shared" si="11"/>
        <v>43945</v>
      </c>
      <c r="P179" s="41">
        <f t="shared" si="8"/>
        <v>85.811509959016391</v>
      </c>
      <c r="Q179" s="41">
        <f t="shared" si="9"/>
        <v>40.98</v>
      </c>
      <c r="R179" s="41">
        <f t="shared" si="10"/>
        <v>-44.831509959016394</v>
      </c>
    </row>
    <row r="180" spans="10:18">
      <c r="J180" s="39">
        <v>43874</v>
      </c>
      <c r="K180" s="2">
        <v>91.076490245901638</v>
      </c>
      <c r="L180" s="2">
        <v>51.64</v>
      </c>
      <c r="M180" s="2">
        <v>-39.436490245901638</v>
      </c>
      <c r="O180" s="39">
        <f t="shared" si="11"/>
        <v>43944</v>
      </c>
      <c r="P180" s="41">
        <f t="shared" si="8"/>
        <v>86.489509959016388</v>
      </c>
      <c r="Q180" s="41">
        <f t="shared" si="9"/>
        <v>41.4</v>
      </c>
      <c r="R180" s="41">
        <f t="shared" si="10"/>
        <v>-45.089509959016389</v>
      </c>
    </row>
    <row r="181" spans="10:18">
      <c r="J181" s="39">
        <v>43873</v>
      </c>
      <c r="K181" s="2">
        <v>91.076490245901638</v>
      </c>
      <c r="L181" s="2">
        <v>50.56</v>
      </c>
      <c r="M181" s="2">
        <v>-40.516490245901636</v>
      </c>
      <c r="O181" s="39">
        <f t="shared" si="11"/>
        <v>43943</v>
      </c>
      <c r="P181" s="41">
        <f t="shared" si="8"/>
        <v>86.489509959016388</v>
      </c>
      <c r="Q181" s="41">
        <f t="shared" si="9"/>
        <v>42.67</v>
      </c>
      <c r="R181" s="41">
        <f t="shared" si="10"/>
        <v>-43.819509959016386</v>
      </c>
    </row>
    <row r="182" spans="10:18">
      <c r="J182" s="39">
        <v>43872</v>
      </c>
      <c r="K182" s="2">
        <v>91.076490245901638</v>
      </c>
      <c r="L182" s="2">
        <v>49.62</v>
      </c>
      <c r="M182" s="2">
        <v>-41.456490245901641</v>
      </c>
      <c r="O182" s="39">
        <f t="shared" si="11"/>
        <v>43942</v>
      </c>
      <c r="P182" s="41">
        <f t="shared" si="8"/>
        <v>86.489509959016388</v>
      </c>
      <c r="Q182" s="41">
        <f t="shared" si="9"/>
        <v>44.07</v>
      </c>
      <c r="R182" s="41">
        <f t="shared" si="10"/>
        <v>-42.419509959016388</v>
      </c>
    </row>
    <row r="183" spans="10:18">
      <c r="J183" s="39">
        <v>43871</v>
      </c>
      <c r="K183" s="2">
        <v>91.076490245901638</v>
      </c>
      <c r="L183" s="2">
        <v>49.32</v>
      </c>
      <c r="M183" s="2">
        <v>-41.756490245901638</v>
      </c>
      <c r="O183" s="39">
        <f t="shared" si="11"/>
        <v>43941</v>
      </c>
      <c r="P183" s="41">
        <f t="shared" si="8"/>
        <v>86.489509959016388</v>
      </c>
      <c r="Q183" s="41">
        <f t="shared" si="9"/>
        <v>46.51</v>
      </c>
      <c r="R183" s="41">
        <f t="shared" si="10"/>
        <v>-39.97950995901639</v>
      </c>
    </row>
    <row r="184" spans="10:18">
      <c r="J184" s="39">
        <v>43868</v>
      </c>
      <c r="K184" s="2">
        <v>91.076490245901638</v>
      </c>
      <c r="L184" s="2">
        <v>50.18</v>
      </c>
      <c r="M184" s="2">
        <v>-40.896490245901639</v>
      </c>
      <c r="O184" s="39">
        <f t="shared" si="11"/>
        <v>43940</v>
      </c>
      <c r="P184" s="41">
        <f t="shared" si="8"/>
        <v>86.489509959016388</v>
      </c>
      <c r="Q184" s="41">
        <f t="shared" si="9"/>
        <v>46.550000000000004</v>
      </c>
      <c r="R184" s="41">
        <f t="shared" si="10"/>
        <v>-39.939509959016384</v>
      </c>
    </row>
    <row r="185" spans="10:18">
      <c r="J185" s="39">
        <v>43867</v>
      </c>
      <c r="K185" s="2">
        <v>92.206490245901648</v>
      </c>
      <c r="L185" s="2">
        <v>51.04</v>
      </c>
      <c r="M185" s="2">
        <v>-41.166490245901649</v>
      </c>
      <c r="O185" s="39">
        <f t="shared" si="11"/>
        <v>43939</v>
      </c>
      <c r="P185" s="41">
        <f t="shared" si="8"/>
        <v>86.489509959016388</v>
      </c>
      <c r="Q185" s="41">
        <f t="shared" si="9"/>
        <v>46.550000000000004</v>
      </c>
      <c r="R185" s="41">
        <f t="shared" si="10"/>
        <v>-39.939509959016384</v>
      </c>
    </row>
    <row r="186" spans="10:18">
      <c r="J186" s="39">
        <v>43866</v>
      </c>
      <c r="K186" s="2">
        <v>92.206490245901648</v>
      </c>
      <c r="L186" s="2">
        <v>51.81</v>
      </c>
      <c r="M186" s="2">
        <v>-40.396490245901646</v>
      </c>
      <c r="O186" s="39">
        <f t="shared" si="11"/>
        <v>43938</v>
      </c>
      <c r="P186" s="41">
        <f t="shared" si="8"/>
        <v>86.489509959016388</v>
      </c>
      <c r="Q186" s="41">
        <f t="shared" si="9"/>
        <v>46.550000000000004</v>
      </c>
      <c r="R186" s="41">
        <f t="shared" si="10"/>
        <v>-39.939509959016384</v>
      </c>
    </row>
    <row r="187" spans="10:18">
      <c r="J187" s="39">
        <v>43865</v>
      </c>
      <c r="K187" s="2">
        <v>92.206490245901648</v>
      </c>
      <c r="L187" s="2">
        <v>49.82</v>
      </c>
      <c r="M187" s="2">
        <v>-42.386490245901648</v>
      </c>
      <c r="O187" s="39">
        <f t="shared" si="11"/>
        <v>43937</v>
      </c>
      <c r="P187" s="41">
        <f t="shared" si="8"/>
        <v>85.811509959016391</v>
      </c>
      <c r="Q187" s="41">
        <f t="shared" si="9"/>
        <v>46.32</v>
      </c>
      <c r="R187" s="41">
        <f t="shared" si="10"/>
        <v>-39.49150995901639</v>
      </c>
    </row>
    <row r="188" spans="10:18">
      <c r="J188" s="39">
        <v>43864</v>
      </c>
      <c r="K188" s="2">
        <v>92.206490245901648</v>
      </c>
      <c r="L188" s="2">
        <v>49.78</v>
      </c>
      <c r="M188" s="2">
        <v>-42.426490245901647</v>
      </c>
      <c r="O188" s="39">
        <f t="shared" si="11"/>
        <v>43936</v>
      </c>
      <c r="P188" s="41">
        <f t="shared" si="8"/>
        <v>85.811509959016391</v>
      </c>
      <c r="Q188" s="41">
        <f t="shared" si="9"/>
        <v>46.190000000000005</v>
      </c>
      <c r="R188" s="41">
        <f t="shared" si="10"/>
        <v>-39.621509959016386</v>
      </c>
    </row>
    <row r="189" spans="10:18">
      <c r="J189" s="39">
        <v>43861</v>
      </c>
      <c r="K189" s="2">
        <v>92.206490245901648</v>
      </c>
      <c r="L189" s="2">
        <v>49.15</v>
      </c>
      <c r="M189" s="2">
        <v>-43.056490245901649</v>
      </c>
      <c r="O189" s="39">
        <f t="shared" si="11"/>
        <v>43935</v>
      </c>
      <c r="P189" s="41">
        <f t="shared" si="8"/>
        <v>85.811509959016391</v>
      </c>
      <c r="Q189" s="41">
        <f t="shared" si="9"/>
        <v>46.57</v>
      </c>
      <c r="R189" s="41">
        <f t="shared" si="10"/>
        <v>-39.24150995901639</v>
      </c>
    </row>
    <row r="190" spans="10:18">
      <c r="J190" s="39">
        <v>43860</v>
      </c>
      <c r="K190" s="2">
        <v>91.323770368852465</v>
      </c>
      <c r="L190" s="2">
        <v>49.29</v>
      </c>
      <c r="M190" s="2">
        <v>-42.033770368852466</v>
      </c>
      <c r="O190" s="39">
        <f t="shared" si="11"/>
        <v>43934</v>
      </c>
      <c r="P190" s="41">
        <f t="shared" si="8"/>
        <v>85.811509959016391</v>
      </c>
      <c r="Q190" s="41">
        <f t="shared" si="9"/>
        <v>48.11</v>
      </c>
      <c r="R190" s="41">
        <f t="shared" si="10"/>
        <v>-37.701509959016391</v>
      </c>
    </row>
    <row r="191" spans="10:18">
      <c r="J191" s="39">
        <v>43859</v>
      </c>
      <c r="K191" s="2">
        <v>91.323770368852465</v>
      </c>
      <c r="L191" s="2">
        <v>50.5</v>
      </c>
      <c r="M191" s="2">
        <v>-40.823770368852465</v>
      </c>
      <c r="O191" s="39">
        <f t="shared" si="11"/>
        <v>43933</v>
      </c>
      <c r="P191" s="41">
        <f t="shared" si="8"/>
        <v>85.811509959016391</v>
      </c>
      <c r="Q191" s="41">
        <f t="shared" si="9"/>
        <v>48.11</v>
      </c>
      <c r="R191" s="41">
        <f t="shared" si="10"/>
        <v>-37.701509959016391</v>
      </c>
    </row>
    <row r="192" spans="10:18">
      <c r="J192" s="39">
        <v>43858</v>
      </c>
      <c r="K192" s="2">
        <v>91.323770368852465</v>
      </c>
      <c r="L192" s="2">
        <v>50.5</v>
      </c>
      <c r="M192" s="2">
        <v>-40.823770368852465</v>
      </c>
      <c r="O192" s="39">
        <f t="shared" si="11"/>
        <v>43932</v>
      </c>
      <c r="P192" s="41">
        <f t="shared" si="8"/>
        <v>85.811509959016391</v>
      </c>
      <c r="Q192" s="41">
        <f t="shared" si="9"/>
        <v>48.11</v>
      </c>
      <c r="R192" s="41">
        <f t="shared" si="10"/>
        <v>-37.701509959016391</v>
      </c>
    </row>
    <row r="193" spans="10:18">
      <c r="J193" s="39">
        <v>43857</v>
      </c>
      <c r="K193" s="2">
        <v>91.323770368852465</v>
      </c>
      <c r="L193" s="2">
        <v>49.88</v>
      </c>
      <c r="M193" s="2">
        <v>-41.443770368852462</v>
      </c>
      <c r="O193" s="39">
        <f t="shared" si="11"/>
        <v>43931</v>
      </c>
      <c r="P193" s="41">
        <f t="shared" si="8"/>
        <v>85.811509959016391</v>
      </c>
      <c r="Q193" s="41">
        <f t="shared" si="9"/>
        <v>48.11</v>
      </c>
      <c r="R193" s="41">
        <f t="shared" si="10"/>
        <v>-37.701509959016391</v>
      </c>
    </row>
    <row r="194" spans="10:18">
      <c r="J194" s="39">
        <v>43854</v>
      </c>
      <c r="K194" s="2">
        <v>91.323770368852465</v>
      </c>
      <c r="L194" s="2">
        <v>49.75</v>
      </c>
      <c r="M194" s="2">
        <v>-41.573770368852465</v>
      </c>
      <c r="O194" s="39">
        <f t="shared" si="11"/>
        <v>43930</v>
      </c>
      <c r="P194" s="41">
        <f t="shared" si="8"/>
        <v>85.359509959016393</v>
      </c>
      <c r="Q194" s="41">
        <f t="shared" si="9"/>
        <v>48.11</v>
      </c>
      <c r="R194" s="41">
        <f t="shared" si="10"/>
        <v>-37.249509959016393</v>
      </c>
    </row>
    <row r="195" spans="10:18">
      <c r="J195" s="39">
        <v>43853</v>
      </c>
      <c r="K195" s="2">
        <v>92.227770368852461</v>
      </c>
      <c r="L195" s="2">
        <v>49</v>
      </c>
      <c r="M195" s="2">
        <v>-43.227770368852461</v>
      </c>
      <c r="O195" s="39">
        <f t="shared" si="11"/>
        <v>43929</v>
      </c>
      <c r="P195" s="41">
        <f t="shared" si="8"/>
        <v>85.359509959016393</v>
      </c>
      <c r="Q195" s="41">
        <f t="shared" si="9"/>
        <v>47.730000000000004</v>
      </c>
      <c r="R195" s="41">
        <f t="shared" si="10"/>
        <v>-37.629509959016389</v>
      </c>
    </row>
    <row r="196" spans="10:18">
      <c r="J196" s="39">
        <v>43852</v>
      </c>
      <c r="K196" s="2">
        <v>92.227770368852461</v>
      </c>
      <c r="L196" s="2">
        <v>49.25</v>
      </c>
      <c r="M196" s="2">
        <v>-42.977770368852461</v>
      </c>
      <c r="O196" s="39">
        <f t="shared" si="11"/>
        <v>43928</v>
      </c>
      <c r="P196" s="41">
        <f t="shared" si="8"/>
        <v>85.359509959016393</v>
      </c>
      <c r="Q196" s="41">
        <f t="shared" si="9"/>
        <v>46.940000000000005</v>
      </c>
      <c r="R196" s="41">
        <f t="shared" si="10"/>
        <v>-38.419509959016388</v>
      </c>
    </row>
    <row r="197" spans="10:18">
      <c r="J197" s="39">
        <v>43851</v>
      </c>
      <c r="K197" s="2">
        <v>92.227770368852461</v>
      </c>
      <c r="L197" s="2">
        <v>48.75</v>
      </c>
      <c r="M197" s="2">
        <v>-43.477770368852461</v>
      </c>
      <c r="O197" s="39">
        <f t="shared" si="11"/>
        <v>43927</v>
      </c>
      <c r="P197" s="41">
        <f t="shared" si="8"/>
        <v>85.359509959016393</v>
      </c>
      <c r="Q197" s="41">
        <f t="shared" si="9"/>
        <v>44.85</v>
      </c>
      <c r="R197" s="41">
        <f t="shared" si="10"/>
        <v>-40.509509959016391</v>
      </c>
    </row>
    <row r="198" spans="10:18">
      <c r="J198" s="39">
        <v>43850</v>
      </c>
      <c r="K198" s="2">
        <v>92.227770368852461</v>
      </c>
      <c r="L198" s="2">
        <v>49.16</v>
      </c>
      <c r="M198" s="2">
        <v>-43.067770368852464</v>
      </c>
      <c r="O198" s="39">
        <f t="shared" si="11"/>
        <v>43926</v>
      </c>
      <c r="P198" s="41">
        <f t="shared" ref="P198:P261" si="12">IFERROR(VLOOKUP($O198,$J$5:$M$403,2,FALSE),P199)</f>
        <v>85.359509959016393</v>
      </c>
      <c r="Q198" s="41">
        <f t="shared" ref="Q198:Q261" si="13">IFERROR(VLOOKUP($O198,$J$5:$M$403,3,FALSE),Q199)</f>
        <v>45.96</v>
      </c>
      <c r="R198" s="41">
        <f t="shared" ref="R198:R261" si="14">IFERROR(VLOOKUP($O198,$J$5:$M$403,4,FALSE),R199)</f>
        <v>-39.399509959016392</v>
      </c>
    </row>
    <row r="199" spans="10:18">
      <c r="J199" s="39">
        <v>43847</v>
      </c>
      <c r="K199" s="2">
        <v>92.227770368852461</v>
      </c>
      <c r="L199" s="2">
        <v>50.5</v>
      </c>
      <c r="M199" s="2">
        <v>-41.727770368852461</v>
      </c>
      <c r="O199" s="39">
        <f t="shared" ref="O199:O262" si="15">O198-1</f>
        <v>43925</v>
      </c>
      <c r="P199" s="41">
        <f t="shared" si="12"/>
        <v>85.359509959016393</v>
      </c>
      <c r="Q199" s="41">
        <f t="shared" si="13"/>
        <v>45.96</v>
      </c>
      <c r="R199" s="41">
        <f t="shared" si="14"/>
        <v>-39.399509959016392</v>
      </c>
    </row>
    <row r="200" spans="10:18">
      <c r="J200" s="39">
        <v>43846</v>
      </c>
      <c r="K200" s="2">
        <v>92.679770368852473</v>
      </c>
      <c r="L200" s="2">
        <v>52.27</v>
      </c>
      <c r="M200" s="2">
        <v>-40.40977036885247</v>
      </c>
      <c r="O200" s="39">
        <f t="shared" si="15"/>
        <v>43924</v>
      </c>
      <c r="P200" s="41">
        <f t="shared" si="12"/>
        <v>85.359509959016393</v>
      </c>
      <c r="Q200" s="41">
        <f t="shared" si="13"/>
        <v>45.96</v>
      </c>
      <c r="R200" s="41">
        <f t="shared" si="14"/>
        <v>-39.399509959016392</v>
      </c>
    </row>
    <row r="201" spans="10:18">
      <c r="J201" s="39">
        <v>43845</v>
      </c>
      <c r="K201" s="2">
        <v>92.679770368852473</v>
      </c>
      <c r="L201" s="2">
        <v>51.96</v>
      </c>
      <c r="M201" s="2">
        <v>-40.719770368852473</v>
      </c>
      <c r="O201" s="39">
        <f t="shared" si="15"/>
        <v>43923</v>
      </c>
      <c r="P201" s="41">
        <f t="shared" si="12"/>
        <v>84.177937499999999</v>
      </c>
      <c r="Q201" s="41">
        <f t="shared" si="13"/>
        <v>47.35</v>
      </c>
      <c r="R201" s="41">
        <f t="shared" si="14"/>
        <v>-36.827937499999997</v>
      </c>
    </row>
    <row r="202" spans="10:18">
      <c r="J202" s="39">
        <v>43844</v>
      </c>
      <c r="K202" s="2">
        <v>92.679770368852473</v>
      </c>
      <c r="L202" s="2">
        <v>52.35</v>
      </c>
      <c r="M202" s="2">
        <v>-40.329770368852472</v>
      </c>
      <c r="O202" s="39">
        <f t="shared" si="15"/>
        <v>43922</v>
      </c>
      <c r="P202" s="41">
        <f t="shared" si="12"/>
        <v>84.177937499999999</v>
      </c>
      <c r="Q202" s="41">
        <f t="shared" si="13"/>
        <v>48.54</v>
      </c>
      <c r="R202" s="41">
        <f t="shared" si="14"/>
        <v>-35.6379375</v>
      </c>
    </row>
    <row r="203" spans="10:18">
      <c r="J203" s="39">
        <v>43843</v>
      </c>
      <c r="K203" s="2">
        <v>92.679770368852473</v>
      </c>
      <c r="L203" s="2">
        <v>54.28</v>
      </c>
      <c r="M203" s="2">
        <v>-38.399770368852472</v>
      </c>
      <c r="O203" s="39">
        <f t="shared" si="15"/>
        <v>43921</v>
      </c>
      <c r="P203" s="41">
        <f t="shared" si="12"/>
        <v>84.177937499999999</v>
      </c>
      <c r="Q203" s="41">
        <f t="shared" si="13"/>
        <v>50.33</v>
      </c>
      <c r="R203" s="41">
        <f t="shared" si="14"/>
        <v>-33.8479375</v>
      </c>
    </row>
    <row r="204" spans="10:18">
      <c r="J204" s="39">
        <v>43840</v>
      </c>
      <c r="K204" s="2">
        <v>92.679770368852473</v>
      </c>
      <c r="L204" s="2">
        <v>53.93</v>
      </c>
      <c r="M204" s="2">
        <v>-38.749770368852474</v>
      </c>
      <c r="O204" s="39">
        <f t="shared" si="15"/>
        <v>43920</v>
      </c>
      <c r="P204" s="41">
        <f t="shared" si="12"/>
        <v>84.177937499999999</v>
      </c>
      <c r="Q204" s="41">
        <f t="shared" si="13"/>
        <v>51.95</v>
      </c>
      <c r="R204" s="41">
        <f t="shared" si="14"/>
        <v>-32.227937499999996</v>
      </c>
    </row>
    <row r="205" spans="10:18">
      <c r="J205" s="39">
        <v>43839</v>
      </c>
      <c r="K205" s="2">
        <v>92.679770368852473</v>
      </c>
      <c r="L205" s="2">
        <v>53.5</v>
      </c>
      <c r="M205" s="2">
        <v>-39.179770368852473</v>
      </c>
      <c r="O205" s="39">
        <f t="shared" si="15"/>
        <v>43919</v>
      </c>
      <c r="P205" s="41">
        <f t="shared" si="12"/>
        <v>84.177937499999999</v>
      </c>
      <c r="Q205" s="41">
        <f t="shared" si="13"/>
        <v>48.95</v>
      </c>
      <c r="R205" s="41">
        <f t="shared" si="14"/>
        <v>-35.227937499999996</v>
      </c>
    </row>
    <row r="206" spans="10:18">
      <c r="J206" s="39">
        <v>43838</v>
      </c>
      <c r="K206" s="2">
        <v>92.679770368852473</v>
      </c>
      <c r="L206" s="2">
        <v>53.58</v>
      </c>
      <c r="M206" s="2">
        <v>-39.099770368852475</v>
      </c>
      <c r="O206" s="39">
        <f t="shared" si="15"/>
        <v>43918</v>
      </c>
      <c r="P206" s="41">
        <f t="shared" si="12"/>
        <v>84.177937499999999</v>
      </c>
      <c r="Q206" s="41">
        <f t="shared" si="13"/>
        <v>48.95</v>
      </c>
      <c r="R206" s="41">
        <f t="shared" si="14"/>
        <v>-35.227937499999996</v>
      </c>
    </row>
    <row r="207" spans="10:18">
      <c r="J207" s="39">
        <v>43837</v>
      </c>
      <c r="K207" s="2">
        <v>92.424524672131128</v>
      </c>
      <c r="L207" s="2">
        <v>53.75</v>
      </c>
      <c r="M207" s="2">
        <v>-38.674524672131128</v>
      </c>
      <c r="O207" s="39">
        <f t="shared" si="15"/>
        <v>43917</v>
      </c>
      <c r="P207" s="41">
        <f t="shared" si="12"/>
        <v>84.177937499999999</v>
      </c>
      <c r="Q207" s="41">
        <f t="shared" si="13"/>
        <v>48.95</v>
      </c>
      <c r="R207" s="41">
        <f t="shared" si="14"/>
        <v>-35.227937499999996</v>
      </c>
    </row>
    <row r="208" spans="10:18">
      <c r="J208" s="39">
        <v>43836</v>
      </c>
      <c r="K208" s="2">
        <v>92.424524672131128</v>
      </c>
      <c r="L208" s="2">
        <v>54.25</v>
      </c>
      <c r="M208" s="2">
        <v>-38.174524672131128</v>
      </c>
      <c r="O208" s="39">
        <f t="shared" si="15"/>
        <v>43916</v>
      </c>
      <c r="P208" s="41">
        <f t="shared" si="12"/>
        <v>84.539537499999994</v>
      </c>
      <c r="Q208" s="41">
        <f t="shared" si="13"/>
        <v>52.84</v>
      </c>
      <c r="R208" s="41">
        <f t="shared" si="14"/>
        <v>-31.699537499999991</v>
      </c>
    </row>
    <row r="209" spans="10:18">
      <c r="J209" s="39">
        <v>43833</v>
      </c>
      <c r="K209" s="2">
        <v>92.424524672131128</v>
      </c>
      <c r="L209" s="2">
        <v>54.07</v>
      </c>
      <c r="M209" s="2">
        <v>-38.354524672131127</v>
      </c>
      <c r="O209" s="39">
        <f t="shared" si="15"/>
        <v>43915</v>
      </c>
      <c r="P209" s="41">
        <f t="shared" si="12"/>
        <v>84.539537499999994</v>
      </c>
      <c r="Q209" s="41">
        <f t="shared" si="13"/>
        <v>53.79</v>
      </c>
      <c r="R209" s="41">
        <f t="shared" si="14"/>
        <v>-30.749537499999995</v>
      </c>
    </row>
    <row r="210" spans="10:18">
      <c r="J210" s="39">
        <v>43832</v>
      </c>
      <c r="K210" s="2">
        <v>95.053020450819659</v>
      </c>
      <c r="L210" s="2">
        <v>52.5</v>
      </c>
      <c r="M210" s="2">
        <v>-42.553020450819659</v>
      </c>
      <c r="O210" s="39">
        <f t="shared" si="15"/>
        <v>43914</v>
      </c>
      <c r="P210" s="41">
        <f t="shared" si="12"/>
        <v>84.539537499999994</v>
      </c>
      <c r="Q210" s="41">
        <f t="shared" si="13"/>
        <v>48.89</v>
      </c>
      <c r="R210" s="41">
        <f t="shared" si="14"/>
        <v>-35.649537499999994</v>
      </c>
    </row>
    <row r="211" spans="10:18">
      <c r="J211" s="39">
        <v>43831</v>
      </c>
      <c r="K211" s="2">
        <v>95.053020450819659</v>
      </c>
      <c r="L211" s="2">
        <v>52.5</v>
      </c>
      <c r="M211" s="2">
        <v>-42.553020450819659</v>
      </c>
      <c r="O211" s="39">
        <f t="shared" si="15"/>
        <v>43913</v>
      </c>
      <c r="P211" s="41">
        <f t="shared" si="12"/>
        <v>84.539537499999994</v>
      </c>
      <c r="Q211" s="41">
        <f t="shared" si="13"/>
        <v>48.31</v>
      </c>
      <c r="R211" s="41">
        <f t="shared" si="14"/>
        <v>-36.229537499999992</v>
      </c>
    </row>
    <row r="212" spans="10:18">
      <c r="J212" s="39">
        <v>43830</v>
      </c>
      <c r="K212" s="2">
        <v>95.053020450819659</v>
      </c>
      <c r="L212" s="2">
        <v>52.5</v>
      </c>
      <c r="M212" s="2">
        <v>-42.553020450819659</v>
      </c>
      <c r="O212" s="39">
        <f t="shared" si="15"/>
        <v>43912</v>
      </c>
      <c r="P212" s="41">
        <f t="shared" si="12"/>
        <v>84.539537499999994</v>
      </c>
      <c r="Q212" s="41">
        <f t="shared" si="13"/>
        <v>48.49</v>
      </c>
      <c r="R212" s="41">
        <f t="shared" si="14"/>
        <v>-36.049537499999992</v>
      </c>
    </row>
    <row r="213" spans="10:18">
      <c r="J213" s="39">
        <v>43829</v>
      </c>
      <c r="K213" s="2">
        <v>95.053020450819659</v>
      </c>
      <c r="L213" s="2">
        <v>53.25</v>
      </c>
      <c r="M213" s="2">
        <v>-41.803020450819659</v>
      </c>
      <c r="O213" s="39">
        <f t="shared" si="15"/>
        <v>43911</v>
      </c>
      <c r="P213" s="41">
        <f t="shared" si="12"/>
        <v>84.539537499999994</v>
      </c>
      <c r="Q213" s="41">
        <f t="shared" si="13"/>
        <v>48.49</v>
      </c>
      <c r="R213" s="41">
        <f t="shared" si="14"/>
        <v>-36.049537499999992</v>
      </c>
    </row>
    <row r="214" spans="10:18">
      <c r="J214" s="39">
        <v>43826</v>
      </c>
      <c r="K214" s="2">
        <v>95.053020450819659</v>
      </c>
      <c r="L214" s="2">
        <v>54.42</v>
      </c>
      <c r="M214" s="2">
        <v>-40.633020450819657</v>
      </c>
      <c r="O214" s="39">
        <f t="shared" si="15"/>
        <v>43910</v>
      </c>
      <c r="P214" s="41">
        <f t="shared" si="12"/>
        <v>84.539537499999994</v>
      </c>
      <c r="Q214" s="41">
        <f t="shared" si="13"/>
        <v>48.49</v>
      </c>
      <c r="R214" s="41">
        <f t="shared" si="14"/>
        <v>-36.049537499999992</v>
      </c>
    </row>
    <row r="215" spans="10:18">
      <c r="J215" s="39">
        <v>43825</v>
      </c>
      <c r="K215" s="2">
        <v>95.053020450819659</v>
      </c>
      <c r="L215" s="2">
        <v>54.31</v>
      </c>
      <c r="M215" s="2">
        <v>-40.743020450819657</v>
      </c>
      <c r="O215" s="39">
        <f t="shared" si="15"/>
        <v>43909</v>
      </c>
      <c r="P215" s="41">
        <f t="shared" si="12"/>
        <v>90.03796004098362</v>
      </c>
      <c r="Q215" s="41">
        <f t="shared" si="13"/>
        <v>48.68</v>
      </c>
      <c r="R215" s="41">
        <f t="shared" si="14"/>
        <v>-41.35796004098362</v>
      </c>
    </row>
    <row r="216" spans="10:18">
      <c r="J216" s="39">
        <v>43824</v>
      </c>
      <c r="K216" s="2">
        <v>95.053020450819659</v>
      </c>
      <c r="L216" s="2">
        <v>54.31</v>
      </c>
      <c r="M216" s="2">
        <v>-40.743020450819657</v>
      </c>
      <c r="O216" s="39">
        <f t="shared" si="15"/>
        <v>43908</v>
      </c>
      <c r="P216" s="41">
        <f t="shared" si="12"/>
        <v>90.03796004098362</v>
      </c>
      <c r="Q216" s="41">
        <f t="shared" si="13"/>
        <v>49.19</v>
      </c>
      <c r="R216" s="41">
        <f t="shared" si="14"/>
        <v>-40.847960040983622</v>
      </c>
    </row>
    <row r="217" spans="10:18">
      <c r="J217" s="39">
        <v>43823</v>
      </c>
      <c r="K217" s="2">
        <v>95.053020450819659</v>
      </c>
      <c r="L217" s="2">
        <v>54.31</v>
      </c>
      <c r="M217" s="2">
        <v>-40.743020450819657</v>
      </c>
      <c r="O217" s="39">
        <f t="shared" si="15"/>
        <v>43907</v>
      </c>
      <c r="P217" s="41">
        <f t="shared" si="12"/>
        <v>90.03796004098362</v>
      </c>
      <c r="Q217" s="41">
        <f t="shared" si="13"/>
        <v>48</v>
      </c>
      <c r="R217" s="41">
        <f t="shared" si="14"/>
        <v>-42.03796004098362</v>
      </c>
    </row>
    <row r="218" spans="10:18">
      <c r="J218" s="46">
        <v>43822</v>
      </c>
      <c r="K218" s="2">
        <v>95.053020450819659</v>
      </c>
      <c r="L218" s="2">
        <v>53.63</v>
      </c>
      <c r="M218" s="2">
        <v>-41.423020450819656</v>
      </c>
      <c r="O218" s="39">
        <f t="shared" si="15"/>
        <v>43906</v>
      </c>
      <c r="P218" s="41">
        <f t="shared" si="12"/>
        <v>90.03796004098362</v>
      </c>
      <c r="Q218" s="41">
        <f t="shared" si="13"/>
        <v>47.19</v>
      </c>
      <c r="R218" s="41">
        <f t="shared" si="14"/>
        <v>-42.847960040983622</v>
      </c>
    </row>
    <row r="219" spans="10:18">
      <c r="J219" s="46">
        <v>43819</v>
      </c>
      <c r="K219" s="2">
        <v>95.053020450819659</v>
      </c>
      <c r="L219" s="2">
        <v>53.5</v>
      </c>
      <c r="M219" s="2">
        <v>-41.553020450819659</v>
      </c>
      <c r="O219" s="39">
        <f t="shared" si="15"/>
        <v>43905</v>
      </c>
      <c r="P219" s="41">
        <f t="shared" si="12"/>
        <v>90.03796004098362</v>
      </c>
      <c r="Q219" s="41">
        <f t="shared" si="13"/>
        <v>47.12</v>
      </c>
      <c r="R219" s="41">
        <f t="shared" si="14"/>
        <v>-42.917960040983623</v>
      </c>
    </row>
    <row r="220" spans="10:18">
      <c r="J220" s="46">
        <v>43818</v>
      </c>
      <c r="K220" s="2">
        <v>96.329248934426218</v>
      </c>
      <c r="L220" s="2">
        <v>53.8</v>
      </c>
      <c r="M220" s="2">
        <v>-42.529248934426221</v>
      </c>
      <c r="O220" s="39">
        <f t="shared" si="15"/>
        <v>43904</v>
      </c>
      <c r="P220" s="41">
        <f t="shared" si="12"/>
        <v>90.03796004098362</v>
      </c>
      <c r="Q220" s="41">
        <f t="shared" si="13"/>
        <v>47.12</v>
      </c>
      <c r="R220" s="41">
        <f t="shared" si="14"/>
        <v>-42.917960040983623</v>
      </c>
    </row>
    <row r="221" spans="10:18">
      <c r="J221" s="46">
        <v>43817</v>
      </c>
      <c r="K221" s="2">
        <v>96.329248934426218</v>
      </c>
      <c r="L221" s="2">
        <v>53.99</v>
      </c>
      <c r="M221" s="2">
        <v>-42.339248934426216</v>
      </c>
      <c r="O221" s="39">
        <f t="shared" si="15"/>
        <v>43903</v>
      </c>
      <c r="P221" s="41">
        <f t="shared" si="12"/>
        <v>90.03796004098362</v>
      </c>
      <c r="Q221" s="41">
        <f t="shared" si="13"/>
        <v>47.12</v>
      </c>
      <c r="R221" s="41">
        <f t="shared" si="14"/>
        <v>-42.917960040983623</v>
      </c>
    </row>
    <row r="222" spans="10:18">
      <c r="J222" s="46">
        <v>43816</v>
      </c>
      <c r="K222" s="2">
        <v>96.329248934426218</v>
      </c>
      <c r="L222" s="2">
        <v>53.63</v>
      </c>
      <c r="M222" s="2">
        <v>-42.699248934426215</v>
      </c>
      <c r="O222" s="39">
        <f t="shared" si="15"/>
        <v>43902</v>
      </c>
      <c r="P222" s="41">
        <f t="shared" si="12"/>
        <v>90.03796004098362</v>
      </c>
      <c r="Q222" s="41">
        <f t="shared" si="13"/>
        <v>46.75</v>
      </c>
      <c r="R222" s="41">
        <f t="shared" si="14"/>
        <v>-43.28796004098362</v>
      </c>
    </row>
    <row r="223" spans="10:18">
      <c r="J223" s="46">
        <v>43815</v>
      </c>
      <c r="K223" s="2">
        <v>96.329248934426218</v>
      </c>
      <c r="L223" s="2">
        <v>53.81</v>
      </c>
      <c r="M223" s="2">
        <v>-42.519248934426216</v>
      </c>
      <c r="O223" s="39">
        <f t="shared" si="15"/>
        <v>43901</v>
      </c>
      <c r="P223" s="41">
        <f t="shared" si="12"/>
        <v>90.03796004098362</v>
      </c>
      <c r="Q223" s="41">
        <f t="shared" si="13"/>
        <v>47.26</v>
      </c>
      <c r="R223" s="41">
        <f t="shared" si="14"/>
        <v>-42.777960040983622</v>
      </c>
    </row>
    <row r="224" spans="10:18">
      <c r="J224" s="46">
        <v>43812</v>
      </c>
      <c r="K224" s="2">
        <v>96.329248934426218</v>
      </c>
      <c r="L224" s="2">
        <v>54.34</v>
      </c>
      <c r="M224" s="2">
        <v>-41.989248934426215</v>
      </c>
      <c r="O224" s="39">
        <f t="shared" si="15"/>
        <v>43900</v>
      </c>
      <c r="P224" s="41">
        <f t="shared" si="12"/>
        <v>90.03796004098362</v>
      </c>
      <c r="Q224" s="41">
        <f t="shared" si="13"/>
        <v>46.97</v>
      </c>
      <c r="R224" s="41">
        <f t="shared" si="14"/>
        <v>-43.067960040983621</v>
      </c>
    </row>
    <row r="225" spans="10:18">
      <c r="J225" s="46">
        <v>43811</v>
      </c>
      <c r="K225" s="2">
        <v>97.138592909836063</v>
      </c>
      <c r="L225" s="2">
        <v>53.83</v>
      </c>
      <c r="M225" s="2">
        <v>-43.308592909836065</v>
      </c>
      <c r="O225" s="39">
        <f t="shared" si="15"/>
        <v>43899</v>
      </c>
      <c r="P225" s="41">
        <f t="shared" si="12"/>
        <v>90.03796004098362</v>
      </c>
      <c r="Q225" s="41">
        <f t="shared" si="13"/>
        <v>46.75</v>
      </c>
      <c r="R225" s="41">
        <f t="shared" si="14"/>
        <v>-43.28796004098362</v>
      </c>
    </row>
    <row r="226" spans="10:18">
      <c r="J226" s="46">
        <v>43810</v>
      </c>
      <c r="K226" s="2">
        <v>97.138592909836063</v>
      </c>
      <c r="L226" s="2">
        <v>55.38</v>
      </c>
      <c r="M226" s="2">
        <v>-41.758592909836061</v>
      </c>
      <c r="O226" s="39">
        <f t="shared" si="15"/>
        <v>43898</v>
      </c>
      <c r="P226" s="41">
        <f t="shared" si="12"/>
        <v>90.03796004098362</v>
      </c>
      <c r="Q226" s="41">
        <f t="shared" si="13"/>
        <v>48.83</v>
      </c>
      <c r="R226" s="41">
        <f t="shared" si="14"/>
        <v>-41.207960040983622</v>
      </c>
    </row>
    <row r="227" spans="10:18">
      <c r="J227" s="46">
        <v>43809</v>
      </c>
      <c r="K227" s="2">
        <v>97.138592909836063</v>
      </c>
      <c r="L227" s="2">
        <v>54.71</v>
      </c>
      <c r="M227" s="2">
        <v>-42.428592909836063</v>
      </c>
      <c r="O227" s="39">
        <f t="shared" si="15"/>
        <v>43897</v>
      </c>
      <c r="P227" s="41">
        <f t="shared" si="12"/>
        <v>90.03796004098362</v>
      </c>
      <c r="Q227" s="41">
        <f t="shared" si="13"/>
        <v>48.83</v>
      </c>
      <c r="R227" s="41">
        <f t="shared" si="14"/>
        <v>-41.207960040983622</v>
      </c>
    </row>
    <row r="228" spans="10:18">
      <c r="J228" s="46">
        <v>43808</v>
      </c>
      <c r="K228" s="2">
        <v>97.138592909836063</v>
      </c>
      <c r="L228" s="2">
        <v>55.18</v>
      </c>
      <c r="M228" s="2">
        <v>-41.958592909836064</v>
      </c>
      <c r="O228" s="39">
        <f t="shared" si="15"/>
        <v>43896</v>
      </c>
      <c r="P228" s="41">
        <f t="shared" si="12"/>
        <v>90.03796004098362</v>
      </c>
      <c r="Q228" s="41">
        <f t="shared" si="13"/>
        <v>48.83</v>
      </c>
      <c r="R228" s="41">
        <f t="shared" si="14"/>
        <v>-41.207960040983622</v>
      </c>
    </row>
    <row r="229" spans="10:18">
      <c r="J229" s="46">
        <v>43805</v>
      </c>
      <c r="K229" s="2">
        <v>97.138592909836063</v>
      </c>
      <c r="L229" s="2">
        <v>56.26</v>
      </c>
      <c r="M229" s="2">
        <v>-40.878592909836065</v>
      </c>
      <c r="O229" s="39">
        <f t="shared" si="15"/>
        <v>43895</v>
      </c>
      <c r="P229" s="41">
        <f t="shared" si="12"/>
        <v>89.67636004098361</v>
      </c>
      <c r="Q229" s="41">
        <f t="shared" si="13"/>
        <v>49.31</v>
      </c>
      <c r="R229" s="41">
        <f t="shared" si="14"/>
        <v>-40.366360040983608</v>
      </c>
    </row>
    <row r="230" spans="10:18">
      <c r="J230" s="46">
        <v>43804</v>
      </c>
      <c r="K230" s="2">
        <v>97.500192909836059</v>
      </c>
      <c r="L230" s="2">
        <v>57.39</v>
      </c>
      <c r="M230" s="2">
        <v>-40.110192909836059</v>
      </c>
      <c r="O230" s="39">
        <f t="shared" si="15"/>
        <v>43894</v>
      </c>
      <c r="P230" s="41">
        <f t="shared" si="12"/>
        <v>89.67636004098361</v>
      </c>
      <c r="Q230" s="41">
        <f t="shared" si="13"/>
        <v>48.58</v>
      </c>
      <c r="R230" s="41">
        <f t="shared" si="14"/>
        <v>-41.096360040983612</v>
      </c>
    </row>
    <row r="231" spans="10:18">
      <c r="J231" s="46">
        <v>43803</v>
      </c>
      <c r="K231" s="2">
        <v>97.500192909836059</v>
      </c>
      <c r="L231" s="2">
        <v>55.96</v>
      </c>
      <c r="M231" s="2">
        <v>-41.540192909836058</v>
      </c>
      <c r="O231" s="39">
        <f t="shared" si="15"/>
        <v>43893</v>
      </c>
      <c r="P231" s="41">
        <f t="shared" si="12"/>
        <v>89.67636004098361</v>
      </c>
      <c r="Q231" s="41">
        <f t="shared" si="13"/>
        <v>48.82</v>
      </c>
      <c r="R231" s="41">
        <f t="shared" si="14"/>
        <v>-40.85636004098361</v>
      </c>
    </row>
    <row r="232" spans="10:18">
      <c r="J232" s="46">
        <v>43802</v>
      </c>
      <c r="K232" s="2">
        <v>97.500192909836059</v>
      </c>
      <c r="L232" s="2">
        <v>58.83</v>
      </c>
      <c r="M232" s="2">
        <v>-38.670192909836061</v>
      </c>
      <c r="O232" s="39">
        <f t="shared" si="15"/>
        <v>43892</v>
      </c>
      <c r="P232" s="41">
        <f t="shared" si="12"/>
        <v>89.67636004098361</v>
      </c>
      <c r="Q232" s="41">
        <f t="shared" si="13"/>
        <v>48.25</v>
      </c>
      <c r="R232" s="41">
        <f t="shared" si="14"/>
        <v>-41.42636004098361</v>
      </c>
    </row>
    <row r="233" spans="10:18">
      <c r="J233" s="46">
        <v>43801</v>
      </c>
      <c r="K233" s="2">
        <v>97.500192909836059</v>
      </c>
      <c r="L233" s="2">
        <v>59.5</v>
      </c>
      <c r="M233" s="2">
        <v>-38.000192909836059</v>
      </c>
      <c r="O233" s="39">
        <f t="shared" si="15"/>
        <v>43891</v>
      </c>
      <c r="P233" s="41">
        <f t="shared" si="12"/>
        <v>89.67636004098361</v>
      </c>
      <c r="Q233" s="41">
        <f t="shared" si="13"/>
        <v>47.5</v>
      </c>
      <c r="R233" s="41">
        <f t="shared" si="14"/>
        <v>-42.17636004098361</v>
      </c>
    </row>
    <row r="234" spans="10:18">
      <c r="J234" s="46">
        <v>43798</v>
      </c>
      <c r="K234" s="2">
        <v>97.500192909836059</v>
      </c>
      <c r="L234" s="2">
        <v>58.7</v>
      </c>
      <c r="M234" s="2">
        <v>-38.800192909836056</v>
      </c>
      <c r="O234" s="39">
        <f t="shared" si="15"/>
        <v>43890</v>
      </c>
      <c r="P234" s="41">
        <f t="shared" si="12"/>
        <v>89.67636004098361</v>
      </c>
      <c r="Q234" s="41">
        <f t="shared" si="13"/>
        <v>47.5</v>
      </c>
      <c r="R234" s="41">
        <f t="shared" si="14"/>
        <v>-42.17636004098361</v>
      </c>
    </row>
    <row r="235" spans="10:18">
      <c r="J235" s="46">
        <v>43797</v>
      </c>
      <c r="K235" s="2">
        <v>96.144192909836065</v>
      </c>
      <c r="L235" s="2">
        <v>58.82</v>
      </c>
      <c r="M235" s="2">
        <v>-37.324192909836064</v>
      </c>
      <c r="O235" s="39">
        <f t="shared" si="15"/>
        <v>43889</v>
      </c>
      <c r="P235" s="41">
        <f t="shared" si="12"/>
        <v>89.67636004098361</v>
      </c>
      <c r="Q235" s="41">
        <f t="shared" si="13"/>
        <v>47.5</v>
      </c>
      <c r="R235" s="41">
        <f t="shared" si="14"/>
        <v>-42.17636004098361</v>
      </c>
    </row>
    <row r="236" spans="10:18">
      <c r="J236" s="46">
        <v>43796</v>
      </c>
      <c r="K236" s="2">
        <v>96.144192909836065</v>
      </c>
      <c r="L236" s="2">
        <v>59.5</v>
      </c>
      <c r="M236" s="2">
        <v>-36.644192909836065</v>
      </c>
      <c r="O236" s="39">
        <f t="shared" si="15"/>
        <v>43888</v>
      </c>
      <c r="P236" s="41">
        <f t="shared" si="12"/>
        <v>90.850490245901639</v>
      </c>
      <c r="Q236" s="41">
        <f t="shared" si="13"/>
        <v>47.56</v>
      </c>
      <c r="R236" s="41">
        <f t="shared" si="14"/>
        <v>-43.290490245901637</v>
      </c>
    </row>
    <row r="237" spans="10:18">
      <c r="J237" s="46">
        <v>43795</v>
      </c>
      <c r="K237" s="2">
        <v>96.144192909836065</v>
      </c>
      <c r="L237" s="2">
        <v>59.75</v>
      </c>
      <c r="M237" s="2">
        <v>-36.394192909836065</v>
      </c>
      <c r="O237" s="39">
        <f t="shared" si="15"/>
        <v>43887</v>
      </c>
      <c r="P237" s="41">
        <f t="shared" si="12"/>
        <v>90.850490245901639</v>
      </c>
      <c r="Q237" s="41">
        <f t="shared" si="13"/>
        <v>47.23</v>
      </c>
      <c r="R237" s="41">
        <f t="shared" si="14"/>
        <v>-43.620490245901642</v>
      </c>
    </row>
    <row r="238" spans="10:18">
      <c r="J238" s="46">
        <v>43794</v>
      </c>
      <c r="K238" s="2">
        <v>96.144192909836065</v>
      </c>
      <c r="L238" s="2">
        <v>60.39</v>
      </c>
      <c r="M238" s="2">
        <v>-35.754192909836064</v>
      </c>
      <c r="O238" s="39">
        <f t="shared" si="15"/>
        <v>43886</v>
      </c>
      <c r="P238" s="41">
        <f t="shared" si="12"/>
        <v>90.850490245901639</v>
      </c>
      <c r="Q238" s="41">
        <f t="shared" si="13"/>
        <v>47.94</v>
      </c>
      <c r="R238" s="41">
        <f t="shared" si="14"/>
        <v>-42.910490245901642</v>
      </c>
    </row>
    <row r="239" spans="10:18">
      <c r="J239" s="46">
        <v>43791</v>
      </c>
      <c r="K239" s="2">
        <v>96.144192909836065</v>
      </c>
      <c r="L239" s="2">
        <v>59.61</v>
      </c>
      <c r="M239" s="2">
        <v>-36.534192909836065</v>
      </c>
      <c r="O239" s="39">
        <f t="shared" si="15"/>
        <v>43885</v>
      </c>
      <c r="P239" s="41">
        <f t="shared" si="12"/>
        <v>90.850490245901639</v>
      </c>
      <c r="Q239" s="41">
        <f t="shared" si="13"/>
        <v>47.75</v>
      </c>
      <c r="R239" s="41">
        <f t="shared" si="14"/>
        <v>-43.100490245901639</v>
      </c>
    </row>
    <row r="240" spans="10:18">
      <c r="J240" s="46">
        <v>43790</v>
      </c>
      <c r="K240" s="2">
        <v>101.20923266393443</v>
      </c>
      <c r="L240" s="2">
        <v>56.33</v>
      </c>
      <c r="M240" s="2">
        <v>-44.879232663934431</v>
      </c>
      <c r="O240" s="39">
        <f t="shared" si="15"/>
        <v>43884</v>
      </c>
      <c r="P240" s="41">
        <f t="shared" si="12"/>
        <v>90.850490245901639</v>
      </c>
      <c r="Q240" s="41">
        <f t="shared" si="13"/>
        <v>48.69</v>
      </c>
      <c r="R240" s="41">
        <f t="shared" si="14"/>
        <v>-42.160490245901642</v>
      </c>
    </row>
    <row r="241" spans="10:18">
      <c r="J241" s="46">
        <v>43789</v>
      </c>
      <c r="K241" s="2">
        <v>101.20923266393443</v>
      </c>
      <c r="L241" s="2">
        <v>56.91</v>
      </c>
      <c r="M241" s="2">
        <v>-44.299232663934433</v>
      </c>
      <c r="O241" s="39">
        <f t="shared" si="15"/>
        <v>43883</v>
      </c>
      <c r="P241" s="41">
        <f t="shared" si="12"/>
        <v>90.850490245901639</v>
      </c>
      <c r="Q241" s="41">
        <f t="shared" si="13"/>
        <v>48.69</v>
      </c>
      <c r="R241" s="41">
        <f t="shared" si="14"/>
        <v>-42.160490245901642</v>
      </c>
    </row>
    <row r="242" spans="10:18">
      <c r="J242" s="46">
        <v>43788</v>
      </c>
      <c r="K242" s="2">
        <v>101.20923266393443</v>
      </c>
      <c r="L242" s="2">
        <v>56.09</v>
      </c>
      <c r="M242" s="2">
        <v>-45.119232663934426</v>
      </c>
      <c r="O242" s="39">
        <f t="shared" si="15"/>
        <v>43882</v>
      </c>
      <c r="P242" s="41">
        <f t="shared" si="12"/>
        <v>90.850490245901639</v>
      </c>
      <c r="Q242" s="41">
        <f t="shared" si="13"/>
        <v>48.69</v>
      </c>
      <c r="R242" s="41">
        <f t="shared" si="14"/>
        <v>-42.160490245901642</v>
      </c>
    </row>
    <row r="243" spans="10:18">
      <c r="J243" s="46">
        <v>43787</v>
      </c>
      <c r="K243" s="2">
        <v>101.20923266393443</v>
      </c>
      <c r="L243" s="2">
        <v>56.22</v>
      </c>
      <c r="M243" s="2">
        <v>-44.98923266393443</v>
      </c>
      <c r="O243" s="39">
        <f t="shared" si="15"/>
        <v>43881</v>
      </c>
      <c r="P243" s="41">
        <f t="shared" si="12"/>
        <v>90.850490245901639</v>
      </c>
      <c r="Q243" s="41">
        <f t="shared" si="13"/>
        <v>49.54</v>
      </c>
      <c r="R243" s="41">
        <f t="shared" si="14"/>
        <v>-41.31049024590164</v>
      </c>
    </row>
    <row r="244" spans="10:18">
      <c r="J244" s="46">
        <v>43784</v>
      </c>
      <c r="K244" s="2">
        <v>101.20923266393443</v>
      </c>
      <c r="L244" s="2">
        <v>56.55</v>
      </c>
      <c r="M244" s="2">
        <v>-44.659232663934432</v>
      </c>
      <c r="O244" s="39">
        <f t="shared" si="15"/>
        <v>43880</v>
      </c>
      <c r="P244" s="41">
        <f t="shared" si="12"/>
        <v>90.850490245901639</v>
      </c>
      <c r="Q244" s="41">
        <f t="shared" si="13"/>
        <v>49.97</v>
      </c>
      <c r="R244" s="41">
        <f t="shared" si="14"/>
        <v>-40.88049024590164</v>
      </c>
    </row>
    <row r="245" spans="10:18">
      <c r="J245" s="46">
        <v>43783</v>
      </c>
      <c r="K245" s="2">
        <v>101.20923266393443</v>
      </c>
      <c r="L245" s="2">
        <v>57.21</v>
      </c>
      <c r="M245" s="2">
        <v>-43.999232663934428</v>
      </c>
      <c r="O245" s="39">
        <f t="shared" si="15"/>
        <v>43879</v>
      </c>
      <c r="P245" s="41">
        <f t="shared" si="12"/>
        <v>90.850490245901639</v>
      </c>
      <c r="Q245" s="41">
        <f t="shared" si="13"/>
        <v>51.29</v>
      </c>
      <c r="R245" s="41">
        <f t="shared" si="14"/>
        <v>-39.56049024590164</v>
      </c>
    </row>
    <row r="246" spans="10:18">
      <c r="J246" s="46">
        <v>43782</v>
      </c>
      <c r="K246" s="2">
        <v>101.20923266393443</v>
      </c>
      <c r="L246" s="2">
        <v>55.65</v>
      </c>
      <c r="M246" s="2">
        <v>-45.559232663934431</v>
      </c>
      <c r="O246" s="39">
        <f t="shared" si="15"/>
        <v>43878</v>
      </c>
      <c r="P246" s="41">
        <f t="shared" si="12"/>
        <v>90.850490245901639</v>
      </c>
      <c r="Q246" s="41">
        <f t="shared" si="13"/>
        <v>52.98</v>
      </c>
      <c r="R246" s="41">
        <f t="shared" si="14"/>
        <v>-37.870490245901642</v>
      </c>
    </row>
    <row r="247" spans="10:18">
      <c r="J247" s="46">
        <v>43781</v>
      </c>
      <c r="K247" s="2">
        <v>101.20923266393443</v>
      </c>
      <c r="L247" s="2">
        <v>54.03</v>
      </c>
      <c r="M247" s="2">
        <v>-47.179232663934428</v>
      </c>
      <c r="O247" s="39">
        <f t="shared" si="15"/>
        <v>43877</v>
      </c>
      <c r="P247" s="41">
        <f t="shared" si="12"/>
        <v>90.850490245901639</v>
      </c>
      <c r="Q247" s="41">
        <f t="shared" si="13"/>
        <v>53.24</v>
      </c>
      <c r="R247" s="41">
        <f t="shared" si="14"/>
        <v>-37.610490245901637</v>
      </c>
    </row>
    <row r="248" spans="10:18">
      <c r="J248" s="46">
        <v>43780</v>
      </c>
      <c r="K248" s="2">
        <v>101.20923266393443</v>
      </c>
      <c r="L248" s="2">
        <v>55.73</v>
      </c>
      <c r="M248" s="2">
        <v>-45.479232663934432</v>
      </c>
      <c r="O248" s="39">
        <f t="shared" si="15"/>
        <v>43876</v>
      </c>
      <c r="P248" s="41">
        <f t="shared" si="12"/>
        <v>90.850490245901639</v>
      </c>
      <c r="Q248" s="41">
        <f t="shared" si="13"/>
        <v>53.24</v>
      </c>
      <c r="R248" s="41">
        <f t="shared" si="14"/>
        <v>-37.610490245901637</v>
      </c>
    </row>
    <row r="249" spans="10:18">
      <c r="J249" s="46">
        <v>43777</v>
      </c>
      <c r="K249" s="2">
        <v>101.20923266393443</v>
      </c>
      <c r="L249" s="2">
        <v>56.94</v>
      </c>
      <c r="M249" s="2">
        <v>-44.269232663934432</v>
      </c>
      <c r="O249" s="39">
        <f t="shared" si="15"/>
        <v>43875</v>
      </c>
      <c r="P249" s="41">
        <f t="shared" si="12"/>
        <v>90.850490245901639</v>
      </c>
      <c r="Q249" s="41">
        <f t="shared" si="13"/>
        <v>53.24</v>
      </c>
      <c r="R249" s="41">
        <f t="shared" si="14"/>
        <v>-37.610490245901637</v>
      </c>
    </row>
    <row r="250" spans="10:18">
      <c r="J250" s="46">
        <v>43776</v>
      </c>
      <c r="K250" s="2">
        <v>102.52003266393442</v>
      </c>
      <c r="L250" s="2">
        <v>56.5</v>
      </c>
      <c r="M250" s="2">
        <v>-46.020032663934415</v>
      </c>
      <c r="O250" s="39">
        <f t="shared" si="15"/>
        <v>43874</v>
      </c>
      <c r="P250" s="41">
        <f t="shared" si="12"/>
        <v>91.076490245901638</v>
      </c>
      <c r="Q250" s="41">
        <f t="shared" si="13"/>
        <v>51.64</v>
      </c>
      <c r="R250" s="41">
        <f t="shared" si="14"/>
        <v>-39.436490245901638</v>
      </c>
    </row>
    <row r="251" spans="10:18">
      <c r="J251" s="46">
        <v>43775</v>
      </c>
      <c r="K251" s="2">
        <v>102.52003266393442</v>
      </c>
      <c r="L251" s="2">
        <v>58.03</v>
      </c>
      <c r="M251" s="2">
        <v>-44.490032663934414</v>
      </c>
      <c r="O251" s="39">
        <f t="shared" si="15"/>
        <v>43873</v>
      </c>
      <c r="P251" s="41">
        <f t="shared" si="12"/>
        <v>91.076490245901638</v>
      </c>
      <c r="Q251" s="41">
        <f t="shared" si="13"/>
        <v>50.56</v>
      </c>
      <c r="R251" s="41">
        <f t="shared" si="14"/>
        <v>-40.516490245901636</v>
      </c>
    </row>
    <row r="252" spans="10:18">
      <c r="J252" s="46">
        <v>43774</v>
      </c>
      <c r="K252" s="2">
        <v>102.52003266393442</v>
      </c>
      <c r="L252" s="2">
        <v>56.51</v>
      </c>
      <c r="M252" s="2">
        <v>-46.010032663934417</v>
      </c>
      <c r="O252" s="39">
        <f t="shared" si="15"/>
        <v>43872</v>
      </c>
      <c r="P252" s="41">
        <f t="shared" si="12"/>
        <v>91.076490245901638</v>
      </c>
      <c r="Q252" s="41">
        <f t="shared" si="13"/>
        <v>49.62</v>
      </c>
      <c r="R252" s="41">
        <f t="shared" si="14"/>
        <v>-41.456490245901641</v>
      </c>
    </row>
    <row r="253" spans="10:18">
      <c r="J253" s="46">
        <v>43773</v>
      </c>
      <c r="K253" s="2">
        <v>102.52003266393442</v>
      </c>
      <c r="L253" s="2">
        <v>56.88</v>
      </c>
      <c r="M253" s="2">
        <v>-45.640032663934413</v>
      </c>
      <c r="O253" s="39">
        <f t="shared" si="15"/>
        <v>43871</v>
      </c>
      <c r="P253" s="41">
        <f t="shared" si="12"/>
        <v>91.076490245901638</v>
      </c>
      <c r="Q253" s="41">
        <f t="shared" si="13"/>
        <v>49.32</v>
      </c>
      <c r="R253" s="41">
        <f t="shared" si="14"/>
        <v>-41.756490245901638</v>
      </c>
    </row>
    <row r="254" spans="10:18">
      <c r="J254" s="46">
        <v>43770</v>
      </c>
      <c r="K254" s="2">
        <v>102.52003266393442</v>
      </c>
      <c r="L254" s="2">
        <v>56.68</v>
      </c>
      <c r="M254" s="2">
        <v>-45.840032663934416</v>
      </c>
      <c r="O254" s="39">
        <f t="shared" si="15"/>
        <v>43870</v>
      </c>
      <c r="P254" s="41">
        <f t="shared" si="12"/>
        <v>91.076490245901638</v>
      </c>
      <c r="Q254" s="41">
        <f t="shared" si="13"/>
        <v>50.18</v>
      </c>
      <c r="R254" s="41">
        <f t="shared" si="14"/>
        <v>-40.896490245901639</v>
      </c>
    </row>
    <row r="255" spans="10:18">
      <c r="J255" s="46">
        <v>43769</v>
      </c>
      <c r="K255" s="2">
        <v>102.52003266393442</v>
      </c>
      <c r="L255" s="2">
        <v>54.83</v>
      </c>
      <c r="M255" s="2">
        <v>-47.690032663934417</v>
      </c>
      <c r="O255" s="39">
        <f t="shared" si="15"/>
        <v>43869</v>
      </c>
      <c r="P255" s="41">
        <f t="shared" si="12"/>
        <v>91.076490245901638</v>
      </c>
      <c r="Q255" s="41">
        <f t="shared" si="13"/>
        <v>50.18</v>
      </c>
      <c r="R255" s="41">
        <f t="shared" si="14"/>
        <v>-40.896490245901639</v>
      </c>
    </row>
    <row r="256" spans="10:18">
      <c r="J256" s="46">
        <v>43768</v>
      </c>
      <c r="K256" s="2">
        <v>102.52003266393442</v>
      </c>
      <c r="L256" s="2">
        <v>56.95</v>
      </c>
      <c r="M256" s="2">
        <v>-45.570032663934413</v>
      </c>
      <c r="O256" s="39">
        <f t="shared" si="15"/>
        <v>43868</v>
      </c>
      <c r="P256" s="41">
        <f t="shared" si="12"/>
        <v>91.076490245901638</v>
      </c>
      <c r="Q256" s="41">
        <f t="shared" si="13"/>
        <v>50.18</v>
      </c>
      <c r="R256" s="41">
        <f t="shared" si="14"/>
        <v>-40.896490245901639</v>
      </c>
    </row>
    <row r="257" spans="10:18">
      <c r="J257" s="46">
        <v>43767</v>
      </c>
      <c r="K257" s="2">
        <v>102.52003266393442</v>
      </c>
      <c r="L257" s="2">
        <v>56.18</v>
      </c>
      <c r="M257" s="2">
        <v>-46.340032663934416</v>
      </c>
      <c r="O257" s="39">
        <f t="shared" si="15"/>
        <v>43867</v>
      </c>
      <c r="P257" s="41">
        <f t="shared" si="12"/>
        <v>92.206490245901648</v>
      </c>
      <c r="Q257" s="41">
        <f t="shared" si="13"/>
        <v>51.04</v>
      </c>
      <c r="R257" s="41">
        <f t="shared" si="14"/>
        <v>-41.166490245901649</v>
      </c>
    </row>
    <row r="258" spans="10:18">
      <c r="J258" s="46">
        <v>43766</v>
      </c>
      <c r="K258" s="2">
        <v>102.52003266393442</v>
      </c>
      <c r="L258" s="2">
        <v>56.16</v>
      </c>
      <c r="M258" s="2">
        <v>-46.360032663934419</v>
      </c>
      <c r="O258" s="39">
        <f t="shared" si="15"/>
        <v>43866</v>
      </c>
      <c r="P258" s="41">
        <f t="shared" si="12"/>
        <v>92.206490245901648</v>
      </c>
      <c r="Q258" s="41">
        <f t="shared" si="13"/>
        <v>51.81</v>
      </c>
      <c r="R258" s="41">
        <f t="shared" si="14"/>
        <v>-40.396490245901646</v>
      </c>
    </row>
    <row r="259" spans="10:18">
      <c r="J259" s="46">
        <v>43763</v>
      </c>
      <c r="K259" s="2">
        <v>102.52003266393442</v>
      </c>
      <c r="L259" s="2">
        <v>57.23</v>
      </c>
      <c r="M259" s="2">
        <v>-45.290032663934419</v>
      </c>
      <c r="O259" s="39">
        <f t="shared" si="15"/>
        <v>43865</v>
      </c>
      <c r="P259" s="41">
        <f t="shared" si="12"/>
        <v>92.206490245901648</v>
      </c>
      <c r="Q259" s="41">
        <f t="shared" si="13"/>
        <v>49.82</v>
      </c>
      <c r="R259" s="41">
        <f t="shared" si="14"/>
        <v>-42.386490245901648</v>
      </c>
    </row>
    <row r="260" spans="10:18">
      <c r="J260" s="46">
        <v>43762</v>
      </c>
      <c r="K260" s="2">
        <v>101.79683266393442</v>
      </c>
      <c r="L260" s="2">
        <v>57</v>
      </c>
      <c r="M260" s="2">
        <v>-44.796832663934424</v>
      </c>
      <c r="O260" s="39">
        <f t="shared" si="15"/>
        <v>43864</v>
      </c>
      <c r="P260" s="41">
        <f t="shared" si="12"/>
        <v>92.206490245901648</v>
      </c>
      <c r="Q260" s="41">
        <f t="shared" si="13"/>
        <v>49.78</v>
      </c>
      <c r="R260" s="41">
        <f t="shared" si="14"/>
        <v>-42.426490245901647</v>
      </c>
    </row>
    <row r="261" spans="10:18">
      <c r="J261" s="46">
        <v>43761</v>
      </c>
      <c r="K261" s="2">
        <v>101.79683266393442</v>
      </c>
      <c r="L261" s="2">
        <v>57.23</v>
      </c>
      <c r="M261" s="2">
        <v>-44.566832663934427</v>
      </c>
      <c r="O261" s="39">
        <f t="shared" si="15"/>
        <v>43863</v>
      </c>
      <c r="P261" s="41">
        <f t="shared" si="12"/>
        <v>92.206490245901648</v>
      </c>
      <c r="Q261" s="41">
        <f t="shared" si="13"/>
        <v>49.15</v>
      </c>
      <c r="R261" s="41">
        <f t="shared" si="14"/>
        <v>-43.056490245901649</v>
      </c>
    </row>
    <row r="262" spans="10:18">
      <c r="J262" s="46">
        <v>43760</v>
      </c>
      <c r="K262" s="2">
        <v>101.79683266393442</v>
      </c>
      <c r="L262" s="2">
        <v>58.41</v>
      </c>
      <c r="M262" s="2">
        <v>-43.386832663934428</v>
      </c>
      <c r="O262" s="39">
        <f t="shared" si="15"/>
        <v>43862</v>
      </c>
      <c r="P262" s="41">
        <f t="shared" ref="P262:P325" si="16">IFERROR(VLOOKUP($O262,$J$5:$M$403,2,FALSE),P263)</f>
        <v>92.206490245901648</v>
      </c>
      <c r="Q262" s="41">
        <f t="shared" ref="Q262:Q325" si="17">IFERROR(VLOOKUP($O262,$J$5:$M$403,3,FALSE),Q263)</f>
        <v>49.15</v>
      </c>
      <c r="R262" s="41">
        <f t="shared" ref="R262:R325" si="18">IFERROR(VLOOKUP($O262,$J$5:$M$403,4,FALSE),R263)</f>
        <v>-43.056490245901649</v>
      </c>
    </row>
    <row r="263" spans="10:18">
      <c r="J263" s="46">
        <v>43759</v>
      </c>
      <c r="K263" s="2">
        <v>101.79683266393442</v>
      </c>
      <c r="L263" s="2">
        <v>60.25</v>
      </c>
      <c r="M263" s="2">
        <v>-41.546832663934424</v>
      </c>
      <c r="O263" s="39">
        <f t="shared" ref="O263:O326" si="19">O262-1</f>
        <v>43861</v>
      </c>
      <c r="P263" s="41">
        <f t="shared" si="16"/>
        <v>92.206490245901648</v>
      </c>
      <c r="Q263" s="41">
        <f t="shared" si="17"/>
        <v>49.15</v>
      </c>
      <c r="R263" s="41">
        <f t="shared" si="18"/>
        <v>-43.056490245901649</v>
      </c>
    </row>
    <row r="264" spans="10:18">
      <c r="J264" s="46">
        <v>43756</v>
      </c>
      <c r="K264" s="2">
        <v>101.79683266393442</v>
      </c>
      <c r="L264" s="2">
        <v>60.38</v>
      </c>
      <c r="M264" s="2">
        <v>-41.416832663934422</v>
      </c>
      <c r="O264" s="39">
        <f t="shared" si="19"/>
        <v>43860</v>
      </c>
      <c r="P264" s="41">
        <f t="shared" si="16"/>
        <v>91.323770368852465</v>
      </c>
      <c r="Q264" s="41">
        <f t="shared" si="17"/>
        <v>49.29</v>
      </c>
      <c r="R264" s="41">
        <f t="shared" si="18"/>
        <v>-42.033770368852466</v>
      </c>
    </row>
    <row r="265" spans="10:18">
      <c r="J265" s="46">
        <v>43755</v>
      </c>
      <c r="K265" s="2">
        <v>101.79683266393442</v>
      </c>
      <c r="L265" s="2">
        <v>60.06</v>
      </c>
      <c r="M265" s="2">
        <v>-41.736832663934422</v>
      </c>
      <c r="O265" s="39">
        <f t="shared" si="19"/>
        <v>43859</v>
      </c>
      <c r="P265" s="41">
        <f t="shared" si="16"/>
        <v>91.323770368852465</v>
      </c>
      <c r="Q265" s="41">
        <f t="shared" si="17"/>
        <v>50.5</v>
      </c>
      <c r="R265" s="41">
        <f t="shared" si="18"/>
        <v>-40.823770368852465</v>
      </c>
    </row>
    <row r="266" spans="10:18">
      <c r="J266" s="46">
        <v>43754</v>
      </c>
      <c r="K266" s="2">
        <v>101.79683266393442</v>
      </c>
      <c r="L266" s="2">
        <v>60.29</v>
      </c>
      <c r="M266" s="2">
        <v>-41.506832663934425</v>
      </c>
      <c r="O266" s="39">
        <f t="shared" si="19"/>
        <v>43858</v>
      </c>
      <c r="P266" s="41">
        <f t="shared" si="16"/>
        <v>91.323770368852465</v>
      </c>
      <c r="Q266" s="41">
        <f t="shared" si="17"/>
        <v>50.5</v>
      </c>
      <c r="R266" s="41">
        <f t="shared" si="18"/>
        <v>-40.823770368852465</v>
      </c>
    </row>
    <row r="267" spans="10:18">
      <c r="J267" s="46">
        <v>43753</v>
      </c>
      <c r="K267" s="2">
        <v>101.79683266393442</v>
      </c>
      <c r="L267" s="2">
        <v>61.22</v>
      </c>
      <c r="M267" s="2">
        <v>-40.576832663934425</v>
      </c>
      <c r="O267" s="39">
        <f t="shared" si="19"/>
        <v>43857</v>
      </c>
      <c r="P267" s="41">
        <f t="shared" si="16"/>
        <v>91.323770368852465</v>
      </c>
      <c r="Q267" s="41">
        <f t="shared" si="17"/>
        <v>49.88</v>
      </c>
      <c r="R267" s="41">
        <f t="shared" si="18"/>
        <v>-41.443770368852462</v>
      </c>
    </row>
    <row r="268" spans="10:18">
      <c r="J268" s="46">
        <v>43752</v>
      </c>
      <c r="K268" s="2">
        <v>101.79683266393442</v>
      </c>
      <c r="L268" s="2">
        <v>60.29</v>
      </c>
      <c r="M268" s="2">
        <v>-41.506832663934425</v>
      </c>
      <c r="O268" s="39">
        <f t="shared" si="19"/>
        <v>43856</v>
      </c>
      <c r="P268" s="41">
        <f t="shared" si="16"/>
        <v>91.323770368852465</v>
      </c>
      <c r="Q268" s="41">
        <f t="shared" si="17"/>
        <v>49.75</v>
      </c>
      <c r="R268" s="41">
        <f t="shared" si="18"/>
        <v>-41.573770368852465</v>
      </c>
    </row>
    <row r="269" spans="10:18">
      <c r="J269" s="46">
        <v>43749</v>
      </c>
      <c r="K269" s="2">
        <v>101.79683266393442</v>
      </c>
      <c r="L269" s="2">
        <v>60.92</v>
      </c>
      <c r="M269" s="2">
        <v>-40.876832663934422</v>
      </c>
      <c r="O269" s="39">
        <f t="shared" si="19"/>
        <v>43855</v>
      </c>
      <c r="P269" s="41">
        <f t="shared" si="16"/>
        <v>91.323770368852465</v>
      </c>
      <c r="Q269" s="41">
        <f t="shared" si="17"/>
        <v>49.75</v>
      </c>
      <c r="R269" s="41">
        <f t="shared" si="18"/>
        <v>-41.573770368852465</v>
      </c>
    </row>
    <row r="270" spans="10:18">
      <c r="J270" s="46">
        <v>43748</v>
      </c>
      <c r="K270" s="2">
        <v>101.76918008196721</v>
      </c>
      <c r="L270" s="2">
        <v>61.25</v>
      </c>
      <c r="M270" s="2">
        <v>-40.519180081967207</v>
      </c>
      <c r="O270" s="39">
        <f t="shared" si="19"/>
        <v>43854</v>
      </c>
      <c r="P270" s="41">
        <f t="shared" si="16"/>
        <v>91.323770368852465</v>
      </c>
      <c r="Q270" s="41">
        <f t="shared" si="17"/>
        <v>49.75</v>
      </c>
      <c r="R270" s="41">
        <f t="shared" si="18"/>
        <v>-41.573770368852465</v>
      </c>
    </row>
    <row r="271" spans="10:18">
      <c r="J271" s="46">
        <v>43747</v>
      </c>
      <c r="K271" s="2">
        <v>101.76918008196721</v>
      </c>
      <c r="L271" s="2">
        <v>61.59</v>
      </c>
      <c r="M271" s="2">
        <v>-40.179180081967203</v>
      </c>
      <c r="O271" s="39">
        <f t="shared" si="19"/>
        <v>43853</v>
      </c>
      <c r="P271" s="41">
        <f t="shared" si="16"/>
        <v>92.227770368852461</v>
      </c>
      <c r="Q271" s="41">
        <f t="shared" si="17"/>
        <v>49</v>
      </c>
      <c r="R271" s="41">
        <f t="shared" si="18"/>
        <v>-43.227770368852461</v>
      </c>
    </row>
    <row r="272" spans="10:18">
      <c r="J272" s="46">
        <v>43746</v>
      </c>
      <c r="K272" s="2">
        <v>101.76918008196721</v>
      </c>
      <c r="L272" s="2">
        <v>61.18</v>
      </c>
      <c r="M272" s="2">
        <v>-40.589180081967207</v>
      </c>
      <c r="O272" s="39">
        <f t="shared" si="19"/>
        <v>43852</v>
      </c>
      <c r="P272" s="41">
        <f t="shared" si="16"/>
        <v>92.227770368852461</v>
      </c>
      <c r="Q272" s="41">
        <f t="shared" si="17"/>
        <v>49.25</v>
      </c>
      <c r="R272" s="41">
        <f t="shared" si="18"/>
        <v>-42.977770368852461</v>
      </c>
    </row>
    <row r="273" spans="10:18">
      <c r="J273" s="46">
        <v>43745</v>
      </c>
      <c r="K273" s="2">
        <v>101.76918008196721</v>
      </c>
      <c r="L273" s="2">
        <v>60.75</v>
      </c>
      <c r="M273" s="2">
        <v>-41.019180081967207</v>
      </c>
      <c r="O273" s="39">
        <f t="shared" si="19"/>
        <v>43851</v>
      </c>
      <c r="P273" s="41">
        <f t="shared" si="16"/>
        <v>92.227770368852461</v>
      </c>
      <c r="Q273" s="41">
        <f t="shared" si="17"/>
        <v>48.75</v>
      </c>
      <c r="R273" s="41">
        <f t="shared" si="18"/>
        <v>-43.477770368852461</v>
      </c>
    </row>
    <row r="274" spans="10:18">
      <c r="J274" s="46">
        <v>43742</v>
      </c>
      <c r="K274" s="2">
        <v>101.76918008196721</v>
      </c>
      <c r="L274" s="2">
        <v>60.7</v>
      </c>
      <c r="M274" s="2">
        <v>-41.069180081967204</v>
      </c>
      <c r="O274" s="39">
        <f t="shared" si="19"/>
        <v>43850</v>
      </c>
      <c r="P274" s="41">
        <f t="shared" si="16"/>
        <v>92.227770368852461</v>
      </c>
      <c r="Q274" s="41">
        <f t="shared" si="17"/>
        <v>49.16</v>
      </c>
      <c r="R274" s="41">
        <f t="shared" si="18"/>
        <v>-43.067770368852464</v>
      </c>
    </row>
    <row r="275" spans="10:18">
      <c r="J275" s="46">
        <v>43741</v>
      </c>
      <c r="K275" s="2">
        <v>100.59186364754098</v>
      </c>
      <c r="L275" s="2">
        <v>60.95</v>
      </c>
      <c r="M275" s="2">
        <v>-39.641863647540973</v>
      </c>
      <c r="O275" s="39">
        <f t="shared" si="19"/>
        <v>43849</v>
      </c>
      <c r="P275" s="41">
        <f t="shared" si="16"/>
        <v>92.227770368852461</v>
      </c>
      <c r="Q275" s="41">
        <f t="shared" si="17"/>
        <v>50.5</v>
      </c>
      <c r="R275" s="41">
        <f t="shared" si="18"/>
        <v>-41.727770368852461</v>
      </c>
    </row>
    <row r="276" spans="10:18">
      <c r="J276" s="46">
        <v>43740</v>
      </c>
      <c r="K276" s="2">
        <v>100.59186364754098</v>
      </c>
      <c r="L276" s="2">
        <v>60.84</v>
      </c>
      <c r="M276" s="2">
        <v>-39.751863647540972</v>
      </c>
      <c r="O276" s="39">
        <f t="shared" si="19"/>
        <v>43848</v>
      </c>
      <c r="P276" s="41">
        <f t="shared" si="16"/>
        <v>92.227770368852461</v>
      </c>
      <c r="Q276" s="41">
        <f t="shared" si="17"/>
        <v>50.5</v>
      </c>
      <c r="R276" s="41">
        <f t="shared" si="18"/>
        <v>-41.727770368852461</v>
      </c>
    </row>
    <row r="277" spans="10:18">
      <c r="J277" s="46">
        <v>43739</v>
      </c>
      <c r="K277" s="2">
        <v>100.59186364754098</v>
      </c>
      <c r="L277" s="2">
        <v>60.9</v>
      </c>
      <c r="M277" s="2">
        <v>-39.691863647540977</v>
      </c>
      <c r="O277" s="39">
        <f t="shared" si="19"/>
        <v>43847</v>
      </c>
      <c r="P277" s="41">
        <f t="shared" si="16"/>
        <v>92.227770368852461</v>
      </c>
      <c r="Q277" s="41">
        <f t="shared" si="17"/>
        <v>50.5</v>
      </c>
      <c r="R277" s="41">
        <f t="shared" si="18"/>
        <v>-41.727770368852461</v>
      </c>
    </row>
    <row r="278" spans="10:18">
      <c r="J278" s="46">
        <v>43738</v>
      </c>
      <c r="K278" s="2">
        <v>100.59186364754098</v>
      </c>
      <c r="L278" s="2">
        <v>60.8</v>
      </c>
      <c r="M278" s="2">
        <v>-39.791863647540978</v>
      </c>
      <c r="O278" s="39">
        <f t="shared" si="19"/>
        <v>43846</v>
      </c>
      <c r="P278" s="41">
        <f t="shared" si="16"/>
        <v>92.679770368852473</v>
      </c>
      <c r="Q278" s="41">
        <f t="shared" si="17"/>
        <v>52.27</v>
      </c>
      <c r="R278" s="41">
        <f t="shared" si="18"/>
        <v>-40.40977036885247</v>
      </c>
    </row>
    <row r="279" spans="10:18">
      <c r="J279" s="46">
        <v>43735</v>
      </c>
      <c r="K279" s="2">
        <v>100.59186364754098</v>
      </c>
      <c r="L279" s="2">
        <v>59.49</v>
      </c>
      <c r="M279" s="2">
        <v>-41.101863647540974</v>
      </c>
      <c r="O279" s="39">
        <f t="shared" si="19"/>
        <v>43845</v>
      </c>
      <c r="P279" s="41">
        <f t="shared" si="16"/>
        <v>92.679770368852473</v>
      </c>
      <c r="Q279" s="41">
        <f t="shared" si="17"/>
        <v>51.96</v>
      </c>
      <c r="R279" s="41">
        <f t="shared" si="18"/>
        <v>-40.719770368852473</v>
      </c>
    </row>
    <row r="280" spans="10:18">
      <c r="J280" s="46">
        <v>43734</v>
      </c>
      <c r="K280" s="2">
        <v>102.76412655737704</v>
      </c>
      <c r="L280" s="2">
        <v>59.35</v>
      </c>
      <c r="M280" s="2">
        <v>-43.414126557377038</v>
      </c>
      <c r="O280" s="39">
        <f t="shared" si="19"/>
        <v>43844</v>
      </c>
      <c r="P280" s="41">
        <f t="shared" si="16"/>
        <v>92.679770368852473</v>
      </c>
      <c r="Q280" s="41">
        <f t="shared" si="17"/>
        <v>52.35</v>
      </c>
      <c r="R280" s="41">
        <f t="shared" si="18"/>
        <v>-40.329770368852472</v>
      </c>
    </row>
    <row r="281" spans="10:18">
      <c r="J281" s="46">
        <v>43733</v>
      </c>
      <c r="K281" s="2">
        <v>102.76412655737704</v>
      </c>
      <c r="L281" s="2">
        <v>59.43</v>
      </c>
      <c r="M281" s="2">
        <v>-43.33412655737704</v>
      </c>
      <c r="O281" s="39">
        <f t="shared" si="19"/>
        <v>43843</v>
      </c>
      <c r="P281" s="41">
        <f t="shared" si="16"/>
        <v>92.679770368852473</v>
      </c>
      <c r="Q281" s="41">
        <f t="shared" si="17"/>
        <v>54.28</v>
      </c>
      <c r="R281" s="41">
        <f t="shared" si="18"/>
        <v>-38.399770368852472</v>
      </c>
    </row>
    <row r="282" spans="10:18">
      <c r="J282" s="46">
        <v>43732</v>
      </c>
      <c r="K282" s="2">
        <v>102.76412655737704</v>
      </c>
      <c r="L282" s="2">
        <v>61.28</v>
      </c>
      <c r="M282" s="2">
        <v>-41.484126557377039</v>
      </c>
      <c r="O282" s="39">
        <f t="shared" si="19"/>
        <v>43842</v>
      </c>
      <c r="P282" s="41">
        <f t="shared" si="16"/>
        <v>92.679770368852473</v>
      </c>
      <c r="Q282" s="41">
        <f t="shared" si="17"/>
        <v>53.93</v>
      </c>
      <c r="R282" s="41">
        <f t="shared" si="18"/>
        <v>-38.749770368852474</v>
      </c>
    </row>
    <row r="283" spans="10:18">
      <c r="J283" s="46">
        <v>43731</v>
      </c>
      <c r="K283" s="2">
        <v>102.76412655737704</v>
      </c>
      <c r="L283" s="2">
        <v>62.82</v>
      </c>
      <c r="M283" s="2">
        <v>-39.944126557377039</v>
      </c>
      <c r="O283" s="39">
        <f t="shared" si="19"/>
        <v>43841</v>
      </c>
      <c r="P283" s="41">
        <f t="shared" si="16"/>
        <v>92.679770368852473</v>
      </c>
      <c r="Q283" s="41">
        <f t="shared" si="17"/>
        <v>53.93</v>
      </c>
      <c r="R283" s="41">
        <f t="shared" si="18"/>
        <v>-38.749770368852474</v>
      </c>
    </row>
    <row r="284" spans="10:18">
      <c r="J284" s="46">
        <v>43728</v>
      </c>
      <c r="K284" s="2">
        <v>102.76412655737704</v>
      </c>
      <c r="L284" s="2">
        <v>63.29</v>
      </c>
      <c r="M284" s="2">
        <v>-39.474126557377041</v>
      </c>
      <c r="O284" s="39">
        <f t="shared" si="19"/>
        <v>43840</v>
      </c>
      <c r="P284" s="41">
        <f t="shared" si="16"/>
        <v>92.679770368852473</v>
      </c>
      <c r="Q284" s="41">
        <f t="shared" si="17"/>
        <v>53.93</v>
      </c>
      <c r="R284" s="41">
        <f t="shared" si="18"/>
        <v>-38.749770368852474</v>
      </c>
    </row>
    <row r="285" spans="10:18">
      <c r="J285" s="46">
        <v>43727</v>
      </c>
      <c r="K285" s="2">
        <v>102.40252655737706</v>
      </c>
      <c r="L285" s="2">
        <v>63.4</v>
      </c>
      <c r="M285" s="2">
        <v>-39.00252655737706</v>
      </c>
      <c r="O285" s="39">
        <f t="shared" si="19"/>
        <v>43839</v>
      </c>
      <c r="P285" s="41">
        <f t="shared" si="16"/>
        <v>92.679770368852473</v>
      </c>
      <c r="Q285" s="41">
        <f t="shared" si="17"/>
        <v>53.5</v>
      </c>
      <c r="R285" s="41">
        <f t="shared" si="18"/>
        <v>-39.179770368852473</v>
      </c>
    </row>
    <row r="286" spans="10:18">
      <c r="J286" s="46">
        <v>43726</v>
      </c>
      <c r="K286" s="2">
        <v>102.40252655737706</v>
      </c>
      <c r="L286" s="2">
        <v>63.15</v>
      </c>
      <c r="M286" s="2">
        <v>-39.25252655737706</v>
      </c>
      <c r="O286" s="39">
        <f t="shared" si="19"/>
        <v>43838</v>
      </c>
      <c r="P286" s="41">
        <f t="shared" si="16"/>
        <v>92.679770368852473</v>
      </c>
      <c r="Q286" s="41">
        <f t="shared" si="17"/>
        <v>53.58</v>
      </c>
      <c r="R286" s="41">
        <f t="shared" si="18"/>
        <v>-39.099770368852475</v>
      </c>
    </row>
    <row r="287" spans="10:18">
      <c r="J287" s="46">
        <v>43725</v>
      </c>
      <c r="K287" s="2">
        <v>102.40252655737706</v>
      </c>
      <c r="L287" s="2">
        <v>64.509999999999991</v>
      </c>
      <c r="M287" s="2">
        <v>-37.892526557377067</v>
      </c>
      <c r="O287" s="39">
        <f t="shared" si="19"/>
        <v>43837</v>
      </c>
      <c r="P287" s="41">
        <f t="shared" si="16"/>
        <v>92.424524672131128</v>
      </c>
      <c r="Q287" s="41">
        <f t="shared" si="17"/>
        <v>53.75</v>
      </c>
      <c r="R287" s="41">
        <f t="shared" si="18"/>
        <v>-38.674524672131128</v>
      </c>
    </row>
    <row r="288" spans="10:18">
      <c r="J288" s="46">
        <v>43724</v>
      </c>
      <c r="K288" s="2">
        <v>102.40252655737706</v>
      </c>
      <c r="L288" s="2">
        <v>65.09</v>
      </c>
      <c r="M288" s="2">
        <v>-37.312526557377055</v>
      </c>
      <c r="O288" s="39">
        <f t="shared" si="19"/>
        <v>43836</v>
      </c>
      <c r="P288" s="41">
        <f t="shared" si="16"/>
        <v>92.424524672131128</v>
      </c>
      <c r="Q288" s="41">
        <f t="shared" si="17"/>
        <v>54.25</v>
      </c>
      <c r="R288" s="41">
        <f t="shared" si="18"/>
        <v>-38.174524672131128</v>
      </c>
    </row>
    <row r="289" spans="10:18">
      <c r="J289" s="46">
        <v>43721</v>
      </c>
      <c r="K289" s="2">
        <v>102.40252655737706</v>
      </c>
      <c r="L289" s="2">
        <v>63.93</v>
      </c>
      <c r="M289" s="2">
        <v>-38.472526557377059</v>
      </c>
      <c r="O289" s="39">
        <f t="shared" si="19"/>
        <v>43835</v>
      </c>
      <c r="P289" s="41">
        <f t="shared" si="16"/>
        <v>92.424524672131128</v>
      </c>
      <c r="Q289" s="41">
        <f t="shared" si="17"/>
        <v>54.07</v>
      </c>
      <c r="R289" s="41">
        <f t="shared" si="18"/>
        <v>-38.354524672131127</v>
      </c>
    </row>
    <row r="290" spans="10:18">
      <c r="J290" s="46">
        <v>43720</v>
      </c>
      <c r="K290" s="2">
        <v>101.87448774590165</v>
      </c>
      <c r="L290" s="2">
        <v>64.08</v>
      </c>
      <c r="M290" s="2">
        <v>-37.794487745901648</v>
      </c>
      <c r="O290" s="39">
        <f t="shared" si="19"/>
        <v>43834</v>
      </c>
      <c r="P290" s="41">
        <f t="shared" si="16"/>
        <v>92.424524672131128</v>
      </c>
      <c r="Q290" s="41">
        <f t="shared" si="17"/>
        <v>54.07</v>
      </c>
      <c r="R290" s="41">
        <f t="shared" si="18"/>
        <v>-38.354524672131127</v>
      </c>
    </row>
    <row r="291" spans="10:18">
      <c r="J291" s="46">
        <v>43719</v>
      </c>
      <c r="K291" s="2">
        <v>101.87448774590165</v>
      </c>
      <c r="L291" s="2">
        <v>64.27000000000001</v>
      </c>
      <c r="M291" s="2">
        <v>-37.604487745901636</v>
      </c>
      <c r="O291" s="39">
        <f t="shared" si="19"/>
        <v>43833</v>
      </c>
      <c r="P291" s="41">
        <f t="shared" si="16"/>
        <v>92.424524672131128</v>
      </c>
      <c r="Q291" s="41">
        <f t="shared" si="17"/>
        <v>54.07</v>
      </c>
      <c r="R291" s="41">
        <f t="shared" si="18"/>
        <v>-38.354524672131127</v>
      </c>
    </row>
    <row r="292" spans="10:18">
      <c r="J292" s="46">
        <v>43718</v>
      </c>
      <c r="K292" s="2">
        <v>101.87448774590165</v>
      </c>
      <c r="L292" s="2">
        <v>63.15</v>
      </c>
      <c r="M292" s="2">
        <v>-38.724487745901648</v>
      </c>
      <c r="O292" s="39">
        <f t="shared" si="19"/>
        <v>43832</v>
      </c>
      <c r="P292" s="41">
        <f t="shared" si="16"/>
        <v>95.053020450819659</v>
      </c>
      <c r="Q292" s="41">
        <f t="shared" si="17"/>
        <v>52.5</v>
      </c>
      <c r="R292" s="41">
        <f t="shared" si="18"/>
        <v>-42.553020450819659</v>
      </c>
    </row>
    <row r="293" spans="10:18">
      <c r="J293" s="46">
        <v>43717</v>
      </c>
      <c r="K293" s="2">
        <v>101.87448774590165</v>
      </c>
      <c r="L293" s="2">
        <v>60.38</v>
      </c>
      <c r="M293" s="2">
        <v>-41.494487745901644</v>
      </c>
      <c r="O293" s="39">
        <f t="shared" si="19"/>
        <v>43831</v>
      </c>
      <c r="P293" s="41">
        <f t="shared" si="16"/>
        <v>95.053020450819659</v>
      </c>
      <c r="Q293" s="41">
        <f t="shared" si="17"/>
        <v>52.5</v>
      </c>
      <c r="R293" s="41">
        <f t="shared" si="18"/>
        <v>-42.553020450819659</v>
      </c>
    </row>
    <row r="294" spans="10:18">
      <c r="J294" s="46">
        <v>43714</v>
      </c>
      <c r="K294" s="2">
        <v>101.87448774590165</v>
      </c>
      <c r="L294" s="2">
        <v>59</v>
      </c>
      <c r="M294" s="2">
        <v>-42.874487745901646</v>
      </c>
      <c r="O294" s="39">
        <f t="shared" si="19"/>
        <v>43830</v>
      </c>
      <c r="P294" s="41">
        <f t="shared" si="16"/>
        <v>95.053020450819659</v>
      </c>
      <c r="Q294" s="41">
        <f t="shared" si="17"/>
        <v>52.5</v>
      </c>
      <c r="R294" s="41">
        <f t="shared" si="18"/>
        <v>-42.553020450819659</v>
      </c>
    </row>
    <row r="295" spans="10:18">
      <c r="J295" s="46">
        <v>43713</v>
      </c>
      <c r="K295" s="2">
        <v>102.10048774590165</v>
      </c>
      <c r="L295" s="2">
        <v>57.39</v>
      </c>
      <c r="M295" s="2">
        <v>-44.710487745901645</v>
      </c>
      <c r="O295" s="39">
        <f t="shared" si="19"/>
        <v>43829</v>
      </c>
      <c r="P295" s="41">
        <f t="shared" si="16"/>
        <v>95.053020450819659</v>
      </c>
      <c r="Q295" s="41">
        <f t="shared" si="17"/>
        <v>53.25</v>
      </c>
      <c r="R295" s="41">
        <f t="shared" si="18"/>
        <v>-41.803020450819659</v>
      </c>
    </row>
    <row r="296" spans="10:18">
      <c r="J296" s="46">
        <v>43712</v>
      </c>
      <c r="K296" s="2">
        <v>102.10048774590165</v>
      </c>
      <c r="L296" s="2">
        <v>58.59</v>
      </c>
      <c r="M296" s="2">
        <v>-43.510487745901642</v>
      </c>
      <c r="O296" s="39">
        <f t="shared" si="19"/>
        <v>43828</v>
      </c>
      <c r="P296" s="41">
        <f t="shared" si="16"/>
        <v>95.053020450819659</v>
      </c>
      <c r="Q296" s="41">
        <f t="shared" si="17"/>
        <v>54.42</v>
      </c>
      <c r="R296" s="41">
        <f t="shared" si="18"/>
        <v>-40.633020450819657</v>
      </c>
    </row>
    <row r="297" spans="10:18">
      <c r="J297" s="46">
        <v>43711</v>
      </c>
      <c r="K297" s="2">
        <v>102.10048774590165</v>
      </c>
      <c r="L297" s="2">
        <v>57.73</v>
      </c>
      <c r="M297" s="2">
        <v>-44.370487745901649</v>
      </c>
      <c r="O297" s="39">
        <f t="shared" si="19"/>
        <v>43827</v>
      </c>
      <c r="P297" s="41">
        <f t="shared" si="16"/>
        <v>95.053020450819659</v>
      </c>
      <c r="Q297" s="41">
        <f t="shared" si="17"/>
        <v>54.42</v>
      </c>
      <c r="R297" s="41">
        <f t="shared" si="18"/>
        <v>-40.633020450819657</v>
      </c>
    </row>
    <row r="298" spans="10:18">
      <c r="J298" s="46">
        <v>43710</v>
      </c>
      <c r="K298" s="2">
        <v>102.10048774590165</v>
      </c>
      <c r="L298" s="2">
        <v>56.11</v>
      </c>
      <c r="M298" s="2">
        <v>-45.990487745901646</v>
      </c>
      <c r="O298" s="39">
        <f t="shared" si="19"/>
        <v>43826</v>
      </c>
      <c r="P298" s="41">
        <f t="shared" si="16"/>
        <v>95.053020450819659</v>
      </c>
      <c r="Q298" s="41">
        <f t="shared" si="17"/>
        <v>54.42</v>
      </c>
      <c r="R298" s="41">
        <f t="shared" si="18"/>
        <v>-40.633020450819657</v>
      </c>
    </row>
    <row r="299" spans="10:18">
      <c r="J299" s="46">
        <v>43707</v>
      </c>
      <c r="K299" s="2">
        <v>102.10048774590165</v>
      </c>
      <c r="L299" s="2">
        <v>50.33</v>
      </c>
      <c r="M299" s="2">
        <v>-51.770487745901647</v>
      </c>
      <c r="O299" s="39">
        <f t="shared" si="19"/>
        <v>43825</v>
      </c>
      <c r="P299" s="41">
        <f t="shared" si="16"/>
        <v>95.053020450819659</v>
      </c>
      <c r="Q299" s="41">
        <f t="shared" si="17"/>
        <v>54.31</v>
      </c>
      <c r="R299" s="41">
        <f t="shared" si="18"/>
        <v>-40.743020450819657</v>
      </c>
    </row>
    <row r="300" spans="10:18">
      <c r="J300" s="46">
        <v>43706</v>
      </c>
      <c r="K300" s="2">
        <v>97.951669590163945</v>
      </c>
      <c r="L300" s="2">
        <v>49.2</v>
      </c>
      <c r="M300" s="2">
        <v>-48.751669590163942</v>
      </c>
      <c r="O300" s="39">
        <f t="shared" si="19"/>
        <v>43824</v>
      </c>
      <c r="P300" s="41">
        <f t="shared" si="16"/>
        <v>95.053020450819659</v>
      </c>
      <c r="Q300" s="41">
        <f t="shared" si="17"/>
        <v>54.31</v>
      </c>
      <c r="R300" s="41">
        <f t="shared" si="18"/>
        <v>-40.743020450819657</v>
      </c>
    </row>
    <row r="301" spans="10:18">
      <c r="J301" s="46">
        <v>43705</v>
      </c>
      <c r="K301" s="2">
        <v>97.951669590163945</v>
      </c>
      <c r="L301" s="2">
        <v>49.39</v>
      </c>
      <c r="M301" s="2">
        <v>-48.561669590163945</v>
      </c>
      <c r="O301" s="39">
        <f t="shared" si="19"/>
        <v>43823</v>
      </c>
      <c r="P301" s="41">
        <f t="shared" si="16"/>
        <v>95.053020450819659</v>
      </c>
      <c r="Q301" s="41">
        <f t="shared" si="17"/>
        <v>54.31</v>
      </c>
      <c r="R301" s="41">
        <f t="shared" si="18"/>
        <v>-40.743020450819657</v>
      </c>
    </row>
    <row r="302" spans="10:18">
      <c r="J302" s="46">
        <v>43704</v>
      </c>
      <c r="K302" s="2">
        <v>97.951669590163945</v>
      </c>
      <c r="L302" s="2">
        <v>50.02</v>
      </c>
      <c r="M302" s="2">
        <v>-47.931669590163942</v>
      </c>
      <c r="O302" s="39">
        <f t="shared" si="19"/>
        <v>43822</v>
      </c>
      <c r="P302" s="41">
        <f t="shared" si="16"/>
        <v>95.053020450819659</v>
      </c>
      <c r="Q302" s="41">
        <f t="shared" si="17"/>
        <v>53.63</v>
      </c>
      <c r="R302" s="41">
        <f t="shared" si="18"/>
        <v>-41.423020450819656</v>
      </c>
    </row>
    <row r="303" spans="10:18">
      <c r="J303" s="46">
        <v>43703</v>
      </c>
      <c r="K303" s="2">
        <v>97.951669590163945</v>
      </c>
      <c r="L303" s="2">
        <v>53.05</v>
      </c>
      <c r="M303" s="2">
        <v>-44.901669590163948</v>
      </c>
      <c r="O303" s="39">
        <f t="shared" si="19"/>
        <v>43821</v>
      </c>
      <c r="P303" s="41">
        <f t="shared" si="16"/>
        <v>95.053020450819659</v>
      </c>
      <c r="Q303" s="41">
        <f t="shared" si="17"/>
        <v>53.5</v>
      </c>
      <c r="R303" s="41">
        <f t="shared" si="18"/>
        <v>-41.553020450819659</v>
      </c>
    </row>
    <row r="304" spans="10:18">
      <c r="J304" s="46">
        <v>43700</v>
      </c>
      <c r="K304" s="2">
        <v>97.951669590163945</v>
      </c>
      <c r="L304" s="2">
        <v>53.05</v>
      </c>
      <c r="M304" s="2">
        <v>-44.901669590163948</v>
      </c>
      <c r="O304" s="39">
        <f t="shared" si="19"/>
        <v>43820</v>
      </c>
      <c r="P304" s="41">
        <f t="shared" si="16"/>
        <v>95.053020450819659</v>
      </c>
      <c r="Q304" s="41">
        <f t="shared" si="17"/>
        <v>53.5</v>
      </c>
      <c r="R304" s="41">
        <f t="shared" si="18"/>
        <v>-41.553020450819659</v>
      </c>
    </row>
    <row r="305" spans="10:18">
      <c r="J305" s="46">
        <v>43699</v>
      </c>
      <c r="K305" s="2">
        <v>99.738389467213096</v>
      </c>
      <c r="L305" s="2">
        <v>53.48</v>
      </c>
      <c r="M305" s="2">
        <v>-46.2583894672131</v>
      </c>
      <c r="O305" s="39">
        <f t="shared" si="19"/>
        <v>43819</v>
      </c>
      <c r="P305" s="41">
        <f t="shared" si="16"/>
        <v>95.053020450819659</v>
      </c>
      <c r="Q305" s="41">
        <f t="shared" si="17"/>
        <v>53.5</v>
      </c>
      <c r="R305" s="41">
        <f t="shared" si="18"/>
        <v>-41.553020450819659</v>
      </c>
    </row>
    <row r="306" spans="10:18">
      <c r="J306" s="46">
        <v>43698</v>
      </c>
      <c r="K306" s="2">
        <v>99.738389467213096</v>
      </c>
      <c r="L306" s="2">
        <v>54.5</v>
      </c>
      <c r="M306" s="2">
        <v>-45.238389467213096</v>
      </c>
      <c r="O306" s="39">
        <f t="shared" si="19"/>
        <v>43818</v>
      </c>
      <c r="P306" s="41">
        <f t="shared" si="16"/>
        <v>96.329248934426218</v>
      </c>
      <c r="Q306" s="41">
        <f t="shared" si="17"/>
        <v>53.8</v>
      </c>
      <c r="R306" s="41">
        <f t="shared" si="18"/>
        <v>-42.529248934426221</v>
      </c>
    </row>
    <row r="307" spans="10:18">
      <c r="J307" s="46">
        <v>43697</v>
      </c>
      <c r="K307" s="2">
        <v>99.738389467213096</v>
      </c>
      <c r="L307" s="2">
        <v>55.33</v>
      </c>
      <c r="M307" s="2">
        <v>-44.408389467213098</v>
      </c>
      <c r="O307" s="39">
        <f t="shared" si="19"/>
        <v>43817</v>
      </c>
      <c r="P307" s="41">
        <f t="shared" si="16"/>
        <v>96.329248934426218</v>
      </c>
      <c r="Q307" s="41">
        <f t="shared" si="17"/>
        <v>53.99</v>
      </c>
      <c r="R307" s="41">
        <f t="shared" si="18"/>
        <v>-42.339248934426216</v>
      </c>
    </row>
    <row r="308" spans="10:18">
      <c r="J308" s="46">
        <v>43696</v>
      </c>
      <c r="K308" s="2">
        <v>99.738389467213096</v>
      </c>
      <c r="L308" s="2">
        <v>56.39</v>
      </c>
      <c r="M308" s="2">
        <v>-43.348389467213096</v>
      </c>
      <c r="O308" s="39">
        <f t="shared" si="19"/>
        <v>43816</v>
      </c>
      <c r="P308" s="41">
        <f t="shared" si="16"/>
        <v>96.329248934426218</v>
      </c>
      <c r="Q308" s="41">
        <f t="shared" si="17"/>
        <v>53.63</v>
      </c>
      <c r="R308" s="41">
        <f t="shared" si="18"/>
        <v>-42.699248934426215</v>
      </c>
    </row>
    <row r="309" spans="10:18">
      <c r="J309" s="46">
        <v>43693</v>
      </c>
      <c r="K309" s="2">
        <v>99.738389467213096</v>
      </c>
      <c r="L309" s="2">
        <v>56.02</v>
      </c>
      <c r="M309" s="2">
        <v>-43.718389467213093</v>
      </c>
      <c r="O309" s="39">
        <f t="shared" si="19"/>
        <v>43815</v>
      </c>
      <c r="P309" s="41">
        <f t="shared" si="16"/>
        <v>96.329248934426218</v>
      </c>
      <c r="Q309" s="41">
        <f t="shared" si="17"/>
        <v>53.81</v>
      </c>
      <c r="R309" s="41">
        <f t="shared" si="18"/>
        <v>-42.519248934426216</v>
      </c>
    </row>
    <row r="310" spans="10:18">
      <c r="J310" s="46">
        <v>43692</v>
      </c>
      <c r="K310" s="2">
        <v>102.31742922131147</v>
      </c>
      <c r="L310" s="2">
        <v>54.81</v>
      </c>
      <c r="M310" s="2">
        <v>-47.507429221311469</v>
      </c>
      <c r="O310" s="39">
        <f t="shared" si="19"/>
        <v>43814</v>
      </c>
      <c r="P310" s="41">
        <f t="shared" si="16"/>
        <v>96.329248934426218</v>
      </c>
      <c r="Q310" s="41">
        <f t="shared" si="17"/>
        <v>54.34</v>
      </c>
      <c r="R310" s="41">
        <f t="shared" si="18"/>
        <v>-41.989248934426215</v>
      </c>
    </row>
    <row r="311" spans="10:18">
      <c r="J311" s="46">
        <v>43691</v>
      </c>
      <c r="K311" s="2">
        <v>102.31742922131147</v>
      </c>
      <c r="L311" s="2">
        <v>56</v>
      </c>
      <c r="M311" s="2">
        <v>-46.317429221311471</v>
      </c>
      <c r="O311" s="39">
        <f t="shared" si="19"/>
        <v>43813</v>
      </c>
      <c r="P311" s="41">
        <f t="shared" si="16"/>
        <v>96.329248934426218</v>
      </c>
      <c r="Q311" s="41">
        <f t="shared" si="17"/>
        <v>54.34</v>
      </c>
      <c r="R311" s="41">
        <f t="shared" si="18"/>
        <v>-41.989248934426215</v>
      </c>
    </row>
    <row r="312" spans="10:18">
      <c r="J312" s="46">
        <v>43690</v>
      </c>
      <c r="K312" s="2">
        <v>102.31742922131147</v>
      </c>
      <c r="L312" s="2">
        <v>56.5</v>
      </c>
      <c r="M312" s="2">
        <v>-45.817429221311471</v>
      </c>
      <c r="O312" s="39">
        <f t="shared" si="19"/>
        <v>43812</v>
      </c>
      <c r="P312" s="41">
        <f t="shared" si="16"/>
        <v>96.329248934426218</v>
      </c>
      <c r="Q312" s="41">
        <f t="shared" si="17"/>
        <v>54.34</v>
      </c>
      <c r="R312" s="41">
        <f t="shared" si="18"/>
        <v>-41.989248934426215</v>
      </c>
    </row>
    <row r="313" spans="10:18">
      <c r="J313" s="46">
        <v>43689</v>
      </c>
      <c r="K313" s="2">
        <v>102.31742922131147</v>
      </c>
      <c r="L313" s="2">
        <v>56.34</v>
      </c>
      <c r="M313" s="2">
        <v>-45.977429221311468</v>
      </c>
      <c r="O313" s="39">
        <f t="shared" si="19"/>
        <v>43811</v>
      </c>
      <c r="P313" s="41">
        <f t="shared" si="16"/>
        <v>97.138592909836063</v>
      </c>
      <c r="Q313" s="41">
        <f t="shared" si="17"/>
        <v>53.83</v>
      </c>
      <c r="R313" s="41">
        <f t="shared" si="18"/>
        <v>-43.308592909836065</v>
      </c>
    </row>
    <row r="314" spans="10:18">
      <c r="J314" s="46">
        <v>43686</v>
      </c>
      <c r="K314" s="2">
        <v>102.31742922131147</v>
      </c>
      <c r="L314" s="2">
        <v>56.35</v>
      </c>
      <c r="M314" s="2">
        <v>-45.96742922131147</v>
      </c>
      <c r="O314" s="39">
        <f t="shared" si="19"/>
        <v>43810</v>
      </c>
      <c r="P314" s="41">
        <f t="shared" si="16"/>
        <v>97.138592909836063</v>
      </c>
      <c r="Q314" s="41">
        <f t="shared" si="17"/>
        <v>55.38</v>
      </c>
      <c r="R314" s="41">
        <f t="shared" si="18"/>
        <v>-41.758592909836061</v>
      </c>
    </row>
    <row r="315" spans="10:18">
      <c r="J315" s="46">
        <v>43685</v>
      </c>
      <c r="K315" s="2">
        <v>102.31742922131147</v>
      </c>
      <c r="L315" s="2">
        <v>56.26</v>
      </c>
      <c r="M315" s="2">
        <v>-46.057429221311473</v>
      </c>
      <c r="O315" s="39">
        <f t="shared" si="19"/>
        <v>43809</v>
      </c>
      <c r="P315" s="41">
        <f t="shared" si="16"/>
        <v>97.138592909836063</v>
      </c>
      <c r="Q315" s="41">
        <f t="shared" si="17"/>
        <v>54.71</v>
      </c>
      <c r="R315" s="41">
        <f t="shared" si="18"/>
        <v>-42.428592909836063</v>
      </c>
    </row>
    <row r="316" spans="10:18">
      <c r="J316" s="46">
        <v>43684</v>
      </c>
      <c r="K316" s="2">
        <v>102.31742922131147</v>
      </c>
      <c r="L316" s="2">
        <v>56.37</v>
      </c>
      <c r="M316" s="2">
        <v>-45.947429221311474</v>
      </c>
      <c r="O316" s="39">
        <f t="shared" si="19"/>
        <v>43808</v>
      </c>
      <c r="P316" s="41">
        <f t="shared" si="16"/>
        <v>97.138592909836063</v>
      </c>
      <c r="Q316" s="41">
        <f t="shared" si="17"/>
        <v>55.18</v>
      </c>
      <c r="R316" s="41">
        <f t="shared" si="18"/>
        <v>-41.958592909836064</v>
      </c>
    </row>
    <row r="317" spans="10:18">
      <c r="J317" s="46">
        <v>43683</v>
      </c>
      <c r="K317" s="2">
        <v>102.31742922131147</v>
      </c>
      <c r="L317" s="2">
        <v>56.03</v>
      </c>
      <c r="M317" s="2">
        <v>-46.28742922131147</v>
      </c>
      <c r="O317" s="39">
        <f t="shared" si="19"/>
        <v>43807</v>
      </c>
      <c r="P317" s="41">
        <f t="shared" si="16"/>
        <v>97.138592909836063</v>
      </c>
      <c r="Q317" s="41">
        <f t="shared" si="17"/>
        <v>56.26</v>
      </c>
      <c r="R317" s="41">
        <f t="shared" si="18"/>
        <v>-40.878592909836065</v>
      </c>
    </row>
    <row r="318" spans="10:18">
      <c r="J318" s="46">
        <v>43682</v>
      </c>
      <c r="K318" s="2">
        <v>102.31742922131147</v>
      </c>
      <c r="L318" s="2">
        <v>57.47</v>
      </c>
      <c r="M318" s="2">
        <v>-44.847429221311472</v>
      </c>
      <c r="O318" s="39">
        <f t="shared" si="19"/>
        <v>43806</v>
      </c>
      <c r="P318" s="41">
        <f t="shared" si="16"/>
        <v>97.138592909836063</v>
      </c>
      <c r="Q318" s="41">
        <f t="shared" si="17"/>
        <v>56.26</v>
      </c>
      <c r="R318" s="41">
        <f t="shared" si="18"/>
        <v>-40.878592909836065</v>
      </c>
    </row>
    <row r="319" spans="10:18">
      <c r="J319" s="46">
        <v>43679</v>
      </c>
      <c r="K319" s="2">
        <v>102.31742922131147</v>
      </c>
      <c r="L319" s="2">
        <v>58.59</v>
      </c>
      <c r="M319" s="2">
        <v>-43.727429221311468</v>
      </c>
      <c r="O319" s="39">
        <f t="shared" si="19"/>
        <v>43805</v>
      </c>
      <c r="P319" s="41">
        <f t="shared" si="16"/>
        <v>97.138592909836063</v>
      </c>
      <c r="Q319" s="41">
        <f t="shared" si="17"/>
        <v>56.26</v>
      </c>
      <c r="R319" s="41">
        <f t="shared" si="18"/>
        <v>-40.878592909836065</v>
      </c>
    </row>
    <row r="320" spans="10:18">
      <c r="J320" s="46">
        <v>43678</v>
      </c>
      <c r="K320" s="2">
        <v>102.15258352459016</v>
      </c>
      <c r="L320" s="2">
        <v>60</v>
      </c>
      <c r="M320" s="2">
        <v>-42.152583524590156</v>
      </c>
      <c r="O320" s="39">
        <f t="shared" si="19"/>
        <v>43804</v>
      </c>
      <c r="P320" s="41">
        <f t="shared" si="16"/>
        <v>97.500192909836059</v>
      </c>
      <c r="Q320" s="41">
        <f t="shared" si="17"/>
        <v>57.39</v>
      </c>
      <c r="R320" s="41">
        <f t="shared" si="18"/>
        <v>-40.110192909836059</v>
      </c>
    </row>
    <row r="321" spans="10:18">
      <c r="J321" s="46">
        <v>43677</v>
      </c>
      <c r="K321" s="2">
        <v>102.15258352459016</v>
      </c>
      <c r="L321" s="2">
        <v>59.36</v>
      </c>
      <c r="M321" s="2">
        <v>-42.792583524590157</v>
      </c>
      <c r="O321" s="39">
        <f t="shared" si="19"/>
        <v>43803</v>
      </c>
      <c r="P321" s="41">
        <f t="shared" si="16"/>
        <v>97.500192909836059</v>
      </c>
      <c r="Q321" s="41">
        <f t="shared" si="17"/>
        <v>55.96</v>
      </c>
      <c r="R321" s="41">
        <f t="shared" si="18"/>
        <v>-41.540192909836058</v>
      </c>
    </row>
    <row r="322" spans="10:18">
      <c r="J322" s="46">
        <v>43676</v>
      </c>
      <c r="K322" s="2">
        <v>102.15258352459016</v>
      </c>
      <c r="L322" s="2">
        <v>59.65</v>
      </c>
      <c r="M322" s="2">
        <v>-42.502583524590158</v>
      </c>
      <c r="O322" s="39">
        <f t="shared" si="19"/>
        <v>43802</v>
      </c>
      <c r="P322" s="41">
        <f t="shared" si="16"/>
        <v>97.500192909836059</v>
      </c>
      <c r="Q322" s="41">
        <f t="shared" si="17"/>
        <v>58.83</v>
      </c>
      <c r="R322" s="41">
        <f t="shared" si="18"/>
        <v>-38.670192909836061</v>
      </c>
    </row>
    <row r="323" spans="10:18">
      <c r="J323" s="46">
        <v>43675</v>
      </c>
      <c r="K323" s="2">
        <v>102.15258352459016</v>
      </c>
      <c r="L323" s="2">
        <v>60.95</v>
      </c>
      <c r="M323" s="2">
        <v>-41.202583524590153</v>
      </c>
      <c r="O323" s="39">
        <f t="shared" si="19"/>
        <v>43801</v>
      </c>
      <c r="P323" s="41">
        <f t="shared" si="16"/>
        <v>97.500192909836059</v>
      </c>
      <c r="Q323" s="41">
        <f t="shared" si="17"/>
        <v>59.5</v>
      </c>
      <c r="R323" s="41">
        <f t="shared" si="18"/>
        <v>-38.000192909836059</v>
      </c>
    </row>
    <row r="324" spans="10:18">
      <c r="J324" s="46">
        <v>43672</v>
      </c>
      <c r="K324" s="2">
        <v>102.15258352459016</v>
      </c>
      <c r="L324" s="2">
        <v>61.72</v>
      </c>
      <c r="M324" s="2">
        <v>-40.432583524590157</v>
      </c>
      <c r="O324" s="39">
        <f t="shared" si="19"/>
        <v>43800</v>
      </c>
      <c r="P324" s="41">
        <f t="shared" si="16"/>
        <v>97.500192909836059</v>
      </c>
      <c r="Q324" s="41">
        <f t="shared" si="17"/>
        <v>58.7</v>
      </c>
      <c r="R324" s="41">
        <f t="shared" si="18"/>
        <v>-38.800192909836056</v>
      </c>
    </row>
    <row r="325" spans="10:18">
      <c r="J325" s="46">
        <v>43671</v>
      </c>
      <c r="K325" s="2">
        <v>104.32218352459016</v>
      </c>
      <c r="L325" s="2">
        <v>62.24</v>
      </c>
      <c r="M325" s="2">
        <v>-42.082183524590157</v>
      </c>
      <c r="O325" s="39">
        <f t="shared" si="19"/>
        <v>43799</v>
      </c>
      <c r="P325" s="41">
        <f t="shared" si="16"/>
        <v>97.500192909836059</v>
      </c>
      <c r="Q325" s="41">
        <f t="shared" si="17"/>
        <v>58.7</v>
      </c>
      <c r="R325" s="41">
        <f t="shared" si="18"/>
        <v>-38.800192909836056</v>
      </c>
    </row>
    <row r="326" spans="10:18">
      <c r="J326" s="46">
        <v>43670</v>
      </c>
      <c r="K326" s="2">
        <v>104.32218352459016</v>
      </c>
      <c r="L326" s="2">
        <v>63.06</v>
      </c>
      <c r="M326" s="2">
        <v>-41.262183524590156</v>
      </c>
      <c r="O326" s="39">
        <f t="shared" si="19"/>
        <v>43798</v>
      </c>
      <c r="P326" s="41">
        <f t="shared" ref="P326:P389" si="20">IFERROR(VLOOKUP($O326,$J$5:$M$403,2,FALSE),P327)</f>
        <v>97.500192909836059</v>
      </c>
      <c r="Q326" s="41">
        <f t="shared" ref="Q326:Q389" si="21">IFERROR(VLOOKUP($O326,$J$5:$M$403,3,FALSE),Q327)</f>
        <v>58.7</v>
      </c>
      <c r="R326" s="41">
        <f t="shared" ref="R326:R389" si="22">IFERROR(VLOOKUP($O326,$J$5:$M$403,4,FALSE),R327)</f>
        <v>-38.800192909836056</v>
      </c>
    </row>
    <row r="327" spans="10:18">
      <c r="J327" s="46">
        <v>43669</v>
      </c>
      <c r="K327" s="2">
        <v>104.32218352459016</v>
      </c>
      <c r="L327" s="2">
        <v>62.6</v>
      </c>
      <c r="M327" s="2">
        <v>-41.722183524590157</v>
      </c>
      <c r="O327" s="39">
        <f t="shared" ref="O327:O390" si="23">O326-1</f>
        <v>43797</v>
      </c>
      <c r="P327" s="41">
        <f t="shared" si="20"/>
        <v>96.144192909836065</v>
      </c>
      <c r="Q327" s="41">
        <f t="shared" si="21"/>
        <v>58.82</v>
      </c>
      <c r="R327" s="41">
        <f t="shared" si="22"/>
        <v>-37.324192909836064</v>
      </c>
    </row>
    <row r="328" spans="10:18">
      <c r="J328" s="46">
        <v>43668</v>
      </c>
      <c r="K328" s="2">
        <v>104.32218352459016</v>
      </c>
      <c r="L328" s="2">
        <v>62.98</v>
      </c>
      <c r="M328" s="2">
        <v>-41.342183524590162</v>
      </c>
      <c r="O328" s="39">
        <f t="shared" si="23"/>
        <v>43796</v>
      </c>
      <c r="P328" s="41">
        <f t="shared" si="20"/>
        <v>96.144192909836065</v>
      </c>
      <c r="Q328" s="41">
        <f t="shared" si="21"/>
        <v>59.5</v>
      </c>
      <c r="R328" s="41">
        <f t="shared" si="22"/>
        <v>-36.644192909836065</v>
      </c>
    </row>
    <row r="329" spans="10:18">
      <c r="J329" s="46">
        <v>43665</v>
      </c>
      <c r="K329" s="2">
        <v>104.32218352459016</v>
      </c>
      <c r="L329" s="2">
        <v>61.64</v>
      </c>
      <c r="M329" s="2">
        <v>-42.682183524590158</v>
      </c>
      <c r="O329" s="39">
        <f t="shared" si="23"/>
        <v>43795</v>
      </c>
      <c r="P329" s="41">
        <f t="shared" si="20"/>
        <v>96.144192909836065</v>
      </c>
      <c r="Q329" s="41">
        <f t="shared" si="21"/>
        <v>59.75</v>
      </c>
      <c r="R329" s="41">
        <f t="shared" si="22"/>
        <v>-36.394192909836065</v>
      </c>
    </row>
    <row r="330" spans="10:18">
      <c r="J330" s="46">
        <v>43664</v>
      </c>
      <c r="K330" s="2">
        <v>94.319738442622949</v>
      </c>
      <c r="L330" s="2">
        <v>60.63</v>
      </c>
      <c r="M330" s="2">
        <v>-33.689738442622946</v>
      </c>
      <c r="O330" s="39">
        <f t="shared" si="23"/>
        <v>43794</v>
      </c>
      <c r="P330" s="41">
        <f t="shared" si="20"/>
        <v>96.144192909836065</v>
      </c>
      <c r="Q330" s="41">
        <f t="shared" si="21"/>
        <v>60.39</v>
      </c>
      <c r="R330" s="41">
        <f t="shared" si="22"/>
        <v>-35.754192909836064</v>
      </c>
    </row>
    <row r="331" spans="10:18">
      <c r="J331" s="46">
        <v>43663</v>
      </c>
      <c r="K331" s="2">
        <v>94.319738442622949</v>
      </c>
      <c r="L331" s="2">
        <v>59.32</v>
      </c>
      <c r="M331" s="2">
        <v>-34.999738442622949</v>
      </c>
      <c r="O331" s="39">
        <f t="shared" si="23"/>
        <v>43793</v>
      </c>
      <c r="P331" s="41">
        <f t="shared" si="20"/>
        <v>96.144192909836065</v>
      </c>
      <c r="Q331" s="41">
        <f t="shared" si="21"/>
        <v>59.61</v>
      </c>
      <c r="R331" s="41">
        <f t="shared" si="22"/>
        <v>-36.534192909836065</v>
      </c>
    </row>
    <row r="332" spans="10:18">
      <c r="J332" s="46">
        <v>43662</v>
      </c>
      <c r="K332" s="2">
        <v>94.319738442622949</v>
      </c>
      <c r="L332" s="2">
        <v>59.16</v>
      </c>
      <c r="M332" s="2">
        <v>-35.159738442622952</v>
      </c>
      <c r="O332" s="39">
        <f t="shared" si="23"/>
        <v>43792</v>
      </c>
      <c r="P332" s="41">
        <f t="shared" si="20"/>
        <v>96.144192909836065</v>
      </c>
      <c r="Q332" s="41">
        <f t="shared" si="21"/>
        <v>59.61</v>
      </c>
      <c r="R332" s="41">
        <f t="shared" si="22"/>
        <v>-36.534192909836065</v>
      </c>
    </row>
    <row r="333" spans="10:18">
      <c r="J333" s="46">
        <v>43661</v>
      </c>
      <c r="K333" s="2">
        <v>94.319738442622949</v>
      </c>
      <c r="L333" s="2">
        <v>60.94</v>
      </c>
      <c r="M333" s="2">
        <v>-33.379738442622951</v>
      </c>
      <c r="O333" s="39">
        <f t="shared" si="23"/>
        <v>43791</v>
      </c>
      <c r="P333" s="41">
        <f t="shared" si="20"/>
        <v>96.144192909836065</v>
      </c>
      <c r="Q333" s="41">
        <f t="shared" si="21"/>
        <v>59.61</v>
      </c>
      <c r="R333" s="41">
        <f t="shared" si="22"/>
        <v>-36.534192909836065</v>
      </c>
    </row>
    <row r="334" spans="10:18">
      <c r="J334" s="46">
        <v>43658</v>
      </c>
      <c r="K334" s="2">
        <v>94.319738442622949</v>
      </c>
      <c r="L334" s="2">
        <v>60.9</v>
      </c>
      <c r="M334" s="2">
        <v>-33.41973844262295</v>
      </c>
      <c r="O334" s="39">
        <f t="shared" si="23"/>
        <v>43790</v>
      </c>
      <c r="P334" s="41">
        <f t="shared" si="20"/>
        <v>101.20923266393443</v>
      </c>
      <c r="Q334" s="41">
        <f t="shared" si="21"/>
        <v>56.33</v>
      </c>
      <c r="R334" s="41">
        <f t="shared" si="22"/>
        <v>-44.879232663934431</v>
      </c>
    </row>
    <row r="335" spans="10:18">
      <c r="J335" s="46">
        <v>43657</v>
      </c>
      <c r="K335" s="2">
        <v>97.134883360655735</v>
      </c>
      <c r="L335" s="2">
        <v>61.09</v>
      </c>
      <c r="M335" s="2">
        <v>-36.044883360655732</v>
      </c>
      <c r="O335" s="39">
        <f t="shared" si="23"/>
        <v>43789</v>
      </c>
      <c r="P335" s="41">
        <f t="shared" si="20"/>
        <v>101.20923266393443</v>
      </c>
      <c r="Q335" s="41">
        <f t="shared" si="21"/>
        <v>56.91</v>
      </c>
      <c r="R335" s="41">
        <f t="shared" si="22"/>
        <v>-44.299232663934433</v>
      </c>
    </row>
    <row r="336" spans="10:18">
      <c r="J336" s="46">
        <v>43656</v>
      </c>
      <c r="K336" s="2">
        <v>97.134883360655735</v>
      </c>
      <c r="L336" s="2">
        <v>58.99</v>
      </c>
      <c r="M336" s="2">
        <v>-38.144883360655733</v>
      </c>
      <c r="O336" s="39">
        <f t="shared" si="23"/>
        <v>43788</v>
      </c>
      <c r="P336" s="41">
        <f t="shared" si="20"/>
        <v>101.20923266393443</v>
      </c>
      <c r="Q336" s="41">
        <f t="shared" si="21"/>
        <v>56.09</v>
      </c>
      <c r="R336" s="41">
        <f t="shared" si="22"/>
        <v>-45.119232663934426</v>
      </c>
    </row>
    <row r="337" spans="10:18">
      <c r="J337" s="46">
        <v>43655</v>
      </c>
      <c r="K337" s="2">
        <v>97.134883360655735</v>
      </c>
      <c r="L337" s="2">
        <v>58.82</v>
      </c>
      <c r="M337" s="2">
        <v>-38.314883360655735</v>
      </c>
      <c r="O337" s="39">
        <f t="shared" si="23"/>
        <v>43787</v>
      </c>
      <c r="P337" s="41">
        <f t="shared" si="20"/>
        <v>101.20923266393443</v>
      </c>
      <c r="Q337" s="41">
        <f t="shared" si="21"/>
        <v>56.22</v>
      </c>
      <c r="R337" s="41">
        <f t="shared" si="22"/>
        <v>-44.98923266393443</v>
      </c>
    </row>
    <row r="338" spans="10:18">
      <c r="J338" s="46">
        <v>43654</v>
      </c>
      <c r="K338" s="2">
        <v>97.134883360655735</v>
      </c>
      <c r="L338" s="2">
        <v>60.41</v>
      </c>
      <c r="M338" s="2">
        <v>-36.724883360655738</v>
      </c>
      <c r="O338" s="39">
        <f t="shared" si="23"/>
        <v>43786</v>
      </c>
      <c r="P338" s="41">
        <f t="shared" si="20"/>
        <v>101.20923266393443</v>
      </c>
      <c r="Q338" s="41">
        <f t="shared" si="21"/>
        <v>56.55</v>
      </c>
      <c r="R338" s="41">
        <f t="shared" si="22"/>
        <v>-44.659232663934432</v>
      </c>
    </row>
    <row r="339" spans="10:18">
      <c r="J339" s="46">
        <v>43651</v>
      </c>
      <c r="K339" s="2">
        <v>97.134883360655735</v>
      </c>
      <c r="L339" s="2">
        <v>58.55</v>
      </c>
      <c r="M339" s="2">
        <v>-38.584883360655738</v>
      </c>
      <c r="O339" s="39">
        <f t="shared" si="23"/>
        <v>43785</v>
      </c>
      <c r="P339" s="41">
        <f t="shared" si="20"/>
        <v>101.20923266393443</v>
      </c>
      <c r="Q339" s="41">
        <f t="shared" si="21"/>
        <v>56.55</v>
      </c>
      <c r="R339" s="41">
        <f t="shared" si="22"/>
        <v>-44.659232663934432</v>
      </c>
    </row>
    <row r="340" spans="10:18">
      <c r="J340" s="46">
        <v>43650</v>
      </c>
      <c r="K340" s="2">
        <v>95.290723360655733</v>
      </c>
      <c r="L340" s="2">
        <v>55.05</v>
      </c>
      <c r="M340" s="2">
        <v>-40.240723360655736</v>
      </c>
      <c r="O340" s="39">
        <f t="shared" si="23"/>
        <v>43784</v>
      </c>
      <c r="P340" s="41">
        <f t="shared" si="20"/>
        <v>101.20923266393443</v>
      </c>
      <c r="Q340" s="41">
        <f t="shared" si="21"/>
        <v>56.55</v>
      </c>
      <c r="R340" s="41">
        <f t="shared" si="22"/>
        <v>-44.659232663934432</v>
      </c>
    </row>
    <row r="341" spans="10:18">
      <c r="J341" s="46">
        <v>43649</v>
      </c>
      <c r="K341" s="2">
        <v>95.290723360655733</v>
      </c>
      <c r="L341" s="2">
        <v>53.98</v>
      </c>
      <c r="M341" s="2">
        <v>-41.310723360655736</v>
      </c>
      <c r="O341" s="39">
        <f t="shared" si="23"/>
        <v>43783</v>
      </c>
      <c r="P341" s="41">
        <f t="shared" si="20"/>
        <v>101.20923266393443</v>
      </c>
      <c r="Q341" s="41">
        <f t="shared" si="21"/>
        <v>57.21</v>
      </c>
      <c r="R341" s="41">
        <f t="shared" si="22"/>
        <v>-43.999232663934428</v>
      </c>
    </row>
    <row r="342" spans="10:18">
      <c r="J342" s="46">
        <v>43648</v>
      </c>
      <c r="K342" s="2">
        <v>95.290723360655733</v>
      </c>
      <c r="L342" s="2">
        <v>52.44</v>
      </c>
      <c r="M342" s="2">
        <v>-42.850723360655735</v>
      </c>
      <c r="O342" s="39">
        <f t="shared" si="23"/>
        <v>43782</v>
      </c>
      <c r="P342" s="41">
        <f t="shared" si="20"/>
        <v>101.20923266393443</v>
      </c>
      <c r="Q342" s="41">
        <f t="shared" si="21"/>
        <v>55.65</v>
      </c>
      <c r="R342" s="41">
        <f t="shared" si="22"/>
        <v>-45.559232663934431</v>
      </c>
    </row>
    <row r="343" spans="10:18">
      <c r="J343" s="46">
        <v>43647</v>
      </c>
      <c r="K343" s="2">
        <v>95.290723360655733</v>
      </c>
      <c r="L343" s="2">
        <v>52.53</v>
      </c>
      <c r="M343" s="2">
        <v>-42.760723360655732</v>
      </c>
      <c r="O343" s="39">
        <f t="shared" si="23"/>
        <v>43781</v>
      </c>
      <c r="P343" s="41">
        <f t="shared" si="20"/>
        <v>101.20923266393443</v>
      </c>
      <c r="Q343" s="41">
        <f t="shared" si="21"/>
        <v>54.03</v>
      </c>
      <c r="R343" s="41">
        <f t="shared" si="22"/>
        <v>-47.179232663934428</v>
      </c>
    </row>
    <row r="344" spans="10:18">
      <c r="J344" s="46">
        <v>43644</v>
      </c>
      <c r="K344" s="2">
        <v>95.290723360655733</v>
      </c>
      <c r="L344" s="2">
        <v>48.08</v>
      </c>
      <c r="M344" s="2">
        <v>-47.210723360655734</v>
      </c>
      <c r="O344" s="39">
        <f t="shared" si="23"/>
        <v>43780</v>
      </c>
      <c r="P344" s="41">
        <f t="shared" si="20"/>
        <v>101.20923266393443</v>
      </c>
      <c r="Q344" s="41">
        <f t="shared" si="21"/>
        <v>55.73</v>
      </c>
      <c r="R344" s="41">
        <f t="shared" si="22"/>
        <v>-45.479232663934432</v>
      </c>
    </row>
    <row r="345" spans="10:18">
      <c r="J345" s="46">
        <v>43643</v>
      </c>
      <c r="K345" s="2">
        <v>93.880483360655731</v>
      </c>
      <c r="L345" s="2">
        <v>48.53</v>
      </c>
      <c r="M345" s="2">
        <v>-45.35048336065573</v>
      </c>
      <c r="O345" s="39">
        <f t="shared" si="23"/>
        <v>43779</v>
      </c>
      <c r="P345" s="41">
        <f t="shared" si="20"/>
        <v>101.20923266393443</v>
      </c>
      <c r="Q345" s="41">
        <f t="shared" si="21"/>
        <v>56.94</v>
      </c>
      <c r="R345" s="41">
        <f t="shared" si="22"/>
        <v>-44.269232663934432</v>
      </c>
    </row>
    <row r="346" spans="10:18">
      <c r="J346" s="46">
        <v>43642</v>
      </c>
      <c r="K346" s="2">
        <v>93.880483360655731</v>
      </c>
      <c r="L346" s="2">
        <v>48.76</v>
      </c>
      <c r="M346" s="2">
        <v>-45.120483360655733</v>
      </c>
      <c r="O346" s="39">
        <f t="shared" si="23"/>
        <v>43778</v>
      </c>
      <c r="P346" s="41">
        <f t="shared" si="20"/>
        <v>101.20923266393443</v>
      </c>
      <c r="Q346" s="41">
        <f t="shared" si="21"/>
        <v>56.94</v>
      </c>
      <c r="R346" s="41">
        <f t="shared" si="22"/>
        <v>-44.269232663934432</v>
      </c>
    </row>
    <row r="347" spans="10:18">
      <c r="J347" s="46">
        <v>43641</v>
      </c>
      <c r="K347" s="2">
        <v>93.880483360655731</v>
      </c>
      <c r="L347" s="2">
        <v>48.73</v>
      </c>
      <c r="M347" s="2">
        <v>-45.150483360655734</v>
      </c>
      <c r="O347" s="39">
        <f t="shared" si="23"/>
        <v>43777</v>
      </c>
      <c r="P347" s="41">
        <f t="shared" si="20"/>
        <v>101.20923266393443</v>
      </c>
      <c r="Q347" s="41">
        <f t="shared" si="21"/>
        <v>56.94</v>
      </c>
      <c r="R347" s="41">
        <f t="shared" si="22"/>
        <v>-44.269232663934432</v>
      </c>
    </row>
    <row r="348" spans="10:18">
      <c r="J348" s="46">
        <v>43640</v>
      </c>
      <c r="K348" s="2">
        <v>93.880483360655731</v>
      </c>
      <c r="L348" s="2">
        <v>49.06</v>
      </c>
      <c r="M348" s="2">
        <v>-44.820483360655729</v>
      </c>
      <c r="O348" s="39">
        <f t="shared" si="23"/>
        <v>43776</v>
      </c>
      <c r="P348" s="41">
        <f t="shared" si="20"/>
        <v>102.52003266393442</v>
      </c>
      <c r="Q348" s="41">
        <f t="shared" si="21"/>
        <v>56.5</v>
      </c>
      <c r="R348" s="41">
        <f t="shared" si="22"/>
        <v>-46.020032663934415</v>
      </c>
    </row>
    <row r="349" spans="10:18">
      <c r="J349" s="46">
        <v>43637</v>
      </c>
      <c r="K349" s="2">
        <v>93.880483360655731</v>
      </c>
      <c r="L349" s="2">
        <v>49.23</v>
      </c>
      <c r="M349" s="2">
        <v>-44.650483360655734</v>
      </c>
      <c r="O349" s="39">
        <f t="shared" si="23"/>
        <v>43775</v>
      </c>
      <c r="P349" s="41">
        <f t="shared" si="20"/>
        <v>102.52003266393442</v>
      </c>
      <c r="Q349" s="41">
        <f t="shared" si="21"/>
        <v>58.03</v>
      </c>
      <c r="R349" s="41">
        <f t="shared" si="22"/>
        <v>-44.490032663934414</v>
      </c>
    </row>
    <row r="350" spans="10:18">
      <c r="J350" s="46">
        <v>43636</v>
      </c>
      <c r="K350" s="2">
        <v>90.150163483606562</v>
      </c>
      <c r="L350" s="2">
        <v>49</v>
      </c>
      <c r="M350" s="2">
        <v>-41.150163483606562</v>
      </c>
      <c r="O350" s="39">
        <f t="shared" si="23"/>
        <v>43774</v>
      </c>
      <c r="P350" s="41">
        <f t="shared" si="20"/>
        <v>102.52003266393442</v>
      </c>
      <c r="Q350" s="41">
        <f t="shared" si="21"/>
        <v>56.51</v>
      </c>
      <c r="R350" s="41">
        <f t="shared" si="22"/>
        <v>-46.010032663934417</v>
      </c>
    </row>
    <row r="351" spans="10:18">
      <c r="J351" s="46">
        <v>43635</v>
      </c>
      <c r="K351" s="2">
        <v>90.150163483606562</v>
      </c>
      <c r="L351" s="2">
        <v>48.26</v>
      </c>
      <c r="M351" s="2">
        <v>-41.890163483606564</v>
      </c>
      <c r="O351" s="39">
        <f t="shared" si="23"/>
        <v>43773</v>
      </c>
      <c r="P351" s="41">
        <f t="shared" si="20"/>
        <v>102.52003266393442</v>
      </c>
      <c r="Q351" s="41">
        <f t="shared" si="21"/>
        <v>56.88</v>
      </c>
      <c r="R351" s="41">
        <f t="shared" si="22"/>
        <v>-45.640032663934413</v>
      </c>
    </row>
    <row r="352" spans="10:18">
      <c r="J352" s="46">
        <v>43634</v>
      </c>
      <c r="K352" s="2">
        <v>90.150163483606562</v>
      </c>
      <c r="L352" s="2">
        <v>49.01</v>
      </c>
      <c r="M352" s="2">
        <v>-41.140163483606564</v>
      </c>
      <c r="O352" s="39">
        <f t="shared" si="23"/>
        <v>43772</v>
      </c>
      <c r="P352" s="41">
        <f t="shared" si="20"/>
        <v>102.52003266393442</v>
      </c>
      <c r="Q352" s="41">
        <f t="shared" si="21"/>
        <v>56.68</v>
      </c>
      <c r="R352" s="41">
        <f t="shared" si="22"/>
        <v>-45.840032663934416</v>
      </c>
    </row>
    <row r="353" spans="10:18">
      <c r="J353" s="46">
        <v>43633</v>
      </c>
      <c r="K353" s="2">
        <v>90.150163483606562</v>
      </c>
      <c r="L353" s="2">
        <v>48.81</v>
      </c>
      <c r="M353" s="2">
        <v>-41.34016348360656</v>
      </c>
      <c r="O353" s="39">
        <f t="shared" si="23"/>
        <v>43771</v>
      </c>
      <c r="P353" s="41">
        <f t="shared" si="20"/>
        <v>102.52003266393442</v>
      </c>
      <c r="Q353" s="41">
        <f t="shared" si="21"/>
        <v>56.68</v>
      </c>
      <c r="R353" s="41">
        <f t="shared" si="22"/>
        <v>-45.840032663934416</v>
      </c>
    </row>
    <row r="354" spans="10:18">
      <c r="J354" s="46">
        <v>43630</v>
      </c>
      <c r="K354" s="2">
        <v>90.150163483606562</v>
      </c>
      <c r="L354" s="2">
        <v>49.45</v>
      </c>
      <c r="M354" s="2">
        <v>-40.700163483606559</v>
      </c>
      <c r="O354" s="39">
        <f t="shared" si="23"/>
        <v>43770</v>
      </c>
      <c r="P354" s="41">
        <f t="shared" si="20"/>
        <v>102.52003266393442</v>
      </c>
      <c r="Q354" s="41">
        <f t="shared" si="21"/>
        <v>56.68</v>
      </c>
      <c r="R354" s="41">
        <f t="shared" si="22"/>
        <v>-45.840032663934416</v>
      </c>
    </row>
    <row r="355" spans="10:18">
      <c r="J355" s="46">
        <v>43629</v>
      </c>
      <c r="K355" s="2">
        <v>90.376163483606561</v>
      </c>
      <c r="L355" s="2">
        <v>49.97</v>
      </c>
      <c r="M355" s="2">
        <v>-40.406163483606562</v>
      </c>
      <c r="O355" s="39">
        <f t="shared" si="23"/>
        <v>43769</v>
      </c>
      <c r="P355" s="41">
        <f t="shared" si="20"/>
        <v>102.52003266393442</v>
      </c>
      <c r="Q355" s="41">
        <f t="shared" si="21"/>
        <v>54.83</v>
      </c>
      <c r="R355" s="41">
        <f t="shared" si="22"/>
        <v>-47.690032663934417</v>
      </c>
    </row>
    <row r="356" spans="10:18">
      <c r="J356" s="46">
        <v>43628</v>
      </c>
      <c r="K356" s="2">
        <v>90.376163483606561</v>
      </c>
      <c r="L356" s="2">
        <v>50.66</v>
      </c>
      <c r="M356" s="2">
        <v>-39.716163483606564</v>
      </c>
      <c r="O356" s="39">
        <f t="shared" si="23"/>
        <v>43768</v>
      </c>
      <c r="P356" s="41">
        <f t="shared" si="20"/>
        <v>102.52003266393442</v>
      </c>
      <c r="Q356" s="41">
        <f t="shared" si="21"/>
        <v>56.95</v>
      </c>
      <c r="R356" s="41">
        <f t="shared" si="22"/>
        <v>-45.570032663934413</v>
      </c>
    </row>
    <row r="357" spans="10:18">
      <c r="J357" s="46">
        <v>43627</v>
      </c>
      <c r="K357" s="2">
        <v>90.376163483606561</v>
      </c>
      <c r="L357" s="2">
        <v>50.97</v>
      </c>
      <c r="M357" s="2">
        <v>-39.406163483606562</v>
      </c>
      <c r="O357" s="39">
        <f t="shared" si="23"/>
        <v>43767</v>
      </c>
      <c r="P357" s="41">
        <f t="shared" si="20"/>
        <v>102.52003266393442</v>
      </c>
      <c r="Q357" s="41">
        <f t="shared" si="21"/>
        <v>56.18</v>
      </c>
      <c r="R357" s="41">
        <f t="shared" si="22"/>
        <v>-46.340032663934416</v>
      </c>
    </row>
    <row r="358" spans="10:18">
      <c r="J358" s="46">
        <v>43626</v>
      </c>
      <c r="K358" s="2">
        <v>90.376163483606561</v>
      </c>
      <c r="L358" s="2">
        <v>51.95</v>
      </c>
      <c r="M358" s="2">
        <v>-38.426163483606558</v>
      </c>
      <c r="O358" s="39">
        <f t="shared" si="23"/>
        <v>43766</v>
      </c>
      <c r="P358" s="41">
        <f t="shared" si="20"/>
        <v>102.52003266393442</v>
      </c>
      <c r="Q358" s="41">
        <f t="shared" si="21"/>
        <v>56.16</v>
      </c>
      <c r="R358" s="41">
        <f t="shared" si="22"/>
        <v>-46.360032663934419</v>
      </c>
    </row>
    <row r="359" spans="10:18">
      <c r="J359" s="46">
        <v>43623</v>
      </c>
      <c r="K359" s="2">
        <v>90.376163483606561</v>
      </c>
      <c r="L359" s="2">
        <v>52.25</v>
      </c>
      <c r="M359" s="2">
        <v>-38.126163483606561</v>
      </c>
      <c r="O359" s="39">
        <f t="shared" si="23"/>
        <v>43765</v>
      </c>
      <c r="P359" s="41">
        <f t="shared" si="20"/>
        <v>102.52003266393442</v>
      </c>
      <c r="Q359" s="41">
        <f t="shared" si="21"/>
        <v>57.23</v>
      </c>
      <c r="R359" s="41">
        <f t="shared" si="22"/>
        <v>-45.290032663934419</v>
      </c>
    </row>
    <row r="360" spans="10:18">
      <c r="J360" s="46">
        <v>43622</v>
      </c>
      <c r="K360" s="2">
        <v>90.376163483606561</v>
      </c>
      <c r="L360" s="2">
        <v>50.75</v>
      </c>
      <c r="M360" s="2">
        <v>-39.626163483606561</v>
      </c>
      <c r="O360" s="39">
        <f t="shared" si="23"/>
        <v>43764</v>
      </c>
      <c r="P360" s="41">
        <f t="shared" si="20"/>
        <v>102.52003266393442</v>
      </c>
      <c r="Q360" s="41">
        <f t="shared" si="21"/>
        <v>57.23</v>
      </c>
      <c r="R360" s="41">
        <f t="shared" si="22"/>
        <v>-45.290032663934419</v>
      </c>
    </row>
    <row r="361" spans="10:18">
      <c r="J361" s="46">
        <v>43621</v>
      </c>
      <c r="K361" s="2">
        <v>90.376163483606561</v>
      </c>
      <c r="L361" s="2">
        <v>51.5</v>
      </c>
      <c r="M361" s="2">
        <v>-38.876163483606561</v>
      </c>
      <c r="O361" s="39">
        <f t="shared" si="23"/>
        <v>43763</v>
      </c>
      <c r="P361" s="41">
        <f t="shared" si="20"/>
        <v>102.52003266393442</v>
      </c>
      <c r="Q361" s="41">
        <f t="shared" si="21"/>
        <v>57.23</v>
      </c>
      <c r="R361" s="41">
        <f t="shared" si="22"/>
        <v>-45.290032663934419</v>
      </c>
    </row>
    <row r="362" spans="10:18">
      <c r="J362" s="46">
        <v>43620</v>
      </c>
      <c r="K362" s="2">
        <v>90.376163483606561</v>
      </c>
      <c r="L362" s="2">
        <v>51.89</v>
      </c>
      <c r="M362" s="2">
        <v>-38.48616348360656</v>
      </c>
      <c r="O362" s="39">
        <f t="shared" si="23"/>
        <v>43762</v>
      </c>
      <c r="P362" s="41">
        <f t="shared" si="20"/>
        <v>101.79683266393442</v>
      </c>
      <c r="Q362" s="41">
        <f t="shared" si="21"/>
        <v>57</v>
      </c>
      <c r="R362" s="41">
        <f t="shared" si="22"/>
        <v>-44.796832663934424</v>
      </c>
    </row>
    <row r="363" spans="10:18">
      <c r="J363" s="46">
        <v>43619</v>
      </c>
      <c r="K363" s="2">
        <v>90.376163483606561</v>
      </c>
      <c r="L363" s="2">
        <v>51.68</v>
      </c>
      <c r="M363" s="2">
        <v>-38.696163483606561</v>
      </c>
      <c r="O363" s="39">
        <f t="shared" si="23"/>
        <v>43761</v>
      </c>
      <c r="P363" s="41">
        <f t="shared" si="20"/>
        <v>101.79683266393442</v>
      </c>
      <c r="Q363" s="41">
        <f t="shared" si="21"/>
        <v>57.23</v>
      </c>
      <c r="R363" s="41">
        <f t="shared" si="22"/>
        <v>-44.566832663934427</v>
      </c>
    </row>
    <row r="364" spans="10:18">
      <c r="J364" s="46">
        <v>43616</v>
      </c>
      <c r="K364" s="2">
        <v>90.376163483606561</v>
      </c>
      <c r="L364" s="2">
        <v>50.45</v>
      </c>
      <c r="M364" s="2">
        <v>-39.926163483606558</v>
      </c>
      <c r="O364" s="39">
        <f t="shared" si="23"/>
        <v>43760</v>
      </c>
      <c r="P364" s="41">
        <f t="shared" si="20"/>
        <v>101.79683266393442</v>
      </c>
      <c r="Q364" s="41">
        <f t="shared" si="21"/>
        <v>58.41</v>
      </c>
      <c r="R364" s="41">
        <f t="shared" si="22"/>
        <v>-43.386832663934428</v>
      </c>
    </row>
    <row r="365" spans="10:18">
      <c r="J365" s="46">
        <v>43615</v>
      </c>
      <c r="K365" s="2">
        <v>90.240563483606564</v>
      </c>
      <c r="L365" s="2">
        <v>51.45</v>
      </c>
      <c r="M365" s="2">
        <v>-38.790563483606562</v>
      </c>
      <c r="O365" s="39">
        <f t="shared" si="23"/>
        <v>43759</v>
      </c>
      <c r="P365" s="41">
        <f t="shared" si="20"/>
        <v>101.79683266393442</v>
      </c>
      <c r="Q365" s="41">
        <f t="shared" si="21"/>
        <v>60.25</v>
      </c>
      <c r="R365" s="41">
        <f t="shared" si="22"/>
        <v>-41.546832663934424</v>
      </c>
    </row>
    <row r="366" spans="10:18">
      <c r="J366" s="46">
        <v>43614</v>
      </c>
      <c r="K366" s="2">
        <v>90.240563483606564</v>
      </c>
      <c r="L366" s="2">
        <v>52.77</v>
      </c>
      <c r="M366" s="2">
        <v>-37.470563483606561</v>
      </c>
      <c r="O366" s="39">
        <f t="shared" si="23"/>
        <v>43758</v>
      </c>
      <c r="P366" s="41">
        <f t="shared" si="20"/>
        <v>101.79683266393442</v>
      </c>
      <c r="Q366" s="41">
        <f t="shared" si="21"/>
        <v>60.38</v>
      </c>
      <c r="R366" s="41">
        <f t="shared" si="22"/>
        <v>-41.416832663934422</v>
      </c>
    </row>
    <row r="367" spans="10:18">
      <c r="J367" s="46">
        <v>43613</v>
      </c>
      <c r="K367" s="2">
        <v>90.240563483606564</v>
      </c>
      <c r="L367" s="2">
        <v>54.31</v>
      </c>
      <c r="M367" s="2">
        <v>-35.930563483606562</v>
      </c>
      <c r="O367" s="39">
        <f t="shared" si="23"/>
        <v>43757</v>
      </c>
      <c r="P367" s="41">
        <f t="shared" si="20"/>
        <v>101.79683266393442</v>
      </c>
      <c r="Q367" s="41">
        <f t="shared" si="21"/>
        <v>60.38</v>
      </c>
      <c r="R367" s="41">
        <f t="shared" si="22"/>
        <v>-41.416832663934422</v>
      </c>
    </row>
    <row r="368" spans="10:18">
      <c r="J368" s="46">
        <v>43612</v>
      </c>
      <c r="K368" s="2">
        <v>90.240563483606564</v>
      </c>
      <c r="L368" s="2">
        <v>55</v>
      </c>
      <c r="M368" s="2">
        <v>-35.240563483606564</v>
      </c>
      <c r="O368" s="39">
        <f t="shared" si="23"/>
        <v>43756</v>
      </c>
      <c r="P368" s="41">
        <f t="shared" si="20"/>
        <v>101.79683266393442</v>
      </c>
      <c r="Q368" s="41">
        <f t="shared" si="21"/>
        <v>60.38</v>
      </c>
      <c r="R368" s="41">
        <f t="shared" si="22"/>
        <v>-41.416832663934422</v>
      </c>
    </row>
    <row r="369" spans="10:18">
      <c r="J369" s="46">
        <v>43609</v>
      </c>
      <c r="K369" s="2">
        <v>90.240563483606564</v>
      </c>
      <c r="L369" s="2">
        <v>55</v>
      </c>
      <c r="M369" s="2">
        <v>-35.240563483606564</v>
      </c>
      <c r="O369" s="39">
        <f t="shared" si="23"/>
        <v>43755</v>
      </c>
      <c r="P369" s="41">
        <f t="shared" si="20"/>
        <v>101.79683266393442</v>
      </c>
      <c r="Q369" s="41">
        <f t="shared" si="21"/>
        <v>60.06</v>
      </c>
      <c r="R369" s="41">
        <f t="shared" si="22"/>
        <v>-41.736832663934422</v>
      </c>
    </row>
    <row r="370" spans="10:18">
      <c r="J370" s="46">
        <v>43608</v>
      </c>
      <c r="K370" s="2">
        <v>95.775673975409845</v>
      </c>
      <c r="L370" s="2">
        <v>56</v>
      </c>
      <c r="M370" s="2">
        <v>-39.775673975409845</v>
      </c>
      <c r="O370" s="39">
        <f t="shared" si="23"/>
        <v>43754</v>
      </c>
      <c r="P370" s="41">
        <f t="shared" si="20"/>
        <v>101.79683266393442</v>
      </c>
      <c r="Q370" s="41">
        <f t="shared" si="21"/>
        <v>60.29</v>
      </c>
      <c r="R370" s="41">
        <f t="shared" si="22"/>
        <v>-41.506832663934425</v>
      </c>
    </row>
    <row r="371" spans="10:18">
      <c r="J371" s="46">
        <v>43607</v>
      </c>
      <c r="K371" s="2">
        <v>95.775673975409845</v>
      </c>
      <c r="L371" s="2">
        <v>57.11</v>
      </c>
      <c r="M371" s="2">
        <v>-38.665673975409845</v>
      </c>
      <c r="O371" s="39">
        <f t="shared" si="23"/>
        <v>43753</v>
      </c>
      <c r="P371" s="41">
        <f t="shared" si="20"/>
        <v>101.79683266393442</v>
      </c>
      <c r="Q371" s="41">
        <f t="shared" si="21"/>
        <v>61.22</v>
      </c>
      <c r="R371" s="41">
        <f t="shared" si="22"/>
        <v>-40.576832663934425</v>
      </c>
    </row>
    <row r="372" spans="10:18">
      <c r="J372" s="46">
        <v>43606</v>
      </c>
      <c r="K372" s="2">
        <v>95.775673975409845</v>
      </c>
      <c r="L372" s="2">
        <v>56.5</v>
      </c>
      <c r="M372" s="2">
        <v>-39.275673975409845</v>
      </c>
      <c r="O372" s="39">
        <f t="shared" si="23"/>
        <v>43752</v>
      </c>
      <c r="P372" s="41">
        <f t="shared" si="20"/>
        <v>101.79683266393442</v>
      </c>
      <c r="Q372" s="41">
        <f t="shared" si="21"/>
        <v>60.29</v>
      </c>
      <c r="R372" s="41">
        <f t="shared" si="22"/>
        <v>-41.506832663934425</v>
      </c>
    </row>
    <row r="373" spans="10:18">
      <c r="J373" s="46">
        <v>43605</v>
      </c>
      <c r="K373" s="2">
        <v>95.775673975409845</v>
      </c>
      <c r="L373" s="2">
        <v>57.91</v>
      </c>
      <c r="M373" s="2">
        <v>-37.865673975409848</v>
      </c>
      <c r="O373" s="39">
        <f t="shared" si="23"/>
        <v>43751</v>
      </c>
      <c r="P373" s="41">
        <f t="shared" si="20"/>
        <v>101.79683266393442</v>
      </c>
      <c r="Q373" s="41">
        <f t="shared" si="21"/>
        <v>60.92</v>
      </c>
      <c r="R373" s="41">
        <f t="shared" si="22"/>
        <v>-40.876832663934422</v>
      </c>
    </row>
    <row r="374" spans="10:18">
      <c r="J374" s="46">
        <v>43602</v>
      </c>
      <c r="K374" s="2">
        <v>95.775673975409845</v>
      </c>
      <c r="L374" s="2">
        <v>58.43</v>
      </c>
      <c r="M374" s="2">
        <v>-37.345673975409845</v>
      </c>
      <c r="O374" s="39">
        <f t="shared" si="23"/>
        <v>43750</v>
      </c>
      <c r="P374" s="41">
        <f t="shared" si="20"/>
        <v>101.79683266393442</v>
      </c>
      <c r="Q374" s="41">
        <f t="shared" si="21"/>
        <v>60.92</v>
      </c>
      <c r="R374" s="41">
        <f t="shared" si="22"/>
        <v>-40.876832663934422</v>
      </c>
    </row>
    <row r="375" spans="10:18">
      <c r="J375" s="46">
        <v>43601</v>
      </c>
      <c r="K375" s="2">
        <v>97.336393852459011</v>
      </c>
      <c r="L375" s="2">
        <v>58.88</v>
      </c>
      <c r="M375" s="2">
        <v>-38.456393852459009</v>
      </c>
      <c r="O375" s="39">
        <f t="shared" si="23"/>
        <v>43749</v>
      </c>
      <c r="P375" s="41">
        <f t="shared" si="20"/>
        <v>101.79683266393442</v>
      </c>
      <c r="Q375" s="41">
        <f t="shared" si="21"/>
        <v>60.92</v>
      </c>
      <c r="R375" s="41">
        <f t="shared" si="22"/>
        <v>-40.876832663934422</v>
      </c>
    </row>
    <row r="376" spans="10:18">
      <c r="J376" s="46">
        <v>43600</v>
      </c>
      <c r="K376" s="2">
        <v>97.336393852459011</v>
      </c>
      <c r="L376" s="2">
        <v>59.19</v>
      </c>
      <c r="M376" s="2">
        <v>-38.146393852459013</v>
      </c>
      <c r="O376" s="39">
        <f t="shared" si="23"/>
        <v>43748</v>
      </c>
      <c r="P376" s="41">
        <f t="shared" si="20"/>
        <v>101.76918008196721</v>
      </c>
      <c r="Q376" s="41">
        <f t="shared" si="21"/>
        <v>61.25</v>
      </c>
      <c r="R376" s="41">
        <f t="shared" si="22"/>
        <v>-40.519180081967207</v>
      </c>
    </row>
    <row r="377" spans="10:18">
      <c r="J377" s="46">
        <v>43599</v>
      </c>
      <c r="K377" s="2">
        <v>97.336393852459011</v>
      </c>
      <c r="L377" s="2">
        <v>59.33</v>
      </c>
      <c r="M377" s="2">
        <v>-38.006393852459013</v>
      </c>
      <c r="O377" s="39">
        <f t="shared" si="23"/>
        <v>43747</v>
      </c>
      <c r="P377" s="41">
        <f t="shared" si="20"/>
        <v>101.76918008196721</v>
      </c>
      <c r="Q377" s="41">
        <f t="shared" si="21"/>
        <v>61.59</v>
      </c>
      <c r="R377" s="41">
        <f t="shared" si="22"/>
        <v>-40.179180081967203</v>
      </c>
    </row>
    <row r="378" spans="10:18">
      <c r="J378" s="46">
        <v>43598</v>
      </c>
      <c r="K378" s="2">
        <v>97.336393852459011</v>
      </c>
      <c r="L378" s="2">
        <v>59.84</v>
      </c>
      <c r="M378" s="2">
        <v>-37.496393852459008</v>
      </c>
      <c r="O378" s="39">
        <f t="shared" si="23"/>
        <v>43746</v>
      </c>
      <c r="P378" s="41">
        <f t="shared" si="20"/>
        <v>101.76918008196721</v>
      </c>
      <c r="Q378" s="41">
        <f t="shared" si="21"/>
        <v>61.18</v>
      </c>
      <c r="R378" s="41">
        <f t="shared" si="22"/>
        <v>-40.589180081967207</v>
      </c>
    </row>
    <row r="379" spans="10:18">
      <c r="J379" s="46">
        <v>43595</v>
      </c>
      <c r="K379" s="2">
        <v>97.336393852459011</v>
      </c>
      <c r="L379" s="2">
        <v>59.84</v>
      </c>
      <c r="M379" s="2">
        <v>-37.496393852459008</v>
      </c>
      <c r="O379" s="39">
        <f t="shared" si="23"/>
        <v>43745</v>
      </c>
      <c r="P379" s="41">
        <f t="shared" si="20"/>
        <v>101.76918008196721</v>
      </c>
      <c r="Q379" s="41">
        <f t="shared" si="21"/>
        <v>60.75</v>
      </c>
      <c r="R379" s="41">
        <f t="shared" si="22"/>
        <v>-41.019180081967207</v>
      </c>
    </row>
    <row r="380" spans="10:18">
      <c r="J380" s="46">
        <v>43594</v>
      </c>
      <c r="K380" s="2">
        <v>99.815998237704918</v>
      </c>
      <c r="L380" s="2">
        <v>60.7</v>
      </c>
      <c r="M380" s="2">
        <v>-39.115998237704915</v>
      </c>
      <c r="O380" s="39">
        <f t="shared" si="23"/>
        <v>43744</v>
      </c>
      <c r="P380" s="41">
        <f t="shared" si="20"/>
        <v>101.76918008196721</v>
      </c>
      <c r="Q380" s="41">
        <f t="shared" si="21"/>
        <v>60.7</v>
      </c>
      <c r="R380" s="41">
        <f t="shared" si="22"/>
        <v>-41.069180081967204</v>
      </c>
    </row>
    <row r="381" spans="10:18">
      <c r="J381" s="46">
        <v>43593</v>
      </c>
      <c r="K381" s="2">
        <v>99.815998237704918</v>
      </c>
      <c r="L381" s="2">
        <v>60.67</v>
      </c>
      <c r="M381" s="2">
        <v>-39.145998237704916</v>
      </c>
      <c r="O381" s="39">
        <f t="shared" si="23"/>
        <v>43743</v>
      </c>
      <c r="P381" s="41">
        <f t="shared" si="20"/>
        <v>101.76918008196721</v>
      </c>
      <c r="Q381" s="41">
        <f t="shared" si="21"/>
        <v>60.7</v>
      </c>
      <c r="R381" s="41">
        <f t="shared" si="22"/>
        <v>-41.069180081967204</v>
      </c>
    </row>
    <row r="382" spans="10:18">
      <c r="J382" s="46">
        <v>43592</v>
      </c>
      <c r="K382" s="2">
        <v>99.815998237704918</v>
      </c>
      <c r="L382" s="2">
        <v>60.11</v>
      </c>
      <c r="M382" s="2">
        <v>-39.705998237704918</v>
      </c>
      <c r="O382" s="39">
        <f t="shared" si="23"/>
        <v>43742</v>
      </c>
      <c r="P382" s="41">
        <f t="shared" si="20"/>
        <v>101.76918008196721</v>
      </c>
      <c r="Q382" s="41">
        <f t="shared" si="21"/>
        <v>60.7</v>
      </c>
      <c r="R382" s="41">
        <f t="shared" si="22"/>
        <v>-41.069180081967204</v>
      </c>
    </row>
    <row r="383" spans="10:18">
      <c r="J383" s="46">
        <v>43591</v>
      </c>
      <c r="K383" s="2">
        <v>99.815998237704918</v>
      </c>
      <c r="L383" s="2">
        <v>60.83</v>
      </c>
      <c r="M383" s="2">
        <v>-38.985998237704919</v>
      </c>
      <c r="O383" s="39">
        <f t="shared" si="23"/>
        <v>43741</v>
      </c>
      <c r="P383" s="41">
        <f t="shared" si="20"/>
        <v>100.59186364754098</v>
      </c>
      <c r="Q383" s="41">
        <f t="shared" si="21"/>
        <v>60.95</v>
      </c>
      <c r="R383" s="41">
        <f t="shared" si="22"/>
        <v>-39.641863647540973</v>
      </c>
    </row>
    <row r="384" spans="10:18">
      <c r="J384" s="46">
        <v>43588</v>
      </c>
      <c r="K384" s="2">
        <v>99.815998237704918</v>
      </c>
      <c r="L384" s="2">
        <v>60.83</v>
      </c>
      <c r="M384" s="2">
        <v>-38.985998237704919</v>
      </c>
      <c r="O384" s="39">
        <f t="shared" si="23"/>
        <v>43740</v>
      </c>
      <c r="P384" s="41">
        <f t="shared" si="20"/>
        <v>100.59186364754098</v>
      </c>
      <c r="Q384" s="41">
        <f t="shared" si="21"/>
        <v>60.84</v>
      </c>
      <c r="R384" s="41">
        <f t="shared" si="22"/>
        <v>-39.751863647540972</v>
      </c>
    </row>
    <row r="385" spans="10:18">
      <c r="J385" s="46">
        <v>43587</v>
      </c>
      <c r="K385" s="2">
        <v>101.6027181147541</v>
      </c>
      <c r="L385" s="2">
        <v>59</v>
      </c>
      <c r="M385" s="2">
        <v>-42.602718114754097</v>
      </c>
      <c r="O385" s="39">
        <f t="shared" si="23"/>
        <v>43739</v>
      </c>
      <c r="P385" s="41">
        <f t="shared" si="20"/>
        <v>100.59186364754098</v>
      </c>
      <c r="Q385" s="41">
        <f t="shared" si="21"/>
        <v>60.9</v>
      </c>
      <c r="R385" s="41">
        <f t="shared" si="22"/>
        <v>-39.691863647540977</v>
      </c>
    </row>
    <row r="386" spans="10:18">
      <c r="J386" s="46">
        <v>43586</v>
      </c>
      <c r="K386" s="2">
        <v>101.6027181147541</v>
      </c>
      <c r="L386" s="2">
        <v>58.32</v>
      </c>
      <c r="M386" s="2">
        <v>-43.282718114754097</v>
      </c>
      <c r="O386" s="39">
        <f t="shared" si="23"/>
        <v>43738</v>
      </c>
      <c r="P386" s="41">
        <f t="shared" si="20"/>
        <v>100.59186364754098</v>
      </c>
      <c r="Q386" s="41">
        <f t="shared" si="21"/>
        <v>60.8</v>
      </c>
      <c r="R386" s="41">
        <f t="shared" si="22"/>
        <v>-39.791863647540978</v>
      </c>
    </row>
    <row r="387" spans="10:18">
      <c r="J387" s="46">
        <v>43585</v>
      </c>
      <c r="K387" s="2">
        <v>101.6027181147541</v>
      </c>
      <c r="L387" s="2">
        <v>58.24</v>
      </c>
      <c r="M387" s="2">
        <v>-43.362718114754095</v>
      </c>
      <c r="O387" s="39">
        <f t="shared" si="23"/>
        <v>43737</v>
      </c>
      <c r="P387" s="41">
        <f t="shared" si="20"/>
        <v>100.59186364754098</v>
      </c>
      <c r="Q387" s="41">
        <f t="shared" si="21"/>
        <v>59.49</v>
      </c>
      <c r="R387" s="41">
        <f t="shared" si="22"/>
        <v>-41.101863647540974</v>
      </c>
    </row>
    <row r="388" spans="10:18">
      <c r="J388" s="46">
        <v>43584</v>
      </c>
      <c r="K388" s="2">
        <v>101.6027181147541</v>
      </c>
      <c r="L388" s="2">
        <v>59.13</v>
      </c>
      <c r="M388" s="2">
        <v>-42.472718114754095</v>
      </c>
      <c r="O388" s="39">
        <f t="shared" si="23"/>
        <v>43736</v>
      </c>
      <c r="P388" s="41">
        <f t="shared" si="20"/>
        <v>100.59186364754098</v>
      </c>
      <c r="Q388" s="41">
        <f t="shared" si="21"/>
        <v>59.49</v>
      </c>
      <c r="R388" s="41">
        <f t="shared" si="22"/>
        <v>-41.101863647540974</v>
      </c>
    </row>
    <row r="389" spans="10:18">
      <c r="J389" s="46">
        <v>43581</v>
      </c>
      <c r="K389" s="2">
        <v>101.6027181147541</v>
      </c>
      <c r="L389" s="2">
        <v>58.94</v>
      </c>
      <c r="M389" s="2">
        <v>-42.662718114754099</v>
      </c>
      <c r="O389" s="39">
        <f t="shared" si="23"/>
        <v>43735</v>
      </c>
      <c r="P389" s="41">
        <f t="shared" si="20"/>
        <v>100.59186364754098</v>
      </c>
      <c r="Q389" s="41">
        <f t="shared" si="21"/>
        <v>59.49</v>
      </c>
      <c r="R389" s="41">
        <f t="shared" si="22"/>
        <v>-41.101863647540974</v>
      </c>
    </row>
    <row r="390" spans="10:18">
      <c r="J390" s="46">
        <v>43580</v>
      </c>
      <c r="K390" s="2">
        <v>102.66623799180327</v>
      </c>
      <c r="L390" s="2">
        <v>58.66</v>
      </c>
      <c r="M390" s="2">
        <v>-44.006237991803275</v>
      </c>
      <c r="O390" s="39">
        <f t="shared" si="23"/>
        <v>43734</v>
      </c>
      <c r="P390" s="41">
        <f t="shared" ref="P390:P453" si="24">IFERROR(VLOOKUP($O390,$J$5:$M$403,2,FALSE),P391)</f>
        <v>102.76412655737704</v>
      </c>
      <c r="Q390" s="41">
        <f t="shared" ref="Q390:Q453" si="25">IFERROR(VLOOKUP($O390,$J$5:$M$403,3,FALSE),Q391)</f>
        <v>59.35</v>
      </c>
      <c r="R390" s="41">
        <f t="shared" ref="R390:R453" si="26">IFERROR(VLOOKUP($O390,$J$5:$M$403,4,FALSE),R391)</f>
        <v>-43.414126557377038</v>
      </c>
    </row>
    <row r="391" spans="10:18">
      <c r="J391" s="46">
        <v>43579</v>
      </c>
      <c r="K391" s="2">
        <v>102.66623799180327</v>
      </c>
      <c r="L391" s="2">
        <v>60.52</v>
      </c>
      <c r="M391" s="2">
        <v>-42.146237991803268</v>
      </c>
      <c r="O391" s="39">
        <f t="shared" ref="O391:O454" si="27">O390-1</f>
        <v>43733</v>
      </c>
      <c r="P391" s="41">
        <f t="shared" si="24"/>
        <v>102.76412655737704</v>
      </c>
      <c r="Q391" s="41">
        <f t="shared" si="25"/>
        <v>59.43</v>
      </c>
      <c r="R391" s="41">
        <f t="shared" si="26"/>
        <v>-43.33412655737704</v>
      </c>
    </row>
    <row r="392" spans="10:18">
      <c r="J392" s="46">
        <v>43578</v>
      </c>
      <c r="K392" s="2">
        <v>102.66623799180327</v>
      </c>
      <c r="L392" s="2">
        <v>61.27</v>
      </c>
      <c r="M392" s="2">
        <v>-41.396237991803268</v>
      </c>
      <c r="O392" s="39">
        <f t="shared" si="27"/>
        <v>43732</v>
      </c>
      <c r="P392" s="41">
        <f t="shared" si="24"/>
        <v>102.76412655737704</v>
      </c>
      <c r="Q392" s="41">
        <f t="shared" si="25"/>
        <v>61.28</v>
      </c>
      <c r="R392" s="41">
        <f t="shared" si="26"/>
        <v>-41.484126557377039</v>
      </c>
    </row>
    <row r="393" spans="10:18">
      <c r="J393" s="46">
        <v>43577</v>
      </c>
      <c r="K393" s="2">
        <v>102.66623799180327</v>
      </c>
      <c r="L393" s="2">
        <v>60.83</v>
      </c>
      <c r="M393" s="2">
        <v>-41.836237991803273</v>
      </c>
      <c r="O393" s="39">
        <f t="shared" si="27"/>
        <v>43731</v>
      </c>
      <c r="P393" s="41">
        <f t="shared" si="24"/>
        <v>102.76412655737704</v>
      </c>
      <c r="Q393" s="41">
        <f t="shared" si="25"/>
        <v>62.82</v>
      </c>
      <c r="R393" s="41">
        <f t="shared" si="26"/>
        <v>-39.944126557377039</v>
      </c>
    </row>
    <row r="394" spans="10:18">
      <c r="J394" s="46">
        <v>43574</v>
      </c>
      <c r="K394" s="2">
        <v>102.66623799180327</v>
      </c>
      <c r="L394" s="2">
        <v>60.83</v>
      </c>
      <c r="M394" s="2">
        <v>-41.836237991803273</v>
      </c>
      <c r="O394" s="39">
        <f t="shared" si="27"/>
        <v>43730</v>
      </c>
      <c r="P394" s="41">
        <f t="shared" si="24"/>
        <v>102.76412655737704</v>
      </c>
      <c r="Q394" s="41">
        <f t="shared" si="25"/>
        <v>63.29</v>
      </c>
      <c r="R394" s="41">
        <f t="shared" si="26"/>
        <v>-39.474126557377041</v>
      </c>
    </row>
    <row r="395" spans="10:18">
      <c r="J395" s="46">
        <v>43573</v>
      </c>
      <c r="K395" s="2">
        <v>104.36255786885245</v>
      </c>
      <c r="L395" s="2">
        <v>60.83</v>
      </c>
      <c r="M395" s="2">
        <v>-43.53255786885245</v>
      </c>
      <c r="O395" s="39">
        <f t="shared" si="27"/>
        <v>43729</v>
      </c>
      <c r="P395" s="41">
        <f t="shared" si="24"/>
        <v>102.76412655737704</v>
      </c>
      <c r="Q395" s="41">
        <f t="shared" si="25"/>
        <v>63.29</v>
      </c>
      <c r="R395" s="41">
        <f t="shared" si="26"/>
        <v>-39.474126557377041</v>
      </c>
    </row>
    <row r="396" spans="10:18">
      <c r="J396" s="46">
        <v>43572</v>
      </c>
      <c r="K396" s="2">
        <v>104.36255786885245</v>
      </c>
      <c r="L396" s="2">
        <v>60.93</v>
      </c>
      <c r="M396" s="2">
        <v>-43.432557868852449</v>
      </c>
      <c r="O396" s="39">
        <f t="shared" si="27"/>
        <v>43728</v>
      </c>
      <c r="P396" s="41">
        <f t="shared" si="24"/>
        <v>102.76412655737704</v>
      </c>
      <c r="Q396" s="41">
        <f t="shared" si="25"/>
        <v>63.29</v>
      </c>
      <c r="R396" s="41">
        <f t="shared" si="26"/>
        <v>-39.474126557377041</v>
      </c>
    </row>
    <row r="397" spans="10:18">
      <c r="J397" s="46">
        <v>43571</v>
      </c>
      <c r="K397" s="2">
        <v>104.36255786885245</v>
      </c>
      <c r="L397" s="2">
        <v>60.15</v>
      </c>
      <c r="M397" s="2">
        <v>-44.21255786885245</v>
      </c>
      <c r="O397" s="39">
        <f t="shared" si="27"/>
        <v>43727</v>
      </c>
      <c r="P397" s="41">
        <f t="shared" si="24"/>
        <v>102.40252655737706</v>
      </c>
      <c r="Q397" s="41">
        <f t="shared" si="25"/>
        <v>63.4</v>
      </c>
      <c r="R397" s="41">
        <f t="shared" si="26"/>
        <v>-39.00252655737706</v>
      </c>
    </row>
    <row r="398" spans="10:18">
      <c r="J398" s="46">
        <v>43570</v>
      </c>
      <c r="K398" s="2">
        <v>104.36255786885245</v>
      </c>
      <c r="L398" s="2">
        <v>60.58</v>
      </c>
      <c r="M398" s="2">
        <v>-43.78255786885245</v>
      </c>
      <c r="O398" s="39">
        <f t="shared" si="27"/>
        <v>43726</v>
      </c>
      <c r="P398" s="41">
        <f t="shared" si="24"/>
        <v>102.40252655737706</v>
      </c>
      <c r="Q398" s="41">
        <f t="shared" si="25"/>
        <v>63.15</v>
      </c>
      <c r="R398" s="41">
        <f t="shared" si="26"/>
        <v>-39.25252655737706</v>
      </c>
    </row>
    <row r="399" spans="10:18">
      <c r="J399" s="46">
        <v>43567</v>
      </c>
      <c r="K399" s="2">
        <v>104.36255786885245</v>
      </c>
      <c r="L399" s="2">
        <v>61.89</v>
      </c>
      <c r="M399" s="2">
        <v>-42.472557868852448</v>
      </c>
      <c r="O399" s="39">
        <f t="shared" si="27"/>
        <v>43725</v>
      </c>
      <c r="P399" s="41">
        <f t="shared" si="24"/>
        <v>102.40252655737706</v>
      </c>
      <c r="Q399" s="41">
        <f t="shared" si="25"/>
        <v>64.509999999999991</v>
      </c>
      <c r="R399" s="41">
        <f t="shared" si="26"/>
        <v>-37.892526557377067</v>
      </c>
    </row>
    <row r="400" spans="10:18">
      <c r="J400" s="46">
        <v>43566</v>
      </c>
      <c r="K400" s="2">
        <v>109.75196319672132</v>
      </c>
      <c r="L400" s="2">
        <v>61.25</v>
      </c>
      <c r="M400" s="2">
        <v>-48.50196319672132</v>
      </c>
      <c r="O400" s="39">
        <f t="shared" si="27"/>
        <v>43724</v>
      </c>
      <c r="P400" s="41">
        <f t="shared" si="24"/>
        <v>102.40252655737706</v>
      </c>
      <c r="Q400" s="41">
        <f t="shared" si="25"/>
        <v>65.09</v>
      </c>
      <c r="R400" s="41">
        <f t="shared" si="26"/>
        <v>-37.312526557377055</v>
      </c>
    </row>
    <row r="401" spans="10:18">
      <c r="J401" s="46">
        <v>43565</v>
      </c>
      <c r="K401" s="2">
        <v>109.75196319672132</v>
      </c>
      <c r="L401" s="2">
        <v>62.63</v>
      </c>
      <c r="M401" s="2">
        <v>-47.121963196721318</v>
      </c>
      <c r="O401" s="39">
        <f t="shared" si="27"/>
        <v>43723</v>
      </c>
      <c r="P401" s="41">
        <f t="shared" si="24"/>
        <v>102.40252655737706</v>
      </c>
      <c r="Q401" s="41">
        <f t="shared" si="25"/>
        <v>63.93</v>
      </c>
      <c r="R401" s="41">
        <f t="shared" si="26"/>
        <v>-38.472526557377059</v>
      </c>
    </row>
    <row r="402" spans="10:18">
      <c r="J402" s="46">
        <v>43564</v>
      </c>
      <c r="K402" s="2">
        <v>109.75196319672132</v>
      </c>
      <c r="L402" s="2">
        <v>60.65</v>
      </c>
      <c r="M402" s="2">
        <v>-49.101963196721321</v>
      </c>
      <c r="O402" s="39">
        <f t="shared" si="27"/>
        <v>43722</v>
      </c>
      <c r="P402" s="41">
        <f t="shared" si="24"/>
        <v>102.40252655737706</v>
      </c>
      <c r="Q402" s="41">
        <f t="shared" si="25"/>
        <v>63.93</v>
      </c>
      <c r="R402" s="41">
        <f t="shared" si="26"/>
        <v>-38.472526557377059</v>
      </c>
    </row>
    <row r="403" spans="10:18">
      <c r="J403" s="46">
        <v>43563</v>
      </c>
      <c r="K403" s="2">
        <v>109.75196319672132</v>
      </c>
      <c r="L403" s="2">
        <v>59.02</v>
      </c>
      <c r="M403" s="2">
        <v>-50.731963196721317</v>
      </c>
      <c r="O403" s="39">
        <f t="shared" si="27"/>
        <v>43721</v>
      </c>
      <c r="P403" s="41">
        <f t="shared" si="24"/>
        <v>102.40252655737706</v>
      </c>
      <c r="Q403" s="41">
        <f t="shared" si="25"/>
        <v>63.93</v>
      </c>
      <c r="R403" s="41">
        <f t="shared" si="26"/>
        <v>-38.472526557377059</v>
      </c>
    </row>
    <row r="404" spans="10:18">
      <c r="J404" s="46">
        <v>43560</v>
      </c>
      <c r="K404" s="2">
        <v>109.75196319672132</v>
      </c>
      <c r="L404" s="2">
        <v>58.13</v>
      </c>
      <c r="M404" s="2">
        <v>-51.621963196721318</v>
      </c>
      <c r="O404" s="39">
        <f t="shared" si="27"/>
        <v>43720</v>
      </c>
      <c r="P404" s="41">
        <f t="shared" si="24"/>
        <v>101.87448774590165</v>
      </c>
      <c r="Q404" s="41">
        <f t="shared" si="25"/>
        <v>64.08</v>
      </c>
      <c r="R404" s="41">
        <f t="shared" si="26"/>
        <v>-37.794487745901648</v>
      </c>
    </row>
    <row r="405" spans="10:18">
      <c r="J405" s="46">
        <v>43559</v>
      </c>
      <c r="K405" s="2">
        <v>111.1318830737705</v>
      </c>
      <c r="L405" s="2">
        <v>53.42</v>
      </c>
      <c r="M405" s="2">
        <v>-57.711883073770494</v>
      </c>
      <c r="O405" s="39">
        <f t="shared" si="27"/>
        <v>43719</v>
      </c>
      <c r="P405" s="41">
        <f t="shared" si="24"/>
        <v>101.87448774590165</v>
      </c>
      <c r="Q405" s="41">
        <f t="shared" si="25"/>
        <v>64.27000000000001</v>
      </c>
      <c r="R405" s="41">
        <f t="shared" si="26"/>
        <v>-37.604487745901636</v>
      </c>
    </row>
    <row r="406" spans="10:18">
      <c r="J406" s="46">
        <v>43558</v>
      </c>
      <c r="K406" s="2">
        <v>111.1318830737705</v>
      </c>
      <c r="L406" s="2">
        <v>51.93</v>
      </c>
      <c r="M406" s="2">
        <v>-59.201883073770496</v>
      </c>
      <c r="O406" s="39">
        <f t="shared" si="27"/>
        <v>43718</v>
      </c>
      <c r="P406" s="41">
        <f t="shared" si="24"/>
        <v>101.87448774590165</v>
      </c>
      <c r="Q406" s="41">
        <f t="shared" si="25"/>
        <v>63.15</v>
      </c>
      <c r="R406" s="41">
        <f t="shared" si="26"/>
        <v>-38.724487745901648</v>
      </c>
    </row>
    <row r="407" spans="10:18">
      <c r="J407" s="46">
        <v>43557</v>
      </c>
      <c r="K407" s="2">
        <v>111.1318830737705</v>
      </c>
      <c r="L407" s="2">
        <v>55.75</v>
      </c>
      <c r="M407" s="2">
        <v>-55.381883073770496</v>
      </c>
      <c r="O407" s="39">
        <f t="shared" si="27"/>
        <v>43717</v>
      </c>
      <c r="P407" s="41">
        <f t="shared" si="24"/>
        <v>101.87448774590165</v>
      </c>
      <c r="Q407" s="41">
        <f t="shared" si="25"/>
        <v>60.38</v>
      </c>
      <c r="R407" s="41">
        <f t="shared" si="26"/>
        <v>-41.494487745901644</v>
      </c>
    </row>
    <row r="408" spans="10:18">
      <c r="J408" s="46">
        <v>43556</v>
      </c>
      <c r="K408" s="2">
        <v>111.1318830737705</v>
      </c>
      <c r="L408" s="2">
        <v>58.83</v>
      </c>
      <c r="M408" s="2">
        <v>-52.301883073770497</v>
      </c>
      <c r="O408" s="39">
        <f t="shared" si="27"/>
        <v>43716</v>
      </c>
      <c r="P408" s="41">
        <f t="shared" si="24"/>
        <v>101.87448774590165</v>
      </c>
      <c r="Q408" s="41">
        <f t="shared" si="25"/>
        <v>59</v>
      </c>
      <c r="R408" s="41">
        <f t="shared" si="26"/>
        <v>-42.874487745901646</v>
      </c>
    </row>
    <row r="409" spans="10:18">
      <c r="J409" s="46">
        <v>43553</v>
      </c>
      <c r="K409" s="2">
        <v>111.1318830737705</v>
      </c>
      <c r="L409" s="2">
        <v>59.91</v>
      </c>
      <c r="M409" s="2">
        <v>-51.221883073770499</v>
      </c>
      <c r="O409" s="39">
        <f t="shared" si="27"/>
        <v>43715</v>
      </c>
      <c r="P409" s="41">
        <f t="shared" si="24"/>
        <v>101.87448774590165</v>
      </c>
      <c r="Q409" s="41">
        <f t="shared" si="25"/>
        <v>59</v>
      </c>
      <c r="R409" s="41">
        <f t="shared" si="26"/>
        <v>-42.874487745901646</v>
      </c>
    </row>
    <row r="410" spans="10:18">
      <c r="J410" s="46">
        <v>43552</v>
      </c>
      <c r="K410" s="2">
        <v>114.62502799180326</v>
      </c>
      <c r="L410" s="2">
        <v>62.56</v>
      </c>
      <c r="M410" s="2">
        <v>-52.065027991803262</v>
      </c>
      <c r="O410" s="39">
        <f t="shared" si="27"/>
        <v>43714</v>
      </c>
      <c r="P410" s="41">
        <f t="shared" si="24"/>
        <v>101.87448774590165</v>
      </c>
      <c r="Q410" s="41">
        <f t="shared" si="25"/>
        <v>59</v>
      </c>
      <c r="R410" s="41">
        <f t="shared" si="26"/>
        <v>-42.874487745901646</v>
      </c>
    </row>
    <row r="411" spans="10:18">
      <c r="J411" s="46">
        <v>43551</v>
      </c>
      <c r="K411" s="2">
        <v>114.62502799180326</v>
      </c>
      <c r="L411" s="2">
        <v>62.58</v>
      </c>
      <c r="M411" s="2">
        <v>-52.045027991803266</v>
      </c>
      <c r="O411" s="39">
        <f t="shared" si="27"/>
        <v>43713</v>
      </c>
      <c r="P411" s="41">
        <f t="shared" si="24"/>
        <v>102.10048774590165</v>
      </c>
      <c r="Q411" s="41">
        <f t="shared" si="25"/>
        <v>57.39</v>
      </c>
      <c r="R411" s="41">
        <f t="shared" si="26"/>
        <v>-44.710487745901645</v>
      </c>
    </row>
    <row r="412" spans="10:18">
      <c r="J412" s="46">
        <v>43550</v>
      </c>
      <c r="K412" s="2">
        <v>114.62502799180326</v>
      </c>
      <c r="L412" s="2">
        <v>63.32</v>
      </c>
      <c r="M412" s="2">
        <v>-51.305027991803264</v>
      </c>
      <c r="O412" s="39">
        <f t="shared" si="27"/>
        <v>43712</v>
      </c>
      <c r="P412" s="41">
        <f t="shared" si="24"/>
        <v>102.10048774590165</v>
      </c>
      <c r="Q412" s="41">
        <f t="shared" si="25"/>
        <v>58.59</v>
      </c>
      <c r="R412" s="41">
        <f t="shared" si="26"/>
        <v>-43.510487745901642</v>
      </c>
    </row>
    <row r="413" spans="10:18">
      <c r="J413" s="46">
        <v>43549</v>
      </c>
      <c r="K413" s="2">
        <v>114.62502799180326</v>
      </c>
      <c r="L413" s="2">
        <v>65.86</v>
      </c>
      <c r="M413" s="2">
        <v>-48.765027991803265</v>
      </c>
      <c r="O413" s="39">
        <f t="shared" si="27"/>
        <v>43711</v>
      </c>
      <c r="P413" s="41">
        <f t="shared" si="24"/>
        <v>102.10048774590165</v>
      </c>
      <c r="Q413" s="41">
        <f t="shared" si="25"/>
        <v>57.73</v>
      </c>
      <c r="R413" s="41">
        <f t="shared" si="26"/>
        <v>-44.370487745901649</v>
      </c>
    </row>
    <row r="414" spans="10:18">
      <c r="J414" s="46">
        <v>43546</v>
      </c>
      <c r="K414" s="2">
        <v>114.62502799180326</v>
      </c>
      <c r="L414" s="2">
        <v>66.3</v>
      </c>
      <c r="M414" s="2">
        <v>-48.325027991803267</v>
      </c>
      <c r="O414" s="39">
        <f t="shared" si="27"/>
        <v>43710</v>
      </c>
      <c r="P414" s="41">
        <f t="shared" si="24"/>
        <v>102.10048774590165</v>
      </c>
      <c r="Q414" s="41">
        <f t="shared" si="25"/>
        <v>56.11</v>
      </c>
      <c r="R414" s="41">
        <f t="shared" si="26"/>
        <v>-45.990487745901646</v>
      </c>
    </row>
    <row r="415" spans="10:18">
      <c r="J415" s="46">
        <v>43545</v>
      </c>
      <c r="K415" s="2">
        <v>115.30302799180328</v>
      </c>
      <c r="L415" s="2">
        <v>68.27</v>
      </c>
      <c r="M415" s="2">
        <v>-47.03302799180328</v>
      </c>
      <c r="O415" s="39">
        <f t="shared" si="27"/>
        <v>43709</v>
      </c>
      <c r="P415" s="41">
        <f t="shared" si="24"/>
        <v>102.10048774590165</v>
      </c>
      <c r="Q415" s="41">
        <f t="shared" si="25"/>
        <v>50.33</v>
      </c>
      <c r="R415" s="41">
        <f t="shared" si="26"/>
        <v>-51.770487745901647</v>
      </c>
    </row>
    <row r="416" spans="10:18">
      <c r="J416" s="46">
        <v>43544</v>
      </c>
      <c r="K416" s="2">
        <v>115.30302799180328</v>
      </c>
      <c r="L416" s="2">
        <v>68.19</v>
      </c>
      <c r="M416" s="2">
        <v>-47.113027991803278</v>
      </c>
      <c r="O416" s="39">
        <f t="shared" si="27"/>
        <v>43708</v>
      </c>
      <c r="P416" s="41">
        <f t="shared" si="24"/>
        <v>102.10048774590165</v>
      </c>
      <c r="Q416" s="41">
        <f t="shared" si="25"/>
        <v>50.33</v>
      </c>
      <c r="R416" s="41">
        <f t="shared" si="26"/>
        <v>-51.770487745901647</v>
      </c>
    </row>
    <row r="417" spans="10:18">
      <c r="J417" s="46">
        <v>43543</v>
      </c>
      <c r="K417" s="2">
        <v>115.30302799180328</v>
      </c>
      <c r="L417" s="2">
        <v>69.44</v>
      </c>
      <c r="M417" s="2">
        <v>-45.863027991803278</v>
      </c>
      <c r="O417" s="39">
        <f t="shared" si="27"/>
        <v>43707</v>
      </c>
      <c r="P417" s="41">
        <f t="shared" si="24"/>
        <v>102.10048774590165</v>
      </c>
      <c r="Q417" s="41">
        <f t="shared" si="25"/>
        <v>50.33</v>
      </c>
      <c r="R417" s="41">
        <f t="shared" si="26"/>
        <v>-51.770487745901647</v>
      </c>
    </row>
    <row r="418" spans="10:18">
      <c r="J418" s="46">
        <v>43542</v>
      </c>
      <c r="K418" s="2">
        <v>115.30302799180328</v>
      </c>
      <c r="L418" s="2">
        <v>69.33</v>
      </c>
      <c r="M418" s="2">
        <v>-45.973027991803278</v>
      </c>
      <c r="O418" s="39">
        <f t="shared" si="27"/>
        <v>43706</v>
      </c>
      <c r="P418" s="41">
        <f t="shared" si="24"/>
        <v>97.951669590163945</v>
      </c>
      <c r="Q418" s="41">
        <f t="shared" si="25"/>
        <v>49.2</v>
      </c>
      <c r="R418" s="41">
        <f t="shared" si="26"/>
        <v>-48.751669590163942</v>
      </c>
    </row>
    <row r="419" spans="10:18">
      <c r="J419" s="46">
        <v>43539</v>
      </c>
      <c r="K419" s="2">
        <v>115.30302799180328</v>
      </c>
      <c r="L419" s="2">
        <v>70.61</v>
      </c>
      <c r="M419" s="2">
        <v>-44.693027991803277</v>
      </c>
      <c r="O419" s="39">
        <f t="shared" si="27"/>
        <v>43705</v>
      </c>
      <c r="P419" s="41">
        <f t="shared" si="24"/>
        <v>97.951669590163945</v>
      </c>
      <c r="Q419" s="41">
        <f t="shared" si="25"/>
        <v>49.39</v>
      </c>
      <c r="R419" s="41">
        <f t="shared" si="26"/>
        <v>-48.561669590163945</v>
      </c>
    </row>
    <row r="420" spans="10:18">
      <c r="J420" s="46">
        <v>43538</v>
      </c>
      <c r="K420" s="2">
        <v>113.54555381147539</v>
      </c>
      <c r="L420" s="2">
        <v>71.13</v>
      </c>
      <c r="M420" s="2">
        <v>-42.415553811475391</v>
      </c>
      <c r="O420" s="39">
        <f t="shared" si="27"/>
        <v>43704</v>
      </c>
      <c r="P420" s="41">
        <f t="shared" si="24"/>
        <v>97.951669590163945</v>
      </c>
      <c r="Q420" s="41">
        <f t="shared" si="25"/>
        <v>50.02</v>
      </c>
      <c r="R420" s="41">
        <f t="shared" si="26"/>
        <v>-47.931669590163942</v>
      </c>
    </row>
    <row r="421" spans="10:18">
      <c r="J421" s="46">
        <v>43537</v>
      </c>
      <c r="K421" s="2">
        <v>113.54555381147539</v>
      </c>
      <c r="L421" s="2">
        <v>71.42</v>
      </c>
      <c r="M421" s="2">
        <v>-42.125553811475385</v>
      </c>
      <c r="O421" s="39">
        <f t="shared" si="27"/>
        <v>43703</v>
      </c>
      <c r="P421" s="41">
        <f t="shared" si="24"/>
        <v>97.951669590163945</v>
      </c>
      <c r="Q421" s="41">
        <f t="shared" si="25"/>
        <v>53.05</v>
      </c>
      <c r="R421" s="41">
        <f t="shared" si="26"/>
        <v>-44.901669590163948</v>
      </c>
    </row>
    <row r="422" spans="10:18">
      <c r="J422" s="46">
        <v>43536</v>
      </c>
      <c r="K422" s="2">
        <v>113.54555381147539</v>
      </c>
      <c r="L422" s="2">
        <v>71.66</v>
      </c>
      <c r="M422" s="2">
        <v>-41.88555381147539</v>
      </c>
      <c r="O422" s="39">
        <f t="shared" si="27"/>
        <v>43702</v>
      </c>
      <c r="P422" s="41">
        <f t="shared" si="24"/>
        <v>97.951669590163945</v>
      </c>
      <c r="Q422" s="41">
        <f t="shared" si="25"/>
        <v>53.05</v>
      </c>
      <c r="R422" s="41">
        <f t="shared" si="26"/>
        <v>-44.901669590163948</v>
      </c>
    </row>
    <row r="423" spans="10:18">
      <c r="J423" s="46">
        <v>43535</v>
      </c>
      <c r="K423" s="2">
        <v>113.54555381147539</v>
      </c>
      <c r="L423" s="2">
        <v>71.98</v>
      </c>
      <c r="M423" s="2">
        <v>-41.565553811475382</v>
      </c>
      <c r="O423" s="39">
        <f t="shared" si="27"/>
        <v>43701</v>
      </c>
      <c r="P423" s="41">
        <f t="shared" si="24"/>
        <v>97.951669590163945</v>
      </c>
      <c r="Q423" s="41">
        <f t="shared" si="25"/>
        <v>53.05</v>
      </c>
      <c r="R423" s="41">
        <f t="shared" si="26"/>
        <v>-44.901669590163948</v>
      </c>
    </row>
    <row r="424" spans="10:18">
      <c r="J424" s="46">
        <v>43532</v>
      </c>
      <c r="K424" s="2">
        <v>113.54555381147539</v>
      </c>
      <c r="L424" s="2">
        <v>72.72</v>
      </c>
      <c r="M424" s="2">
        <v>-40.825553811475388</v>
      </c>
      <c r="O424" s="39">
        <f t="shared" si="27"/>
        <v>43700</v>
      </c>
      <c r="P424" s="41">
        <f t="shared" si="24"/>
        <v>97.951669590163945</v>
      </c>
      <c r="Q424" s="41">
        <f t="shared" si="25"/>
        <v>53.05</v>
      </c>
      <c r="R424" s="41">
        <f t="shared" si="26"/>
        <v>-44.901669590163948</v>
      </c>
    </row>
    <row r="425" spans="10:18">
      <c r="J425" s="46">
        <v>43531</v>
      </c>
      <c r="K425" s="2">
        <v>113.54555381147539</v>
      </c>
      <c r="L425" s="2">
        <v>73.37</v>
      </c>
      <c r="M425" s="2">
        <v>-40.175553811475382</v>
      </c>
      <c r="O425" s="39">
        <f t="shared" si="27"/>
        <v>43699</v>
      </c>
      <c r="P425" s="41">
        <f t="shared" si="24"/>
        <v>99.738389467213096</v>
      </c>
      <c r="Q425" s="41">
        <f t="shared" si="25"/>
        <v>53.48</v>
      </c>
      <c r="R425" s="41">
        <f t="shared" si="26"/>
        <v>-46.2583894672131</v>
      </c>
    </row>
    <row r="426" spans="10:18">
      <c r="J426" s="46">
        <v>43530</v>
      </c>
      <c r="K426" s="2">
        <v>113.54555381147539</v>
      </c>
      <c r="L426" s="2">
        <v>74.680000000000007</v>
      </c>
      <c r="M426" s="2">
        <v>-38.86555381147538</v>
      </c>
      <c r="O426" s="39">
        <f t="shared" si="27"/>
        <v>43698</v>
      </c>
      <c r="P426" s="41">
        <f t="shared" si="24"/>
        <v>99.738389467213096</v>
      </c>
      <c r="Q426" s="41">
        <f t="shared" si="25"/>
        <v>54.5</v>
      </c>
      <c r="R426" s="41">
        <f t="shared" si="26"/>
        <v>-45.238389467213096</v>
      </c>
    </row>
    <row r="427" spans="10:18">
      <c r="J427" s="46">
        <v>43529</v>
      </c>
      <c r="K427" s="2">
        <v>113.54555381147539</v>
      </c>
      <c r="L427" s="2">
        <v>76.16</v>
      </c>
      <c r="M427" s="2">
        <v>-37.38555381147539</v>
      </c>
      <c r="O427" s="39">
        <f t="shared" si="27"/>
        <v>43697</v>
      </c>
      <c r="P427" s="41">
        <f t="shared" si="24"/>
        <v>99.738389467213096</v>
      </c>
      <c r="Q427" s="41">
        <f t="shared" si="25"/>
        <v>55.33</v>
      </c>
      <c r="R427" s="41">
        <f t="shared" si="26"/>
        <v>-44.408389467213098</v>
      </c>
    </row>
    <row r="428" spans="10:18">
      <c r="J428" s="46">
        <v>43528</v>
      </c>
      <c r="K428" s="2">
        <v>113.54555381147539</v>
      </c>
      <c r="L428" s="2">
        <v>76.28</v>
      </c>
      <c r="M428" s="2">
        <v>-37.265553811475385</v>
      </c>
      <c r="O428" s="39">
        <f t="shared" si="27"/>
        <v>43696</v>
      </c>
      <c r="P428" s="41">
        <f t="shared" si="24"/>
        <v>99.738389467213096</v>
      </c>
      <c r="Q428" s="41">
        <f t="shared" si="25"/>
        <v>56.39</v>
      </c>
      <c r="R428" s="41">
        <f t="shared" si="26"/>
        <v>-43.348389467213096</v>
      </c>
    </row>
    <row r="429" spans="10:18">
      <c r="J429" s="46">
        <v>43525</v>
      </c>
      <c r="K429" s="2">
        <v>113.54555381147539</v>
      </c>
      <c r="L429" s="2">
        <v>76.17</v>
      </c>
      <c r="M429" s="2">
        <v>-37.375553811475385</v>
      </c>
      <c r="O429" s="39">
        <f t="shared" si="27"/>
        <v>43695</v>
      </c>
      <c r="P429" s="41">
        <f t="shared" si="24"/>
        <v>99.738389467213096</v>
      </c>
      <c r="Q429" s="41">
        <f t="shared" si="25"/>
        <v>56.02</v>
      </c>
      <c r="R429" s="41">
        <f t="shared" si="26"/>
        <v>-43.718389467213093</v>
      </c>
    </row>
    <row r="430" spans="10:18">
      <c r="J430" s="46">
        <v>43524</v>
      </c>
      <c r="K430" s="2">
        <v>109.71686836065574</v>
      </c>
      <c r="L430" s="2">
        <v>76.62</v>
      </c>
      <c r="M430" s="2">
        <v>-33.096868360655733</v>
      </c>
      <c r="O430" s="39">
        <f t="shared" si="27"/>
        <v>43694</v>
      </c>
      <c r="P430" s="41">
        <f t="shared" si="24"/>
        <v>99.738389467213096</v>
      </c>
      <c r="Q430" s="41">
        <f t="shared" si="25"/>
        <v>56.02</v>
      </c>
      <c r="R430" s="41">
        <f t="shared" si="26"/>
        <v>-43.718389467213093</v>
      </c>
    </row>
    <row r="431" spans="10:18">
      <c r="J431" s="46">
        <v>43523</v>
      </c>
      <c r="K431" s="2">
        <v>109.71686836065574</v>
      </c>
      <c r="L431" s="2">
        <v>75.86</v>
      </c>
      <c r="M431" s="2">
        <v>-33.856868360655739</v>
      </c>
      <c r="O431" s="39">
        <f t="shared" si="27"/>
        <v>43693</v>
      </c>
      <c r="P431" s="41">
        <f t="shared" si="24"/>
        <v>99.738389467213096</v>
      </c>
      <c r="Q431" s="41">
        <f t="shared" si="25"/>
        <v>56.02</v>
      </c>
      <c r="R431" s="41">
        <f t="shared" si="26"/>
        <v>-43.718389467213093</v>
      </c>
    </row>
    <row r="432" spans="10:18">
      <c r="J432" s="46">
        <v>43522</v>
      </c>
      <c r="K432" s="2">
        <v>109.71686836065574</v>
      </c>
      <c r="L432" s="2">
        <v>73.650000000000006</v>
      </c>
      <c r="M432" s="2">
        <v>-36.066868360655732</v>
      </c>
      <c r="O432" s="39">
        <f t="shared" si="27"/>
        <v>43692</v>
      </c>
      <c r="P432" s="41">
        <f t="shared" si="24"/>
        <v>102.31742922131147</v>
      </c>
      <c r="Q432" s="41">
        <f t="shared" si="25"/>
        <v>54.81</v>
      </c>
      <c r="R432" s="41">
        <f t="shared" si="26"/>
        <v>-47.507429221311469</v>
      </c>
    </row>
    <row r="433" spans="10:18">
      <c r="J433" s="46">
        <v>43521</v>
      </c>
      <c r="K433" s="2">
        <v>109.71686836065574</v>
      </c>
      <c r="L433" s="2">
        <v>72.2</v>
      </c>
      <c r="M433" s="2">
        <v>-37.516868360655735</v>
      </c>
      <c r="O433" s="39">
        <f t="shared" si="27"/>
        <v>43691</v>
      </c>
      <c r="P433" s="41">
        <f t="shared" si="24"/>
        <v>102.31742922131147</v>
      </c>
      <c r="Q433" s="41">
        <f t="shared" si="25"/>
        <v>56</v>
      </c>
      <c r="R433" s="41">
        <f t="shared" si="26"/>
        <v>-46.317429221311471</v>
      </c>
    </row>
    <row r="434" spans="10:18">
      <c r="J434" s="46">
        <v>43518</v>
      </c>
      <c r="K434" s="2">
        <v>109.71686836065574</v>
      </c>
      <c r="L434" s="2">
        <v>71.45</v>
      </c>
      <c r="M434" s="2">
        <v>-38.266868360655735</v>
      </c>
      <c r="O434" s="39">
        <f t="shared" si="27"/>
        <v>43690</v>
      </c>
      <c r="P434" s="41">
        <f t="shared" si="24"/>
        <v>102.31742922131147</v>
      </c>
      <c r="Q434" s="41">
        <f t="shared" si="25"/>
        <v>56.5</v>
      </c>
      <c r="R434" s="41">
        <f t="shared" si="26"/>
        <v>-45.817429221311471</v>
      </c>
    </row>
    <row r="435" spans="10:18">
      <c r="J435" s="46">
        <v>43517</v>
      </c>
      <c r="K435" s="2">
        <v>110.16886836065574</v>
      </c>
      <c r="L435" s="2">
        <v>72.11</v>
      </c>
      <c r="M435" s="2">
        <v>-38.058868360655737</v>
      </c>
      <c r="O435" s="39">
        <f t="shared" si="27"/>
        <v>43689</v>
      </c>
      <c r="P435" s="41">
        <f t="shared" si="24"/>
        <v>102.31742922131147</v>
      </c>
      <c r="Q435" s="41">
        <f t="shared" si="25"/>
        <v>56.34</v>
      </c>
      <c r="R435" s="41">
        <f t="shared" si="26"/>
        <v>-45.977429221311468</v>
      </c>
    </row>
    <row r="436" spans="10:18">
      <c r="J436" s="46">
        <v>43516</v>
      </c>
      <c r="K436" s="2">
        <v>110.16886836065574</v>
      </c>
      <c r="L436" s="2">
        <v>71.66</v>
      </c>
      <c r="M436" s="2">
        <v>-38.50886836065574</v>
      </c>
      <c r="O436" s="39">
        <f t="shared" si="27"/>
        <v>43688</v>
      </c>
      <c r="P436" s="41">
        <f t="shared" si="24"/>
        <v>102.31742922131147</v>
      </c>
      <c r="Q436" s="41">
        <f t="shared" si="25"/>
        <v>56.35</v>
      </c>
      <c r="R436" s="41">
        <f t="shared" si="26"/>
        <v>-45.96742922131147</v>
      </c>
    </row>
    <row r="437" spans="10:18">
      <c r="J437" s="46">
        <v>43515</v>
      </c>
      <c r="K437" s="2">
        <v>110.16886836065574</v>
      </c>
      <c r="L437" s="2">
        <v>69.98</v>
      </c>
      <c r="M437" s="2">
        <v>-40.188868360655732</v>
      </c>
      <c r="O437" s="39">
        <f t="shared" si="27"/>
        <v>43687</v>
      </c>
      <c r="P437" s="41">
        <f t="shared" si="24"/>
        <v>102.31742922131147</v>
      </c>
      <c r="Q437" s="41">
        <f t="shared" si="25"/>
        <v>56.35</v>
      </c>
      <c r="R437" s="41">
        <f t="shared" si="26"/>
        <v>-45.96742922131147</v>
      </c>
    </row>
    <row r="438" spans="10:18">
      <c r="J438" s="46">
        <v>43514</v>
      </c>
      <c r="K438" s="2">
        <v>110.16886836065574</v>
      </c>
      <c r="L438" s="2">
        <v>71.459999999999994</v>
      </c>
      <c r="M438" s="2">
        <v>-38.708868360655742</v>
      </c>
      <c r="O438" s="39">
        <f t="shared" si="27"/>
        <v>43686</v>
      </c>
      <c r="P438" s="41">
        <f t="shared" si="24"/>
        <v>102.31742922131147</v>
      </c>
      <c r="Q438" s="41">
        <f t="shared" si="25"/>
        <v>56.35</v>
      </c>
      <c r="R438" s="41">
        <f t="shared" si="26"/>
        <v>-45.96742922131147</v>
      </c>
    </row>
    <row r="439" spans="10:18">
      <c r="J439" s="46">
        <v>43511</v>
      </c>
      <c r="K439" s="2">
        <v>110.16886836065574</v>
      </c>
      <c r="L439" s="2">
        <v>70.61</v>
      </c>
      <c r="M439" s="2">
        <v>-39.558868360655737</v>
      </c>
      <c r="O439" s="39">
        <f t="shared" si="27"/>
        <v>43685</v>
      </c>
      <c r="P439" s="41">
        <f t="shared" si="24"/>
        <v>102.31742922131147</v>
      </c>
      <c r="Q439" s="41">
        <f t="shared" si="25"/>
        <v>56.26</v>
      </c>
      <c r="R439" s="41">
        <f t="shared" si="26"/>
        <v>-46.057429221311473</v>
      </c>
    </row>
    <row r="440" spans="10:18">
      <c r="J440" s="46">
        <v>43510</v>
      </c>
      <c r="K440" s="2">
        <v>111.99919512295081</v>
      </c>
      <c r="L440" s="2">
        <v>70.55</v>
      </c>
      <c r="M440" s="2">
        <v>-41.449195122950812</v>
      </c>
      <c r="O440" s="39">
        <f t="shared" si="27"/>
        <v>43684</v>
      </c>
      <c r="P440" s="41">
        <f t="shared" si="24"/>
        <v>102.31742922131147</v>
      </c>
      <c r="Q440" s="41">
        <f t="shared" si="25"/>
        <v>56.37</v>
      </c>
      <c r="R440" s="41">
        <f t="shared" si="26"/>
        <v>-45.947429221311474</v>
      </c>
    </row>
    <row r="441" spans="10:18">
      <c r="J441" s="46">
        <v>43509</v>
      </c>
      <c r="K441" s="2">
        <v>111.99919512295081</v>
      </c>
      <c r="L441" s="2">
        <v>69.69</v>
      </c>
      <c r="M441" s="2">
        <v>-42.309195122950811</v>
      </c>
      <c r="O441" s="39">
        <f t="shared" si="27"/>
        <v>43683</v>
      </c>
      <c r="P441" s="41">
        <f t="shared" si="24"/>
        <v>102.31742922131147</v>
      </c>
      <c r="Q441" s="41">
        <f t="shared" si="25"/>
        <v>56.03</v>
      </c>
      <c r="R441" s="41">
        <f t="shared" si="26"/>
        <v>-46.28742922131147</v>
      </c>
    </row>
    <row r="442" spans="10:18">
      <c r="J442" s="46">
        <v>43508</v>
      </c>
      <c r="K442" s="2">
        <v>111.99919512295081</v>
      </c>
      <c r="L442" s="2">
        <v>69.5</v>
      </c>
      <c r="M442" s="2">
        <v>-42.499195122950809</v>
      </c>
      <c r="O442" s="39">
        <f t="shared" si="27"/>
        <v>43682</v>
      </c>
      <c r="P442" s="41">
        <f t="shared" si="24"/>
        <v>102.31742922131147</v>
      </c>
      <c r="Q442" s="41">
        <f t="shared" si="25"/>
        <v>57.47</v>
      </c>
      <c r="R442" s="41">
        <f t="shared" si="26"/>
        <v>-44.847429221311472</v>
      </c>
    </row>
    <row r="443" spans="10:18">
      <c r="J443" s="46">
        <v>43507</v>
      </c>
      <c r="K443" s="2">
        <v>111.99919512295081</v>
      </c>
      <c r="L443" s="2">
        <v>69.400000000000006</v>
      </c>
      <c r="M443" s="2">
        <v>-42.599195122950803</v>
      </c>
      <c r="O443" s="39">
        <f t="shared" si="27"/>
        <v>43681</v>
      </c>
      <c r="P443" s="41">
        <f t="shared" si="24"/>
        <v>102.31742922131147</v>
      </c>
      <c r="Q443" s="41">
        <f t="shared" si="25"/>
        <v>58.59</v>
      </c>
      <c r="R443" s="41">
        <f t="shared" si="26"/>
        <v>-43.727429221311468</v>
      </c>
    </row>
    <row r="444" spans="10:18">
      <c r="J444" s="46">
        <v>43504</v>
      </c>
      <c r="K444" s="2">
        <v>111.99919512295081</v>
      </c>
      <c r="L444" s="2">
        <v>69.349999999999994</v>
      </c>
      <c r="M444" s="2">
        <v>-42.649195122950815</v>
      </c>
      <c r="O444" s="39">
        <f t="shared" si="27"/>
        <v>43680</v>
      </c>
      <c r="P444" s="41">
        <f t="shared" si="24"/>
        <v>102.31742922131147</v>
      </c>
      <c r="Q444" s="41">
        <f t="shared" si="25"/>
        <v>58.59</v>
      </c>
      <c r="R444" s="41">
        <f t="shared" si="26"/>
        <v>-43.727429221311468</v>
      </c>
    </row>
    <row r="445" spans="10:18">
      <c r="J445" s="46">
        <v>43503</v>
      </c>
      <c r="K445" s="2">
        <v>111.99919512295081</v>
      </c>
      <c r="L445" s="2">
        <v>74.06</v>
      </c>
      <c r="M445" s="2">
        <v>-37.939195122950807</v>
      </c>
      <c r="O445" s="39">
        <f t="shared" si="27"/>
        <v>43679</v>
      </c>
      <c r="P445" s="41">
        <f t="shared" si="24"/>
        <v>102.31742922131147</v>
      </c>
      <c r="Q445" s="41">
        <f t="shared" si="25"/>
        <v>58.59</v>
      </c>
      <c r="R445" s="41">
        <f t="shared" si="26"/>
        <v>-43.727429221311468</v>
      </c>
    </row>
    <row r="446" spans="10:18">
      <c r="J446" s="46">
        <v>43502</v>
      </c>
      <c r="K446" s="2">
        <v>111.99919512295081</v>
      </c>
      <c r="L446" s="2">
        <v>73.14</v>
      </c>
      <c r="M446" s="2">
        <v>-38.859195122950808</v>
      </c>
      <c r="O446" s="39">
        <f t="shared" si="27"/>
        <v>43678</v>
      </c>
      <c r="P446" s="41">
        <f t="shared" si="24"/>
        <v>102.15258352459016</v>
      </c>
      <c r="Q446" s="41">
        <f t="shared" si="25"/>
        <v>60</v>
      </c>
      <c r="R446" s="41">
        <f t="shared" si="26"/>
        <v>-42.152583524590156</v>
      </c>
    </row>
    <row r="447" spans="10:18">
      <c r="J447" s="46">
        <v>43501</v>
      </c>
      <c r="K447" s="2">
        <v>111.99919512295081</v>
      </c>
      <c r="L447" s="2">
        <v>73.38</v>
      </c>
      <c r="M447" s="2">
        <v>-38.619195122950813</v>
      </c>
      <c r="O447" s="39">
        <f t="shared" si="27"/>
        <v>43677</v>
      </c>
      <c r="P447" s="41">
        <f t="shared" si="24"/>
        <v>102.15258352459016</v>
      </c>
      <c r="Q447" s="41">
        <f t="shared" si="25"/>
        <v>59.36</v>
      </c>
      <c r="R447" s="41">
        <f t="shared" si="26"/>
        <v>-42.792583524590157</v>
      </c>
    </row>
    <row r="448" spans="10:18">
      <c r="J448" s="46">
        <v>43500</v>
      </c>
      <c r="K448" s="2">
        <v>111.99919512295081</v>
      </c>
      <c r="L448" s="2">
        <v>73.81</v>
      </c>
      <c r="M448" s="2">
        <v>-38.189195122950807</v>
      </c>
      <c r="O448" s="39">
        <f t="shared" si="27"/>
        <v>43676</v>
      </c>
      <c r="P448" s="41">
        <f t="shared" si="24"/>
        <v>102.15258352459016</v>
      </c>
      <c r="Q448" s="41">
        <f t="shared" si="25"/>
        <v>59.65</v>
      </c>
      <c r="R448" s="41">
        <f t="shared" si="26"/>
        <v>-42.502583524590158</v>
      </c>
    </row>
    <row r="449" spans="10:18">
      <c r="J449" s="46">
        <v>43497</v>
      </c>
      <c r="K449" s="2">
        <v>111.99919512295081</v>
      </c>
      <c r="L449" s="2">
        <v>77.569999999999993</v>
      </c>
      <c r="M449" s="2">
        <v>-34.429195122950816</v>
      </c>
      <c r="O449" s="39">
        <f t="shared" si="27"/>
        <v>43675</v>
      </c>
      <c r="P449" s="41">
        <f t="shared" si="24"/>
        <v>102.15258352459016</v>
      </c>
      <c r="Q449" s="41">
        <f t="shared" si="25"/>
        <v>60.95</v>
      </c>
      <c r="R449" s="41">
        <f t="shared" si="26"/>
        <v>-41.202583524590153</v>
      </c>
    </row>
    <row r="450" spans="10:18">
      <c r="J450" s="46">
        <v>43496</v>
      </c>
      <c r="K450" s="2">
        <v>112.90319512295081</v>
      </c>
      <c r="L450" s="2">
        <v>77.72</v>
      </c>
      <c r="M450" s="2">
        <v>-35.183195122950806</v>
      </c>
      <c r="O450" s="39">
        <f t="shared" si="27"/>
        <v>43674</v>
      </c>
      <c r="P450" s="41">
        <f t="shared" si="24"/>
        <v>102.15258352459016</v>
      </c>
      <c r="Q450" s="41">
        <f t="shared" si="25"/>
        <v>61.72</v>
      </c>
      <c r="R450" s="41">
        <f t="shared" si="26"/>
        <v>-40.432583524590157</v>
      </c>
    </row>
    <row r="451" spans="10:18">
      <c r="J451" s="46">
        <v>43495</v>
      </c>
      <c r="K451" s="2">
        <v>112.90319512295081</v>
      </c>
      <c r="L451" s="2">
        <v>77.819999999999993</v>
      </c>
      <c r="M451" s="2">
        <v>-35.083195122950812</v>
      </c>
      <c r="O451" s="39">
        <f t="shared" si="27"/>
        <v>43673</v>
      </c>
      <c r="P451" s="41">
        <f t="shared" si="24"/>
        <v>102.15258352459016</v>
      </c>
      <c r="Q451" s="41">
        <f t="shared" si="25"/>
        <v>61.72</v>
      </c>
      <c r="R451" s="41">
        <f t="shared" si="26"/>
        <v>-40.432583524590157</v>
      </c>
    </row>
    <row r="452" spans="10:18">
      <c r="J452" s="46">
        <v>43494</v>
      </c>
      <c r="K452" s="2">
        <v>112.90319512295081</v>
      </c>
      <c r="L452" s="2">
        <v>76.63</v>
      </c>
      <c r="M452" s="2">
        <v>-36.27319512295081</v>
      </c>
      <c r="O452" s="39">
        <f t="shared" si="27"/>
        <v>43672</v>
      </c>
      <c r="P452" s="41">
        <f t="shared" si="24"/>
        <v>102.15258352459016</v>
      </c>
      <c r="Q452" s="41">
        <f t="shared" si="25"/>
        <v>61.72</v>
      </c>
      <c r="R452" s="41">
        <f t="shared" si="26"/>
        <v>-40.432583524590157</v>
      </c>
    </row>
    <row r="453" spans="10:18">
      <c r="J453" s="46">
        <v>43493</v>
      </c>
      <c r="K453" s="2">
        <v>112.90319512295081</v>
      </c>
      <c r="L453" s="2">
        <v>77.75</v>
      </c>
      <c r="M453" s="2">
        <v>-35.153195122950805</v>
      </c>
      <c r="O453" s="39">
        <f t="shared" si="27"/>
        <v>43671</v>
      </c>
      <c r="P453" s="41">
        <f t="shared" si="24"/>
        <v>104.32218352459016</v>
      </c>
      <c r="Q453" s="41">
        <f t="shared" si="25"/>
        <v>62.24</v>
      </c>
      <c r="R453" s="41">
        <f t="shared" si="26"/>
        <v>-42.082183524590157</v>
      </c>
    </row>
    <row r="454" spans="10:18">
      <c r="J454" s="46">
        <v>43490</v>
      </c>
      <c r="K454" s="2">
        <v>112.90319512295081</v>
      </c>
      <c r="L454" s="2">
        <v>76.22</v>
      </c>
      <c r="M454" s="2">
        <v>-36.683195122950806</v>
      </c>
      <c r="O454" s="39">
        <f t="shared" si="27"/>
        <v>43670</v>
      </c>
      <c r="P454" s="41">
        <f t="shared" ref="P454:P517" si="28">IFERROR(VLOOKUP($O454,$J$5:$M$403,2,FALSE),P455)</f>
        <v>104.32218352459016</v>
      </c>
      <c r="Q454" s="41">
        <f t="shared" ref="Q454:Q517" si="29">IFERROR(VLOOKUP($O454,$J$5:$M$403,3,FALSE),Q455)</f>
        <v>63.06</v>
      </c>
      <c r="R454" s="41">
        <f t="shared" ref="R454:R517" si="30">IFERROR(VLOOKUP($O454,$J$5:$M$403,4,FALSE),R455)</f>
        <v>-41.262183524590156</v>
      </c>
    </row>
    <row r="455" spans="10:18">
      <c r="J455" s="46">
        <v>43489</v>
      </c>
      <c r="K455" s="2">
        <v>113.4003951229508</v>
      </c>
      <c r="L455" s="2">
        <v>78.400000000000006</v>
      </c>
      <c r="M455" s="2">
        <v>-35.000395122950792</v>
      </c>
      <c r="O455" s="39">
        <f t="shared" ref="O455:O518" si="31">O454-1</f>
        <v>43669</v>
      </c>
      <c r="P455" s="41">
        <f t="shared" si="28"/>
        <v>104.32218352459016</v>
      </c>
      <c r="Q455" s="41">
        <f t="shared" si="29"/>
        <v>62.6</v>
      </c>
      <c r="R455" s="41">
        <f t="shared" si="30"/>
        <v>-41.722183524590157</v>
      </c>
    </row>
    <row r="456" spans="10:18">
      <c r="J456" s="46">
        <v>43488</v>
      </c>
      <c r="K456" s="2">
        <v>113.4003951229508</v>
      </c>
      <c r="L456" s="2">
        <v>79.430000000000007</v>
      </c>
      <c r="M456" s="2">
        <v>-33.970395122950791</v>
      </c>
      <c r="O456" s="39">
        <f t="shared" si="31"/>
        <v>43668</v>
      </c>
      <c r="P456" s="41">
        <f t="shared" si="28"/>
        <v>104.32218352459016</v>
      </c>
      <c r="Q456" s="41">
        <f t="shared" si="29"/>
        <v>62.98</v>
      </c>
      <c r="R456" s="41">
        <f t="shared" si="30"/>
        <v>-41.342183524590162</v>
      </c>
    </row>
    <row r="457" spans="10:18">
      <c r="J457" s="46">
        <v>43487</v>
      </c>
      <c r="K457" s="2">
        <v>113.4003951229508</v>
      </c>
      <c r="L457" s="2">
        <v>78.53</v>
      </c>
      <c r="M457" s="2">
        <v>-34.870395122950796</v>
      </c>
      <c r="O457" s="39">
        <f t="shared" si="31"/>
        <v>43667</v>
      </c>
      <c r="P457" s="41">
        <f t="shared" si="28"/>
        <v>104.32218352459016</v>
      </c>
      <c r="Q457" s="41">
        <f t="shared" si="29"/>
        <v>61.64</v>
      </c>
      <c r="R457" s="41">
        <f t="shared" si="30"/>
        <v>-42.682183524590158</v>
      </c>
    </row>
    <row r="458" spans="10:18">
      <c r="J458" s="46">
        <v>43486</v>
      </c>
      <c r="K458" s="2">
        <v>113.4003951229508</v>
      </c>
      <c r="L458" s="2">
        <v>78.77</v>
      </c>
      <c r="M458" s="2">
        <v>-34.630395122950802</v>
      </c>
      <c r="O458" s="39">
        <f t="shared" si="31"/>
        <v>43666</v>
      </c>
      <c r="P458" s="41">
        <f t="shared" si="28"/>
        <v>104.32218352459016</v>
      </c>
      <c r="Q458" s="41">
        <f t="shared" si="29"/>
        <v>61.64</v>
      </c>
      <c r="R458" s="41">
        <f t="shared" si="30"/>
        <v>-42.682183524590158</v>
      </c>
    </row>
    <row r="459" spans="10:18">
      <c r="J459" s="46">
        <v>43483</v>
      </c>
      <c r="K459" s="2">
        <v>113.4003951229508</v>
      </c>
      <c r="L459" s="2">
        <v>81.12</v>
      </c>
      <c r="M459" s="2">
        <v>-32.280395122950793</v>
      </c>
      <c r="O459" s="39">
        <f t="shared" si="31"/>
        <v>43665</v>
      </c>
      <c r="P459" s="41">
        <f t="shared" si="28"/>
        <v>104.32218352459016</v>
      </c>
      <c r="Q459" s="41">
        <f t="shared" si="29"/>
        <v>61.64</v>
      </c>
      <c r="R459" s="41">
        <f t="shared" si="30"/>
        <v>-42.682183524590158</v>
      </c>
    </row>
    <row r="460" spans="10:18">
      <c r="J460" s="46">
        <v>43482</v>
      </c>
      <c r="K460" s="2">
        <v>115.95285209016394</v>
      </c>
      <c r="L460" s="2">
        <v>80.989999999999995</v>
      </c>
      <c r="M460" s="2">
        <v>-34.962852090163949</v>
      </c>
      <c r="O460" s="39">
        <f t="shared" si="31"/>
        <v>43664</v>
      </c>
      <c r="P460" s="41">
        <f t="shared" si="28"/>
        <v>94.319738442622949</v>
      </c>
      <c r="Q460" s="41">
        <f t="shared" si="29"/>
        <v>60.63</v>
      </c>
      <c r="R460" s="41">
        <f t="shared" si="30"/>
        <v>-33.689738442622946</v>
      </c>
    </row>
    <row r="461" spans="10:18">
      <c r="J461" s="46">
        <v>43481</v>
      </c>
      <c r="K461" s="2">
        <v>115.95285209016394</v>
      </c>
      <c r="L461" s="2">
        <v>81.010000000000005</v>
      </c>
      <c r="M461" s="2">
        <v>-34.942852090163939</v>
      </c>
      <c r="O461" s="39">
        <f t="shared" si="31"/>
        <v>43663</v>
      </c>
      <c r="P461" s="41">
        <f t="shared" si="28"/>
        <v>94.319738442622949</v>
      </c>
      <c r="Q461" s="41">
        <f t="shared" si="29"/>
        <v>59.32</v>
      </c>
      <c r="R461" s="41">
        <f t="shared" si="30"/>
        <v>-34.999738442622949</v>
      </c>
    </row>
    <row r="462" spans="10:18">
      <c r="J462" s="46">
        <v>43480</v>
      </c>
      <c r="K462" s="2">
        <v>115.95285209016394</v>
      </c>
      <c r="L462" s="2">
        <v>79.86</v>
      </c>
      <c r="M462" s="2">
        <v>-36.092852090163944</v>
      </c>
      <c r="O462" s="39">
        <f t="shared" si="31"/>
        <v>43662</v>
      </c>
      <c r="P462" s="41">
        <f t="shared" si="28"/>
        <v>94.319738442622949</v>
      </c>
      <c r="Q462" s="41">
        <f t="shared" si="29"/>
        <v>59.16</v>
      </c>
      <c r="R462" s="41">
        <f t="shared" si="30"/>
        <v>-35.159738442622952</v>
      </c>
    </row>
    <row r="463" spans="10:18">
      <c r="J463" s="46">
        <v>43479</v>
      </c>
      <c r="K463" s="2">
        <v>115.95285209016394</v>
      </c>
      <c r="L463" s="2">
        <v>78.78</v>
      </c>
      <c r="M463" s="2">
        <v>-37.172852090163943</v>
      </c>
      <c r="O463" s="39">
        <f t="shared" si="31"/>
        <v>43661</v>
      </c>
      <c r="P463" s="41">
        <f t="shared" si="28"/>
        <v>94.319738442622949</v>
      </c>
      <c r="Q463" s="41">
        <f t="shared" si="29"/>
        <v>60.94</v>
      </c>
      <c r="R463" s="41">
        <f t="shared" si="30"/>
        <v>-33.379738442622951</v>
      </c>
    </row>
    <row r="464" spans="10:18">
      <c r="J464" s="46">
        <v>43476</v>
      </c>
      <c r="K464" s="2">
        <v>115.95285209016394</v>
      </c>
      <c r="L464" s="2">
        <v>80.36</v>
      </c>
      <c r="M464" s="2">
        <v>-35.592852090163944</v>
      </c>
      <c r="O464" s="39">
        <f t="shared" si="31"/>
        <v>43660</v>
      </c>
      <c r="P464" s="41">
        <f t="shared" si="28"/>
        <v>94.319738442622949</v>
      </c>
      <c r="Q464" s="41">
        <f t="shared" si="29"/>
        <v>60.9</v>
      </c>
      <c r="R464" s="41">
        <f t="shared" si="30"/>
        <v>-33.41973844262295</v>
      </c>
    </row>
    <row r="465" spans="10:18">
      <c r="J465" s="46">
        <v>43475</v>
      </c>
      <c r="K465" s="2">
        <v>116.22405209016392</v>
      </c>
      <c r="L465" s="2">
        <v>79.650000000000006</v>
      </c>
      <c r="M465" s="2">
        <v>-36.574052090163917</v>
      </c>
      <c r="O465" s="39">
        <f t="shared" si="31"/>
        <v>43659</v>
      </c>
      <c r="P465" s="41">
        <f t="shared" si="28"/>
        <v>94.319738442622949</v>
      </c>
      <c r="Q465" s="41">
        <f t="shared" si="29"/>
        <v>60.9</v>
      </c>
      <c r="R465" s="41">
        <f t="shared" si="30"/>
        <v>-33.41973844262295</v>
      </c>
    </row>
    <row r="466" spans="10:18">
      <c r="J466" s="46">
        <v>43474</v>
      </c>
      <c r="K466" s="2">
        <v>116.22405209016392</v>
      </c>
      <c r="L466" s="2">
        <v>79.900000000000006</v>
      </c>
      <c r="M466" s="2">
        <v>-36.324052090163917</v>
      </c>
      <c r="O466" s="39">
        <f t="shared" si="31"/>
        <v>43658</v>
      </c>
      <c r="P466" s="41">
        <f t="shared" si="28"/>
        <v>94.319738442622949</v>
      </c>
      <c r="Q466" s="41">
        <f t="shared" si="29"/>
        <v>60.9</v>
      </c>
      <c r="R466" s="41">
        <f t="shared" si="30"/>
        <v>-33.41973844262295</v>
      </c>
    </row>
    <row r="467" spans="10:18">
      <c r="J467" s="46">
        <v>43473</v>
      </c>
      <c r="K467" s="2">
        <v>116.22405209016392</v>
      </c>
      <c r="L467" s="2">
        <v>79.400000000000006</v>
      </c>
      <c r="M467" s="2">
        <v>-36.824052090163917</v>
      </c>
      <c r="O467" s="39">
        <f t="shared" si="31"/>
        <v>43657</v>
      </c>
      <c r="P467" s="41">
        <f t="shared" si="28"/>
        <v>97.134883360655735</v>
      </c>
      <c r="Q467" s="41">
        <f t="shared" si="29"/>
        <v>61.09</v>
      </c>
      <c r="R467" s="41">
        <f t="shared" si="30"/>
        <v>-36.044883360655732</v>
      </c>
    </row>
    <row r="468" spans="10:18">
      <c r="J468" s="46">
        <v>43472</v>
      </c>
      <c r="K468" s="2">
        <v>116.22405209016392</v>
      </c>
      <c r="L468" s="2">
        <v>79.25</v>
      </c>
      <c r="M468" s="2">
        <v>-36.974052090163923</v>
      </c>
      <c r="O468" s="39">
        <f t="shared" si="31"/>
        <v>43656</v>
      </c>
      <c r="P468" s="41">
        <f t="shared" si="28"/>
        <v>97.134883360655735</v>
      </c>
      <c r="Q468" s="41">
        <f t="shared" si="29"/>
        <v>58.99</v>
      </c>
      <c r="R468" s="41">
        <f t="shared" si="30"/>
        <v>-38.144883360655733</v>
      </c>
    </row>
    <row r="469" spans="10:18">
      <c r="J469" s="46">
        <v>43469</v>
      </c>
      <c r="K469" s="2">
        <v>116.22405209016392</v>
      </c>
      <c r="L469" s="2">
        <v>81</v>
      </c>
      <c r="M469" s="2">
        <v>-35.224052090163923</v>
      </c>
      <c r="O469" s="39">
        <f t="shared" si="31"/>
        <v>43655</v>
      </c>
      <c r="P469" s="41">
        <f t="shared" si="28"/>
        <v>97.134883360655735</v>
      </c>
      <c r="Q469" s="41">
        <f t="shared" si="29"/>
        <v>58.82</v>
      </c>
      <c r="R469" s="41">
        <f t="shared" si="30"/>
        <v>-38.314883360655735</v>
      </c>
    </row>
    <row r="470" spans="10:18">
      <c r="J470" s="46">
        <v>43468</v>
      </c>
      <c r="K470" s="2">
        <v>113.77369340163933</v>
      </c>
      <c r="L470" s="2">
        <v>82.09</v>
      </c>
      <c r="M470" s="2">
        <v>-31.683693401639331</v>
      </c>
      <c r="O470" s="39">
        <f t="shared" si="31"/>
        <v>43654</v>
      </c>
      <c r="P470" s="41">
        <f t="shared" si="28"/>
        <v>97.134883360655735</v>
      </c>
      <c r="Q470" s="41">
        <f t="shared" si="29"/>
        <v>60.41</v>
      </c>
      <c r="R470" s="41">
        <f t="shared" si="30"/>
        <v>-36.724883360655738</v>
      </c>
    </row>
    <row r="471" spans="10:18">
      <c r="J471" s="46">
        <v>43467</v>
      </c>
      <c r="K471" s="2">
        <v>113.77369340163933</v>
      </c>
      <c r="L471" s="2">
        <v>83.97</v>
      </c>
      <c r="M471" s="2">
        <v>-29.803693401639336</v>
      </c>
      <c r="O471" s="39">
        <f t="shared" si="31"/>
        <v>43653</v>
      </c>
      <c r="P471" s="41">
        <f t="shared" si="28"/>
        <v>97.134883360655735</v>
      </c>
      <c r="Q471" s="41">
        <f t="shared" si="29"/>
        <v>58.55</v>
      </c>
      <c r="R471" s="41">
        <f t="shared" si="30"/>
        <v>-38.584883360655738</v>
      </c>
    </row>
    <row r="472" spans="10:18">
      <c r="J472" s="46">
        <v>43466</v>
      </c>
      <c r="K472" s="2">
        <v>113.77369340163933</v>
      </c>
      <c r="L472" s="2">
        <v>84.29</v>
      </c>
      <c r="M472" s="2">
        <v>-29.483693401639329</v>
      </c>
      <c r="O472" s="39">
        <f t="shared" si="31"/>
        <v>43652</v>
      </c>
      <c r="P472" s="41">
        <f t="shared" si="28"/>
        <v>97.134883360655735</v>
      </c>
      <c r="Q472" s="41">
        <f t="shared" si="29"/>
        <v>58.55</v>
      </c>
      <c r="R472" s="41">
        <f t="shared" si="30"/>
        <v>-38.584883360655738</v>
      </c>
    </row>
    <row r="473" spans="10:18">
      <c r="J473" s="46">
        <v>43465</v>
      </c>
      <c r="K473" s="2">
        <v>113.77369340163933</v>
      </c>
      <c r="L473" s="2">
        <v>84.29</v>
      </c>
      <c r="M473" s="2">
        <v>-29.483693401639329</v>
      </c>
      <c r="O473" s="39">
        <f t="shared" si="31"/>
        <v>43651</v>
      </c>
      <c r="P473" s="41">
        <f t="shared" si="28"/>
        <v>97.134883360655735</v>
      </c>
      <c r="Q473" s="41">
        <f t="shared" si="29"/>
        <v>58.55</v>
      </c>
      <c r="R473" s="41">
        <f t="shared" si="30"/>
        <v>-38.584883360655738</v>
      </c>
    </row>
    <row r="474" spans="10:18">
      <c r="J474" s="46">
        <v>43462</v>
      </c>
      <c r="K474" s="2">
        <v>113.77369340163933</v>
      </c>
      <c r="L474" s="2">
        <v>84.25</v>
      </c>
      <c r="M474" s="2">
        <v>-29.523693401639335</v>
      </c>
      <c r="O474" s="39">
        <f t="shared" si="31"/>
        <v>43650</v>
      </c>
      <c r="P474" s="41">
        <f t="shared" si="28"/>
        <v>95.290723360655733</v>
      </c>
      <c r="Q474" s="41">
        <f t="shared" si="29"/>
        <v>55.05</v>
      </c>
      <c r="R474" s="41">
        <f t="shared" si="30"/>
        <v>-40.240723360655736</v>
      </c>
    </row>
    <row r="475" spans="10:18">
      <c r="J475" s="46">
        <v>43461</v>
      </c>
      <c r="K475" s="2">
        <v>113.77369340163933</v>
      </c>
      <c r="L475" s="2">
        <v>84.31</v>
      </c>
      <c r="M475" s="2">
        <v>-29.463693401639333</v>
      </c>
      <c r="O475" s="39">
        <f t="shared" si="31"/>
        <v>43649</v>
      </c>
      <c r="P475" s="41">
        <f t="shared" si="28"/>
        <v>95.290723360655733</v>
      </c>
      <c r="Q475" s="41">
        <f t="shared" si="29"/>
        <v>53.98</v>
      </c>
      <c r="R475" s="41">
        <f t="shared" si="30"/>
        <v>-41.310723360655736</v>
      </c>
    </row>
    <row r="476" spans="10:18">
      <c r="J476" s="46">
        <v>43460</v>
      </c>
      <c r="K476" s="2">
        <v>113.77369340163933</v>
      </c>
      <c r="L476" s="2">
        <v>85.5</v>
      </c>
      <c r="M476" s="2">
        <v>-28.273693401639335</v>
      </c>
      <c r="O476" s="39">
        <f t="shared" si="31"/>
        <v>43648</v>
      </c>
      <c r="P476" s="41">
        <f t="shared" si="28"/>
        <v>95.290723360655733</v>
      </c>
      <c r="Q476" s="41">
        <f t="shared" si="29"/>
        <v>52.44</v>
      </c>
      <c r="R476" s="41">
        <f t="shared" si="30"/>
        <v>-42.850723360655735</v>
      </c>
    </row>
    <row r="477" spans="10:18">
      <c r="J477" s="46">
        <v>43459</v>
      </c>
      <c r="K477" s="2">
        <v>113.77369340163933</v>
      </c>
      <c r="L477" s="2">
        <v>85.5</v>
      </c>
      <c r="M477" s="2">
        <v>-28.273693401639335</v>
      </c>
      <c r="O477" s="39">
        <f t="shared" si="31"/>
        <v>43647</v>
      </c>
      <c r="P477" s="41">
        <f t="shared" si="28"/>
        <v>95.290723360655733</v>
      </c>
      <c r="Q477" s="41">
        <f t="shared" si="29"/>
        <v>52.53</v>
      </c>
      <c r="R477" s="41">
        <f t="shared" si="30"/>
        <v>-42.760723360655732</v>
      </c>
    </row>
    <row r="478" spans="10:18">
      <c r="J478" s="46">
        <v>43458</v>
      </c>
      <c r="K478" s="2">
        <v>113.77369340163933</v>
      </c>
      <c r="L478" s="2">
        <v>85.5</v>
      </c>
      <c r="M478" s="2">
        <v>-28.273693401639335</v>
      </c>
      <c r="O478" s="39">
        <f t="shared" si="31"/>
        <v>43646</v>
      </c>
      <c r="P478" s="41">
        <f t="shared" si="28"/>
        <v>95.290723360655733</v>
      </c>
      <c r="Q478" s="41">
        <f t="shared" si="29"/>
        <v>48.08</v>
      </c>
      <c r="R478" s="41">
        <f t="shared" si="30"/>
        <v>-47.210723360655734</v>
      </c>
    </row>
    <row r="479" spans="10:18">
      <c r="J479" s="46">
        <v>43455</v>
      </c>
      <c r="K479" s="2">
        <v>113.77369340163933</v>
      </c>
      <c r="L479" s="2">
        <v>86.27</v>
      </c>
      <c r="M479" s="2">
        <v>-27.503693401639339</v>
      </c>
      <c r="O479" s="39">
        <f t="shared" si="31"/>
        <v>43645</v>
      </c>
      <c r="P479" s="41">
        <f t="shared" si="28"/>
        <v>95.290723360655733</v>
      </c>
      <c r="Q479" s="41">
        <f t="shared" si="29"/>
        <v>48.08</v>
      </c>
      <c r="R479" s="41">
        <f t="shared" si="30"/>
        <v>-47.210723360655734</v>
      </c>
    </row>
    <row r="480" spans="10:18">
      <c r="J480" s="46">
        <v>43454</v>
      </c>
      <c r="K480" s="2">
        <v>113.99969340163933</v>
      </c>
      <c r="L480" s="2">
        <v>86.99</v>
      </c>
      <c r="M480" s="2">
        <v>-27.009693401639339</v>
      </c>
      <c r="O480" s="39">
        <f t="shared" si="31"/>
        <v>43644</v>
      </c>
      <c r="P480" s="41">
        <f t="shared" si="28"/>
        <v>95.290723360655733</v>
      </c>
      <c r="Q480" s="41">
        <f t="shared" si="29"/>
        <v>48.08</v>
      </c>
      <c r="R480" s="41">
        <f t="shared" si="30"/>
        <v>-47.210723360655734</v>
      </c>
    </row>
    <row r="481" spans="10:18">
      <c r="J481" s="46">
        <v>43453</v>
      </c>
      <c r="K481" s="2">
        <v>113.99969340163933</v>
      </c>
      <c r="L481" s="2">
        <v>88.25</v>
      </c>
      <c r="M481" s="2">
        <v>-25.749693401639334</v>
      </c>
      <c r="O481" s="39">
        <f t="shared" si="31"/>
        <v>43643</v>
      </c>
      <c r="P481" s="41">
        <f t="shared" si="28"/>
        <v>93.880483360655731</v>
      </c>
      <c r="Q481" s="41">
        <f t="shared" si="29"/>
        <v>48.53</v>
      </c>
      <c r="R481" s="41">
        <f t="shared" si="30"/>
        <v>-45.35048336065573</v>
      </c>
    </row>
    <row r="482" spans="10:18">
      <c r="J482" s="46">
        <v>43452</v>
      </c>
      <c r="K482" s="2">
        <v>113.99969340163933</v>
      </c>
      <c r="L482" s="2">
        <v>88.63</v>
      </c>
      <c r="M482" s="2">
        <v>-25.369693401639339</v>
      </c>
      <c r="O482" s="39">
        <f t="shared" si="31"/>
        <v>43642</v>
      </c>
      <c r="P482" s="41">
        <f t="shared" si="28"/>
        <v>93.880483360655731</v>
      </c>
      <c r="Q482" s="41">
        <f t="shared" si="29"/>
        <v>48.76</v>
      </c>
      <c r="R482" s="41">
        <f t="shared" si="30"/>
        <v>-45.120483360655733</v>
      </c>
    </row>
    <row r="483" spans="10:18">
      <c r="J483" s="46">
        <v>43451</v>
      </c>
      <c r="K483" s="2">
        <v>113.99969340163933</v>
      </c>
      <c r="L483" s="2">
        <v>89.61</v>
      </c>
      <c r="M483" s="2">
        <v>-24.389693401639335</v>
      </c>
      <c r="O483" s="39">
        <f t="shared" si="31"/>
        <v>43641</v>
      </c>
      <c r="P483" s="41">
        <f t="shared" si="28"/>
        <v>93.880483360655731</v>
      </c>
      <c r="Q483" s="41">
        <f t="shared" si="29"/>
        <v>48.73</v>
      </c>
      <c r="R483" s="41">
        <f t="shared" si="30"/>
        <v>-45.150483360655734</v>
      </c>
    </row>
    <row r="484" spans="10:18">
      <c r="J484" s="46">
        <v>43448</v>
      </c>
      <c r="K484" s="2">
        <v>113.99969340163933</v>
      </c>
      <c r="L484" s="2">
        <v>89.08</v>
      </c>
      <c r="M484" s="2">
        <v>-24.919693401639336</v>
      </c>
      <c r="O484" s="39">
        <f t="shared" si="31"/>
        <v>43640</v>
      </c>
      <c r="P484" s="41">
        <f t="shared" si="28"/>
        <v>93.880483360655731</v>
      </c>
      <c r="Q484" s="41">
        <f t="shared" si="29"/>
        <v>49.06</v>
      </c>
      <c r="R484" s="41">
        <f t="shared" si="30"/>
        <v>-44.820483360655729</v>
      </c>
    </row>
    <row r="485" spans="10:18">
      <c r="J485" s="46">
        <v>43447</v>
      </c>
      <c r="K485" s="2">
        <v>113.99969340163933</v>
      </c>
      <c r="L485" s="2">
        <v>87.69</v>
      </c>
      <c r="M485" s="2">
        <v>-26.309693401639336</v>
      </c>
      <c r="O485" s="39">
        <f t="shared" si="31"/>
        <v>43639</v>
      </c>
      <c r="P485" s="41">
        <f t="shared" si="28"/>
        <v>93.880483360655731</v>
      </c>
      <c r="Q485" s="41">
        <f t="shared" si="29"/>
        <v>49.23</v>
      </c>
      <c r="R485" s="41">
        <f t="shared" si="30"/>
        <v>-44.650483360655734</v>
      </c>
    </row>
    <row r="486" spans="10:18">
      <c r="J486" s="46">
        <v>43446</v>
      </c>
      <c r="K486" s="2">
        <v>113.99969340163933</v>
      </c>
      <c r="L486" s="2">
        <v>86.82</v>
      </c>
      <c r="M486" s="2">
        <v>-27.179693401639341</v>
      </c>
      <c r="O486" s="39">
        <f t="shared" si="31"/>
        <v>43638</v>
      </c>
      <c r="P486" s="41">
        <f t="shared" si="28"/>
        <v>93.880483360655731</v>
      </c>
      <c r="Q486" s="41">
        <f t="shared" si="29"/>
        <v>49.23</v>
      </c>
      <c r="R486" s="41">
        <f t="shared" si="30"/>
        <v>-44.650483360655734</v>
      </c>
    </row>
    <row r="487" spans="10:18">
      <c r="J487" s="46">
        <v>43445</v>
      </c>
      <c r="K487" s="2">
        <v>113.99969340163933</v>
      </c>
      <c r="L487" s="2">
        <v>85.07</v>
      </c>
      <c r="M487" s="2">
        <v>-28.929693401639341</v>
      </c>
      <c r="O487" s="39">
        <f t="shared" si="31"/>
        <v>43637</v>
      </c>
      <c r="P487" s="41">
        <f t="shared" si="28"/>
        <v>93.880483360655731</v>
      </c>
      <c r="Q487" s="41">
        <f t="shared" si="29"/>
        <v>49.23</v>
      </c>
      <c r="R487" s="41">
        <f t="shared" si="30"/>
        <v>-44.650483360655734</v>
      </c>
    </row>
    <row r="488" spans="10:18">
      <c r="J488" s="46">
        <v>43444</v>
      </c>
      <c r="K488" s="2">
        <v>113.99969340163933</v>
      </c>
      <c r="L488" s="2">
        <v>84.27</v>
      </c>
      <c r="M488" s="2">
        <v>-29.729693401639338</v>
      </c>
      <c r="O488" s="39">
        <f t="shared" si="31"/>
        <v>43636</v>
      </c>
      <c r="P488" s="41">
        <f t="shared" si="28"/>
        <v>90.150163483606562</v>
      </c>
      <c r="Q488" s="41">
        <f t="shared" si="29"/>
        <v>49</v>
      </c>
      <c r="R488" s="41">
        <f t="shared" si="30"/>
        <v>-41.150163483606562</v>
      </c>
    </row>
    <row r="489" spans="10:18">
      <c r="J489" s="46">
        <v>43441</v>
      </c>
      <c r="K489" s="2">
        <v>113.99969340163933</v>
      </c>
      <c r="L489" s="2">
        <v>84.8</v>
      </c>
      <c r="M489" s="2">
        <v>-29.199693401639337</v>
      </c>
      <c r="O489" s="39">
        <f t="shared" si="31"/>
        <v>43635</v>
      </c>
      <c r="P489" s="41">
        <f t="shared" si="28"/>
        <v>90.150163483606562</v>
      </c>
      <c r="Q489" s="41">
        <f t="shared" si="29"/>
        <v>48.26</v>
      </c>
      <c r="R489" s="41">
        <f t="shared" si="30"/>
        <v>-41.890163483606564</v>
      </c>
    </row>
    <row r="490" spans="10:18">
      <c r="J490" s="46">
        <v>43440</v>
      </c>
      <c r="K490" s="2">
        <v>110.92238385245901</v>
      </c>
      <c r="L490" s="2">
        <v>84.88</v>
      </c>
      <c r="M490" s="2">
        <v>-26.042383852459011</v>
      </c>
      <c r="O490" s="39">
        <f t="shared" si="31"/>
        <v>43634</v>
      </c>
      <c r="P490" s="41">
        <f t="shared" si="28"/>
        <v>90.150163483606562</v>
      </c>
      <c r="Q490" s="41">
        <f t="shared" si="29"/>
        <v>49.01</v>
      </c>
      <c r="R490" s="41">
        <f t="shared" si="30"/>
        <v>-41.140163483606564</v>
      </c>
    </row>
    <row r="491" spans="10:18">
      <c r="J491" s="46">
        <v>43439</v>
      </c>
      <c r="K491" s="2">
        <v>110.92238385245901</v>
      </c>
      <c r="L491" s="2">
        <v>84.02</v>
      </c>
      <c r="M491" s="2">
        <v>-26.90238385245901</v>
      </c>
      <c r="O491" s="39">
        <f t="shared" si="31"/>
        <v>43633</v>
      </c>
      <c r="P491" s="41">
        <f t="shared" si="28"/>
        <v>90.150163483606562</v>
      </c>
      <c r="Q491" s="41">
        <f t="shared" si="29"/>
        <v>48.81</v>
      </c>
      <c r="R491" s="41">
        <f t="shared" si="30"/>
        <v>-41.34016348360656</v>
      </c>
    </row>
    <row r="492" spans="10:18">
      <c r="J492" s="46">
        <v>43438</v>
      </c>
      <c r="K492" s="2">
        <v>110.92238385245901</v>
      </c>
      <c r="L492" s="2">
        <v>83.94</v>
      </c>
      <c r="M492" s="2">
        <v>-26.982383852459009</v>
      </c>
      <c r="O492" s="39">
        <f t="shared" si="31"/>
        <v>43632</v>
      </c>
      <c r="P492" s="41">
        <f t="shared" si="28"/>
        <v>90.150163483606562</v>
      </c>
      <c r="Q492" s="41">
        <f t="shared" si="29"/>
        <v>49.45</v>
      </c>
      <c r="R492" s="41">
        <f t="shared" si="30"/>
        <v>-40.700163483606559</v>
      </c>
    </row>
    <row r="493" spans="10:18">
      <c r="J493" s="46">
        <v>43437</v>
      </c>
      <c r="K493" s="2">
        <v>110.92238385245901</v>
      </c>
      <c r="L493" s="2">
        <v>85.19</v>
      </c>
      <c r="M493" s="2">
        <v>-25.732383852459009</v>
      </c>
      <c r="O493" s="39">
        <f t="shared" si="31"/>
        <v>43631</v>
      </c>
      <c r="P493" s="41">
        <f t="shared" si="28"/>
        <v>90.150163483606562</v>
      </c>
      <c r="Q493" s="41">
        <f t="shared" si="29"/>
        <v>49.45</v>
      </c>
      <c r="R493" s="41">
        <f t="shared" si="30"/>
        <v>-40.700163483606559</v>
      </c>
    </row>
    <row r="494" spans="10:18">
      <c r="J494" s="46">
        <v>43434</v>
      </c>
      <c r="K494" s="2">
        <v>110.92238385245901</v>
      </c>
      <c r="L494" s="2">
        <v>82.57</v>
      </c>
      <c r="M494" s="2">
        <v>-28.352383852459013</v>
      </c>
      <c r="O494" s="39">
        <f t="shared" si="31"/>
        <v>43630</v>
      </c>
      <c r="P494" s="41">
        <f t="shared" si="28"/>
        <v>90.150163483606562</v>
      </c>
      <c r="Q494" s="41">
        <f t="shared" si="29"/>
        <v>49.45</v>
      </c>
      <c r="R494" s="41">
        <f t="shared" si="30"/>
        <v>-40.700163483606559</v>
      </c>
    </row>
    <row r="495" spans="10:18">
      <c r="J495" s="46">
        <v>43433</v>
      </c>
      <c r="K495" s="2">
        <v>110.69638385245901</v>
      </c>
      <c r="L495" s="2">
        <v>81.540000000000006</v>
      </c>
      <c r="M495" s="2">
        <v>-29.156383852459001</v>
      </c>
      <c r="O495" s="39">
        <f t="shared" si="31"/>
        <v>43629</v>
      </c>
      <c r="P495" s="41">
        <f t="shared" si="28"/>
        <v>90.376163483606561</v>
      </c>
      <c r="Q495" s="41">
        <f t="shared" si="29"/>
        <v>49.97</v>
      </c>
      <c r="R495" s="41">
        <f t="shared" si="30"/>
        <v>-40.406163483606562</v>
      </c>
    </row>
    <row r="496" spans="10:18">
      <c r="J496" s="46">
        <v>43432</v>
      </c>
      <c r="K496" s="2">
        <v>110.69638385245901</v>
      </c>
      <c r="L496" s="2">
        <v>81.53</v>
      </c>
      <c r="M496" s="2">
        <v>-29.166383852459006</v>
      </c>
      <c r="O496" s="39">
        <f t="shared" si="31"/>
        <v>43628</v>
      </c>
      <c r="P496" s="41">
        <f t="shared" si="28"/>
        <v>90.376163483606561</v>
      </c>
      <c r="Q496" s="41">
        <f t="shared" si="29"/>
        <v>50.66</v>
      </c>
      <c r="R496" s="41">
        <f t="shared" si="30"/>
        <v>-39.716163483606564</v>
      </c>
    </row>
    <row r="497" spans="10:18">
      <c r="J497" s="46">
        <v>43431</v>
      </c>
      <c r="K497" s="2">
        <v>110.69638385245901</v>
      </c>
      <c r="L497" s="2">
        <v>79.66</v>
      </c>
      <c r="M497" s="2">
        <v>-31.036383852459011</v>
      </c>
      <c r="O497" s="39">
        <f t="shared" si="31"/>
        <v>43627</v>
      </c>
      <c r="P497" s="41">
        <f t="shared" si="28"/>
        <v>90.376163483606561</v>
      </c>
      <c r="Q497" s="41">
        <f t="shared" si="29"/>
        <v>50.97</v>
      </c>
      <c r="R497" s="41">
        <f t="shared" si="30"/>
        <v>-39.406163483606562</v>
      </c>
    </row>
    <row r="498" spans="10:18">
      <c r="J498" s="46">
        <v>43430</v>
      </c>
      <c r="K498" s="2">
        <v>110.69638385245901</v>
      </c>
      <c r="L498" s="2">
        <v>78.66</v>
      </c>
      <c r="M498" s="2">
        <v>-32.036383852459011</v>
      </c>
      <c r="O498" s="39">
        <f t="shared" si="31"/>
        <v>43626</v>
      </c>
      <c r="P498" s="41">
        <f t="shared" si="28"/>
        <v>90.376163483606561</v>
      </c>
      <c r="Q498" s="41">
        <f t="shared" si="29"/>
        <v>51.95</v>
      </c>
      <c r="R498" s="41">
        <f t="shared" si="30"/>
        <v>-38.426163483606558</v>
      </c>
    </row>
    <row r="499" spans="10:18">
      <c r="J499" s="46">
        <v>43427</v>
      </c>
      <c r="K499" s="2">
        <v>110.69638385245901</v>
      </c>
      <c r="L499" s="2">
        <v>79.099999999999994</v>
      </c>
      <c r="M499" s="2">
        <v>-31.596383852459013</v>
      </c>
      <c r="O499" s="39">
        <f t="shared" si="31"/>
        <v>43625</v>
      </c>
      <c r="P499" s="41">
        <f t="shared" si="28"/>
        <v>90.376163483606561</v>
      </c>
      <c r="Q499" s="41">
        <f t="shared" si="29"/>
        <v>52.25</v>
      </c>
      <c r="R499" s="41">
        <f t="shared" si="30"/>
        <v>-38.126163483606561</v>
      </c>
    </row>
    <row r="500" spans="10:18">
      <c r="J500" s="46">
        <v>43426</v>
      </c>
      <c r="K500" s="2">
        <v>110.24438385245901</v>
      </c>
      <c r="L500" s="2">
        <v>79.67</v>
      </c>
      <c r="M500" s="2">
        <v>-30.574383852459007</v>
      </c>
      <c r="O500" s="39">
        <f t="shared" si="31"/>
        <v>43624</v>
      </c>
      <c r="P500" s="41">
        <f t="shared" si="28"/>
        <v>90.376163483606561</v>
      </c>
      <c r="Q500" s="41">
        <f t="shared" si="29"/>
        <v>52.25</v>
      </c>
      <c r="R500" s="41">
        <f t="shared" si="30"/>
        <v>-38.126163483606561</v>
      </c>
    </row>
    <row r="501" spans="10:18">
      <c r="J501" s="46">
        <v>43425</v>
      </c>
      <c r="K501" s="2">
        <v>110.24438385245901</v>
      </c>
      <c r="L501" s="2">
        <v>79.709999999999994</v>
      </c>
      <c r="M501" s="2">
        <v>-30.534383852459015</v>
      </c>
      <c r="O501" s="39">
        <f t="shared" si="31"/>
        <v>43623</v>
      </c>
      <c r="P501" s="41">
        <f t="shared" si="28"/>
        <v>90.376163483606561</v>
      </c>
      <c r="Q501" s="41">
        <f t="shared" si="29"/>
        <v>52.25</v>
      </c>
      <c r="R501" s="41">
        <f t="shared" si="30"/>
        <v>-38.126163483606561</v>
      </c>
    </row>
    <row r="502" spans="10:18">
      <c r="J502" s="46">
        <v>43424</v>
      </c>
      <c r="K502" s="2">
        <v>110.24438385245901</v>
      </c>
      <c r="L502" s="2">
        <v>79.78</v>
      </c>
      <c r="M502" s="2">
        <v>-30.464383852459008</v>
      </c>
      <c r="O502" s="39">
        <f t="shared" si="31"/>
        <v>43622</v>
      </c>
      <c r="P502" s="41">
        <f t="shared" si="28"/>
        <v>90.376163483606561</v>
      </c>
      <c r="Q502" s="41">
        <f t="shared" si="29"/>
        <v>50.75</v>
      </c>
      <c r="R502" s="41">
        <f t="shared" si="30"/>
        <v>-39.626163483606561</v>
      </c>
    </row>
    <row r="503" spans="10:18">
      <c r="J503" s="46">
        <v>43423</v>
      </c>
      <c r="K503" s="2">
        <v>110.24438385245901</v>
      </c>
      <c r="L503" s="2">
        <v>81.12</v>
      </c>
      <c r="M503" s="2">
        <v>-29.124383852459005</v>
      </c>
      <c r="O503" s="39">
        <f t="shared" si="31"/>
        <v>43621</v>
      </c>
      <c r="P503" s="41">
        <f t="shared" si="28"/>
        <v>90.376163483606561</v>
      </c>
      <c r="Q503" s="41">
        <f t="shared" si="29"/>
        <v>51.5</v>
      </c>
      <c r="R503" s="41">
        <f t="shared" si="30"/>
        <v>-38.876163483606561</v>
      </c>
    </row>
    <row r="504" spans="10:18">
      <c r="J504" s="46">
        <v>43420</v>
      </c>
      <c r="K504" s="2">
        <v>110.24438385245901</v>
      </c>
      <c r="L504" s="2">
        <v>85.6</v>
      </c>
      <c r="M504" s="2">
        <v>-24.644383852459015</v>
      </c>
      <c r="O504" s="39">
        <f t="shared" si="31"/>
        <v>43620</v>
      </c>
      <c r="P504" s="41">
        <f t="shared" si="28"/>
        <v>90.376163483606561</v>
      </c>
      <c r="Q504" s="41">
        <f t="shared" si="29"/>
        <v>51.89</v>
      </c>
      <c r="R504" s="41">
        <f t="shared" si="30"/>
        <v>-38.48616348360656</v>
      </c>
    </row>
    <row r="505" spans="10:18">
      <c r="J505" s="46">
        <v>43419</v>
      </c>
      <c r="K505" s="2">
        <v>111.057983852459</v>
      </c>
      <c r="L505" s="2">
        <v>84</v>
      </c>
      <c r="M505" s="2">
        <v>-27.057983852459003</v>
      </c>
      <c r="O505" s="39">
        <f t="shared" si="31"/>
        <v>43619</v>
      </c>
      <c r="P505" s="41">
        <f t="shared" si="28"/>
        <v>90.376163483606561</v>
      </c>
      <c r="Q505" s="41">
        <f t="shared" si="29"/>
        <v>51.68</v>
      </c>
      <c r="R505" s="41">
        <f t="shared" si="30"/>
        <v>-38.696163483606561</v>
      </c>
    </row>
    <row r="506" spans="10:18">
      <c r="J506" s="46">
        <v>43418</v>
      </c>
      <c r="K506" s="2">
        <v>111.057983852459</v>
      </c>
      <c r="L506" s="2">
        <v>86.52</v>
      </c>
      <c r="M506" s="2">
        <v>-24.537983852459007</v>
      </c>
      <c r="O506" s="39">
        <f t="shared" si="31"/>
        <v>43618</v>
      </c>
      <c r="P506" s="41">
        <f t="shared" si="28"/>
        <v>90.376163483606561</v>
      </c>
      <c r="Q506" s="41">
        <f t="shared" si="29"/>
        <v>50.45</v>
      </c>
      <c r="R506" s="41">
        <f t="shared" si="30"/>
        <v>-39.926163483606558</v>
      </c>
    </row>
    <row r="507" spans="10:18">
      <c r="J507" s="46">
        <v>43417</v>
      </c>
      <c r="K507" s="2">
        <v>111.057983852459</v>
      </c>
      <c r="L507" s="2">
        <v>88.15</v>
      </c>
      <c r="M507" s="2">
        <v>-22.907983852458997</v>
      </c>
      <c r="O507" s="39">
        <f t="shared" si="31"/>
        <v>43617</v>
      </c>
      <c r="P507" s="41">
        <f t="shared" si="28"/>
        <v>90.376163483606561</v>
      </c>
      <c r="Q507" s="41">
        <f t="shared" si="29"/>
        <v>50.45</v>
      </c>
      <c r="R507" s="41">
        <f t="shared" si="30"/>
        <v>-39.926163483606558</v>
      </c>
    </row>
    <row r="508" spans="10:18">
      <c r="J508" s="46">
        <v>43416</v>
      </c>
      <c r="K508" s="2">
        <v>111.057983852459</v>
      </c>
      <c r="L508" s="2">
        <v>90.18</v>
      </c>
      <c r="M508" s="2">
        <v>-20.877983852458996</v>
      </c>
      <c r="O508" s="39">
        <f t="shared" si="31"/>
        <v>43616</v>
      </c>
      <c r="P508" s="41">
        <f t="shared" si="28"/>
        <v>90.376163483606561</v>
      </c>
      <c r="Q508" s="41">
        <f t="shared" si="29"/>
        <v>50.45</v>
      </c>
      <c r="R508" s="41">
        <f t="shared" si="30"/>
        <v>-39.926163483606558</v>
      </c>
    </row>
    <row r="509" spans="10:18">
      <c r="J509" s="46">
        <v>43413</v>
      </c>
      <c r="K509" s="2">
        <v>111.057983852459</v>
      </c>
      <c r="L509" s="2">
        <v>89.15</v>
      </c>
      <c r="M509" s="2">
        <v>-21.907983852458997</v>
      </c>
      <c r="O509" s="39">
        <f t="shared" si="31"/>
        <v>43615</v>
      </c>
      <c r="P509" s="41">
        <f t="shared" si="28"/>
        <v>90.240563483606564</v>
      </c>
      <c r="Q509" s="41">
        <f t="shared" si="29"/>
        <v>51.45</v>
      </c>
      <c r="R509" s="41">
        <f t="shared" si="30"/>
        <v>-38.790563483606562</v>
      </c>
    </row>
    <row r="510" spans="10:18">
      <c r="J510" s="46">
        <v>43412</v>
      </c>
      <c r="K510" s="2">
        <v>112.32358385245901</v>
      </c>
      <c r="L510" s="2">
        <v>91.86</v>
      </c>
      <c r="M510" s="2">
        <v>-20.46358385245901</v>
      </c>
      <c r="O510" s="39">
        <f t="shared" si="31"/>
        <v>43614</v>
      </c>
      <c r="P510" s="41">
        <f t="shared" si="28"/>
        <v>90.240563483606564</v>
      </c>
      <c r="Q510" s="41">
        <f t="shared" si="29"/>
        <v>52.77</v>
      </c>
      <c r="R510" s="41">
        <f t="shared" si="30"/>
        <v>-37.470563483606561</v>
      </c>
    </row>
    <row r="511" spans="10:18">
      <c r="J511" s="46">
        <v>43411</v>
      </c>
      <c r="K511" s="2">
        <v>112.32358385245901</v>
      </c>
      <c r="L511" s="2">
        <v>91.16</v>
      </c>
      <c r="M511" s="2">
        <v>-21.163583852459013</v>
      </c>
      <c r="O511" s="39">
        <f t="shared" si="31"/>
        <v>43613</v>
      </c>
      <c r="P511" s="41">
        <f t="shared" si="28"/>
        <v>90.240563483606564</v>
      </c>
      <c r="Q511" s="41">
        <f t="shared" si="29"/>
        <v>54.31</v>
      </c>
      <c r="R511" s="41">
        <f t="shared" si="30"/>
        <v>-35.930563483606562</v>
      </c>
    </row>
    <row r="512" spans="10:18">
      <c r="J512" s="46">
        <v>43410</v>
      </c>
      <c r="K512" s="2">
        <v>112.32358385245901</v>
      </c>
      <c r="L512" s="2">
        <v>91.35</v>
      </c>
      <c r="M512" s="2">
        <v>-20.973583852459015</v>
      </c>
      <c r="O512" s="39">
        <f t="shared" si="31"/>
        <v>43612</v>
      </c>
      <c r="P512" s="41">
        <f t="shared" si="28"/>
        <v>90.240563483606564</v>
      </c>
      <c r="Q512" s="41">
        <f t="shared" si="29"/>
        <v>55</v>
      </c>
      <c r="R512" s="41">
        <f t="shared" si="30"/>
        <v>-35.240563483606564</v>
      </c>
    </row>
    <row r="513" spans="10:18">
      <c r="J513" s="46">
        <v>43409</v>
      </c>
      <c r="K513" s="2">
        <v>112.32358385245901</v>
      </c>
      <c r="L513" s="2">
        <v>92.52</v>
      </c>
      <c r="M513" s="2">
        <v>-19.803583852459013</v>
      </c>
      <c r="O513" s="39">
        <f t="shared" si="31"/>
        <v>43611</v>
      </c>
      <c r="P513" s="41">
        <f t="shared" si="28"/>
        <v>90.240563483606564</v>
      </c>
      <c r="Q513" s="41">
        <f t="shared" si="29"/>
        <v>55</v>
      </c>
      <c r="R513" s="41">
        <f t="shared" si="30"/>
        <v>-35.240563483606564</v>
      </c>
    </row>
    <row r="514" spans="10:18">
      <c r="J514" s="46">
        <v>43406</v>
      </c>
      <c r="K514" s="2">
        <v>112.32358385245901</v>
      </c>
      <c r="L514" s="2">
        <v>93.75</v>
      </c>
      <c r="M514" s="2">
        <v>-18.573583852459009</v>
      </c>
      <c r="O514" s="39">
        <f t="shared" si="31"/>
        <v>43610</v>
      </c>
      <c r="P514" s="41">
        <f t="shared" si="28"/>
        <v>90.240563483606564</v>
      </c>
      <c r="Q514" s="41">
        <f t="shared" si="29"/>
        <v>55</v>
      </c>
      <c r="R514" s="41">
        <f t="shared" si="30"/>
        <v>-35.240563483606564</v>
      </c>
    </row>
    <row r="515" spans="10:18">
      <c r="J515" s="46">
        <v>43405</v>
      </c>
      <c r="K515" s="2">
        <v>112.77558385245901</v>
      </c>
      <c r="L515" s="2">
        <v>94.02</v>
      </c>
      <c r="M515" s="2">
        <v>-18.755583852459011</v>
      </c>
      <c r="O515" s="39">
        <f t="shared" si="31"/>
        <v>43609</v>
      </c>
      <c r="P515" s="41">
        <f t="shared" si="28"/>
        <v>90.240563483606564</v>
      </c>
      <c r="Q515" s="41">
        <f t="shared" si="29"/>
        <v>55</v>
      </c>
      <c r="R515" s="41">
        <f t="shared" si="30"/>
        <v>-35.240563483606564</v>
      </c>
    </row>
    <row r="516" spans="10:18">
      <c r="J516" s="46">
        <v>43404</v>
      </c>
      <c r="K516" s="2">
        <v>112.77558385245901</v>
      </c>
      <c r="L516" s="2">
        <v>97.75</v>
      </c>
      <c r="M516" s="2">
        <v>-15.025583852459008</v>
      </c>
      <c r="O516" s="39">
        <f t="shared" si="31"/>
        <v>43608</v>
      </c>
      <c r="P516" s="41">
        <f t="shared" si="28"/>
        <v>95.775673975409845</v>
      </c>
      <c r="Q516" s="41">
        <f t="shared" si="29"/>
        <v>56</v>
      </c>
      <c r="R516" s="41">
        <f t="shared" si="30"/>
        <v>-39.775673975409845</v>
      </c>
    </row>
    <row r="517" spans="10:18">
      <c r="J517" s="46">
        <v>43403</v>
      </c>
      <c r="K517" s="2">
        <v>112.77558385245901</v>
      </c>
      <c r="L517" s="2">
        <v>97.3</v>
      </c>
      <c r="M517" s="2">
        <v>-15.47558385245901</v>
      </c>
      <c r="O517" s="39">
        <f t="shared" si="31"/>
        <v>43607</v>
      </c>
      <c r="P517" s="41">
        <f t="shared" si="28"/>
        <v>95.775673975409845</v>
      </c>
      <c r="Q517" s="41">
        <f t="shared" si="29"/>
        <v>57.11</v>
      </c>
      <c r="R517" s="41">
        <f t="shared" si="30"/>
        <v>-38.665673975409845</v>
      </c>
    </row>
    <row r="518" spans="10:18">
      <c r="J518" s="46">
        <v>43402</v>
      </c>
      <c r="K518" s="2">
        <v>112.77558385245901</v>
      </c>
      <c r="L518" s="2">
        <v>98.13</v>
      </c>
      <c r="M518" s="2">
        <v>-14.645583852459012</v>
      </c>
      <c r="O518" s="39">
        <f t="shared" si="31"/>
        <v>43606</v>
      </c>
      <c r="P518" s="41">
        <f t="shared" ref="P518:P581" si="32">IFERROR(VLOOKUP($O518,$J$5:$M$403,2,FALSE),P519)</f>
        <v>95.775673975409845</v>
      </c>
      <c r="Q518" s="41">
        <f t="shared" ref="Q518:Q581" si="33">IFERROR(VLOOKUP($O518,$J$5:$M$403,3,FALSE),Q519)</f>
        <v>56.5</v>
      </c>
      <c r="R518" s="41">
        <f t="shared" ref="R518:R581" si="34">IFERROR(VLOOKUP($O518,$J$5:$M$403,4,FALSE),R519)</f>
        <v>-39.275673975409845</v>
      </c>
    </row>
    <row r="519" spans="10:18">
      <c r="J519" s="46">
        <v>43399</v>
      </c>
      <c r="K519" s="2">
        <v>112.77558385245901</v>
      </c>
      <c r="L519" s="2">
        <v>98.4</v>
      </c>
      <c r="M519" s="2">
        <v>-14.375583852459002</v>
      </c>
      <c r="O519" s="39">
        <f t="shared" ref="O519:O582" si="35">O518-1</f>
        <v>43605</v>
      </c>
      <c r="P519" s="41">
        <f t="shared" si="32"/>
        <v>95.775673975409845</v>
      </c>
      <c r="Q519" s="41">
        <f t="shared" si="33"/>
        <v>57.91</v>
      </c>
      <c r="R519" s="41">
        <f t="shared" si="34"/>
        <v>-37.865673975409848</v>
      </c>
    </row>
    <row r="520" spans="10:18">
      <c r="J520" s="46">
        <v>43398</v>
      </c>
      <c r="K520" s="2">
        <v>109.93597258196721</v>
      </c>
      <c r="L520" s="2">
        <v>98.75</v>
      </c>
      <c r="M520" s="2">
        <v>-11.185972581967206</v>
      </c>
      <c r="O520" s="39">
        <f t="shared" si="35"/>
        <v>43604</v>
      </c>
      <c r="P520" s="41">
        <f t="shared" si="32"/>
        <v>95.775673975409845</v>
      </c>
      <c r="Q520" s="41">
        <f t="shared" si="33"/>
        <v>58.43</v>
      </c>
      <c r="R520" s="41">
        <f t="shared" si="34"/>
        <v>-37.345673975409845</v>
      </c>
    </row>
    <row r="521" spans="10:18">
      <c r="J521" s="46">
        <v>43397</v>
      </c>
      <c r="K521" s="2">
        <v>109.93597258196721</v>
      </c>
      <c r="L521" s="2">
        <v>100.08</v>
      </c>
      <c r="M521" s="2">
        <v>-9.8559725819672082</v>
      </c>
      <c r="O521" s="39">
        <f t="shared" si="35"/>
        <v>43603</v>
      </c>
      <c r="P521" s="41">
        <f t="shared" si="32"/>
        <v>95.775673975409845</v>
      </c>
      <c r="Q521" s="41">
        <f t="shared" si="33"/>
        <v>58.43</v>
      </c>
      <c r="R521" s="41">
        <f t="shared" si="34"/>
        <v>-37.345673975409845</v>
      </c>
    </row>
    <row r="522" spans="10:18">
      <c r="J522" s="46">
        <v>43396</v>
      </c>
      <c r="K522" s="2">
        <v>109.93597258196721</v>
      </c>
      <c r="L522" s="2">
        <v>98.98</v>
      </c>
      <c r="M522" s="2">
        <v>-10.955972581967202</v>
      </c>
      <c r="O522" s="39">
        <f t="shared" si="35"/>
        <v>43602</v>
      </c>
      <c r="P522" s="41">
        <f t="shared" si="32"/>
        <v>95.775673975409845</v>
      </c>
      <c r="Q522" s="41">
        <f t="shared" si="33"/>
        <v>58.43</v>
      </c>
      <c r="R522" s="41">
        <f t="shared" si="34"/>
        <v>-37.345673975409845</v>
      </c>
    </row>
    <row r="523" spans="10:18">
      <c r="J523" s="46">
        <v>43395</v>
      </c>
      <c r="K523" s="2">
        <v>109.93597258196721</v>
      </c>
      <c r="L523" s="2">
        <v>100.19</v>
      </c>
      <c r="M523" s="2">
        <v>-9.7459725819672087</v>
      </c>
      <c r="O523" s="39">
        <f t="shared" si="35"/>
        <v>43601</v>
      </c>
      <c r="P523" s="41">
        <f t="shared" si="32"/>
        <v>97.336393852459011</v>
      </c>
      <c r="Q523" s="41">
        <f t="shared" si="33"/>
        <v>58.88</v>
      </c>
      <c r="R523" s="41">
        <f t="shared" si="34"/>
        <v>-38.456393852459009</v>
      </c>
    </row>
    <row r="524" spans="10:18">
      <c r="J524" s="46">
        <v>43392</v>
      </c>
      <c r="K524" s="2">
        <v>109.93597258196721</v>
      </c>
      <c r="L524" s="2">
        <v>100.53</v>
      </c>
      <c r="M524" s="2">
        <v>-9.4059725819672053</v>
      </c>
      <c r="O524" s="39">
        <f t="shared" si="35"/>
        <v>43600</v>
      </c>
      <c r="P524" s="41">
        <f t="shared" si="32"/>
        <v>97.336393852459011</v>
      </c>
      <c r="Q524" s="41">
        <f t="shared" si="33"/>
        <v>59.19</v>
      </c>
      <c r="R524" s="41">
        <f t="shared" si="34"/>
        <v>-38.146393852459013</v>
      </c>
    </row>
    <row r="525" spans="10:18">
      <c r="J525" s="46">
        <v>43391</v>
      </c>
      <c r="K525" s="2">
        <v>109.93597258196721</v>
      </c>
      <c r="L525" s="2">
        <v>97.5</v>
      </c>
      <c r="M525" s="2">
        <v>-12.435972581967206</v>
      </c>
      <c r="O525" s="39">
        <f t="shared" si="35"/>
        <v>43599</v>
      </c>
      <c r="P525" s="41">
        <f t="shared" si="32"/>
        <v>97.336393852459011</v>
      </c>
      <c r="Q525" s="41">
        <f t="shared" si="33"/>
        <v>59.33</v>
      </c>
      <c r="R525" s="41">
        <f t="shared" si="34"/>
        <v>-38.006393852459013</v>
      </c>
    </row>
    <row r="526" spans="10:18">
      <c r="J526" s="46">
        <v>43390</v>
      </c>
      <c r="K526" s="2">
        <v>109.93597258196721</v>
      </c>
      <c r="L526" s="2">
        <v>96.44</v>
      </c>
      <c r="M526" s="2">
        <v>-13.495972581967209</v>
      </c>
      <c r="O526" s="39">
        <f t="shared" si="35"/>
        <v>43598</v>
      </c>
      <c r="P526" s="41">
        <f t="shared" si="32"/>
        <v>97.336393852459011</v>
      </c>
      <c r="Q526" s="41">
        <f t="shared" si="33"/>
        <v>59.84</v>
      </c>
      <c r="R526" s="41">
        <f t="shared" si="34"/>
        <v>-37.496393852459008</v>
      </c>
    </row>
    <row r="527" spans="10:18">
      <c r="J527" s="46">
        <v>43389</v>
      </c>
      <c r="K527" s="2">
        <v>109.93597258196721</v>
      </c>
      <c r="L527" s="2">
        <v>95.94</v>
      </c>
      <c r="M527" s="2">
        <v>-13.995972581967209</v>
      </c>
      <c r="O527" s="39">
        <f t="shared" si="35"/>
        <v>43597</v>
      </c>
      <c r="P527" s="41">
        <f t="shared" si="32"/>
        <v>97.336393852459011</v>
      </c>
      <c r="Q527" s="41">
        <f t="shared" si="33"/>
        <v>59.84</v>
      </c>
      <c r="R527" s="41">
        <f t="shared" si="34"/>
        <v>-37.496393852459008</v>
      </c>
    </row>
    <row r="528" spans="10:18">
      <c r="J528" s="46">
        <v>43388</v>
      </c>
      <c r="K528" s="2">
        <v>109.93597258196721</v>
      </c>
      <c r="L528" s="2">
        <v>96.75</v>
      </c>
      <c r="M528" s="2">
        <v>-13.185972581967206</v>
      </c>
      <c r="O528" s="39">
        <f t="shared" si="35"/>
        <v>43596</v>
      </c>
      <c r="P528" s="41">
        <f t="shared" si="32"/>
        <v>97.336393852459011</v>
      </c>
      <c r="Q528" s="41">
        <f t="shared" si="33"/>
        <v>59.84</v>
      </c>
      <c r="R528" s="41">
        <f t="shared" si="34"/>
        <v>-37.496393852459008</v>
      </c>
    </row>
    <row r="529" spans="10:18">
      <c r="J529" s="46">
        <v>43385</v>
      </c>
      <c r="K529" s="2">
        <v>109.93597258196721</v>
      </c>
      <c r="L529" s="2">
        <v>96.38</v>
      </c>
      <c r="M529" s="2">
        <v>-13.555972581967211</v>
      </c>
      <c r="O529" s="39">
        <f t="shared" si="35"/>
        <v>43595</v>
      </c>
      <c r="P529" s="41">
        <f t="shared" si="32"/>
        <v>97.336393852459011</v>
      </c>
      <c r="Q529" s="41">
        <f t="shared" si="33"/>
        <v>59.84</v>
      </c>
      <c r="R529" s="41">
        <f t="shared" si="34"/>
        <v>-37.496393852459008</v>
      </c>
    </row>
    <row r="530" spans="10:18">
      <c r="J530" s="46">
        <v>43384</v>
      </c>
      <c r="K530" s="2">
        <v>109.66477258196721</v>
      </c>
      <c r="L530" s="2">
        <v>96.56</v>
      </c>
      <c r="M530" s="2">
        <v>-13.104772581967211</v>
      </c>
      <c r="O530" s="39">
        <f t="shared" si="35"/>
        <v>43594</v>
      </c>
      <c r="P530" s="41">
        <f t="shared" si="32"/>
        <v>99.815998237704918</v>
      </c>
      <c r="Q530" s="41">
        <f t="shared" si="33"/>
        <v>60.7</v>
      </c>
      <c r="R530" s="41">
        <f t="shared" si="34"/>
        <v>-39.115998237704915</v>
      </c>
    </row>
    <row r="531" spans="10:18">
      <c r="J531" s="46">
        <v>43383</v>
      </c>
      <c r="K531" s="2">
        <v>109.66477258196721</v>
      </c>
      <c r="L531" s="2">
        <v>99.28</v>
      </c>
      <c r="M531" s="2">
        <v>-10.384772581967212</v>
      </c>
      <c r="O531" s="39">
        <f t="shared" si="35"/>
        <v>43593</v>
      </c>
      <c r="P531" s="41">
        <f t="shared" si="32"/>
        <v>99.815998237704918</v>
      </c>
      <c r="Q531" s="41">
        <f t="shared" si="33"/>
        <v>60.67</v>
      </c>
      <c r="R531" s="41">
        <f t="shared" si="34"/>
        <v>-39.145998237704916</v>
      </c>
    </row>
    <row r="532" spans="10:18">
      <c r="J532" s="46">
        <v>43382</v>
      </c>
      <c r="K532" s="2">
        <v>109.66477258196721</v>
      </c>
      <c r="L532" s="2">
        <v>100.3</v>
      </c>
      <c r="M532" s="2">
        <v>-9.3647725819672161</v>
      </c>
      <c r="O532" s="39">
        <f t="shared" si="35"/>
        <v>43592</v>
      </c>
      <c r="P532" s="41">
        <f t="shared" si="32"/>
        <v>99.815998237704918</v>
      </c>
      <c r="Q532" s="41">
        <f t="shared" si="33"/>
        <v>60.11</v>
      </c>
      <c r="R532" s="41">
        <f t="shared" si="34"/>
        <v>-39.705998237704918</v>
      </c>
    </row>
    <row r="533" spans="10:18">
      <c r="J533" s="46">
        <v>43381</v>
      </c>
      <c r="K533" s="2">
        <v>109.66477258196721</v>
      </c>
      <c r="L533" s="2">
        <v>99.98</v>
      </c>
      <c r="M533" s="2">
        <v>-9.6847725819672092</v>
      </c>
      <c r="O533" s="39">
        <f t="shared" si="35"/>
        <v>43591</v>
      </c>
      <c r="P533" s="41">
        <f t="shared" si="32"/>
        <v>99.815998237704918</v>
      </c>
      <c r="Q533" s="41">
        <f t="shared" si="33"/>
        <v>60.83</v>
      </c>
      <c r="R533" s="41">
        <f t="shared" si="34"/>
        <v>-38.985998237704919</v>
      </c>
    </row>
    <row r="534" spans="10:18">
      <c r="J534" s="46">
        <v>43378</v>
      </c>
      <c r="K534" s="2">
        <v>109.66477258196721</v>
      </c>
      <c r="L534" s="2">
        <v>99.68</v>
      </c>
      <c r="M534" s="2">
        <v>-9.9847725819672064</v>
      </c>
      <c r="O534" s="39">
        <f t="shared" si="35"/>
        <v>43590</v>
      </c>
      <c r="P534" s="41">
        <f t="shared" si="32"/>
        <v>99.815998237704918</v>
      </c>
      <c r="Q534" s="41">
        <f t="shared" si="33"/>
        <v>60.83</v>
      </c>
      <c r="R534" s="41">
        <f t="shared" si="34"/>
        <v>-38.985998237704919</v>
      </c>
    </row>
    <row r="535" spans="10:18">
      <c r="J535" s="46">
        <v>43377</v>
      </c>
      <c r="K535" s="2">
        <v>107.64461045081967</v>
      </c>
      <c r="L535" s="2">
        <v>99.36</v>
      </c>
      <c r="M535" s="2">
        <v>-8.2846104508196703</v>
      </c>
      <c r="O535" s="39">
        <f t="shared" si="35"/>
        <v>43589</v>
      </c>
      <c r="P535" s="41">
        <f t="shared" si="32"/>
        <v>99.815998237704918</v>
      </c>
      <c r="Q535" s="41">
        <f t="shared" si="33"/>
        <v>60.83</v>
      </c>
      <c r="R535" s="41">
        <f t="shared" si="34"/>
        <v>-38.985998237704919</v>
      </c>
    </row>
    <row r="536" spans="10:18">
      <c r="J536" s="46">
        <v>43376</v>
      </c>
      <c r="K536" s="2">
        <v>107.64461045081967</v>
      </c>
      <c r="L536" s="2">
        <v>99.5</v>
      </c>
      <c r="M536" s="2">
        <v>-8.1446104508196697</v>
      </c>
      <c r="O536" s="39">
        <f t="shared" si="35"/>
        <v>43588</v>
      </c>
      <c r="P536" s="41">
        <f t="shared" si="32"/>
        <v>99.815998237704918</v>
      </c>
      <c r="Q536" s="41">
        <f t="shared" si="33"/>
        <v>60.83</v>
      </c>
      <c r="R536" s="41">
        <f t="shared" si="34"/>
        <v>-38.985998237704919</v>
      </c>
    </row>
    <row r="537" spans="10:18">
      <c r="J537" s="46">
        <v>43375</v>
      </c>
      <c r="K537" s="2">
        <v>107.64461045081967</v>
      </c>
      <c r="L537" s="2">
        <v>100.88</v>
      </c>
      <c r="M537" s="2">
        <v>-6.7646104508196743</v>
      </c>
      <c r="O537" s="39">
        <f t="shared" si="35"/>
        <v>43587</v>
      </c>
      <c r="P537" s="41">
        <f t="shared" si="32"/>
        <v>101.6027181147541</v>
      </c>
      <c r="Q537" s="41">
        <f t="shared" si="33"/>
        <v>59</v>
      </c>
      <c r="R537" s="41">
        <f t="shared" si="34"/>
        <v>-42.602718114754097</v>
      </c>
    </row>
    <row r="538" spans="10:18">
      <c r="J538" s="46">
        <v>43374</v>
      </c>
      <c r="K538" s="2">
        <v>107.64461045081967</v>
      </c>
      <c r="L538" s="2">
        <v>100.3</v>
      </c>
      <c r="M538" s="2">
        <v>-7.3446104508196726</v>
      </c>
      <c r="O538" s="39">
        <f t="shared" si="35"/>
        <v>43586</v>
      </c>
      <c r="P538" s="41">
        <f t="shared" si="32"/>
        <v>101.6027181147541</v>
      </c>
      <c r="Q538" s="41">
        <f t="shared" si="33"/>
        <v>58.32</v>
      </c>
      <c r="R538" s="41">
        <f t="shared" si="34"/>
        <v>-43.282718114754097</v>
      </c>
    </row>
    <row r="539" spans="10:18">
      <c r="J539" s="46">
        <v>43371</v>
      </c>
      <c r="K539" s="2">
        <v>107.64461045081967</v>
      </c>
      <c r="L539" s="2">
        <v>99.37</v>
      </c>
      <c r="M539" s="2">
        <v>-8.2746104508196652</v>
      </c>
      <c r="O539" s="39">
        <f t="shared" si="35"/>
        <v>43585</v>
      </c>
      <c r="P539" s="41">
        <f t="shared" si="32"/>
        <v>101.6027181147541</v>
      </c>
      <c r="Q539" s="41">
        <f t="shared" si="33"/>
        <v>58.24</v>
      </c>
      <c r="R539" s="41">
        <f t="shared" si="34"/>
        <v>-43.362718114754095</v>
      </c>
    </row>
    <row r="540" spans="10:18">
      <c r="J540" s="46">
        <v>43370</v>
      </c>
      <c r="K540" s="2">
        <v>105.83661045081968</v>
      </c>
      <c r="L540" s="2">
        <v>99.76</v>
      </c>
      <c r="M540" s="2">
        <v>-6.0766104508196719</v>
      </c>
      <c r="O540" s="39">
        <f t="shared" si="35"/>
        <v>43584</v>
      </c>
      <c r="P540" s="41">
        <f t="shared" si="32"/>
        <v>101.6027181147541</v>
      </c>
      <c r="Q540" s="41">
        <f t="shared" si="33"/>
        <v>59.13</v>
      </c>
      <c r="R540" s="41">
        <f t="shared" si="34"/>
        <v>-42.472718114754095</v>
      </c>
    </row>
    <row r="541" spans="10:18">
      <c r="J541" s="46">
        <v>43369</v>
      </c>
      <c r="K541" s="2">
        <v>105.83661045081968</v>
      </c>
      <c r="L541" s="2">
        <v>100.54</v>
      </c>
      <c r="M541" s="2">
        <v>-5.2966104508196707</v>
      </c>
      <c r="O541" s="39">
        <f t="shared" si="35"/>
        <v>43583</v>
      </c>
      <c r="P541" s="41">
        <f t="shared" si="32"/>
        <v>101.6027181147541</v>
      </c>
      <c r="Q541" s="41">
        <f t="shared" si="33"/>
        <v>58.94</v>
      </c>
      <c r="R541" s="41">
        <f t="shared" si="34"/>
        <v>-42.662718114754099</v>
      </c>
    </row>
    <row r="542" spans="10:18">
      <c r="J542" s="46">
        <v>43368</v>
      </c>
      <c r="K542" s="2">
        <v>105.83661045081968</v>
      </c>
      <c r="L542" s="2">
        <v>99.5</v>
      </c>
      <c r="M542" s="2">
        <v>-6.336610450819677</v>
      </c>
      <c r="O542" s="39">
        <f t="shared" si="35"/>
        <v>43582</v>
      </c>
      <c r="P542" s="41">
        <f t="shared" si="32"/>
        <v>101.6027181147541</v>
      </c>
      <c r="Q542" s="41">
        <f t="shared" si="33"/>
        <v>58.94</v>
      </c>
      <c r="R542" s="41">
        <f t="shared" si="34"/>
        <v>-42.662718114754099</v>
      </c>
    </row>
    <row r="543" spans="10:18">
      <c r="J543" s="46">
        <v>43367</v>
      </c>
      <c r="K543" s="2">
        <v>105.83661045081968</v>
      </c>
      <c r="L543" s="2">
        <v>99.44</v>
      </c>
      <c r="M543" s="2">
        <v>-6.3966104508196793</v>
      </c>
      <c r="O543" s="39">
        <f t="shared" si="35"/>
        <v>43581</v>
      </c>
      <c r="P543" s="41">
        <f t="shared" si="32"/>
        <v>101.6027181147541</v>
      </c>
      <c r="Q543" s="41">
        <f t="shared" si="33"/>
        <v>58.94</v>
      </c>
      <c r="R543" s="41">
        <f t="shared" si="34"/>
        <v>-42.662718114754099</v>
      </c>
    </row>
    <row r="544" spans="10:18">
      <c r="J544" s="46">
        <v>43364</v>
      </c>
      <c r="K544" s="2">
        <v>105.83661045081968</v>
      </c>
      <c r="L544" s="2">
        <v>98.59</v>
      </c>
      <c r="M544" s="2">
        <v>-7.2466104508196736</v>
      </c>
      <c r="O544" s="39">
        <f t="shared" si="35"/>
        <v>43580</v>
      </c>
      <c r="P544" s="41">
        <f t="shared" si="32"/>
        <v>102.66623799180327</v>
      </c>
      <c r="Q544" s="41">
        <f t="shared" si="33"/>
        <v>58.66</v>
      </c>
      <c r="R544" s="41">
        <f t="shared" si="34"/>
        <v>-44.006237991803275</v>
      </c>
    </row>
    <row r="545" spans="10:18">
      <c r="J545" s="46">
        <v>43363</v>
      </c>
      <c r="K545" s="2">
        <v>105.38461045081968</v>
      </c>
      <c r="L545" s="2">
        <v>98.88</v>
      </c>
      <c r="M545" s="2">
        <v>-6.5046104508196834</v>
      </c>
      <c r="O545" s="39">
        <f t="shared" si="35"/>
        <v>43579</v>
      </c>
      <c r="P545" s="41">
        <f t="shared" si="32"/>
        <v>102.66623799180327</v>
      </c>
      <c r="Q545" s="41">
        <f t="shared" si="33"/>
        <v>60.52</v>
      </c>
      <c r="R545" s="41">
        <f t="shared" si="34"/>
        <v>-42.146237991803268</v>
      </c>
    </row>
    <row r="546" spans="10:18">
      <c r="J546" s="46">
        <v>43362</v>
      </c>
      <c r="K546" s="2">
        <v>105.38461045081968</v>
      </c>
      <c r="L546" s="2">
        <v>97.48</v>
      </c>
      <c r="M546" s="2">
        <v>-7.9046104508196748</v>
      </c>
      <c r="O546" s="39">
        <f t="shared" si="35"/>
        <v>43578</v>
      </c>
      <c r="P546" s="41">
        <f t="shared" si="32"/>
        <v>102.66623799180327</v>
      </c>
      <c r="Q546" s="41">
        <f t="shared" si="33"/>
        <v>61.27</v>
      </c>
      <c r="R546" s="41">
        <f t="shared" si="34"/>
        <v>-41.396237991803268</v>
      </c>
    </row>
    <row r="547" spans="10:18">
      <c r="J547" s="46">
        <v>43361</v>
      </c>
      <c r="K547" s="2">
        <v>105.38461045081968</v>
      </c>
      <c r="L547" s="2">
        <v>96.62</v>
      </c>
      <c r="M547" s="2">
        <v>-8.7646104508196743</v>
      </c>
      <c r="O547" s="39">
        <f t="shared" si="35"/>
        <v>43577</v>
      </c>
      <c r="P547" s="41">
        <f t="shared" si="32"/>
        <v>102.66623799180327</v>
      </c>
      <c r="Q547" s="41">
        <f t="shared" si="33"/>
        <v>60.83</v>
      </c>
      <c r="R547" s="41">
        <f t="shared" si="34"/>
        <v>-41.836237991803273</v>
      </c>
    </row>
    <row r="548" spans="10:18">
      <c r="J548" s="46">
        <v>43360</v>
      </c>
      <c r="K548" s="2">
        <v>105.38461045081968</v>
      </c>
      <c r="L548" s="2">
        <v>97.85</v>
      </c>
      <c r="M548" s="2">
        <v>-7.5346104508196845</v>
      </c>
      <c r="O548" s="39">
        <f t="shared" si="35"/>
        <v>43576</v>
      </c>
      <c r="P548" s="41">
        <f t="shared" si="32"/>
        <v>102.66623799180327</v>
      </c>
      <c r="Q548" s="41">
        <f t="shared" si="33"/>
        <v>60.83</v>
      </c>
      <c r="R548" s="41">
        <f t="shared" si="34"/>
        <v>-41.836237991803273</v>
      </c>
    </row>
    <row r="549" spans="10:18">
      <c r="J549" s="46">
        <v>43357</v>
      </c>
      <c r="K549" s="2">
        <v>105.38461045081968</v>
      </c>
      <c r="L549" s="2">
        <v>98.77</v>
      </c>
      <c r="M549" s="2">
        <v>-6.6146104508196828</v>
      </c>
      <c r="O549" s="39">
        <f t="shared" si="35"/>
        <v>43575</v>
      </c>
      <c r="P549" s="41">
        <f t="shared" si="32"/>
        <v>102.66623799180327</v>
      </c>
      <c r="Q549" s="41">
        <f t="shared" si="33"/>
        <v>60.83</v>
      </c>
      <c r="R549" s="41">
        <f t="shared" si="34"/>
        <v>-41.836237991803273</v>
      </c>
    </row>
    <row r="550" spans="10:18">
      <c r="J550" s="46">
        <v>43356</v>
      </c>
      <c r="K550" s="2">
        <v>107.17399323770492</v>
      </c>
      <c r="L550" s="2">
        <v>99.41</v>
      </c>
      <c r="M550" s="2">
        <v>-7.7639932377049234</v>
      </c>
      <c r="O550" s="39">
        <f t="shared" si="35"/>
        <v>43574</v>
      </c>
      <c r="P550" s="41">
        <f t="shared" si="32"/>
        <v>102.66623799180327</v>
      </c>
      <c r="Q550" s="41">
        <f t="shared" si="33"/>
        <v>60.83</v>
      </c>
      <c r="R550" s="41">
        <f t="shared" si="34"/>
        <v>-41.836237991803273</v>
      </c>
    </row>
    <row r="551" spans="10:18">
      <c r="J551" s="46">
        <v>43355</v>
      </c>
      <c r="K551" s="2">
        <v>107.17399323770492</v>
      </c>
      <c r="L551" s="2">
        <v>99.19</v>
      </c>
      <c r="M551" s="2">
        <v>-7.9839932377049223</v>
      </c>
      <c r="O551" s="39">
        <f t="shared" si="35"/>
        <v>43573</v>
      </c>
      <c r="P551" s="41">
        <f t="shared" si="32"/>
        <v>104.36255786885245</v>
      </c>
      <c r="Q551" s="41">
        <f t="shared" si="33"/>
        <v>60.83</v>
      </c>
      <c r="R551" s="41">
        <f t="shared" si="34"/>
        <v>-43.53255786885245</v>
      </c>
    </row>
    <row r="552" spans="10:18">
      <c r="J552" s="46">
        <v>43354</v>
      </c>
      <c r="K552" s="2">
        <v>107.17399323770492</v>
      </c>
      <c r="L552" s="2">
        <v>99.08</v>
      </c>
      <c r="M552" s="2">
        <v>-8.0939932377049217</v>
      </c>
      <c r="O552" s="39">
        <f t="shared" si="35"/>
        <v>43572</v>
      </c>
      <c r="P552" s="41">
        <f t="shared" si="32"/>
        <v>104.36255786885245</v>
      </c>
      <c r="Q552" s="41">
        <f t="shared" si="33"/>
        <v>60.93</v>
      </c>
      <c r="R552" s="41">
        <f t="shared" si="34"/>
        <v>-43.432557868852449</v>
      </c>
    </row>
    <row r="553" spans="10:18">
      <c r="J553" s="46">
        <v>43353</v>
      </c>
      <c r="K553" s="2">
        <v>107.17399323770492</v>
      </c>
      <c r="L553" s="2">
        <v>98.38</v>
      </c>
      <c r="M553" s="2">
        <v>-8.7939932377049246</v>
      </c>
      <c r="O553" s="39">
        <f t="shared" si="35"/>
        <v>43571</v>
      </c>
      <c r="P553" s="41">
        <f t="shared" si="32"/>
        <v>104.36255786885245</v>
      </c>
      <c r="Q553" s="41">
        <f t="shared" si="33"/>
        <v>60.15</v>
      </c>
      <c r="R553" s="41">
        <f t="shared" si="34"/>
        <v>-44.21255786885245</v>
      </c>
    </row>
    <row r="554" spans="10:18">
      <c r="J554" s="46">
        <v>43350</v>
      </c>
      <c r="K554" s="2">
        <v>107.17399323770492</v>
      </c>
      <c r="L554" s="2">
        <v>98.86</v>
      </c>
      <c r="M554" s="2">
        <v>-8.3139932377049206</v>
      </c>
      <c r="O554" s="39">
        <f t="shared" si="35"/>
        <v>43570</v>
      </c>
      <c r="P554" s="41">
        <f t="shared" si="32"/>
        <v>104.36255786885245</v>
      </c>
      <c r="Q554" s="41">
        <f t="shared" si="33"/>
        <v>60.58</v>
      </c>
      <c r="R554" s="41">
        <f t="shared" si="34"/>
        <v>-43.78255786885245</v>
      </c>
    </row>
    <row r="555" spans="10:18">
      <c r="J555" s="46">
        <v>43349</v>
      </c>
      <c r="K555" s="2">
        <v>106.78688024590163</v>
      </c>
      <c r="L555" s="2">
        <v>100.53</v>
      </c>
      <c r="M555" s="2">
        <v>-6.2568802459016268</v>
      </c>
      <c r="O555" s="39">
        <f t="shared" si="35"/>
        <v>43569</v>
      </c>
      <c r="P555" s="41">
        <f t="shared" si="32"/>
        <v>104.36255786885245</v>
      </c>
      <c r="Q555" s="41">
        <f t="shared" si="33"/>
        <v>61.89</v>
      </c>
      <c r="R555" s="41">
        <f t="shared" si="34"/>
        <v>-42.472557868852448</v>
      </c>
    </row>
    <row r="556" spans="10:18">
      <c r="J556" s="46">
        <v>43348</v>
      </c>
      <c r="K556" s="2">
        <v>106.78688024590163</v>
      </c>
      <c r="L556" s="2">
        <v>99.89</v>
      </c>
      <c r="M556" s="2">
        <v>-6.8968802459016274</v>
      </c>
      <c r="O556" s="39">
        <f t="shared" si="35"/>
        <v>43568</v>
      </c>
      <c r="P556" s="41">
        <f t="shared" si="32"/>
        <v>104.36255786885245</v>
      </c>
      <c r="Q556" s="41">
        <f t="shared" si="33"/>
        <v>61.89</v>
      </c>
      <c r="R556" s="41">
        <f t="shared" si="34"/>
        <v>-42.472557868852448</v>
      </c>
    </row>
    <row r="557" spans="10:18">
      <c r="J557" s="46">
        <v>43347</v>
      </c>
      <c r="K557" s="2">
        <v>106.78688024590163</v>
      </c>
      <c r="L557" s="2">
        <v>99.06</v>
      </c>
      <c r="M557" s="2">
        <v>-7.7268802459016257</v>
      </c>
      <c r="O557" s="39">
        <f t="shared" si="35"/>
        <v>43567</v>
      </c>
      <c r="P557" s="41">
        <f t="shared" si="32"/>
        <v>104.36255786885245</v>
      </c>
      <c r="Q557" s="41">
        <f t="shared" si="33"/>
        <v>61.89</v>
      </c>
      <c r="R557" s="41">
        <f t="shared" si="34"/>
        <v>-42.472557868852448</v>
      </c>
    </row>
    <row r="558" spans="10:18">
      <c r="J558" s="46">
        <v>43346</v>
      </c>
      <c r="K558" s="2">
        <v>106.78688024590163</v>
      </c>
      <c r="L558" s="2">
        <v>97.35</v>
      </c>
      <c r="M558" s="2">
        <v>-9.4368802459016337</v>
      </c>
      <c r="O558" s="39">
        <f t="shared" si="35"/>
        <v>43566</v>
      </c>
      <c r="P558" s="41">
        <f t="shared" si="32"/>
        <v>109.75196319672132</v>
      </c>
      <c r="Q558" s="41">
        <f t="shared" si="33"/>
        <v>61.25</v>
      </c>
      <c r="R558" s="41">
        <f t="shared" si="34"/>
        <v>-48.50196319672132</v>
      </c>
    </row>
    <row r="559" spans="10:18">
      <c r="J559" s="46">
        <v>43343</v>
      </c>
      <c r="K559" s="2">
        <v>106.78688024590163</v>
      </c>
      <c r="L559" s="2">
        <v>97.08</v>
      </c>
      <c r="M559" s="2">
        <v>-9.7068802459016297</v>
      </c>
      <c r="O559" s="39">
        <f t="shared" si="35"/>
        <v>43565</v>
      </c>
      <c r="P559" s="41">
        <f t="shared" si="32"/>
        <v>109.75196319672132</v>
      </c>
      <c r="Q559" s="41">
        <f t="shared" si="33"/>
        <v>62.63</v>
      </c>
      <c r="R559" s="41">
        <f t="shared" si="34"/>
        <v>-47.121963196721318</v>
      </c>
    </row>
    <row r="560" spans="10:18">
      <c r="J560" s="46">
        <v>43342</v>
      </c>
      <c r="K560" s="2">
        <v>107.23888024590163</v>
      </c>
      <c r="L560" s="2">
        <v>98.54</v>
      </c>
      <c r="M560" s="2">
        <v>-8.6988802459016199</v>
      </c>
      <c r="O560" s="39">
        <f t="shared" si="35"/>
        <v>43564</v>
      </c>
      <c r="P560" s="41">
        <f t="shared" si="32"/>
        <v>109.75196319672132</v>
      </c>
      <c r="Q560" s="41">
        <f t="shared" si="33"/>
        <v>60.65</v>
      </c>
      <c r="R560" s="41">
        <f t="shared" si="34"/>
        <v>-49.101963196721321</v>
      </c>
    </row>
    <row r="561" spans="10:18">
      <c r="J561" s="46">
        <v>43341</v>
      </c>
      <c r="K561" s="2">
        <v>107.23888024590163</v>
      </c>
      <c r="L561" s="2">
        <v>98.32</v>
      </c>
      <c r="M561" s="2">
        <v>-8.918880245901633</v>
      </c>
      <c r="O561" s="39">
        <f t="shared" si="35"/>
        <v>43563</v>
      </c>
      <c r="P561" s="41">
        <f t="shared" si="32"/>
        <v>109.75196319672132</v>
      </c>
      <c r="Q561" s="41">
        <f t="shared" si="33"/>
        <v>59.02</v>
      </c>
      <c r="R561" s="41">
        <f t="shared" si="34"/>
        <v>-50.731963196721317</v>
      </c>
    </row>
    <row r="562" spans="10:18">
      <c r="J562" s="46">
        <v>43340</v>
      </c>
      <c r="K562" s="2">
        <v>107.23888024590163</v>
      </c>
      <c r="L562" s="2">
        <v>98.45</v>
      </c>
      <c r="M562" s="2">
        <v>-8.7888802459016233</v>
      </c>
      <c r="O562" s="39">
        <f t="shared" si="35"/>
        <v>43562</v>
      </c>
      <c r="P562" s="41">
        <f t="shared" si="32"/>
        <v>0</v>
      </c>
      <c r="Q562" s="41">
        <f t="shared" si="33"/>
        <v>0</v>
      </c>
      <c r="R562" s="41">
        <f t="shared" si="34"/>
        <v>0</v>
      </c>
    </row>
    <row r="563" spans="10:18">
      <c r="J563" s="46">
        <v>43339</v>
      </c>
      <c r="K563" s="2">
        <v>107.23888024590163</v>
      </c>
      <c r="L563" s="2">
        <v>94.29</v>
      </c>
      <c r="M563" s="2">
        <v>-12.94888024590162</v>
      </c>
      <c r="O563" s="39">
        <f t="shared" si="35"/>
        <v>43561</v>
      </c>
      <c r="P563" s="41">
        <f t="shared" si="32"/>
        <v>0</v>
      </c>
      <c r="Q563" s="41">
        <f t="shared" si="33"/>
        <v>0</v>
      </c>
      <c r="R563" s="41">
        <f t="shared" si="34"/>
        <v>0</v>
      </c>
    </row>
    <row r="564" spans="10:18">
      <c r="J564" s="46">
        <v>43336</v>
      </c>
      <c r="K564" s="2">
        <v>107.23888024590163</v>
      </c>
      <c r="L564" s="2">
        <v>94.29</v>
      </c>
      <c r="M564" s="2">
        <v>-12.94888024590162</v>
      </c>
      <c r="O564" s="39">
        <f t="shared" si="35"/>
        <v>43560</v>
      </c>
      <c r="P564" s="41">
        <f t="shared" si="32"/>
        <v>0</v>
      </c>
      <c r="Q564" s="41">
        <f t="shared" si="33"/>
        <v>0</v>
      </c>
      <c r="R564" s="41">
        <f t="shared" si="34"/>
        <v>0</v>
      </c>
    </row>
    <row r="565" spans="10:18">
      <c r="J565" s="46">
        <v>43335</v>
      </c>
      <c r="K565" s="2">
        <v>107.69088024590162</v>
      </c>
      <c r="L565" s="2">
        <v>95.02</v>
      </c>
      <c r="M565" s="2">
        <v>-12.670880245901628</v>
      </c>
      <c r="O565" s="39">
        <f t="shared" si="35"/>
        <v>43559</v>
      </c>
      <c r="P565" s="41">
        <f t="shared" si="32"/>
        <v>0</v>
      </c>
      <c r="Q565" s="41">
        <f t="shared" si="33"/>
        <v>0</v>
      </c>
      <c r="R565" s="41">
        <f t="shared" si="34"/>
        <v>0</v>
      </c>
    </row>
    <row r="566" spans="10:18">
      <c r="J566" s="46">
        <v>43334</v>
      </c>
      <c r="K566" s="2">
        <v>107.69088024590162</v>
      </c>
      <c r="L566" s="2">
        <v>96.43</v>
      </c>
      <c r="M566" s="2">
        <v>-11.260880245901618</v>
      </c>
      <c r="O566" s="39">
        <f t="shared" si="35"/>
        <v>43558</v>
      </c>
      <c r="P566" s="41">
        <f t="shared" si="32"/>
        <v>0</v>
      </c>
      <c r="Q566" s="41">
        <f t="shared" si="33"/>
        <v>0</v>
      </c>
      <c r="R566" s="41">
        <f t="shared" si="34"/>
        <v>0</v>
      </c>
    </row>
    <row r="567" spans="10:18">
      <c r="J567" s="46">
        <v>43333</v>
      </c>
      <c r="K567" s="2">
        <v>107.69088024590162</v>
      </c>
      <c r="L567" s="2">
        <v>98.32</v>
      </c>
      <c r="M567" s="2">
        <v>-9.3708802459016312</v>
      </c>
      <c r="O567" s="39">
        <f t="shared" si="35"/>
        <v>43557</v>
      </c>
      <c r="P567" s="41">
        <f t="shared" si="32"/>
        <v>0</v>
      </c>
      <c r="Q567" s="41">
        <f t="shared" si="33"/>
        <v>0</v>
      </c>
      <c r="R567" s="41">
        <f t="shared" si="34"/>
        <v>0</v>
      </c>
    </row>
    <row r="568" spans="10:18">
      <c r="J568" s="46">
        <v>43332</v>
      </c>
      <c r="K568" s="2">
        <v>107.69088024590162</v>
      </c>
      <c r="L568" s="2">
        <v>99.09</v>
      </c>
      <c r="M568" s="2">
        <v>-8.6008802459016209</v>
      </c>
      <c r="O568" s="39">
        <f t="shared" si="35"/>
        <v>43556</v>
      </c>
      <c r="P568" s="41">
        <f t="shared" si="32"/>
        <v>0</v>
      </c>
      <c r="Q568" s="41">
        <f t="shared" si="33"/>
        <v>0</v>
      </c>
      <c r="R568" s="41">
        <f t="shared" si="34"/>
        <v>0</v>
      </c>
    </row>
    <row r="569" spans="10:18">
      <c r="J569" s="46">
        <v>43329</v>
      </c>
      <c r="K569" s="2">
        <v>107.69088024590162</v>
      </c>
      <c r="L569" s="2">
        <v>99.1</v>
      </c>
      <c r="M569" s="2">
        <v>-8.59088024590163</v>
      </c>
      <c r="O569" s="39">
        <f t="shared" si="35"/>
        <v>43555</v>
      </c>
      <c r="P569" s="41">
        <f t="shared" si="32"/>
        <v>0</v>
      </c>
      <c r="Q569" s="41">
        <f t="shared" si="33"/>
        <v>0</v>
      </c>
      <c r="R569" s="41">
        <f t="shared" si="34"/>
        <v>0</v>
      </c>
    </row>
    <row r="570" spans="10:18">
      <c r="J570" s="46">
        <v>43328</v>
      </c>
      <c r="K570" s="2">
        <v>107.87008713114753</v>
      </c>
      <c r="L570" s="2">
        <v>97.99</v>
      </c>
      <c r="M570" s="2">
        <v>-9.8800871311475333</v>
      </c>
      <c r="O570" s="39">
        <f t="shared" si="35"/>
        <v>43554</v>
      </c>
      <c r="P570" s="41">
        <f t="shared" si="32"/>
        <v>0</v>
      </c>
      <c r="Q570" s="41">
        <f t="shared" si="33"/>
        <v>0</v>
      </c>
      <c r="R570" s="41">
        <f t="shared" si="34"/>
        <v>0</v>
      </c>
    </row>
    <row r="571" spans="10:18">
      <c r="J571" s="46">
        <v>43327</v>
      </c>
      <c r="K571" s="2">
        <v>107.87008713114753</v>
      </c>
      <c r="L571" s="2">
        <v>98.05</v>
      </c>
      <c r="M571" s="2">
        <v>-9.8200871311475311</v>
      </c>
      <c r="O571" s="39">
        <f t="shared" si="35"/>
        <v>43553</v>
      </c>
      <c r="P571" s="41">
        <f t="shared" si="32"/>
        <v>0</v>
      </c>
      <c r="Q571" s="41">
        <f t="shared" si="33"/>
        <v>0</v>
      </c>
      <c r="R571" s="41">
        <f t="shared" si="34"/>
        <v>0</v>
      </c>
    </row>
    <row r="572" spans="10:18">
      <c r="J572" s="46">
        <v>43326</v>
      </c>
      <c r="K572" s="2">
        <v>107.87008713114753</v>
      </c>
      <c r="L572" s="2">
        <v>97.93</v>
      </c>
      <c r="M572" s="2">
        <v>-9.9400871311475214</v>
      </c>
      <c r="O572" s="39">
        <f t="shared" si="35"/>
        <v>43552</v>
      </c>
      <c r="P572" s="41">
        <f t="shared" si="32"/>
        <v>0</v>
      </c>
      <c r="Q572" s="41">
        <f t="shared" si="33"/>
        <v>0</v>
      </c>
      <c r="R572" s="41">
        <f t="shared" si="34"/>
        <v>0</v>
      </c>
    </row>
    <row r="573" spans="10:18">
      <c r="J573" s="46">
        <v>43325</v>
      </c>
      <c r="K573" s="2">
        <v>107.87008713114753</v>
      </c>
      <c r="L573" s="2">
        <v>96.57</v>
      </c>
      <c r="M573" s="2">
        <v>-11.300087131147535</v>
      </c>
      <c r="O573" s="39">
        <f t="shared" si="35"/>
        <v>43551</v>
      </c>
      <c r="P573" s="41">
        <f t="shared" si="32"/>
        <v>0</v>
      </c>
      <c r="Q573" s="41">
        <f t="shared" si="33"/>
        <v>0</v>
      </c>
      <c r="R573" s="41">
        <f t="shared" si="34"/>
        <v>0</v>
      </c>
    </row>
    <row r="574" spans="10:18">
      <c r="J574" s="46">
        <v>43322</v>
      </c>
      <c r="K574" s="2">
        <v>107.87008713114753</v>
      </c>
      <c r="L574" s="2">
        <v>96.88</v>
      </c>
      <c r="M574" s="2">
        <v>-10.990087131147533</v>
      </c>
      <c r="O574" s="39">
        <f t="shared" si="35"/>
        <v>43550</v>
      </c>
      <c r="P574" s="41">
        <f t="shared" si="32"/>
        <v>0</v>
      </c>
      <c r="Q574" s="41">
        <f t="shared" si="33"/>
        <v>0</v>
      </c>
      <c r="R574" s="41">
        <f t="shared" si="34"/>
        <v>0</v>
      </c>
    </row>
    <row r="575" spans="10:18">
      <c r="J575" s="46">
        <v>43321</v>
      </c>
      <c r="K575" s="2">
        <v>108.77408713114754</v>
      </c>
      <c r="L575" s="2">
        <v>94.59</v>
      </c>
      <c r="M575" s="2">
        <v>-14.184087131147535</v>
      </c>
      <c r="O575" s="39">
        <f t="shared" si="35"/>
        <v>43549</v>
      </c>
      <c r="P575" s="41">
        <f t="shared" si="32"/>
        <v>0</v>
      </c>
      <c r="Q575" s="41">
        <f t="shared" si="33"/>
        <v>0</v>
      </c>
      <c r="R575" s="41">
        <f t="shared" si="34"/>
        <v>0</v>
      </c>
    </row>
    <row r="576" spans="10:18">
      <c r="J576" s="46">
        <v>43320</v>
      </c>
      <c r="K576" s="2">
        <v>108.77408713114754</v>
      </c>
      <c r="L576" s="2">
        <v>95.48</v>
      </c>
      <c r="M576" s="2">
        <v>-13.294087131147535</v>
      </c>
      <c r="O576" s="39">
        <f t="shared" si="35"/>
        <v>43548</v>
      </c>
      <c r="P576" s="41">
        <f t="shared" si="32"/>
        <v>0</v>
      </c>
      <c r="Q576" s="41">
        <f t="shared" si="33"/>
        <v>0</v>
      </c>
      <c r="R576" s="41">
        <f t="shared" si="34"/>
        <v>0</v>
      </c>
    </row>
    <row r="577" spans="10:18">
      <c r="J577" s="46">
        <v>43319</v>
      </c>
      <c r="K577" s="2">
        <v>108.77408713114754</v>
      </c>
      <c r="L577" s="2">
        <v>95.5</v>
      </c>
      <c r="M577" s="2">
        <v>-13.274087131147539</v>
      </c>
      <c r="O577" s="39">
        <f t="shared" si="35"/>
        <v>43547</v>
      </c>
      <c r="P577" s="41">
        <f t="shared" si="32"/>
        <v>0</v>
      </c>
      <c r="Q577" s="41">
        <f t="shared" si="33"/>
        <v>0</v>
      </c>
      <c r="R577" s="41">
        <f t="shared" si="34"/>
        <v>0</v>
      </c>
    </row>
    <row r="578" spans="10:18">
      <c r="J578" s="46">
        <v>43318</v>
      </c>
      <c r="K578" s="2">
        <v>108.77408713114754</v>
      </c>
      <c r="L578" s="2">
        <v>92.58</v>
      </c>
      <c r="M578" s="2">
        <v>-16.194087131147541</v>
      </c>
      <c r="O578" s="39">
        <f t="shared" si="35"/>
        <v>43546</v>
      </c>
      <c r="P578" s="41">
        <f t="shared" si="32"/>
        <v>0</v>
      </c>
      <c r="Q578" s="41">
        <f t="shared" si="33"/>
        <v>0</v>
      </c>
      <c r="R578" s="41">
        <f t="shared" si="34"/>
        <v>0</v>
      </c>
    </row>
    <row r="579" spans="10:18">
      <c r="J579" s="46">
        <v>43315</v>
      </c>
      <c r="K579" s="2">
        <v>108.77408713114754</v>
      </c>
      <c r="L579" s="2">
        <v>91.52</v>
      </c>
      <c r="M579" s="2">
        <v>-17.254087131147543</v>
      </c>
      <c r="O579" s="39">
        <f t="shared" si="35"/>
        <v>43545</v>
      </c>
      <c r="P579" s="41">
        <f t="shared" si="32"/>
        <v>0</v>
      </c>
      <c r="Q579" s="41">
        <f t="shared" si="33"/>
        <v>0</v>
      </c>
      <c r="R579" s="41">
        <f t="shared" si="34"/>
        <v>0</v>
      </c>
    </row>
    <row r="580" spans="10:18">
      <c r="J580" s="46">
        <v>43314</v>
      </c>
      <c r="K580" s="2">
        <v>105.50002327868853</v>
      </c>
      <c r="L580" s="2">
        <v>92.84</v>
      </c>
      <c r="M580" s="2">
        <v>-12.660023278688527</v>
      </c>
      <c r="O580" s="39">
        <f t="shared" si="35"/>
        <v>43544</v>
      </c>
      <c r="P580" s="41">
        <f t="shared" si="32"/>
        <v>0</v>
      </c>
      <c r="Q580" s="41">
        <f t="shared" si="33"/>
        <v>0</v>
      </c>
      <c r="R580" s="41">
        <f t="shared" si="34"/>
        <v>0</v>
      </c>
    </row>
    <row r="581" spans="10:18">
      <c r="J581" s="46">
        <v>43313</v>
      </c>
      <c r="K581" s="2">
        <v>105.50002327868853</v>
      </c>
      <c r="L581" s="2">
        <v>93.5</v>
      </c>
      <c r="M581" s="2">
        <v>-12.000023278688531</v>
      </c>
      <c r="O581" s="39">
        <f t="shared" si="35"/>
        <v>43543</v>
      </c>
      <c r="P581" s="41">
        <f t="shared" si="32"/>
        <v>0</v>
      </c>
      <c r="Q581" s="41">
        <f t="shared" si="33"/>
        <v>0</v>
      </c>
      <c r="R581" s="41">
        <f t="shared" si="34"/>
        <v>0</v>
      </c>
    </row>
    <row r="582" spans="10:18">
      <c r="J582" s="46">
        <v>43312</v>
      </c>
      <c r="K582" s="2">
        <v>105.50002327868853</v>
      </c>
      <c r="L582" s="2">
        <v>93.13</v>
      </c>
      <c r="M582" s="2">
        <v>-12.370023278688535</v>
      </c>
      <c r="O582" s="39">
        <f t="shared" si="35"/>
        <v>43542</v>
      </c>
      <c r="P582" s="41">
        <f t="shared" ref="P582:P645" si="36">IFERROR(VLOOKUP($O582,$J$5:$M$403,2,FALSE),P583)</f>
        <v>0</v>
      </c>
      <c r="Q582" s="41">
        <f t="shared" ref="Q582:Q645" si="37">IFERROR(VLOOKUP($O582,$J$5:$M$403,3,FALSE),Q583)</f>
        <v>0</v>
      </c>
      <c r="R582" s="41">
        <f t="shared" ref="R582:R645" si="38">IFERROR(VLOOKUP($O582,$J$5:$M$403,4,FALSE),R583)</f>
        <v>0</v>
      </c>
    </row>
    <row r="583" spans="10:18">
      <c r="J583" s="46">
        <v>43311</v>
      </c>
      <c r="K583" s="2">
        <v>105.50002327868853</v>
      </c>
      <c r="L583" s="2">
        <v>94.13</v>
      </c>
      <c r="M583" s="2">
        <v>-11.370023278688535</v>
      </c>
      <c r="O583" s="39">
        <f t="shared" ref="O583:O646" si="39">O582-1</f>
        <v>43541</v>
      </c>
      <c r="P583" s="41">
        <f t="shared" si="36"/>
        <v>0</v>
      </c>
      <c r="Q583" s="41">
        <f t="shared" si="37"/>
        <v>0</v>
      </c>
      <c r="R583" s="41">
        <f t="shared" si="38"/>
        <v>0</v>
      </c>
    </row>
    <row r="584" spans="10:18">
      <c r="J584" s="46">
        <v>43308</v>
      </c>
      <c r="K584" s="2">
        <v>105.50002327868853</v>
      </c>
      <c r="L584" s="2">
        <v>95.03</v>
      </c>
      <c r="M584" s="2">
        <v>-10.470023278688529</v>
      </c>
      <c r="O584" s="39">
        <f t="shared" si="39"/>
        <v>43540</v>
      </c>
      <c r="P584" s="41">
        <f t="shared" si="36"/>
        <v>0</v>
      </c>
      <c r="Q584" s="41">
        <f t="shared" si="37"/>
        <v>0</v>
      </c>
      <c r="R584" s="41">
        <f t="shared" si="38"/>
        <v>0</v>
      </c>
    </row>
    <row r="585" spans="10:18">
      <c r="J585" s="46">
        <v>43307</v>
      </c>
      <c r="K585" s="2">
        <v>105.77122327868852</v>
      </c>
      <c r="L585" s="2">
        <v>97.33</v>
      </c>
      <c r="M585" s="2">
        <v>-8.4412232786885255</v>
      </c>
      <c r="O585" s="39">
        <f t="shared" si="39"/>
        <v>43539</v>
      </c>
      <c r="P585" s="41">
        <f t="shared" si="36"/>
        <v>0</v>
      </c>
      <c r="Q585" s="41">
        <f t="shared" si="37"/>
        <v>0</v>
      </c>
      <c r="R585" s="41">
        <f t="shared" si="38"/>
        <v>0</v>
      </c>
    </row>
    <row r="586" spans="10:18">
      <c r="J586" s="46">
        <v>43306</v>
      </c>
      <c r="K586" s="2">
        <v>105.77122327868852</v>
      </c>
      <c r="L586" s="2">
        <v>98.42</v>
      </c>
      <c r="M586" s="2">
        <v>-7.3512232786885221</v>
      </c>
      <c r="O586" s="39">
        <f t="shared" si="39"/>
        <v>43538</v>
      </c>
      <c r="P586" s="41">
        <f t="shared" si="36"/>
        <v>0</v>
      </c>
      <c r="Q586" s="41">
        <f t="shared" si="37"/>
        <v>0</v>
      </c>
      <c r="R586" s="41">
        <f t="shared" si="38"/>
        <v>0</v>
      </c>
    </row>
    <row r="587" spans="10:18">
      <c r="J587" s="46">
        <v>43305</v>
      </c>
      <c r="K587" s="2">
        <v>105.77122327868852</v>
      </c>
      <c r="L587" s="2">
        <v>98.52</v>
      </c>
      <c r="M587" s="2">
        <v>-7.2512232786885278</v>
      </c>
      <c r="O587" s="39">
        <f t="shared" si="39"/>
        <v>43537</v>
      </c>
      <c r="P587" s="41">
        <f t="shared" si="36"/>
        <v>0</v>
      </c>
      <c r="Q587" s="41">
        <f t="shared" si="37"/>
        <v>0</v>
      </c>
      <c r="R587" s="41">
        <f t="shared" si="38"/>
        <v>0</v>
      </c>
    </row>
    <row r="588" spans="10:18">
      <c r="J588" s="46">
        <v>43304</v>
      </c>
      <c r="K588" s="2">
        <v>105.77122327868852</v>
      </c>
      <c r="L588" s="2">
        <v>97.33</v>
      </c>
      <c r="M588" s="2">
        <v>-8.4412232786885255</v>
      </c>
      <c r="O588" s="39">
        <f t="shared" si="39"/>
        <v>43536</v>
      </c>
      <c r="P588" s="41">
        <f t="shared" si="36"/>
        <v>0</v>
      </c>
      <c r="Q588" s="41">
        <f t="shared" si="37"/>
        <v>0</v>
      </c>
      <c r="R588" s="41">
        <f t="shared" si="38"/>
        <v>0</v>
      </c>
    </row>
    <row r="589" spans="10:18">
      <c r="J589" s="46">
        <v>43301</v>
      </c>
      <c r="K589" s="2">
        <v>105.77122327868852</v>
      </c>
      <c r="L589" s="2">
        <v>99.66</v>
      </c>
      <c r="M589" s="2">
        <v>-6.1112232786885272</v>
      </c>
      <c r="O589" s="39">
        <f t="shared" si="39"/>
        <v>43535</v>
      </c>
      <c r="P589" s="41">
        <f t="shared" si="36"/>
        <v>0</v>
      </c>
      <c r="Q589" s="41">
        <f t="shared" si="37"/>
        <v>0</v>
      </c>
      <c r="R589" s="41">
        <f t="shared" si="38"/>
        <v>0</v>
      </c>
    </row>
    <row r="590" spans="10:18">
      <c r="J590" s="46">
        <v>43300</v>
      </c>
      <c r="K590" s="2">
        <v>104.12754565573769</v>
      </c>
      <c r="L590" s="2">
        <v>100.92</v>
      </c>
      <c r="M590" s="2">
        <v>-3.2075456557376896</v>
      </c>
      <c r="O590" s="39">
        <f t="shared" si="39"/>
        <v>43534</v>
      </c>
      <c r="P590" s="41">
        <f t="shared" si="36"/>
        <v>0</v>
      </c>
      <c r="Q590" s="41">
        <f t="shared" si="37"/>
        <v>0</v>
      </c>
      <c r="R590" s="41">
        <f t="shared" si="38"/>
        <v>0</v>
      </c>
    </row>
    <row r="591" spans="10:18">
      <c r="J591" s="46">
        <v>43299</v>
      </c>
      <c r="K591" s="2">
        <v>104.12754565573769</v>
      </c>
      <c r="L591" s="2">
        <v>99.96</v>
      </c>
      <c r="M591" s="2">
        <v>-4.1675456557376975</v>
      </c>
      <c r="O591" s="39">
        <f t="shared" si="39"/>
        <v>43533</v>
      </c>
      <c r="P591" s="41">
        <f t="shared" si="36"/>
        <v>0</v>
      </c>
      <c r="Q591" s="41">
        <f t="shared" si="37"/>
        <v>0</v>
      </c>
      <c r="R591" s="41">
        <f t="shared" si="38"/>
        <v>0</v>
      </c>
    </row>
    <row r="592" spans="10:18">
      <c r="J592" s="46">
        <v>43298</v>
      </c>
      <c r="K592" s="2">
        <v>104.12754565573769</v>
      </c>
      <c r="L592" s="2">
        <v>99.84</v>
      </c>
      <c r="M592" s="2">
        <v>-4.2875456557376879</v>
      </c>
      <c r="O592" s="39">
        <f t="shared" si="39"/>
        <v>43532</v>
      </c>
      <c r="P592" s="41">
        <f t="shared" si="36"/>
        <v>0</v>
      </c>
      <c r="Q592" s="41">
        <f t="shared" si="37"/>
        <v>0</v>
      </c>
      <c r="R592" s="41">
        <f t="shared" si="38"/>
        <v>0</v>
      </c>
    </row>
    <row r="593" spans="10:18">
      <c r="J593" s="46">
        <v>43297</v>
      </c>
      <c r="K593" s="2">
        <v>104.12754565573769</v>
      </c>
      <c r="L593" s="2">
        <v>100.97</v>
      </c>
      <c r="M593" s="2">
        <v>-3.1575456557376924</v>
      </c>
      <c r="O593" s="39">
        <f t="shared" si="39"/>
        <v>43531</v>
      </c>
      <c r="P593" s="41">
        <f t="shared" si="36"/>
        <v>0</v>
      </c>
      <c r="Q593" s="41">
        <f t="shared" si="37"/>
        <v>0</v>
      </c>
      <c r="R593" s="41">
        <f t="shared" si="38"/>
        <v>0</v>
      </c>
    </row>
    <row r="594" spans="10:18">
      <c r="J594" s="46">
        <v>43294</v>
      </c>
      <c r="K594" s="2">
        <v>104.12754565573769</v>
      </c>
      <c r="L594" s="2">
        <v>100.75</v>
      </c>
      <c r="M594" s="2">
        <v>-3.3775456557376913</v>
      </c>
      <c r="O594" s="39">
        <f t="shared" si="39"/>
        <v>43530</v>
      </c>
      <c r="P594" s="41">
        <f t="shared" si="36"/>
        <v>0</v>
      </c>
      <c r="Q594" s="41">
        <f t="shared" si="37"/>
        <v>0</v>
      </c>
      <c r="R594" s="41">
        <f t="shared" si="38"/>
        <v>0</v>
      </c>
    </row>
    <row r="595" spans="10:18">
      <c r="J595" s="46">
        <v>43293</v>
      </c>
      <c r="K595" s="2">
        <v>103.94674565573769</v>
      </c>
      <c r="L595" s="2">
        <v>101.37</v>
      </c>
      <c r="M595" s="2">
        <v>-2.5767456557376818</v>
      </c>
      <c r="O595" s="39">
        <f t="shared" si="39"/>
        <v>43529</v>
      </c>
      <c r="P595" s="41">
        <f t="shared" si="36"/>
        <v>0</v>
      </c>
      <c r="Q595" s="41">
        <f t="shared" si="37"/>
        <v>0</v>
      </c>
      <c r="R595" s="41">
        <f t="shared" si="38"/>
        <v>0</v>
      </c>
    </row>
    <row r="596" spans="10:18">
      <c r="J596" s="46">
        <v>43292</v>
      </c>
      <c r="K596" s="2">
        <v>103.94674565573769</v>
      </c>
      <c r="L596" s="2">
        <v>102.12</v>
      </c>
      <c r="M596" s="2">
        <v>-1.8267456557376818</v>
      </c>
      <c r="O596" s="39">
        <f t="shared" si="39"/>
        <v>43528</v>
      </c>
      <c r="P596" s="41">
        <f t="shared" si="36"/>
        <v>0</v>
      </c>
      <c r="Q596" s="41">
        <f t="shared" si="37"/>
        <v>0</v>
      </c>
      <c r="R596" s="41">
        <f t="shared" si="38"/>
        <v>0</v>
      </c>
    </row>
    <row r="597" spans="10:18">
      <c r="J597" s="46">
        <v>43291</v>
      </c>
      <c r="K597" s="2">
        <v>103.94674565573769</v>
      </c>
      <c r="L597" s="2">
        <v>101.73</v>
      </c>
      <c r="M597" s="2">
        <v>-2.2167456557376823</v>
      </c>
      <c r="O597" s="39">
        <f t="shared" si="39"/>
        <v>43527</v>
      </c>
      <c r="P597" s="41">
        <f t="shared" si="36"/>
        <v>0</v>
      </c>
      <c r="Q597" s="41">
        <f t="shared" si="37"/>
        <v>0</v>
      </c>
      <c r="R597" s="41">
        <f t="shared" si="38"/>
        <v>0</v>
      </c>
    </row>
    <row r="598" spans="10:18">
      <c r="J598" s="46">
        <v>43290</v>
      </c>
      <c r="K598" s="2">
        <v>103.94674565573769</v>
      </c>
      <c r="L598" s="2">
        <v>100.1</v>
      </c>
      <c r="M598" s="2">
        <v>-3.846745655737692</v>
      </c>
      <c r="O598" s="39">
        <f t="shared" si="39"/>
        <v>43526</v>
      </c>
      <c r="P598" s="41">
        <f t="shared" si="36"/>
        <v>0</v>
      </c>
      <c r="Q598" s="41">
        <f t="shared" si="37"/>
        <v>0</v>
      </c>
      <c r="R598" s="41">
        <f t="shared" si="38"/>
        <v>0</v>
      </c>
    </row>
    <row r="599" spans="10:18">
      <c r="J599" s="46">
        <v>43287</v>
      </c>
      <c r="K599" s="2">
        <v>103.94674565573769</v>
      </c>
      <c r="L599" s="2">
        <v>98.93</v>
      </c>
      <c r="M599" s="2">
        <v>-5.0167456557376795</v>
      </c>
      <c r="O599" s="39">
        <f t="shared" si="39"/>
        <v>43525</v>
      </c>
      <c r="P599" s="41">
        <f t="shared" si="36"/>
        <v>0</v>
      </c>
      <c r="Q599" s="41">
        <f t="shared" si="37"/>
        <v>0</v>
      </c>
      <c r="R599" s="41">
        <f t="shared" si="38"/>
        <v>0</v>
      </c>
    </row>
    <row r="600" spans="10:18">
      <c r="J600" s="46">
        <v>43286</v>
      </c>
      <c r="K600" s="2">
        <v>99.126846434426227</v>
      </c>
      <c r="L600" s="2">
        <v>99.13</v>
      </c>
      <c r="M600" s="2">
        <v>3.1535655737684465E-3</v>
      </c>
      <c r="O600" s="39">
        <f t="shared" si="39"/>
        <v>43524</v>
      </c>
      <c r="P600" s="41">
        <f t="shared" si="36"/>
        <v>0</v>
      </c>
      <c r="Q600" s="41">
        <f t="shared" si="37"/>
        <v>0</v>
      </c>
      <c r="R600" s="41">
        <f t="shared" si="38"/>
        <v>0</v>
      </c>
    </row>
    <row r="601" spans="10:18">
      <c r="J601" s="46">
        <v>43285</v>
      </c>
      <c r="K601" s="2">
        <v>99.126846434426227</v>
      </c>
      <c r="L601" s="2">
        <v>98.4</v>
      </c>
      <c r="M601" s="2">
        <v>-0.72684643442622132</v>
      </c>
      <c r="O601" s="39">
        <f t="shared" si="39"/>
        <v>43523</v>
      </c>
      <c r="P601" s="41">
        <f t="shared" si="36"/>
        <v>0</v>
      </c>
      <c r="Q601" s="41">
        <f t="shared" si="37"/>
        <v>0</v>
      </c>
      <c r="R601" s="41">
        <f t="shared" si="38"/>
        <v>0</v>
      </c>
    </row>
    <row r="602" spans="10:18">
      <c r="J602" s="46">
        <v>43284</v>
      </c>
      <c r="K602" s="2">
        <v>99.126846434426227</v>
      </c>
      <c r="L602" s="2">
        <v>98.03</v>
      </c>
      <c r="M602" s="2">
        <v>-1.0968464344262259</v>
      </c>
      <c r="O602" s="39">
        <f t="shared" si="39"/>
        <v>43522</v>
      </c>
      <c r="P602" s="41">
        <f t="shared" si="36"/>
        <v>0</v>
      </c>
      <c r="Q602" s="41">
        <f t="shared" si="37"/>
        <v>0</v>
      </c>
      <c r="R602" s="41">
        <f t="shared" si="38"/>
        <v>0</v>
      </c>
    </row>
    <row r="603" spans="10:18">
      <c r="J603" s="46">
        <v>43283</v>
      </c>
      <c r="K603" s="2">
        <v>99.126846434426227</v>
      </c>
      <c r="L603" s="2">
        <v>97.5</v>
      </c>
      <c r="M603" s="2">
        <v>-1.626846434426227</v>
      </c>
      <c r="O603" s="39">
        <f t="shared" si="39"/>
        <v>43521</v>
      </c>
      <c r="P603" s="41">
        <f t="shared" si="36"/>
        <v>0</v>
      </c>
      <c r="Q603" s="41">
        <f t="shared" si="37"/>
        <v>0</v>
      </c>
      <c r="R603" s="41">
        <f t="shared" si="38"/>
        <v>0</v>
      </c>
    </row>
    <row r="604" spans="10:18">
      <c r="J604" s="46">
        <v>43280</v>
      </c>
      <c r="K604" s="2">
        <v>99.126846434426227</v>
      </c>
      <c r="L604" s="2">
        <v>96.36</v>
      </c>
      <c r="M604" s="2">
        <v>-2.7668464344262276</v>
      </c>
      <c r="O604" s="39">
        <f t="shared" si="39"/>
        <v>43520</v>
      </c>
      <c r="P604" s="41">
        <f t="shared" si="36"/>
        <v>0</v>
      </c>
      <c r="Q604" s="41">
        <f t="shared" si="37"/>
        <v>0</v>
      </c>
      <c r="R604" s="41">
        <f t="shared" si="38"/>
        <v>0</v>
      </c>
    </row>
    <row r="605" spans="10:18">
      <c r="J605" s="46">
        <v>43279</v>
      </c>
      <c r="K605" s="2">
        <v>98.629646434426235</v>
      </c>
      <c r="L605" s="2">
        <v>95.97</v>
      </c>
      <c r="M605" s="2">
        <v>-2.6596464344262358</v>
      </c>
      <c r="O605" s="39">
        <f t="shared" si="39"/>
        <v>43519</v>
      </c>
      <c r="P605" s="41">
        <f t="shared" si="36"/>
        <v>0</v>
      </c>
      <c r="Q605" s="41">
        <f t="shared" si="37"/>
        <v>0</v>
      </c>
      <c r="R605" s="41">
        <f t="shared" si="38"/>
        <v>0</v>
      </c>
    </row>
    <row r="606" spans="10:18">
      <c r="J606" s="46">
        <v>43278</v>
      </c>
      <c r="K606" s="2">
        <v>98.629646434426235</v>
      </c>
      <c r="L606" s="2">
        <v>95.8</v>
      </c>
      <c r="M606" s="2">
        <v>-2.8296464344262375</v>
      </c>
      <c r="O606" s="39">
        <f t="shared" si="39"/>
        <v>43518</v>
      </c>
      <c r="P606" s="41">
        <f t="shared" si="36"/>
        <v>0</v>
      </c>
      <c r="Q606" s="41">
        <f t="shared" si="37"/>
        <v>0</v>
      </c>
      <c r="R606" s="41">
        <f t="shared" si="38"/>
        <v>0</v>
      </c>
    </row>
    <row r="607" spans="10:18">
      <c r="J607" s="46">
        <v>43277</v>
      </c>
      <c r="K607" s="2">
        <v>98.629646434426235</v>
      </c>
      <c r="L607" s="2">
        <v>94.62</v>
      </c>
      <c r="M607" s="2">
        <v>-4.0096464344262301</v>
      </c>
      <c r="O607" s="39">
        <f t="shared" si="39"/>
        <v>43517</v>
      </c>
      <c r="P607" s="41">
        <f t="shared" si="36"/>
        <v>0</v>
      </c>
      <c r="Q607" s="41">
        <f t="shared" si="37"/>
        <v>0</v>
      </c>
      <c r="R607" s="41">
        <f t="shared" si="38"/>
        <v>0</v>
      </c>
    </row>
    <row r="608" spans="10:18">
      <c r="J608" s="46">
        <v>43276</v>
      </c>
      <c r="K608" s="2">
        <v>98.629646434426235</v>
      </c>
      <c r="L608" s="2">
        <v>95.04</v>
      </c>
      <c r="M608" s="2">
        <v>-3.5896464344262284</v>
      </c>
      <c r="O608" s="39">
        <f t="shared" si="39"/>
        <v>43516</v>
      </c>
      <c r="P608" s="41">
        <f t="shared" si="36"/>
        <v>0</v>
      </c>
      <c r="Q608" s="41">
        <f t="shared" si="37"/>
        <v>0</v>
      </c>
      <c r="R608" s="41">
        <f t="shared" si="38"/>
        <v>0</v>
      </c>
    </row>
    <row r="609" spans="10:18">
      <c r="J609" s="46">
        <v>43273</v>
      </c>
      <c r="K609" s="2">
        <v>98.629646434426235</v>
      </c>
      <c r="L609" s="2">
        <v>92.66</v>
      </c>
      <c r="M609" s="2">
        <v>-5.9696464344262381</v>
      </c>
      <c r="O609" s="39">
        <f t="shared" si="39"/>
        <v>43515</v>
      </c>
      <c r="P609" s="41">
        <f t="shared" si="36"/>
        <v>0</v>
      </c>
      <c r="Q609" s="41">
        <f t="shared" si="37"/>
        <v>0</v>
      </c>
      <c r="R609" s="41">
        <f t="shared" si="38"/>
        <v>0</v>
      </c>
    </row>
    <row r="610" spans="10:18">
      <c r="J610" s="46">
        <v>43272</v>
      </c>
      <c r="K610" s="2">
        <v>96.915779139344266</v>
      </c>
      <c r="L610" s="2">
        <v>95.93</v>
      </c>
      <c r="M610" s="2">
        <v>-0.98577913934425965</v>
      </c>
      <c r="O610" s="39">
        <f t="shared" si="39"/>
        <v>43514</v>
      </c>
      <c r="P610" s="41">
        <f t="shared" si="36"/>
        <v>0</v>
      </c>
      <c r="Q610" s="41">
        <f t="shared" si="37"/>
        <v>0</v>
      </c>
      <c r="R610" s="41">
        <f t="shared" si="38"/>
        <v>0</v>
      </c>
    </row>
    <row r="611" spans="10:18">
      <c r="J611" s="46">
        <v>43271</v>
      </c>
      <c r="K611" s="2">
        <v>96.915779139344266</v>
      </c>
      <c r="L611" s="2">
        <v>96.77</v>
      </c>
      <c r="M611" s="2">
        <v>-0.14577913934427045</v>
      </c>
      <c r="O611" s="39">
        <f t="shared" si="39"/>
        <v>43513</v>
      </c>
      <c r="P611" s="41">
        <f t="shared" si="36"/>
        <v>0</v>
      </c>
      <c r="Q611" s="41">
        <f t="shared" si="37"/>
        <v>0</v>
      </c>
      <c r="R611" s="41">
        <f t="shared" si="38"/>
        <v>0</v>
      </c>
    </row>
    <row r="612" spans="10:18">
      <c r="J612" s="46">
        <v>43270</v>
      </c>
      <c r="K612" s="2">
        <v>96.915779139344266</v>
      </c>
      <c r="L612" s="2">
        <v>96.81</v>
      </c>
      <c r="M612" s="2">
        <v>-0.10577913934426419</v>
      </c>
      <c r="O612" s="39">
        <f t="shared" si="39"/>
        <v>43512</v>
      </c>
      <c r="P612" s="41">
        <f t="shared" si="36"/>
        <v>0</v>
      </c>
      <c r="Q612" s="41">
        <f t="shared" si="37"/>
        <v>0</v>
      </c>
      <c r="R612" s="41">
        <f t="shared" si="38"/>
        <v>0</v>
      </c>
    </row>
    <row r="613" spans="10:18">
      <c r="J613" s="46">
        <v>43269</v>
      </c>
      <c r="K613" s="2">
        <v>96.915779139344266</v>
      </c>
      <c r="L613" s="2">
        <v>96.52</v>
      </c>
      <c r="M613" s="2">
        <v>-0.39577913934427045</v>
      </c>
      <c r="O613" s="39">
        <f t="shared" si="39"/>
        <v>43511</v>
      </c>
      <c r="P613" s="41">
        <f t="shared" si="36"/>
        <v>0</v>
      </c>
      <c r="Q613" s="41">
        <f t="shared" si="37"/>
        <v>0</v>
      </c>
      <c r="R613" s="41">
        <f t="shared" si="38"/>
        <v>0</v>
      </c>
    </row>
    <row r="614" spans="10:18">
      <c r="J614" s="46">
        <v>43266</v>
      </c>
      <c r="K614" s="2">
        <v>96.915779139344266</v>
      </c>
      <c r="L614" s="2">
        <v>96.29</v>
      </c>
      <c r="M614" s="2">
        <v>-0.62577913934426022</v>
      </c>
      <c r="O614" s="39">
        <f t="shared" si="39"/>
        <v>43510</v>
      </c>
      <c r="P614" s="41">
        <f t="shared" si="36"/>
        <v>0</v>
      </c>
      <c r="Q614" s="41">
        <f t="shared" si="37"/>
        <v>0</v>
      </c>
      <c r="R614" s="41">
        <f t="shared" si="38"/>
        <v>0</v>
      </c>
    </row>
    <row r="615" spans="10:18">
      <c r="J615" s="46">
        <v>43265</v>
      </c>
      <c r="K615" s="2">
        <v>96.915779139344266</v>
      </c>
      <c r="L615" s="2">
        <v>96.26</v>
      </c>
      <c r="M615" s="2">
        <v>-0.65577913934426135</v>
      </c>
      <c r="O615" s="39">
        <f t="shared" si="39"/>
        <v>43509</v>
      </c>
      <c r="P615" s="41">
        <f t="shared" si="36"/>
        <v>0</v>
      </c>
      <c r="Q615" s="41">
        <f t="shared" si="37"/>
        <v>0</v>
      </c>
      <c r="R615" s="41">
        <f t="shared" si="38"/>
        <v>0</v>
      </c>
    </row>
    <row r="616" spans="10:18">
      <c r="J616" s="46">
        <v>43264</v>
      </c>
      <c r="K616" s="2">
        <v>96.915779139344266</v>
      </c>
      <c r="L616" s="2">
        <v>96.69</v>
      </c>
      <c r="M616" s="2">
        <v>-0.22577913934426874</v>
      </c>
      <c r="O616" s="39">
        <f t="shared" si="39"/>
        <v>43508</v>
      </c>
      <c r="P616" s="41">
        <f t="shared" si="36"/>
        <v>0</v>
      </c>
      <c r="Q616" s="41">
        <f t="shared" si="37"/>
        <v>0</v>
      </c>
      <c r="R616" s="41">
        <f t="shared" si="38"/>
        <v>0</v>
      </c>
    </row>
    <row r="617" spans="10:18">
      <c r="J617" s="46">
        <v>43263</v>
      </c>
      <c r="K617" s="2">
        <v>96.915779139344266</v>
      </c>
      <c r="L617" s="2">
        <v>95.34</v>
      </c>
      <c r="M617" s="2">
        <v>-1.5757791393442631</v>
      </c>
      <c r="O617" s="39">
        <f t="shared" si="39"/>
        <v>43507</v>
      </c>
      <c r="P617" s="41">
        <f t="shared" si="36"/>
        <v>0</v>
      </c>
      <c r="Q617" s="41">
        <f t="shared" si="37"/>
        <v>0</v>
      </c>
      <c r="R617" s="41">
        <f t="shared" si="38"/>
        <v>0</v>
      </c>
    </row>
    <row r="618" spans="10:18">
      <c r="J618" s="46">
        <v>43262</v>
      </c>
      <c r="K618" s="2">
        <v>96.915779139344266</v>
      </c>
      <c r="L618" s="2">
        <v>94.51</v>
      </c>
      <c r="M618" s="2">
        <v>-2.4057791393442614</v>
      </c>
      <c r="O618" s="39">
        <f t="shared" si="39"/>
        <v>43506</v>
      </c>
      <c r="P618" s="41">
        <f t="shared" si="36"/>
        <v>0</v>
      </c>
      <c r="Q618" s="41">
        <f t="shared" si="37"/>
        <v>0</v>
      </c>
      <c r="R618" s="41">
        <f t="shared" si="38"/>
        <v>0</v>
      </c>
    </row>
    <row r="619" spans="10:18">
      <c r="J619" s="46">
        <v>43259</v>
      </c>
      <c r="K619" s="2">
        <v>96.915779139344266</v>
      </c>
      <c r="L619" s="2">
        <v>94.49</v>
      </c>
      <c r="M619" s="2">
        <v>-2.4257791393442716</v>
      </c>
      <c r="O619" s="39">
        <f t="shared" si="39"/>
        <v>43505</v>
      </c>
      <c r="P619" s="41">
        <f t="shared" si="36"/>
        <v>0</v>
      </c>
      <c r="Q619" s="41">
        <f t="shared" si="37"/>
        <v>0</v>
      </c>
      <c r="R619" s="41">
        <f t="shared" si="38"/>
        <v>0</v>
      </c>
    </row>
    <row r="620" spans="10:18">
      <c r="J620" s="46">
        <v>43258</v>
      </c>
      <c r="K620" s="2">
        <v>94.122960983606561</v>
      </c>
      <c r="L620" s="2">
        <v>93.52</v>
      </c>
      <c r="M620" s="2">
        <v>-0.60296098360656458</v>
      </c>
      <c r="O620" s="39">
        <f t="shared" si="39"/>
        <v>43504</v>
      </c>
      <c r="P620" s="41">
        <f t="shared" si="36"/>
        <v>0</v>
      </c>
      <c r="Q620" s="41">
        <f t="shared" si="37"/>
        <v>0</v>
      </c>
      <c r="R620" s="41">
        <f t="shared" si="38"/>
        <v>0</v>
      </c>
    </row>
    <row r="621" spans="10:18">
      <c r="J621" s="46">
        <v>43257</v>
      </c>
      <c r="K621" s="2">
        <v>94.122960983606561</v>
      </c>
      <c r="L621" s="2">
        <v>93.78</v>
      </c>
      <c r="M621" s="2">
        <v>-0.34296098360655947</v>
      </c>
      <c r="O621" s="39">
        <f t="shared" si="39"/>
        <v>43503</v>
      </c>
      <c r="P621" s="41">
        <f t="shared" si="36"/>
        <v>0</v>
      </c>
      <c r="Q621" s="41">
        <f t="shared" si="37"/>
        <v>0</v>
      </c>
      <c r="R621" s="41">
        <f t="shared" si="38"/>
        <v>0</v>
      </c>
    </row>
    <row r="622" spans="10:18">
      <c r="J622" s="46">
        <v>43256</v>
      </c>
      <c r="K622" s="2">
        <v>94.122960983606561</v>
      </c>
      <c r="L622" s="2">
        <v>94.58</v>
      </c>
      <c r="M622" s="2">
        <v>0.45703901639343769</v>
      </c>
      <c r="O622" s="39">
        <f t="shared" si="39"/>
        <v>43502</v>
      </c>
      <c r="P622" s="41">
        <f t="shared" si="36"/>
        <v>0</v>
      </c>
      <c r="Q622" s="41">
        <f t="shared" si="37"/>
        <v>0</v>
      </c>
      <c r="R622" s="41">
        <f t="shared" si="38"/>
        <v>0</v>
      </c>
    </row>
    <row r="623" spans="10:18">
      <c r="J623" s="46">
        <v>43255</v>
      </c>
      <c r="K623" s="2">
        <v>94.122960983606561</v>
      </c>
      <c r="L623" s="2">
        <v>95.03</v>
      </c>
      <c r="M623" s="2">
        <v>0.90703901639344053</v>
      </c>
      <c r="O623" s="39">
        <f t="shared" si="39"/>
        <v>43501</v>
      </c>
      <c r="P623" s="41">
        <f t="shared" si="36"/>
        <v>0</v>
      </c>
      <c r="Q623" s="41">
        <f t="shared" si="37"/>
        <v>0</v>
      </c>
      <c r="R623" s="41">
        <f t="shared" si="38"/>
        <v>0</v>
      </c>
    </row>
    <row r="624" spans="10:18">
      <c r="J624" s="46">
        <v>43252</v>
      </c>
      <c r="K624" s="2">
        <v>94.122960983606561</v>
      </c>
      <c r="L624" s="2">
        <v>93.75</v>
      </c>
      <c r="M624" s="2">
        <v>-0.3729609836065606</v>
      </c>
      <c r="O624" s="39">
        <f t="shared" si="39"/>
        <v>43500</v>
      </c>
      <c r="P624" s="41">
        <f t="shared" si="36"/>
        <v>0</v>
      </c>
      <c r="Q624" s="41">
        <f t="shared" si="37"/>
        <v>0</v>
      </c>
      <c r="R624" s="41">
        <f t="shared" si="38"/>
        <v>0</v>
      </c>
    </row>
    <row r="625" spans="10:18">
      <c r="J625" s="46">
        <v>43251</v>
      </c>
      <c r="K625" s="2">
        <v>93.896960983606562</v>
      </c>
      <c r="L625" s="2">
        <v>93.82</v>
      </c>
      <c r="M625" s="2">
        <v>-7.6960983606568334E-2</v>
      </c>
      <c r="O625" s="39">
        <f t="shared" si="39"/>
        <v>43499</v>
      </c>
      <c r="P625" s="41">
        <f t="shared" si="36"/>
        <v>0</v>
      </c>
      <c r="Q625" s="41">
        <f t="shared" si="37"/>
        <v>0</v>
      </c>
      <c r="R625" s="41">
        <f t="shared" si="38"/>
        <v>0</v>
      </c>
    </row>
    <row r="626" spans="10:18">
      <c r="J626" s="46">
        <v>43250</v>
      </c>
      <c r="K626" s="2">
        <v>93.896960983606562</v>
      </c>
      <c r="L626" s="2">
        <v>93.15</v>
      </c>
      <c r="M626" s="2">
        <v>-0.74696098360655583</v>
      </c>
      <c r="O626" s="39">
        <f t="shared" si="39"/>
        <v>43498</v>
      </c>
      <c r="P626" s="41">
        <f t="shared" si="36"/>
        <v>0</v>
      </c>
      <c r="Q626" s="41">
        <f t="shared" si="37"/>
        <v>0</v>
      </c>
      <c r="R626" s="41">
        <f t="shared" si="38"/>
        <v>0</v>
      </c>
    </row>
    <row r="627" spans="10:18">
      <c r="J627" s="46">
        <v>43249</v>
      </c>
      <c r="K627" s="2">
        <v>93.896960983606562</v>
      </c>
      <c r="L627" s="2">
        <v>92.4</v>
      </c>
      <c r="M627" s="2">
        <v>-1.4969609836065558</v>
      </c>
      <c r="O627" s="39">
        <f t="shared" si="39"/>
        <v>43497</v>
      </c>
      <c r="P627" s="41">
        <f t="shared" si="36"/>
        <v>0</v>
      </c>
      <c r="Q627" s="41">
        <f t="shared" si="37"/>
        <v>0</v>
      </c>
      <c r="R627" s="41">
        <f t="shared" si="38"/>
        <v>0</v>
      </c>
    </row>
    <row r="628" spans="10:18">
      <c r="J628" s="46">
        <v>43248</v>
      </c>
      <c r="K628" s="2">
        <v>93.896960983606562</v>
      </c>
      <c r="L628" s="2">
        <v>88.88</v>
      </c>
      <c r="M628" s="2">
        <v>-5.0169609836065661</v>
      </c>
      <c r="O628" s="39">
        <f t="shared" si="39"/>
        <v>43496</v>
      </c>
      <c r="P628" s="41">
        <f t="shared" si="36"/>
        <v>0</v>
      </c>
      <c r="Q628" s="41">
        <f t="shared" si="37"/>
        <v>0</v>
      </c>
      <c r="R628" s="41">
        <f t="shared" si="38"/>
        <v>0</v>
      </c>
    </row>
    <row r="629" spans="10:18">
      <c r="J629" s="46">
        <v>43245</v>
      </c>
      <c r="K629" s="2">
        <v>93.896960983606562</v>
      </c>
      <c r="L629" s="2">
        <v>88.88</v>
      </c>
      <c r="M629" s="2">
        <v>-5.0169609836065661</v>
      </c>
      <c r="O629" s="39">
        <f t="shared" si="39"/>
        <v>43495</v>
      </c>
      <c r="P629" s="41">
        <f t="shared" si="36"/>
        <v>0</v>
      </c>
      <c r="Q629" s="41">
        <f t="shared" si="37"/>
        <v>0</v>
      </c>
      <c r="R629" s="41">
        <f t="shared" si="38"/>
        <v>0</v>
      </c>
    </row>
    <row r="630" spans="10:18">
      <c r="J630" s="46">
        <v>43244</v>
      </c>
      <c r="K630" s="2">
        <v>92.149591967213112</v>
      </c>
      <c r="L630" s="2">
        <v>89.99</v>
      </c>
      <c r="M630" s="2">
        <v>-2.1595919672131174</v>
      </c>
      <c r="O630" s="39">
        <f t="shared" si="39"/>
        <v>43494</v>
      </c>
      <c r="P630" s="41">
        <f t="shared" si="36"/>
        <v>0</v>
      </c>
      <c r="Q630" s="41">
        <f t="shared" si="37"/>
        <v>0</v>
      </c>
      <c r="R630" s="41">
        <f t="shared" si="38"/>
        <v>0</v>
      </c>
    </row>
    <row r="631" spans="10:18">
      <c r="J631" s="46">
        <v>43243</v>
      </c>
      <c r="K631" s="2">
        <v>92.149591967213112</v>
      </c>
      <c r="L631" s="2">
        <v>90.27</v>
      </c>
      <c r="M631" s="2">
        <v>-1.8795919672131163</v>
      </c>
      <c r="O631" s="39">
        <f t="shared" si="39"/>
        <v>43493</v>
      </c>
      <c r="P631" s="41">
        <f t="shared" si="36"/>
        <v>0</v>
      </c>
      <c r="Q631" s="41">
        <f t="shared" si="37"/>
        <v>0</v>
      </c>
      <c r="R631" s="41">
        <f t="shared" si="38"/>
        <v>0</v>
      </c>
    </row>
    <row r="632" spans="10:18">
      <c r="J632" s="46">
        <v>43242</v>
      </c>
      <c r="K632" s="2">
        <v>92.149591967213112</v>
      </c>
      <c r="L632" s="2">
        <v>89.46</v>
      </c>
      <c r="M632" s="2">
        <v>-2.6895919672131186</v>
      </c>
      <c r="O632" s="39">
        <f t="shared" si="39"/>
        <v>43492</v>
      </c>
      <c r="P632" s="41">
        <f t="shared" si="36"/>
        <v>0</v>
      </c>
      <c r="Q632" s="41">
        <f t="shared" si="37"/>
        <v>0</v>
      </c>
      <c r="R632" s="41">
        <f t="shared" si="38"/>
        <v>0</v>
      </c>
    </row>
    <row r="633" spans="10:18">
      <c r="J633" s="46">
        <v>43241</v>
      </c>
      <c r="K633" s="2">
        <v>92.149591967213112</v>
      </c>
      <c r="L633" s="2">
        <v>90.94</v>
      </c>
      <c r="M633" s="2">
        <v>-1.2095919672131146</v>
      </c>
      <c r="O633" s="39">
        <f t="shared" si="39"/>
        <v>43491</v>
      </c>
      <c r="P633" s="41">
        <f t="shared" si="36"/>
        <v>0</v>
      </c>
      <c r="Q633" s="41">
        <f t="shared" si="37"/>
        <v>0</v>
      </c>
      <c r="R633" s="41">
        <f t="shared" si="38"/>
        <v>0</v>
      </c>
    </row>
    <row r="634" spans="10:18">
      <c r="J634" s="46">
        <v>43238</v>
      </c>
      <c r="K634" s="2">
        <v>92.149591967213112</v>
      </c>
      <c r="L634" s="2">
        <v>91.24</v>
      </c>
      <c r="M634" s="2">
        <v>-0.90959196721311741</v>
      </c>
      <c r="O634" s="39">
        <f t="shared" si="39"/>
        <v>43490</v>
      </c>
      <c r="P634" s="41">
        <f t="shared" si="36"/>
        <v>0</v>
      </c>
      <c r="Q634" s="41">
        <f t="shared" si="37"/>
        <v>0</v>
      </c>
      <c r="R634" s="41">
        <f t="shared" si="38"/>
        <v>0</v>
      </c>
    </row>
    <row r="635" spans="10:18">
      <c r="J635" s="46">
        <v>43237</v>
      </c>
      <c r="K635" s="2">
        <v>93.73159196721312</v>
      </c>
      <c r="L635" s="2">
        <v>92.11</v>
      </c>
      <c r="M635" s="2">
        <v>-1.6215919672131207</v>
      </c>
      <c r="O635" s="39">
        <f t="shared" si="39"/>
        <v>43489</v>
      </c>
      <c r="P635" s="41">
        <f t="shared" si="36"/>
        <v>0</v>
      </c>
      <c r="Q635" s="41">
        <f t="shared" si="37"/>
        <v>0</v>
      </c>
      <c r="R635" s="41">
        <f t="shared" si="38"/>
        <v>0</v>
      </c>
    </row>
    <row r="636" spans="10:18">
      <c r="J636" s="46">
        <v>43236</v>
      </c>
      <c r="K636" s="2">
        <v>93.73159196721312</v>
      </c>
      <c r="L636" s="2">
        <v>91.35</v>
      </c>
      <c r="M636" s="2">
        <v>-2.3815919672131258</v>
      </c>
      <c r="O636" s="39">
        <f t="shared" si="39"/>
        <v>43488</v>
      </c>
      <c r="P636" s="41">
        <f t="shared" si="36"/>
        <v>0</v>
      </c>
      <c r="Q636" s="41">
        <f t="shared" si="37"/>
        <v>0</v>
      </c>
      <c r="R636" s="41">
        <f t="shared" si="38"/>
        <v>0</v>
      </c>
    </row>
    <row r="637" spans="10:18">
      <c r="J637" s="46">
        <v>43235</v>
      </c>
      <c r="K637" s="2">
        <v>93.73159196721312</v>
      </c>
      <c r="L637" s="2">
        <v>91.6</v>
      </c>
      <c r="M637" s="2">
        <v>-2.1315919672131258</v>
      </c>
      <c r="O637" s="39">
        <f t="shared" si="39"/>
        <v>43487</v>
      </c>
      <c r="P637" s="41">
        <f t="shared" si="36"/>
        <v>0</v>
      </c>
      <c r="Q637" s="41">
        <f t="shared" si="37"/>
        <v>0</v>
      </c>
      <c r="R637" s="41">
        <f t="shared" si="38"/>
        <v>0</v>
      </c>
    </row>
    <row r="638" spans="10:18">
      <c r="J638" s="46">
        <v>43234</v>
      </c>
      <c r="K638" s="2">
        <v>93.73159196721312</v>
      </c>
      <c r="L638" s="2">
        <v>89.85</v>
      </c>
      <c r="M638" s="2">
        <v>-3.8815919672131258</v>
      </c>
      <c r="O638" s="39">
        <f t="shared" si="39"/>
        <v>43486</v>
      </c>
      <c r="P638" s="41">
        <f t="shared" si="36"/>
        <v>0</v>
      </c>
      <c r="Q638" s="41">
        <f t="shared" si="37"/>
        <v>0</v>
      </c>
      <c r="R638" s="41">
        <f t="shared" si="38"/>
        <v>0</v>
      </c>
    </row>
    <row r="639" spans="10:18">
      <c r="J639" s="46">
        <v>43231</v>
      </c>
      <c r="K639" s="2">
        <v>93.73159196721312</v>
      </c>
      <c r="L639" s="2">
        <v>89.26</v>
      </c>
      <c r="M639" s="2">
        <v>-4.471591967213115</v>
      </c>
      <c r="O639" s="39">
        <f t="shared" si="39"/>
        <v>43485</v>
      </c>
      <c r="P639" s="41">
        <f t="shared" si="36"/>
        <v>0</v>
      </c>
      <c r="Q639" s="41">
        <f t="shared" si="37"/>
        <v>0</v>
      </c>
      <c r="R639" s="41">
        <f t="shared" si="38"/>
        <v>0</v>
      </c>
    </row>
    <row r="640" spans="10:18">
      <c r="J640" s="46">
        <v>43230</v>
      </c>
      <c r="K640" s="2">
        <v>93.279591967213122</v>
      </c>
      <c r="L640" s="2">
        <v>86.26</v>
      </c>
      <c r="M640" s="2">
        <v>-7.0195919672131168</v>
      </c>
      <c r="O640" s="39">
        <f t="shared" si="39"/>
        <v>43484</v>
      </c>
      <c r="P640" s="41">
        <f t="shared" si="36"/>
        <v>0</v>
      </c>
      <c r="Q640" s="41">
        <f t="shared" si="37"/>
        <v>0</v>
      </c>
      <c r="R640" s="41">
        <f t="shared" si="38"/>
        <v>0</v>
      </c>
    </row>
    <row r="641" spans="10:18">
      <c r="J641" s="46">
        <v>43229</v>
      </c>
      <c r="K641" s="2">
        <v>93.279591967213122</v>
      </c>
      <c r="L641" s="2">
        <v>86.23</v>
      </c>
      <c r="M641" s="2">
        <v>-7.049591967213118</v>
      </c>
      <c r="O641" s="39">
        <f t="shared" si="39"/>
        <v>43483</v>
      </c>
      <c r="P641" s="41">
        <f t="shared" si="36"/>
        <v>0</v>
      </c>
      <c r="Q641" s="41">
        <f t="shared" si="37"/>
        <v>0</v>
      </c>
      <c r="R641" s="41">
        <f t="shared" si="38"/>
        <v>0</v>
      </c>
    </row>
    <row r="642" spans="10:18">
      <c r="J642" s="46">
        <v>43228</v>
      </c>
      <c r="K642" s="2">
        <v>93.279591967213122</v>
      </c>
      <c r="L642" s="2">
        <v>85.13</v>
      </c>
      <c r="M642" s="2">
        <v>-8.1495919672131265</v>
      </c>
      <c r="O642" s="39">
        <f t="shared" si="39"/>
        <v>43482</v>
      </c>
      <c r="P642" s="41">
        <f t="shared" si="36"/>
        <v>0</v>
      </c>
      <c r="Q642" s="41">
        <f t="shared" si="37"/>
        <v>0</v>
      </c>
      <c r="R642" s="41">
        <f t="shared" si="38"/>
        <v>0</v>
      </c>
    </row>
    <row r="643" spans="10:18">
      <c r="J643" s="46">
        <v>43227</v>
      </c>
      <c r="K643" s="2">
        <v>93.279591967213122</v>
      </c>
      <c r="L643" s="2">
        <v>83.52</v>
      </c>
      <c r="M643" s="2">
        <v>-9.7595919672131259</v>
      </c>
      <c r="O643" s="39">
        <f t="shared" si="39"/>
        <v>43481</v>
      </c>
      <c r="P643" s="41">
        <f t="shared" si="36"/>
        <v>0</v>
      </c>
      <c r="Q643" s="41">
        <f t="shared" si="37"/>
        <v>0</v>
      </c>
      <c r="R643" s="41">
        <f t="shared" si="38"/>
        <v>0</v>
      </c>
    </row>
    <row r="644" spans="10:18">
      <c r="J644" s="46">
        <v>43224</v>
      </c>
      <c r="K644" s="2">
        <v>93.279591967213122</v>
      </c>
      <c r="L644" s="2">
        <v>83.52</v>
      </c>
      <c r="M644" s="2">
        <v>-9.7595919672131259</v>
      </c>
      <c r="O644" s="39">
        <f t="shared" si="39"/>
        <v>43480</v>
      </c>
      <c r="P644" s="41">
        <f t="shared" si="36"/>
        <v>0</v>
      </c>
      <c r="Q644" s="41">
        <f t="shared" si="37"/>
        <v>0</v>
      </c>
      <c r="R644" s="41">
        <f t="shared" si="38"/>
        <v>0</v>
      </c>
    </row>
    <row r="645" spans="10:18">
      <c r="J645" s="46">
        <v>43223</v>
      </c>
      <c r="K645" s="2">
        <v>93.189191967213119</v>
      </c>
      <c r="L645" s="2">
        <v>83.77</v>
      </c>
      <c r="M645" s="2">
        <v>-9.4191919672131235</v>
      </c>
      <c r="O645" s="39">
        <f t="shared" si="39"/>
        <v>43479</v>
      </c>
      <c r="P645" s="41">
        <f t="shared" si="36"/>
        <v>0</v>
      </c>
      <c r="Q645" s="41">
        <f t="shared" si="37"/>
        <v>0</v>
      </c>
      <c r="R645" s="41">
        <f t="shared" si="38"/>
        <v>0</v>
      </c>
    </row>
    <row r="646" spans="10:18">
      <c r="J646" s="46">
        <v>43222</v>
      </c>
      <c r="K646" s="2">
        <v>93.189191967213119</v>
      </c>
      <c r="L646" s="2">
        <v>83.83</v>
      </c>
      <c r="M646" s="2">
        <v>-9.3591919672131212</v>
      </c>
      <c r="O646" s="39">
        <f t="shared" si="39"/>
        <v>43478</v>
      </c>
      <c r="P646" s="41">
        <f t="shared" ref="P646:P709" si="40">IFERROR(VLOOKUP($O646,$J$5:$M$403,2,FALSE),P647)</f>
        <v>0</v>
      </c>
      <c r="Q646" s="41">
        <f t="shared" ref="Q646:Q709" si="41">IFERROR(VLOOKUP($O646,$J$5:$M$403,3,FALSE),Q647)</f>
        <v>0</v>
      </c>
      <c r="R646" s="41">
        <f t="shared" ref="R646:R709" si="42">IFERROR(VLOOKUP($O646,$J$5:$M$403,4,FALSE),R647)</f>
        <v>0</v>
      </c>
    </row>
    <row r="647" spans="10:18">
      <c r="J647" s="46">
        <v>43221</v>
      </c>
      <c r="K647" s="2">
        <v>93.189191967213119</v>
      </c>
      <c r="L647" s="2">
        <v>84.09</v>
      </c>
      <c r="M647" s="2">
        <v>-9.0991919672131161</v>
      </c>
      <c r="O647" s="39">
        <f t="shared" ref="O647:O710" si="43">O646-1</f>
        <v>43477</v>
      </c>
      <c r="P647" s="41">
        <f t="shared" si="40"/>
        <v>0</v>
      </c>
      <c r="Q647" s="41">
        <f t="shared" si="41"/>
        <v>0</v>
      </c>
      <c r="R647" s="41">
        <f t="shared" si="42"/>
        <v>0</v>
      </c>
    </row>
    <row r="648" spans="10:18">
      <c r="J648" s="46">
        <v>43220</v>
      </c>
      <c r="K648" s="2">
        <v>93.189191967213119</v>
      </c>
      <c r="L648" s="2">
        <v>86.27</v>
      </c>
      <c r="M648" s="2">
        <v>-6.9191919672131235</v>
      </c>
      <c r="O648" s="39">
        <f t="shared" si="43"/>
        <v>43476</v>
      </c>
      <c r="P648" s="41">
        <f t="shared" si="40"/>
        <v>0</v>
      </c>
      <c r="Q648" s="41">
        <f t="shared" si="41"/>
        <v>0</v>
      </c>
      <c r="R648" s="41">
        <f t="shared" si="42"/>
        <v>0</v>
      </c>
    </row>
    <row r="649" spans="10:18">
      <c r="J649" s="46">
        <v>43217</v>
      </c>
      <c r="K649" s="2">
        <v>93.189191967213119</v>
      </c>
      <c r="L649" s="2">
        <v>84.15</v>
      </c>
      <c r="M649" s="2">
        <v>-9.0391919672131138</v>
      </c>
      <c r="O649" s="39">
        <f t="shared" si="43"/>
        <v>43475</v>
      </c>
      <c r="P649" s="41">
        <f t="shared" si="40"/>
        <v>0</v>
      </c>
      <c r="Q649" s="41">
        <f t="shared" si="41"/>
        <v>0</v>
      </c>
      <c r="R649" s="41">
        <f t="shared" si="42"/>
        <v>0</v>
      </c>
    </row>
    <row r="650" spans="10:18">
      <c r="J650" s="46">
        <v>43216</v>
      </c>
      <c r="K650" s="2">
        <v>92.628174754098353</v>
      </c>
      <c r="L650" s="2">
        <v>82.79</v>
      </c>
      <c r="M650" s="2">
        <v>-9.8381747540983469</v>
      </c>
      <c r="O650" s="39">
        <f t="shared" si="43"/>
        <v>43474</v>
      </c>
      <c r="P650" s="41">
        <f t="shared" si="40"/>
        <v>0</v>
      </c>
      <c r="Q650" s="41">
        <f t="shared" si="41"/>
        <v>0</v>
      </c>
      <c r="R650" s="41">
        <f t="shared" si="42"/>
        <v>0</v>
      </c>
    </row>
    <row r="651" spans="10:18">
      <c r="J651" s="46">
        <v>43215</v>
      </c>
      <c r="K651" s="2">
        <v>92.628174754098353</v>
      </c>
      <c r="L651" s="2">
        <v>82.09</v>
      </c>
      <c r="M651" s="2">
        <v>-10.53817475409835</v>
      </c>
      <c r="O651" s="39">
        <f t="shared" si="43"/>
        <v>43473</v>
      </c>
      <c r="P651" s="41">
        <f t="shared" si="40"/>
        <v>0</v>
      </c>
      <c r="Q651" s="41">
        <f t="shared" si="41"/>
        <v>0</v>
      </c>
      <c r="R651" s="41">
        <f t="shared" si="42"/>
        <v>0</v>
      </c>
    </row>
    <row r="652" spans="10:18">
      <c r="J652" s="46">
        <v>43214</v>
      </c>
      <c r="K652" s="2">
        <v>92.628174754098353</v>
      </c>
      <c r="L652" s="2">
        <v>83.24</v>
      </c>
      <c r="M652" s="2">
        <v>-9.3881747540983582</v>
      </c>
      <c r="O652" s="39">
        <f t="shared" si="43"/>
        <v>43472</v>
      </c>
      <c r="P652" s="41">
        <f t="shared" si="40"/>
        <v>0</v>
      </c>
      <c r="Q652" s="41">
        <f t="shared" si="41"/>
        <v>0</v>
      </c>
      <c r="R652" s="41">
        <f t="shared" si="42"/>
        <v>0</v>
      </c>
    </row>
    <row r="653" spans="10:18">
      <c r="J653" s="46">
        <v>43213</v>
      </c>
      <c r="K653" s="2">
        <v>92.628174754098353</v>
      </c>
      <c r="L653" s="2">
        <v>84.29</v>
      </c>
      <c r="M653" s="2">
        <v>-8.3381747540983469</v>
      </c>
      <c r="O653" s="39">
        <f t="shared" si="43"/>
        <v>43471</v>
      </c>
      <c r="P653" s="41">
        <f t="shared" si="40"/>
        <v>0</v>
      </c>
      <c r="Q653" s="41">
        <f t="shared" si="41"/>
        <v>0</v>
      </c>
      <c r="R653" s="41">
        <f t="shared" si="42"/>
        <v>0</v>
      </c>
    </row>
    <row r="654" spans="10:18">
      <c r="J654" s="46">
        <v>43210</v>
      </c>
      <c r="K654" s="2">
        <v>92.628174754098353</v>
      </c>
      <c r="L654" s="2">
        <v>82.87</v>
      </c>
      <c r="M654" s="2">
        <v>-9.7581747540983486</v>
      </c>
      <c r="O654" s="39">
        <f t="shared" si="43"/>
        <v>43470</v>
      </c>
      <c r="P654" s="41">
        <f t="shared" si="40"/>
        <v>0</v>
      </c>
      <c r="Q654" s="41">
        <f t="shared" si="41"/>
        <v>0</v>
      </c>
      <c r="R654" s="41">
        <f t="shared" si="42"/>
        <v>0</v>
      </c>
    </row>
    <row r="655" spans="10:18">
      <c r="J655" s="46">
        <v>43209</v>
      </c>
      <c r="K655" s="2">
        <v>90.594174754098361</v>
      </c>
      <c r="L655" s="2">
        <v>82.19</v>
      </c>
      <c r="M655" s="2">
        <v>-8.4041747540983636</v>
      </c>
      <c r="O655" s="39">
        <f t="shared" si="43"/>
        <v>43469</v>
      </c>
      <c r="P655" s="41">
        <f t="shared" si="40"/>
        <v>0</v>
      </c>
      <c r="Q655" s="41">
        <f t="shared" si="41"/>
        <v>0</v>
      </c>
      <c r="R655" s="41">
        <f t="shared" si="42"/>
        <v>0</v>
      </c>
    </row>
    <row r="656" spans="10:18">
      <c r="J656" s="46">
        <v>43208</v>
      </c>
      <c r="K656" s="2">
        <v>90.594174754098361</v>
      </c>
      <c r="L656" s="2">
        <v>80.5</v>
      </c>
      <c r="M656" s="2">
        <v>-10.094174754098361</v>
      </c>
      <c r="O656" s="39">
        <f t="shared" si="43"/>
        <v>43468</v>
      </c>
      <c r="P656" s="41">
        <f t="shared" si="40"/>
        <v>0</v>
      </c>
      <c r="Q656" s="41">
        <f t="shared" si="41"/>
        <v>0</v>
      </c>
      <c r="R656" s="41">
        <f t="shared" si="42"/>
        <v>0</v>
      </c>
    </row>
    <row r="657" spans="10:18">
      <c r="J657" s="46">
        <v>43207</v>
      </c>
      <c r="K657" s="2">
        <v>90.594174754098361</v>
      </c>
      <c r="L657" s="2">
        <v>81</v>
      </c>
      <c r="M657" s="2">
        <v>-9.5941747540983613</v>
      </c>
      <c r="O657" s="39">
        <f t="shared" si="43"/>
        <v>43467</v>
      </c>
      <c r="P657" s="41">
        <f t="shared" si="40"/>
        <v>0</v>
      </c>
      <c r="Q657" s="41">
        <f t="shared" si="41"/>
        <v>0</v>
      </c>
      <c r="R657" s="41">
        <f t="shared" si="42"/>
        <v>0</v>
      </c>
    </row>
    <row r="658" spans="10:18">
      <c r="J658" s="46">
        <v>43206</v>
      </c>
      <c r="K658" s="2">
        <v>90.594174754098361</v>
      </c>
      <c r="L658" s="2">
        <v>82.31</v>
      </c>
      <c r="M658" s="2">
        <v>-8.284174754098359</v>
      </c>
      <c r="O658" s="39">
        <f t="shared" si="43"/>
        <v>43466</v>
      </c>
      <c r="P658" s="41">
        <f t="shared" si="40"/>
        <v>0</v>
      </c>
      <c r="Q658" s="41">
        <f t="shared" si="41"/>
        <v>0</v>
      </c>
      <c r="R658" s="41">
        <f t="shared" si="42"/>
        <v>0</v>
      </c>
    </row>
    <row r="659" spans="10:18">
      <c r="J659" s="46">
        <v>43203</v>
      </c>
      <c r="K659" s="2">
        <v>90.594174754098361</v>
      </c>
      <c r="L659" s="2">
        <v>82.43</v>
      </c>
      <c r="M659" s="2">
        <v>-8.1641747540983545</v>
      </c>
      <c r="O659" s="39">
        <f t="shared" si="43"/>
        <v>43465</v>
      </c>
      <c r="P659" s="41">
        <f t="shared" si="40"/>
        <v>0</v>
      </c>
      <c r="Q659" s="41">
        <f t="shared" si="41"/>
        <v>0</v>
      </c>
      <c r="R659" s="41">
        <f t="shared" si="42"/>
        <v>0</v>
      </c>
    </row>
    <row r="660" spans="10:18">
      <c r="J660" s="46">
        <v>43202</v>
      </c>
      <c r="K660" s="2">
        <v>90.236830778688528</v>
      </c>
      <c r="L660" s="2">
        <v>82.51</v>
      </c>
      <c r="M660" s="2">
        <v>-7.7268307786885231</v>
      </c>
      <c r="O660" s="39">
        <f t="shared" si="43"/>
        <v>43464</v>
      </c>
      <c r="P660" s="41">
        <f t="shared" si="40"/>
        <v>0</v>
      </c>
      <c r="Q660" s="41">
        <f t="shared" si="41"/>
        <v>0</v>
      </c>
      <c r="R660" s="41">
        <f t="shared" si="42"/>
        <v>0</v>
      </c>
    </row>
    <row r="661" spans="10:18">
      <c r="J661" s="46">
        <v>43201</v>
      </c>
      <c r="K661" s="2">
        <v>90.010830778688529</v>
      </c>
      <c r="L661" s="2">
        <v>82.73</v>
      </c>
      <c r="M661" s="2">
        <v>-7.2808307786885251</v>
      </c>
      <c r="O661" s="39">
        <f t="shared" si="43"/>
        <v>43463</v>
      </c>
      <c r="P661" s="41">
        <f t="shared" si="40"/>
        <v>0</v>
      </c>
      <c r="Q661" s="41">
        <f t="shared" si="41"/>
        <v>0</v>
      </c>
      <c r="R661" s="41">
        <f t="shared" si="42"/>
        <v>0</v>
      </c>
    </row>
    <row r="662" spans="10:18">
      <c r="J662" s="46">
        <v>43200</v>
      </c>
      <c r="K662" s="2">
        <v>90.010830778688529</v>
      </c>
      <c r="L662" s="2">
        <v>82.26</v>
      </c>
      <c r="M662" s="2">
        <v>-7.750830778688524</v>
      </c>
      <c r="O662" s="39">
        <f t="shared" si="43"/>
        <v>43462</v>
      </c>
      <c r="P662" s="41">
        <f t="shared" si="40"/>
        <v>0</v>
      </c>
      <c r="Q662" s="41">
        <f t="shared" si="41"/>
        <v>0</v>
      </c>
      <c r="R662" s="41">
        <f t="shared" si="42"/>
        <v>0</v>
      </c>
    </row>
    <row r="663" spans="10:18">
      <c r="J663" s="46">
        <v>43199</v>
      </c>
      <c r="K663" s="2">
        <v>90.010830778688529</v>
      </c>
      <c r="L663" s="2">
        <v>81.03</v>
      </c>
      <c r="M663" s="2">
        <v>-8.980830778688528</v>
      </c>
      <c r="O663" s="39">
        <f t="shared" si="43"/>
        <v>43461</v>
      </c>
      <c r="P663" s="41">
        <f t="shared" si="40"/>
        <v>0</v>
      </c>
      <c r="Q663" s="41">
        <f t="shared" si="41"/>
        <v>0</v>
      </c>
      <c r="R663" s="41">
        <f t="shared" si="42"/>
        <v>0</v>
      </c>
    </row>
    <row r="664" spans="10:18">
      <c r="J664" s="46">
        <v>43196</v>
      </c>
      <c r="K664" s="2">
        <v>90.010830778688529</v>
      </c>
      <c r="L664" s="2">
        <v>80.75</v>
      </c>
      <c r="M664" s="2">
        <v>-9.2608307786885291</v>
      </c>
      <c r="O664" s="39">
        <f t="shared" si="43"/>
        <v>43460</v>
      </c>
      <c r="P664" s="41">
        <f t="shared" si="40"/>
        <v>0</v>
      </c>
      <c r="Q664" s="41">
        <f t="shared" si="41"/>
        <v>0</v>
      </c>
      <c r="R664" s="41">
        <f t="shared" si="42"/>
        <v>0</v>
      </c>
    </row>
    <row r="665" spans="10:18">
      <c r="J665" s="46">
        <v>43195</v>
      </c>
      <c r="K665" s="2">
        <v>91.899648934426239</v>
      </c>
      <c r="L665" s="2">
        <v>80.02</v>
      </c>
      <c r="M665" s="2">
        <v>-11.879648934426243</v>
      </c>
      <c r="O665" s="39">
        <f t="shared" si="43"/>
        <v>43459</v>
      </c>
      <c r="P665" s="41">
        <f t="shared" si="40"/>
        <v>0</v>
      </c>
      <c r="Q665" s="41">
        <f t="shared" si="41"/>
        <v>0</v>
      </c>
      <c r="R665" s="41">
        <f t="shared" si="42"/>
        <v>0</v>
      </c>
    </row>
    <row r="666" spans="10:18">
      <c r="J666" s="46">
        <v>43194</v>
      </c>
      <c r="K666" s="2">
        <v>92.216048934426212</v>
      </c>
      <c r="L666" s="2">
        <v>79.989999999999995</v>
      </c>
      <c r="M666" s="2">
        <v>-12.226048934426217</v>
      </c>
      <c r="O666" s="39">
        <f t="shared" si="43"/>
        <v>43458</v>
      </c>
      <c r="P666" s="41">
        <f t="shared" si="40"/>
        <v>0</v>
      </c>
      <c r="Q666" s="41">
        <f t="shared" si="41"/>
        <v>0</v>
      </c>
      <c r="R666" s="41">
        <f t="shared" si="42"/>
        <v>0</v>
      </c>
    </row>
    <row r="667" spans="10:18">
      <c r="J667" s="46">
        <v>43193</v>
      </c>
      <c r="K667" s="2">
        <v>92.216048934426212</v>
      </c>
      <c r="L667" s="2">
        <v>79.650000000000006</v>
      </c>
      <c r="M667" s="2">
        <v>-12.566048934426206</v>
      </c>
      <c r="O667" s="39">
        <f t="shared" si="43"/>
        <v>43457</v>
      </c>
      <c r="P667" s="41">
        <f t="shared" si="40"/>
        <v>0</v>
      </c>
      <c r="Q667" s="41">
        <f t="shared" si="41"/>
        <v>0</v>
      </c>
      <c r="R667" s="41">
        <f t="shared" si="42"/>
        <v>0</v>
      </c>
    </row>
    <row r="668" spans="10:18">
      <c r="J668" s="46">
        <v>43192</v>
      </c>
      <c r="K668" s="2">
        <v>92.216048934426212</v>
      </c>
      <c r="L668" s="2">
        <v>77</v>
      </c>
      <c r="M668" s="2">
        <v>-15.216048934426212</v>
      </c>
      <c r="O668" s="39">
        <f t="shared" si="43"/>
        <v>43456</v>
      </c>
      <c r="P668" s="41">
        <f t="shared" si="40"/>
        <v>0</v>
      </c>
      <c r="Q668" s="41">
        <f t="shared" si="41"/>
        <v>0</v>
      </c>
      <c r="R668" s="41">
        <f t="shared" si="42"/>
        <v>0</v>
      </c>
    </row>
    <row r="669" spans="10:18">
      <c r="J669" s="46">
        <v>43189</v>
      </c>
      <c r="K669" s="2">
        <v>92.216048934426212</v>
      </c>
      <c r="L669" s="2">
        <v>77</v>
      </c>
      <c r="M669" s="2">
        <v>-15.216048934426212</v>
      </c>
      <c r="O669" s="39">
        <f t="shared" si="43"/>
        <v>43455</v>
      </c>
      <c r="P669" s="41">
        <f t="shared" si="40"/>
        <v>0</v>
      </c>
      <c r="Q669" s="41">
        <f t="shared" si="41"/>
        <v>0</v>
      </c>
      <c r="R669" s="41">
        <f t="shared" si="42"/>
        <v>0</v>
      </c>
    </row>
    <row r="670" spans="10:18">
      <c r="J670" s="46">
        <v>43188</v>
      </c>
      <c r="K670" s="2">
        <v>92.216048934426212</v>
      </c>
      <c r="L670" s="2">
        <v>77</v>
      </c>
      <c r="M670" s="2">
        <v>-15.216048934426212</v>
      </c>
      <c r="O670" s="39">
        <f t="shared" si="43"/>
        <v>43454</v>
      </c>
      <c r="P670" s="41">
        <f t="shared" si="40"/>
        <v>0</v>
      </c>
      <c r="Q670" s="41">
        <f t="shared" si="41"/>
        <v>0</v>
      </c>
      <c r="R670" s="41">
        <f t="shared" si="42"/>
        <v>0</v>
      </c>
    </row>
    <row r="671" spans="10:18">
      <c r="J671" s="46">
        <v>43187</v>
      </c>
      <c r="K671" s="2">
        <v>92.216048934426212</v>
      </c>
      <c r="L671" s="2">
        <v>76.02</v>
      </c>
      <c r="M671" s="2">
        <v>-16.196048934426216</v>
      </c>
      <c r="O671" s="39">
        <f t="shared" si="43"/>
        <v>43453</v>
      </c>
      <c r="P671" s="41">
        <f t="shared" si="40"/>
        <v>0</v>
      </c>
      <c r="Q671" s="41">
        <f t="shared" si="41"/>
        <v>0</v>
      </c>
      <c r="R671" s="41">
        <f t="shared" si="42"/>
        <v>0</v>
      </c>
    </row>
    <row r="672" spans="10:18">
      <c r="J672" s="46">
        <v>43186</v>
      </c>
      <c r="K672" s="2">
        <v>92.216048934426212</v>
      </c>
      <c r="L672" s="2">
        <v>75.900000000000006</v>
      </c>
      <c r="M672" s="2">
        <v>-16.316048934426206</v>
      </c>
      <c r="O672" s="39">
        <f t="shared" si="43"/>
        <v>43452</v>
      </c>
      <c r="P672" s="41">
        <f t="shared" si="40"/>
        <v>0</v>
      </c>
      <c r="Q672" s="41">
        <f t="shared" si="41"/>
        <v>0</v>
      </c>
      <c r="R672" s="41">
        <f t="shared" si="42"/>
        <v>0</v>
      </c>
    </row>
    <row r="673" spans="10:18">
      <c r="J673" s="46">
        <v>43185</v>
      </c>
      <c r="K673" s="2">
        <v>92.216048934426212</v>
      </c>
      <c r="L673" s="2">
        <v>75.94</v>
      </c>
      <c r="M673" s="2">
        <v>-16.276048934426214</v>
      </c>
      <c r="O673" s="39">
        <f t="shared" si="43"/>
        <v>43451</v>
      </c>
      <c r="P673" s="41">
        <f t="shared" si="40"/>
        <v>0</v>
      </c>
      <c r="Q673" s="41">
        <f t="shared" si="41"/>
        <v>0</v>
      </c>
      <c r="R673" s="41">
        <f t="shared" si="42"/>
        <v>0</v>
      </c>
    </row>
    <row r="674" spans="10:18">
      <c r="J674" s="46">
        <v>43182</v>
      </c>
      <c r="K674" s="2">
        <v>92.216048934426212</v>
      </c>
      <c r="L674" s="2">
        <v>77.02</v>
      </c>
      <c r="M674" s="2">
        <v>-15.196048934426216</v>
      </c>
      <c r="O674" s="39">
        <f t="shared" si="43"/>
        <v>43450</v>
      </c>
      <c r="P674" s="41">
        <f t="shared" si="40"/>
        <v>0</v>
      </c>
      <c r="Q674" s="41">
        <f t="shared" si="41"/>
        <v>0</v>
      </c>
      <c r="R674" s="41">
        <f t="shared" si="42"/>
        <v>0</v>
      </c>
    </row>
    <row r="675" spans="10:18">
      <c r="J675" s="46">
        <v>43181</v>
      </c>
      <c r="K675" s="2">
        <v>92.487248934426219</v>
      </c>
      <c r="L675" s="2">
        <v>78.760000000000005</v>
      </c>
      <c r="M675" s="2">
        <v>-13.727248934426214</v>
      </c>
      <c r="O675" s="39">
        <f t="shared" si="43"/>
        <v>43449</v>
      </c>
      <c r="P675" s="41">
        <f t="shared" si="40"/>
        <v>0</v>
      </c>
      <c r="Q675" s="41">
        <f t="shared" si="41"/>
        <v>0</v>
      </c>
      <c r="R675" s="41">
        <f t="shared" si="42"/>
        <v>0</v>
      </c>
    </row>
    <row r="676" spans="10:18">
      <c r="J676" s="46">
        <v>43180</v>
      </c>
      <c r="K676" s="2">
        <v>92.487248934426219</v>
      </c>
      <c r="L676" s="2">
        <v>79.28</v>
      </c>
      <c r="M676" s="2">
        <v>-13.207248934426218</v>
      </c>
      <c r="O676" s="39">
        <f t="shared" si="43"/>
        <v>43448</v>
      </c>
      <c r="P676" s="41">
        <f t="shared" si="40"/>
        <v>0</v>
      </c>
      <c r="Q676" s="41">
        <f t="shared" si="41"/>
        <v>0</v>
      </c>
      <c r="R676" s="41">
        <f t="shared" si="42"/>
        <v>0</v>
      </c>
    </row>
    <row r="677" spans="10:18">
      <c r="J677" s="46">
        <v>43179</v>
      </c>
      <c r="K677" s="2">
        <v>92.487248934426219</v>
      </c>
      <c r="L677" s="2">
        <v>79.06</v>
      </c>
      <c r="M677" s="2">
        <v>-13.427248934426217</v>
      </c>
      <c r="O677" s="39">
        <f t="shared" si="43"/>
        <v>43447</v>
      </c>
      <c r="P677" s="41">
        <f t="shared" si="40"/>
        <v>0</v>
      </c>
      <c r="Q677" s="41">
        <f t="shared" si="41"/>
        <v>0</v>
      </c>
      <c r="R677" s="41">
        <f t="shared" si="42"/>
        <v>0</v>
      </c>
    </row>
    <row r="678" spans="10:18">
      <c r="J678" s="46">
        <v>43178</v>
      </c>
      <c r="K678" s="2">
        <v>92.487248934426219</v>
      </c>
      <c r="L678" s="2">
        <v>78.13</v>
      </c>
      <c r="M678" s="2">
        <v>-14.357248934426224</v>
      </c>
      <c r="O678" s="39">
        <f t="shared" si="43"/>
        <v>43446</v>
      </c>
      <c r="P678" s="41">
        <f t="shared" si="40"/>
        <v>0</v>
      </c>
      <c r="Q678" s="41">
        <f t="shared" si="41"/>
        <v>0</v>
      </c>
      <c r="R678" s="41">
        <f t="shared" si="42"/>
        <v>0</v>
      </c>
    </row>
    <row r="679" spans="10:18">
      <c r="J679" s="46">
        <v>43175</v>
      </c>
      <c r="K679" s="2">
        <v>92.487248934426219</v>
      </c>
      <c r="L679" s="2">
        <v>79.510000000000005</v>
      </c>
      <c r="M679" s="2">
        <v>-12.977248934426214</v>
      </c>
      <c r="O679" s="39">
        <f t="shared" si="43"/>
        <v>43445</v>
      </c>
      <c r="P679" s="41">
        <f t="shared" si="40"/>
        <v>0</v>
      </c>
      <c r="Q679" s="41">
        <f t="shared" si="41"/>
        <v>0</v>
      </c>
      <c r="R679" s="41">
        <f t="shared" si="42"/>
        <v>0</v>
      </c>
    </row>
    <row r="680" spans="10:18">
      <c r="J680" s="46">
        <v>43174</v>
      </c>
      <c r="K680" s="2">
        <v>94.886558483606564</v>
      </c>
      <c r="L680" s="2">
        <v>80.180000000000007</v>
      </c>
      <c r="M680" s="2">
        <v>-14.706558483606557</v>
      </c>
      <c r="O680" s="39">
        <f t="shared" si="43"/>
        <v>43444</v>
      </c>
      <c r="P680" s="41">
        <f t="shared" si="40"/>
        <v>0</v>
      </c>
      <c r="Q680" s="41">
        <f t="shared" si="41"/>
        <v>0</v>
      </c>
      <c r="R680" s="41">
        <f t="shared" si="42"/>
        <v>0</v>
      </c>
    </row>
    <row r="681" spans="10:18">
      <c r="J681" s="46">
        <v>43173</v>
      </c>
      <c r="K681" s="2">
        <v>94.886558483606564</v>
      </c>
      <c r="L681" s="2">
        <v>81.180000000000007</v>
      </c>
      <c r="M681" s="2">
        <v>-13.706558483606557</v>
      </c>
      <c r="O681" s="39">
        <f t="shared" si="43"/>
        <v>43443</v>
      </c>
      <c r="P681" s="41">
        <f t="shared" si="40"/>
        <v>0</v>
      </c>
      <c r="Q681" s="41">
        <f t="shared" si="41"/>
        <v>0</v>
      </c>
      <c r="R681" s="41">
        <f t="shared" si="42"/>
        <v>0</v>
      </c>
    </row>
    <row r="682" spans="10:18">
      <c r="J682" s="46">
        <v>43172</v>
      </c>
      <c r="K682" s="2">
        <v>94.886558483606564</v>
      </c>
      <c r="L682" s="2">
        <v>81.86</v>
      </c>
      <c r="M682" s="2">
        <v>-13.026558483606564</v>
      </c>
      <c r="O682" s="39">
        <f t="shared" si="43"/>
        <v>43442</v>
      </c>
      <c r="P682" s="41">
        <f t="shared" si="40"/>
        <v>0</v>
      </c>
      <c r="Q682" s="41">
        <f t="shared" si="41"/>
        <v>0</v>
      </c>
      <c r="R682" s="41">
        <f t="shared" si="42"/>
        <v>0</v>
      </c>
    </row>
    <row r="683" spans="10:18">
      <c r="J683" s="46">
        <v>43171</v>
      </c>
      <c r="K683" s="2">
        <v>94.886558483606564</v>
      </c>
      <c r="L683" s="2">
        <v>81.73</v>
      </c>
      <c r="M683" s="2">
        <v>-13.15655848360656</v>
      </c>
      <c r="O683" s="39">
        <f t="shared" si="43"/>
        <v>43441</v>
      </c>
      <c r="P683" s="41">
        <f t="shared" si="40"/>
        <v>0</v>
      </c>
      <c r="Q683" s="41">
        <f t="shared" si="41"/>
        <v>0</v>
      </c>
      <c r="R683" s="41">
        <f t="shared" si="42"/>
        <v>0</v>
      </c>
    </row>
    <row r="684" spans="10:18">
      <c r="J684" s="46">
        <v>43168</v>
      </c>
      <c r="K684" s="2">
        <v>94.886558483606564</v>
      </c>
      <c r="L684" s="2">
        <v>79.59</v>
      </c>
      <c r="M684" s="2">
        <v>-15.29655848360656</v>
      </c>
      <c r="O684" s="39">
        <f t="shared" si="43"/>
        <v>43440</v>
      </c>
      <c r="P684" s="41">
        <f t="shared" si="40"/>
        <v>0</v>
      </c>
      <c r="Q684" s="41">
        <f t="shared" si="41"/>
        <v>0</v>
      </c>
      <c r="R684" s="41">
        <f t="shared" si="42"/>
        <v>0</v>
      </c>
    </row>
    <row r="685" spans="10:18">
      <c r="J685" s="46">
        <v>43167</v>
      </c>
      <c r="K685" s="2">
        <v>95.564558483606561</v>
      </c>
      <c r="L685" s="2">
        <v>81.62</v>
      </c>
      <c r="M685" s="2">
        <v>-13.944558483606556</v>
      </c>
      <c r="O685" s="39">
        <f t="shared" si="43"/>
        <v>43439</v>
      </c>
      <c r="P685" s="41">
        <f t="shared" si="40"/>
        <v>0</v>
      </c>
      <c r="Q685" s="41">
        <f t="shared" si="41"/>
        <v>0</v>
      </c>
      <c r="R685" s="41">
        <f t="shared" si="42"/>
        <v>0</v>
      </c>
    </row>
    <row r="686" spans="10:18">
      <c r="J686" s="46">
        <v>43166</v>
      </c>
      <c r="K686" s="2">
        <v>95.564558483606561</v>
      </c>
      <c r="L686" s="2">
        <v>81.91</v>
      </c>
      <c r="M686" s="2">
        <v>-13.654558483606564</v>
      </c>
      <c r="O686" s="39">
        <f t="shared" si="43"/>
        <v>43438</v>
      </c>
      <c r="P686" s="41">
        <f t="shared" si="40"/>
        <v>0</v>
      </c>
      <c r="Q686" s="41">
        <f t="shared" si="41"/>
        <v>0</v>
      </c>
      <c r="R686" s="41">
        <f t="shared" si="42"/>
        <v>0</v>
      </c>
    </row>
    <row r="687" spans="10:18">
      <c r="J687" s="46">
        <v>43165</v>
      </c>
      <c r="K687" s="2">
        <v>95.564558483606561</v>
      </c>
      <c r="L687" s="2">
        <v>81.05</v>
      </c>
      <c r="M687" s="2">
        <v>-14.514558483606564</v>
      </c>
      <c r="O687" s="39">
        <f t="shared" si="43"/>
        <v>43437</v>
      </c>
      <c r="P687" s="41">
        <f t="shared" si="40"/>
        <v>0</v>
      </c>
      <c r="Q687" s="41">
        <f t="shared" si="41"/>
        <v>0</v>
      </c>
      <c r="R687" s="41">
        <f t="shared" si="42"/>
        <v>0</v>
      </c>
    </row>
    <row r="688" spans="10:18">
      <c r="J688" s="46">
        <v>43164</v>
      </c>
      <c r="K688" s="2">
        <v>95.564558483606561</v>
      </c>
      <c r="L688" s="2">
        <v>80.44</v>
      </c>
      <c r="M688" s="2">
        <v>-15.124558483606563</v>
      </c>
      <c r="O688" s="39">
        <f t="shared" si="43"/>
        <v>43436</v>
      </c>
      <c r="P688" s="41">
        <f t="shared" si="40"/>
        <v>0</v>
      </c>
      <c r="Q688" s="41">
        <f t="shared" si="41"/>
        <v>0</v>
      </c>
      <c r="R688" s="41">
        <f t="shared" si="42"/>
        <v>0</v>
      </c>
    </row>
    <row r="689" spans="10:18">
      <c r="J689" s="46">
        <v>43161</v>
      </c>
      <c r="K689" s="2">
        <v>95.564558483606561</v>
      </c>
      <c r="L689" s="2">
        <v>78.25</v>
      </c>
      <c r="M689" s="2">
        <v>-17.314558483606561</v>
      </c>
      <c r="O689" s="39">
        <f t="shared" si="43"/>
        <v>43435</v>
      </c>
      <c r="P689" s="41">
        <f t="shared" si="40"/>
        <v>0</v>
      </c>
      <c r="Q689" s="41">
        <f t="shared" si="41"/>
        <v>0</v>
      </c>
      <c r="R689" s="41">
        <f t="shared" si="42"/>
        <v>0</v>
      </c>
    </row>
    <row r="690" spans="10:18">
      <c r="J690" s="46">
        <v>43160</v>
      </c>
      <c r="K690" s="2">
        <v>95.880958483606562</v>
      </c>
      <c r="L690" s="2">
        <v>79.53</v>
      </c>
      <c r="M690" s="2">
        <v>-16.350958483606561</v>
      </c>
      <c r="O690" s="39">
        <f t="shared" si="43"/>
        <v>43434</v>
      </c>
      <c r="P690" s="41">
        <f t="shared" si="40"/>
        <v>0</v>
      </c>
      <c r="Q690" s="41">
        <f t="shared" si="41"/>
        <v>0</v>
      </c>
      <c r="R690" s="41">
        <f t="shared" si="42"/>
        <v>0</v>
      </c>
    </row>
    <row r="691" spans="10:18">
      <c r="J691" s="46">
        <v>43159</v>
      </c>
      <c r="K691" s="2">
        <v>95.880958483606562</v>
      </c>
      <c r="L691" s="2">
        <v>80.75</v>
      </c>
      <c r="M691" s="2">
        <v>-15.130958483606562</v>
      </c>
      <c r="O691" s="39">
        <f t="shared" si="43"/>
        <v>43433</v>
      </c>
      <c r="P691" s="41">
        <f t="shared" si="40"/>
        <v>0</v>
      </c>
      <c r="Q691" s="41">
        <f t="shared" si="41"/>
        <v>0</v>
      </c>
      <c r="R691" s="41">
        <f t="shared" si="42"/>
        <v>0</v>
      </c>
    </row>
    <row r="692" spans="10:18">
      <c r="J692" s="46">
        <v>43158</v>
      </c>
      <c r="K692" s="2">
        <v>95.880958483606562</v>
      </c>
      <c r="L692" s="2">
        <v>82.09</v>
      </c>
      <c r="M692" s="2">
        <v>-13.790958483606559</v>
      </c>
      <c r="O692" s="39">
        <f t="shared" si="43"/>
        <v>43432</v>
      </c>
      <c r="P692" s="41">
        <f t="shared" si="40"/>
        <v>0</v>
      </c>
      <c r="Q692" s="41">
        <f t="shared" si="41"/>
        <v>0</v>
      </c>
      <c r="R692" s="41">
        <f t="shared" si="42"/>
        <v>0</v>
      </c>
    </row>
    <row r="693" spans="10:18">
      <c r="J693" s="46">
        <v>43157</v>
      </c>
      <c r="K693" s="2">
        <v>95.880958483606562</v>
      </c>
      <c r="L693" s="2">
        <v>83.13</v>
      </c>
      <c r="M693" s="2">
        <v>-12.750958483606567</v>
      </c>
      <c r="O693" s="39">
        <f t="shared" si="43"/>
        <v>43431</v>
      </c>
      <c r="P693" s="41">
        <f t="shared" si="40"/>
        <v>0</v>
      </c>
      <c r="Q693" s="41">
        <f t="shared" si="41"/>
        <v>0</v>
      </c>
      <c r="R693" s="41">
        <f t="shared" si="42"/>
        <v>0</v>
      </c>
    </row>
    <row r="694" spans="10:18">
      <c r="J694" s="46">
        <v>43154</v>
      </c>
      <c r="K694" s="2">
        <v>95.880958483606562</v>
      </c>
      <c r="L694" s="2">
        <v>87.33</v>
      </c>
      <c r="M694" s="2">
        <v>-8.5509584836065642</v>
      </c>
      <c r="O694" s="39">
        <f t="shared" si="43"/>
        <v>43430</v>
      </c>
      <c r="P694" s="41">
        <f t="shared" si="40"/>
        <v>0</v>
      </c>
      <c r="Q694" s="41">
        <f t="shared" si="41"/>
        <v>0</v>
      </c>
      <c r="R694" s="41">
        <f t="shared" si="42"/>
        <v>0</v>
      </c>
    </row>
    <row r="695" spans="10:18">
      <c r="J695" s="46">
        <v>43153</v>
      </c>
      <c r="K695" s="2">
        <v>95.880958483606562</v>
      </c>
      <c r="L695" s="2">
        <v>87.82</v>
      </c>
      <c r="M695" s="2">
        <v>-8.0609584836065693</v>
      </c>
      <c r="O695" s="39">
        <f t="shared" si="43"/>
        <v>43429</v>
      </c>
      <c r="P695" s="41">
        <f t="shared" si="40"/>
        <v>0</v>
      </c>
      <c r="Q695" s="41">
        <f t="shared" si="41"/>
        <v>0</v>
      </c>
      <c r="R695" s="41">
        <f t="shared" si="42"/>
        <v>0</v>
      </c>
    </row>
    <row r="696" spans="10:18">
      <c r="J696" s="46">
        <v>43152</v>
      </c>
      <c r="K696" s="2">
        <v>95.880958483606562</v>
      </c>
      <c r="L696" s="2">
        <v>86.88</v>
      </c>
      <c r="M696" s="2">
        <v>-9.000958483606567</v>
      </c>
      <c r="O696" s="39">
        <f t="shared" si="43"/>
        <v>43428</v>
      </c>
      <c r="P696" s="41">
        <f t="shared" si="40"/>
        <v>0</v>
      </c>
      <c r="Q696" s="41">
        <f t="shared" si="41"/>
        <v>0</v>
      </c>
      <c r="R696" s="41">
        <f t="shared" si="42"/>
        <v>0</v>
      </c>
    </row>
    <row r="697" spans="10:18">
      <c r="J697" s="46">
        <v>43151</v>
      </c>
      <c r="K697" s="2">
        <v>95.880958483606562</v>
      </c>
      <c r="L697" s="2">
        <v>85.67</v>
      </c>
      <c r="M697" s="2">
        <v>-10.210958483606561</v>
      </c>
      <c r="O697" s="39">
        <f t="shared" si="43"/>
        <v>43427</v>
      </c>
      <c r="P697" s="41">
        <f t="shared" si="40"/>
        <v>0</v>
      </c>
      <c r="Q697" s="41">
        <f t="shared" si="41"/>
        <v>0</v>
      </c>
      <c r="R697" s="41">
        <f t="shared" si="42"/>
        <v>0</v>
      </c>
    </row>
    <row r="698" spans="10:18">
      <c r="J698" s="46">
        <v>43150</v>
      </c>
      <c r="K698" s="2">
        <v>95.880958483606562</v>
      </c>
      <c r="L698" s="2">
        <v>84.92</v>
      </c>
      <c r="M698" s="2">
        <v>-10.960958483606561</v>
      </c>
      <c r="O698" s="39">
        <f t="shared" si="43"/>
        <v>43426</v>
      </c>
      <c r="P698" s="41">
        <f t="shared" si="40"/>
        <v>0</v>
      </c>
      <c r="Q698" s="41">
        <f t="shared" si="41"/>
        <v>0</v>
      </c>
      <c r="R698" s="41">
        <f t="shared" si="42"/>
        <v>0</v>
      </c>
    </row>
    <row r="699" spans="10:18">
      <c r="J699" s="46">
        <v>43147</v>
      </c>
      <c r="K699" s="2">
        <v>95.880958483606562</v>
      </c>
      <c r="L699" s="2">
        <v>81.09</v>
      </c>
      <c r="M699" s="2">
        <v>-14.790958483606559</v>
      </c>
      <c r="O699" s="39">
        <f t="shared" si="43"/>
        <v>43425</v>
      </c>
      <c r="P699" s="41">
        <f t="shared" si="40"/>
        <v>0</v>
      </c>
      <c r="Q699" s="41">
        <f t="shared" si="41"/>
        <v>0</v>
      </c>
      <c r="R699" s="41">
        <f t="shared" si="42"/>
        <v>0</v>
      </c>
    </row>
    <row r="700" spans="10:18">
      <c r="J700" s="46">
        <v>43146</v>
      </c>
      <c r="K700" s="2">
        <v>96.242558483606558</v>
      </c>
      <c r="L700" s="2">
        <v>83.67</v>
      </c>
      <c r="M700" s="2">
        <v>-12.572558483606556</v>
      </c>
      <c r="O700" s="39">
        <f t="shared" si="43"/>
        <v>43424</v>
      </c>
      <c r="P700" s="41">
        <f t="shared" si="40"/>
        <v>0</v>
      </c>
      <c r="Q700" s="41">
        <f t="shared" si="41"/>
        <v>0</v>
      </c>
      <c r="R700" s="41">
        <f t="shared" si="42"/>
        <v>0</v>
      </c>
    </row>
    <row r="701" spans="10:18">
      <c r="J701" s="46">
        <v>43145</v>
      </c>
      <c r="K701" s="2">
        <v>96.242558483606558</v>
      </c>
      <c r="L701" s="2">
        <v>83.35</v>
      </c>
      <c r="M701" s="2">
        <v>-12.892558483606564</v>
      </c>
      <c r="O701" s="39">
        <f t="shared" si="43"/>
        <v>43423</v>
      </c>
      <c r="P701" s="41">
        <f t="shared" si="40"/>
        <v>0</v>
      </c>
      <c r="Q701" s="41">
        <f t="shared" si="41"/>
        <v>0</v>
      </c>
      <c r="R701" s="41">
        <f t="shared" si="42"/>
        <v>0</v>
      </c>
    </row>
    <row r="702" spans="10:18">
      <c r="J702" s="46">
        <v>43144</v>
      </c>
      <c r="K702" s="2">
        <v>96.242558483606558</v>
      </c>
      <c r="L702" s="2">
        <v>82.17</v>
      </c>
      <c r="M702" s="2">
        <v>-14.072558483606556</v>
      </c>
      <c r="O702" s="39">
        <f t="shared" si="43"/>
        <v>43422</v>
      </c>
      <c r="P702" s="41">
        <f t="shared" si="40"/>
        <v>0</v>
      </c>
      <c r="Q702" s="41">
        <f t="shared" si="41"/>
        <v>0</v>
      </c>
      <c r="R702" s="41">
        <f t="shared" si="42"/>
        <v>0</v>
      </c>
    </row>
    <row r="703" spans="10:18">
      <c r="J703" s="46">
        <v>43143</v>
      </c>
      <c r="K703" s="2">
        <v>96.242558483606558</v>
      </c>
      <c r="L703" s="2">
        <v>79.09</v>
      </c>
      <c r="M703" s="2">
        <v>-17.152558483606555</v>
      </c>
      <c r="O703" s="39">
        <f t="shared" si="43"/>
        <v>43421</v>
      </c>
      <c r="P703" s="41">
        <f t="shared" si="40"/>
        <v>0</v>
      </c>
      <c r="Q703" s="41">
        <f t="shared" si="41"/>
        <v>0</v>
      </c>
      <c r="R703" s="41">
        <f t="shared" si="42"/>
        <v>0</v>
      </c>
    </row>
    <row r="704" spans="10:18">
      <c r="J704" s="46">
        <v>43140</v>
      </c>
      <c r="K704" s="2">
        <v>96.242558483606558</v>
      </c>
      <c r="L704" s="2">
        <v>80.62</v>
      </c>
      <c r="M704" s="2">
        <v>-15.622558483606554</v>
      </c>
      <c r="O704" s="39">
        <f t="shared" si="43"/>
        <v>43420</v>
      </c>
      <c r="P704" s="41">
        <f t="shared" si="40"/>
        <v>0</v>
      </c>
      <c r="Q704" s="41">
        <f t="shared" si="41"/>
        <v>0</v>
      </c>
      <c r="R704" s="41">
        <f t="shared" si="42"/>
        <v>0</v>
      </c>
    </row>
    <row r="705" spans="10:18">
      <c r="J705" s="46">
        <v>43139</v>
      </c>
      <c r="K705" s="2">
        <v>95.700158483606558</v>
      </c>
      <c r="L705" s="2">
        <v>82.8</v>
      </c>
      <c r="M705" s="2">
        <v>-12.90015848360656</v>
      </c>
      <c r="O705" s="39">
        <f t="shared" si="43"/>
        <v>43419</v>
      </c>
      <c r="P705" s="41">
        <f t="shared" si="40"/>
        <v>0</v>
      </c>
      <c r="Q705" s="41">
        <f t="shared" si="41"/>
        <v>0</v>
      </c>
      <c r="R705" s="41">
        <f t="shared" si="42"/>
        <v>0</v>
      </c>
    </row>
    <row r="706" spans="10:18">
      <c r="J706" s="46">
        <v>43138</v>
      </c>
      <c r="K706" s="2">
        <v>95.700158483606558</v>
      </c>
      <c r="L706" s="2">
        <v>84.77</v>
      </c>
      <c r="M706" s="2">
        <v>-10.930158483606562</v>
      </c>
      <c r="O706" s="39">
        <f t="shared" si="43"/>
        <v>43418</v>
      </c>
      <c r="P706" s="41">
        <f t="shared" si="40"/>
        <v>0</v>
      </c>
      <c r="Q706" s="41">
        <f t="shared" si="41"/>
        <v>0</v>
      </c>
      <c r="R706" s="41">
        <f t="shared" si="42"/>
        <v>0</v>
      </c>
    </row>
    <row r="707" spans="10:18">
      <c r="J707" s="46">
        <v>43137</v>
      </c>
      <c r="K707" s="2">
        <v>95.700158483606558</v>
      </c>
      <c r="L707" s="2">
        <v>85.43</v>
      </c>
      <c r="M707" s="2">
        <v>-10.270158483606551</v>
      </c>
      <c r="O707" s="39">
        <f t="shared" si="43"/>
        <v>43417</v>
      </c>
      <c r="P707" s="41">
        <f t="shared" si="40"/>
        <v>0</v>
      </c>
      <c r="Q707" s="41">
        <f t="shared" si="41"/>
        <v>0</v>
      </c>
      <c r="R707" s="41">
        <f t="shared" si="42"/>
        <v>0</v>
      </c>
    </row>
    <row r="708" spans="10:18">
      <c r="J708" s="46">
        <v>43136</v>
      </c>
      <c r="K708" s="2">
        <v>95.700158483606558</v>
      </c>
      <c r="L708" s="2">
        <v>86.89</v>
      </c>
      <c r="M708" s="2">
        <v>-8.810158483606557</v>
      </c>
      <c r="O708" s="39">
        <f t="shared" si="43"/>
        <v>43416</v>
      </c>
      <c r="P708" s="41">
        <f t="shared" si="40"/>
        <v>0</v>
      </c>
      <c r="Q708" s="41">
        <f t="shared" si="41"/>
        <v>0</v>
      </c>
      <c r="R708" s="41">
        <f t="shared" si="42"/>
        <v>0</v>
      </c>
    </row>
    <row r="709" spans="10:18">
      <c r="J709" s="46">
        <v>43133</v>
      </c>
      <c r="K709" s="2">
        <v>95.700158483606558</v>
      </c>
      <c r="L709" s="2">
        <v>87.46</v>
      </c>
      <c r="M709" s="2">
        <v>-8.2401584836065638</v>
      </c>
      <c r="O709" s="39">
        <f t="shared" si="43"/>
        <v>43415</v>
      </c>
      <c r="P709" s="41">
        <f t="shared" si="40"/>
        <v>0</v>
      </c>
      <c r="Q709" s="41">
        <f t="shared" si="41"/>
        <v>0</v>
      </c>
      <c r="R709" s="41">
        <f t="shared" si="42"/>
        <v>0</v>
      </c>
    </row>
    <row r="710" spans="10:18">
      <c r="J710" s="46">
        <v>43132</v>
      </c>
      <c r="K710" s="2">
        <v>97.056158483606552</v>
      </c>
      <c r="L710" s="2">
        <v>89</v>
      </c>
      <c r="M710" s="2">
        <v>-8.0561584836065521</v>
      </c>
      <c r="O710" s="39">
        <f t="shared" si="43"/>
        <v>43414</v>
      </c>
      <c r="P710" s="41">
        <f t="shared" ref="P710:P773" si="44">IFERROR(VLOOKUP($O710,$J$5:$M$403,2,FALSE),P711)</f>
        <v>0</v>
      </c>
      <c r="Q710" s="41">
        <f t="shared" ref="Q710:Q773" si="45">IFERROR(VLOOKUP($O710,$J$5:$M$403,3,FALSE),Q711)</f>
        <v>0</v>
      </c>
      <c r="R710" s="41">
        <f t="shared" ref="R710:R773" si="46">IFERROR(VLOOKUP($O710,$J$5:$M$403,4,FALSE),R711)</f>
        <v>0</v>
      </c>
    </row>
    <row r="711" spans="10:18">
      <c r="J711" s="46">
        <v>43131</v>
      </c>
      <c r="K711" s="2">
        <v>97.056158483606552</v>
      </c>
      <c r="L711" s="2">
        <v>88.96</v>
      </c>
      <c r="M711" s="2">
        <v>-8.0961584836065583</v>
      </c>
      <c r="O711" s="39">
        <f t="shared" ref="O711:O774" si="47">O710-1</f>
        <v>43413</v>
      </c>
      <c r="P711" s="41">
        <f t="shared" si="44"/>
        <v>0</v>
      </c>
      <c r="Q711" s="41">
        <f t="shared" si="45"/>
        <v>0</v>
      </c>
      <c r="R711" s="41">
        <f t="shared" si="46"/>
        <v>0</v>
      </c>
    </row>
    <row r="712" spans="10:18">
      <c r="J712" s="46">
        <v>43130</v>
      </c>
      <c r="K712" s="2">
        <v>97.056158483606552</v>
      </c>
      <c r="L712" s="2">
        <v>90.13</v>
      </c>
      <c r="M712" s="2">
        <v>-6.9261584836065566</v>
      </c>
      <c r="O712" s="39">
        <f t="shared" si="47"/>
        <v>43412</v>
      </c>
      <c r="P712" s="41">
        <f t="shared" si="44"/>
        <v>0</v>
      </c>
      <c r="Q712" s="41">
        <f t="shared" si="45"/>
        <v>0</v>
      </c>
      <c r="R712" s="41">
        <f t="shared" si="46"/>
        <v>0</v>
      </c>
    </row>
    <row r="713" spans="10:18">
      <c r="J713" s="46">
        <v>43129</v>
      </c>
      <c r="K713" s="2">
        <v>97.056158483606552</v>
      </c>
      <c r="L713" s="2">
        <v>92.25</v>
      </c>
      <c r="M713" s="2">
        <v>-4.8061584836065521</v>
      </c>
      <c r="O713" s="39">
        <f t="shared" si="47"/>
        <v>43411</v>
      </c>
      <c r="P713" s="41">
        <f t="shared" si="44"/>
        <v>0</v>
      </c>
      <c r="Q713" s="41">
        <f t="shared" si="45"/>
        <v>0</v>
      </c>
      <c r="R713" s="41">
        <f t="shared" si="46"/>
        <v>0</v>
      </c>
    </row>
    <row r="714" spans="10:18">
      <c r="J714" s="46">
        <v>43126</v>
      </c>
      <c r="K714" s="2">
        <v>97.056158483606552</v>
      </c>
      <c r="L714" s="2">
        <v>92.01</v>
      </c>
      <c r="M714" s="2">
        <v>-5.046158483606547</v>
      </c>
      <c r="O714" s="39">
        <f t="shared" si="47"/>
        <v>43410</v>
      </c>
      <c r="P714" s="41">
        <f t="shared" si="44"/>
        <v>0</v>
      </c>
      <c r="Q714" s="41">
        <f t="shared" si="45"/>
        <v>0</v>
      </c>
      <c r="R714" s="41">
        <f t="shared" si="46"/>
        <v>0</v>
      </c>
    </row>
    <row r="715" spans="10:18">
      <c r="J715" s="46">
        <v>43125</v>
      </c>
      <c r="K715" s="2">
        <v>95.874586024590158</v>
      </c>
      <c r="L715" s="2">
        <v>91.91</v>
      </c>
      <c r="M715" s="2">
        <v>-3.9645860245901616</v>
      </c>
      <c r="O715" s="39">
        <f t="shared" si="47"/>
        <v>43409</v>
      </c>
      <c r="P715" s="41">
        <f t="shared" si="44"/>
        <v>0</v>
      </c>
      <c r="Q715" s="41">
        <f t="shared" si="45"/>
        <v>0</v>
      </c>
      <c r="R715" s="41">
        <f t="shared" si="46"/>
        <v>0</v>
      </c>
    </row>
    <row r="716" spans="10:18">
      <c r="J716" s="46">
        <v>43124</v>
      </c>
      <c r="K716" s="2">
        <v>95.874586024590158</v>
      </c>
      <c r="L716" s="2">
        <v>92.37</v>
      </c>
      <c r="M716" s="2">
        <v>-3.5045860245901537</v>
      </c>
      <c r="O716" s="39">
        <f t="shared" si="47"/>
        <v>43408</v>
      </c>
      <c r="P716" s="41">
        <f t="shared" si="44"/>
        <v>0</v>
      </c>
      <c r="Q716" s="41">
        <f t="shared" si="45"/>
        <v>0</v>
      </c>
      <c r="R716" s="41">
        <f t="shared" si="46"/>
        <v>0</v>
      </c>
    </row>
    <row r="717" spans="10:18">
      <c r="J717" s="46">
        <v>43123</v>
      </c>
      <c r="K717" s="2">
        <v>95.874586024590158</v>
      </c>
      <c r="L717" s="2">
        <v>92.79</v>
      </c>
      <c r="M717" s="2">
        <v>-3.084586024590152</v>
      </c>
      <c r="O717" s="39">
        <f t="shared" si="47"/>
        <v>43407</v>
      </c>
      <c r="P717" s="41">
        <f t="shared" si="44"/>
        <v>0</v>
      </c>
      <c r="Q717" s="41">
        <f t="shared" si="45"/>
        <v>0</v>
      </c>
      <c r="R717" s="41">
        <f t="shared" si="46"/>
        <v>0</v>
      </c>
    </row>
    <row r="718" spans="10:18">
      <c r="J718" s="46">
        <v>43122</v>
      </c>
      <c r="K718" s="2">
        <v>95.874586024590158</v>
      </c>
      <c r="L718" s="2">
        <v>92.96</v>
      </c>
      <c r="M718" s="2">
        <v>-2.9145860245901645</v>
      </c>
      <c r="O718" s="39">
        <f t="shared" si="47"/>
        <v>43406</v>
      </c>
      <c r="P718" s="41">
        <f t="shared" si="44"/>
        <v>0</v>
      </c>
      <c r="Q718" s="41">
        <f t="shared" si="45"/>
        <v>0</v>
      </c>
      <c r="R718" s="41">
        <f t="shared" si="46"/>
        <v>0</v>
      </c>
    </row>
    <row r="719" spans="10:18">
      <c r="J719" s="46">
        <v>43119</v>
      </c>
      <c r="K719" s="2">
        <v>95.874586024590158</v>
      </c>
      <c r="L719" s="2">
        <v>92.5</v>
      </c>
      <c r="M719" s="2">
        <v>-3.3745860245901582</v>
      </c>
      <c r="O719" s="39">
        <f t="shared" si="47"/>
        <v>43405</v>
      </c>
      <c r="P719" s="41">
        <f t="shared" si="44"/>
        <v>0</v>
      </c>
      <c r="Q719" s="41">
        <f t="shared" si="45"/>
        <v>0</v>
      </c>
      <c r="R719" s="41">
        <f t="shared" si="46"/>
        <v>0</v>
      </c>
    </row>
    <row r="720" spans="10:18">
      <c r="J720" s="46">
        <v>43118</v>
      </c>
      <c r="K720" s="2">
        <v>97.004586024590154</v>
      </c>
      <c r="L720" s="2">
        <v>92.45</v>
      </c>
      <c r="M720" s="2">
        <v>-4.5545860245901508</v>
      </c>
      <c r="O720" s="39">
        <f t="shared" si="47"/>
        <v>43404</v>
      </c>
      <c r="P720" s="41">
        <f t="shared" si="44"/>
        <v>0</v>
      </c>
      <c r="Q720" s="41">
        <f t="shared" si="45"/>
        <v>0</v>
      </c>
      <c r="R720" s="41">
        <f t="shared" si="46"/>
        <v>0</v>
      </c>
    </row>
    <row r="721" spans="10:18">
      <c r="J721" s="46">
        <v>43117</v>
      </c>
      <c r="K721" s="2">
        <v>97.004586024590154</v>
      </c>
      <c r="L721" s="2">
        <v>93.2</v>
      </c>
      <c r="M721" s="2">
        <v>-3.8045860245901508</v>
      </c>
      <c r="O721" s="39">
        <f t="shared" si="47"/>
        <v>43403</v>
      </c>
      <c r="P721" s="41">
        <f t="shared" si="44"/>
        <v>0</v>
      </c>
      <c r="Q721" s="41">
        <f t="shared" si="45"/>
        <v>0</v>
      </c>
      <c r="R721" s="41">
        <f t="shared" si="46"/>
        <v>0</v>
      </c>
    </row>
    <row r="722" spans="10:18">
      <c r="J722" s="46">
        <v>43116</v>
      </c>
      <c r="K722" s="2">
        <v>97.004586024590154</v>
      </c>
      <c r="L722" s="2">
        <v>95.49</v>
      </c>
      <c r="M722" s="2">
        <v>-1.5145860245901588</v>
      </c>
      <c r="O722" s="39">
        <f t="shared" si="47"/>
        <v>43402</v>
      </c>
      <c r="P722" s="41">
        <f t="shared" si="44"/>
        <v>0</v>
      </c>
      <c r="Q722" s="41">
        <f t="shared" si="45"/>
        <v>0</v>
      </c>
      <c r="R722" s="41">
        <f t="shared" si="46"/>
        <v>0</v>
      </c>
    </row>
    <row r="723" spans="10:18">
      <c r="J723" s="46">
        <v>43115</v>
      </c>
      <c r="K723" s="2">
        <v>97.004586024590154</v>
      </c>
      <c r="L723" s="2">
        <v>94.32</v>
      </c>
      <c r="M723" s="2">
        <v>-2.6845860245901605</v>
      </c>
      <c r="O723" s="39">
        <f t="shared" si="47"/>
        <v>43401</v>
      </c>
      <c r="P723" s="41">
        <f t="shared" si="44"/>
        <v>0</v>
      </c>
      <c r="Q723" s="41">
        <f t="shared" si="45"/>
        <v>0</v>
      </c>
      <c r="R723" s="41">
        <f t="shared" si="46"/>
        <v>0</v>
      </c>
    </row>
    <row r="724" spans="10:18">
      <c r="J724" s="46">
        <v>43112</v>
      </c>
      <c r="K724" s="2">
        <v>97.004586024590154</v>
      </c>
      <c r="L724" s="2">
        <v>93.75</v>
      </c>
      <c r="M724" s="2">
        <v>-3.2545860245901537</v>
      </c>
      <c r="O724" s="39">
        <f t="shared" si="47"/>
        <v>43400</v>
      </c>
      <c r="P724" s="41">
        <f t="shared" si="44"/>
        <v>0</v>
      </c>
      <c r="Q724" s="41">
        <f t="shared" si="45"/>
        <v>0</v>
      </c>
      <c r="R724" s="41">
        <f t="shared" si="46"/>
        <v>0</v>
      </c>
    </row>
    <row r="725" spans="10:18">
      <c r="J725" s="46">
        <v>43111</v>
      </c>
      <c r="K725" s="2">
        <v>97.682586024590151</v>
      </c>
      <c r="L725" s="2">
        <v>93.53</v>
      </c>
      <c r="M725" s="2">
        <v>-4.1525860245901498</v>
      </c>
      <c r="O725" s="39">
        <f t="shared" si="47"/>
        <v>43399</v>
      </c>
      <c r="P725" s="41">
        <f t="shared" si="44"/>
        <v>0</v>
      </c>
      <c r="Q725" s="41">
        <f t="shared" si="45"/>
        <v>0</v>
      </c>
      <c r="R725" s="41">
        <f t="shared" si="46"/>
        <v>0</v>
      </c>
    </row>
    <row r="726" spans="10:18">
      <c r="J726" s="46">
        <v>43110</v>
      </c>
      <c r="K726" s="2">
        <v>97.682586024590151</v>
      </c>
      <c r="L726" s="2">
        <v>93.86</v>
      </c>
      <c r="M726" s="2">
        <v>-3.8225860245901515</v>
      </c>
      <c r="O726" s="39">
        <f t="shared" si="47"/>
        <v>43398</v>
      </c>
      <c r="P726" s="41">
        <f t="shared" si="44"/>
        <v>0</v>
      </c>
      <c r="Q726" s="41">
        <f t="shared" si="45"/>
        <v>0</v>
      </c>
      <c r="R726" s="41">
        <f t="shared" si="46"/>
        <v>0</v>
      </c>
    </row>
    <row r="727" spans="10:18">
      <c r="J727" s="46">
        <v>43109</v>
      </c>
      <c r="K727" s="2">
        <v>97.682586024590151</v>
      </c>
      <c r="L727" s="2">
        <v>94.76</v>
      </c>
      <c r="M727" s="2">
        <v>-2.9225860245901458</v>
      </c>
      <c r="O727" s="39">
        <f t="shared" si="47"/>
        <v>43397</v>
      </c>
      <c r="P727" s="41">
        <f t="shared" si="44"/>
        <v>0</v>
      </c>
      <c r="Q727" s="41">
        <f t="shared" si="45"/>
        <v>0</v>
      </c>
      <c r="R727" s="41">
        <f t="shared" si="46"/>
        <v>0</v>
      </c>
    </row>
    <row r="728" spans="10:18">
      <c r="J728" s="46">
        <v>43108</v>
      </c>
      <c r="K728" s="2">
        <v>97.682586024590151</v>
      </c>
      <c r="L728" s="2">
        <v>95.1</v>
      </c>
      <c r="M728" s="2">
        <v>-2.5825860245901566</v>
      </c>
      <c r="O728" s="39">
        <f t="shared" si="47"/>
        <v>43396</v>
      </c>
      <c r="P728" s="41">
        <f t="shared" si="44"/>
        <v>0</v>
      </c>
      <c r="Q728" s="41">
        <f t="shared" si="45"/>
        <v>0</v>
      </c>
      <c r="R728" s="41">
        <f t="shared" si="46"/>
        <v>0</v>
      </c>
    </row>
    <row r="729" spans="10:18">
      <c r="J729" s="46">
        <v>43105</v>
      </c>
      <c r="K729" s="2">
        <v>97.682586024590151</v>
      </c>
      <c r="L729" s="2">
        <v>94.13</v>
      </c>
      <c r="M729" s="2">
        <v>-3.5525860245901555</v>
      </c>
      <c r="O729" s="39">
        <f t="shared" si="47"/>
        <v>43395</v>
      </c>
      <c r="P729" s="41">
        <f t="shared" si="44"/>
        <v>0</v>
      </c>
      <c r="Q729" s="41">
        <f t="shared" si="45"/>
        <v>0</v>
      </c>
      <c r="R729" s="41">
        <f t="shared" si="46"/>
        <v>0</v>
      </c>
    </row>
    <row r="730" spans="10:18">
      <c r="J730" s="46">
        <v>43104</v>
      </c>
      <c r="K730" s="2">
        <v>98.349411065573761</v>
      </c>
      <c r="L730" s="2">
        <v>93.86</v>
      </c>
      <c r="M730" s="2">
        <v>-4.489411065573762</v>
      </c>
      <c r="O730" s="39">
        <f t="shared" si="47"/>
        <v>43394</v>
      </c>
      <c r="P730" s="41">
        <f t="shared" si="44"/>
        <v>0</v>
      </c>
      <c r="Q730" s="41">
        <f t="shared" si="45"/>
        <v>0</v>
      </c>
      <c r="R730" s="41">
        <f t="shared" si="46"/>
        <v>0</v>
      </c>
    </row>
    <row r="731" spans="10:18">
      <c r="J731" s="46">
        <v>43103</v>
      </c>
      <c r="K731" s="2">
        <v>98.349411065573761</v>
      </c>
      <c r="L731" s="2">
        <v>95.61</v>
      </c>
      <c r="M731" s="2">
        <v>-2.739411065573762</v>
      </c>
      <c r="O731" s="39">
        <f t="shared" si="47"/>
        <v>43393</v>
      </c>
      <c r="P731" s="41">
        <f t="shared" si="44"/>
        <v>0</v>
      </c>
      <c r="Q731" s="41">
        <f t="shared" si="45"/>
        <v>0</v>
      </c>
      <c r="R731" s="41">
        <f t="shared" si="46"/>
        <v>0</v>
      </c>
    </row>
    <row r="732" spans="10:18">
      <c r="J732" s="46">
        <v>43102</v>
      </c>
      <c r="K732" s="2">
        <v>98.349411065573761</v>
      </c>
      <c r="L732" s="2">
        <v>95.2</v>
      </c>
      <c r="M732" s="2">
        <v>-3.1494110655737586</v>
      </c>
      <c r="O732" s="39">
        <f t="shared" si="47"/>
        <v>43392</v>
      </c>
      <c r="P732" s="41">
        <f t="shared" si="44"/>
        <v>0</v>
      </c>
      <c r="Q732" s="41">
        <f t="shared" si="45"/>
        <v>0</v>
      </c>
      <c r="R732" s="41">
        <f t="shared" si="46"/>
        <v>0</v>
      </c>
    </row>
    <row r="733" spans="10:18">
      <c r="J733" s="46">
        <v>43101</v>
      </c>
      <c r="K733" s="2">
        <v>98.349411065573761</v>
      </c>
      <c r="L733" s="2">
        <v>94.25</v>
      </c>
      <c r="M733" s="2">
        <v>-4.0994110655737614</v>
      </c>
      <c r="O733" s="39">
        <f t="shared" si="47"/>
        <v>43391</v>
      </c>
      <c r="P733" s="41">
        <f t="shared" si="44"/>
        <v>0</v>
      </c>
      <c r="Q733" s="41">
        <f t="shared" si="45"/>
        <v>0</v>
      </c>
      <c r="R733" s="41">
        <f t="shared" si="46"/>
        <v>0</v>
      </c>
    </row>
    <row r="734" spans="10:18">
      <c r="J734" s="46">
        <v>43098</v>
      </c>
      <c r="K734" s="2">
        <v>98.349411065573761</v>
      </c>
      <c r="L734" s="2">
        <v>94.25</v>
      </c>
      <c r="M734" s="2">
        <v>-4.0994110655737614</v>
      </c>
      <c r="O734" s="39">
        <f t="shared" si="47"/>
        <v>43390</v>
      </c>
      <c r="P734" s="41">
        <f t="shared" si="44"/>
        <v>0</v>
      </c>
      <c r="Q734" s="41">
        <f t="shared" si="45"/>
        <v>0</v>
      </c>
      <c r="R734" s="41">
        <f t="shared" si="46"/>
        <v>0</v>
      </c>
    </row>
    <row r="735" spans="10:18">
      <c r="J735" s="46">
        <v>43097</v>
      </c>
      <c r="K735" s="2">
        <v>98.349411065573761</v>
      </c>
      <c r="L735" s="2">
        <v>94.75</v>
      </c>
      <c r="M735" s="2">
        <v>-3.5994110655737614</v>
      </c>
      <c r="O735" s="39">
        <f t="shared" si="47"/>
        <v>43389</v>
      </c>
      <c r="P735" s="41">
        <f t="shared" si="44"/>
        <v>0</v>
      </c>
      <c r="Q735" s="41">
        <f t="shared" si="45"/>
        <v>0</v>
      </c>
      <c r="R735" s="41">
        <f t="shared" si="46"/>
        <v>0</v>
      </c>
    </row>
    <row r="736" spans="10:18">
      <c r="J736" s="46">
        <v>43096</v>
      </c>
      <c r="K736" s="2">
        <v>98.349411065573761</v>
      </c>
      <c r="L736" s="2">
        <v>93.77</v>
      </c>
      <c r="M736" s="2">
        <v>-4.5794110655737654</v>
      </c>
      <c r="O736" s="39">
        <f t="shared" si="47"/>
        <v>43388</v>
      </c>
      <c r="P736" s="41">
        <f t="shared" si="44"/>
        <v>0</v>
      </c>
      <c r="Q736" s="41">
        <f t="shared" si="45"/>
        <v>0</v>
      </c>
      <c r="R736" s="41">
        <f t="shared" si="46"/>
        <v>0</v>
      </c>
    </row>
    <row r="737" spans="10:18">
      <c r="J737" s="46">
        <v>43095</v>
      </c>
      <c r="K737" s="2">
        <v>98.349411065573761</v>
      </c>
      <c r="L737" s="2">
        <v>93.67</v>
      </c>
      <c r="M737" s="2">
        <v>-4.6794110655737597</v>
      </c>
      <c r="O737" s="39">
        <f t="shared" si="47"/>
        <v>43387</v>
      </c>
      <c r="P737" s="41">
        <f t="shared" si="44"/>
        <v>0</v>
      </c>
      <c r="Q737" s="41">
        <f t="shared" si="45"/>
        <v>0</v>
      </c>
      <c r="R737" s="41">
        <f t="shared" si="46"/>
        <v>0</v>
      </c>
    </row>
    <row r="738" spans="10:18">
      <c r="J738" s="46">
        <v>43094</v>
      </c>
      <c r="K738" s="2">
        <v>98.349411065573761</v>
      </c>
      <c r="L738" s="2">
        <v>93.67</v>
      </c>
      <c r="M738" s="2">
        <v>-4.6794110655737597</v>
      </c>
      <c r="O738" s="39">
        <f t="shared" si="47"/>
        <v>43386</v>
      </c>
      <c r="P738" s="41">
        <f t="shared" si="44"/>
        <v>0</v>
      </c>
      <c r="Q738" s="41">
        <f t="shared" si="45"/>
        <v>0</v>
      </c>
      <c r="R738" s="41">
        <f t="shared" si="46"/>
        <v>0</v>
      </c>
    </row>
    <row r="739" spans="10:18">
      <c r="J739" s="46">
        <v>43091</v>
      </c>
      <c r="K739" s="2">
        <v>98.349411065573761</v>
      </c>
      <c r="L739" s="2">
        <v>93.67</v>
      </c>
      <c r="M739" s="2">
        <v>-4.6794110655737597</v>
      </c>
      <c r="O739" s="39">
        <f t="shared" si="47"/>
        <v>43385</v>
      </c>
      <c r="P739" s="41">
        <f t="shared" si="44"/>
        <v>0</v>
      </c>
      <c r="Q739" s="41">
        <f t="shared" si="45"/>
        <v>0</v>
      </c>
      <c r="R739" s="41">
        <f t="shared" si="46"/>
        <v>0</v>
      </c>
    </row>
    <row r="740" spans="10:18">
      <c r="J740" s="46">
        <v>43090</v>
      </c>
      <c r="K740" s="2">
        <v>100.51901106557379</v>
      </c>
      <c r="L740" s="2">
        <v>93.22</v>
      </c>
      <c r="M740" s="2">
        <v>-7.2990110655737936</v>
      </c>
      <c r="O740" s="39">
        <f t="shared" si="47"/>
        <v>43384</v>
      </c>
      <c r="P740" s="41">
        <f t="shared" si="44"/>
        <v>0</v>
      </c>
      <c r="Q740" s="41">
        <f t="shared" si="45"/>
        <v>0</v>
      </c>
      <c r="R740" s="41">
        <f t="shared" si="46"/>
        <v>0</v>
      </c>
    </row>
    <row r="741" spans="10:18">
      <c r="J741" s="46">
        <v>43089</v>
      </c>
      <c r="K741" s="2">
        <v>100.51901106557379</v>
      </c>
      <c r="L741" s="2">
        <v>94.19</v>
      </c>
      <c r="M741" s="2">
        <v>-6.3290110655737948</v>
      </c>
      <c r="O741" s="39">
        <f t="shared" si="47"/>
        <v>43383</v>
      </c>
      <c r="P741" s="41">
        <f t="shared" si="44"/>
        <v>0</v>
      </c>
      <c r="Q741" s="41">
        <f t="shared" si="45"/>
        <v>0</v>
      </c>
      <c r="R741" s="41">
        <f t="shared" si="46"/>
        <v>0</v>
      </c>
    </row>
    <row r="742" spans="10:18">
      <c r="J742" s="46">
        <v>43088</v>
      </c>
      <c r="K742" s="2">
        <v>100.51901106557379</v>
      </c>
      <c r="L742" s="2">
        <v>95</v>
      </c>
      <c r="M742" s="2">
        <v>-5.5190110655737925</v>
      </c>
      <c r="O742" s="39">
        <f t="shared" si="47"/>
        <v>43382</v>
      </c>
      <c r="P742" s="41">
        <f t="shared" si="44"/>
        <v>0</v>
      </c>
      <c r="Q742" s="41">
        <f t="shared" si="45"/>
        <v>0</v>
      </c>
      <c r="R742" s="41">
        <f t="shared" si="46"/>
        <v>0</v>
      </c>
    </row>
    <row r="743" spans="10:18">
      <c r="J743" s="46">
        <v>43087</v>
      </c>
      <c r="K743" s="2">
        <v>100.51901106557379</v>
      </c>
      <c r="L743" s="2">
        <v>94.72</v>
      </c>
      <c r="M743" s="2">
        <v>-5.7990110655737936</v>
      </c>
      <c r="O743" s="39">
        <f t="shared" si="47"/>
        <v>43381</v>
      </c>
      <c r="P743" s="41">
        <f t="shared" si="44"/>
        <v>0</v>
      </c>
      <c r="Q743" s="41">
        <f t="shared" si="45"/>
        <v>0</v>
      </c>
      <c r="R743" s="41">
        <f t="shared" si="46"/>
        <v>0</v>
      </c>
    </row>
    <row r="744" spans="10:18">
      <c r="J744" s="46">
        <v>43084</v>
      </c>
      <c r="K744" s="2">
        <v>100.51901106557379</v>
      </c>
      <c r="L744" s="2">
        <v>94.88</v>
      </c>
      <c r="M744" s="2">
        <v>-5.6390110655737971</v>
      </c>
      <c r="O744" s="39">
        <f t="shared" si="47"/>
        <v>43380</v>
      </c>
      <c r="P744" s="41">
        <f t="shared" si="44"/>
        <v>0</v>
      </c>
      <c r="Q744" s="41">
        <f t="shared" si="45"/>
        <v>0</v>
      </c>
      <c r="R744" s="41">
        <f t="shared" si="46"/>
        <v>0</v>
      </c>
    </row>
    <row r="745" spans="10:18">
      <c r="J745" s="46">
        <v>43083</v>
      </c>
      <c r="K745" s="2">
        <v>101.46821106557377</v>
      </c>
      <c r="L745" s="2">
        <v>93.51</v>
      </c>
      <c r="M745" s="2">
        <v>-7.9582110655737637</v>
      </c>
      <c r="O745" s="39">
        <f t="shared" si="47"/>
        <v>43379</v>
      </c>
      <c r="P745" s="41">
        <f t="shared" si="44"/>
        <v>0</v>
      </c>
      <c r="Q745" s="41">
        <f t="shared" si="45"/>
        <v>0</v>
      </c>
      <c r="R745" s="41">
        <f t="shared" si="46"/>
        <v>0</v>
      </c>
    </row>
    <row r="746" spans="10:18">
      <c r="J746" s="46">
        <v>43082</v>
      </c>
      <c r="K746" s="2">
        <v>101.46821106557377</v>
      </c>
      <c r="L746" s="2">
        <v>94.48</v>
      </c>
      <c r="M746" s="2">
        <v>-6.9882110655737648</v>
      </c>
      <c r="O746" s="39">
        <f t="shared" si="47"/>
        <v>43378</v>
      </c>
      <c r="P746" s="41">
        <f t="shared" si="44"/>
        <v>0</v>
      </c>
      <c r="Q746" s="41">
        <f t="shared" si="45"/>
        <v>0</v>
      </c>
      <c r="R746" s="41">
        <f t="shared" si="46"/>
        <v>0</v>
      </c>
    </row>
    <row r="747" spans="10:18">
      <c r="J747" s="46">
        <v>43081</v>
      </c>
      <c r="K747" s="2">
        <v>101.46821106557377</v>
      </c>
      <c r="L747" s="2">
        <v>95.97</v>
      </c>
      <c r="M747" s="2">
        <v>-5.4982110655737699</v>
      </c>
      <c r="O747" s="39">
        <f t="shared" si="47"/>
        <v>43377</v>
      </c>
      <c r="P747" s="41">
        <f t="shared" si="44"/>
        <v>0</v>
      </c>
      <c r="Q747" s="41">
        <f t="shared" si="45"/>
        <v>0</v>
      </c>
      <c r="R747" s="41">
        <f t="shared" si="46"/>
        <v>0</v>
      </c>
    </row>
    <row r="748" spans="10:18">
      <c r="J748" s="46">
        <v>43080</v>
      </c>
      <c r="K748" s="2">
        <v>101.46821106557377</v>
      </c>
      <c r="L748" s="2">
        <v>93.4</v>
      </c>
      <c r="M748" s="2">
        <v>-8.0682110655737631</v>
      </c>
      <c r="O748" s="39">
        <f t="shared" si="47"/>
        <v>43376</v>
      </c>
      <c r="P748" s="41">
        <f t="shared" si="44"/>
        <v>0</v>
      </c>
      <c r="Q748" s="41">
        <f t="shared" si="45"/>
        <v>0</v>
      </c>
      <c r="R748" s="41">
        <f t="shared" si="46"/>
        <v>0</v>
      </c>
    </row>
    <row r="749" spans="10:18">
      <c r="J749" s="46">
        <v>43077</v>
      </c>
      <c r="K749" s="2">
        <v>101.46821106557377</v>
      </c>
      <c r="L749" s="2">
        <v>92.8</v>
      </c>
      <c r="M749" s="2">
        <v>-8.6682110655737716</v>
      </c>
      <c r="O749" s="39">
        <f t="shared" si="47"/>
        <v>43375</v>
      </c>
      <c r="P749" s="41">
        <f t="shared" si="44"/>
        <v>0</v>
      </c>
      <c r="Q749" s="41">
        <f t="shared" si="45"/>
        <v>0</v>
      </c>
      <c r="R749" s="41">
        <f t="shared" si="46"/>
        <v>0</v>
      </c>
    </row>
    <row r="750" spans="10:18">
      <c r="J750" s="46">
        <v>43076</v>
      </c>
      <c r="K750" s="2">
        <v>99.963319672131149</v>
      </c>
      <c r="L750" s="2">
        <v>92.08</v>
      </c>
      <c r="M750" s="2">
        <v>-7.8833196721311509</v>
      </c>
      <c r="O750" s="39">
        <f t="shared" si="47"/>
        <v>43374</v>
      </c>
      <c r="P750" s="41">
        <f t="shared" si="44"/>
        <v>0</v>
      </c>
      <c r="Q750" s="41">
        <f t="shared" si="45"/>
        <v>0</v>
      </c>
      <c r="R750" s="41">
        <f t="shared" si="46"/>
        <v>0</v>
      </c>
    </row>
    <row r="751" spans="10:18">
      <c r="J751" s="46">
        <v>43075</v>
      </c>
      <c r="K751" s="2">
        <v>99.963319672131149</v>
      </c>
      <c r="L751" s="2">
        <v>90.61</v>
      </c>
      <c r="M751" s="2">
        <v>-9.3533196721311498</v>
      </c>
      <c r="O751" s="39">
        <f t="shared" si="47"/>
        <v>43373</v>
      </c>
      <c r="P751" s="41">
        <f t="shared" si="44"/>
        <v>0</v>
      </c>
      <c r="Q751" s="41">
        <f t="shared" si="45"/>
        <v>0</v>
      </c>
      <c r="R751" s="41">
        <f t="shared" si="46"/>
        <v>0</v>
      </c>
    </row>
    <row r="752" spans="10:18">
      <c r="J752" s="46">
        <v>43074</v>
      </c>
      <c r="K752" s="2">
        <v>99.963319672131149</v>
      </c>
      <c r="L752" s="2">
        <v>91.77</v>
      </c>
      <c r="M752" s="2">
        <v>-8.1933196721311532</v>
      </c>
      <c r="O752" s="39">
        <f t="shared" si="47"/>
        <v>43372</v>
      </c>
      <c r="P752" s="41">
        <f t="shared" si="44"/>
        <v>0</v>
      </c>
      <c r="Q752" s="41">
        <f t="shared" si="45"/>
        <v>0</v>
      </c>
      <c r="R752" s="41">
        <f t="shared" si="46"/>
        <v>0</v>
      </c>
    </row>
    <row r="753" spans="10:18">
      <c r="J753" s="46">
        <v>43073</v>
      </c>
      <c r="K753" s="2">
        <v>99.963319672131149</v>
      </c>
      <c r="L753" s="2">
        <v>91.6</v>
      </c>
      <c r="M753" s="2">
        <v>-8.3633196721311549</v>
      </c>
      <c r="O753" s="39">
        <f t="shared" si="47"/>
        <v>43371</v>
      </c>
      <c r="P753" s="41">
        <f t="shared" si="44"/>
        <v>0</v>
      </c>
      <c r="Q753" s="41">
        <f t="shared" si="45"/>
        <v>0</v>
      </c>
      <c r="R753" s="41">
        <f t="shared" si="46"/>
        <v>0</v>
      </c>
    </row>
    <row r="754" spans="10:18">
      <c r="J754" s="46">
        <v>43070</v>
      </c>
      <c r="K754" s="2">
        <v>99.963319672131149</v>
      </c>
      <c r="L754" s="2">
        <v>90.65</v>
      </c>
      <c r="M754" s="2">
        <v>-9.3133196721311435</v>
      </c>
      <c r="O754" s="39">
        <f t="shared" si="47"/>
        <v>43370</v>
      </c>
      <c r="P754" s="41">
        <f t="shared" si="44"/>
        <v>0</v>
      </c>
      <c r="Q754" s="41">
        <f t="shared" si="45"/>
        <v>0</v>
      </c>
      <c r="R754" s="41">
        <f t="shared" si="46"/>
        <v>0</v>
      </c>
    </row>
    <row r="755" spans="10:18">
      <c r="J755" s="46">
        <v>43069</v>
      </c>
      <c r="K755" s="2">
        <v>74.569024180327858</v>
      </c>
      <c r="L755" s="2">
        <v>90.5</v>
      </c>
      <c r="M755" s="2">
        <v>15.930975819672142</v>
      </c>
      <c r="O755" s="39">
        <f t="shared" si="47"/>
        <v>43369</v>
      </c>
      <c r="P755" s="41">
        <f t="shared" si="44"/>
        <v>0</v>
      </c>
      <c r="Q755" s="41">
        <f t="shared" si="45"/>
        <v>0</v>
      </c>
      <c r="R755" s="41">
        <f t="shared" si="46"/>
        <v>0</v>
      </c>
    </row>
    <row r="756" spans="10:18">
      <c r="J756" s="46">
        <v>43068</v>
      </c>
      <c r="K756" s="2">
        <v>74.569024180327858</v>
      </c>
      <c r="L756" s="2">
        <v>90.6</v>
      </c>
      <c r="M756" s="2">
        <v>16.030975819672136</v>
      </c>
      <c r="O756" s="39">
        <f t="shared" si="47"/>
        <v>43368</v>
      </c>
      <c r="P756" s="41">
        <f t="shared" si="44"/>
        <v>0</v>
      </c>
      <c r="Q756" s="41">
        <f t="shared" si="45"/>
        <v>0</v>
      </c>
      <c r="R756" s="41">
        <f t="shared" si="46"/>
        <v>0</v>
      </c>
    </row>
    <row r="757" spans="10:18">
      <c r="J757" s="46">
        <v>43067</v>
      </c>
      <c r="K757" s="2">
        <v>74.569024180327858</v>
      </c>
      <c r="L757" s="2">
        <v>90.28</v>
      </c>
      <c r="M757" s="2">
        <v>15.710975819672143</v>
      </c>
      <c r="O757" s="39">
        <f t="shared" si="47"/>
        <v>43367</v>
      </c>
      <c r="P757" s="41">
        <f t="shared" si="44"/>
        <v>0</v>
      </c>
      <c r="Q757" s="41">
        <f t="shared" si="45"/>
        <v>0</v>
      </c>
      <c r="R757" s="41">
        <f t="shared" si="46"/>
        <v>0</v>
      </c>
    </row>
    <row r="758" spans="10:18">
      <c r="J758" s="46">
        <v>43066</v>
      </c>
      <c r="K758" s="2">
        <v>74.569024180327858</v>
      </c>
      <c r="L758" s="2">
        <v>90.11</v>
      </c>
      <c r="M758" s="2">
        <v>15.540975819672141</v>
      </c>
      <c r="O758" s="39">
        <f t="shared" si="47"/>
        <v>43366</v>
      </c>
      <c r="P758" s="41">
        <f t="shared" si="44"/>
        <v>0</v>
      </c>
      <c r="Q758" s="41">
        <f t="shared" si="45"/>
        <v>0</v>
      </c>
      <c r="R758" s="41">
        <f t="shared" si="46"/>
        <v>0</v>
      </c>
    </row>
    <row r="759" spans="10:18">
      <c r="J759" s="46">
        <v>43063</v>
      </c>
      <c r="K759" s="2">
        <v>74.569024180327858</v>
      </c>
      <c r="L759" s="2">
        <v>90.93</v>
      </c>
      <c r="M759" s="2">
        <v>16.360975819672149</v>
      </c>
      <c r="O759" s="39">
        <f t="shared" si="47"/>
        <v>43365</v>
      </c>
      <c r="P759" s="41">
        <f t="shared" si="44"/>
        <v>0</v>
      </c>
      <c r="Q759" s="41">
        <f t="shared" si="45"/>
        <v>0</v>
      </c>
      <c r="R759" s="41">
        <f t="shared" si="46"/>
        <v>0</v>
      </c>
    </row>
    <row r="760" spans="10:18">
      <c r="J760" s="46">
        <v>43062</v>
      </c>
      <c r="K760" s="2">
        <v>74.252624180327842</v>
      </c>
      <c r="L760" s="2">
        <v>89.56</v>
      </c>
      <c r="M760" s="2">
        <v>15.30737581967216</v>
      </c>
      <c r="O760" s="39">
        <f t="shared" si="47"/>
        <v>43364</v>
      </c>
      <c r="P760" s="41">
        <f t="shared" si="44"/>
        <v>0</v>
      </c>
      <c r="Q760" s="41">
        <f t="shared" si="45"/>
        <v>0</v>
      </c>
      <c r="R760" s="41">
        <f t="shared" si="46"/>
        <v>0</v>
      </c>
    </row>
    <row r="761" spans="10:18">
      <c r="J761" s="46">
        <v>43061</v>
      </c>
      <c r="K761" s="2">
        <v>74.252624180327842</v>
      </c>
      <c r="L761" s="2">
        <v>90.28</v>
      </c>
      <c r="M761" s="2">
        <v>16.027375819672159</v>
      </c>
      <c r="O761" s="39">
        <f t="shared" si="47"/>
        <v>43363</v>
      </c>
      <c r="P761" s="41">
        <f t="shared" si="44"/>
        <v>0</v>
      </c>
      <c r="Q761" s="41">
        <f t="shared" si="45"/>
        <v>0</v>
      </c>
      <c r="R761" s="41">
        <f t="shared" si="46"/>
        <v>0</v>
      </c>
    </row>
    <row r="762" spans="10:18">
      <c r="J762" s="46">
        <v>43060</v>
      </c>
      <c r="K762" s="2">
        <v>74.252624180327842</v>
      </c>
      <c r="L762" s="2">
        <v>91.4</v>
      </c>
      <c r="M762" s="2">
        <v>17.147375819672163</v>
      </c>
      <c r="O762" s="39">
        <f t="shared" si="47"/>
        <v>43362</v>
      </c>
      <c r="P762" s="41">
        <f t="shared" si="44"/>
        <v>0</v>
      </c>
      <c r="Q762" s="41">
        <f t="shared" si="45"/>
        <v>0</v>
      </c>
      <c r="R762" s="41">
        <f t="shared" si="46"/>
        <v>0</v>
      </c>
    </row>
    <row r="763" spans="10:18">
      <c r="J763" s="46">
        <v>43059</v>
      </c>
      <c r="K763" s="2">
        <v>74.252624180327842</v>
      </c>
      <c r="L763" s="2">
        <v>90.41</v>
      </c>
      <c r="M763" s="2">
        <v>16.157375819672154</v>
      </c>
      <c r="O763" s="39">
        <f t="shared" si="47"/>
        <v>43361</v>
      </c>
      <c r="P763" s="41">
        <f t="shared" si="44"/>
        <v>0</v>
      </c>
      <c r="Q763" s="41">
        <f t="shared" si="45"/>
        <v>0</v>
      </c>
      <c r="R763" s="41">
        <f t="shared" si="46"/>
        <v>0</v>
      </c>
    </row>
    <row r="764" spans="10:18">
      <c r="J764" s="46">
        <v>43056</v>
      </c>
      <c r="K764" s="2">
        <v>74.252624180327842</v>
      </c>
      <c r="L764" s="2">
        <v>91.37</v>
      </c>
      <c r="M764" s="2">
        <v>17.117375819672162</v>
      </c>
      <c r="O764" s="39">
        <f t="shared" si="47"/>
        <v>43360</v>
      </c>
      <c r="P764" s="41">
        <f t="shared" si="44"/>
        <v>0</v>
      </c>
      <c r="Q764" s="41">
        <f t="shared" si="45"/>
        <v>0</v>
      </c>
      <c r="R764" s="41">
        <f t="shared" si="46"/>
        <v>0</v>
      </c>
    </row>
    <row r="765" spans="10:18">
      <c r="J765" s="46">
        <v>43055</v>
      </c>
      <c r="K765" s="2">
        <v>74.569024180327858</v>
      </c>
      <c r="L765" s="2">
        <v>92.52</v>
      </c>
      <c r="M765" s="2">
        <v>17.950975819672138</v>
      </c>
      <c r="O765" s="39">
        <f t="shared" si="47"/>
        <v>43359</v>
      </c>
      <c r="P765" s="41">
        <f t="shared" si="44"/>
        <v>0</v>
      </c>
      <c r="Q765" s="41">
        <f t="shared" si="45"/>
        <v>0</v>
      </c>
      <c r="R765" s="41">
        <f t="shared" si="46"/>
        <v>0</v>
      </c>
    </row>
    <row r="766" spans="10:18">
      <c r="J766" s="46">
        <v>43054</v>
      </c>
      <c r="K766" s="2">
        <v>74.569024180327858</v>
      </c>
      <c r="L766" s="2">
        <v>92.38</v>
      </c>
      <c r="M766" s="2">
        <v>17.810975819672137</v>
      </c>
      <c r="O766" s="39">
        <f t="shared" si="47"/>
        <v>43358</v>
      </c>
      <c r="P766" s="41">
        <f t="shared" si="44"/>
        <v>0</v>
      </c>
      <c r="Q766" s="41">
        <f t="shared" si="45"/>
        <v>0</v>
      </c>
      <c r="R766" s="41">
        <f t="shared" si="46"/>
        <v>0</v>
      </c>
    </row>
    <row r="767" spans="10:18">
      <c r="J767" s="46">
        <v>43053</v>
      </c>
      <c r="K767" s="2">
        <v>74.569024180327858</v>
      </c>
      <c r="L767" s="2">
        <v>94.15</v>
      </c>
      <c r="M767" s="2">
        <v>19.580975819672148</v>
      </c>
      <c r="O767" s="39">
        <f t="shared" si="47"/>
        <v>43357</v>
      </c>
      <c r="P767" s="41">
        <f t="shared" si="44"/>
        <v>0</v>
      </c>
      <c r="Q767" s="41">
        <f t="shared" si="45"/>
        <v>0</v>
      </c>
      <c r="R767" s="41">
        <f t="shared" si="46"/>
        <v>0</v>
      </c>
    </row>
    <row r="768" spans="10:18">
      <c r="J768" s="46">
        <v>43052</v>
      </c>
      <c r="K768" s="2">
        <v>74.569024180327858</v>
      </c>
      <c r="L768" s="2">
        <v>92.79</v>
      </c>
      <c r="M768" s="2">
        <v>18.220975819672148</v>
      </c>
      <c r="O768" s="39">
        <f t="shared" si="47"/>
        <v>43356</v>
      </c>
      <c r="P768" s="41">
        <f t="shared" si="44"/>
        <v>0</v>
      </c>
      <c r="Q768" s="41">
        <f t="shared" si="45"/>
        <v>0</v>
      </c>
      <c r="R768" s="41">
        <f t="shared" si="46"/>
        <v>0</v>
      </c>
    </row>
    <row r="769" spans="10:18">
      <c r="J769" s="46">
        <v>43049</v>
      </c>
      <c r="K769" s="2">
        <v>74.569024180327858</v>
      </c>
      <c r="L769" s="2">
        <v>92.67</v>
      </c>
      <c r="M769" s="2">
        <v>18.100975819672144</v>
      </c>
      <c r="O769" s="39">
        <f t="shared" si="47"/>
        <v>43355</v>
      </c>
      <c r="P769" s="41">
        <f t="shared" si="44"/>
        <v>0</v>
      </c>
      <c r="Q769" s="41">
        <f t="shared" si="45"/>
        <v>0</v>
      </c>
      <c r="R769" s="41">
        <f t="shared" si="46"/>
        <v>0</v>
      </c>
    </row>
    <row r="770" spans="10:18">
      <c r="J770" s="46">
        <v>43048</v>
      </c>
      <c r="K770" s="2">
        <v>71.758658606557375</v>
      </c>
      <c r="L770" s="2">
        <v>92.67</v>
      </c>
      <c r="M770" s="2">
        <v>20.911341393442626</v>
      </c>
      <c r="O770" s="39">
        <f t="shared" si="47"/>
        <v>43354</v>
      </c>
      <c r="P770" s="41">
        <f t="shared" si="44"/>
        <v>0</v>
      </c>
      <c r="Q770" s="41">
        <f t="shared" si="45"/>
        <v>0</v>
      </c>
      <c r="R770" s="41">
        <f t="shared" si="46"/>
        <v>0</v>
      </c>
    </row>
    <row r="771" spans="10:18">
      <c r="J771" s="46">
        <v>43047</v>
      </c>
      <c r="K771" s="2">
        <v>71.758658606557375</v>
      </c>
      <c r="L771" s="2">
        <v>92.95</v>
      </c>
      <c r="M771" s="2">
        <v>21.191341393442627</v>
      </c>
      <c r="O771" s="39">
        <f t="shared" si="47"/>
        <v>43353</v>
      </c>
      <c r="P771" s="41">
        <f t="shared" si="44"/>
        <v>0</v>
      </c>
      <c r="Q771" s="41">
        <f t="shared" si="45"/>
        <v>0</v>
      </c>
      <c r="R771" s="41">
        <f t="shared" si="46"/>
        <v>0</v>
      </c>
    </row>
    <row r="772" spans="10:18">
      <c r="J772" s="46">
        <v>43046</v>
      </c>
      <c r="K772" s="2">
        <v>71.758658606557375</v>
      </c>
      <c r="L772" s="2">
        <v>93.68</v>
      </c>
      <c r="M772" s="2">
        <v>21.921341393442631</v>
      </c>
      <c r="O772" s="39">
        <f t="shared" si="47"/>
        <v>43352</v>
      </c>
      <c r="P772" s="41">
        <f t="shared" si="44"/>
        <v>0</v>
      </c>
      <c r="Q772" s="41">
        <f t="shared" si="45"/>
        <v>0</v>
      </c>
      <c r="R772" s="41">
        <f t="shared" si="46"/>
        <v>0</v>
      </c>
    </row>
    <row r="773" spans="10:18">
      <c r="J773" s="46">
        <v>43045</v>
      </c>
      <c r="K773" s="2">
        <v>71.758658606557375</v>
      </c>
      <c r="L773" s="2">
        <v>94.09</v>
      </c>
      <c r="M773" s="2">
        <v>22.331341393442628</v>
      </c>
      <c r="O773" s="39">
        <f t="shared" si="47"/>
        <v>43351</v>
      </c>
      <c r="P773" s="41">
        <f t="shared" si="44"/>
        <v>0</v>
      </c>
      <c r="Q773" s="41">
        <f t="shared" si="45"/>
        <v>0</v>
      </c>
      <c r="R773" s="41">
        <f t="shared" si="46"/>
        <v>0</v>
      </c>
    </row>
    <row r="774" spans="10:18">
      <c r="J774" s="46">
        <v>43042</v>
      </c>
      <c r="K774" s="2">
        <v>71.758658606557375</v>
      </c>
      <c r="L774" s="2">
        <v>93.75</v>
      </c>
      <c r="M774" s="2">
        <v>21.991341393442625</v>
      </c>
      <c r="O774" s="39">
        <f t="shared" si="47"/>
        <v>43350</v>
      </c>
      <c r="P774" s="41">
        <f t="shared" ref="P774:P779" si="48">IFERROR(VLOOKUP($O774,$J$5:$M$403,2,FALSE),P775)</f>
        <v>0</v>
      </c>
      <c r="Q774" s="41">
        <f t="shared" ref="Q774:Q779" si="49">IFERROR(VLOOKUP($O774,$J$5:$M$403,3,FALSE),Q775)</f>
        <v>0</v>
      </c>
      <c r="R774" s="41">
        <f t="shared" ref="R774:R779" si="50">IFERROR(VLOOKUP($O774,$J$5:$M$403,4,FALSE),R775)</f>
        <v>0</v>
      </c>
    </row>
    <row r="775" spans="10:18">
      <c r="J775" s="46">
        <v>43041</v>
      </c>
      <c r="K775" s="2">
        <v>72.391458606557364</v>
      </c>
      <c r="L775" s="2">
        <v>94.37</v>
      </c>
      <c r="M775" s="2">
        <v>21.97854139344264</v>
      </c>
      <c r="O775" s="39">
        <f t="shared" ref="O775:O779" si="51">O774-1</f>
        <v>43349</v>
      </c>
      <c r="P775" s="41">
        <f t="shared" si="48"/>
        <v>0</v>
      </c>
      <c r="Q775" s="41">
        <f t="shared" si="49"/>
        <v>0</v>
      </c>
      <c r="R775" s="41">
        <f t="shared" si="50"/>
        <v>0</v>
      </c>
    </row>
    <row r="776" spans="10:18">
      <c r="J776" s="46">
        <v>43040</v>
      </c>
      <c r="K776" s="2">
        <v>72.391458606557364</v>
      </c>
      <c r="L776" s="2">
        <v>94.55</v>
      </c>
      <c r="M776" s="2">
        <v>22.158541393442633</v>
      </c>
      <c r="O776" s="39">
        <f t="shared" si="51"/>
        <v>43348</v>
      </c>
      <c r="P776" s="41">
        <f t="shared" si="48"/>
        <v>0</v>
      </c>
      <c r="Q776" s="41">
        <f t="shared" si="49"/>
        <v>0</v>
      </c>
      <c r="R776" s="41">
        <f t="shared" si="50"/>
        <v>0</v>
      </c>
    </row>
    <row r="777" spans="10:18">
      <c r="J777" s="46">
        <v>43039</v>
      </c>
      <c r="K777" s="2">
        <v>72.391458606557364</v>
      </c>
      <c r="L777" s="2">
        <v>92.15</v>
      </c>
      <c r="M777" s="2">
        <v>19.758541393442641</v>
      </c>
      <c r="O777" s="39">
        <f t="shared" si="51"/>
        <v>43347</v>
      </c>
      <c r="P777" s="41">
        <f t="shared" si="48"/>
        <v>0</v>
      </c>
      <c r="Q777" s="41">
        <f t="shared" si="49"/>
        <v>0</v>
      </c>
      <c r="R777" s="41">
        <f t="shared" si="50"/>
        <v>0</v>
      </c>
    </row>
    <row r="778" spans="10:18">
      <c r="J778" s="46">
        <v>43038</v>
      </c>
      <c r="K778" s="2">
        <v>72.391458606557364</v>
      </c>
      <c r="L778" s="2">
        <v>92.35</v>
      </c>
      <c r="M778" s="2">
        <v>19.95854139344263</v>
      </c>
      <c r="O778" s="39">
        <f t="shared" si="51"/>
        <v>43346</v>
      </c>
      <c r="P778" s="41">
        <f t="shared" si="48"/>
        <v>0</v>
      </c>
      <c r="Q778" s="41">
        <f t="shared" si="49"/>
        <v>0</v>
      </c>
      <c r="R778" s="41">
        <f t="shared" si="50"/>
        <v>0</v>
      </c>
    </row>
    <row r="779" spans="10:18">
      <c r="J779" s="46">
        <v>43035</v>
      </c>
      <c r="K779" s="2">
        <v>72.391458606557364</v>
      </c>
      <c r="L779" s="2">
        <v>91.64</v>
      </c>
      <c r="M779" s="2">
        <v>19.248541393442636</v>
      </c>
      <c r="O779" s="39">
        <f t="shared" si="51"/>
        <v>43345</v>
      </c>
      <c r="P779" s="41">
        <f t="shared" si="48"/>
        <v>0</v>
      </c>
      <c r="Q779" s="41">
        <f t="shared" si="49"/>
        <v>0</v>
      </c>
      <c r="R779" s="41">
        <f t="shared" si="50"/>
        <v>0</v>
      </c>
    </row>
    <row r="780" spans="10:18">
      <c r="J780" s="46">
        <v>43034</v>
      </c>
      <c r="K780" s="2">
        <v>69.90174905737706</v>
      </c>
      <c r="L780" s="2">
        <v>91.64</v>
      </c>
      <c r="M780" s="2">
        <v>21.73825094262294</v>
      </c>
    </row>
    <row r="781" spans="10:18">
      <c r="J781" s="46">
        <v>43033</v>
      </c>
      <c r="K781" s="2">
        <v>69.90174905737706</v>
      </c>
      <c r="L781" s="2">
        <v>91.23</v>
      </c>
      <c r="M781" s="2">
        <v>21.328250942622944</v>
      </c>
    </row>
    <row r="782" spans="10:18">
      <c r="J782" s="46">
        <v>43032</v>
      </c>
      <c r="K782" s="2">
        <v>69.90174905737706</v>
      </c>
      <c r="L782" s="2">
        <v>90.13</v>
      </c>
      <c r="M782" s="2">
        <v>20.228250942622935</v>
      </c>
    </row>
    <row r="783" spans="10:18">
      <c r="J783" s="46">
        <v>43031</v>
      </c>
      <c r="K783" s="2">
        <v>69.90174905737706</v>
      </c>
      <c r="L783" s="2">
        <v>90.89</v>
      </c>
      <c r="M783" s="2">
        <v>20.98825094262294</v>
      </c>
    </row>
    <row r="784" spans="10:18">
      <c r="J784" s="46">
        <v>43028</v>
      </c>
      <c r="K784" s="2">
        <v>69.90174905737706</v>
      </c>
      <c r="L784" s="2">
        <v>91.49</v>
      </c>
      <c r="M784" s="2">
        <v>21.588250942622935</v>
      </c>
    </row>
    <row r="785" spans="10:13">
      <c r="J785" s="46">
        <v>43027</v>
      </c>
      <c r="K785" s="2">
        <v>68.59094905737706</v>
      </c>
      <c r="L785" s="2">
        <v>92</v>
      </c>
      <c r="M785" s="2">
        <v>23.40905094262294</v>
      </c>
    </row>
    <row r="786" spans="10:13">
      <c r="J786" s="46">
        <v>43026</v>
      </c>
      <c r="K786" s="2">
        <v>68.59094905737706</v>
      </c>
      <c r="L786" s="2">
        <v>92.13</v>
      </c>
      <c r="M786" s="2">
        <v>23.539050942622936</v>
      </c>
    </row>
    <row r="787" spans="10:13">
      <c r="J787" s="46">
        <v>43025</v>
      </c>
      <c r="K787" s="2">
        <v>68.59094905737706</v>
      </c>
      <c r="L787" s="2">
        <v>91.73</v>
      </c>
      <c r="M787" s="2">
        <v>23.139050942622944</v>
      </c>
    </row>
    <row r="788" spans="10:13">
      <c r="J788" s="46">
        <v>43024</v>
      </c>
      <c r="K788" s="2">
        <v>68.59094905737706</v>
      </c>
      <c r="L788" s="2">
        <v>91.23</v>
      </c>
      <c r="M788" s="2">
        <v>22.639050942622944</v>
      </c>
    </row>
    <row r="789" spans="10:13">
      <c r="J789" s="46">
        <v>43021</v>
      </c>
      <c r="K789" s="2">
        <v>68.59094905737706</v>
      </c>
      <c r="L789" s="2">
        <v>89.6</v>
      </c>
      <c r="M789" s="2">
        <v>21.009050942622935</v>
      </c>
    </row>
    <row r="790" spans="10:13">
      <c r="J790" s="46">
        <v>43020</v>
      </c>
      <c r="K790" s="2">
        <v>68.500549057377043</v>
      </c>
      <c r="L790" s="2">
        <v>89.78</v>
      </c>
      <c r="M790" s="2">
        <v>21.279450942622958</v>
      </c>
    </row>
    <row r="791" spans="10:13">
      <c r="J791" s="46">
        <v>43019</v>
      </c>
      <c r="K791" s="2">
        <v>68.500549057377043</v>
      </c>
      <c r="L791" s="2">
        <v>88.7</v>
      </c>
      <c r="M791" s="2">
        <v>20.19945094262296</v>
      </c>
    </row>
    <row r="792" spans="10:13">
      <c r="J792" s="46">
        <v>43018</v>
      </c>
      <c r="K792" s="2">
        <v>68.500549057377043</v>
      </c>
      <c r="L792" s="2">
        <v>88.53</v>
      </c>
      <c r="M792" s="2">
        <v>20.029450942622958</v>
      </c>
    </row>
    <row r="793" spans="10:13">
      <c r="J793" s="46">
        <v>43017</v>
      </c>
      <c r="K793" s="2">
        <v>68.500549057377043</v>
      </c>
      <c r="L793" s="2">
        <v>87.5</v>
      </c>
      <c r="M793" s="2">
        <v>18.999450942622957</v>
      </c>
    </row>
    <row r="794" spans="10:13">
      <c r="J794" s="46">
        <v>43014</v>
      </c>
      <c r="K794" s="2">
        <v>68.500549057377043</v>
      </c>
      <c r="L794" s="2">
        <v>90.3</v>
      </c>
      <c r="M794" s="2">
        <v>21.799450942622954</v>
      </c>
    </row>
    <row r="795" spans="10:13">
      <c r="J795" s="46">
        <v>43013</v>
      </c>
      <c r="K795" s="2">
        <v>69.297124959016401</v>
      </c>
      <c r="L795" s="2">
        <v>91</v>
      </c>
      <c r="M795" s="2">
        <v>21.702875040983599</v>
      </c>
    </row>
    <row r="796" spans="10:13">
      <c r="J796" s="46">
        <v>43012</v>
      </c>
      <c r="K796" s="2">
        <v>69.297124959016401</v>
      </c>
      <c r="L796" s="2">
        <v>91.15</v>
      </c>
      <c r="M796" s="2">
        <v>21.852875040983605</v>
      </c>
    </row>
    <row r="797" spans="10:13">
      <c r="J797" s="46">
        <v>43011</v>
      </c>
      <c r="K797" s="2">
        <v>69.297124959016401</v>
      </c>
      <c r="L797" s="2">
        <v>90.95</v>
      </c>
      <c r="M797" s="2">
        <v>21.652875040983602</v>
      </c>
    </row>
    <row r="798" spans="10:13">
      <c r="J798" s="46">
        <v>43010</v>
      </c>
      <c r="K798" s="2">
        <v>69.297124959016401</v>
      </c>
      <c r="L798" s="2">
        <v>89.07</v>
      </c>
      <c r="M798" s="2">
        <v>19.772875040983592</v>
      </c>
    </row>
    <row r="799" spans="10:13">
      <c r="J799" s="46">
        <v>43007</v>
      </c>
      <c r="K799" s="2">
        <v>69.297124959016401</v>
      </c>
      <c r="L799" s="2">
        <v>89.38</v>
      </c>
      <c r="M799" s="2">
        <v>20.082875040983595</v>
      </c>
    </row>
    <row r="800" spans="10:13">
      <c r="J800" s="46">
        <v>43006</v>
      </c>
      <c r="K800" s="2">
        <v>70.201124959016397</v>
      </c>
      <c r="L800" s="2">
        <v>90.38</v>
      </c>
      <c r="M800" s="2">
        <v>20.178875040983598</v>
      </c>
    </row>
    <row r="801" spans="10:13">
      <c r="J801" s="46">
        <v>43005</v>
      </c>
      <c r="K801" s="2">
        <v>70.201124959016397</v>
      </c>
      <c r="L801" s="2">
        <v>90.16</v>
      </c>
      <c r="M801" s="2">
        <v>19.9588750409836</v>
      </c>
    </row>
    <row r="802" spans="10:13">
      <c r="J802" s="46">
        <v>43004</v>
      </c>
      <c r="K802" s="2">
        <v>70.201124959016397</v>
      </c>
      <c r="L802" s="2">
        <v>91.13</v>
      </c>
      <c r="M802" s="2">
        <v>20.928875040983598</v>
      </c>
    </row>
    <row r="803" spans="10:13">
      <c r="J803" s="46">
        <v>43003</v>
      </c>
      <c r="K803" s="2">
        <v>70.201124959016397</v>
      </c>
      <c r="L803" s="2">
        <v>91.83</v>
      </c>
      <c r="M803" s="2">
        <v>21.628875040983601</v>
      </c>
    </row>
    <row r="804" spans="10:13">
      <c r="J804" s="46">
        <v>43000</v>
      </c>
      <c r="K804" s="2">
        <v>70.201124959016397</v>
      </c>
      <c r="L804" s="2">
        <v>91.46</v>
      </c>
      <c r="M804" s="2">
        <v>21.258875040983597</v>
      </c>
    </row>
    <row r="805" spans="10:13">
      <c r="J805" s="46">
        <v>42999</v>
      </c>
      <c r="K805" s="2">
        <v>69.839524959016387</v>
      </c>
      <c r="L805" s="2">
        <v>92.65</v>
      </c>
      <c r="M805" s="2">
        <v>22.810475040983619</v>
      </c>
    </row>
    <row r="806" spans="10:13">
      <c r="J806" s="46">
        <v>42998</v>
      </c>
      <c r="K806" s="2">
        <v>69.839524959016387</v>
      </c>
      <c r="L806" s="2">
        <v>93.59</v>
      </c>
      <c r="M806" s="2">
        <v>23.750475040983616</v>
      </c>
    </row>
    <row r="807" spans="10:13">
      <c r="J807" s="46">
        <v>42997</v>
      </c>
      <c r="K807" s="2">
        <v>69.839524959016387</v>
      </c>
      <c r="L807" s="2">
        <v>93</v>
      </c>
      <c r="M807" s="2">
        <v>23.160475040983613</v>
      </c>
    </row>
    <row r="808" spans="10:13">
      <c r="J808" s="46">
        <v>42996</v>
      </c>
      <c r="K808" s="2">
        <v>69.839524959016387</v>
      </c>
      <c r="L808" s="2">
        <v>92.67</v>
      </c>
      <c r="M808" s="2">
        <v>22.830475040983615</v>
      </c>
    </row>
    <row r="809" spans="10:13">
      <c r="J809" s="46">
        <v>42993</v>
      </c>
      <c r="K809" s="2">
        <v>69.839524959016387</v>
      </c>
      <c r="L809" s="2">
        <v>92.7</v>
      </c>
      <c r="M809" s="2">
        <v>22.860475040983616</v>
      </c>
    </row>
    <row r="810" spans="10:13">
      <c r="J810" s="46">
        <v>42992</v>
      </c>
      <c r="K810" s="2">
        <v>66.21503606557377</v>
      </c>
      <c r="L810" s="2">
        <v>93.22</v>
      </c>
      <c r="M810" s="2">
        <v>27.004963934426229</v>
      </c>
    </row>
    <row r="811" spans="10:13">
      <c r="J811" s="46">
        <v>42991</v>
      </c>
      <c r="K811" s="2">
        <v>66.21503606557377</v>
      </c>
      <c r="L811" s="2">
        <v>91.05</v>
      </c>
      <c r="M811" s="2">
        <v>24.834963934426227</v>
      </c>
    </row>
    <row r="812" spans="10:13">
      <c r="J812" s="46">
        <v>42990</v>
      </c>
      <c r="K812" s="2">
        <v>66.21503606557377</v>
      </c>
      <c r="L812" s="2">
        <v>90.23</v>
      </c>
      <c r="M812" s="2">
        <v>24.014963934426234</v>
      </c>
    </row>
    <row r="813" spans="10:13">
      <c r="J813" s="46">
        <v>42989</v>
      </c>
      <c r="K813" s="2">
        <v>66.21503606557377</v>
      </c>
      <c r="L813" s="2">
        <v>89.48</v>
      </c>
      <c r="M813" s="2">
        <v>23.264963934426234</v>
      </c>
    </row>
    <row r="814" spans="10:13">
      <c r="J814" s="46">
        <v>42986</v>
      </c>
      <c r="K814" s="2">
        <v>66.21503606557377</v>
      </c>
      <c r="L814" s="2">
        <v>88.78</v>
      </c>
      <c r="M814" s="2">
        <v>22.564963934426231</v>
      </c>
    </row>
  </sheetData>
  <mergeCells count="7">
    <mergeCell ref="C10:E10"/>
    <mergeCell ref="G10:H10"/>
    <mergeCell ref="B4:B5"/>
    <mergeCell ref="C4:E4"/>
    <mergeCell ref="G4:H5"/>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300034" r:id="rId5" name="Button 2">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300035" r:id="rId6" name="Button 3">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300036" r:id="rId7" name="Button 4">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0">
    <tabColor theme="3" tint="0.39997558519241921"/>
  </sheetPr>
  <dimension ref="A1:AD105"/>
  <sheetViews>
    <sheetView showGridLines="0" topLeftCell="AH10" zoomScaleNormal="100" workbookViewId="0">
      <selection activeCell="G25" sqref="G25"/>
    </sheetView>
  </sheetViews>
  <sheetFormatPr defaultColWidth="9" defaultRowHeight="13.8"/>
  <cols>
    <col min="1" max="1" width="3.3984375" style="2" customWidth="1"/>
    <col min="2" max="2" width="22.59765625" style="2" customWidth="1"/>
    <col min="3" max="4" width="9" style="2"/>
    <col min="5" max="5" width="9.09765625" style="2" customWidth="1"/>
    <col min="6" max="6" width="9" style="2"/>
    <col min="7" max="9" width="25.59765625" style="2" customWidth="1"/>
    <col min="10" max="10" width="16.09765625" style="2" customWidth="1"/>
    <col min="11" max="16384" width="9" style="2"/>
  </cols>
  <sheetData>
    <row r="1" spans="1:30">
      <c r="A1" t="s">
        <v>2</v>
      </c>
    </row>
    <row r="3" spans="1:30" ht="14.4" thickBot="1">
      <c r="B3" s="5" t="s">
        <v>22</v>
      </c>
      <c r="C3" s="5" t="s">
        <v>23</v>
      </c>
      <c r="G3" s="5" t="s">
        <v>21</v>
      </c>
      <c r="J3" s="24" t="s">
        <v>14</v>
      </c>
      <c r="L3" s="3"/>
      <c r="M3" s="4"/>
      <c r="N3" s="2" t="s">
        <v>26</v>
      </c>
      <c r="O3" s="2" t="s">
        <v>27</v>
      </c>
    </row>
    <row r="4" spans="1:30" ht="14.4" thickBot="1">
      <c r="B4" s="130" t="s">
        <v>24</v>
      </c>
      <c r="C4" s="127" t="s">
        <v>46</v>
      </c>
      <c r="D4" s="128"/>
      <c r="E4" s="129"/>
      <c r="G4" s="136"/>
      <c r="H4" s="137"/>
      <c r="I4" s="8"/>
      <c r="J4" s="30" t="s">
        <v>0</v>
      </c>
      <c r="K4" s="31" t="s">
        <v>40</v>
      </c>
      <c r="L4" s="31"/>
      <c r="M4" s="31" t="s">
        <v>41</v>
      </c>
      <c r="N4" s="31" t="s">
        <v>42</v>
      </c>
      <c r="O4" s="31"/>
      <c r="P4" s="31" t="s">
        <v>44</v>
      </c>
      <c r="Q4" s="31"/>
      <c r="R4" s="31"/>
      <c r="S4" s="31"/>
      <c r="T4" s="31"/>
      <c r="U4" s="31"/>
      <c r="V4" s="31"/>
      <c r="W4" s="31"/>
      <c r="X4" s="31"/>
      <c r="Y4" s="31"/>
      <c r="Z4" s="31"/>
      <c r="AA4" s="31"/>
      <c r="AB4" s="31"/>
      <c r="AC4" s="31"/>
      <c r="AD4" s="31"/>
    </row>
    <row r="5" spans="1:30" ht="14.4" thickBot="1">
      <c r="B5" s="130"/>
      <c r="G5" s="138"/>
      <c r="H5" s="139"/>
      <c r="J5" s="32">
        <v>40544</v>
      </c>
      <c r="K5" s="42">
        <v>120320.90322580645</v>
      </c>
      <c r="L5" s="42" t="e">
        <v>#REF!</v>
      </c>
      <c r="M5" s="42" t="e">
        <v>#REF!</v>
      </c>
      <c r="N5" s="42" t="e">
        <v>#REF!</v>
      </c>
      <c r="O5" s="42" t="e">
        <v>#REF!</v>
      </c>
      <c r="P5" s="42" t="e">
        <v>#REF!</v>
      </c>
      <c r="Q5" s="33"/>
      <c r="R5" s="33"/>
      <c r="S5" s="33"/>
      <c r="T5" s="33"/>
      <c r="U5" s="33"/>
      <c r="V5" s="33"/>
      <c r="W5" s="33"/>
      <c r="X5" s="33"/>
      <c r="Y5" s="33"/>
      <c r="Z5" s="33"/>
      <c r="AA5" s="33"/>
      <c r="AB5" s="33"/>
      <c r="AC5" s="33"/>
      <c r="AD5" s="33"/>
    </row>
    <row r="6" spans="1:30" ht="14.4" thickBot="1">
      <c r="C6" s="5" t="s">
        <v>3</v>
      </c>
      <c r="G6" s="5" t="s">
        <v>8</v>
      </c>
      <c r="J6" s="32">
        <v>40575</v>
      </c>
      <c r="K6" s="42">
        <v>124691.5</v>
      </c>
      <c r="L6" s="42" t="e">
        <v>#DIV/0!</v>
      </c>
      <c r="M6" s="42">
        <v>120320.90322580645</v>
      </c>
      <c r="N6" s="42" t="e">
        <v>#DIV/0!</v>
      </c>
      <c r="O6" s="42" t="e">
        <v>#DIV/0!</v>
      </c>
      <c r="P6" s="42" t="e">
        <v>#DIV/0!</v>
      </c>
      <c r="Q6" s="33"/>
      <c r="R6" s="33"/>
      <c r="S6" s="33"/>
      <c r="T6" s="33"/>
      <c r="U6" s="33"/>
      <c r="V6" s="33"/>
      <c r="W6" s="33"/>
      <c r="X6" s="33"/>
      <c r="Y6" s="33"/>
      <c r="Z6" s="33"/>
      <c r="AA6" s="33"/>
      <c r="AB6" s="33"/>
      <c r="AC6" s="33"/>
      <c r="AD6" s="33"/>
    </row>
    <row r="7" spans="1:30" ht="14.4" thickBot="1">
      <c r="C7" s="127" t="s">
        <v>20</v>
      </c>
      <c r="D7" s="128"/>
      <c r="E7" s="129"/>
      <c r="G7" s="127" t="s">
        <v>47</v>
      </c>
      <c r="H7" s="129"/>
      <c r="J7" s="32">
        <v>40603</v>
      </c>
      <c r="K7" s="42">
        <v>145946.61290322582</v>
      </c>
      <c r="L7" s="42">
        <v>3090.4786168643059</v>
      </c>
      <c r="M7" s="42">
        <v>122506.20161290323</v>
      </c>
      <c r="N7" s="42">
        <v>125596.68022976753</v>
      </c>
      <c r="O7" s="42">
        <v>119415.72299603892</v>
      </c>
      <c r="P7" s="42">
        <v>6180.9572337286081</v>
      </c>
      <c r="Q7" s="33"/>
      <c r="R7" s="33"/>
      <c r="S7" s="33"/>
      <c r="T7" s="33"/>
      <c r="U7" s="33"/>
      <c r="V7" s="33"/>
      <c r="W7" s="33"/>
      <c r="X7" s="33"/>
      <c r="Y7" s="33"/>
      <c r="Z7" s="33"/>
      <c r="AA7" s="33"/>
      <c r="AB7" s="33"/>
      <c r="AC7" s="33"/>
      <c r="AD7" s="33"/>
    </row>
    <row r="8" spans="1:30">
      <c r="G8" s="35"/>
      <c r="J8" s="32">
        <v>40634</v>
      </c>
      <c r="K8" s="42">
        <v>130095.26666666666</v>
      </c>
      <c r="L8" s="42">
        <v>13708.628287583773</v>
      </c>
      <c r="M8" s="42">
        <v>130319.67204301075</v>
      </c>
      <c r="N8" s="42">
        <v>144028.30033059453</v>
      </c>
      <c r="O8" s="42">
        <v>116611.04375542697</v>
      </c>
      <c r="P8" s="42">
        <v>27417.256575167557</v>
      </c>
      <c r="Q8" s="33"/>
      <c r="R8" s="33"/>
      <c r="S8" s="33"/>
      <c r="T8" s="33"/>
      <c r="U8" s="33"/>
      <c r="V8" s="33"/>
      <c r="W8" s="33"/>
      <c r="X8" s="33"/>
      <c r="Y8" s="33"/>
      <c r="Z8" s="33"/>
      <c r="AA8" s="33"/>
      <c r="AB8" s="33"/>
      <c r="AC8" s="33"/>
      <c r="AD8" s="33"/>
    </row>
    <row r="9" spans="1:30" ht="14.4" thickBot="1">
      <c r="C9" s="5" t="s">
        <v>4</v>
      </c>
      <c r="G9" s="5" t="s">
        <v>25</v>
      </c>
      <c r="J9" s="32">
        <v>40664</v>
      </c>
      <c r="K9" s="42">
        <v>116983.45161290323</v>
      </c>
      <c r="L9" s="42">
        <v>11193.610489679415</v>
      </c>
      <c r="M9" s="42">
        <v>130263.57069892473</v>
      </c>
      <c r="N9" s="42">
        <v>141457.18118860415</v>
      </c>
      <c r="O9" s="42">
        <v>119069.96020924531</v>
      </c>
      <c r="P9" s="42">
        <v>22387.220979358841</v>
      </c>
      <c r="Q9" s="33"/>
      <c r="R9" s="33"/>
      <c r="S9" s="33"/>
      <c r="T9" s="33"/>
      <c r="U9" s="33"/>
      <c r="V9" s="33"/>
      <c r="W9" s="33"/>
      <c r="X9" s="33"/>
      <c r="Y9" s="33"/>
      <c r="Z9" s="33"/>
      <c r="AA9" s="33"/>
      <c r="AB9" s="33"/>
      <c r="AC9" s="33"/>
      <c r="AD9" s="33"/>
    </row>
    <row r="10" spans="1:30" ht="14.4" thickBot="1">
      <c r="C10" s="127" t="s">
        <v>43</v>
      </c>
      <c r="D10" s="128"/>
      <c r="E10" s="129"/>
      <c r="G10" s="127"/>
      <c r="H10" s="129"/>
      <c r="J10" s="32">
        <v>40695</v>
      </c>
      <c r="K10" s="42">
        <v>110934.16666666667</v>
      </c>
      <c r="L10" s="42">
        <v>11368.597074123893</v>
      </c>
      <c r="M10" s="42">
        <v>127607.54688172042</v>
      </c>
      <c r="N10" s="42">
        <v>138976.14395584431</v>
      </c>
      <c r="O10" s="42">
        <v>116238.94980759654</v>
      </c>
      <c r="P10" s="42">
        <v>22737.19414824777</v>
      </c>
      <c r="Q10" s="33"/>
      <c r="R10" s="33"/>
      <c r="S10" s="33"/>
      <c r="T10" s="33"/>
      <c r="U10" s="33"/>
      <c r="V10" s="33"/>
      <c r="W10" s="33"/>
      <c r="X10" s="33"/>
      <c r="Y10" s="33"/>
      <c r="Z10" s="33"/>
      <c r="AA10" s="33"/>
      <c r="AB10" s="33"/>
      <c r="AC10" s="33"/>
      <c r="AD10" s="33"/>
    </row>
    <row r="11" spans="1:30">
      <c r="J11" s="32">
        <v>40725</v>
      </c>
      <c r="K11" s="42">
        <v>93920.451612903227</v>
      </c>
      <c r="L11" s="42">
        <v>12236.404735309865</v>
      </c>
      <c r="M11" s="42">
        <v>124828.65017921146</v>
      </c>
      <c r="N11" s="42">
        <v>137065.05491452132</v>
      </c>
      <c r="O11" s="42">
        <v>112592.2454439016</v>
      </c>
      <c r="P11" s="42">
        <v>24472.809470619715</v>
      </c>
      <c r="Q11" s="33"/>
      <c r="R11" s="33"/>
      <c r="S11" s="34"/>
      <c r="T11" s="33"/>
      <c r="U11" s="33"/>
      <c r="V11" s="33"/>
      <c r="W11" s="33"/>
      <c r="X11" s="33"/>
      <c r="Y11" s="33"/>
      <c r="Z11" s="33"/>
      <c r="AA11" s="33"/>
      <c r="AB11" s="34"/>
      <c r="AC11" s="33"/>
      <c r="AD11" s="33"/>
    </row>
    <row r="12" spans="1:30">
      <c r="J12" s="32">
        <v>40756</v>
      </c>
      <c r="K12" s="42">
        <v>100840.19354838709</v>
      </c>
      <c r="L12" s="42">
        <v>17705.823821683251</v>
      </c>
      <c r="M12" s="42">
        <v>120428.57491039427</v>
      </c>
      <c r="N12" s="42">
        <v>138134.3987320775</v>
      </c>
      <c r="O12" s="42">
        <v>102722.75108871101</v>
      </c>
      <c r="P12" s="42">
        <v>35411.647643366494</v>
      </c>
      <c r="Q12" s="33"/>
      <c r="R12" s="33"/>
      <c r="S12" s="34"/>
      <c r="T12" s="33"/>
      <c r="U12" s="33"/>
      <c r="V12" s="33"/>
      <c r="W12" s="33"/>
      <c r="X12" s="33"/>
      <c r="Y12" s="33"/>
      <c r="Z12" s="33"/>
      <c r="AA12" s="33"/>
      <c r="AB12" s="34"/>
      <c r="AC12" s="33"/>
      <c r="AD12" s="33"/>
    </row>
    <row r="13" spans="1:30">
      <c r="J13" s="32">
        <v>40787</v>
      </c>
      <c r="K13" s="42">
        <v>109991</v>
      </c>
      <c r="L13" s="42">
        <v>19173.935451604477</v>
      </c>
      <c r="M13" s="42">
        <v>116453.3571684588</v>
      </c>
      <c r="N13" s="42">
        <v>135627.29262006326</v>
      </c>
      <c r="O13" s="42">
        <v>97279.421716854325</v>
      </c>
      <c r="P13" s="42">
        <v>38347.870903208939</v>
      </c>
      <c r="Q13" s="33"/>
      <c r="R13" s="33"/>
      <c r="S13" s="34"/>
      <c r="T13" s="33"/>
      <c r="U13" s="33"/>
      <c r="V13" s="33"/>
      <c r="W13" s="33"/>
      <c r="X13" s="33"/>
      <c r="Y13" s="33"/>
      <c r="Z13" s="33"/>
      <c r="AA13" s="33"/>
      <c r="AB13" s="34"/>
      <c r="AC13" s="33"/>
      <c r="AD13" s="33"/>
    </row>
    <row r="14" spans="1:30">
      <c r="B14" s="7"/>
      <c r="C14" s="7"/>
      <c r="D14" s="7"/>
      <c r="E14" s="7"/>
      <c r="F14" s="7"/>
      <c r="G14" s="7"/>
      <c r="H14" s="7"/>
      <c r="J14" s="32">
        <v>40817</v>
      </c>
      <c r="K14" s="42">
        <v>105230.48387096774</v>
      </c>
      <c r="L14" s="42">
        <v>12606.674792665122</v>
      </c>
      <c r="M14" s="42">
        <v>110460.75501792114</v>
      </c>
      <c r="N14" s="42">
        <v>123067.42981058627</v>
      </c>
      <c r="O14" s="42">
        <v>97854.08022525601</v>
      </c>
      <c r="P14" s="42">
        <v>25213.349585330259</v>
      </c>
      <c r="Q14" s="33"/>
      <c r="R14" s="33"/>
      <c r="S14" s="34"/>
      <c r="T14" s="33"/>
      <c r="U14" s="33"/>
      <c r="V14" s="33"/>
      <c r="W14" s="33"/>
      <c r="X14" s="33"/>
      <c r="Y14" s="33"/>
      <c r="Z14" s="33"/>
      <c r="AA14" s="33"/>
      <c r="AB14" s="34"/>
      <c r="AC14" s="33"/>
      <c r="AD14" s="33"/>
    </row>
    <row r="15" spans="1:30">
      <c r="B15" s="7"/>
      <c r="C15" s="7"/>
      <c r="D15" s="7"/>
      <c r="E15" s="7"/>
      <c r="F15" s="7"/>
      <c r="G15" s="7"/>
      <c r="H15" s="7"/>
      <c r="J15" s="32">
        <v>40848</v>
      </c>
      <c r="K15" s="42">
        <v>112922.2</v>
      </c>
      <c r="L15" s="42">
        <v>8166.2724827564261</v>
      </c>
      <c r="M15" s="42">
        <v>106316.62455197133</v>
      </c>
      <c r="N15" s="42">
        <v>114482.89703472775</v>
      </c>
      <c r="O15" s="42">
        <v>98150.352069214903</v>
      </c>
      <c r="P15" s="42">
        <v>16332.544965512847</v>
      </c>
      <c r="Q15" s="33"/>
      <c r="R15" s="33"/>
      <c r="S15" s="34"/>
      <c r="T15" s="33"/>
      <c r="U15" s="33"/>
      <c r="V15" s="33"/>
      <c r="W15" s="33"/>
      <c r="X15" s="33"/>
      <c r="Y15" s="33"/>
      <c r="Z15" s="33"/>
      <c r="AA15" s="33"/>
      <c r="AB15" s="34"/>
      <c r="AC15" s="33"/>
      <c r="AD15" s="33"/>
    </row>
    <row r="16" spans="1:30">
      <c r="B16" s="7"/>
      <c r="C16" s="7"/>
      <c r="D16" s="7"/>
      <c r="E16" s="7"/>
      <c r="F16" s="7"/>
      <c r="G16" s="7"/>
      <c r="H16" s="7"/>
      <c r="J16" s="32">
        <v>40878</v>
      </c>
      <c r="K16" s="42">
        <v>112719.77419354839</v>
      </c>
      <c r="L16" s="42">
        <v>7218.6355772774104</v>
      </c>
      <c r="M16" s="42">
        <v>105639.74928315413</v>
      </c>
      <c r="N16" s="42">
        <v>112858.38486043154</v>
      </c>
      <c r="O16" s="42">
        <v>98421.11370587672</v>
      </c>
      <c r="P16" s="42">
        <v>14437.271154554823</v>
      </c>
      <c r="Q16" s="33"/>
      <c r="R16" s="33"/>
      <c r="S16" s="34"/>
      <c r="T16" s="33"/>
      <c r="U16" s="33"/>
      <c r="V16" s="33"/>
      <c r="W16" s="33"/>
      <c r="X16" s="33"/>
      <c r="Y16" s="33"/>
      <c r="Z16" s="33"/>
      <c r="AA16" s="33"/>
      <c r="AB16" s="34"/>
      <c r="AC16" s="33"/>
      <c r="AD16" s="33"/>
    </row>
    <row r="17" spans="2:30">
      <c r="B17" s="7"/>
      <c r="C17" s="7"/>
      <c r="D17" s="7"/>
      <c r="E17" s="7"/>
      <c r="F17" s="7"/>
      <c r="G17" s="7"/>
      <c r="H17" s="7"/>
      <c r="J17" s="32">
        <v>40909</v>
      </c>
      <c r="K17" s="42">
        <v>129859.70967741935</v>
      </c>
      <c r="L17" s="42">
        <v>7511.4312384342575</v>
      </c>
      <c r="M17" s="42">
        <v>105937.35053763441</v>
      </c>
      <c r="N17" s="42">
        <v>113448.78177606867</v>
      </c>
      <c r="O17" s="42">
        <v>98425.919299200148</v>
      </c>
      <c r="P17" s="42">
        <v>15022.862476868526</v>
      </c>
      <c r="Q17" s="33"/>
      <c r="R17" s="33"/>
      <c r="S17" s="34"/>
      <c r="T17" s="33"/>
      <c r="U17" s="33"/>
      <c r="V17" s="33"/>
      <c r="W17" s="33"/>
      <c r="X17" s="33"/>
      <c r="Y17" s="33"/>
      <c r="Z17" s="33"/>
      <c r="AA17" s="33"/>
      <c r="AB17" s="34"/>
      <c r="AC17" s="33"/>
      <c r="AD17" s="33"/>
    </row>
    <row r="18" spans="2:30">
      <c r="B18" s="7"/>
      <c r="C18" s="7"/>
      <c r="D18" s="7"/>
      <c r="E18" s="7"/>
      <c r="F18" s="7"/>
      <c r="G18" s="7"/>
      <c r="H18" s="7"/>
      <c r="J18" s="32">
        <v>40940</v>
      </c>
      <c r="K18" s="42">
        <v>107971.8275862069</v>
      </c>
      <c r="L18" s="42">
        <v>9946.9562338398646</v>
      </c>
      <c r="M18" s="42">
        <v>111927.22688172043</v>
      </c>
      <c r="N18" s="42">
        <v>121874.1831155603</v>
      </c>
      <c r="O18" s="42">
        <v>101980.27064788056</v>
      </c>
      <c r="P18" s="42">
        <v>19893.912467679736</v>
      </c>
      <c r="Q18" s="33"/>
      <c r="R18" s="33"/>
      <c r="S18" s="34"/>
      <c r="T18" s="33"/>
      <c r="U18" s="33"/>
      <c r="V18" s="33"/>
      <c r="W18" s="33"/>
      <c r="X18" s="33"/>
      <c r="Y18" s="33"/>
      <c r="Z18" s="33"/>
      <c r="AA18" s="33"/>
      <c r="AB18" s="34"/>
      <c r="AC18" s="33"/>
      <c r="AD18" s="33"/>
    </row>
    <row r="19" spans="2:30">
      <c r="B19" s="7"/>
      <c r="C19" s="7"/>
      <c r="D19" s="7"/>
      <c r="E19" s="7"/>
      <c r="F19" s="7"/>
      <c r="G19" s="7"/>
      <c r="H19" s="7"/>
      <c r="J19" s="32">
        <v>40969</v>
      </c>
      <c r="K19" s="42">
        <v>154057.64516129033</v>
      </c>
      <c r="L19" s="42">
        <v>8705.812614193288</v>
      </c>
      <c r="M19" s="42">
        <v>113115.83255469042</v>
      </c>
      <c r="N19" s="42">
        <v>121821.64516888371</v>
      </c>
      <c r="O19" s="42">
        <v>104410.01994049714</v>
      </c>
      <c r="P19" s="42">
        <v>17411.625228386576</v>
      </c>
      <c r="Q19" s="33"/>
      <c r="R19" s="33"/>
      <c r="S19" s="34"/>
      <c r="T19" s="33"/>
      <c r="U19" s="33"/>
      <c r="V19" s="33"/>
      <c r="W19" s="33"/>
      <c r="X19" s="33"/>
      <c r="Y19" s="33"/>
      <c r="Z19" s="33"/>
      <c r="AA19" s="33"/>
      <c r="AB19" s="34"/>
      <c r="AC19" s="33"/>
      <c r="AD19" s="33"/>
    </row>
    <row r="20" spans="2:30">
      <c r="B20" s="7"/>
      <c r="C20" s="7"/>
      <c r="D20" s="7"/>
      <c r="E20" s="7"/>
      <c r="F20" s="7"/>
      <c r="G20" s="7"/>
      <c r="H20" s="7"/>
      <c r="J20" s="32">
        <v>41000</v>
      </c>
      <c r="K20" s="42">
        <v>187009.53333333333</v>
      </c>
      <c r="L20" s="42">
        <v>18556.823209219681</v>
      </c>
      <c r="M20" s="42">
        <v>120460.27341490543</v>
      </c>
      <c r="N20" s="42">
        <v>139017.09662412512</v>
      </c>
      <c r="O20" s="42">
        <v>101903.45020568575</v>
      </c>
      <c r="P20" s="42">
        <v>37113.64641843937</v>
      </c>
      <c r="Q20" s="33"/>
      <c r="R20" s="33"/>
      <c r="S20" s="34"/>
      <c r="T20" s="33"/>
      <c r="U20" s="33"/>
      <c r="V20" s="33"/>
      <c r="W20" s="33"/>
      <c r="X20" s="33"/>
      <c r="Y20" s="33"/>
      <c r="Z20" s="33"/>
      <c r="AA20" s="33"/>
      <c r="AB20" s="34"/>
      <c r="AC20" s="33"/>
      <c r="AD20" s="33"/>
    </row>
    <row r="21" spans="2:30">
      <c r="B21" s="7"/>
      <c r="C21" s="7"/>
      <c r="D21" s="7"/>
      <c r="E21" s="7"/>
      <c r="F21" s="7"/>
      <c r="G21" s="7"/>
      <c r="H21" s="7"/>
      <c r="J21" s="32">
        <v>41030</v>
      </c>
      <c r="K21" s="42">
        <v>119624.54838709677</v>
      </c>
      <c r="L21" s="42">
        <v>30996.775495958653</v>
      </c>
      <c r="M21" s="42">
        <v>134090.11499196637</v>
      </c>
      <c r="N21" s="42">
        <v>165086.89048792503</v>
      </c>
      <c r="O21" s="42">
        <v>103093.33949600771</v>
      </c>
      <c r="P21" s="42">
        <v>61993.55099191732</v>
      </c>
      <c r="Q21" s="33"/>
      <c r="R21" s="33"/>
      <c r="S21" s="34"/>
      <c r="T21" s="33"/>
      <c r="U21" s="33"/>
      <c r="V21" s="33"/>
      <c r="W21" s="33"/>
      <c r="X21" s="33"/>
      <c r="Y21" s="33"/>
      <c r="Z21" s="33"/>
      <c r="AA21" s="33"/>
      <c r="AB21" s="34"/>
      <c r="AC21" s="33"/>
      <c r="AD21" s="33"/>
    </row>
    <row r="22" spans="2:30">
      <c r="B22" s="7"/>
      <c r="C22" s="7"/>
      <c r="D22" s="7"/>
      <c r="E22" s="7"/>
      <c r="F22" s="7"/>
      <c r="G22" s="7"/>
      <c r="H22" s="7"/>
      <c r="J22" s="32">
        <v>41061</v>
      </c>
      <c r="K22" s="42">
        <v>162537.36666666667</v>
      </c>
      <c r="L22" s="42">
        <v>30191.672810595031</v>
      </c>
      <c r="M22" s="42">
        <v>135207.17305648251</v>
      </c>
      <c r="N22" s="42">
        <v>165398.84586707753</v>
      </c>
      <c r="O22" s="42">
        <v>105015.50024588748</v>
      </c>
      <c r="P22" s="42">
        <v>60383.345621190048</v>
      </c>
      <c r="Q22" s="33"/>
      <c r="R22" s="33"/>
      <c r="S22" s="34"/>
      <c r="T22" s="33"/>
      <c r="U22" s="33"/>
      <c r="V22" s="33"/>
      <c r="W22" s="33"/>
      <c r="X22" s="33"/>
      <c r="Y22" s="33"/>
      <c r="Z22" s="33"/>
      <c r="AA22" s="33"/>
      <c r="AB22" s="34"/>
      <c r="AC22" s="33"/>
      <c r="AD22" s="33"/>
    </row>
    <row r="23" spans="2:30">
      <c r="B23" s="7"/>
      <c r="C23" s="7"/>
      <c r="D23" s="7"/>
      <c r="E23" s="7"/>
      <c r="F23" s="7"/>
      <c r="G23" s="7"/>
      <c r="H23" s="7"/>
      <c r="J23" s="32">
        <v>41091</v>
      </c>
      <c r="K23" s="42">
        <v>124062.67741935483</v>
      </c>
      <c r="L23" s="42">
        <v>29615.231972832262</v>
      </c>
      <c r="M23" s="42">
        <v>143510.10513533556</v>
      </c>
      <c r="N23" s="42">
        <v>173125.33710816782</v>
      </c>
      <c r="O23" s="42">
        <v>113894.8731625033</v>
      </c>
      <c r="P23" s="42">
        <v>59230.463945664524</v>
      </c>
      <c r="Q23" s="33"/>
      <c r="R23" s="33"/>
      <c r="S23" s="34"/>
      <c r="T23" s="33"/>
      <c r="U23" s="33"/>
      <c r="V23" s="33"/>
      <c r="W23" s="33"/>
      <c r="X23" s="33"/>
      <c r="Y23" s="33"/>
      <c r="Z23" s="33"/>
      <c r="AA23" s="33"/>
      <c r="AB23" s="34"/>
      <c r="AC23" s="33"/>
      <c r="AD23" s="33"/>
    </row>
    <row r="24" spans="2:30">
      <c r="B24" s="7"/>
      <c r="C24" s="7"/>
      <c r="D24" s="7"/>
      <c r="E24" s="7"/>
      <c r="F24" s="7"/>
      <c r="G24" s="7"/>
      <c r="H24" s="7"/>
      <c r="J24" s="32">
        <v>41122</v>
      </c>
      <c r="K24" s="42">
        <v>153120.48387096773</v>
      </c>
      <c r="L24" s="42">
        <v>30237.652164590894</v>
      </c>
      <c r="M24" s="42">
        <v>142543.93309232479</v>
      </c>
      <c r="N24" s="42">
        <v>172781.58525691569</v>
      </c>
      <c r="O24" s="42">
        <v>112306.2809277339</v>
      </c>
      <c r="P24" s="42">
        <v>60475.304329181788</v>
      </c>
      <c r="Q24" s="33"/>
      <c r="R24" s="33"/>
      <c r="S24" s="34"/>
      <c r="T24" s="33"/>
      <c r="U24" s="33"/>
      <c r="V24" s="33"/>
      <c r="W24" s="33"/>
      <c r="X24" s="33"/>
      <c r="Y24" s="33"/>
      <c r="Z24" s="33"/>
      <c r="AA24" s="33"/>
      <c r="AB24" s="34"/>
      <c r="AC24" s="33"/>
      <c r="AD24" s="33"/>
    </row>
    <row r="25" spans="2:30">
      <c r="B25" s="7"/>
      <c r="C25" s="7"/>
      <c r="D25" s="7"/>
      <c r="E25" s="7"/>
      <c r="F25" s="7"/>
      <c r="G25" s="7"/>
      <c r="H25" s="7"/>
      <c r="J25" s="32">
        <v>41153</v>
      </c>
      <c r="K25" s="42">
        <v>106283.66666666667</v>
      </c>
      <c r="L25" s="42">
        <v>25093.734126249248</v>
      </c>
      <c r="M25" s="42">
        <v>150068.70913978494</v>
      </c>
      <c r="N25" s="42">
        <v>175162.44326603418</v>
      </c>
      <c r="O25" s="42">
        <v>124974.9750135357</v>
      </c>
      <c r="P25" s="42">
        <v>50187.468252498482</v>
      </c>
      <c r="Q25" s="33"/>
      <c r="R25" s="33"/>
      <c r="S25" s="34"/>
      <c r="T25" s="33"/>
      <c r="U25" s="33"/>
      <c r="V25" s="33"/>
      <c r="W25" s="33"/>
      <c r="X25" s="33"/>
      <c r="Y25" s="33"/>
      <c r="Z25" s="33"/>
      <c r="AA25" s="33"/>
      <c r="AB25" s="34"/>
      <c r="AC25" s="33"/>
      <c r="AD25" s="33"/>
    </row>
    <row r="26" spans="2:30">
      <c r="B26" s="7"/>
      <c r="C26" s="7"/>
      <c r="D26" s="7"/>
      <c r="E26" s="7"/>
      <c r="F26" s="7"/>
      <c r="G26" s="7"/>
      <c r="H26" s="7"/>
      <c r="J26" s="32">
        <v>41183</v>
      </c>
      <c r="K26" s="42">
        <v>101548.87096774194</v>
      </c>
      <c r="L26" s="42">
        <v>30559.134888222045</v>
      </c>
      <c r="M26" s="42">
        <v>142106.37939068099</v>
      </c>
      <c r="N26" s="42">
        <v>172665.51427890302</v>
      </c>
      <c r="O26" s="42">
        <v>111547.24450245894</v>
      </c>
      <c r="P26" s="42">
        <v>61118.269776444082</v>
      </c>
      <c r="Q26" s="33"/>
      <c r="R26" s="33"/>
      <c r="S26" s="34"/>
      <c r="T26" s="33"/>
      <c r="U26" s="33"/>
      <c r="V26" s="33"/>
      <c r="W26" s="33"/>
      <c r="X26" s="33"/>
      <c r="Y26" s="33"/>
      <c r="Z26" s="33"/>
      <c r="AA26" s="33"/>
      <c r="AB26" s="34"/>
      <c r="AC26" s="33"/>
      <c r="AD26" s="33"/>
    </row>
    <row r="27" spans="2:30">
      <c r="B27" s="7"/>
      <c r="C27" s="7"/>
      <c r="D27" s="7"/>
      <c r="E27" s="7"/>
      <c r="F27" s="7"/>
      <c r="G27" s="7"/>
      <c r="H27" s="7"/>
      <c r="J27" s="32">
        <v>41214</v>
      </c>
      <c r="K27" s="42">
        <v>93521.600000000006</v>
      </c>
      <c r="L27" s="42">
        <v>24822.037570410594</v>
      </c>
      <c r="M27" s="42">
        <v>127862.93566308242</v>
      </c>
      <c r="N27" s="42">
        <v>152684.97323349302</v>
      </c>
      <c r="O27" s="42">
        <v>103040.89809267182</v>
      </c>
      <c r="P27" s="42">
        <v>49644.075140821195</v>
      </c>
      <c r="Q27" s="33"/>
      <c r="R27" s="33"/>
      <c r="S27" s="34"/>
      <c r="T27" s="33"/>
      <c r="U27" s="33"/>
      <c r="V27" s="33"/>
      <c r="W27" s="33"/>
      <c r="X27" s="33"/>
      <c r="Y27" s="33"/>
      <c r="Z27" s="33"/>
      <c r="AA27" s="33"/>
      <c r="AB27" s="34"/>
      <c r="AC27" s="33"/>
      <c r="AD27" s="33"/>
    </row>
    <row r="28" spans="2:30">
      <c r="B28" s="7"/>
      <c r="C28" s="7"/>
      <c r="D28" s="7"/>
      <c r="E28" s="7"/>
      <c r="F28" s="7"/>
      <c r="G28" s="7"/>
      <c r="H28" s="7"/>
      <c r="J28" s="32">
        <v>41244</v>
      </c>
      <c r="K28" s="42">
        <v>123557.6129032258</v>
      </c>
      <c r="L28" s="42">
        <v>28560.684177845505</v>
      </c>
      <c r="M28" s="42">
        <v>123512.44426523296</v>
      </c>
      <c r="N28" s="42">
        <v>152073.12844307846</v>
      </c>
      <c r="O28" s="42">
        <v>94951.760087387462</v>
      </c>
      <c r="P28" s="42">
        <v>57121.368355690996</v>
      </c>
      <c r="Q28" s="33"/>
      <c r="R28" s="33"/>
      <c r="S28" s="34"/>
      <c r="T28" s="33"/>
      <c r="U28" s="33"/>
      <c r="V28" s="33"/>
      <c r="W28" s="33"/>
      <c r="X28" s="33"/>
      <c r="Y28" s="33"/>
      <c r="Z28" s="33"/>
      <c r="AA28" s="33"/>
      <c r="AB28" s="34"/>
      <c r="AC28" s="33"/>
      <c r="AD28" s="33"/>
    </row>
    <row r="29" spans="2:30">
      <c r="B29" s="7"/>
      <c r="C29" s="7"/>
      <c r="D29" s="7"/>
      <c r="E29" s="7"/>
      <c r="F29" s="7"/>
      <c r="G29" s="7"/>
      <c r="H29" s="7"/>
      <c r="J29" s="32">
        <v>41275</v>
      </c>
      <c r="K29" s="42">
        <v>133714.38709677418</v>
      </c>
      <c r="L29" s="42">
        <v>21458.723205531118</v>
      </c>
      <c r="M29" s="42">
        <v>117015.81863799284</v>
      </c>
      <c r="N29" s="42">
        <v>138474.54184352397</v>
      </c>
      <c r="O29" s="42">
        <v>95557.09543246172</v>
      </c>
      <c r="P29" s="42">
        <v>42917.44641106225</v>
      </c>
      <c r="Q29" s="33"/>
      <c r="R29" s="33"/>
      <c r="S29" s="34"/>
      <c r="T29" s="33"/>
      <c r="U29" s="33"/>
      <c r="V29" s="33"/>
      <c r="W29" s="33"/>
      <c r="X29" s="33"/>
      <c r="Y29" s="33"/>
      <c r="Z29" s="33"/>
      <c r="AA29" s="33"/>
      <c r="AB29" s="34"/>
      <c r="AC29" s="33"/>
      <c r="AD29" s="33"/>
    </row>
    <row r="30" spans="2:30">
      <c r="B30" s="7"/>
      <c r="C30" s="7"/>
      <c r="D30" s="7"/>
      <c r="E30" s="7"/>
      <c r="F30" s="7"/>
      <c r="G30" s="7"/>
      <c r="H30" s="7"/>
      <c r="J30" s="32">
        <v>41306</v>
      </c>
      <c r="K30" s="42">
        <v>141543.14285714287</v>
      </c>
      <c r="L30" s="42">
        <v>22432.307332639484</v>
      </c>
      <c r="M30" s="42">
        <v>118624.43691756272</v>
      </c>
      <c r="N30" s="42">
        <v>141056.7442502022</v>
      </c>
      <c r="O30" s="42">
        <v>96192.129584923241</v>
      </c>
      <c r="P30" s="42">
        <v>44864.614665278961</v>
      </c>
      <c r="Q30" s="33"/>
      <c r="R30" s="33"/>
      <c r="S30" s="34"/>
      <c r="T30" s="33"/>
      <c r="U30" s="33"/>
      <c r="V30" s="33"/>
      <c r="W30" s="33"/>
      <c r="X30" s="33"/>
      <c r="Y30" s="33"/>
      <c r="Z30" s="33"/>
      <c r="AA30" s="33"/>
      <c r="AB30" s="34"/>
      <c r="AC30" s="33"/>
      <c r="AD30" s="33"/>
    </row>
    <row r="31" spans="2:30">
      <c r="B31" s="7"/>
      <c r="C31" s="7"/>
      <c r="D31" s="7"/>
      <c r="E31" s="7"/>
      <c r="F31" s="7"/>
      <c r="G31" s="7"/>
      <c r="H31" s="7"/>
      <c r="J31" s="32">
        <v>41334</v>
      </c>
      <c r="K31" s="42">
        <v>184224.83870967742</v>
      </c>
      <c r="L31" s="42">
        <v>19125.860766886508</v>
      </c>
      <c r="M31" s="42">
        <v>116694.88008192525</v>
      </c>
      <c r="N31" s="42">
        <v>135820.74084881175</v>
      </c>
      <c r="O31" s="42">
        <v>97569.019315038749</v>
      </c>
      <c r="P31" s="42">
        <v>38251.721533773001</v>
      </c>
      <c r="Q31" s="33"/>
      <c r="R31" s="33"/>
      <c r="S31" s="34"/>
      <c r="T31" s="33"/>
      <c r="U31" s="33"/>
      <c r="V31" s="33"/>
      <c r="W31" s="33"/>
      <c r="X31" s="33"/>
      <c r="Y31" s="33"/>
      <c r="Z31" s="33"/>
      <c r="AA31" s="33"/>
      <c r="AB31" s="34"/>
      <c r="AC31" s="33"/>
      <c r="AD31" s="33"/>
    </row>
    <row r="32" spans="2:30">
      <c r="B32" s="7"/>
      <c r="C32" s="7"/>
      <c r="D32" s="7"/>
      <c r="E32" s="7"/>
      <c r="F32" s="7"/>
      <c r="G32" s="7"/>
      <c r="H32" s="7"/>
      <c r="J32" s="32">
        <v>41365</v>
      </c>
      <c r="K32" s="42">
        <v>147864.96666666667</v>
      </c>
      <c r="L32" s="42">
        <v>32460.510310077247</v>
      </c>
      <c r="M32" s="42">
        <v>129685.07542242703</v>
      </c>
      <c r="N32" s="42">
        <v>162145.58573250429</v>
      </c>
      <c r="O32" s="42">
        <v>97224.565112349781</v>
      </c>
      <c r="P32" s="42">
        <v>64921.020620154508</v>
      </c>
      <c r="Q32" s="33"/>
      <c r="R32" s="33"/>
      <c r="S32" s="34"/>
      <c r="T32" s="33"/>
      <c r="U32" s="33"/>
      <c r="V32" s="33"/>
      <c r="W32" s="33"/>
      <c r="X32" s="33"/>
      <c r="Y32" s="33"/>
      <c r="Z32" s="33"/>
      <c r="AA32" s="33"/>
      <c r="AB32" s="34"/>
      <c r="AC32" s="33"/>
      <c r="AD32" s="33"/>
    </row>
    <row r="33" spans="2:30">
      <c r="B33" s="7"/>
      <c r="C33" s="7"/>
      <c r="D33" s="7"/>
      <c r="E33" s="7"/>
      <c r="F33" s="7"/>
      <c r="G33" s="7"/>
      <c r="H33" s="7"/>
      <c r="J33" s="32">
        <v>41395</v>
      </c>
      <c r="K33" s="42">
        <v>142630.25806451612</v>
      </c>
      <c r="L33" s="42">
        <v>29832.049786622763</v>
      </c>
      <c r="M33" s="42">
        <v>137404.42470558116</v>
      </c>
      <c r="N33" s="42">
        <v>167236.47449220391</v>
      </c>
      <c r="O33" s="42">
        <v>107572.37491895839</v>
      </c>
      <c r="P33" s="42">
        <v>59664.099573245519</v>
      </c>
      <c r="Q33" s="33"/>
      <c r="R33" s="33"/>
      <c r="S33" s="34"/>
      <c r="T33" s="33"/>
      <c r="U33" s="33"/>
      <c r="V33" s="33"/>
      <c r="W33" s="33"/>
      <c r="X33" s="33"/>
      <c r="Y33" s="33"/>
      <c r="Z33" s="33"/>
      <c r="AA33" s="33"/>
      <c r="AB33" s="34"/>
      <c r="AC33" s="33"/>
      <c r="AD33" s="33"/>
    </row>
    <row r="34" spans="2:30">
      <c r="B34" s="7"/>
      <c r="C34" s="7"/>
      <c r="D34" s="7"/>
      <c r="E34" s="7"/>
      <c r="F34" s="7"/>
      <c r="G34" s="7"/>
      <c r="H34" s="7"/>
      <c r="J34" s="32">
        <v>41426</v>
      </c>
      <c r="K34" s="42">
        <v>124741.83333333333</v>
      </c>
      <c r="L34" s="42">
        <v>20733.642322061984</v>
      </c>
      <c r="M34" s="42">
        <v>145589.20104966717</v>
      </c>
      <c r="N34" s="42">
        <v>166322.84337172916</v>
      </c>
      <c r="O34" s="42">
        <v>124855.55872760518</v>
      </c>
      <c r="P34" s="42">
        <v>41467.284644123982</v>
      </c>
      <c r="Q34" s="33"/>
      <c r="R34" s="33"/>
      <c r="S34" s="34"/>
      <c r="T34" s="33"/>
      <c r="U34" s="33"/>
      <c r="V34" s="33"/>
      <c r="W34" s="33"/>
      <c r="X34" s="33"/>
      <c r="Y34" s="33"/>
      <c r="Z34" s="33"/>
      <c r="AA34" s="33"/>
      <c r="AB34" s="34"/>
      <c r="AC34" s="33"/>
      <c r="AD34" s="33"/>
    </row>
    <row r="35" spans="2:30">
      <c r="B35" s="7"/>
      <c r="C35" s="7"/>
      <c r="D35" s="7"/>
      <c r="E35" s="7"/>
      <c r="F35" s="7"/>
      <c r="G35" s="7"/>
      <c r="H35" s="7"/>
      <c r="J35" s="32">
        <v>41456</v>
      </c>
      <c r="K35" s="42">
        <v>121156.87096774194</v>
      </c>
      <c r="L35" s="42">
        <v>20486.130696012089</v>
      </c>
      <c r="M35" s="42">
        <v>145786.57112135176</v>
      </c>
      <c r="N35" s="42">
        <v>166272.70181736385</v>
      </c>
      <c r="O35" s="42">
        <v>125300.44042533968</v>
      </c>
      <c r="P35" s="42">
        <v>40972.261392024171</v>
      </c>
      <c r="Q35" s="33"/>
      <c r="R35" s="33"/>
      <c r="S35" s="34"/>
      <c r="T35" s="33"/>
      <c r="U35" s="33"/>
      <c r="V35" s="33"/>
      <c r="W35" s="33"/>
      <c r="X35" s="33"/>
      <c r="Y35" s="33"/>
      <c r="Z35" s="33"/>
      <c r="AA35" s="33"/>
      <c r="AB35" s="34"/>
      <c r="AC35" s="33"/>
      <c r="AD35" s="33"/>
    </row>
    <row r="36" spans="2:30">
      <c r="B36" s="7"/>
      <c r="C36" s="22"/>
      <c r="D36" s="1"/>
      <c r="E36" s="1"/>
      <c r="F36" s="1"/>
      <c r="G36" s="1"/>
      <c r="H36" s="1"/>
      <c r="J36" s="32">
        <v>41487</v>
      </c>
      <c r="K36" s="42">
        <v>128522.09677419355</v>
      </c>
      <c r="L36" s="42">
        <v>22507.822588819097</v>
      </c>
      <c r="M36" s="42">
        <v>143693.65176651307</v>
      </c>
      <c r="N36" s="42">
        <v>166201.47435533218</v>
      </c>
      <c r="O36" s="42">
        <v>121185.82917769397</v>
      </c>
      <c r="P36" s="42">
        <v>45015.645177638202</v>
      </c>
      <c r="Q36" s="33"/>
      <c r="R36" s="33"/>
      <c r="S36" s="34"/>
      <c r="T36" s="33"/>
      <c r="U36" s="33"/>
      <c r="V36" s="33"/>
      <c r="W36" s="33"/>
      <c r="X36" s="33"/>
      <c r="Y36" s="33"/>
      <c r="Z36" s="33"/>
      <c r="AA36" s="33"/>
      <c r="AB36" s="34"/>
      <c r="AC36" s="33"/>
      <c r="AD36" s="33"/>
    </row>
    <row r="37" spans="2:30">
      <c r="B37" s="7"/>
      <c r="C37" s="1"/>
      <c r="D37" s="1"/>
      <c r="E37" s="1"/>
      <c r="F37" s="25"/>
      <c r="G37" s="1"/>
      <c r="H37" s="22"/>
      <c r="J37" s="32">
        <v>41518</v>
      </c>
      <c r="K37" s="42">
        <v>129836.63333333333</v>
      </c>
      <c r="L37" s="42">
        <v>23367.943172568896</v>
      </c>
      <c r="M37" s="42">
        <v>141523.47741935487</v>
      </c>
      <c r="N37" s="42">
        <v>164891.42059192376</v>
      </c>
      <c r="O37" s="42">
        <v>118155.53424678597</v>
      </c>
      <c r="P37" s="42">
        <v>46735.886345137784</v>
      </c>
      <c r="Q37" s="33"/>
      <c r="R37" s="33"/>
      <c r="S37" s="34"/>
      <c r="T37" s="33"/>
      <c r="U37" s="33"/>
      <c r="V37" s="33"/>
      <c r="W37" s="33"/>
      <c r="X37" s="33"/>
      <c r="Y37" s="33"/>
      <c r="Z37" s="33"/>
      <c r="AA37" s="33"/>
      <c r="AB37" s="34"/>
      <c r="AC37" s="33"/>
      <c r="AD37" s="33"/>
    </row>
    <row r="38" spans="2:30">
      <c r="B38" s="7"/>
      <c r="C38" s="1"/>
      <c r="D38" s="26"/>
      <c r="E38" s="1"/>
      <c r="F38" s="1"/>
      <c r="G38" s="1"/>
      <c r="H38" s="27"/>
      <c r="J38" s="32">
        <v>41548</v>
      </c>
      <c r="K38" s="42">
        <v>117366.67741935483</v>
      </c>
      <c r="L38" s="42">
        <v>10492.541114682461</v>
      </c>
      <c r="M38" s="42">
        <v>132458.77652329748</v>
      </c>
      <c r="N38" s="42">
        <v>142951.31763797993</v>
      </c>
      <c r="O38" s="42">
        <v>121966.23540861502</v>
      </c>
      <c r="P38" s="42">
        <v>20985.082229364911</v>
      </c>
      <c r="Q38" s="33"/>
      <c r="R38" s="33"/>
      <c r="S38" s="34"/>
      <c r="T38" s="33"/>
      <c r="U38" s="33"/>
      <c r="V38" s="33"/>
      <c r="W38" s="33"/>
      <c r="X38" s="33"/>
      <c r="Y38" s="33"/>
      <c r="Z38" s="33"/>
      <c r="AA38" s="33"/>
      <c r="AB38" s="34"/>
      <c r="AC38" s="33"/>
      <c r="AD38" s="33"/>
    </row>
    <row r="39" spans="2:30">
      <c r="B39" s="7"/>
      <c r="C39" s="1"/>
      <c r="D39" s="26"/>
      <c r="E39" s="1"/>
      <c r="F39" s="1"/>
      <c r="G39" s="1"/>
      <c r="H39" s="27"/>
      <c r="J39" s="32">
        <v>41579</v>
      </c>
      <c r="K39" s="42">
        <v>134689.1</v>
      </c>
      <c r="L39" s="42">
        <v>8784.8002976046537</v>
      </c>
      <c r="M39" s="42">
        <v>127375.72831541217</v>
      </c>
      <c r="N39" s="42">
        <v>136160.52861301682</v>
      </c>
      <c r="O39" s="42">
        <v>118590.92801780751</v>
      </c>
      <c r="P39" s="42">
        <v>17569.600595209311</v>
      </c>
      <c r="Q39" s="33"/>
      <c r="R39" s="33"/>
      <c r="S39" s="34"/>
      <c r="T39" s="33"/>
      <c r="U39" s="33"/>
      <c r="V39" s="33"/>
      <c r="W39" s="33"/>
      <c r="X39" s="33"/>
      <c r="Y39" s="33"/>
      <c r="Z39" s="33"/>
      <c r="AA39" s="33"/>
      <c r="AB39" s="34"/>
      <c r="AC39" s="33"/>
      <c r="AD39" s="33"/>
    </row>
    <row r="40" spans="2:30">
      <c r="B40" s="7"/>
      <c r="C40" s="1"/>
      <c r="D40" s="26"/>
      <c r="E40" s="1"/>
      <c r="F40" s="1"/>
      <c r="G40" s="1"/>
      <c r="H40" s="27"/>
      <c r="J40" s="32">
        <v>41609</v>
      </c>
      <c r="K40" s="42">
        <v>112393.35483870968</v>
      </c>
      <c r="L40" s="42">
        <v>6263.1937056691731</v>
      </c>
      <c r="M40" s="42">
        <v>126052.20197132614</v>
      </c>
      <c r="N40" s="42">
        <v>132315.39567699531</v>
      </c>
      <c r="O40" s="42">
        <v>119789.00826565697</v>
      </c>
      <c r="P40" s="42">
        <v>12526.387411338335</v>
      </c>
      <c r="Q40" s="33"/>
      <c r="R40" s="33"/>
      <c r="S40" s="34"/>
      <c r="T40" s="33"/>
      <c r="U40" s="33"/>
      <c r="V40" s="33"/>
      <c r="W40" s="33"/>
      <c r="X40" s="33"/>
      <c r="Y40" s="33"/>
      <c r="Z40" s="33"/>
      <c r="AA40" s="33"/>
      <c r="AB40" s="34"/>
      <c r="AC40" s="33"/>
      <c r="AD40" s="33"/>
    </row>
    <row r="41" spans="2:30">
      <c r="B41" s="7"/>
      <c r="C41" s="1"/>
      <c r="D41" s="1"/>
      <c r="E41" s="1"/>
      <c r="F41" s="1"/>
      <c r="G41" s="1"/>
      <c r="H41" s="27"/>
      <c r="J41" s="32">
        <v>41640</v>
      </c>
      <c r="K41" s="42">
        <v>112976.09677419355</v>
      </c>
      <c r="L41" s="42">
        <v>8432.9219429138502</v>
      </c>
      <c r="M41" s="42">
        <v>123994.12222222223</v>
      </c>
      <c r="N41" s="42">
        <v>132427.04416513609</v>
      </c>
      <c r="O41" s="42">
        <v>115561.20027930838</v>
      </c>
      <c r="P41" s="42">
        <v>16865.843885827708</v>
      </c>
      <c r="Q41" s="33"/>
      <c r="R41" s="33"/>
      <c r="S41" s="34"/>
      <c r="T41" s="33"/>
      <c r="U41" s="33"/>
      <c r="V41" s="33"/>
      <c r="W41" s="33"/>
      <c r="X41" s="33"/>
      <c r="Y41" s="33"/>
      <c r="Z41" s="33"/>
      <c r="AA41" s="33"/>
      <c r="AB41" s="34"/>
      <c r="AC41" s="33"/>
      <c r="AD41" s="33"/>
    </row>
    <row r="42" spans="2:30">
      <c r="B42" s="7"/>
      <c r="C42" s="1"/>
      <c r="D42" s="1"/>
      <c r="E42" s="1"/>
      <c r="F42" s="1"/>
      <c r="G42" s="1"/>
      <c r="H42" s="1"/>
      <c r="J42" s="32">
        <v>41671</v>
      </c>
      <c r="K42" s="42">
        <v>148310.78571428571</v>
      </c>
      <c r="L42" s="42">
        <v>9568.3182935607092</v>
      </c>
      <c r="M42" s="42">
        <v>122630.65985663084</v>
      </c>
      <c r="N42" s="42">
        <v>132198.97815019154</v>
      </c>
      <c r="O42" s="42">
        <v>113062.34156307013</v>
      </c>
      <c r="P42" s="42">
        <v>19136.636587121408</v>
      </c>
      <c r="Q42" s="33"/>
      <c r="R42" s="33"/>
      <c r="S42" s="34"/>
      <c r="T42" s="33"/>
      <c r="U42" s="33"/>
      <c r="V42" s="33"/>
      <c r="W42" s="33"/>
      <c r="X42" s="33"/>
      <c r="Y42" s="33"/>
      <c r="Z42" s="33"/>
      <c r="AA42" s="33"/>
      <c r="AB42" s="34"/>
      <c r="AC42" s="33"/>
      <c r="AD42" s="33"/>
    </row>
    <row r="43" spans="2:30" ht="14.25" customHeight="1">
      <c r="B43" s="7"/>
      <c r="C43" s="1"/>
      <c r="D43" s="1"/>
      <c r="E43" s="1"/>
      <c r="F43" s="1"/>
      <c r="G43" s="1"/>
      <c r="H43" s="29"/>
      <c r="J43" s="32">
        <v>41699</v>
      </c>
      <c r="K43" s="42">
        <v>144024.06451612903</v>
      </c>
      <c r="L43" s="42">
        <v>14263.646389460577</v>
      </c>
      <c r="M43" s="42">
        <v>125928.77467997953</v>
      </c>
      <c r="N43" s="42">
        <v>140192.42106944011</v>
      </c>
      <c r="O43" s="42">
        <v>111665.12829051894</v>
      </c>
      <c r="P43" s="42">
        <v>28527.292778921168</v>
      </c>
      <c r="Q43" s="33"/>
      <c r="R43" s="33"/>
      <c r="S43" s="34"/>
      <c r="T43" s="33"/>
      <c r="U43" s="33"/>
      <c r="V43" s="33"/>
      <c r="W43" s="33"/>
      <c r="X43" s="33"/>
      <c r="Y43" s="33"/>
      <c r="Z43" s="33"/>
      <c r="AA43" s="33"/>
      <c r="AB43" s="34"/>
      <c r="AC43" s="33"/>
      <c r="AD43" s="33"/>
    </row>
    <row r="44" spans="2:30" ht="14.25" customHeight="1">
      <c r="B44" s="7"/>
      <c r="C44" s="1"/>
      <c r="D44" s="1"/>
      <c r="E44" s="1"/>
      <c r="F44" s="1"/>
      <c r="G44" s="1"/>
      <c r="H44" s="29"/>
      <c r="J44" s="32">
        <v>41730</v>
      </c>
      <c r="K44" s="42">
        <v>129890.06666666667</v>
      </c>
      <c r="L44" s="42">
        <v>16098.937828460093</v>
      </c>
      <c r="M44" s="42">
        <v>128293.34654377878</v>
      </c>
      <c r="N44" s="42">
        <v>144392.28437223888</v>
      </c>
      <c r="O44" s="42">
        <v>112194.40871531868</v>
      </c>
      <c r="P44" s="42">
        <v>32197.875656920194</v>
      </c>
      <c r="Q44" s="33"/>
      <c r="R44" s="33"/>
      <c r="S44" s="34"/>
      <c r="T44" s="33"/>
      <c r="U44" s="33"/>
      <c r="V44" s="33"/>
      <c r="W44" s="33"/>
      <c r="X44" s="33"/>
      <c r="Y44" s="33"/>
      <c r="Z44" s="33"/>
      <c r="AA44" s="33"/>
      <c r="AB44" s="34"/>
      <c r="AC44" s="33"/>
      <c r="AD44" s="33"/>
    </row>
    <row r="45" spans="2:30">
      <c r="B45" s="7"/>
      <c r="C45" s="1"/>
      <c r="D45" s="1"/>
      <c r="E45" s="1"/>
      <c r="F45" s="1"/>
      <c r="G45" s="1"/>
      <c r="H45" s="27"/>
      <c r="J45" s="32">
        <v>41760</v>
      </c>
      <c r="K45" s="42">
        <v>112476.94736842105</v>
      </c>
      <c r="L45" s="42">
        <v>15184.842442247069</v>
      </c>
      <c r="M45" s="42">
        <v>130380.57808499744</v>
      </c>
      <c r="N45" s="42">
        <v>145565.42052724451</v>
      </c>
      <c r="O45" s="42">
        <v>115195.73564275037</v>
      </c>
      <c r="P45" s="42">
        <v>30369.684884494141</v>
      </c>
      <c r="Q45" s="33"/>
      <c r="R45" s="33"/>
      <c r="S45" s="34"/>
      <c r="T45" s="33"/>
      <c r="U45" s="33"/>
      <c r="V45" s="33"/>
      <c r="W45" s="33"/>
      <c r="X45" s="33"/>
      <c r="Y45" s="33"/>
      <c r="Z45" s="33"/>
      <c r="AA45" s="33"/>
      <c r="AB45" s="34"/>
      <c r="AC45" s="33"/>
      <c r="AD45" s="33"/>
    </row>
    <row r="46" spans="2:30">
      <c r="C46" s="8"/>
      <c r="D46" s="8"/>
      <c r="E46" s="8"/>
      <c r="F46" s="8"/>
      <c r="G46" s="8"/>
      <c r="H46" s="23"/>
      <c r="J46" s="32">
        <v>41791</v>
      </c>
      <c r="K46" s="42">
        <v>122112.73913043478</v>
      </c>
      <c r="L46" s="42">
        <v>16301.849938937905</v>
      </c>
      <c r="M46" s="42">
        <v>126948.98141833079</v>
      </c>
      <c r="N46" s="42">
        <v>143250.8313572687</v>
      </c>
      <c r="O46" s="42">
        <v>110647.13147939289</v>
      </c>
      <c r="P46" s="42">
        <v>32603.699877875813</v>
      </c>
      <c r="Q46" s="33"/>
      <c r="R46" s="33"/>
      <c r="S46" s="34"/>
      <c r="T46" s="33"/>
      <c r="U46" s="33"/>
      <c r="V46" s="33"/>
      <c r="W46" s="33"/>
      <c r="X46" s="33"/>
      <c r="Y46" s="33"/>
      <c r="Z46" s="33"/>
      <c r="AA46" s="33"/>
      <c r="AB46" s="34"/>
      <c r="AC46" s="33"/>
      <c r="AD46" s="33"/>
    </row>
    <row r="47" spans="2:30">
      <c r="B47" s="19" t="s">
        <v>7</v>
      </c>
      <c r="C47" s="10"/>
      <c r="D47" s="10"/>
      <c r="E47" s="10"/>
      <c r="F47" s="10"/>
      <c r="G47" s="10"/>
      <c r="H47" s="28"/>
      <c r="J47" s="32">
        <v>41821</v>
      </c>
      <c r="K47" s="42">
        <v>96379.193548387091</v>
      </c>
      <c r="L47" s="42">
        <v>14299.32648817416</v>
      </c>
      <c r="M47" s="42">
        <v>129752.50460829494</v>
      </c>
      <c r="N47" s="42">
        <v>144051.8310964691</v>
      </c>
      <c r="O47" s="42">
        <v>115453.17812012078</v>
      </c>
      <c r="P47" s="42">
        <v>28598.652976348327</v>
      </c>
      <c r="Q47" s="33"/>
      <c r="R47" s="33"/>
      <c r="S47" s="34"/>
      <c r="T47" s="33"/>
      <c r="U47" s="33"/>
      <c r="V47" s="33"/>
      <c r="W47" s="33"/>
      <c r="X47" s="33"/>
      <c r="Y47" s="33"/>
      <c r="Z47" s="33"/>
      <c r="AA47" s="33"/>
      <c r="AB47" s="34"/>
      <c r="AC47" s="33"/>
      <c r="AD47" s="33"/>
    </row>
    <row r="48" spans="2:30">
      <c r="B48" s="5" t="s">
        <v>15</v>
      </c>
      <c r="G48" s="8"/>
      <c r="H48" s="8"/>
      <c r="J48" s="32">
        <v>41852</v>
      </c>
      <c r="K48" s="42">
        <v>96027.161290322576</v>
      </c>
      <c r="L48" s="42">
        <v>19019.853777466931</v>
      </c>
      <c r="M48" s="42">
        <v>126986.35407066054</v>
      </c>
      <c r="N48" s="42">
        <v>146006.20784812747</v>
      </c>
      <c r="O48" s="42">
        <v>107966.50029319362</v>
      </c>
      <c r="P48" s="42">
        <v>38039.707554933848</v>
      </c>
      <c r="Q48" s="33"/>
      <c r="R48" s="33"/>
      <c r="S48" s="34"/>
      <c r="T48" s="33"/>
      <c r="U48" s="33"/>
      <c r="V48" s="33"/>
      <c r="W48" s="33"/>
      <c r="X48" s="33"/>
      <c r="Y48" s="33"/>
      <c r="Z48" s="33"/>
      <c r="AA48" s="33"/>
      <c r="AB48" s="34"/>
      <c r="AC48" s="33"/>
      <c r="AD48" s="33"/>
    </row>
    <row r="49" spans="2:30">
      <c r="B49" s="2" t="s">
        <v>5</v>
      </c>
      <c r="C49" s="8"/>
      <c r="D49" s="6" t="s">
        <v>9</v>
      </c>
      <c r="H49" s="8"/>
      <c r="J49" s="32">
        <v>41883</v>
      </c>
      <c r="K49" s="42">
        <v>107977.43333333333</v>
      </c>
      <c r="L49" s="42">
        <v>19271.316461432052</v>
      </c>
      <c r="M49" s="42">
        <v>118272.41666666664</v>
      </c>
      <c r="N49" s="42">
        <v>137543.73312809868</v>
      </c>
      <c r="O49" s="42">
        <v>99001.100205234587</v>
      </c>
      <c r="P49" s="42">
        <v>38542.632922864097</v>
      </c>
      <c r="Q49" s="33"/>
      <c r="R49" s="33"/>
      <c r="S49" s="34"/>
      <c r="T49" s="33"/>
      <c r="U49" s="33"/>
      <c r="V49" s="33"/>
      <c r="W49" s="33"/>
      <c r="X49" s="33"/>
      <c r="Y49" s="33"/>
      <c r="Z49" s="33"/>
      <c r="AA49" s="33"/>
      <c r="AB49" s="34"/>
      <c r="AC49" s="33"/>
      <c r="AD49" s="33"/>
    </row>
    <row r="50" spans="2:30">
      <c r="B50" s="2" t="s">
        <v>6</v>
      </c>
      <c r="C50" s="9"/>
      <c r="D50" s="2" t="s">
        <v>10</v>
      </c>
      <c r="H50" s="8"/>
      <c r="J50" s="32">
        <v>41913</v>
      </c>
      <c r="K50" s="42">
        <v>84809.06451612903</v>
      </c>
      <c r="L50" s="42">
        <v>14718.679078296656</v>
      </c>
      <c r="M50" s="42">
        <v>112264.64480286738</v>
      </c>
      <c r="N50" s="42">
        <v>126983.32388116403</v>
      </c>
      <c r="O50" s="42">
        <v>97545.96572457072</v>
      </c>
      <c r="P50" s="42">
        <v>29437.358156593313</v>
      </c>
      <c r="Q50" s="33"/>
      <c r="R50" s="33"/>
      <c r="S50" s="34"/>
      <c r="T50" s="33"/>
      <c r="U50" s="33"/>
      <c r="V50" s="33"/>
      <c r="W50" s="33"/>
      <c r="X50" s="33"/>
      <c r="Y50" s="33"/>
      <c r="Z50" s="33"/>
      <c r="AA50" s="33"/>
      <c r="AB50" s="34"/>
      <c r="AC50" s="33"/>
      <c r="AD50" s="33"/>
    </row>
    <row r="51" spans="2:30">
      <c r="C51" s="9"/>
      <c r="D51" s="2" t="s">
        <v>11</v>
      </c>
      <c r="J51" s="32">
        <v>41944</v>
      </c>
      <c r="K51" s="42">
        <v>95496.8</v>
      </c>
      <c r="L51" s="42">
        <v>15411.909915633125</v>
      </c>
      <c r="M51" s="42">
        <v>104751.14444444445</v>
      </c>
      <c r="N51" s="42">
        <v>120163.05436007757</v>
      </c>
      <c r="O51" s="42">
        <v>89339.234528811328</v>
      </c>
      <c r="P51" s="42">
        <v>30823.819831266243</v>
      </c>
      <c r="Q51" s="33"/>
      <c r="R51" s="33"/>
      <c r="S51" s="34"/>
      <c r="T51" s="33"/>
      <c r="U51" s="33"/>
      <c r="V51" s="33"/>
      <c r="W51" s="33"/>
      <c r="X51" s="33"/>
      <c r="Y51" s="33"/>
      <c r="Z51" s="33"/>
      <c r="AA51" s="33"/>
      <c r="AB51" s="34"/>
      <c r="AC51" s="33"/>
      <c r="AD51" s="33"/>
    </row>
    <row r="52" spans="2:30">
      <c r="C52" s="9"/>
      <c r="D52" s="8"/>
      <c r="G52" s="21" t="s">
        <v>12</v>
      </c>
      <c r="J52" s="32">
        <f t="shared" ref="J52:J75" si="0">EOMONTH(J51,0)+1</f>
        <v>41974</v>
      </c>
      <c r="K52" s="42">
        <v>91050.225806451606</v>
      </c>
      <c r="L52" s="42">
        <v>14653.912977872289</v>
      </c>
      <c r="M52" s="42">
        <v>101317.01433691756</v>
      </c>
      <c r="N52" s="42">
        <v>115970.92731478985</v>
      </c>
      <c r="O52" s="42">
        <v>86663.101359045279</v>
      </c>
      <c r="P52" s="42">
        <v>29307.825955744571</v>
      </c>
      <c r="Q52" s="33"/>
      <c r="R52" s="33"/>
      <c r="S52" s="34"/>
      <c r="T52" s="33"/>
      <c r="U52" s="33"/>
      <c r="V52" s="33"/>
      <c r="W52" s="33"/>
      <c r="X52" s="33"/>
      <c r="Y52" s="33"/>
      <c r="Z52" s="33"/>
      <c r="AA52" s="33"/>
      <c r="AB52" s="34"/>
      <c r="AC52" s="33"/>
      <c r="AD52" s="33"/>
    </row>
    <row r="53" spans="2:30">
      <c r="B53" s="8"/>
      <c r="C53" s="8"/>
      <c r="D53" s="8"/>
      <c r="E53" s="8"/>
      <c r="F53" s="8"/>
      <c r="G53" s="20" t="s">
        <v>17</v>
      </c>
      <c r="H53" s="8"/>
      <c r="J53" s="32">
        <f t="shared" si="0"/>
        <v>42005</v>
      </c>
      <c r="K53" s="42">
        <v>101525</v>
      </c>
      <c r="L53" s="42">
        <v>7623.2430632698552</v>
      </c>
      <c r="M53" s="42">
        <v>95289.979749103935</v>
      </c>
      <c r="N53" s="42">
        <v>102913.22281237379</v>
      </c>
      <c r="O53" s="42">
        <v>87666.736685834083</v>
      </c>
      <c r="P53" s="42">
        <v>15246.486126539705</v>
      </c>
      <c r="Q53" s="33"/>
      <c r="R53" s="33"/>
      <c r="S53" s="34"/>
      <c r="T53" s="33"/>
      <c r="U53" s="33"/>
      <c r="V53" s="33"/>
      <c r="W53" s="33"/>
      <c r="X53" s="33"/>
      <c r="Y53" s="33"/>
      <c r="Z53" s="33"/>
      <c r="AA53" s="33"/>
      <c r="AB53" s="34"/>
      <c r="AC53" s="33"/>
      <c r="AD53" s="33"/>
    </row>
    <row r="54" spans="2:30">
      <c r="B54" s="10"/>
      <c r="C54" s="10"/>
      <c r="D54" s="10"/>
      <c r="E54" s="10"/>
      <c r="F54" s="8"/>
      <c r="G54" s="20" t="s">
        <v>1</v>
      </c>
      <c r="H54" s="8"/>
      <c r="J54" s="32">
        <f t="shared" si="0"/>
        <v>42036</v>
      </c>
      <c r="K54" s="42">
        <v>64147.928571428572</v>
      </c>
      <c r="L54" s="42">
        <v>8047.9195344397522</v>
      </c>
      <c r="M54" s="42">
        <v>96147.614157706092</v>
      </c>
      <c r="N54" s="42">
        <v>104195.53369214584</v>
      </c>
      <c r="O54" s="42">
        <v>88099.694623266347</v>
      </c>
      <c r="P54" s="42">
        <v>16095.83906887949</v>
      </c>
      <c r="Q54" s="33"/>
      <c r="R54" s="33"/>
      <c r="S54" s="34"/>
      <c r="T54" s="33"/>
      <c r="U54" s="33"/>
      <c r="V54" s="33"/>
      <c r="W54" s="33"/>
      <c r="X54" s="33"/>
      <c r="Y54" s="33"/>
      <c r="Z54" s="33"/>
      <c r="AA54" s="33"/>
      <c r="AB54" s="34"/>
      <c r="AC54" s="33"/>
      <c r="AD54" s="33"/>
    </row>
    <row r="55" spans="2:30">
      <c r="B55" s="5" t="s">
        <v>16</v>
      </c>
      <c r="G55" s="20" t="s">
        <v>18</v>
      </c>
      <c r="J55" s="32">
        <f t="shared" si="0"/>
        <v>42064</v>
      </c>
      <c r="K55" s="42">
        <v>114699.06451612903</v>
      </c>
      <c r="L55" s="42">
        <v>15352.065006162604</v>
      </c>
      <c r="M55" s="42">
        <v>90834.408704557092</v>
      </c>
      <c r="N55" s="42">
        <v>106186.4737107197</v>
      </c>
      <c r="O55" s="42">
        <v>75482.343698394485</v>
      </c>
      <c r="P55" s="42">
        <v>30704.130012325215</v>
      </c>
      <c r="Q55" s="33"/>
      <c r="R55" s="33"/>
      <c r="S55" s="34"/>
      <c r="T55" s="33"/>
      <c r="U55" s="33"/>
      <c r="V55" s="33"/>
      <c r="W55" s="33"/>
      <c r="X55" s="33"/>
      <c r="Y55" s="33"/>
      <c r="Z55" s="33"/>
      <c r="AA55" s="33"/>
      <c r="AB55" s="34"/>
      <c r="AC55" s="33"/>
      <c r="AD55" s="33"/>
    </row>
    <row r="56" spans="2:30">
      <c r="G56" s="23" t="s">
        <v>19</v>
      </c>
      <c r="J56" s="32">
        <f t="shared" si="0"/>
        <v>42095</v>
      </c>
      <c r="K56" s="42">
        <v>81154.833333333328</v>
      </c>
      <c r="L56" s="42">
        <v>17009.044353262481</v>
      </c>
      <c r="M56" s="42">
        <v>91954.680568356373</v>
      </c>
      <c r="N56" s="42">
        <v>108963.72492161885</v>
      </c>
      <c r="O56" s="42">
        <v>74945.636215093895</v>
      </c>
      <c r="P56" s="42">
        <v>34018.088706524955</v>
      </c>
      <c r="Q56" s="33"/>
      <c r="R56" s="33"/>
      <c r="S56" s="34"/>
      <c r="T56" s="33"/>
      <c r="U56" s="33"/>
      <c r="V56" s="33"/>
      <c r="W56" s="33"/>
      <c r="X56" s="33"/>
      <c r="Y56" s="33"/>
      <c r="Z56" s="33"/>
      <c r="AA56" s="33"/>
      <c r="AB56" s="34"/>
      <c r="AC56" s="33"/>
      <c r="AD56" s="33"/>
    </row>
    <row r="57" spans="2:30">
      <c r="J57" s="32">
        <f t="shared" si="0"/>
        <v>42125</v>
      </c>
      <c r="K57" s="42">
        <v>83027.290322580651</v>
      </c>
      <c r="L57" s="42">
        <v>17377.509907928001</v>
      </c>
      <c r="M57" s="42">
        <v>91345.642037890429</v>
      </c>
      <c r="N57" s="42">
        <v>108723.15194581843</v>
      </c>
      <c r="O57" s="42">
        <v>73968.132129962425</v>
      </c>
      <c r="P57" s="42">
        <v>34755.019815856009</v>
      </c>
      <c r="Q57" s="33"/>
      <c r="R57" s="33"/>
      <c r="S57" s="34"/>
      <c r="T57" s="33"/>
      <c r="U57" s="33"/>
      <c r="V57" s="33"/>
      <c r="W57" s="33"/>
      <c r="X57" s="33"/>
      <c r="Y57" s="33"/>
      <c r="Z57" s="33"/>
      <c r="AA57" s="33"/>
      <c r="AB57" s="34"/>
      <c r="AC57" s="33"/>
      <c r="AD57" s="33"/>
    </row>
    <row r="58" spans="2:30">
      <c r="J58" s="32">
        <f t="shared" si="0"/>
        <v>42156</v>
      </c>
      <c r="K58" s="42">
        <v>63647.966666666667</v>
      </c>
      <c r="L58" s="42">
        <v>17526.764317663885</v>
      </c>
      <c r="M58" s="42">
        <v>89267.390424987199</v>
      </c>
      <c r="N58" s="42">
        <v>106794.15474265108</v>
      </c>
      <c r="O58" s="42">
        <v>71740.626107323318</v>
      </c>
      <c r="P58" s="42">
        <v>35053.528635327762</v>
      </c>
      <c r="Q58" s="33"/>
      <c r="R58" s="33"/>
      <c r="S58" s="34"/>
      <c r="T58" s="33"/>
      <c r="U58" s="33"/>
      <c r="V58" s="33"/>
      <c r="W58" s="33"/>
      <c r="X58" s="33"/>
      <c r="Y58" s="33"/>
      <c r="Z58" s="33"/>
      <c r="AA58" s="33"/>
      <c r="AB58" s="34"/>
      <c r="AC58" s="33"/>
      <c r="AD58" s="33"/>
    </row>
    <row r="59" spans="2:30">
      <c r="B59" s="8"/>
      <c r="C59" s="8"/>
      <c r="D59" s="8"/>
      <c r="E59" s="8"/>
      <c r="F59" s="8"/>
      <c r="G59" s="8"/>
      <c r="H59" s="8"/>
      <c r="J59" s="32">
        <f t="shared" si="0"/>
        <v>42186</v>
      </c>
      <c r="K59" s="42">
        <v>56212.290322580644</v>
      </c>
      <c r="L59" s="42">
        <v>20317.314822346434</v>
      </c>
      <c r="M59" s="42">
        <v>84700.347235023044</v>
      </c>
      <c r="N59" s="42">
        <v>105017.66205736948</v>
      </c>
      <c r="O59" s="42">
        <v>64383.032412676606</v>
      </c>
      <c r="P59" s="42">
        <v>40634.629644692875</v>
      </c>
      <c r="Q59" s="33"/>
      <c r="R59" s="33"/>
      <c r="S59" s="34"/>
      <c r="T59" s="33"/>
      <c r="U59" s="33"/>
      <c r="V59" s="33"/>
      <c r="W59" s="33"/>
      <c r="X59" s="33"/>
      <c r="Y59" s="33"/>
      <c r="Z59" s="33"/>
      <c r="AA59" s="33"/>
      <c r="AB59" s="34"/>
      <c r="AC59" s="33"/>
      <c r="AD59" s="33"/>
    </row>
    <row r="60" spans="2:30">
      <c r="B60" s="10"/>
      <c r="C60" s="10"/>
      <c r="D60" s="10"/>
      <c r="E60" s="10"/>
      <c r="F60" s="10"/>
      <c r="G60" s="10"/>
      <c r="H60" s="10"/>
      <c r="J60" s="32">
        <f t="shared" si="0"/>
        <v>42217</v>
      </c>
      <c r="K60" s="42">
        <v>64476.258064516129</v>
      </c>
      <c r="L60" s="42">
        <v>21214.428631874682</v>
      </c>
      <c r="M60" s="42">
        <v>77148.22895545316</v>
      </c>
      <c r="N60" s="42">
        <v>98362.657587327849</v>
      </c>
      <c r="O60" s="42">
        <v>55933.800323578478</v>
      </c>
      <c r="P60" s="42">
        <v>42428.857263749371</v>
      </c>
      <c r="Q60" s="33"/>
      <c r="R60" s="33"/>
      <c r="S60" s="34"/>
      <c r="T60" s="33"/>
      <c r="U60" s="33"/>
      <c r="V60" s="33"/>
      <c r="W60" s="33"/>
      <c r="X60" s="33"/>
      <c r="Y60" s="33"/>
      <c r="Z60" s="33"/>
      <c r="AA60" s="33"/>
      <c r="AB60" s="34"/>
      <c r="AC60" s="33"/>
      <c r="AD60" s="33"/>
    </row>
    <row r="61" spans="2:30">
      <c r="J61" s="32">
        <f t="shared" si="0"/>
        <v>42248</v>
      </c>
      <c r="K61" s="42">
        <v>65675.03333333334</v>
      </c>
      <c r="L61" s="42">
        <v>21174.574283139962</v>
      </c>
      <c r="M61" s="42">
        <v>77202.950537634417</v>
      </c>
      <c r="N61" s="42">
        <v>98377.524820774386</v>
      </c>
      <c r="O61" s="42">
        <v>56028.376254494455</v>
      </c>
      <c r="P61" s="42">
        <v>42349.148566279931</v>
      </c>
      <c r="Q61" s="33"/>
      <c r="R61" s="33"/>
      <c r="S61" s="34"/>
      <c r="T61" s="33"/>
      <c r="U61" s="33"/>
      <c r="V61" s="33"/>
      <c r="W61" s="33"/>
      <c r="X61" s="33"/>
      <c r="Y61" s="33"/>
      <c r="Z61" s="33"/>
      <c r="AA61" s="33"/>
      <c r="AB61" s="34"/>
      <c r="AC61" s="33"/>
      <c r="AD61" s="33"/>
    </row>
    <row r="62" spans="2:30">
      <c r="J62" s="32">
        <f t="shared" si="0"/>
        <v>42278</v>
      </c>
      <c r="K62" s="42">
        <v>61837.612903225803</v>
      </c>
      <c r="L62" s="42">
        <v>10660.093993082321</v>
      </c>
      <c r="M62" s="42">
        <v>69032.278673835128</v>
      </c>
      <c r="N62" s="42">
        <v>79692.37266691745</v>
      </c>
      <c r="O62" s="42">
        <v>58372.184680752805</v>
      </c>
      <c r="P62" s="42">
        <v>21320.187986164645</v>
      </c>
      <c r="Q62" s="33"/>
      <c r="R62" s="33"/>
      <c r="S62" s="34"/>
      <c r="T62" s="33"/>
      <c r="U62" s="33"/>
      <c r="V62" s="33"/>
      <c r="W62" s="33"/>
      <c r="X62" s="33"/>
      <c r="Y62" s="33"/>
      <c r="Z62" s="33"/>
      <c r="AA62" s="33"/>
      <c r="AB62" s="34"/>
      <c r="AC62" s="33"/>
      <c r="AD62" s="33"/>
    </row>
    <row r="63" spans="2:30">
      <c r="J63" s="32">
        <f t="shared" si="0"/>
        <v>42309</v>
      </c>
      <c r="K63" s="42">
        <v>63012.033333333333</v>
      </c>
      <c r="L63" s="42">
        <v>9064.2418649045394</v>
      </c>
      <c r="M63" s="42">
        <v>65812.741935483864</v>
      </c>
      <c r="N63" s="42">
        <v>74876.983800388407</v>
      </c>
      <c r="O63" s="42">
        <v>56748.500070579321</v>
      </c>
      <c r="P63" s="42">
        <v>18128.483729809086</v>
      </c>
      <c r="Q63" s="33"/>
      <c r="R63" s="33"/>
      <c r="S63" s="34"/>
      <c r="T63" s="33"/>
      <c r="U63" s="33"/>
      <c r="V63" s="33"/>
      <c r="W63" s="33"/>
      <c r="X63" s="33"/>
      <c r="Y63" s="33"/>
      <c r="Z63" s="33"/>
      <c r="AA63" s="33"/>
      <c r="AB63" s="34"/>
      <c r="AC63" s="33"/>
      <c r="AD63" s="33"/>
    </row>
    <row r="64" spans="2:30">
      <c r="C64" s="11" t="s">
        <v>13</v>
      </c>
      <c r="D64" s="12"/>
      <c r="E64" s="13"/>
      <c r="J64" s="32">
        <f t="shared" si="0"/>
        <v>42339</v>
      </c>
      <c r="K64" s="42">
        <v>60224.451612903227</v>
      </c>
      <c r="L64" s="42">
        <v>3332.7849227225583</v>
      </c>
      <c r="M64" s="42">
        <v>62476.865770609322</v>
      </c>
      <c r="N64" s="42">
        <v>65809.650693331874</v>
      </c>
      <c r="O64" s="42">
        <v>59144.080847886762</v>
      </c>
      <c r="P64" s="42">
        <v>6665.5698454451122</v>
      </c>
      <c r="Q64" s="33"/>
      <c r="R64" s="33"/>
      <c r="S64" s="34"/>
      <c r="T64" s="33"/>
      <c r="U64" s="33"/>
      <c r="V64" s="33"/>
      <c r="W64" s="33"/>
      <c r="X64" s="33"/>
      <c r="Y64" s="33"/>
      <c r="Z64" s="33"/>
      <c r="AA64" s="33"/>
      <c r="AB64" s="34"/>
      <c r="AC64" s="33"/>
      <c r="AD64" s="33"/>
    </row>
    <row r="65" spans="3:30">
      <c r="C65" s="14" t="str">
        <f>IF(G4="","Source: "&amp; G7,"Notes: " &amp; G4 &amp; CHAR(10) &amp; "Source: "&amp;G7)</f>
        <v>Source:  IHS Energy</v>
      </c>
      <c r="D65" s="8"/>
      <c r="E65" s="15"/>
      <c r="J65" s="32">
        <f t="shared" si="0"/>
        <v>42370</v>
      </c>
      <c r="K65" s="42">
        <v>56784.741935483871</v>
      </c>
      <c r="L65" s="42">
        <v>3384.8414944917313</v>
      </c>
      <c r="M65" s="42">
        <v>61906.279928315409</v>
      </c>
      <c r="N65" s="42">
        <v>65291.12142280714</v>
      </c>
      <c r="O65" s="42">
        <v>58521.438433823678</v>
      </c>
      <c r="P65" s="42">
        <v>6769.6829889834626</v>
      </c>
      <c r="Q65" s="33"/>
      <c r="R65" s="33"/>
      <c r="S65" s="34"/>
      <c r="T65" s="33"/>
      <c r="U65" s="33"/>
      <c r="V65" s="33"/>
      <c r="W65" s="33"/>
      <c r="X65" s="33"/>
      <c r="Y65" s="33"/>
      <c r="Z65" s="33"/>
      <c r="AA65" s="33"/>
      <c r="AB65" s="34"/>
      <c r="AC65" s="33"/>
      <c r="AD65" s="33"/>
    </row>
    <row r="66" spans="3:30">
      <c r="C66" s="16" t="str">
        <f ca="1">CHAR(169) &amp;" "&amp;YEAR(TODAY())&amp;G7</f>
        <v>© 2022 IHS Energy</v>
      </c>
      <c r="D66" s="17"/>
      <c r="E66" s="18"/>
      <c r="J66" s="32">
        <f t="shared" si="0"/>
        <v>42401</v>
      </c>
      <c r="K66" s="42">
        <v>61701.448275862072</v>
      </c>
      <c r="L66" s="42">
        <v>3194.9890981904937</v>
      </c>
      <c r="M66" s="42">
        <v>62001.688530465944</v>
      </c>
      <c r="N66" s="42">
        <v>65196.677628656442</v>
      </c>
      <c r="O66" s="42">
        <v>58806.699432275447</v>
      </c>
      <c r="P66" s="42">
        <v>6389.9781963809946</v>
      </c>
    </row>
    <row r="67" spans="3:30">
      <c r="J67" s="32">
        <f t="shared" si="0"/>
        <v>42430</v>
      </c>
      <c r="K67" s="42">
        <v>52409.741935483871</v>
      </c>
      <c r="L67" s="42">
        <v>2957.1325624287033</v>
      </c>
      <c r="M67" s="42">
        <v>61539.220232356944</v>
      </c>
      <c r="N67" s="42">
        <v>64496.352794785649</v>
      </c>
      <c r="O67" s="42">
        <v>58582.087669928238</v>
      </c>
      <c r="P67" s="42">
        <v>5914.2651248574111</v>
      </c>
    </row>
    <row r="68" spans="3:30">
      <c r="J68" s="32">
        <f t="shared" si="0"/>
        <v>42461</v>
      </c>
      <c r="K68" s="42">
        <v>51018.5</v>
      </c>
      <c r="L68" s="42">
        <v>4015.9082728760777</v>
      </c>
      <c r="M68" s="42">
        <v>59328.338332715364</v>
      </c>
      <c r="N68" s="42">
        <v>63344.246605591441</v>
      </c>
      <c r="O68" s="42">
        <v>55312.430059839287</v>
      </c>
      <c r="P68" s="42">
        <v>8031.8165457521536</v>
      </c>
    </row>
    <row r="69" spans="3:30">
      <c r="J69" s="32">
        <f t="shared" si="0"/>
        <v>42491</v>
      </c>
      <c r="K69" s="42">
        <v>59281.322580645159</v>
      </c>
      <c r="L69" s="42">
        <v>4977.6637731162609</v>
      </c>
      <c r="M69" s="42">
        <v>57525.152848844395</v>
      </c>
      <c r="N69" s="42">
        <v>62502.816621960657</v>
      </c>
      <c r="O69" s="42">
        <v>52547.489075728132</v>
      </c>
      <c r="P69" s="42">
        <v>9955.3275462325255</v>
      </c>
    </row>
    <row r="70" spans="3:30">
      <c r="J70" s="32">
        <f t="shared" si="0"/>
        <v>42522</v>
      </c>
      <c r="K70" s="42">
        <v>70808.133333333331</v>
      </c>
      <c r="L70" s="42">
        <v>4348.4309219171719</v>
      </c>
      <c r="M70" s="42">
        <v>56903.367723396368</v>
      </c>
      <c r="N70" s="42">
        <v>61251.798645313538</v>
      </c>
      <c r="O70" s="42">
        <v>52554.936801479198</v>
      </c>
      <c r="P70" s="42">
        <v>8696.8618438343401</v>
      </c>
    </row>
    <row r="71" spans="3:30">
      <c r="J71" s="32">
        <f t="shared" si="0"/>
        <v>42552</v>
      </c>
      <c r="K71" s="42">
        <v>58175.483870967742</v>
      </c>
      <c r="L71" s="42">
        <v>7185.9322673263459</v>
      </c>
      <c r="M71" s="42">
        <v>58667.314676801383</v>
      </c>
      <c r="N71" s="42">
        <v>65853.246944127735</v>
      </c>
      <c r="O71" s="42">
        <v>51481.382409475038</v>
      </c>
      <c r="P71" s="42">
        <v>14371.864534652697</v>
      </c>
    </row>
    <row r="72" spans="3:30">
      <c r="J72" s="32">
        <f t="shared" si="0"/>
        <v>42583</v>
      </c>
      <c r="K72" s="42">
        <v>59531.032258064515</v>
      </c>
      <c r="L72" s="42">
        <v>7135.3145641432484</v>
      </c>
      <c r="M72" s="42">
        <v>58899.104999382027</v>
      </c>
      <c r="N72" s="42">
        <v>66034.419563525269</v>
      </c>
      <c r="O72" s="42">
        <v>51763.790435238778</v>
      </c>
      <c r="P72" s="42">
        <v>14270.629128286491</v>
      </c>
    </row>
    <row r="73" spans="3:30">
      <c r="J73" s="32">
        <f t="shared" si="0"/>
        <v>42614</v>
      </c>
      <c r="K73" s="42">
        <v>49398.6</v>
      </c>
      <c r="L73" s="42">
        <v>7018.8981507406106</v>
      </c>
      <c r="M73" s="42">
        <v>58537.368996415775</v>
      </c>
      <c r="N73" s="42">
        <v>65556.267147156381</v>
      </c>
      <c r="O73" s="42">
        <v>51518.470845675161</v>
      </c>
      <c r="P73" s="42">
        <v>14037.796301481219</v>
      </c>
    </row>
    <row r="74" spans="3:30">
      <c r="J74" s="32">
        <f t="shared" si="0"/>
        <v>42644</v>
      </c>
      <c r="K74" s="42">
        <v>55173.096774193546</v>
      </c>
      <c r="L74" s="42">
        <v>7626.0445710525164</v>
      </c>
      <c r="M74" s="42">
        <v>58035.512007168458</v>
      </c>
      <c r="N74" s="42">
        <v>65661.556578220974</v>
      </c>
      <c r="O74" s="42">
        <v>50409.467436115941</v>
      </c>
      <c r="P74" s="42">
        <v>15252.089142105033</v>
      </c>
    </row>
    <row r="75" spans="3:30">
      <c r="J75" s="32">
        <f t="shared" si="0"/>
        <v>42675</v>
      </c>
      <c r="K75" s="42">
        <v>64474.55</v>
      </c>
      <c r="L75" s="42">
        <v>7026.5348984583161</v>
      </c>
      <c r="M75" s="42">
        <v>58727.944802867387</v>
      </c>
      <c r="N75" s="42">
        <v>65754.479701325705</v>
      </c>
      <c r="O75" s="42">
        <v>51701.409904409069</v>
      </c>
      <c r="P75" s="42">
        <v>14053.069796916636</v>
      </c>
    </row>
    <row r="76" spans="3:30">
      <c r="K76" s="42"/>
      <c r="L76" s="42"/>
      <c r="M76" s="42"/>
      <c r="N76" s="42"/>
      <c r="O76" s="42"/>
      <c r="P76" s="42"/>
    </row>
    <row r="77" spans="3:30">
      <c r="K77" s="42"/>
      <c r="L77" s="42"/>
      <c r="M77" s="42"/>
      <c r="N77" s="42"/>
      <c r="O77" s="42"/>
      <c r="P77" s="42"/>
    </row>
    <row r="78" spans="3:30">
      <c r="K78" s="42"/>
      <c r="L78" s="42"/>
      <c r="M78" s="42"/>
      <c r="N78" s="42"/>
      <c r="O78" s="42"/>
      <c r="P78" s="42"/>
    </row>
    <row r="79" spans="3:30">
      <c r="K79" s="42"/>
      <c r="L79" s="42"/>
      <c r="M79" s="42"/>
      <c r="N79" s="42"/>
      <c r="O79" s="42"/>
      <c r="P79" s="42"/>
    </row>
    <row r="80" spans="3:30">
      <c r="K80" s="42"/>
      <c r="L80" s="42"/>
      <c r="M80" s="42"/>
      <c r="N80" s="42"/>
      <c r="O80" s="42"/>
      <c r="P80" s="42"/>
    </row>
    <row r="81" spans="11:16">
      <c r="K81" s="42"/>
      <c r="L81" s="42"/>
      <c r="M81" s="42"/>
      <c r="N81" s="42"/>
      <c r="O81" s="42"/>
      <c r="P81" s="42"/>
    </row>
    <row r="82" spans="11:16">
      <c r="K82" s="42"/>
      <c r="L82" s="42"/>
      <c r="M82" s="42"/>
      <c r="N82" s="42"/>
      <c r="O82" s="42"/>
      <c r="P82" s="42"/>
    </row>
    <row r="83" spans="11:16">
      <c r="K83" s="42"/>
      <c r="L83" s="42"/>
      <c r="M83" s="42"/>
      <c r="N83" s="42"/>
      <c r="O83" s="42"/>
      <c r="P83" s="42"/>
    </row>
    <row r="84" spans="11:16">
      <c r="K84" s="42"/>
      <c r="L84" s="42"/>
      <c r="M84" s="42"/>
      <c r="N84" s="42"/>
      <c r="O84" s="42"/>
      <c r="P84" s="42"/>
    </row>
    <row r="85" spans="11:16">
      <c r="K85" s="42"/>
      <c r="L85" s="42"/>
      <c r="M85" s="42"/>
      <c r="N85" s="42"/>
      <c r="O85" s="42"/>
      <c r="P85" s="42"/>
    </row>
    <row r="86" spans="11:16">
      <c r="K86" s="42"/>
      <c r="L86" s="42"/>
      <c r="M86" s="42"/>
      <c r="N86" s="42"/>
      <c r="O86" s="42"/>
      <c r="P86" s="42"/>
    </row>
    <row r="87" spans="11:16">
      <c r="K87" s="42"/>
      <c r="L87" s="42"/>
      <c r="M87" s="42"/>
      <c r="N87" s="42"/>
      <c r="O87" s="42"/>
      <c r="P87" s="42"/>
    </row>
    <row r="88" spans="11:16">
      <c r="K88" s="42"/>
      <c r="L88" s="42"/>
      <c r="M88" s="42"/>
      <c r="N88" s="42"/>
      <c r="O88" s="42"/>
      <c r="P88" s="42"/>
    </row>
    <row r="89" spans="11:16">
      <c r="K89" s="42"/>
      <c r="L89" s="42"/>
      <c r="M89" s="42"/>
      <c r="N89" s="42"/>
      <c r="O89" s="42"/>
      <c r="P89" s="42"/>
    </row>
    <row r="90" spans="11:16">
      <c r="K90" s="42"/>
      <c r="L90" s="42"/>
      <c r="M90" s="42"/>
      <c r="N90" s="42"/>
      <c r="O90" s="42"/>
      <c r="P90" s="42"/>
    </row>
    <row r="91" spans="11:16">
      <c r="K91" s="42"/>
      <c r="L91" s="42"/>
      <c r="M91" s="42"/>
      <c r="N91" s="42"/>
      <c r="O91" s="42"/>
      <c r="P91" s="42"/>
    </row>
    <row r="92" spans="11:16">
      <c r="K92" s="42"/>
      <c r="L92" s="42"/>
      <c r="M92" s="42"/>
      <c r="N92" s="42"/>
      <c r="O92" s="42"/>
      <c r="P92" s="42"/>
    </row>
    <row r="93" spans="11:16">
      <c r="K93" s="42"/>
      <c r="L93" s="42"/>
      <c r="M93" s="42"/>
      <c r="N93" s="42"/>
      <c r="O93" s="42"/>
      <c r="P93" s="42"/>
    </row>
    <row r="94" spans="11:16">
      <c r="K94" s="42"/>
      <c r="L94" s="42"/>
      <c r="M94" s="42"/>
      <c r="N94" s="42"/>
      <c r="O94" s="42"/>
      <c r="P94" s="42"/>
    </row>
    <row r="95" spans="11:16">
      <c r="K95" s="42"/>
      <c r="L95" s="42"/>
      <c r="M95" s="42"/>
      <c r="N95" s="42"/>
      <c r="O95" s="42"/>
      <c r="P95" s="42"/>
    </row>
    <row r="96" spans="11:16">
      <c r="K96" s="42"/>
      <c r="L96" s="42"/>
      <c r="M96" s="42"/>
      <c r="N96" s="42"/>
      <c r="O96" s="42"/>
      <c r="P96" s="42"/>
    </row>
    <row r="97" spans="11:16">
      <c r="K97" s="42"/>
      <c r="L97" s="42"/>
      <c r="M97" s="42"/>
      <c r="N97" s="42"/>
      <c r="O97" s="42"/>
      <c r="P97" s="42"/>
    </row>
    <row r="98" spans="11:16">
      <c r="K98" s="42"/>
      <c r="L98" s="42"/>
      <c r="M98" s="42"/>
      <c r="N98" s="42"/>
      <c r="O98" s="42"/>
      <c r="P98" s="42"/>
    </row>
    <row r="99" spans="11:16">
      <c r="K99" s="42"/>
      <c r="L99" s="42"/>
      <c r="M99" s="42"/>
      <c r="N99" s="42"/>
      <c r="O99" s="42"/>
      <c r="P99" s="42"/>
    </row>
    <row r="100" spans="11:16">
      <c r="K100" s="42"/>
      <c r="L100" s="42"/>
      <c r="M100" s="42"/>
      <c r="N100" s="42"/>
      <c r="O100" s="42"/>
      <c r="P100" s="42"/>
    </row>
    <row r="101" spans="11:16">
      <c r="K101" s="42"/>
      <c r="L101" s="42"/>
      <c r="M101" s="42"/>
      <c r="N101" s="42"/>
      <c r="O101" s="42"/>
      <c r="P101" s="42"/>
    </row>
    <row r="102" spans="11:16">
      <c r="K102" s="42"/>
      <c r="L102" s="42"/>
      <c r="M102" s="42"/>
      <c r="N102" s="42"/>
      <c r="O102" s="42"/>
      <c r="P102" s="42"/>
    </row>
    <row r="103" spans="11:16">
      <c r="K103" s="42"/>
      <c r="L103" s="42"/>
      <c r="M103" s="42"/>
      <c r="N103" s="42"/>
      <c r="O103" s="42"/>
      <c r="P103" s="42"/>
    </row>
    <row r="104" spans="11:16">
      <c r="K104" s="42"/>
      <c r="L104" s="42"/>
      <c r="M104" s="42"/>
      <c r="N104" s="42"/>
      <c r="O104" s="42"/>
      <c r="P104" s="42"/>
    </row>
    <row r="105" spans="11:16">
      <c r="K105" s="42"/>
      <c r="L105" s="42"/>
      <c r="M105" s="42"/>
      <c r="N105" s="42"/>
      <c r="O105" s="42"/>
      <c r="P105" s="42"/>
    </row>
  </sheetData>
  <mergeCells count="7">
    <mergeCell ref="C10:E10"/>
    <mergeCell ref="G10:H10"/>
    <mergeCell ref="B4:B5"/>
    <mergeCell ref="C4:E4"/>
    <mergeCell ref="G4:H5"/>
    <mergeCell ref="C7:E7"/>
    <mergeCell ref="G7:H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299010" r:id="rId5" name="Button 2">
              <controlPr defaultSize="0" print="0" autoFill="0" autoPict="0">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299011" r:id="rId6" name="Button 3">
              <controlPr defaultSize="0" print="0" autoFill="0" autoPict="0">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299012" r:id="rId7" name="Button 4">
              <controlPr defaultSize="0" print="0" autoFill="0" autoPict="0">
                <anchor moveWithCells="1">
                  <from>
                    <xdr:col>1</xdr:col>
                    <xdr:colOff>30480</xdr:colOff>
                    <xdr:row>10</xdr:row>
                    <xdr:rowOff>144780</xdr:rowOff>
                  </from>
                  <to>
                    <xdr:col>1</xdr:col>
                    <xdr:colOff>1104900</xdr:colOff>
                    <xdr:row>12</xdr:row>
                    <xdr:rowOff>0</xdr:rowOff>
                  </to>
                </anchor>
              </controlPr>
            </control>
          </mc:Choice>
        </mc:AlternateContent>
        <mc:AlternateContent xmlns:mc="http://schemas.openxmlformats.org/markup-compatibility/2006">
          <mc:Choice Requires="x14">
            <control shapeId="299013" r:id="rId8" name="Button 5">
              <controlPr defaultSize="0" print="0" autoFill="0" autoPict="0" macro="[0]!openfrmSizeChart">
                <anchor moveWithCells="1">
                  <from>
                    <xdr:col>1</xdr:col>
                    <xdr:colOff>30480</xdr:colOff>
                    <xdr:row>5</xdr:row>
                    <xdr:rowOff>30480</xdr:rowOff>
                  </from>
                  <to>
                    <xdr:col>1</xdr:col>
                    <xdr:colOff>1104900</xdr:colOff>
                    <xdr:row>6</xdr:row>
                    <xdr:rowOff>45720</xdr:rowOff>
                  </to>
                </anchor>
              </controlPr>
            </control>
          </mc:Choice>
        </mc:AlternateContent>
        <mc:AlternateContent xmlns:mc="http://schemas.openxmlformats.org/markup-compatibility/2006">
          <mc:Choice Requires="x14">
            <control shapeId="299014" r:id="rId9" name="Button 6">
              <controlPr defaultSize="0" print="0" autoFill="0" autoPict="0" macro="[0]!fixChartTitleHeight">
                <anchor moveWithCells="1">
                  <from>
                    <xdr:col>1</xdr:col>
                    <xdr:colOff>30480</xdr:colOff>
                    <xdr:row>6</xdr:row>
                    <xdr:rowOff>182880</xdr:rowOff>
                  </from>
                  <to>
                    <xdr:col>1</xdr:col>
                    <xdr:colOff>1104900</xdr:colOff>
                    <xdr:row>8</xdr:row>
                    <xdr:rowOff>38100</xdr:rowOff>
                  </to>
                </anchor>
              </controlPr>
            </control>
          </mc:Choice>
        </mc:AlternateContent>
        <mc:AlternateContent xmlns:mc="http://schemas.openxmlformats.org/markup-compatibility/2006">
          <mc:Choice Requires="x14">
            <control shapeId="299015" r:id="rId10" name="Button 7">
              <controlPr defaultSize="0" print="0" autoFill="0" autoPict="0" macro="[0]!addIHSArrows">
                <anchor moveWithCells="1">
                  <from>
                    <xdr:col>1</xdr:col>
                    <xdr:colOff>30480</xdr:colOff>
                    <xdr:row>8</xdr:row>
                    <xdr:rowOff>160020</xdr:rowOff>
                  </from>
                  <to>
                    <xdr:col>1</xdr:col>
                    <xdr:colOff>1104900</xdr:colOff>
                    <xdr:row>10</xdr:row>
                    <xdr:rowOff>0</xdr:rowOff>
                  </to>
                </anchor>
              </controlPr>
            </control>
          </mc:Choice>
        </mc:AlternateContent>
        <mc:AlternateContent xmlns:mc="http://schemas.openxmlformats.org/markup-compatibility/2006">
          <mc:Choice Requires="x14">
            <control shapeId="299016" r:id="rId11" name="Button 8">
              <controlPr defaultSize="0" print="0" autoFill="0" autoPict="0" macro="[0]!addIHSTextBox">
                <anchor moveWithCells="1">
                  <from>
                    <xdr:col>1</xdr:col>
                    <xdr:colOff>30480</xdr:colOff>
                    <xdr:row>10</xdr:row>
                    <xdr:rowOff>144780</xdr:rowOff>
                  </from>
                  <to>
                    <xdr:col>1</xdr:col>
                    <xdr:colOff>1104900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058d9d3-911f-4abf-bd33-dfe0982c7459" xsi:nil="true"/>
    <lcf76f155ced4ddcb4097134ff3c332f xmlns="c0370b01-b54b-4889-b4c2-218da209c45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2DB1FA1B7BD6648B900E5B51A1A9F9F" ma:contentTypeVersion="15" ma:contentTypeDescription="Create a new document." ma:contentTypeScope="" ma:versionID="048092f29a0f9d8913bcfd50e7e7ea28">
  <xsd:schema xmlns:xsd="http://www.w3.org/2001/XMLSchema" xmlns:xs="http://www.w3.org/2001/XMLSchema" xmlns:p="http://schemas.microsoft.com/office/2006/metadata/properties" xmlns:ns2="c0370b01-b54b-4889-b4c2-218da209c457" xmlns:ns3="0058d9d3-911f-4abf-bd33-dfe0982c7459" targetNamespace="http://schemas.microsoft.com/office/2006/metadata/properties" ma:root="true" ma:fieldsID="49c9a8e5031004534529e2b9b2b4c7b3" ns2:_="" ns3:_="">
    <xsd:import namespace="c0370b01-b54b-4889-b4c2-218da209c457"/>
    <xsd:import namespace="0058d9d3-911f-4abf-bd33-dfe0982c745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370b01-b54b-4889-b4c2-218da209c45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fc86aee-2316-4aa8-bee6-c39f0d543c8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058d9d3-911f-4abf-bd33-dfe0982c745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3c124b1-7314-4cb3-8bc4-429c56dfdc86}" ma:internalName="TaxCatchAll" ma:showField="CatchAllData" ma:web="0058d9d3-911f-4abf-bd33-dfe0982c74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538753-7159-4472-B24C-8F62FF921493}">
  <ds:schemaRefs>
    <ds:schemaRef ds:uri="http://purl.org/dc/elements/1.1/"/>
    <ds:schemaRef ds:uri="http://schemas.microsoft.com/office/2006/metadata/properties"/>
    <ds:schemaRef ds:uri="http://purl.org/dc/terms/"/>
    <ds:schemaRef ds:uri="fb5957f0-0c3a-483a-be9b-fa2879319091"/>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 ds:uri="0058d9d3-911f-4abf-bd33-dfe0982c7459"/>
    <ds:schemaRef ds:uri="c0370b01-b54b-4889-b4c2-218da209c457"/>
  </ds:schemaRefs>
</ds:datastoreItem>
</file>

<file path=customXml/itemProps2.xml><?xml version="1.0" encoding="utf-8"?>
<ds:datastoreItem xmlns:ds="http://schemas.openxmlformats.org/officeDocument/2006/customXml" ds:itemID="{510DBCFC-5DC0-49E3-83D6-D36A29E386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370b01-b54b-4889-b4c2-218da209c457"/>
    <ds:schemaRef ds:uri="0058d9d3-911f-4abf-bd33-dfe0982c74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B2FD3F-4C69-49BC-8D97-6B298148CF4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Example Table</vt:lpstr>
      <vt:lpstr>Note on Table Alignment</vt:lpstr>
      <vt:lpstr>Commands</vt:lpstr>
      <vt:lpstr>Natural Gas</vt:lpstr>
      <vt:lpstr>PRB_ILB_NAPP</vt:lpstr>
      <vt:lpstr>Correlations</vt:lpstr>
      <vt:lpstr>ExportArbNAPP</vt:lpstr>
      <vt:lpstr>ImportArb</vt:lpstr>
      <vt:lpstr>ExportArbILB</vt:lpstr>
      <vt:lpstr>ExportArbCAPP</vt:lpstr>
      <vt:lpstr>HamptonRoadsLoadings</vt:lpstr>
    </vt:vector>
  </TitlesOfParts>
  <Company>IHS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Gig Moineau</dc:creator>
  <cp:lastModifiedBy>Sara Voorhees</cp:lastModifiedBy>
  <cp:lastPrinted>2013-04-15T15:54:41Z</cp:lastPrinted>
  <dcterms:created xsi:type="dcterms:W3CDTF">2011-11-29T22:23:04Z</dcterms:created>
  <dcterms:modified xsi:type="dcterms:W3CDTF">2022-09-16T14:07:58Z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{9C2435B1-EB92-46E3-A451-A39261796E24}</vt:lpwstr>
  </property>
  <property fmtid="{D5CDD505-2E9C-101B-9397-08002B2CF9AE}" pid="3" name="ContentTypeId">
    <vt:lpwstr>0x01010002DB1FA1B7BD6648B900E5B51A1A9F9F</vt:lpwstr>
  </property>
  <property fmtid="{D5CDD505-2E9C-101B-9397-08002B2CF9AE}" pid="4" name="MediaServiceImageTags">
    <vt:lpwstr/>
  </property>
</Properties>
</file>